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3" codeName="{28389E77-7640-9E18-AD5C-E98E2F4A8B83}"/>
  <workbookPr codeName="ThisWorkbook"/>
  <mc:AlternateContent xmlns:mc="http://schemas.openxmlformats.org/markup-compatibility/2006">
    <mc:Choice Requires="x15">
      <x15ac:absPath xmlns:x15ac="http://schemas.microsoft.com/office/spreadsheetml/2010/11/ac" url="https://d.docs.live.net/29f448ec057303af/Pulpit/MECC 2026/ASUS/"/>
    </mc:Choice>
  </mc:AlternateContent>
  <xr:revisionPtr revIDLastSave="196" documentId="13_ncr:1_{A8685E93-C6F8-604F-89A4-20A10767EB2C}" xr6:coauthVersionLast="47" xr6:coauthVersionMax="47" xr10:uidLastSave="{EE473768-040C-41D9-8DD2-5F6BCF0EED26}"/>
  <bookViews>
    <workbookView xWindow="-120" yWindow="-120" windowWidth="29040" windowHeight="15720" xr2:uid="{00000000-000D-0000-FFFF-FFFF00000000}"/>
  </bookViews>
  <sheets>
    <sheet name="Cover" sheetId="20" r:id="rId1"/>
    <sheet name="Unblock Guide" sheetId="12" r:id="rId2"/>
    <sheet name="Start Tab" sheetId="16" r:id="rId3"/>
    <sheet name="Maze Tab" sheetId="17" r:id="rId4"/>
    <sheet name="Last Tab" sheetId="18" r:id="rId5"/>
    <sheet name="Progress &amp; Instructions" sheetId="19" r:id="rId6"/>
    <sheet name="Results" sheetId="8" r:id="rId7"/>
    <sheet name="BackgroundCalcs" sheetId="3" state="veryHidden" r:id="rId8"/>
    <sheet name="Time Grading" sheetId="13" state="veryHidden" r:id="rId9"/>
    <sheet name="Grading" sheetId="4" state="veryHidden" r:id="rId10"/>
    <sheet name="Output" sheetId="9" state="veryHidden" r:id="rId11"/>
  </sheets>
  <externalReferences>
    <externalReference r:id="rId12"/>
  </externalReferences>
  <definedNames>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ShowSimulationProgressWindow" hidden="1">TRUE</definedName>
    <definedName name="_AtRisk_SimSetting_SimName001" hidden="1">"Scen 1(Base=123.42, S0=126.12, V=31.97%)"</definedName>
    <definedName name="_AtRisk_SimSetting_SimName002" hidden="1">"Scen 2(Base=123.42, S0=130, V=31.97%)"</definedName>
    <definedName name="_AtRisk_SimSetting_SimName003" hidden="1">"Scen 3(Base=123.42, S0=132, V=31.97%)"</definedName>
    <definedName name="_AtRisk_SimSetting_SimName004" hidden="1">"Scen 4(Base=1, S0=1, V=31.97%)"</definedName>
    <definedName name="_AtRisk_SimSetting_SimNameCount" hidden="1">4</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eta.CELL" hidden="1" xlm="1">#NAME?</definedName>
    <definedName name="_xleta.IFERROR" hidden="1" xlm="1">#NAME?</definedName>
    <definedName name="_xleta.ISFORMULA" hidden="1" xlm="1">#NAME?</definedName>
    <definedName name="_xleta.SUM" hidden="1" xlm="1">#NAME?</definedName>
    <definedName name="activateCount">BackgroundCalcs!$G$23</definedName>
    <definedName name="AllCorrect">BackgroundCalcs!$F$8</definedName>
    <definedName name="answerCheckOn">BackgroundCalcs!$F$43</definedName>
    <definedName name="cellNames">BackgroundCalcs!$Q$2:$Q$29</definedName>
    <definedName name="elapsedTime">BackgroundCalcs!$G$5</definedName>
    <definedName name="endTime" localSheetId="0">[1]BackgroundCalcs!$G$2</definedName>
    <definedName name="endTime">BackgroundCalcs!$G$2</definedName>
    <definedName name="firstVisited">BackgroundCalcs!$R$2:$R$29</definedName>
    <definedName name="instructionsOn">BackgroundCalcs!$F$46</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44091.7196296296</definedName>
    <definedName name="IQ_QTD" hidden="1">750000</definedName>
    <definedName name="IQ_TODAY" hidden="1">0</definedName>
    <definedName name="IQ_YTDMONTH" hidden="1">130000</definedName>
    <definedName name="IQB_BOOKMARK_COUNT" hidden="1">0</definedName>
    <definedName name="isGameOn">BackgroundCalcs!$F$5</definedName>
    <definedName name="lastTime">BackgroundCalcs!$G$26</definedName>
    <definedName name="liveVersion">BackgroundCalcs!$F$26</definedName>
    <definedName name="macOn">BackgroundCalcs!$F$52</definedName>
    <definedName name="mazeCorrect">BackgroundCalcs!$F$11</definedName>
    <definedName name="mouseMovements">BackgroundCalcs!$F$14</definedName>
    <definedName name="numCorrect">BackgroundCalcs!$G$16</definedName>
    <definedName name="NumExercises">BackgroundCalcs!$D$14</definedName>
    <definedName name="numProtectedCells">BackgroundCalcs!$D$17</definedName>
    <definedName name="numRandomValues">BackgroundCalcs!$D$20</definedName>
    <definedName name="OverrideSave">BackgroundCalcs!$D$2</definedName>
    <definedName name="Pal_Workbook_GUID" hidden="1">"KHB4MCAJCJC3RUEFU5N2FB3U"</definedName>
    <definedName name="passwordOn">BackgroundCalcs!$G$8</definedName>
    <definedName name="pcOn">BackgroundCalcs!$F$49</definedName>
    <definedName name="pCountNew" localSheetId="0">[1]BackgroundCalcs!$S$2</definedName>
    <definedName name="pCountNew">BackgroundCalcs!$S$2</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TRUE</definedName>
    <definedName name="RiskUseMultipleCPUs" hidden="1">FALSE</definedName>
    <definedName name="SheetNameRange">BackgroundCalcs!$I$2:$I$11</definedName>
    <definedName name="solver_eng" localSheetId="0" hidden="1">1</definedName>
    <definedName name="solver_neg" localSheetId="0" hidden="1">1</definedName>
    <definedName name="solver_num" localSheetId="0" hidden="1">0</definedName>
    <definedName name="solver_opt" localSheetId="0" hidden="1">Cover!#REF!</definedName>
    <definedName name="solver_typ" localSheetId="0" hidden="1">1</definedName>
    <definedName name="solver_val" localSheetId="0" hidden="1">0</definedName>
    <definedName name="solver_ver" localSheetId="0" hidden="1">3</definedName>
    <definedName name="SpreadsheetName" localSheetId="0">[1]BackgroundCalcs!$D$5</definedName>
    <definedName name="SpreadsheetName">BackgroundCalcs!$D$5</definedName>
    <definedName name="startTime" localSheetId="0">[1]BackgroundCalcs!$F$2</definedName>
    <definedName name="startTime">BackgroundCalcs!$F$2</definedName>
    <definedName name="stop1">'Start Tab'!$Q$49</definedName>
    <definedName name="stop10">'Maze Tab'!$AA$35</definedName>
    <definedName name="stop11">'Maze Tab'!$AD$35</definedName>
    <definedName name="stop12">'Maze Tab'!$AD$14</definedName>
    <definedName name="stop13">'Maze Tab'!$AK$14</definedName>
    <definedName name="stop14">'Maze Tab'!$AK$1</definedName>
    <definedName name="stop15" localSheetId="0">'[1]Last Tab'!$L$15</definedName>
    <definedName name="stop15">'Last Tab'!$L$15</definedName>
    <definedName name="stop16" localSheetId="0">'[1]Last Tab'!$AE$20</definedName>
    <definedName name="stop16">'Last Tab'!$AE$20</definedName>
    <definedName name="stop17" localSheetId="0">'[1]Last Tab'!$W$31</definedName>
    <definedName name="stop17">'Last Tab'!$W$31</definedName>
    <definedName name="stop18">'Last Tab'!$U$81</definedName>
    <definedName name="stop19">'Last Tab'!$S$108</definedName>
    <definedName name="stop2">'Maze Tab'!$A$13</definedName>
    <definedName name="stop20">'Last Tab'!$Q$129</definedName>
    <definedName name="stop21" localSheetId="0">'[1]Last Tab'!$AM$129</definedName>
    <definedName name="stop21">'Last Tab'!$AM$129</definedName>
    <definedName name="stop22" localSheetId="0">'[1]Last Tab'!$AS$129</definedName>
    <definedName name="stop22">'Last Tab'!$AS$129</definedName>
    <definedName name="stop23">'Last Tab'!$BA$129</definedName>
    <definedName name="stop24" localSheetId="0">'[1]Last Tab'!$BA$57</definedName>
    <definedName name="stop24">'Last Tab'!$BA$57</definedName>
    <definedName name="stop25" localSheetId="0">'[1]Last Tab'!$BR$22</definedName>
    <definedName name="stop25">'Last Tab'!$BR$22</definedName>
    <definedName name="stop26" localSheetId="0">'[1]Last Tab'!$BV$92</definedName>
    <definedName name="stop26">'Last Tab'!$BV$92</definedName>
    <definedName name="stop27" localSheetId="0">'[1]Last Tab'!$BY$6</definedName>
    <definedName name="stop27">'Last Tab'!$BY$6</definedName>
    <definedName name="stop28">'Last Tab'!$CD$6</definedName>
    <definedName name="stop3">'Maze Tab'!$D$13</definedName>
    <definedName name="stop4">'Maze Tab'!$D$18</definedName>
    <definedName name="stop5">'Maze Tab'!$P$18</definedName>
    <definedName name="stop6">'Maze Tab'!$P$7</definedName>
    <definedName name="stop7">'Maze Tab'!$V$7</definedName>
    <definedName name="stop8">'Maze Tab'!$V$29</definedName>
    <definedName name="stop9">'Maze Tab'!$AA$29</definedName>
    <definedName name="StudentIDCell" localSheetId="0">[1]BackgroundCalcs!$D$8</definedName>
    <definedName name="StudentIDCell">BackgroundCalcs!$D$8</definedName>
    <definedName name="StudentNameCell" localSheetId="0">[1]BackgroundCalcs!$D$11</definedName>
    <definedName name="StudentNameCell">BackgroundCalcs!$D$11</definedName>
    <definedName name="Tab1Answer">BackgroundCalcs!$K$2</definedName>
    <definedName name="Tab1ClearRange">BackgroundCalcs!$L$2</definedName>
    <definedName name="Tab1Name">BackgroundCalcs!$I$2</definedName>
    <definedName name="Tab1Start">BackgroundCalcs!$J$2</definedName>
    <definedName name="totalTime" localSheetId="0">[1]BackgroundCalcs!$F$29</definedName>
    <definedName name="totalTime">BackgroundCalcs!$F$29</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129" i="18" l="1"/>
  <c r="AM129" i="18"/>
  <c r="AM128" i="18" a="1"/>
  <c r="W31" i="18"/>
  <c r="BY6" i="18"/>
  <c r="BV92" i="18"/>
  <c r="BR22" i="18"/>
  <c r="BA57" i="18"/>
  <c r="AM127" i="18" a="1"/>
  <c r="AM127" i="18" s="1"/>
  <c r="AE20" i="18"/>
  <c r="L15" i="18"/>
  <c r="B2" i="8"/>
  <c r="W29" i="3"/>
  <c r="AB2" i="3"/>
  <c r="W2" i="3" s="1"/>
  <c r="AC27" i="3"/>
  <c r="AC17" i="3"/>
  <c r="AC28" i="3"/>
  <c r="AC18" i="3"/>
  <c r="AC26" i="3"/>
  <c r="AM128" i="18" l="1"/>
  <c r="AC25" i="3"/>
  <c r="B3" i="19" a="1"/>
  <c r="B3" i="19" s="1"/>
  <c r="AC23" i="3"/>
  <c r="F52" i="3"/>
  <c r="F49" i="3"/>
  <c r="F46" i="3"/>
  <c r="F4" i="19"/>
  <c r="F5" i="19"/>
  <c r="F6" i="19"/>
  <c r="F7" i="19"/>
  <c r="F8" i="19"/>
  <c r="F9" i="19"/>
  <c r="F10" i="19"/>
  <c r="F11" i="19"/>
  <c r="F12" i="19"/>
  <c r="F13" i="19"/>
  <c r="F14" i="19"/>
  <c r="F15" i="19"/>
  <c r="F16" i="19"/>
  <c r="F17" i="19"/>
  <c r="F18" i="19"/>
  <c r="F19" i="19"/>
  <c r="F20" i="19"/>
  <c r="F21" i="19"/>
  <c r="F22" i="19"/>
  <c r="F23" i="19"/>
  <c r="F24" i="19"/>
  <c r="F25" i="19"/>
  <c r="F26" i="19"/>
  <c r="F27" i="19"/>
  <c r="F28" i="19"/>
  <c r="F29" i="19"/>
  <c r="F30" i="19"/>
  <c r="F3" i="19"/>
  <c r="AC22" i="3" l="1"/>
  <c r="E30" i="19"/>
  <c r="AB28" i="3"/>
  <c r="W28" i="3" s="1"/>
  <c r="AB27" i="3"/>
  <c r="W27" i="3" s="1"/>
  <c r="AB26" i="3"/>
  <c r="W26" i="3" s="1"/>
  <c r="AB25" i="3"/>
  <c r="W25" i="3" s="1"/>
  <c r="AB23" i="3"/>
  <c r="W23" i="3" s="1"/>
  <c r="AB22" i="3"/>
  <c r="AB18" i="3"/>
  <c r="W18" i="3" s="1"/>
  <c r="AB17" i="3"/>
  <c r="W17" i="3" s="1"/>
  <c r="AB16" i="3"/>
  <c r="F43" i="3"/>
  <c r="T2" i="3"/>
  <c r="AB11" i="3"/>
  <c r="AB12" i="3"/>
  <c r="AB13" i="3"/>
  <c r="AB14" i="3"/>
  <c r="AB15" i="3"/>
  <c r="AB24" i="3"/>
  <c r="AB21" i="3"/>
  <c r="AB20" i="3"/>
  <c r="AB19" i="3"/>
  <c r="AB4" i="3"/>
  <c r="AB5" i="3"/>
  <c r="AB6" i="3"/>
  <c r="AB7" i="3"/>
  <c r="AB8" i="3"/>
  <c r="AB9" i="3"/>
  <c r="AB10" i="3"/>
  <c r="AB3" i="3"/>
  <c r="V2" i="3" a="1"/>
  <c r="V2" i="3" s="1"/>
  <c r="W22" i="3" l="1"/>
  <c r="E23" i="19" s="1"/>
  <c r="W16" i="3"/>
  <c r="E17" i="19" s="1"/>
  <c r="W9" i="3"/>
  <c r="E10" i="19" s="1"/>
  <c r="W10" i="3"/>
  <c r="E11" i="19" s="1"/>
  <c r="W20" i="3"/>
  <c r="E21" i="19" s="1"/>
  <c r="W21" i="3"/>
  <c r="Z21" i="3" s="1"/>
  <c r="W14" i="3"/>
  <c r="E15" i="19" s="1"/>
  <c r="W8" i="3"/>
  <c r="E9" i="19" s="1"/>
  <c r="W7" i="3"/>
  <c r="E8" i="19" s="1"/>
  <c r="W5" i="3"/>
  <c r="E6" i="19" s="1"/>
  <c r="W13" i="3"/>
  <c r="E14" i="19" s="1"/>
  <c r="W4" i="3"/>
  <c r="E5" i="19" s="1"/>
  <c r="W12" i="3"/>
  <c r="E13" i="19" s="1"/>
  <c r="W24" i="3"/>
  <c r="E25" i="19" s="1"/>
  <c r="W15" i="3"/>
  <c r="E16" i="19" s="1"/>
  <c r="W6" i="3"/>
  <c r="E7" i="19" s="1"/>
  <c r="W3" i="3"/>
  <c r="E4" i="19" s="1"/>
  <c r="W19" i="3"/>
  <c r="E20" i="19" s="1"/>
  <c r="W11" i="3"/>
  <c r="E12" i="19" s="1"/>
  <c r="E18" i="19"/>
  <c r="E28" i="19"/>
  <c r="E24" i="19"/>
  <c r="E26" i="19"/>
  <c r="Z29" i="3"/>
  <c r="E3" i="19"/>
  <c r="Z20" i="3" l="1"/>
  <c r="Z3" i="3"/>
  <c r="Z16" i="3"/>
  <c r="E22" i="19"/>
  <c r="Z19" i="3"/>
  <c r="Z24" i="3"/>
  <c r="Z22" i="3"/>
  <c r="Z17" i="3"/>
  <c r="Z27" i="3"/>
  <c r="Z23" i="3"/>
  <c r="Z25" i="3"/>
  <c r="Z28" i="3"/>
  <c r="E29" i="19"/>
  <c r="Z26" i="3"/>
  <c r="E27" i="19"/>
  <c r="Z18" i="3"/>
  <c r="E19" i="19"/>
  <c r="G16" i="3"/>
  <c r="F8" i="3"/>
  <c r="F11" i="3"/>
  <c r="D7" i="8"/>
  <c r="Z4" i="3" l="1"/>
  <c r="Z15" i="3" l="1"/>
  <c r="E16" i="8" l="1"/>
  <c r="D65" i="3" l="1"/>
  <c r="C7" i="8" s="1"/>
  <c r="D55" i="3"/>
  <c r="B5" i="8" s="1"/>
  <c r="A2" i="8"/>
  <c r="B1" i="13"/>
  <c r="B2" i="13" s="1"/>
  <c r="D69" i="3"/>
  <c r="D16" i="8"/>
  <c r="B2" i="9" s="1"/>
  <c r="C2" i="9"/>
  <c r="C16" i="8"/>
  <c r="B16" i="8" l="1"/>
  <c r="A2" i="9"/>
  <c r="D56" i="3"/>
  <c r="D37" i="3"/>
  <c r="D36" i="3"/>
  <c r="G29" i="3"/>
  <c r="D2" i="9" s="1"/>
  <c r="D17" i="3"/>
  <c r="D14" i="3"/>
  <c r="Z14" i="3"/>
  <c r="Z12" i="3"/>
  <c r="G5" i="3"/>
  <c r="Z2" i="3"/>
  <c r="Z5" i="3" l="1"/>
  <c r="Z8" i="3"/>
  <c r="Z10" i="3"/>
  <c r="Z6" i="3"/>
  <c r="Z7" i="3"/>
  <c r="Z9" i="3" l="1"/>
  <c r="Z13" i="3"/>
  <c r="D20" i="3" l="1"/>
  <c r="Z11"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<sst xmlns="http://schemas.openxmlformats.org/spreadsheetml/2006/main" count="6299" uniqueCount="1118">
  <si>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</si>
  <si>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</si>
  <si>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</si>
  <si>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</si>
  <si>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</si>
  <si>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</si>
  <si>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</si>
  <si>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</si>
  <si>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</si>
  <si>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</si>
  <si>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</si>
  <si>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</si>
  <si>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 xml:space="preserve"> </t>
  </si>
  <si>
    <t>MECC 2025 Regionals - Speed Challenge - Junior Varsity</t>
  </si>
  <si>
    <t>Case Author</t>
  </si>
  <si>
    <t>David Brown</t>
  </si>
  <si>
    <t>Controls (1=Yes,0=No)</t>
  </si>
  <si>
    <t xml:space="preserve">Instructions? </t>
  </si>
  <si>
    <t>PC Keyboard Hints?</t>
  </si>
  <si>
    <t>Mac Keyboard Hints?</t>
  </si>
  <si>
    <t>Answer Checks?</t>
  </si>
  <si>
    <t>Instructions</t>
  </si>
  <si>
    <t>In this challenge, you have 30 minutes to complete a series of tasks as quickly as possible. You can attempt the tasks as many times as possible within the 30 minutes and only</t>
  </si>
  <si>
    <t>your best time will be counted. The controls (to the upper right) are set to default values to provide instructions for each task and provide feedback when your answer are correct.</t>
  </si>
  <si>
    <t>Once you are familiar with the tasks, you can remove the instructions and answer checks to go faster. You can also turn on PC or Mac hints if you would like some help.</t>
  </si>
  <si>
    <t xml:space="preserve">Note that using Instructions, Hints, or Checks does not directly impact your time, so there are no penalties for their use. Each tab has buttons that will repeat the instructions or </t>
  </si>
  <si>
    <t>provide hints in case you get stuck.</t>
  </si>
  <si>
    <t>You will be penalized one second for each time you "step" outside the path. The path includes all cells with values and cells with either light green or dark green fill.</t>
  </si>
  <si>
    <t>A "step" occurs when you select a cell and not when you are navigating while editing a formula. You must "step" in every dark green cell to complete the challenge.</t>
  </si>
  <si>
    <t>Do not use automation or macros to complete the challenge. Any evidence of macro use or other automation tools may disqualify you from this and all future MECC competitions.</t>
  </si>
  <si>
    <t>On the "Last Tab" you must use a formula for each task that requires a sum or count and you must fill in the light green cells with values. Do not type in the number answers.</t>
  </si>
  <si>
    <t>Note that named ranges are not deleted between attempts.</t>
  </si>
  <si>
    <t>Note that when you hit enter, Excel defaults to moving down one cell. To avoid that, go to Options -&gt; Advanced and unclick the box "After pressing Enter, move selection."</t>
  </si>
  <si>
    <t>If you aren't sure of an instruction or whether you completed a step, see the "Progress &amp; Instructions" tab.</t>
  </si>
  <si>
    <t>Click the green Start button to start the challenge. The timing starts once you dismiss the first message box by pressing Enter.</t>
  </si>
  <si>
    <t>START</t>
  </si>
  <si>
    <t>⬇️</t>
  </si>
  <si>
    <t>➡️</t>
  </si>
  <si>
    <t>⬆️</t>
  </si>
  <si>
    <t>FINISH!</t>
  </si>
  <si>
    <t>⬅️</t>
  </si>
  <si>
    <t>Checkpoint</t>
  </si>
  <si>
    <t>Tab</t>
  </si>
  <si>
    <t>Cell</t>
  </si>
  <si>
    <t>Completed?</t>
  </si>
  <si>
    <t>Start Tab</t>
  </si>
  <si>
    <t>Q49</t>
  </si>
  <si>
    <t>Maze</t>
  </si>
  <si>
    <t>A13</t>
  </si>
  <si>
    <t>D13</t>
  </si>
  <si>
    <t>D18</t>
  </si>
  <si>
    <t>P18</t>
  </si>
  <si>
    <t>P7</t>
  </si>
  <si>
    <t>V7</t>
  </si>
  <si>
    <t>V29</t>
  </si>
  <si>
    <t>AA29</t>
  </si>
  <si>
    <t>AA35</t>
  </si>
  <si>
    <t>AD35</t>
  </si>
  <si>
    <t>AD14</t>
  </si>
  <si>
    <t>AK14</t>
  </si>
  <si>
    <t>AK1</t>
  </si>
  <si>
    <t>Last Tab</t>
  </si>
  <si>
    <t>L15</t>
  </si>
  <si>
    <t>AE20</t>
  </si>
  <si>
    <t>W31</t>
  </si>
  <si>
    <t>U81</t>
  </si>
  <si>
    <t>S108</t>
  </si>
  <si>
    <t>Q129</t>
  </si>
  <si>
    <t>AM129</t>
  </si>
  <si>
    <t>AS129</t>
  </si>
  <si>
    <t>BA129</t>
  </si>
  <si>
    <t>BA57</t>
  </si>
  <si>
    <t>BR22</t>
  </si>
  <si>
    <t>BV92</t>
  </si>
  <si>
    <t>BV6</t>
  </si>
  <si>
    <t>CD6</t>
  </si>
  <si>
    <t>Share your best result!</t>
  </si>
  <si>
    <t>Current Result:</t>
  </si>
  <si>
    <t>Date and Time</t>
  </si>
  <si>
    <t>Time Elapsed</t>
  </si>
  <si>
    <t>Penalty Count</t>
  </si>
  <si>
    <t>Total Time</t>
  </si>
  <si>
    <t>Best Result:</t>
  </si>
  <si>
    <t>All Results:</t>
  </si>
  <si>
    <t>Auto Name when Saving?</t>
  </si>
  <si>
    <t>Start Time</t>
  </si>
  <si>
    <t>End Time</t>
  </si>
  <si>
    <t>Sheet</t>
  </si>
  <si>
    <t>Starting Position</t>
  </si>
  <si>
    <t>Answer Cell</t>
  </si>
  <si>
    <t>Clear Range</t>
  </si>
  <si>
    <t>Protected Range</t>
  </si>
  <si>
    <t>Name</t>
  </si>
  <si>
    <t>Visited?</t>
  </si>
  <si>
    <t>Penalty count</t>
  </si>
  <si>
    <t>Total Penalty</t>
  </si>
  <si>
    <t>Achieved?</t>
  </si>
  <si>
    <t>Hidden?</t>
  </si>
  <si>
    <t>Unhide</t>
  </si>
  <si>
    <t>Answer</t>
  </si>
  <si>
    <t>Answer Value</t>
  </si>
  <si>
    <t>Check Answer</t>
  </si>
  <si>
    <t>Note to Check Answer</t>
  </si>
  <si>
    <t>Instruction</t>
  </si>
  <si>
    <t>No</t>
  </si>
  <si>
    <t>B39</t>
  </si>
  <si>
    <t>A1</t>
  </si>
  <si>
    <t>Results</t>
  </si>
  <si>
    <t>A1:G141</t>
  </si>
  <si>
    <t>stop1</t>
  </si>
  <si>
    <t>No Check</t>
  </si>
  <si>
    <t>"Your first task is to navigate to the dark green cell, Q49. Each time you go off the path you will be penalized 1 second."</t>
  </si>
  <si>
    <t>A1:F30</t>
  </si>
  <si>
    <t>stop2</t>
  </si>
  <si>
    <t>"Go to the next tab to the right (""Maze Tab""). Follow the arrows through the maze. Each time you go off the path you will be penalized 1 second."</t>
  </si>
  <si>
    <t>Spreadsheet Name</t>
  </si>
  <si>
    <t>Is Game On?</t>
  </si>
  <si>
    <t>Elapsed Time</t>
  </si>
  <si>
    <t>stop3</t>
  </si>
  <si>
    <t>"Follow the arrows through the maze. Each time you go off the path you will be penalized 1 second."</t>
  </si>
  <si>
    <t>stop4</t>
  </si>
  <si>
    <t>stop5</t>
  </si>
  <si>
    <t>All Correct?</t>
  </si>
  <si>
    <t>Password On?</t>
  </si>
  <si>
    <t>stop6</t>
  </si>
  <si>
    <t>stop7</t>
  </si>
  <si>
    <t>stop8</t>
  </si>
  <si>
    <t>Maze Correct?</t>
  </si>
  <si>
    <t>stop9</t>
  </si>
  <si>
    <t>stop10</t>
  </si>
  <si>
    <t>stop11</t>
  </si>
  <si>
    <t>Number of Exercises</t>
  </si>
  <si>
    <t>stop12</t>
  </si>
  <si>
    <t>stop13</t>
  </si>
  <si>
    <t>NumCorrect</t>
  </si>
  <si>
    <t>stop14</t>
  </si>
  <si>
    <t>Number of Protected Cells</t>
  </si>
  <si>
    <t>stop15</t>
  </si>
  <si>
    <t>"Sum the values in the rectangle below (L16:R20)."</t>
  </si>
  <si>
    <t>stop16</t>
  </si>
  <si>
    <t>Check right number of 2s</t>
  </si>
  <si>
    <t>"Sum the values in the rectangle below (AE21:AK25)."</t>
  </si>
  <si>
    <t>stop17</t>
  </si>
  <si>
    <t>Check for formula being used</t>
  </si>
  <si>
    <t>"Sum the values of the left-most and right-most columns of the rectangle below (P31:V35)."</t>
  </si>
  <si>
    <t>Number of Random Values</t>
  </si>
  <si>
    <t>stop18</t>
  </si>
  <si>
    <t>"Follow the arrows along the path. Each time you go off the path you will be penalized 1 second."</t>
  </si>
  <si>
    <t>stop19</t>
  </si>
  <si>
    <t>stop20</t>
  </si>
  <si>
    <t>Spreadsheet Activations</t>
  </si>
  <si>
    <t>stop21</t>
  </si>
  <si>
    <t>Check values were pasted in correct range</t>
  </si>
  <si>
    <t>"In cells AM127:AU127, add 1 to each value in the cells above (AM126:AU126). In cells AM128:AU128, divide the values in cells AM127:AU127 by the values in cells AM126:AU126. Finally, sum the range AM126:AU128 and enter it in cell AM129."</t>
  </si>
  <si>
    <t>stop22</t>
  </si>
  <si>
    <t>Check values were actually entered</t>
  </si>
  <si>
    <t>"Copy the values in cells AS127:AU128. Go to cell AR72 and paste values. Sum the values in AR72:AT73 and enter it in cell AS129."</t>
  </si>
  <si>
    <t>stop23</t>
  </si>
  <si>
    <t>Live Version?</t>
  </si>
  <si>
    <t>Last Time</t>
  </si>
  <si>
    <t>stop24</t>
  </si>
  <si>
    <t>"In cells AX51:BB56, fill in the number 1 in each cell. Then sum the values in AX51:BB56 in cell BA57."</t>
  </si>
  <si>
    <t>stop25</t>
  </si>
  <si>
    <t>"Count the number of numbers in the rectange below (BR23:CD33)."</t>
  </si>
  <si>
    <t>stop26</t>
  </si>
  <si>
    <t>Check right number of 3s</t>
  </si>
  <si>
    <t>"Average the values in the rectangle below (BV93:CA97)."</t>
  </si>
  <si>
    <t>Total Time (seconds)</t>
  </si>
  <si>
    <t>stop27</t>
  </si>
  <si>
    <t>"Find the most common value in the rectangle below (BR23:CD33). Use the MODE function."</t>
  </si>
  <si>
    <t>stop28</t>
  </si>
  <si>
    <t>"Go to cell CE6 to complete the speed challenge."</t>
  </si>
  <si>
    <t>"Congratulations! You have finished the challenge."</t>
  </si>
  <si>
    <t>Indirect Name and ID</t>
  </si>
  <si>
    <t>Answer Check On?</t>
  </si>
  <si>
    <t>Button Options</t>
  </si>
  <si>
    <t>Instructions On?</t>
  </si>
  <si>
    <t>Yes</t>
  </si>
  <si>
    <t>PC Hints On?</t>
  </si>
  <si>
    <t>Cell Types</t>
  </si>
  <si>
    <t>-------</t>
  </si>
  <si>
    <t>XXXXX</t>
  </si>
  <si>
    <t>Mac Hints On?</t>
  </si>
  <si>
    <t>https://www.linkedin.com/sharing/share-offsite/?url=https://www.fmworldcup.com/microsoft-excel-collegiate-challenge/</t>
  </si>
  <si>
    <t>https://www.fmworldcup.com/microsoft-excel-collegiate-challenge/</t>
  </si>
  <si>
    <t>http://www.facebook.com/sharer.php?u=http%3A%2F%2Fchandoo.org%2Fwp%2F2012%2F08%2F10%2Fexcel-hurdles%2F&amp;t=I%20finished%20Excel%20Hurdle%20challenge%20in%20$$%20seconds.</t>
  </si>
  <si>
    <t>This challenge was long!</t>
  </si>
  <si>
    <t>Best Result</t>
  </si>
  <si>
    <t>Adjusted Value</t>
  </si>
  <si>
    <t>ProblemType</t>
  </si>
  <si>
    <t>WorksheetName</t>
  </si>
  <si>
    <t>Range</t>
  </si>
  <si>
    <t>Comparison</t>
  </si>
  <si>
    <t>Grade</t>
  </si>
  <si>
    <t>CorrectFeedback</t>
  </si>
  <si>
    <t>IncorrectFeedback</t>
  </si>
  <si>
    <t>CELL</t>
  </si>
  <si>
    <t>A2</t>
  </si>
  <si>
    <t>Value(1)</t>
  </si>
  <si>
    <t>1,000,000 points for completion</t>
  </si>
  <si>
    <t>You have not completed the exercise</t>
  </si>
  <si>
    <t>Time Grading</t>
  </si>
  <si>
    <t>B2</t>
  </si>
  <si>
    <t>Your total score is 1,000,000 minus your total time with a max of 15 minutes</t>
  </si>
  <si>
    <t>This is used to record your time</t>
  </si>
  <si>
    <t>Value(2)</t>
  </si>
  <si>
    <t>Value(3)</t>
  </si>
  <si>
    <t>Value(4)</t>
  </si>
  <si>
    <t>Value(5)</t>
  </si>
  <si>
    <t>Value(6)</t>
  </si>
  <si>
    <t>Value(7)</t>
  </si>
  <si>
    <t>Value(8)</t>
  </si>
  <si>
    <t>Value(9)</t>
  </si>
  <si>
    <t>Value(10)</t>
  </si>
  <si>
    <t>Value(11)</t>
  </si>
  <si>
    <t>Value(12)</t>
  </si>
  <si>
    <t>Value(13)</t>
  </si>
  <si>
    <t>Value(14)</t>
  </si>
  <si>
    <t>Value(15)</t>
  </si>
  <si>
    <t>Value(16)</t>
  </si>
  <si>
    <t>Value(17)</t>
  </si>
  <si>
    <t>Value(18)</t>
  </si>
  <si>
    <t>Value(19)</t>
  </si>
  <si>
    <t>Value(20)</t>
  </si>
  <si>
    <t>Value(21)</t>
  </si>
  <si>
    <t>Value(22)</t>
  </si>
  <si>
    <t>Value(23)</t>
  </si>
  <si>
    <t>Value(24)</t>
  </si>
  <si>
    <t>Value(25)</t>
  </si>
  <si>
    <t>Value(26)</t>
  </si>
  <si>
    <t>Value(27)</t>
  </si>
  <si>
    <t>Value(28)</t>
  </si>
  <si>
    <t>Value(29)</t>
  </si>
  <si>
    <t>Value(30)</t>
  </si>
  <si>
    <t>Value(31)</t>
  </si>
  <si>
    <t>Value(32)</t>
  </si>
  <si>
    <t>Value(33)</t>
  </si>
  <si>
    <t>Value(34)</t>
  </si>
  <si>
    <t>Value(35)</t>
  </si>
  <si>
    <t>Value(36)</t>
  </si>
  <si>
    <t>Value(37)</t>
  </si>
  <si>
    <t>Value(38)</t>
  </si>
  <si>
    <t>Value(39)</t>
  </si>
  <si>
    <t>Value(40)</t>
  </si>
  <si>
    <t>Value(41)</t>
  </si>
  <si>
    <t>Value(42)</t>
  </si>
  <si>
    <t>Value(43)</t>
  </si>
  <si>
    <t>Value(44)</t>
  </si>
  <si>
    <t>Value(45)</t>
  </si>
  <si>
    <t>Value(46)</t>
  </si>
  <si>
    <t>Value(47)</t>
  </si>
  <si>
    <t>Value(48)</t>
  </si>
  <si>
    <t>Value(49)</t>
  </si>
  <si>
    <t>Value(50)</t>
  </si>
  <si>
    <t>Value(51)</t>
  </si>
  <si>
    <t>Value(52)</t>
  </si>
  <si>
    <t>Value(53)</t>
  </si>
  <si>
    <t>Value(54)</t>
  </si>
  <si>
    <t>Value(55)</t>
  </si>
  <si>
    <t>Value(56)</t>
  </si>
  <si>
    <t>Value(57)</t>
  </si>
  <si>
    <t>Value(58)</t>
  </si>
  <si>
    <t>Value(59)</t>
  </si>
  <si>
    <t>Value(60)</t>
  </si>
  <si>
    <t>Value(61)</t>
  </si>
  <si>
    <t>Value(62)</t>
  </si>
  <si>
    <t>Value(63)</t>
  </si>
  <si>
    <t>Value(64)</t>
  </si>
  <si>
    <t>Value(65)</t>
  </si>
  <si>
    <t>Value(66)</t>
  </si>
  <si>
    <t>Value(67)</t>
  </si>
  <si>
    <t>Value(68)</t>
  </si>
  <si>
    <t>Value(69)</t>
  </si>
  <si>
    <t>Value(70)</t>
  </si>
  <si>
    <t>Value(71)</t>
  </si>
  <si>
    <t>Value(72)</t>
  </si>
  <si>
    <t>Value(73)</t>
  </si>
  <si>
    <t>Value(74)</t>
  </si>
  <si>
    <t>Value(75)</t>
  </si>
  <si>
    <t>Value(76)</t>
  </si>
  <si>
    <t>Value(77)</t>
  </si>
  <si>
    <t>Value(78)</t>
  </si>
  <si>
    <t>Value(79)</t>
  </si>
  <si>
    <t>Value(80)</t>
  </si>
  <si>
    <t>Value(81)</t>
  </si>
  <si>
    <t>Value(82)</t>
  </si>
  <si>
    <t>Value(83)</t>
  </si>
  <si>
    <t>Value(84)</t>
  </si>
  <si>
    <t>Value(85)</t>
  </si>
  <si>
    <t>Value(86)</t>
  </si>
  <si>
    <t>Value(87)</t>
  </si>
  <si>
    <t>Value(88)</t>
  </si>
  <si>
    <t>Value(89)</t>
  </si>
  <si>
    <t>Value(90)</t>
  </si>
  <si>
    <t>Value(91)</t>
  </si>
  <si>
    <t>Value(92)</t>
  </si>
  <si>
    <t>Value(93)</t>
  </si>
  <si>
    <t>Value(94)</t>
  </si>
  <si>
    <t>Value(95)</t>
  </si>
  <si>
    <t>Value(96)</t>
  </si>
  <si>
    <t>Value(97)</t>
  </si>
  <si>
    <t>Value(98)</t>
  </si>
  <si>
    <t>Value(99)</t>
  </si>
  <si>
    <t>Value(100)</t>
  </si>
  <si>
    <t>Value(101)</t>
  </si>
  <si>
    <t>Value(102)</t>
  </si>
  <si>
    <t>Value(103)</t>
  </si>
  <si>
    <t>Value(104)</t>
  </si>
  <si>
    <t>Value(105)</t>
  </si>
  <si>
    <t>Value(106)</t>
  </si>
  <si>
    <t>Value(107)</t>
  </si>
  <si>
    <t>Value(108)</t>
  </si>
  <si>
    <t>Value(109)</t>
  </si>
  <si>
    <t>Value(110)</t>
  </si>
  <si>
    <t>Value(111)</t>
  </si>
  <si>
    <t>Value(112)</t>
  </si>
  <si>
    <t>Value(113)</t>
  </si>
  <si>
    <t>Value(114)</t>
  </si>
  <si>
    <t>Value(115)</t>
  </si>
  <si>
    <t>Value(116)</t>
  </si>
  <si>
    <t>Value(117)</t>
  </si>
  <si>
    <t>Value(118)</t>
  </si>
  <si>
    <t>Value(119)</t>
  </si>
  <si>
    <t>Value(120)</t>
  </si>
  <si>
    <t>Value(121)</t>
  </si>
  <si>
    <t>Value(122)</t>
  </si>
  <si>
    <t>Value(123)</t>
  </si>
  <si>
    <t>Value(124)</t>
  </si>
  <si>
    <t>Value(125)</t>
  </si>
  <si>
    <t>Value(126)</t>
  </si>
  <si>
    <t>Value(127)</t>
  </si>
  <si>
    <t>Value(128)</t>
  </si>
  <si>
    <t>Value(129)</t>
  </si>
  <si>
    <t>Value(130)</t>
  </si>
  <si>
    <t>Value(131)</t>
  </si>
  <si>
    <t>Value(132)</t>
  </si>
  <si>
    <t>Value(133)</t>
  </si>
  <si>
    <t>Value(134)</t>
  </si>
  <si>
    <t>Value(135)</t>
  </si>
  <si>
    <t>Value(136)</t>
  </si>
  <si>
    <t>Value(137)</t>
  </si>
  <si>
    <t>Value(138)</t>
  </si>
  <si>
    <t>Value(139)</t>
  </si>
  <si>
    <t>Value(140)</t>
  </si>
  <si>
    <t>Value(141)</t>
  </si>
  <si>
    <t>Value(142)</t>
  </si>
  <si>
    <t>Value(143)</t>
  </si>
  <si>
    <t>Value(144)</t>
  </si>
  <si>
    <t>Value(145)</t>
  </si>
  <si>
    <t>Value(146)</t>
  </si>
  <si>
    <t>Value(147)</t>
  </si>
  <si>
    <t>Value(148)</t>
  </si>
  <si>
    <t>Value(149)</t>
  </si>
  <si>
    <t>Value(150)</t>
  </si>
  <si>
    <t>Value(151)</t>
  </si>
  <si>
    <t>Value(152)</t>
  </si>
  <si>
    <t>Value(153)</t>
  </si>
  <si>
    <t>Value(154)</t>
  </si>
  <si>
    <t>Value(155)</t>
  </si>
  <si>
    <t>Value(156)</t>
  </si>
  <si>
    <t>Value(157)</t>
  </si>
  <si>
    <t>Value(158)</t>
  </si>
  <si>
    <t>Value(159)</t>
  </si>
  <si>
    <t>Value(160)</t>
  </si>
  <si>
    <t>Value(161)</t>
  </si>
  <si>
    <t>Value(162)</t>
  </si>
  <si>
    <t>Value(163)</t>
  </si>
  <si>
    <t>Value(164)</t>
  </si>
  <si>
    <t>Value(165)</t>
  </si>
  <si>
    <t>Value(166)</t>
  </si>
  <si>
    <t>Value(167)</t>
  </si>
  <si>
    <t>Value(168)</t>
  </si>
  <si>
    <t>Value(169)</t>
  </si>
  <si>
    <t>Value(170)</t>
  </si>
  <si>
    <t>Value(171)</t>
  </si>
  <si>
    <t>Value(172)</t>
  </si>
  <si>
    <t>Value(173)</t>
  </si>
  <si>
    <t>Value(174)</t>
  </si>
  <si>
    <t>Value(175)</t>
  </si>
  <si>
    <t>Value(176)</t>
  </si>
  <si>
    <t>Value(177)</t>
  </si>
  <si>
    <t>Value(178)</t>
  </si>
  <si>
    <t>Value(179)</t>
  </si>
  <si>
    <t>Value(180)</t>
  </si>
  <si>
    <t>Value(181)</t>
  </si>
  <si>
    <t>Value(182)</t>
  </si>
  <si>
    <t>Value(183)</t>
  </si>
  <si>
    <t>Value(184)</t>
  </si>
  <si>
    <t>Value(185)</t>
  </si>
  <si>
    <t>Value(186)</t>
  </si>
  <si>
    <t>Value(187)</t>
  </si>
  <si>
    <t>Value(188)</t>
  </si>
  <si>
    <t>Value(189)</t>
  </si>
  <si>
    <t>Value(190)</t>
  </si>
  <si>
    <t>Value(191)</t>
  </si>
  <si>
    <t>Value(192)</t>
  </si>
  <si>
    <t>Value(193)</t>
  </si>
  <si>
    <t>Value(194)</t>
  </si>
  <si>
    <t>Value(195)</t>
  </si>
  <si>
    <t>Value(196)</t>
  </si>
  <si>
    <t>Value(197)</t>
  </si>
  <si>
    <t>Value(198)</t>
  </si>
  <si>
    <t>Value(199)</t>
  </si>
  <si>
    <t>Value(200)</t>
  </si>
  <si>
    <t>Value(201)</t>
  </si>
  <si>
    <t>Value(202)</t>
  </si>
  <si>
    <t>Value(203)</t>
  </si>
  <si>
    <t>Value(204)</t>
  </si>
  <si>
    <t>Value(205)</t>
  </si>
  <si>
    <t>Value(206)</t>
  </si>
  <si>
    <t>Value(207)</t>
  </si>
  <si>
    <t>Value(208)</t>
  </si>
  <si>
    <t>Value(209)</t>
  </si>
  <si>
    <t>Value(210)</t>
  </si>
  <si>
    <t>Value(211)</t>
  </si>
  <si>
    <t>Value(212)</t>
  </si>
  <si>
    <t>Value(213)</t>
  </si>
  <si>
    <t>Value(214)</t>
  </si>
  <si>
    <t>Value(215)</t>
  </si>
  <si>
    <t>Value(216)</t>
  </si>
  <si>
    <t>Value(217)</t>
  </si>
  <si>
    <t>Value(218)</t>
  </si>
  <si>
    <t>Value(219)</t>
  </si>
  <si>
    <t>Value(220)</t>
  </si>
  <si>
    <t>Value(221)</t>
  </si>
  <si>
    <t>Value(222)</t>
  </si>
  <si>
    <t>Value(223)</t>
  </si>
  <si>
    <t>Value(224)</t>
  </si>
  <si>
    <t>Value(225)</t>
  </si>
  <si>
    <t>Value(226)</t>
  </si>
  <si>
    <t>Value(227)</t>
  </si>
  <si>
    <t>Value(228)</t>
  </si>
  <si>
    <t>Value(229)</t>
  </si>
  <si>
    <t>Value(230)</t>
  </si>
  <si>
    <t>Value(231)</t>
  </si>
  <si>
    <t>Value(232)</t>
  </si>
  <si>
    <t>Value(233)</t>
  </si>
  <si>
    <t>Value(234)</t>
  </si>
  <si>
    <t>Value(235)</t>
  </si>
  <si>
    <t>Value(236)</t>
  </si>
  <si>
    <t>Value(237)</t>
  </si>
  <si>
    <t>Value(238)</t>
  </si>
  <si>
    <t>Value(239)</t>
  </si>
  <si>
    <t>Value(240)</t>
  </si>
  <si>
    <t>Value(241)</t>
  </si>
  <si>
    <t>Value(242)</t>
  </si>
  <si>
    <t>Value(243)</t>
  </si>
  <si>
    <t>Value(244)</t>
  </si>
  <si>
    <t>Value(245)</t>
  </si>
  <si>
    <t>Value(246)</t>
  </si>
  <si>
    <t>Value(247)</t>
  </si>
  <si>
    <t>Value(248)</t>
  </si>
  <si>
    <t>Value(249)</t>
  </si>
  <si>
    <t>Value(250)</t>
  </si>
  <si>
    <t>Value(251)</t>
  </si>
  <si>
    <t>Value(252)</t>
  </si>
  <si>
    <t>Value(253)</t>
  </si>
  <si>
    <t>Value(254)</t>
  </si>
  <si>
    <t>Value(255)</t>
  </si>
  <si>
    <t>Value(256)</t>
  </si>
  <si>
    <t>Value(257)</t>
  </si>
  <si>
    <t>Value(258)</t>
  </si>
  <si>
    <t>Value(259)</t>
  </si>
  <si>
    <t>Value(260)</t>
  </si>
  <si>
    <t>Value(261)</t>
  </si>
  <si>
    <t>Value(262)</t>
  </si>
  <si>
    <t>Value(263)</t>
  </si>
  <si>
    <t>Value(264)</t>
  </si>
  <si>
    <t>Value(265)</t>
  </si>
  <si>
    <t>Value(266)</t>
  </si>
  <si>
    <t>Value(267)</t>
  </si>
  <si>
    <t>Value(268)</t>
  </si>
  <si>
    <t>Value(269)</t>
  </si>
  <si>
    <t>Value(270)</t>
  </si>
  <si>
    <t>Value(271)</t>
  </si>
  <si>
    <t>Value(272)</t>
  </si>
  <si>
    <t>Value(273)</t>
  </si>
  <si>
    <t>Value(274)</t>
  </si>
  <si>
    <t>Value(275)</t>
  </si>
  <si>
    <t>Value(276)</t>
  </si>
  <si>
    <t>Value(277)</t>
  </si>
  <si>
    <t>Value(278)</t>
  </si>
  <si>
    <t>Value(279)</t>
  </si>
  <si>
    <t>Value(280)</t>
  </si>
  <si>
    <t>Value(281)</t>
  </si>
  <si>
    <t>Value(282)</t>
  </si>
  <si>
    <t>Value(283)</t>
  </si>
  <si>
    <t>Value(284)</t>
  </si>
  <si>
    <t>Value(285)</t>
  </si>
  <si>
    <t>Value(286)</t>
  </si>
  <si>
    <t>Value(287)</t>
  </si>
  <si>
    <t>Value(288)</t>
  </si>
  <si>
    <t>Value(289)</t>
  </si>
  <si>
    <t>Value(290)</t>
  </si>
  <si>
    <t>Value(291)</t>
  </si>
  <si>
    <t>Value(292)</t>
  </si>
  <si>
    <t>Value(293)</t>
  </si>
  <si>
    <t>Value(294)</t>
  </si>
  <si>
    <t>Value(295)</t>
  </si>
  <si>
    <t>Value(296)</t>
  </si>
  <si>
    <t>Value(297)</t>
  </si>
  <si>
    <t>Value(298)</t>
  </si>
  <si>
    <t>Value(299)</t>
  </si>
  <si>
    <t>Value(300)</t>
  </si>
  <si>
    <t>Value(301)</t>
  </si>
  <si>
    <t>Value(302)</t>
  </si>
  <si>
    <t>Value(303)</t>
  </si>
  <si>
    <t>Value(304)</t>
  </si>
  <si>
    <t>Value(305)</t>
  </si>
  <si>
    <t>Value(306)</t>
  </si>
  <si>
    <t>Value(307)</t>
  </si>
  <si>
    <t>Value(308)</t>
  </si>
  <si>
    <t>Value(309)</t>
  </si>
  <si>
    <t>Value(310)</t>
  </si>
  <si>
    <t>Value(311)</t>
  </si>
  <si>
    <t>Value(312)</t>
  </si>
  <si>
    <t>Value(313)</t>
  </si>
  <si>
    <t>Value(314)</t>
  </si>
  <si>
    <t>Value(315)</t>
  </si>
  <si>
    <t>Value(316)</t>
  </si>
  <si>
    <t>Value(317)</t>
  </si>
  <si>
    <t>Value(318)</t>
  </si>
  <si>
    <t>Value(319)</t>
  </si>
  <si>
    <t>Value(320)</t>
  </si>
  <si>
    <t>Value(321)</t>
  </si>
  <si>
    <t>Value(322)</t>
  </si>
  <si>
    <t>Value(323)</t>
  </si>
  <si>
    <t>Value(324)</t>
  </si>
  <si>
    <t>Value(325)</t>
  </si>
  <si>
    <t>Value(326)</t>
  </si>
  <si>
    <t>Value(327)</t>
  </si>
  <si>
    <t>Value(328)</t>
  </si>
  <si>
    <t>Value(329)</t>
  </si>
  <si>
    <t>Value(330)</t>
  </si>
  <si>
    <t>Value(331)</t>
  </si>
  <si>
    <t>Value(332)</t>
  </si>
  <si>
    <t>Value(333)</t>
  </si>
  <si>
    <t>Value(334)</t>
  </si>
  <si>
    <t>Value(335)</t>
  </si>
  <si>
    <t>Value(336)</t>
  </si>
  <si>
    <t>Value(337)</t>
  </si>
  <si>
    <t>Value(338)</t>
  </si>
  <si>
    <t>Value(339)</t>
  </si>
  <si>
    <t>Value(340)</t>
  </si>
  <si>
    <t>Value(341)</t>
  </si>
  <si>
    <t>Value(342)</t>
  </si>
  <si>
    <t>Value(343)</t>
  </si>
  <si>
    <t>Value(344)</t>
  </si>
  <si>
    <t>Value(345)</t>
  </si>
  <si>
    <t>Value(346)</t>
  </si>
  <si>
    <t>Value(347)</t>
  </si>
  <si>
    <t>Value(348)</t>
  </si>
  <si>
    <t>Value(349)</t>
  </si>
  <si>
    <t>Value(350)</t>
  </si>
  <si>
    <t>Value(351)</t>
  </si>
  <si>
    <t>Value(352)</t>
  </si>
  <si>
    <t>Value(353)</t>
  </si>
  <si>
    <t>Value(354)</t>
  </si>
  <si>
    <t>Value(355)</t>
  </si>
  <si>
    <t>Value(356)</t>
  </si>
  <si>
    <t>Value(357)</t>
  </si>
  <si>
    <t>Value(358)</t>
  </si>
  <si>
    <t>Value(359)</t>
  </si>
  <si>
    <t>Value(360)</t>
  </si>
  <si>
    <t>Value(361)</t>
  </si>
  <si>
    <t>Value(362)</t>
  </si>
  <si>
    <t>Value(363)</t>
  </si>
  <si>
    <t>Value(364)</t>
  </si>
  <si>
    <t>Value(365)</t>
  </si>
  <si>
    <t>Value(366)</t>
  </si>
  <si>
    <t>Value(367)</t>
  </si>
  <si>
    <t>Value(368)</t>
  </si>
  <si>
    <t>Value(369)</t>
  </si>
  <si>
    <t>Value(370)</t>
  </si>
  <si>
    <t>Value(371)</t>
  </si>
  <si>
    <t>Value(372)</t>
  </si>
  <si>
    <t>Value(373)</t>
  </si>
  <si>
    <t>Value(374)</t>
  </si>
  <si>
    <t>Value(375)</t>
  </si>
  <si>
    <t>Value(376)</t>
  </si>
  <si>
    <t>Value(377)</t>
  </si>
  <si>
    <t>Value(378)</t>
  </si>
  <si>
    <t>Value(379)</t>
  </si>
  <si>
    <t>Value(380)</t>
  </si>
  <si>
    <t>Value(381)</t>
  </si>
  <si>
    <t>Value(382)</t>
  </si>
  <si>
    <t>Value(383)</t>
  </si>
  <si>
    <t>Value(384)</t>
  </si>
  <si>
    <t>Value(385)</t>
  </si>
  <si>
    <t>Value(386)</t>
  </si>
  <si>
    <t>Value(387)</t>
  </si>
  <si>
    <t>Value(388)</t>
  </si>
  <si>
    <t>Value(389)</t>
  </si>
  <si>
    <t>Value(390)</t>
  </si>
  <si>
    <t>Value(391)</t>
  </si>
  <si>
    <t>Value(392)</t>
  </si>
  <si>
    <t>Value(393)</t>
  </si>
  <si>
    <t>Value(394)</t>
  </si>
  <si>
    <t>Value(395)</t>
  </si>
  <si>
    <t>Value(396)</t>
  </si>
  <si>
    <t>Value(397)</t>
  </si>
  <si>
    <t>Value(398)</t>
  </si>
  <si>
    <t>Value(399)</t>
  </si>
  <si>
    <t>Value(400)</t>
  </si>
  <si>
    <t>Value(401)</t>
  </si>
  <si>
    <t>Value(402)</t>
  </si>
  <si>
    <t>Value(403)</t>
  </si>
  <si>
    <t>Value(404)</t>
  </si>
  <si>
    <t>Value(405)</t>
  </si>
  <si>
    <t>Value(406)</t>
  </si>
  <si>
    <t>Value(407)</t>
  </si>
  <si>
    <t>Value(408)</t>
  </si>
  <si>
    <t>Value(409)</t>
  </si>
  <si>
    <t>Value(410)</t>
  </si>
  <si>
    <t>Value(411)</t>
  </si>
  <si>
    <t>Value(412)</t>
  </si>
  <si>
    <t>Value(413)</t>
  </si>
  <si>
    <t>Value(414)</t>
  </si>
  <si>
    <t>Value(415)</t>
  </si>
  <si>
    <t>Value(416)</t>
  </si>
  <si>
    <t>Value(417)</t>
  </si>
  <si>
    <t>Value(418)</t>
  </si>
  <si>
    <t>Value(419)</t>
  </si>
  <si>
    <t>Value(420)</t>
  </si>
  <si>
    <t>Value(421)</t>
  </si>
  <si>
    <t>Value(422)</t>
  </si>
  <si>
    <t>Value(423)</t>
  </si>
  <si>
    <t>Value(424)</t>
  </si>
  <si>
    <t>Value(425)</t>
  </si>
  <si>
    <t>Value(426)</t>
  </si>
  <si>
    <t>Value(427)</t>
  </si>
  <si>
    <t>Value(428)</t>
  </si>
  <si>
    <t>Value(429)</t>
  </si>
  <si>
    <t>Value(430)</t>
  </si>
  <si>
    <t>Value(431)</t>
  </si>
  <si>
    <t>Value(432)</t>
  </si>
  <si>
    <t>Value(433)</t>
  </si>
  <si>
    <t>Value(434)</t>
  </si>
  <si>
    <t>Value(435)</t>
  </si>
  <si>
    <t>Value(436)</t>
  </si>
  <si>
    <t>Value(437)</t>
  </si>
  <si>
    <t>Value(438)</t>
  </si>
  <si>
    <t>Value(439)</t>
  </si>
  <si>
    <t>Value(440)</t>
  </si>
  <si>
    <t>Value(441)</t>
  </si>
  <si>
    <t>Value(442)</t>
  </si>
  <si>
    <t>Value(443)</t>
  </si>
  <si>
    <t>Value(444)</t>
  </si>
  <si>
    <t>Value(445)</t>
  </si>
  <si>
    <t>Value(446)</t>
  </si>
  <si>
    <t>Value(447)</t>
  </si>
  <si>
    <t>Value(448)</t>
  </si>
  <si>
    <t>Value(449)</t>
  </si>
  <si>
    <t>Value(450)</t>
  </si>
  <si>
    <t>Value(451)</t>
  </si>
  <si>
    <t>Value(452)</t>
  </si>
  <si>
    <t>Value(453)</t>
  </si>
  <si>
    <t>Value(454)</t>
  </si>
  <si>
    <t>Value(455)</t>
  </si>
  <si>
    <t>Value(456)</t>
  </si>
  <si>
    <t>Value(457)</t>
  </si>
  <si>
    <t>Value(458)</t>
  </si>
  <si>
    <t>Value(459)</t>
  </si>
  <si>
    <t>Value(460)</t>
  </si>
  <si>
    <t>Value(461)</t>
  </si>
  <si>
    <t>Value(462)</t>
  </si>
  <si>
    <t>Value(463)</t>
  </si>
  <si>
    <t>Value(464)</t>
  </si>
  <si>
    <t>Value(465)</t>
  </si>
  <si>
    <t>Value(466)</t>
  </si>
  <si>
    <t>Value(467)</t>
  </si>
  <si>
    <t>Value(468)</t>
  </si>
  <si>
    <t>Value(469)</t>
  </si>
  <si>
    <t>Value(470)</t>
  </si>
  <si>
    <t>Value(471)</t>
  </si>
  <si>
    <t>Value(472)</t>
  </si>
  <si>
    <t>Value(473)</t>
  </si>
  <si>
    <t>Value(474)</t>
  </si>
  <si>
    <t>Value(475)</t>
  </si>
  <si>
    <t>Value(476)</t>
  </si>
  <si>
    <t>Value(477)</t>
  </si>
  <si>
    <t>Value(478)</t>
  </si>
  <si>
    <t>Value(479)</t>
  </si>
  <si>
    <t>Value(480)</t>
  </si>
  <si>
    <t>Value(481)</t>
  </si>
  <si>
    <t>Value(482)</t>
  </si>
  <si>
    <t>Value(483)</t>
  </si>
  <si>
    <t>Value(484)</t>
  </si>
  <si>
    <t>Value(485)</t>
  </si>
  <si>
    <t>Value(486)</t>
  </si>
  <si>
    <t>Value(487)</t>
  </si>
  <si>
    <t>Value(488)</t>
  </si>
  <si>
    <t>Value(489)</t>
  </si>
  <si>
    <t>Value(490)</t>
  </si>
  <si>
    <t>Value(491)</t>
  </si>
  <si>
    <t>Value(492)</t>
  </si>
  <si>
    <t>Value(493)</t>
  </si>
  <si>
    <t>Value(494)</t>
  </si>
  <si>
    <t>Value(495)</t>
  </si>
  <si>
    <t>Value(496)</t>
  </si>
  <si>
    <t>Value(497)</t>
  </si>
  <si>
    <t>Value(498)</t>
  </si>
  <si>
    <t>Value(499)</t>
  </si>
  <si>
    <t>Value(500)</t>
  </si>
  <si>
    <t>Value(501)</t>
  </si>
  <si>
    <t>Value(502)</t>
  </si>
  <si>
    <t>Value(503)</t>
  </si>
  <si>
    <t>Value(504)</t>
  </si>
  <si>
    <t>Value(505)</t>
  </si>
  <si>
    <t>Value(506)</t>
  </si>
  <si>
    <t>Value(507)</t>
  </si>
  <si>
    <t>Value(508)</t>
  </si>
  <si>
    <t>Value(509)</t>
  </si>
  <si>
    <t>Value(510)</t>
  </si>
  <si>
    <t>Value(511)</t>
  </si>
  <si>
    <t>Value(512)</t>
  </si>
  <si>
    <t>Value(513)</t>
  </si>
  <si>
    <t>Value(514)</t>
  </si>
  <si>
    <t>Value(515)</t>
  </si>
  <si>
    <t>Value(516)</t>
  </si>
  <si>
    <t>Value(517)</t>
  </si>
  <si>
    <t>Value(518)</t>
  </si>
  <si>
    <t>Value(519)</t>
  </si>
  <si>
    <t>Value(520)</t>
  </si>
  <si>
    <t>Value(521)</t>
  </si>
  <si>
    <t>Value(522)</t>
  </si>
  <si>
    <t>Value(523)</t>
  </si>
  <si>
    <t>Value(524)</t>
  </si>
  <si>
    <t>Value(525)</t>
  </si>
  <si>
    <t>Value(526)</t>
  </si>
  <si>
    <t>Value(527)</t>
  </si>
  <si>
    <t>Value(528)</t>
  </si>
  <si>
    <t>Value(529)</t>
  </si>
  <si>
    <t>Value(530)</t>
  </si>
  <si>
    <t>Value(531)</t>
  </si>
  <si>
    <t>Value(532)</t>
  </si>
  <si>
    <t>Value(533)</t>
  </si>
  <si>
    <t>Value(534)</t>
  </si>
  <si>
    <t>Value(535)</t>
  </si>
  <si>
    <t>Value(536)</t>
  </si>
  <si>
    <t>Value(537)</t>
  </si>
  <si>
    <t>Value(538)</t>
  </si>
  <si>
    <t>Value(539)</t>
  </si>
  <si>
    <t>Value(540)</t>
  </si>
  <si>
    <t>Value(541)</t>
  </si>
  <si>
    <t>Value(542)</t>
  </si>
  <si>
    <t>Value(543)</t>
  </si>
  <si>
    <t>Value(544)</t>
  </si>
  <si>
    <t>Value(545)</t>
  </si>
  <si>
    <t>Value(546)</t>
  </si>
  <si>
    <t>Value(547)</t>
  </si>
  <si>
    <t>Value(548)</t>
  </si>
  <si>
    <t>Value(549)</t>
  </si>
  <si>
    <t>Value(550)</t>
  </si>
  <si>
    <t>Value(551)</t>
  </si>
  <si>
    <t>Value(552)</t>
  </si>
  <si>
    <t>Value(553)</t>
  </si>
  <si>
    <t>Value(554)</t>
  </si>
  <si>
    <t>Value(555)</t>
  </si>
  <si>
    <t>Value(556)</t>
  </si>
  <si>
    <t>Value(557)</t>
  </si>
  <si>
    <t>Value(558)</t>
  </si>
  <si>
    <t>Value(559)</t>
  </si>
  <si>
    <t>Value(560)</t>
  </si>
  <si>
    <t>Value(561)</t>
  </si>
  <si>
    <t>Value(562)</t>
  </si>
  <si>
    <t>Value(563)</t>
  </si>
  <si>
    <t>Value(564)</t>
  </si>
  <si>
    <t>Value(565)</t>
  </si>
  <si>
    <t>Value(566)</t>
  </si>
  <si>
    <t>Value(567)</t>
  </si>
  <si>
    <t>Value(568)</t>
  </si>
  <si>
    <t>Value(569)</t>
  </si>
  <si>
    <t>Value(570)</t>
  </si>
  <si>
    <t>Value(571)</t>
  </si>
  <si>
    <t>Value(572)</t>
  </si>
  <si>
    <t>Value(573)</t>
  </si>
  <si>
    <t>Value(574)</t>
  </si>
  <si>
    <t>Value(575)</t>
  </si>
  <si>
    <t>Value(576)</t>
  </si>
  <si>
    <t>Value(577)</t>
  </si>
  <si>
    <t>Value(578)</t>
  </si>
  <si>
    <t>Value(579)</t>
  </si>
  <si>
    <t>Value(580)</t>
  </si>
  <si>
    <t>Value(581)</t>
  </si>
  <si>
    <t>Value(582)</t>
  </si>
  <si>
    <t>Value(583)</t>
  </si>
  <si>
    <t>Value(584)</t>
  </si>
  <si>
    <t>Value(585)</t>
  </si>
  <si>
    <t>Value(586)</t>
  </si>
  <si>
    <t>Value(587)</t>
  </si>
  <si>
    <t>Value(588)</t>
  </si>
  <si>
    <t>Value(589)</t>
  </si>
  <si>
    <t>Value(590)</t>
  </si>
  <si>
    <t>Value(591)</t>
  </si>
  <si>
    <t>Value(592)</t>
  </si>
  <si>
    <t>Value(593)</t>
  </si>
  <si>
    <t>Value(594)</t>
  </si>
  <si>
    <t>Value(595)</t>
  </si>
  <si>
    <t>Value(596)</t>
  </si>
  <si>
    <t>Value(597)</t>
  </si>
  <si>
    <t>Value(598)</t>
  </si>
  <si>
    <t>Value(599)</t>
  </si>
  <si>
    <t>Value(600)</t>
  </si>
  <si>
    <t>Value(601)</t>
  </si>
  <si>
    <t>Value(602)</t>
  </si>
  <si>
    <t>Value(603)</t>
  </si>
  <si>
    <t>Value(604)</t>
  </si>
  <si>
    <t>Value(605)</t>
  </si>
  <si>
    <t>Value(606)</t>
  </si>
  <si>
    <t>Value(607)</t>
  </si>
  <si>
    <t>Value(608)</t>
  </si>
  <si>
    <t>Value(609)</t>
  </si>
  <si>
    <t>Value(610)</t>
  </si>
  <si>
    <t>Value(611)</t>
  </si>
  <si>
    <t>Value(612)</t>
  </si>
  <si>
    <t>Value(613)</t>
  </si>
  <si>
    <t>Value(614)</t>
  </si>
  <si>
    <t>Value(615)</t>
  </si>
  <si>
    <t>Value(616)</t>
  </si>
  <si>
    <t>Value(617)</t>
  </si>
  <si>
    <t>Value(618)</t>
  </si>
  <si>
    <t>Value(619)</t>
  </si>
  <si>
    <t>Value(620)</t>
  </si>
  <si>
    <t>Value(621)</t>
  </si>
  <si>
    <t>Value(622)</t>
  </si>
  <si>
    <t>Value(623)</t>
  </si>
  <si>
    <t>Value(624)</t>
  </si>
  <si>
    <t>Value(625)</t>
  </si>
  <si>
    <t>Value(626)</t>
  </si>
  <si>
    <t>Value(627)</t>
  </si>
  <si>
    <t>Value(628)</t>
  </si>
  <si>
    <t>Value(629)</t>
  </si>
  <si>
    <t>Value(630)</t>
  </si>
  <si>
    <t>Value(631)</t>
  </si>
  <si>
    <t>Value(632)</t>
  </si>
  <si>
    <t>Value(633)</t>
  </si>
  <si>
    <t>Value(634)</t>
  </si>
  <si>
    <t>Value(635)</t>
  </si>
  <si>
    <t>Value(636)</t>
  </si>
  <si>
    <t>Value(637)</t>
  </si>
  <si>
    <t>Value(638)</t>
  </si>
  <si>
    <t>Value(639)</t>
  </si>
  <si>
    <t>Value(640)</t>
  </si>
  <si>
    <t>Value(641)</t>
  </si>
  <si>
    <t>Value(642)</t>
  </si>
  <si>
    <t>Value(643)</t>
  </si>
  <si>
    <t>Value(644)</t>
  </si>
  <si>
    <t>Value(645)</t>
  </si>
  <si>
    <t>Value(646)</t>
  </si>
  <si>
    <t>Value(647)</t>
  </si>
  <si>
    <t>Value(648)</t>
  </si>
  <si>
    <t>Value(649)</t>
  </si>
  <si>
    <t>Value(650)</t>
  </si>
  <si>
    <t>Value(651)</t>
  </si>
  <si>
    <t>Value(652)</t>
  </si>
  <si>
    <t>Value(653)</t>
  </si>
  <si>
    <t>Value(654)</t>
  </si>
  <si>
    <t>Value(655)</t>
  </si>
  <si>
    <t>Value(656)</t>
  </si>
  <si>
    <t>Value(657)</t>
  </si>
  <si>
    <t>Value(658)</t>
  </si>
  <si>
    <t>Value(659)</t>
  </si>
  <si>
    <t>Value(660)</t>
  </si>
  <si>
    <t>Value(661)</t>
  </si>
  <si>
    <t>Value(662)</t>
  </si>
  <si>
    <t>Value(663)</t>
  </si>
  <si>
    <t>Value(664)</t>
  </si>
  <si>
    <t>Value(665)</t>
  </si>
  <si>
    <t>Value(666)</t>
  </si>
  <si>
    <t>Value(667)</t>
  </si>
  <si>
    <t>Value(668)</t>
  </si>
  <si>
    <t>Value(669)</t>
  </si>
  <si>
    <t>Value(670)</t>
  </si>
  <si>
    <t>Value(671)</t>
  </si>
  <si>
    <t>Value(672)</t>
  </si>
  <si>
    <t>Value(673)</t>
  </si>
  <si>
    <t>Value(674)</t>
  </si>
  <si>
    <t>Value(675)</t>
  </si>
  <si>
    <t>Value(676)</t>
  </si>
  <si>
    <t>Value(677)</t>
  </si>
  <si>
    <t>Value(678)</t>
  </si>
  <si>
    <t>Value(679)</t>
  </si>
  <si>
    <t>Value(680)</t>
  </si>
  <si>
    <t>Value(681)</t>
  </si>
  <si>
    <t>Value(682)</t>
  </si>
  <si>
    <t>Value(683)</t>
  </si>
  <si>
    <t>Value(684)</t>
  </si>
  <si>
    <t>Value(685)</t>
  </si>
  <si>
    <t>Value(686)</t>
  </si>
  <si>
    <t>Value(687)</t>
  </si>
  <si>
    <t>Value(688)</t>
  </si>
  <si>
    <t>Value(689)</t>
  </si>
  <si>
    <t>Value(690)</t>
  </si>
  <si>
    <t>Value(691)</t>
  </si>
  <si>
    <t>Value(692)</t>
  </si>
  <si>
    <t>Value(693)</t>
  </si>
  <si>
    <t>Value(694)</t>
  </si>
  <si>
    <t>Value(695)</t>
  </si>
  <si>
    <t>Value(696)</t>
  </si>
  <si>
    <t>Value(697)</t>
  </si>
  <si>
    <t>Value(698)</t>
  </si>
  <si>
    <t>Value(699)</t>
  </si>
  <si>
    <t>Value(700)</t>
  </si>
  <si>
    <t>Value(701)</t>
  </si>
  <si>
    <t>Value(702)</t>
  </si>
  <si>
    <t>Value(703)</t>
  </si>
  <si>
    <t>Value(704)</t>
  </si>
  <si>
    <t>Value(705)</t>
  </si>
  <si>
    <t>Value(706)</t>
  </si>
  <si>
    <t>Value(707)</t>
  </si>
  <si>
    <t>Value(708)</t>
  </si>
  <si>
    <t>Value(709)</t>
  </si>
  <si>
    <t>Value(710)</t>
  </si>
  <si>
    <t>Value(711)</t>
  </si>
  <si>
    <t>Value(712)</t>
  </si>
  <si>
    <t>Value(713)</t>
  </si>
  <si>
    <t>Value(714)</t>
  </si>
  <si>
    <t>Value(715)</t>
  </si>
  <si>
    <t>Value(716)</t>
  </si>
  <si>
    <t>Value(717)</t>
  </si>
  <si>
    <t>Value(718)</t>
  </si>
  <si>
    <t>Value(719)</t>
  </si>
  <si>
    <t>Value(720)</t>
  </si>
  <si>
    <t>Value(721)</t>
  </si>
  <si>
    <t>Value(722)</t>
  </si>
  <si>
    <t>Value(723)</t>
  </si>
  <si>
    <t>Value(724)</t>
  </si>
  <si>
    <t>Value(725)</t>
  </si>
  <si>
    <t>Value(726)</t>
  </si>
  <si>
    <t>Value(727)</t>
  </si>
  <si>
    <t>Value(728)</t>
  </si>
  <si>
    <t>Value(729)</t>
  </si>
  <si>
    <t>Value(730)</t>
  </si>
  <si>
    <t>Value(731)</t>
  </si>
  <si>
    <t>Value(732)</t>
  </si>
  <si>
    <t>Value(733)</t>
  </si>
  <si>
    <t>Value(734)</t>
  </si>
  <si>
    <t>Value(735)</t>
  </si>
  <si>
    <t>Value(736)</t>
  </si>
  <si>
    <t>Value(737)</t>
  </si>
  <si>
    <t>Value(738)</t>
  </si>
  <si>
    <t>Value(739)</t>
  </si>
  <si>
    <t>Value(740)</t>
  </si>
  <si>
    <t>Value(741)</t>
  </si>
  <si>
    <t>Value(742)</t>
  </si>
  <si>
    <t>Value(743)</t>
  </si>
  <si>
    <t>Value(744)</t>
  </si>
  <si>
    <t>Value(745)</t>
  </si>
  <si>
    <t>Value(746)</t>
  </si>
  <si>
    <t>Value(747)</t>
  </si>
  <si>
    <t>Value(748)</t>
  </si>
  <si>
    <t>Value(749)</t>
  </si>
  <si>
    <t>Value(750)</t>
  </si>
  <si>
    <t>Value(751)</t>
  </si>
  <si>
    <t>Value(752)</t>
  </si>
  <si>
    <t>Value(753)</t>
  </si>
  <si>
    <t>Value(754)</t>
  </si>
  <si>
    <t>Value(755)</t>
  </si>
  <si>
    <t>Value(756)</t>
  </si>
  <si>
    <t>Value(757)</t>
  </si>
  <si>
    <t>Value(758)</t>
  </si>
  <si>
    <t>Value(759)</t>
  </si>
  <si>
    <t>Value(760)</t>
  </si>
  <si>
    <t>Value(761)</t>
  </si>
  <si>
    <t>Value(762)</t>
  </si>
  <si>
    <t>Value(763)</t>
  </si>
  <si>
    <t>Value(764)</t>
  </si>
  <si>
    <t>Value(765)</t>
  </si>
  <si>
    <t>Value(766)</t>
  </si>
  <si>
    <t>Value(767)</t>
  </si>
  <si>
    <t>Value(768)</t>
  </si>
  <si>
    <t>Value(769)</t>
  </si>
  <si>
    <t>Value(770)</t>
  </si>
  <si>
    <t>Value(771)</t>
  </si>
  <si>
    <t>Value(772)</t>
  </si>
  <si>
    <t>Value(773)</t>
  </si>
  <si>
    <t>Value(774)</t>
  </si>
  <si>
    <t>Value(775)</t>
  </si>
  <si>
    <t>Value(776)</t>
  </si>
  <si>
    <t>Value(777)</t>
  </si>
  <si>
    <t>Value(778)</t>
  </si>
  <si>
    <t>Value(779)</t>
  </si>
  <si>
    <t>Value(780)</t>
  </si>
  <si>
    <t>Value(781)</t>
  </si>
  <si>
    <t>Value(782)</t>
  </si>
  <si>
    <t>Value(783)</t>
  </si>
  <si>
    <t>Value(784)</t>
  </si>
  <si>
    <t>Value(785)</t>
  </si>
  <si>
    <t>Value(786)</t>
  </si>
  <si>
    <t>Value(787)</t>
  </si>
  <si>
    <t>Value(788)</t>
  </si>
  <si>
    <t>Value(789)</t>
  </si>
  <si>
    <t>Value(790)</t>
  </si>
  <si>
    <t>Value(791)</t>
  </si>
  <si>
    <t>Value(792)</t>
  </si>
  <si>
    <t>Value(793)</t>
  </si>
  <si>
    <t>Value(794)</t>
  </si>
  <si>
    <t>Value(795)</t>
  </si>
  <si>
    <t>Value(796)</t>
  </si>
  <si>
    <t>Value(797)</t>
  </si>
  <si>
    <t>Value(798)</t>
  </si>
  <si>
    <t>Value(799)</t>
  </si>
  <si>
    <t>Value(800)</t>
  </si>
  <si>
    <t>Value(801)</t>
  </si>
  <si>
    <t>Value(802)</t>
  </si>
  <si>
    <t>Value(803)</t>
  </si>
  <si>
    <t>Value(804)</t>
  </si>
  <si>
    <t>Value(805)</t>
  </si>
  <si>
    <t>Value(806)</t>
  </si>
  <si>
    <t>Value(807)</t>
  </si>
  <si>
    <t>Value(808)</t>
  </si>
  <si>
    <t>Value(809)</t>
  </si>
  <si>
    <t>Value(810)</t>
  </si>
  <si>
    <t>Value(811)</t>
  </si>
  <si>
    <t>Value(812)</t>
  </si>
  <si>
    <t>Value(813)</t>
  </si>
  <si>
    <t>Value(814)</t>
  </si>
  <si>
    <t>Value(815)</t>
  </si>
  <si>
    <t>Value(816)</t>
  </si>
  <si>
    <t>Value(817)</t>
  </si>
  <si>
    <t>Value(818)</t>
  </si>
  <si>
    <t>Value(819)</t>
  </si>
  <si>
    <t>Value(820)</t>
  </si>
  <si>
    <t>Value(821)</t>
  </si>
  <si>
    <t>Value(822)</t>
  </si>
  <si>
    <t>Value(823)</t>
  </si>
  <si>
    <t>Value(824)</t>
  </si>
  <si>
    <t>Value(825)</t>
  </si>
  <si>
    <t>Value(826)</t>
  </si>
  <si>
    <t>Value(827)</t>
  </si>
  <si>
    <t>Value(828)</t>
  </si>
  <si>
    <t>Value(829)</t>
  </si>
  <si>
    <t>Value(830)</t>
  </si>
  <si>
    <t>Value(831)</t>
  </si>
  <si>
    <t>Value(832)</t>
  </si>
  <si>
    <t>Value(833)</t>
  </si>
  <si>
    <t>Value(834)</t>
  </si>
  <si>
    <t>Value(835)</t>
  </si>
  <si>
    <t>Value(836)</t>
  </si>
  <si>
    <t>Value(837)</t>
  </si>
  <si>
    <t>Value(838)</t>
  </si>
  <si>
    <t>Value(839)</t>
  </si>
  <si>
    <t>Value(840)</t>
  </si>
  <si>
    <t>Value(841)</t>
  </si>
  <si>
    <t>Value(842)</t>
  </si>
  <si>
    <t>Value(843)</t>
  </si>
  <si>
    <t>Value(844)</t>
  </si>
  <si>
    <t>Value(845)</t>
  </si>
  <si>
    <t>Value(846)</t>
  </si>
  <si>
    <t>Value(847)</t>
  </si>
  <si>
    <t>Value(848)</t>
  </si>
  <si>
    <t>Value(849)</t>
  </si>
  <si>
    <t>Value(850)</t>
  </si>
  <si>
    <t>Value(851)</t>
  </si>
  <si>
    <t>Value(852)</t>
  </si>
  <si>
    <t>Value(853)</t>
  </si>
  <si>
    <t>Value(854)</t>
  </si>
  <si>
    <t>Value(855)</t>
  </si>
  <si>
    <t>Value(856)</t>
  </si>
  <si>
    <t>Value(857)</t>
  </si>
  <si>
    <t>Value(858)</t>
  </si>
  <si>
    <t>Value(859)</t>
  </si>
  <si>
    <t>Value(860)</t>
  </si>
  <si>
    <t>Value(861)</t>
  </si>
  <si>
    <t>Value(862)</t>
  </si>
  <si>
    <t>Value(863)</t>
  </si>
  <si>
    <t>Value(864)</t>
  </si>
  <si>
    <t>Value(865)</t>
  </si>
  <si>
    <t>Value(866)</t>
  </si>
  <si>
    <t>Value(867)</t>
  </si>
  <si>
    <t>Value(868)</t>
  </si>
  <si>
    <t>Value(869)</t>
  </si>
  <si>
    <t>Value(870)</t>
  </si>
  <si>
    <t>Value(871)</t>
  </si>
  <si>
    <t>Value(872)</t>
  </si>
  <si>
    <t>Value(873)</t>
  </si>
  <si>
    <t>Value(874)</t>
  </si>
  <si>
    <t>Value(875)</t>
  </si>
  <si>
    <t>Value(876)</t>
  </si>
  <si>
    <t>Value(877)</t>
  </si>
  <si>
    <t>Value(878)</t>
  </si>
  <si>
    <t>Value(879)</t>
  </si>
  <si>
    <t>Value(880)</t>
  </si>
  <si>
    <t>Value(881)</t>
  </si>
  <si>
    <t>Value(882)</t>
  </si>
  <si>
    <t>Value(883)</t>
  </si>
  <si>
    <t>Value(884)</t>
  </si>
  <si>
    <t>Value(885)</t>
  </si>
  <si>
    <t>Value(886)</t>
  </si>
  <si>
    <t>Value(887)</t>
  </si>
  <si>
    <t>Value(888)</t>
  </si>
  <si>
    <t>Value(889)</t>
  </si>
  <si>
    <t>Value(890)</t>
  </si>
  <si>
    <t>Value(891)</t>
  </si>
  <si>
    <t>Value(892)</t>
  </si>
  <si>
    <t>Value(893)</t>
  </si>
  <si>
    <t>Value(894)</t>
  </si>
  <si>
    <t>Value(895)</t>
  </si>
  <si>
    <t>Value(896)</t>
  </si>
  <si>
    <t>Value(897)</t>
  </si>
  <si>
    <t>Value(898)</t>
  </si>
  <si>
    <t>Value(899)</t>
  </si>
  <si>
    <t>Value(900)</t>
  </si>
  <si>
    <t>Best Time Elapsed</t>
  </si>
  <si>
    <t>Best Penalty Count</t>
  </si>
  <si>
    <t>Best Total Time</t>
  </si>
  <si>
    <t>Total Time in Spreadsheet</t>
  </si>
  <si>
    <t>Case Information</t>
  </si>
  <si>
    <t>MECC Jobs</t>
  </si>
  <si>
    <t>This case originally appeared as a part of the MECC Regionals in April 2025. The objective of this challenge is to test your speed, precision, and navigation efficiency in Excel under time pressure. You must complete a predefined sequence of tasks as quickly as possible while minimizing unnecessary cell selections, correctly following path constraints, and applying formulas (not hard-coded values) where required.</t>
  </si>
  <si>
    <t>MECC sponsors such as Siemens, New York Life, Alvarez &amp; Marsal, and BDO have all hired MECC participants. Will you be next?</t>
  </si>
  <si>
    <t>About ASUS</t>
  </si>
  <si>
    <t>Earn MECC Badges</t>
  </si>
  <si>
    <t>ASUS is a global tech leader known for pushing boundaries with innovative devices, powerful performance, and world-class engineering. The Republic of Gamers (ROG) sub-brand makes the best hardware for PC gaming, eSports, and overclocking, delivering top performance and premium experience.</t>
  </si>
  <si>
    <t>Completing MECC challenges can earn you a certificate to add to your résumé, showcasing your Excel knowledge. Learn more about the certificates available to earn this season.</t>
  </si>
  <si>
    <t>Speed Challenge - Junior Varsity Edition</t>
  </si>
  <si>
    <t>Microsoft Excel Collegiate Challenge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</si>
</sst>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m/d/yy\ h:mm\ AM/PM;@"/>
  </numFmts>
  <fonts count="44">
    <font>
      <sz val="11"/>
      <color theme="1"/>
      <name val="Calibri"/>
      <family val="2"/>
      <scheme val="minor"/>
    </font>
    <font>
      <sz val="12"/>
      <color theme="1"/>
      <name val="Calibri"/>
      <family val="2"/>
      <scheme val="minor"/>
    </font>
    <font>
      <b/>
      <sz val="11"/>
      <color theme="1"/>
      <name val="Calibri"/>
      <family val="2"/>
      <scheme val="minor"/>
    </font>
    <font>
      <u/>
      <sz val="11"/>
      <color theme="10"/>
      <name val="Calibri"/>
      <family val="2"/>
      <scheme val="minor"/>
    </font>
    <font>
      <sz val="3"/>
      <color rgb="FF242729"/>
      <name val="Consolas"/>
      <family val="3"/>
    </font>
    <font>
      <sz val="10"/>
      <color theme="1"/>
      <name val="Var(--ff-mono)"/>
    </font>
    <font>
      <b/>
      <sz val="14"/>
      <color theme="1"/>
      <name val="Calibri"/>
      <family val="2"/>
      <scheme val="minor"/>
    </font>
    <font>
      <b/>
      <sz val="12"/>
      <color rgb="FFFF0000"/>
      <name val="Calibri"/>
      <family val="2"/>
      <scheme val="minor"/>
    </font>
    <font>
      <b/>
      <u/>
      <sz val="11"/>
      <color rgb="FFFF0000"/>
      <name val="Calibri"/>
      <family val="2"/>
      <scheme val="minor"/>
    </font>
    <font>
      <sz val="11"/>
      <color rgb="FF00007F"/>
      <name val="Courier New"/>
      <family val="3"/>
    </font>
    <font>
      <sz val="11"/>
      <color rgb="FF007F00"/>
      <name val="Courier New"/>
      <family val="3"/>
    </font>
    <font>
      <sz val="11"/>
      <color rgb="FF403F41"/>
      <name val="Courier New"/>
      <family val="3"/>
    </font>
    <font>
      <sz val="11"/>
      <color theme="1"/>
      <name val="Calibri"/>
      <family val="2"/>
      <scheme val="minor"/>
    </font>
    <font>
      <sz val="11"/>
      <color rgb="FFE7E6E6"/>
      <name val="Calibri"/>
      <family val="2"/>
      <scheme val="minor"/>
    </font>
    <font>
      <sz val="11"/>
      <color theme="1"/>
      <name val="Roboto"/>
    </font>
    <font>
      <sz val="20"/>
      <color theme="1"/>
      <name val="Calibri"/>
      <family val="2"/>
      <scheme val="minor"/>
    </font>
    <font>
      <sz val="12"/>
      <color theme="1"/>
      <name val="Aptos"/>
      <family val="2"/>
    </font>
    <font>
      <b/>
      <sz val="26"/>
      <color theme="0"/>
      <name val="Futura"/>
      <family val="2"/>
    </font>
    <font>
      <sz val="12"/>
      <color theme="1"/>
      <name val="Roboto"/>
    </font>
    <font>
      <b/>
      <sz val="24"/>
      <color theme="0"/>
      <name val="Futura"/>
      <family val="2"/>
    </font>
    <font>
      <b/>
      <sz val="18"/>
      <color theme="0"/>
      <name val="Futura"/>
      <family val="2"/>
    </font>
    <font>
      <sz val="18"/>
      <color theme="1"/>
      <name val="Roboto"/>
    </font>
    <font>
      <b/>
      <sz val="12"/>
      <color theme="1"/>
      <name val="Robotech"/>
    </font>
    <font>
      <u/>
      <sz val="12"/>
      <color theme="10"/>
      <name val="Calibri"/>
      <family val="2"/>
      <scheme val="minor"/>
    </font>
    <font>
      <b/>
      <sz val="12"/>
      <name val="Aptos"/>
      <family val="2"/>
    </font>
    <font>
      <b/>
      <sz val="12"/>
      <color theme="1"/>
      <name val="Roboto"/>
    </font>
    <font>
      <sz val="12"/>
      <color theme="1"/>
      <name val="Calibri"/>
      <family val="2"/>
    </font>
    <font>
      <sz val="8"/>
      <color theme="1"/>
      <name val="Calibri"/>
      <family val="2"/>
      <scheme val="minor"/>
    </font>
    <font>
      <sz val="8"/>
      <name val="Calibri"/>
      <family val="2"/>
      <scheme val="minor"/>
    </font>
    <font>
      <b/>
      <sz val="14"/>
      <color theme="1"/>
      <name val="Roboto"/>
    </font>
    <font>
      <sz val="11"/>
      <color rgb="FFFF0000"/>
      <name val="Calibri"/>
      <family val="2"/>
      <scheme val="minor"/>
    </font>
    <font>
      <b/>
      <sz val="12"/>
      <color theme="0"/>
      <name val="Roboto"/>
    </font>
    <font>
      <b/>
      <sz val="12"/>
      <color theme="1"/>
      <name val="Calibri"/>
      <family val="2"/>
      <scheme val="minor"/>
    </font>
    <font>
      <b/>
      <sz val="11"/>
      <color theme="1"/>
      <name val="Roboto"/>
    </font>
    <font>
      <sz val="11"/>
      <name val="Roboto"/>
    </font>
    <font>
      <b/>
      <sz val="18"/>
      <color theme="0"/>
      <name val="Roboto"/>
    </font>
    <font>
      <b/>
      <sz val="24"/>
      <color theme="0"/>
      <name val="Futura"/>
      <family val="2"/>
    </font>
    <font>
      <b/>
      <sz val="20"/>
      <color theme="0"/>
      <name val="Futura"/>
      <family val="2"/>
    </font>
    <font>
      <b/>
      <sz val="18"/>
      <color theme="0"/>
      <name val="Futura"/>
      <family val="2"/>
    </font>
    <font>
      <sz val="16"/>
      <name val="Roboto"/>
    </font>
    <font>
      <b/>
      <sz val="16"/>
      <color theme="0"/>
      <name val="Roboto"/>
    </font>
    <font>
      <i/>
      <sz val="11"/>
      <name val="Roboto"/>
    </font>
    <font>
      <b/>
      <sz val="11"/>
      <name val="Roboto"/>
    </font>
    <font>
      <sz val="12"/>
      <color rgb="FFFFFFFF"/>
      <name val="Arial"/>
    </font>
  </fonts>
  <fills count="10141">
    <fill>
      <patternFill patternType="none"/>
    </fill>
    <fill>
      <patternFill patternType="gray125"/>
    </fill>
    <fill>
      <patternFill patternType="solid">
        <fgColor rgb="FF92D050"/>
        <bgColor indexed="64"/>
      </patternFill>
    </fill>
    <fill>
      <patternFill patternType="solid">
        <fgColor theme="2"/>
        <bgColor indexed="64"/>
      </patternFill>
    </fill>
    <fill>
      <patternFill patternType="solid">
        <fgColor rgb="FFF0F0F0"/>
        <bgColor indexed="64"/>
      </patternFill>
    </fill>
    <fill>
      <patternFill patternType="solid">
        <fgColor theme="8" tint="0.59999389629810485"/>
        <bgColor indexed="64"/>
      </patternFill>
    </fill>
    <fill>
      <patternFill patternType="solid">
        <fgColor rgb="FFE7E6E6"/>
        <bgColor indexed="64"/>
      </patternFill>
    </fill>
    <fill>
      <patternFill patternType="solid">
        <fgColor rgb="FF001838"/>
        <bgColor indexed="64"/>
      </patternFill>
    </fill>
    <fill>
      <patternFill patternType="solid">
        <fgColor rgb="FFED203F"/>
        <bgColor indexed="64"/>
      </patternFill>
    </fill>
    <fill>
      <patternFill patternType="solid">
        <fgColor rgb="FFBC1F36"/>
        <bgColor indexed="64"/>
      </patternFill>
    </fill>
    <fill>
      <patternFill patternType="solid">
        <fgColor rgb="FF00B050"/>
        <bgColor indexed="64"/>
      </patternFill>
    </fill>
    <fill>
      <patternFill patternType="solid">
        <fgColor rgb="FF3DB0FB"/>
        <bgColor indexed="64"/>
      </patternFill>
    </fill>
    <fill>
      <patternFill patternType="solid">
        <fgColor rgb="FF3EAFFB"/>
        <bgColor indexed="64"/>
      </patternFill>
    </fill>
    <fill>
      <patternFill patternType="solid">
        <fgColor rgb="FF3CB1FB"/>
        <bgColor indexed="64"/>
      </patternFill>
    </fill>
    <fill>
      <patternFill patternType="solid">
        <fgColor rgb="FF3AAEFA"/>
        <bgColor indexed="64"/>
      </patternFill>
    </fill>
    <fill>
      <patternFill patternType="solid">
        <fgColor rgb="FF37ABF9"/>
        <bgColor indexed="64"/>
      </patternFill>
    </fill>
    <fill>
      <patternFill patternType="solid">
        <fgColor rgb="FF38ADFB"/>
        <bgColor indexed="64"/>
      </patternFill>
    </fill>
    <fill>
      <patternFill patternType="solid">
        <fgColor rgb="FF39AEFC"/>
        <bgColor indexed="64"/>
      </patternFill>
    </fill>
    <fill>
      <patternFill patternType="solid">
        <fgColor rgb="FF38ADFC"/>
        <bgColor indexed="64"/>
      </patternFill>
    </fill>
    <fill>
      <patternFill patternType="solid">
        <fgColor rgb="FF35ACFB"/>
        <bgColor indexed="64"/>
      </patternFill>
    </fill>
    <fill>
      <patternFill patternType="solid">
        <fgColor rgb="FF33A9F9"/>
        <bgColor indexed="64"/>
      </patternFill>
    </fill>
    <fill>
      <patternFill patternType="solid">
        <fgColor rgb="FF33A6FB"/>
        <bgColor indexed="64"/>
      </patternFill>
    </fill>
    <fill>
      <patternFill patternType="solid">
        <fgColor rgb="FF31A7FA"/>
        <bgColor indexed="64"/>
      </patternFill>
    </fill>
    <fill>
      <patternFill patternType="solid">
        <fgColor rgb="FF31A8FA"/>
        <bgColor indexed="64"/>
      </patternFill>
    </fill>
    <fill>
      <patternFill patternType="solid">
        <fgColor rgb="FF33AAFB"/>
        <bgColor indexed="64"/>
      </patternFill>
    </fill>
    <fill>
      <patternFill patternType="solid">
        <fgColor rgb="FF34ABFA"/>
        <bgColor indexed="64"/>
      </patternFill>
    </fill>
    <fill>
      <patternFill patternType="solid">
        <fgColor rgb="FF32A9F8"/>
        <bgColor indexed="64"/>
      </patternFill>
    </fill>
    <fill>
      <patternFill patternType="solid">
        <fgColor rgb="FF32A9F9"/>
        <bgColor indexed="64"/>
      </patternFill>
    </fill>
    <fill>
      <patternFill patternType="solid">
        <fgColor rgb="FF33AAFA"/>
        <bgColor indexed="64"/>
      </patternFill>
    </fill>
    <fill>
      <patternFill patternType="solid">
        <fgColor rgb="FF33A9FC"/>
        <bgColor indexed="64"/>
      </patternFill>
    </fill>
    <fill>
      <patternFill patternType="solid">
        <fgColor rgb="FF32A8FB"/>
        <bgColor indexed="64"/>
      </patternFill>
    </fill>
    <fill>
      <patternFill patternType="solid">
        <fgColor rgb="FF30A7FB"/>
        <bgColor indexed="64"/>
      </patternFill>
    </fill>
    <fill>
      <patternFill patternType="solid">
        <fgColor rgb="FF2FA7FA"/>
        <bgColor indexed="64"/>
      </patternFill>
    </fill>
    <fill>
      <patternFill patternType="solid">
        <fgColor rgb="FF2FA7FB"/>
        <bgColor indexed="64"/>
      </patternFill>
    </fill>
    <fill>
      <patternFill patternType="solid">
        <fgColor rgb="FF30A6FA"/>
        <bgColor indexed="64"/>
      </patternFill>
    </fill>
    <fill>
      <patternFill patternType="solid">
        <fgColor rgb="FF30A8FA"/>
        <bgColor indexed="64"/>
      </patternFill>
    </fill>
    <fill>
      <patternFill patternType="solid">
        <fgColor rgb="FF30A7FA"/>
        <bgColor indexed="64"/>
      </patternFill>
    </fill>
    <fill>
      <patternFill patternType="solid">
        <fgColor rgb="FF31A9FB"/>
        <bgColor indexed="64"/>
      </patternFill>
    </fill>
    <fill>
      <patternFill patternType="solid">
        <fgColor rgb="FF30A9FB"/>
        <bgColor indexed="64"/>
      </patternFill>
    </fill>
    <fill>
      <patternFill patternType="solid">
        <fgColor rgb="FF2FA6FB"/>
        <bgColor indexed="64"/>
      </patternFill>
    </fill>
    <fill>
      <patternFill patternType="solid">
        <fgColor rgb="FF2EA5FA"/>
        <bgColor indexed="64"/>
      </patternFill>
    </fill>
    <fill>
      <patternFill patternType="solid">
        <fgColor rgb="FF2DA5FB"/>
        <bgColor indexed="64"/>
      </patternFill>
    </fill>
    <fill>
      <patternFill patternType="solid">
        <fgColor rgb="FF2EA8FC"/>
        <bgColor indexed="64"/>
      </patternFill>
    </fill>
    <fill>
      <patternFill patternType="solid">
        <fgColor rgb="FF2DA8FB"/>
        <bgColor indexed="64"/>
      </patternFill>
    </fill>
    <fill>
      <patternFill patternType="solid">
        <fgColor rgb="FF2DA2FD"/>
        <bgColor indexed="64"/>
      </patternFill>
    </fill>
    <fill>
      <patternFill patternType="solid">
        <fgColor rgb="FF49675B"/>
        <bgColor indexed="64"/>
      </patternFill>
    </fill>
    <fill>
      <patternFill patternType="solid">
        <fgColor rgb="FF3692BB"/>
        <bgColor indexed="64"/>
      </patternFill>
    </fill>
    <fill>
      <patternFill patternType="solid">
        <fgColor rgb="FF30AAFE"/>
        <bgColor indexed="64"/>
      </patternFill>
    </fill>
    <fill>
      <patternFill patternType="solid">
        <fgColor rgb="FF2BA5FA"/>
        <bgColor indexed="64"/>
      </patternFill>
    </fill>
    <fill>
      <patternFill patternType="solid">
        <fgColor rgb="FF38A8F8"/>
        <bgColor indexed="64"/>
      </patternFill>
    </fill>
    <fill>
      <patternFill patternType="solid">
        <fgColor rgb="FF3CAFFA"/>
        <bgColor indexed="64"/>
      </patternFill>
    </fill>
    <fill>
      <patternFill patternType="solid">
        <fgColor rgb="FF3BAEF9"/>
        <bgColor indexed="64"/>
      </patternFill>
    </fill>
    <fill>
      <patternFill patternType="solid">
        <fgColor rgb="FF3DAFFB"/>
        <bgColor indexed="64"/>
      </patternFill>
    </fill>
    <fill>
      <patternFill patternType="solid">
        <fgColor rgb="FF3CAEFB"/>
        <bgColor indexed="64"/>
      </patternFill>
    </fill>
    <fill>
      <patternFill patternType="solid">
        <fgColor rgb="FF39AEFB"/>
        <bgColor indexed="64"/>
      </patternFill>
    </fill>
    <fill>
      <patternFill patternType="solid">
        <fgColor rgb="FF39AEFA"/>
        <bgColor indexed="64"/>
      </patternFill>
    </fill>
    <fill>
      <patternFill patternType="solid">
        <fgColor rgb="FF39ADFB"/>
        <bgColor indexed="64"/>
      </patternFill>
    </fill>
    <fill>
      <patternFill patternType="solid">
        <fgColor rgb="FF38ABFB"/>
        <bgColor indexed="64"/>
      </patternFill>
    </fill>
    <fill>
      <patternFill patternType="solid">
        <fgColor rgb="FF36A9F9"/>
        <bgColor indexed="64"/>
      </patternFill>
    </fill>
    <fill>
      <patternFill patternType="solid">
        <fgColor rgb="FF34A9F9"/>
        <bgColor indexed="64"/>
      </patternFill>
    </fill>
    <fill>
      <patternFill patternType="solid">
        <fgColor rgb="FF34A9FB"/>
        <bgColor indexed="64"/>
      </patternFill>
    </fill>
    <fill>
      <patternFill patternType="solid">
        <fgColor rgb="FF34A9FA"/>
        <bgColor indexed="64"/>
      </patternFill>
    </fill>
    <fill>
      <patternFill patternType="solid">
        <fgColor rgb="FF32A9FA"/>
        <bgColor indexed="64"/>
      </patternFill>
    </fill>
    <fill>
      <patternFill patternType="solid">
        <fgColor rgb="FF34ABFB"/>
        <bgColor indexed="64"/>
      </patternFill>
    </fill>
    <fill>
      <patternFill patternType="solid">
        <fgColor rgb="FF35ACFA"/>
        <bgColor indexed="64"/>
      </patternFill>
    </fill>
    <fill>
      <patternFill patternType="solid">
        <fgColor rgb="FF34ABF8"/>
        <bgColor indexed="64"/>
      </patternFill>
    </fill>
    <fill>
      <patternFill patternType="solid">
        <fgColor rgb="FF33AAF9"/>
        <bgColor indexed="64"/>
      </patternFill>
    </fill>
    <fill>
      <patternFill patternType="solid">
        <fgColor rgb="FF31A8FB"/>
        <bgColor indexed="64"/>
      </patternFill>
    </fill>
    <fill>
      <patternFill patternType="solid">
        <fgColor rgb="FF35ABFB"/>
        <bgColor indexed="64"/>
      </patternFill>
    </fill>
    <fill>
      <patternFill patternType="solid">
        <fgColor rgb="FF34AAFA"/>
        <bgColor indexed="64"/>
      </patternFill>
    </fill>
    <fill>
      <patternFill patternType="solid">
        <fgColor rgb="FF33AAFC"/>
        <bgColor indexed="64"/>
      </patternFill>
    </fill>
    <fill>
      <patternFill patternType="solid">
        <fgColor rgb="FF31AAFC"/>
        <bgColor indexed="64"/>
      </patternFill>
    </fill>
    <fill>
      <patternFill patternType="solid">
        <fgColor rgb="FF32AAFC"/>
        <bgColor indexed="64"/>
      </patternFill>
    </fill>
    <fill>
      <patternFill patternType="solid">
        <fgColor rgb="FF30A7FC"/>
        <bgColor indexed="64"/>
      </patternFill>
    </fill>
    <fill>
      <patternFill patternType="solid">
        <fgColor rgb="FF2EA6FB"/>
        <bgColor indexed="64"/>
      </patternFill>
    </fill>
    <fill>
      <patternFill patternType="solid">
        <fgColor rgb="FF2DA6FA"/>
        <bgColor indexed="64"/>
      </patternFill>
    </fill>
    <fill>
      <patternFill patternType="solid">
        <fgColor rgb="FF249AF4"/>
        <bgColor indexed="64"/>
      </patternFill>
    </fill>
    <fill>
      <patternFill patternType="solid">
        <fgColor rgb="FFF4F229"/>
        <bgColor indexed="64"/>
      </patternFill>
    </fill>
    <fill>
      <patternFill patternType="solid">
        <fgColor rgb="FF8FA364"/>
        <bgColor indexed="64"/>
      </patternFill>
    </fill>
    <fill>
      <patternFill patternType="solid">
        <fgColor rgb="FF307D90"/>
        <bgColor indexed="64"/>
      </patternFill>
    </fill>
    <fill>
      <patternFill patternType="solid">
        <fgColor rgb="FF35ACFF"/>
        <bgColor indexed="64"/>
      </patternFill>
    </fill>
    <fill>
      <patternFill patternType="solid">
        <fgColor rgb="FF29A5FA"/>
        <bgColor indexed="64"/>
      </patternFill>
    </fill>
    <fill>
      <patternFill patternType="solid">
        <fgColor rgb="FF37A6F8"/>
        <bgColor indexed="64"/>
      </patternFill>
    </fill>
    <fill>
      <patternFill patternType="solid">
        <fgColor rgb="FF3AADF9"/>
        <bgColor indexed="64"/>
      </patternFill>
    </fill>
    <fill>
      <patternFill patternType="solid">
        <fgColor rgb="FF3BAEFA"/>
        <bgColor indexed="64"/>
      </patternFill>
    </fill>
    <fill>
      <patternFill patternType="solid">
        <fgColor rgb="FF3AADFB"/>
        <bgColor indexed="64"/>
      </patternFill>
    </fill>
    <fill>
      <patternFill patternType="solid">
        <fgColor rgb="FF3AACFA"/>
        <bgColor indexed="64"/>
      </patternFill>
    </fill>
    <fill>
      <patternFill patternType="solid">
        <fgColor rgb="FF3BADFB"/>
        <bgColor indexed="64"/>
      </patternFill>
    </fill>
    <fill>
      <patternFill patternType="solid">
        <fgColor rgb="FF3AACFB"/>
        <bgColor indexed="64"/>
      </patternFill>
    </fill>
    <fill>
      <patternFill patternType="solid">
        <fgColor rgb="FF39ABFB"/>
        <bgColor indexed="64"/>
      </patternFill>
    </fill>
    <fill>
      <patternFill patternType="solid">
        <fgColor rgb="FF39ADFD"/>
        <bgColor indexed="64"/>
      </patternFill>
    </fill>
    <fill>
      <patternFill patternType="solid">
        <fgColor rgb="FF3CAEFC"/>
        <bgColor indexed="64"/>
      </patternFill>
    </fill>
    <fill>
      <patternFill patternType="solid">
        <fgColor rgb="FF39ACFA"/>
        <bgColor indexed="64"/>
      </patternFill>
    </fill>
    <fill>
      <patternFill patternType="solid">
        <fgColor rgb="FF33A9FA"/>
        <bgColor indexed="64"/>
      </patternFill>
    </fill>
    <fill>
      <patternFill patternType="solid">
        <fgColor rgb="FF34AAFB"/>
        <bgColor indexed="64"/>
      </patternFill>
    </fill>
    <fill>
      <patternFill patternType="solid">
        <fgColor rgb="FF32A8F9"/>
        <bgColor indexed="64"/>
      </patternFill>
    </fill>
    <fill>
      <patternFill patternType="solid">
        <fgColor rgb="FF36ABFA"/>
        <bgColor indexed="64"/>
      </patternFill>
    </fill>
    <fill>
      <patternFill patternType="solid">
        <fgColor rgb="FF35ABFC"/>
        <bgColor indexed="64"/>
      </patternFill>
    </fill>
    <fill>
      <patternFill patternType="solid">
        <fgColor rgb="FF34ACFE"/>
        <bgColor indexed="64"/>
      </patternFill>
    </fill>
    <fill>
      <patternFill patternType="solid">
        <fgColor rgb="FF35ACFD"/>
        <bgColor indexed="64"/>
      </patternFill>
    </fill>
    <fill>
      <patternFill patternType="solid">
        <fgColor rgb="FF33A9FB"/>
        <bgColor indexed="64"/>
      </patternFill>
    </fill>
    <fill>
      <patternFill patternType="solid">
        <fgColor rgb="FF37ADFB"/>
        <bgColor indexed="64"/>
      </patternFill>
    </fill>
    <fill>
      <patternFill patternType="solid">
        <fgColor rgb="FF35ABF9"/>
        <bgColor indexed="64"/>
      </patternFill>
    </fill>
    <fill>
      <patternFill patternType="solid">
        <fgColor rgb="FF30A5FA"/>
        <bgColor indexed="64"/>
      </patternFill>
    </fill>
    <fill>
      <patternFill patternType="solid">
        <fgColor rgb="FF269AEF"/>
        <bgColor indexed="64"/>
      </patternFill>
    </fill>
    <fill>
      <patternFill patternType="solid">
        <fgColor rgb="FF899E47"/>
        <bgColor indexed="64"/>
      </patternFill>
    </fill>
    <fill>
      <patternFill patternType="solid">
        <fgColor rgb="FF2A7C92"/>
        <bgColor indexed="64"/>
      </patternFill>
    </fill>
    <fill>
      <patternFill patternType="solid">
        <fgColor rgb="FF33ACFE"/>
        <bgColor indexed="64"/>
      </patternFill>
    </fill>
    <fill>
      <patternFill patternType="solid">
        <fgColor rgb="FF29A3FB"/>
        <bgColor indexed="64"/>
      </patternFill>
    </fill>
    <fill>
      <patternFill patternType="solid">
        <fgColor rgb="FF37A8F8"/>
        <bgColor indexed="64"/>
      </patternFill>
    </fill>
    <fill>
      <patternFill patternType="solid">
        <fgColor rgb="FF3AADFA"/>
        <bgColor indexed="64"/>
      </patternFill>
    </fill>
    <fill>
      <patternFill patternType="solid">
        <fgColor rgb="FF3BAEFB"/>
        <bgColor indexed="64"/>
      </patternFill>
    </fill>
    <fill>
      <patternFill patternType="solid">
        <fgColor rgb="FF3BAEFC"/>
        <bgColor indexed="64"/>
      </patternFill>
    </fill>
    <fill>
      <patternFill patternType="solid">
        <fgColor rgb="FF3AADFC"/>
        <bgColor indexed="64"/>
      </patternFill>
    </fill>
    <fill>
      <patternFill patternType="solid">
        <fgColor rgb="FF34ACFA"/>
        <bgColor indexed="64"/>
      </patternFill>
    </fill>
    <fill>
      <patternFill patternType="solid">
        <fgColor rgb="FF36AAF9"/>
        <bgColor indexed="64"/>
      </patternFill>
    </fill>
    <fill>
      <patternFill patternType="solid">
        <fgColor rgb="FF35ACFC"/>
        <bgColor indexed="64"/>
      </patternFill>
    </fill>
    <fill>
      <patternFill patternType="solid">
        <fgColor rgb="FF2E96EA"/>
        <bgColor indexed="64"/>
      </patternFill>
    </fill>
    <fill>
      <patternFill patternType="solid">
        <fgColor rgb="FF145394"/>
        <bgColor indexed="64"/>
      </patternFill>
    </fill>
    <fill>
      <patternFill patternType="solid">
        <fgColor rgb="FF2774AB"/>
        <bgColor indexed="64"/>
      </patternFill>
    </fill>
    <fill>
      <patternFill patternType="solid">
        <fgColor rgb="FF3CAFF9"/>
        <bgColor indexed="64"/>
      </patternFill>
    </fill>
    <fill>
      <patternFill patternType="solid">
        <fgColor rgb="FF36AFFF"/>
        <bgColor indexed="64"/>
      </patternFill>
    </fill>
    <fill>
      <patternFill patternType="solid">
        <fgColor rgb="FF34AFFF"/>
        <bgColor indexed="64"/>
      </patternFill>
    </fill>
    <fill>
      <patternFill patternType="solid">
        <fgColor rgb="FF33ABFF"/>
        <bgColor indexed="64"/>
      </patternFill>
    </fill>
    <fill>
      <patternFill patternType="solid">
        <fgColor rgb="FF33ABFA"/>
        <bgColor indexed="64"/>
      </patternFill>
    </fill>
    <fill>
      <patternFill patternType="solid">
        <fgColor rgb="FF32A9FB"/>
        <bgColor indexed="64"/>
      </patternFill>
    </fill>
    <fill>
      <patternFill patternType="solid">
        <fgColor rgb="FF30A6FB"/>
        <bgColor indexed="64"/>
      </patternFill>
    </fill>
    <fill>
      <patternFill patternType="solid">
        <fgColor rgb="FF2FA4FA"/>
        <bgColor indexed="64"/>
      </patternFill>
    </fill>
    <fill>
      <patternFill patternType="solid">
        <fgColor rgb="FF319EF8"/>
        <bgColor indexed="64"/>
      </patternFill>
    </fill>
    <fill>
      <patternFill patternType="solid">
        <fgColor rgb="FF2C4339"/>
        <bgColor indexed="64"/>
      </patternFill>
    </fill>
    <fill>
      <patternFill patternType="solid">
        <fgColor rgb="FF328AB5"/>
        <bgColor indexed="64"/>
      </patternFill>
    </fill>
    <fill>
      <patternFill patternType="solid">
        <fgColor rgb="FF34AAFE"/>
        <bgColor indexed="64"/>
      </patternFill>
    </fill>
    <fill>
      <patternFill patternType="solid">
        <fgColor rgb="FF2CA3FB"/>
        <bgColor indexed="64"/>
      </patternFill>
    </fill>
    <fill>
      <patternFill patternType="solid">
        <fgColor rgb="FF36A6F7"/>
        <bgColor indexed="64"/>
      </patternFill>
    </fill>
    <fill>
      <patternFill patternType="solid">
        <fgColor rgb="FF3BABF9"/>
        <bgColor indexed="64"/>
      </patternFill>
    </fill>
    <fill>
      <patternFill patternType="solid">
        <fgColor rgb="FF38AAFA"/>
        <bgColor indexed="64"/>
      </patternFill>
    </fill>
    <fill>
      <patternFill patternType="solid">
        <fgColor rgb="FF39ACFB"/>
        <bgColor indexed="64"/>
      </patternFill>
    </fill>
    <fill>
      <patternFill patternType="solid">
        <fgColor rgb="FF39ADFA"/>
        <bgColor indexed="64"/>
      </patternFill>
    </fill>
    <fill>
      <patternFill patternType="solid">
        <fgColor rgb="FF3CAFFC"/>
        <bgColor indexed="64"/>
      </patternFill>
    </fill>
    <fill>
      <patternFill patternType="solid">
        <fgColor rgb="FF38AFFA"/>
        <bgColor indexed="64"/>
      </patternFill>
    </fill>
    <fill>
      <patternFill patternType="solid">
        <fgColor rgb="FF37AEFB"/>
        <bgColor indexed="64"/>
      </patternFill>
    </fill>
    <fill>
      <patternFill patternType="solid">
        <fgColor rgb="FF37ABF8"/>
        <bgColor indexed="64"/>
      </patternFill>
    </fill>
    <fill>
      <patternFill patternType="solid">
        <fgColor rgb="FF38A8FD"/>
        <bgColor indexed="64"/>
      </patternFill>
    </fill>
    <fill>
      <patternFill patternType="solid">
        <fgColor rgb="FF1B669C"/>
        <bgColor indexed="64"/>
      </patternFill>
    </fill>
    <fill>
      <patternFill patternType="solid">
        <fgColor rgb="FF60896D"/>
        <bgColor indexed="64"/>
      </patternFill>
    </fill>
    <fill>
      <patternFill patternType="solid">
        <fgColor rgb="FF41736B"/>
        <bgColor indexed="64"/>
      </patternFill>
    </fill>
    <fill>
      <patternFill patternType="solid">
        <fgColor rgb="FF318AC9"/>
        <bgColor indexed="64"/>
      </patternFill>
    </fill>
    <fill>
      <patternFill patternType="solid">
        <fgColor rgb="FF2987D5"/>
        <bgColor indexed="64"/>
      </patternFill>
    </fill>
    <fill>
      <patternFill patternType="solid">
        <fgColor rgb="FF2A7CAB"/>
        <bgColor indexed="64"/>
      </patternFill>
    </fill>
    <fill>
      <patternFill patternType="solid">
        <fgColor rgb="FF41A1DD"/>
        <bgColor indexed="64"/>
      </patternFill>
    </fill>
    <fill>
      <patternFill patternType="solid">
        <fgColor rgb="FF36AAFB"/>
        <bgColor indexed="64"/>
      </patternFill>
    </fill>
    <fill>
      <patternFill patternType="solid">
        <fgColor rgb="FF32ABFA"/>
        <bgColor indexed="64"/>
      </patternFill>
    </fill>
    <fill>
      <patternFill patternType="solid">
        <fgColor rgb="FF34ACF9"/>
        <bgColor indexed="64"/>
      </patternFill>
    </fill>
    <fill>
      <patternFill patternType="solid">
        <fgColor rgb="FF31A7FD"/>
        <bgColor indexed="64"/>
      </patternFill>
    </fill>
    <fill>
      <patternFill patternType="solid">
        <fgColor rgb="FF30A5FB"/>
        <bgColor indexed="64"/>
      </patternFill>
    </fill>
    <fill>
      <patternFill patternType="solid">
        <fgColor rgb="FF2FA5FB"/>
        <bgColor indexed="64"/>
      </patternFill>
    </fill>
    <fill>
      <patternFill patternType="solid">
        <fgColor rgb="FF2EA5FB"/>
        <bgColor indexed="64"/>
      </patternFill>
    </fill>
    <fill>
      <patternFill patternType="solid">
        <fgColor rgb="FF329BF6"/>
        <bgColor indexed="64"/>
      </patternFill>
    </fill>
    <fill>
      <patternFill patternType="solid">
        <fgColor rgb="FF173B4D"/>
        <bgColor indexed="64"/>
      </patternFill>
    </fill>
    <fill>
      <patternFill patternType="solid">
        <fgColor rgb="FF3698D3"/>
        <bgColor indexed="64"/>
      </patternFill>
    </fill>
    <fill>
      <patternFill patternType="solid">
        <fgColor rgb="FF30A9FE"/>
        <bgColor indexed="64"/>
      </patternFill>
    </fill>
    <fill>
      <patternFill patternType="solid">
        <fgColor rgb="FF2BA4F9"/>
        <bgColor indexed="64"/>
      </patternFill>
    </fill>
    <fill>
      <patternFill patternType="solid">
        <fgColor rgb="FF35A4F7"/>
        <bgColor indexed="64"/>
      </patternFill>
    </fill>
    <fill>
      <patternFill patternType="solid">
        <fgColor rgb="FF3CABFB"/>
        <bgColor indexed="64"/>
      </patternFill>
    </fill>
    <fill>
      <patternFill patternType="solid">
        <fgColor rgb="FF38ACFC"/>
        <bgColor indexed="64"/>
      </patternFill>
    </fill>
    <fill>
      <patternFill patternType="solid">
        <fgColor rgb="FF38ACFA"/>
        <bgColor indexed="64"/>
      </patternFill>
    </fill>
    <fill>
      <patternFill patternType="solid">
        <fgColor rgb="FF3CAEFA"/>
        <bgColor indexed="64"/>
      </patternFill>
    </fill>
    <fill>
      <patternFill patternType="solid">
        <fgColor rgb="FF3BB0FE"/>
        <bgColor indexed="64"/>
      </patternFill>
    </fill>
    <fill>
      <patternFill patternType="solid">
        <fgColor rgb="FF34A5F3"/>
        <bgColor indexed="64"/>
      </patternFill>
    </fill>
    <fill>
      <patternFill patternType="solid">
        <fgColor rgb="FF39AAF5"/>
        <bgColor indexed="64"/>
      </patternFill>
    </fill>
    <fill>
      <patternFill patternType="solid">
        <fgColor rgb="FF42B7FF"/>
        <bgColor indexed="64"/>
      </patternFill>
    </fill>
    <fill>
      <patternFill patternType="solid">
        <fgColor rgb="FF2886D5"/>
        <bgColor indexed="64"/>
      </patternFill>
    </fill>
    <fill>
      <patternFill patternType="solid">
        <fgColor rgb="FF3D736D"/>
        <bgColor indexed="64"/>
      </patternFill>
    </fill>
    <fill>
      <patternFill patternType="solid">
        <fgColor rgb="FF92C376"/>
        <bgColor indexed="64"/>
      </patternFill>
    </fill>
    <fill>
      <patternFill patternType="solid">
        <fgColor rgb="FF588968"/>
        <bgColor indexed="64"/>
      </patternFill>
    </fill>
    <fill>
      <patternFill patternType="solid">
        <fgColor rgb="FF17495B"/>
        <bgColor indexed="64"/>
      </patternFill>
    </fill>
    <fill>
      <patternFill patternType="solid">
        <fgColor rgb="FF598C7A"/>
        <bgColor indexed="64"/>
      </patternFill>
    </fill>
    <fill>
      <patternFill patternType="solid">
        <fgColor rgb="FF54815E"/>
        <bgColor indexed="64"/>
      </patternFill>
    </fill>
    <fill>
      <patternFill patternType="solid">
        <fgColor rgb="FF3988AC"/>
        <bgColor indexed="64"/>
      </patternFill>
    </fill>
    <fill>
      <patternFill patternType="solid">
        <fgColor rgb="FF3DADFC"/>
        <bgColor indexed="64"/>
      </patternFill>
    </fill>
    <fill>
      <patternFill patternType="solid">
        <fgColor rgb="FF32ABF9"/>
        <bgColor indexed="64"/>
      </patternFill>
    </fill>
    <fill>
      <patternFill patternType="solid">
        <fgColor rgb="FF39B2FF"/>
        <bgColor indexed="64"/>
      </patternFill>
    </fill>
    <fill>
      <patternFill patternType="solid">
        <fgColor rgb="FF39B5FF"/>
        <bgColor indexed="64"/>
      </patternFill>
    </fill>
    <fill>
      <patternFill patternType="solid">
        <fgColor rgb="FF32AAFA"/>
        <bgColor indexed="64"/>
      </patternFill>
    </fill>
    <fill>
      <patternFill patternType="solid">
        <fgColor rgb="FF31A7FF"/>
        <bgColor indexed="64"/>
      </patternFill>
    </fill>
    <fill>
      <patternFill patternType="solid">
        <fgColor rgb="FF258CDD"/>
        <bgColor indexed="64"/>
      </patternFill>
    </fill>
    <fill>
      <patternFill patternType="solid">
        <fgColor rgb="FF467673"/>
        <bgColor indexed="64"/>
      </patternFill>
    </fill>
    <fill>
      <patternFill patternType="solid">
        <fgColor rgb="FF31A0E5"/>
        <bgColor indexed="64"/>
      </patternFill>
    </fill>
    <fill>
      <patternFill patternType="solid">
        <fgColor rgb="FF2FA7FC"/>
        <bgColor indexed="64"/>
      </patternFill>
    </fill>
    <fill>
      <patternFill patternType="solid">
        <fgColor rgb="FF2CA4FA"/>
        <bgColor indexed="64"/>
      </patternFill>
    </fill>
    <fill>
      <patternFill patternType="solid">
        <fgColor rgb="FF36A7F8"/>
        <bgColor indexed="64"/>
      </patternFill>
    </fill>
    <fill>
      <patternFill patternType="solid">
        <fgColor rgb="FF35A9F8"/>
        <bgColor indexed="64"/>
      </patternFill>
    </fill>
    <fill>
      <patternFill patternType="solid">
        <fgColor rgb="FF3AAEFD"/>
        <bgColor indexed="64"/>
      </patternFill>
    </fill>
    <fill>
      <patternFill patternType="solid">
        <fgColor rgb="FF3AAEFB"/>
        <bgColor indexed="64"/>
      </patternFill>
    </fill>
    <fill>
      <patternFill patternType="solid">
        <fgColor rgb="FF3CB0FC"/>
        <bgColor indexed="64"/>
      </patternFill>
    </fill>
    <fill>
      <patternFill patternType="solid">
        <fgColor rgb="FF3DB0FC"/>
        <bgColor indexed="64"/>
      </patternFill>
    </fill>
    <fill>
      <patternFill patternType="solid">
        <fgColor rgb="FF3AADFD"/>
        <bgColor indexed="64"/>
      </patternFill>
    </fill>
    <fill>
      <patternFill patternType="solid">
        <fgColor rgb="FF2C89DC"/>
        <bgColor indexed="64"/>
      </patternFill>
    </fill>
    <fill>
      <patternFill patternType="solid">
        <fgColor rgb="FF21548D"/>
        <bgColor indexed="64"/>
      </patternFill>
    </fill>
    <fill>
      <patternFill patternType="solid">
        <fgColor rgb="FF225782"/>
        <bgColor indexed="64"/>
      </patternFill>
    </fill>
    <fill>
      <patternFill patternType="solid">
        <fgColor rgb="FF3F817F"/>
        <bgColor indexed="64"/>
      </patternFill>
    </fill>
    <fill>
      <patternFill patternType="solid">
        <fgColor rgb="FF3FA7EA"/>
        <bgColor indexed="64"/>
      </patternFill>
    </fill>
    <fill>
      <patternFill patternType="solid">
        <fgColor rgb="FF38AEFF"/>
        <bgColor indexed="64"/>
      </patternFill>
    </fill>
    <fill>
      <patternFill patternType="solid">
        <fgColor rgb="FF35A8FA"/>
        <bgColor indexed="64"/>
      </patternFill>
    </fill>
    <fill>
      <patternFill patternType="solid">
        <fgColor rgb="FF38AFFF"/>
        <bgColor indexed="64"/>
      </patternFill>
    </fill>
    <fill>
      <patternFill patternType="solid">
        <fgColor rgb="FF2992E4"/>
        <bgColor indexed="64"/>
      </patternFill>
    </fill>
    <fill>
      <patternFill patternType="solid">
        <fgColor rgb="FF227FC7"/>
        <bgColor indexed="64"/>
      </patternFill>
    </fill>
    <fill>
      <patternFill patternType="solid">
        <fgColor rgb="FF39A9F5"/>
        <bgColor indexed="64"/>
      </patternFill>
    </fill>
    <fill>
      <patternFill patternType="solid">
        <fgColor rgb="FF2FA5F9"/>
        <bgColor indexed="64"/>
      </patternFill>
    </fill>
    <fill>
      <patternFill patternType="solid">
        <fgColor rgb="FF2DA5FA"/>
        <bgColor indexed="64"/>
      </patternFill>
    </fill>
    <fill>
      <patternFill patternType="solid">
        <fgColor rgb="FF2885C6"/>
        <bgColor indexed="64"/>
      </patternFill>
    </fill>
    <fill>
      <patternFill patternType="solid">
        <fgColor rgb="FF4A8886"/>
        <bgColor indexed="64"/>
      </patternFill>
    </fill>
    <fill>
      <patternFill patternType="solid">
        <fgColor rgb="FF2EA4F1"/>
        <bgColor indexed="64"/>
      </patternFill>
    </fill>
    <fill>
      <patternFill patternType="solid">
        <fgColor rgb="FF2EA7FA"/>
        <bgColor indexed="64"/>
      </patternFill>
    </fill>
    <fill>
      <patternFill patternType="solid">
        <fgColor rgb="FF36A8F8"/>
        <bgColor indexed="64"/>
      </patternFill>
    </fill>
    <fill>
      <patternFill patternType="solid">
        <fgColor rgb="FF38ABFA"/>
        <bgColor indexed="64"/>
      </patternFill>
    </fill>
    <fill>
      <patternFill patternType="solid">
        <fgColor rgb="FF39ACF8"/>
        <bgColor indexed="64"/>
      </patternFill>
    </fill>
    <fill>
      <patternFill patternType="solid">
        <fgColor rgb="FF38AEFC"/>
        <bgColor indexed="64"/>
      </patternFill>
    </fill>
    <fill>
      <patternFill patternType="solid">
        <fgColor rgb="FF37ACFA"/>
        <bgColor indexed="64"/>
      </patternFill>
    </fill>
    <fill>
      <patternFill patternType="solid">
        <fgColor rgb="FF3FB2FF"/>
        <bgColor indexed="64"/>
      </patternFill>
    </fill>
    <fill>
      <patternFill patternType="solid">
        <fgColor rgb="FF1E6DBD"/>
        <bgColor indexed="64"/>
      </patternFill>
    </fill>
    <fill>
      <patternFill patternType="solid">
        <fgColor rgb="FF466F6A"/>
        <bgColor indexed="64"/>
      </patternFill>
    </fill>
    <fill>
      <patternFill patternType="solid">
        <fgColor rgb="FF6B9868"/>
        <bgColor indexed="64"/>
      </patternFill>
    </fill>
    <fill>
      <patternFill patternType="solid">
        <fgColor rgb="FF5D8253"/>
        <bgColor indexed="64"/>
      </patternFill>
    </fill>
    <fill>
      <patternFill patternType="solid">
        <fgColor rgb="FF72A15A"/>
        <bgColor indexed="64"/>
      </patternFill>
    </fill>
    <fill>
      <patternFill patternType="solid">
        <fgColor rgb="FF82B865"/>
        <bgColor indexed="64"/>
      </patternFill>
    </fill>
    <fill>
      <patternFill patternType="solid">
        <fgColor rgb="FF83B565"/>
        <bgColor indexed="64"/>
      </patternFill>
    </fill>
    <fill>
      <patternFill patternType="solid">
        <fgColor rgb="FF82B16A"/>
        <bgColor indexed="64"/>
      </patternFill>
    </fill>
    <fill>
      <patternFill patternType="solid">
        <fgColor rgb="FF20567D"/>
        <bgColor indexed="64"/>
      </patternFill>
    </fill>
    <fill>
      <patternFill patternType="solid">
        <fgColor rgb="FF2D7FBE"/>
        <bgColor indexed="64"/>
      </patternFill>
    </fill>
    <fill>
      <patternFill patternType="solid">
        <fgColor rgb="FF389DE4"/>
        <bgColor indexed="64"/>
      </patternFill>
    </fill>
    <fill>
      <patternFill patternType="solid">
        <fgColor rgb="FF3BADFD"/>
        <bgColor indexed="64"/>
      </patternFill>
    </fill>
    <fill>
      <patternFill patternType="solid">
        <fgColor rgb="FF288ADE"/>
        <bgColor indexed="64"/>
      </patternFill>
    </fill>
    <fill>
      <patternFill patternType="solid">
        <fgColor rgb="FF375A82"/>
        <bgColor indexed="64"/>
      </patternFill>
    </fill>
    <fill>
      <patternFill patternType="solid">
        <fgColor rgb="FF6B7E8A"/>
        <bgColor indexed="64"/>
      </patternFill>
    </fill>
    <fill>
      <patternFill patternType="solid">
        <fgColor rgb="FF3C94D0"/>
        <bgColor indexed="64"/>
      </patternFill>
    </fill>
    <fill>
      <patternFill patternType="solid">
        <fgColor rgb="FF33A9FE"/>
        <bgColor indexed="64"/>
      </patternFill>
    </fill>
    <fill>
      <patternFill patternType="solid">
        <fgColor rgb="FF32A4F9"/>
        <bgColor indexed="64"/>
      </patternFill>
    </fill>
    <fill>
      <patternFill patternType="solid">
        <fgColor rgb="FF32A4F8"/>
        <bgColor indexed="64"/>
      </patternFill>
    </fill>
    <fill>
      <patternFill patternType="solid">
        <fgColor rgb="FF2FA3F9"/>
        <bgColor indexed="64"/>
      </patternFill>
    </fill>
    <fill>
      <patternFill patternType="solid">
        <fgColor rgb="FF2E9FFD"/>
        <bgColor indexed="64"/>
      </patternFill>
    </fill>
    <fill>
      <patternFill patternType="solid">
        <fgColor rgb="FF2F7597"/>
        <bgColor indexed="64"/>
      </patternFill>
    </fill>
    <fill>
      <patternFill patternType="solid">
        <fgColor rgb="FF3C858C"/>
        <bgColor indexed="64"/>
      </patternFill>
    </fill>
    <fill>
      <patternFill patternType="solid">
        <fgColor rgb="FF32A7FD"/>
        <bgColor indexed="64"/>
      </patternFill>
    </fill>
    <fill>
      <patternFill patternType="solid">
        <fgColor rgb="FF2CA6FA"/>
        <bgColor indexed="64"/>
      </patternFill>
    </fill>
    <fill>
      <patternFill patternType="solid">
        <fgColor rgb="FF2AA6FA"/>
        <bgColor indexed="64"/>
      </patternFill>
    </fill>
    <fill>
      <patternFill patternType="solid">
        <fgColor rgb="FF34A7F7"/>
        <bgColor indexed="64"/>
      </patternFill>
    </fill>
    <fill>
      <patternFill patternType="solid">
        <fgColor rgb="FF3BADFC"/>
        <bgColor indexed="64"/>
      </patternFill>
    </fill>
    <fill>
      <patternFill patternType="solid">
        <fgColor rgb="FF3DAEFC"/>
        <bgColor indexed="64"/>
      </patternFill>
    </fill>
    <fill>
      <patternFill patternType="solid">
        <fgColor rgb="FF37ACF8"/>
        <bgColor indexed="64"/>
      </patternFill>
    </fill>
    <fill>
      <patternFill patternType="solid">
        <fgColor rgb="FF36ABF9"/>
        <bgColor indexed="64"/>
      </patternFill>
    </fill>
    <fill>
      <patternFill patternType="solid">
        <fgColor rgb="FF3CB1FF"/>
        <bgColor indexed="64"/>
      </patternFill>
    </fill>
    <fill>
      <patternFill patternType="solid">
        <fgColor rgb="FF2984DD"/>
        <bgColor indexed="64"/>
      </patternFill>
    </fill>
    <fill>
      <patternFill patternType="solid">
        <fgColor rgb="FF154154"/>
        <bgColor indexed="64"/>
      </patternFill>
    </fill>
    <fill>
      <patternFill patternType="solid">
        <fgColor rgb="FF729E58"/>
        <bgColor indexed="64"/>
      </patternFill>
    </fill>
    <fill>
      <patternFill patternType="solid">
        <fgColor rgb="FF83B66B"/>
        <bgColor indexed="64"/>
      </patternFill>
    </fill>
    <fill>
      <patternFill patternType="solid">
        <fgColor rgb="FF7CB166"/>
        <bgColor indexed="64"/>
      </patternFill>
    </fill>
    <fill>
      <patternFill patternType="solid">
        <fgColor rgb="FF7CB162"/>
        <bgColor indexed="64"/>
      </patternFill>
    </fill>
    <fill>
      <patternFill patternType="solid">
        <fgColor rgb="FF7CAC66"/>
        <bgColor indexed="64"/>
      </patternFill>
    </fill>
    <fill>
      <patternFill patternType="solid">
        <fgColor rgb="FF365C39"/>
        <bgColor indexed="64"/>
      </patternFill>
    </fill>
    <fill>
      <patternFill patternType="solid">
        <fgColor rgb="FF60875E"/>
        <bgColor indexed="64"/>
      </patternFill>
    </fill>
    <fill>
      <patternFill patternType="solid">
        <fgColor rgb="FF456B51"/>
        <bgColor indexed="64"/>
      </patternFill>
    </fill>
    <fill>
      <patternFill patternType="solid">
        <fgColor rgb="FF216479"/>
        <bgColor indexed="64"/>
      </patternFill>
    </fill>
    <fill>
      <patternFill patternType="solid">
        <fgColor rgb="FF44ADFA"/>
        <bgColor indexed="64"/>
      </patternFill>
    </fill>
    <fill>
      <patternFill patternType="solid">
        <fgColor rgb="FF124885"/>
        <bgColor indexed="64"/>
      </patternFill>
    </fill>
    <fill>
      <patternFill patternType="solid">
        <fgColor rgb="FFA68362"/>
        <bgColor indexed="64"/>
      </patternFill>
    </fill>
    <fill>
      <patternFill patternType="solid">
        <fgColor rgb="FFA39077"/>
        <bgColor indexed="64"/>
      </patternFill>
    </fill>
    <fill>
      <patternFill patternType="solid">
        <fgColor rgb="FF3E90C7"/>
        <bgColor indexed="64"/>
      </patternFill>
    </fill>
    <fill>
      <patternFill patternType="solid">
        <fgColor rgb="FF35ABFE"/>
        <bgColor indexed="64"/>
      </patternFill>
    </fill>
    <fill>
      <patternFill patternType="solid">
        <fgColor rgb="FF30A5F6"/>
        <bgColor indexed="64"/>
      </patternFill>
    </fill>
    <fill>
      <patternFill patternType="solid">
        <fgColor rgb="FF2D94F1"/>
        <bgColor indexed="64"/>
      </patternFill>
    </fill>
    <fill>
      <patternFill patternType="solid">
        <fgColor rgb="FF2A4F6A"/>
        <bgColor indexed="64"/>
      </patternFill>
    </fill>
    <fill>
      <patternFill patternType="solid">
        <fgColor rgb="FF3390C0"/>
        <bgColor indexed="64"/>
      </patternFill>
    </fill>
    <fill>
      <patternFill patternType="solid">
        <fgColor rgb="FF2EA6FC"/>
        <bgColor indexed="64"/>
      </patternFill>
    </fill>
    <fill>
      <patternFill patternType="solid">
        <fgColor rgb="FF2BA4F8"/>
        <bgColor indexed="64"/>
      </patternFill>
    </fill>
    <fill>
      <patternFill patternType="solid">
        <fgColor rgb="FF2AA3F9"/>
        <bgColor indexed="64"/>
      </patternFill>
    </fill>
    <fill>
      <patternFill patternType="solid">
        <fgColor rgb="FF34A4F6"/>
        <bgColor indexed="64"/>
      </patternFill>
    </fill>
    <fill>
      <patternFill patternType="solid">
        <fgColor rgb="FF3AAEFC"/>
        <bgColor indexed="64"/>
      </patternFill>
    </fill>
    <fill>
      <patternFill patternType="solid">
        <fgColor rgb="FF38ACFB"/>
        <bgColor indexed="64"/>
      </patternFill>
    </fill>
    <fill>
      <patternFill patternType="solid">
        <fgColor rgb="FF39ADFC"/>
        <bgColor indexed="64"/>
      </patternFill>
    </fill>
    <fill>
      <patternFill patternType="solid">
        <fgColor rgb="FF38ADF9"/>
        <bgColor indexed="64"/>
      </patternFill>
    </fill>
    <fill>
      <patternFill patternType="solid">
        <fgColor rgb="FF3AAFFA"/>
        <bgColor indexed="64"/>
      </patternFill>
    </fill>
    <fill>
      <patternFill patternType="solid">
        <fgColor rgb="FF3499E8"/>
        <bgColor indexed="64"/>
      </patternFill>
    </fill>
    <fill>
      <patternFill patternType="solid">
        <fgColor rgb="FF29668A"/>
        <bgColor indexed="64"/>
      </patternFill>
    </fill>
    <fill>
      <patternFill patternType="solid">
        <fgColor rgb="FF50755D"/>
        <bgColor indexed="64"/>
      </patternFill>
    </fill>
    <fill>
      <patternFill patternType="solid">
        <fgColor rgb="FF669051"/>
        <bgColor indexed="64"/>
      </patternFill>
    </fill>
    <fill>
      <patternFill patternType="solid">
        <fgColor rgb="FF7CB261"/>
        <bgColor indexed="64"/>
      </patternFill>
    </fill>
    <fill>
      <patternFill patternType="solid">
        <fgColor rgb="FF7BAF62"/>
        <bgColor indexed="64"/>
      </patternFill>
    </fill>
    <fill>
      <patternFill patternType="solid">
        <fgColor rgb="FF79AE61"/>
        <bgColor indexed="64"/>
      </patternFill>
    </fill>
    <fill>
      <patternFill patternType="solid">
        <fgColor rgb="FF78AB60"/>
        <bgColor indexed="64"/>
      </patternFill>
    </fill>
    <fill>
      <patternFill patternType="solid">
        <fgColor rgb="FF74A85B"/>
        <bgColor indexed="64"/>
      </patternFill>
    </fill>
    <fill>
      <patternFill patternType="solid">
        <fgColor rgb="FF79AB62"/>
        <bgColor indexed="64"/>
      </patternFill>
    </fill>
    <fill>
      <patternFill patternType="solid">
        <fgColor rgb="FF36624E"/>
        <bgColor indexed="64"/>
      </patternFill>
    </fill>
    <fill>
      <patternFill patternType="solid">
        <fgColor rgb="FF3485B1"/>
        <bgColor indexed="64"/>
      </patternFill>
    </fill>
    <fill>
      <patternFill patternType="solid">
        <fgColor rgb="FF308CE0"/>
        <bgColor indexed="64"/>
      </patternFill>
    </fill>
    <fill>
      <patternFill patternType="solid">
        <fgColor rgb="FF4F505D"/>
        <bgColor indexed="64"/>
      </patternFill>
    </fill>
    <fill>
      <patternFill patternType="solid">
        <fgColor rgb="FFE9A166"/>
        <bgColor indexed="64"/>
      </patternFill>
    </fill>
    <fill>
      <patternFill patternType="solid">
        <fgColor rgb="FF6E6A66"/>
        <bgColor indexed="64"/>
      </patternFill>
    </fill>
    <fill>
      <patternFill patternType="solid">
        <fgColor rgb="FF3D94D9"/>
        <bgColor indexed="64"/>
      </patternFill>
    </fill>
    <fill>
      <patternFill patternType="solid">
        <fgColor rgb="FF33A0F6"/>
        <bgColor indexed="64"/>
      </patternFill>
    </fill>
    <fill>
      <patternFill patternType="solid">
        <fgColor rgb="FF2799F6"/>
        <bgColor indexed="64"/>
      </patternFill>
    </fill>
    <fill>
      <patternFill patternType="solid">
        <fgColor rgb="FF2287DE"/>
        <bgColor indexed="64"/>
      </patternFill>
    </fill>
    <fill>
      <patternFill patternType="solid">
        <fgColor rgb="FF2F7298"/>
        <bgColor indexed="64"/>
      </patternFill>
    </fill>
    <fill>
      <patternFill patternType="solid">
        <fgColor rgb="FF808549"/>
        <bgColor indexed="64"/>
      </patternFill>
    </fill>
    <fill>
      <patternFill patternType="solid">
        <fgColor rgb="FF38A6EF"/>
        <bgColor indexed="64"/>
      </patternFill>
    </fill>
    <fill>
      <patternFill patternType="solid">
        <fgColor rgb="FF30AEFF"/>
        <bgColor indexed="64"/>
      </patternFill>
    </fill>
    <fill>
      <patternFill patternType="solid">
        <fgColor rgb="FF32AEFF"/>
        <bgColor indexed="64"/>
      </patternFill>
    </fill>
    <fill>
      <patternFill patternType="solid">
        <fgColor rgb="FF2CA9FF"/>
        <bgColor indexed="64"/>
      </patternFill>
    </fill>
    <fill>
      <patternFill patternType="solid">
        <fgColor rgb="FF3BAFFC"/>
        <bgColor indexed="64"/>
      </patternFill>
    </fill>
    <fill>
      <patternFill patternType="solid">
        <fgColor rgb="FF3DB4FF"/>
        <bgColor indexed="64"/>
      </patternFill>
    </fill>
    <fill>
      <patternFill patternType="solid">
        <fgColor rgb="FF39ACFC"/>
        <bgColor indexed="64"/>
      </patternFill>
    </fill>
    <fill>
      <patternFill patternType="solid">
        <fgColor rgb="FF39ACF9"/>
        <bgColor indexed="64"/>
      </patternFill>
    </fill>
    <fill>
      <patternFill patternType="solid">
        <fgColor rgb="FF3AACF9"/>
        <bgColor indexed="64"/>
      </patternFill>
    </fill>
    <fill>
      <patternFill patternType="solid">
        <fgColor rgb="FF3AACFD"/>
        <bgColor indexed="64"/>
      </patternFill>
    </fill>
    <fill>
      <patternFill patternType="solid">
        <fgColor rgb="FF2A82C6"/>
        <bgColor indexed="64"/>
      </patternFill>
    </fill>
    <fill>
      <patternFill patternType="solid">
        <fgColor rgb="FF578A6C"/>
        <bgColor indexed="64"/>
      </patternFill>
    </fill>
    <fill>
      <patternFill patternType="solid">
        <fgColor rgb="FF97C774"/>
        <bgColor indexed="64"/>
      </patternFill>
    </fill>
    <fill>
      <patternFill patternType="solid">
        <fgColor rgb="FF85B868"/>
        <bgColor indexed="64"/>
      </patternFill>
    </fill>
    <fill>
      <patternFill patternType="solid">
        <fgColor rgb="FF7CB063"/>
        <bgColor indexed="64"/>
      </patternFill>
    </fill>
    <fill>
      <patternFill patternType="solid">
        <fgColor rgb="FF7CAF61"/>
        <bgColor indexed="64"/>
      </patternFill>
    </fill>
    <fill>
      <patternFill patternType="solid">
        <fgColor rgb="FF79AC5D"/>
        <bgColor indexed="64"/>
      </patternFill>
    </fill>
    <fill>
      <patternFill patternType="solid">
        <fgColor rgb="FF78AC5F"/>
        <bgColor indexed="64"/>
      </patternFill>
    </fill>
    <fill>
      <patternFill patternType="solid">
        <fgColor rgb="FF6C9D5B"/>
        <bgColor indexed="64"/>
      </patternFill>
    </fill>
    <fill>
      <patternFill patternType="solid">
        <fgColor rgb="FF215461"/>
        <bgColor indexed="64"/>
      </patternFill>
    </fill>
    <fill>
      <patternFill patternType="solid">
        <fgColor rgb="FF338AC6"/>
        <bgColor indexed="64"/>
      </patternFill>
    </fill>
    <fill>
      <patternFill patternType="solid">
        <fgColor rgb="FF47B3FF"/>
        <bgColor indexed="64"/>
      </patternFill>
    </fill>
    <fill>
      <patternFill patternType="solid">
        <fgColor rgb="FF215C9B"/>
        <bgColor indexed="64"/>
      </patternFill>
    </fill>
    <fill>
      <patternFill patternType="solid">
        <fgColor rgb="FFB07E58"/>
        <bgColor indexed="64"/>
      </patternFill>
    </fill>
    <fill>
      <patternFill patternType="solid">
        <fgColor rgb="FFD0905E"/>
        <bgColor indexed="64"/>
      </patternFill>
    </fill>
    <fill>
      <patternFill patternType="solid">
        <fgColor rgb="FF466A87"/>
        <bgColor indexed="64"/>
      </patternFill>
    </fill>
    <fill>
      <patternFill patternType="solid">
        <fgColor rgb="FF3491E9"/>
        <bgColor indexed="64"/>
      </patternFill>
    </fill>
    <fill>
      <patternFill patternType="solid">
        <fgColor rgb="FF2784E1"/>
        <bgColor indexed="64"/>
      </patternFill>
    </fill>
    <fill>
      <patternFill patternType="solid">
        <fgColor rgb="FF2C6AA8"/>
        <bgColor indexed="64"/>
      </patternFill>
    </fill>
    <fill>
      <patternFill patternType="solid">
        <fgColor rgb="FF5C6274"/>
        <bgColor indexed="64"/>
      </patternFill>
    </fill>
    <fill>
      <patternFill patternType="solid">
        <fgColor rgb="FF966C65"/>
        <bgColor indexed="64"/>
      </patternFill>
    </fill>
    <fill>
      <patternFill patternType="solid">
        <fgColor rgb="FF85683C"/>
        <bgColor indexed="64"/>
      </patternFill>
    </fill>
    <fill>
      <patternFill patternType="solid">
        <fgColor rgb="FF9C9E3D"/>
        <bgColor indexed="64"/>
      </patternFill>
    </fill>
    <fill>
      <patternFill patternType="solid">
        <fgColor rgb="FF1E73BC"/>
        <bgColor indexed="64"/>
      </patternFill>
    </fill>
    <fill>
      <patternFill patternType="solid">
        <fgColor rgb="FF1567B3"/>
        <bgColor indexed="64"/>
      </patternFill>
    </fill>
    <fill>
      <patternFill patternType="solid">
        <fgColor rgb="FF186CB3"/>
        <bgColor indexed="64"/>
      </patternFill>
    </fill>
    <fill>
      <patternFill patternType="solid">
        <fgColor rgb="FF2D8AD4"/>
        <bgColor indexed="64"/>
      </patternFill>
    </fill>
    <fill>
      <patternFill patternType="solid">
        <fgColor rgb="FF4AA7EC"/>
        <bgColor indexed="64"/>
      </patternFill>
    </fill>
    <fill>
      <patternFill patternType="solid">
        <fgColor rgb="FF31A4F5"/>
        <bgColor indexed="64"/>
      </patternFill>
    </fill>
    <fill>
      <patternFill patternType="solid">
        <fgColor rgb="FF258DDC"/>
        <bgColor indexed="64"/>
      </patternFill>
    </fill>
    <fill>
      <patternFill patternType="solid">
        <fgColor rgb="FF3298E4"/>
        <bgColor indexed="64"/>
      </patternFill>
    </fill>
    <fill>
      <patternFill patternType="solid">
        <fgColor rgb="FF39AAF9"/>
        <bgColor indexed="64"/>
      </patternFill>
    </fill>
    <fill>
      <patternFill patternType="solid">
        <fgColor rgb="FF3AABFB"/>
        <bgColor indexed="64"/>
      </patternFill>
    </fill>
    <fill>
      <patternFill patternType="solid">
        <fgColor rgb="FF39AAFB"/>
        <bgColor indexed="64"/>
      </patternFill>
    </fill>
    <fill>
      <patternFill patternType="solid">
        <fgColor rgb="FF37A8F9"/>
        <bgColor indexed="64"/>
      </patternFill>
    </fill>
    <fill>
      <patternFill patternType="solid">
        <fgColor rgb="FF3BB1FF"/>
        <bgColor indexed="64"/>
      </patternFill>
    </fill>
    <fill>
      <patternFill patternType="solid">
        <fgColor rgb="FF3397F1"/>
        <bgColor indexed="64"/>
      </patternFill>
    </fill>
    <fill>
      <patternFill patternType="solid">
        <fgColor rgb="FF194C71"/>
        <bgColor indexed="64"/>
      </patternFill>
    </fill>
    <fill>
      <patternFill patternType="solid">
        <fgColor rgb="FF4D723E"/>
        <bgColor indexed="64"/>
      </patternFill>
    </fill>
    <fill>
      <patternFill patternType="solid">
        <fgColor rgb="FF7CAD5E"/>
        <bgColor indexed="64"/>
      </patternFill>
    </fill>
    <fill>
      <patternFill patternType="solid">
        <fgColor rgb="FF7CAF62"/>
        <bgColor indexed="64"/>
      </patternFill>
    </fill>
    <fill>
      <patternFill patternType="solid">
        <fgColor rgb="FF7BAE5F"/>
        <bgColor indexed="64"/>
      </patternFill>
    </fill>
    <fill>
      <patternFill patternType="solid">
        <fgColor rgb="FF7EB05F"/>
        <bgColor indexed="64"/>
      </patternFill>
    </fill>
    <fill>
      <patternFill patternType="solid">
        <fgColor rgb="FF77A762"/>
        <bgColor indexed="64"/>
      </patternFill>
    </fill>
    <fill>
      <patternFill patternType="solid">
        <fgColor rgb="FF3D6445"/>
        <bgColor indexed="64"/>
      </patternFill>
    </fill>
    <fill>
      <patternFill patternType="solid">
        <fgColor rgb="FF3D6563"/>
        <bgColor indexed="64"/>
      </patternFill>
    </fill>
    <fill>
      <patternFill patternType="solid">
        <fgColor rgb="FF3E7380"/>
        <bgColor indexed="64"/>
      </patternFill>
    </fill>
    <fill>
      <patternFill patternType="solid">
        <fgColor rgb="FF26679C"/>
        <bgColor indexed="64"/>
      </patternFill>
    </fill>
    <fill>
      <patternFill patternType="solid">
        <fgColor rgb="FF364054"/>
        <bgColor indexed="64"/>
      </patternFill>
    </fill>
    <fill>
      <patternFill patternType="solid">
        <fgColor rgb="FFE39A60"/>
        <bgColor indexed="64"/>
      </patternFill>
    </fill>
    <fill>
      <patternFill patternType="solid">
        <fgColor rgb="FF9B7667"/>
        <bgColor indexed="64"/>
      </patternFill>
    </fill>
    <fill>
      <patternFill patternType="solid">
        <fgColor rgb="FF2B598D"/>
        <bgColor indexed="64"/>
      </patternFill>
    </fill>
    <fill>
      <patternFill patternType="solid">
        <fgColor rgb="FF254E88"/>
        <bgColor indexed="64"/>
      </patternFill>
    </fill>
    <fill>
      <patternFill patternType="solid">
        <fgColor rgb="FF655459"/>
        <bgColor indexed="64"/>
      </patternFill>
    </fill>
    <fill>
      <patternFill patternType="solid">
        <fgColor rgb="FFBA7248"/>
        <bgColor indexed="64"/>
      </patternFill>
    </fill>
    <fill>
      <patternFill patternType="solid">
        <fgColor rgb="FFF79655"/>
        <bgColor indexed="64"/>
      </patternFill>
    </fill>
    <fill>
      <patternFill patternType="solid">
        <fgColor rgb="FFD37F4F"/>
        <bgColor indexed="64"/>
      </patternFill>
    </fill>
    <fill>
      <patternFill patternType="solid">
        <fgColor rgb="FF76451F"/>
        <bgColor indexed="64"/>
      </patternFill>
    </fill>
    <fill>
      <patternFill patternType="solid">
        <fgColor rgb="FF785925"/>
        <bgColor indexed="64"/>
      </patternFill>
    </fill>
    <fill>
      <patternFill patternType="solid">
        <fgColor rgb="FF8C6348"/>
        <bgColor indexed="64"/>
      </patternFill>
    </fill>
    <fill>
      <patternFill patternType="solid">
        <fgColor rgb="FF7A513D"/>
        <bgColor indexed="64"/>
      </patternFill>
    </fill>
    <fill>
      <patternFill patternType="solid">
        <fgColor rgb="FF5B403A"/>
        <bgColor indexed="64"/>
      </patternFill>
    </fill>
    <fill>
      <patternFill patternType="solid">
        <fgColor rgb="FF2F2E30"/>
        <bgColor indexed="64"/>
      </patternFill>
    </fill>
    <fill>
      <patternFill patternType="solid">
        <fgColor rgb="FF314852"/>
        <bgColor indexed="64"/>
      </patternFill>
    </fill>
    <fill>
      <patternFill patternType="solid">
        <fgColor rgb="FF43AAF4"/>
        <bgColor indexed="64"/>
      </patternFill>
    </fill>
    <fill>
      <patternFill patternType="solid">
        <fgColor rgb="FF3CABFC"/>
        <bgColor indexed="64"/>
      </patternFill>
    </fill>
    <fill>
      <patternFill patternType="solid">
        <fgColor rgb="FF3BABFB"/>
        <bgColor indexed="64"/>
      </patternFill>
    </fill>
    <fill>
      <patternFill patternType="solid">
        <fgColor rgb="FF3AA9FB"/>
        <bgColor indexed="64"/>
      </patternFill>
    </fill>
    <fill>
      <patternFill patternType="solid">
        <fgColor rgb="FF3AA7F8"/>
        <bgColor indexed="64"/>
      </patternFill>
    </fill>
    <fill>
      <patternFill patternType="solid">
        <fgColor rgb="FF297ACA"/>
        <bgColor indexed="64"/>
      </patternFill>
    </fill>
    <fill>
      <patternFill patternType="solid">
        <fgColor rgb="FF1F609D"/>
        <bgColor indexed="64"/>
      </patternFill>
    </fill>
    <fill>
      <patternFill patternType="solid">
        <fgColor rgb="FF366376"/>
        <bgColor indexed="64"/>
      </patternFill>
    </fill>
    <fill>
      <patternFill patternType="solid">
        <fgColor rgb="FF577B4E"/>
        <bgColor indexed="64"/>
      </patternFill>
    </fill>
    <fill>
      <patternFill patternType="solid">
        <fgColor rgb="FF78A95E"/>
        <bgColor indexed="64"/>
      </patternFill>
    </fill>
    <fill>
      <patternFill patternType="solid">
        <fgColor rgb="FF7BAF5E"/>
        <bgColor indexed="64"/>
      </patternFill>
    </fill>
    <fill>
      <patternFill patternType="solid">
        <fgColor rgb="FF7EB15E"/>
        <bgColor indexed="64"/>
      </patternFill>
    </fill>
    <fill>
      <patternFill patternType="solid">
        <fgColor rgb="FF7DB05E"/>
        <bgColor indexed="64"/>
      </patternFill>
    </fill>
    <fill>
      <patternFill patternType="solid">
        <fgColor rgb="FF7AB15C"/>
        <bgColor indexed="64"/>
      </patternFill>
    </fill>
    <fill>
      <patternFill patternType="solid">
        <fgColor rgb="FF81AE61"/>
        <bgColor indexed="64"/>
      </patternFill>
    </fill>
    <fill>
      <patternFill patternType="solid">
        <fgColor rgb="FF5C8770"/>
        <bgColor indexed="64"/>
      </patternFill>
    </fill>
    <fill>
      <patternFill patternType="solid">
        <fgColor rgb="FF244E7A"/>
        <bgColor indexed="64"/>
      </patternFill>
    </fill>
    <fill>
      <patternFill patternType="solid">
        <fgColor rgb="FF735341"/>
        <bgColor indexed="64"/>
      </patternFill>
    </fill>
    <fill>
      <patternFill patternType="solid">
        <fgColor rgb="FFF4AA6F"/>
        <bgColor indexed="64"/>
      </patternFill>
    </fill>
    <fill>
      <patternFill patternType="solid">
        <fgColor rgb="FF5C4D52"/>
        <bgColor indexed="64"/>
      </patternFill>
    </fill>
    <fill>
      <patternFill patternType="solid">
        <fgColor rgb="FF121522"/>
        <bgColor indexed="64"/>
      </patternFill>
    </fill>
    <fill>
      <patternFill patternType="solid">
        <fgColor rgb="FF9B6134"/>
        <bgColor indexed="64"/>
      </patternFill>
    </fill>
    <fill>
      <patternFill patternType="solid">
        <fgColor rgb="FFF89854"/>
        <bgColor indexed="64"/>
      </patternFill>
    </fill>
    <fill>
      <patternFill patternType="solid">
        <fgColor rgb="FFD4793D"/>
        <bgColor indexed="64"/>
      </patternFill>
    </fill>
    <fill>
      <patternFill patternType="solid">
        <fgColor rgb="FFBF7244"/>
        <bgColor indexed="64"/>
      </patternFill>
    </fill>
    <fill>
      <patternFill patternType="solid">
        <fgColor rgb="FF7C3B1A"/>
        <bgColor indexed="64"/>
      </patternFill>
    </fill>
    <fill>
      <patternFill patternType="solid">
        <fgColor rgb="FFC0753B"/>
        <bgColor indexed="64"/>
      </patternFill>
    </fill>
    <fill>
      <patternFill patternType="solid">
        <fgColor rgb="FFEF934E"/>
        <bgColor indexed="64"/>
      </patternFill>
    </fill>
    <fill>
      <patternFill patternType="solid">
        <fgColor rgb="FFCB7942"/>
        <bgColor indexed="64"/>
      </patternFill>
    </fill>
    <fill>
      <patternFill patternType="solid">
        <fgColor rgb="FFA35E3E"/>
        <bgColor indexed="64"/>
      </patternFill>
    </fill>
    <fill>
      <patternFill patternType="solid">
        <fgColor rgb="FF6E4531"/>
        <bgColor indexed="64"/>
      </patternFill>
    </fill>
    <fill>
      <patternFill patternType="solid">
        <fgColor rgb="FF2D3F45"/>
        <bgColor indexed="64"/>
      </patternFill>
    </fill>
    <fill>
      <patternFill patternType="solid">
        <fgColor rgb="FF3D7B9C"/>
        <bgColor indexed="64"/>
      </patternFill>
    </fill>
    <fill>
      <patternFill patternType="solid">
        <fgColor rgb="FF876093"/>
        <bgColor indexed="64"/>
      </patternFill>
    </fill>
    <fill>
      <patternFill patternType="solid">
        <fgColor rgb="FFBF82BE"/>
        <bgColor indexed="64"/>
      </patternFill>
    </fill>
    <fill>
      <patternFill patternType="solid">
        <fgColor rgb="FF8D6BAB"/>
        <bgColor indexed="64"/>
      </patternFill>
    </fill>
    <fill>
      <patternFill patternType="solid">
        <fgColor rgb="FF389BE6"/>
        <bgColor indexed="64"/>
      </patternFill>
    </fill>
    <fill>
      <patternFill patternType="solid">
        <fgColor rgb="FF3AA6F5"/>
        <bgColor indexed="64"/>
      </patternFill>
    </fill>
    <fill>
      <patternFill patternType="solid">
        <fgColor rgb="FF36A9F8"/>
        <bgColor indexed="64"/>
      </patternFill>
    </fill>
    <fill>
      <patternFill patternType="solid">
        <fgColor rgb="FF3DAEFE"/>
        <bgColor indexed="64"/>
      </patternFill>
    </fill>
    <fill>
      <patternFill patternType="solid">
        <fgColor rgb="FF2D88D8"/>
        <bgColor indexed="64"/>
      </patternFill>
    </fill>
    <fill>
      <patternFill patternType="solid">
        <fgColor rgb="FF47737F"/>
        <bgColor indexed="64"/>
      </patternFill>
    </fill>
    <fill>
      <patternFill patternType="solid">
        <fgColor rgb="FF769D6B"/>
        <bgColor indexed="64"/>
      </patternFill>
    </fill>
    <fill>
      <patternFill patternType="solid">
        <fgColor rgb="FF608A4E"/>
        <bgColor indexed="64"/>
      </patternFill>
    </fill>
    <fill>
      <patternFill patternType="solid">
        <fgColor rgb="FF82AF66"/>
        <bgColor indexed="64"/>
      </patternFill>
    </fill>
    <fill>
      <patternFill patternType="solid">
        <fgColor rgb="FF7FB064"/>
        <bgColor indexed="64"/>
      </patternFill>
    </fill>
    <fill>
      <patternFill patternType="solid">
        <fgColor rgb="FF7BB05E"/>
        <bgColor indexed="64"/>
      </patternFill>
    </fill>
    <fill>
      <patternFill patternType="solid">
        <fgColor rgb="FF7FB260"/>
        <bgColor indexed="64"/>
      </patternFill>
    </fill>
    <fill>
      <patternFill patternType="solid">
        <fgColor rgb="FF7CAE5A"/>
        <bgColor indexed="64"/>
      </patternFill>
    </fill>
    <fill>
      <patternFill patternType="solid">
        <fgColor rgb="FF7CAF55"/>
        <bgColor indexed="64"/>
      </patternFill>
    </fill>
    <fill>
      <patternFill patternType="solid">
        <fgColor rgb="FF81B361"/>
        <bgColor indexed="64"/>
      </patternFill>
    </fill>
    <fill>
      <patternFill patternType="solid">
        <fgColor rgb="FF325742"/>
        <bgColor indexed="64"/>
      </patternFill>
    </fill>
    <fill>
      <patternFill patternType="solid">
        <fgColor rgb="FF59A0D1"/>
        <bgColor indexed="64"/>
      </patternFill>
    </fill>
    <fill>
      <patternFill patternType="solid">
        <fgColor rgb="FF3566A5"/>
        <bgColor indexed="64"/>
      </patternFill>
    </fill>
    <fill>
      <patternFill patternType="solid">
        <fgColor rgb="FFBE845A"/>
        <bgColor indexed="64"/>
      </patternFill>
    </fill>
    <fill>
      <patternFill patternType="solid">
        <fgColor rgb="FFDB9769"/>
        <bgColor indexed="64"/>
      </patternFill>
    </fill>
    <fill>
      <patternFill patternType="solid">
        <fgColor rgb="FF402521"/>
        <bgColor indexed="64"/>
      </patternFill>
    </fill>
    <fill>
      <patternFill patternType="solid">
        <fgColor rgb="FF985D31"/>
        <bgColor indexed="64"/>
      </patternFill>
    </fill>
    <fill>
      <patternFill patternType="solid">
        <fgColor rgb="FFCA7F50"/>
        <bgColor indexed="64"/>
      </patternFill>
    </fill>
    <fill>
      <patternFill patternType="solid">
        <fgColor rgb="FF754E37"/>
        <bgColor indexed="64"/>
      </patternFill>
    </fill>
    <fill>
      <patternFill patternType="solid">
        <fgColor rgb="FF54626C"/>
        <bgColor indexed="64"/>
      </patternFill>
    </fill>
    <fill>
      <patternFill patternType="solid">
        <fgColor rgb="FF4597D7"/>
        <bgColor indexed="64"/>
      </patternFill>
    </fill>
    <fill>
      <patternFill patternType="solid">
        <fgColor rgb="FF3BA1F3"/>
        <bgColor indexed="64"/>
      </patternFill>
    </fill>
    <fill>
      <patternFill patternType="solid">
        <fgColor rgb="FFB57FBD"/>
        <bgColor indexed="64"/>
      </patternFill>
    </fill>
    <fill>
      <patternFill patternType="solid">
        <fgColor rgb="FF654C8A"/>
        <bgColor indexed="64"/>
      </patternFill>
    </fill>
    <fill>
      <patternFill patternType="solid">
        <fgColor rgb="FF252650"/>
        <bgColor indexed="64"/>
      </patternFill>
    </fill>
    <fill>
      <patternFill patternType="solid">
        <fgColor rgb="FF39487F"/>
        <bgColor indexed="64"/>
      </patternFill>
    </fill>
    <fill>
      <patternFill patternType="solid">
        <fgColor rgb="FF3F76AB"/>
        <bgColor indexed="64"/>
      </patternFill>
    </fill>
    <fill>
      <patternFill patternType="solid">
        <fgColor rgb="FF49B0FB"/>
        <bgColor indexed="64"/>
      </patternFill>
    </fill>
    <fill>
      <patternFill patternType="solid">
        <fgColor rgb="FF39A8F8"/>
        <bgColor indexed="64"/>
      </patternFill>
    </fill>
    <fill>
      <patternFill patternType="solid">
        <fgColor rgb="FF3FAEFE"/>
        <bgColor indexed="64"/>
      </patternFill>
    </fill>
    <fill>
      <patternFill patternType="solid">
        <fgColor rgb="FF3597EF"/>
        <bgColor indexed="64"/>
      </patternFill>
    </fill>
    <fill>
      <patternFill patternType="solid">
        <fgColor rgb="FF1B4974"/>
        <bgColor indexed="64"/>
      </patternFill>
    </fill>
    <fill>
      <patternFill patternType="solid">
        <fgColor rgb="FF3F4A36"/>
        <bgColor indexed="64"/>
      </patternFill>
    </fill>
    <fill>
      <patternFill patternType="solid">
        <fgColor rgb="FF6E8C53"/>
        <bgColor indexed="64"/>
      </patternFill>
    </fill>
    <fill>
      <patternFill patternType="solid">
        <fgColor rgb="FF83B468"/>
        <bgColor indexed="64"/>
      </patternFill>
    </fill>
    <fill>
      <patternFill patternType="solid">
        <fgColor rgb="FF7CAD5D"/>
        <bgColor indexed="64"/>
      </patternFill>
    </fill>
    <fill>
      <patternFill patternType="solid">
        <fgColor rgb="FF79AD5B"/>
        <bgColor indexed="64"/>
      </patternFill>
    </fill>
    <fill>
      <patternFill patternType="solid">
        <fgColor rgb="FF7AAD5A"/>
        <bgColor indexed="64"/>
      </patternFill>
    </fill>
    <fill>
      <patternFill patternType="solid">
        <fgColor rgb="FF7DAF58"/>
        <bgColor indexed="64"/>
      </patternFill>
    </fill>
    <fill>
      <patternFill patternType="solid">
        <fgColor rgb="FF7DAF59"/>
        <bgColor indexed="64"/>
      </patternFill>
    </fill>
    <fill>
      <patternFill patternType="solid">
        <fgColor rgb="FF80B25C"/>
        <bgColor indexed="64"/>
      </patternFill>
    </fill>
    <fill>
      <patternFill patternType="solid">
        <fgColor rgb="FF314A39"/>
        <bgColor indexed="64"/>
      </patternFill>
    </fill>
    <fill>
      <patternFill patternType="solid">
        <fgColor rgb="FF2D577B"/>
        <bgColor indexed="64"/>
      </patternFill>
    </fill>
    <fill>
      <patternFill patternType="solid">
        <fgColor rgb="FF6A7084"/>
        <bgColor indexed="64"/>
      </patternFill>
    </fill>
    <fill>
      <patternFill patternType="solid">
        <fgColor rgb="FFF29D63"/>
        <bgColor indexed="64"/>
      </patternFill>
    </fill>
    <fill>
      <patternFill patternType="solid">
        <fgColor rgb="FFD07B4E"/>
        <bgColor indexed="64"/>
      </patternFill>
    </fill>
    <fill>
      <patternFill patternType="solid">
        <fgColor rgb="FFAC5D2C"/>
        <bgColor indexed="64"/>
      </patternFill>
    </fill>
    <fill>
      <patternFill patternType="solid">
        <fgColor rgb="FFFFA958"/>
        <bgColor indexed="64"/>
      </patternFill>
    </fill>
    <fill>
      <patternFill patternType="solid">
        <fgColor rgb="FFC16B38"/>
        <bgColor indexed="64"/>
      </patternFill>
    </fill>
    <fill>
      <patternFill patternType="solid">
        <fgColor rgb="FFCE7335"/>
        <bgColor indexed="64"/>
      </patternFill>
    </fill>
    <fill>
      <patternFill patternType="solid">
        <fgColor rgb="FFFFA257"/>
        <bgColor indexed="64"/>
      </patternFill>
    </fill>
    <fill>
      <patternFill patternType="solid">
        <fgColor rgb="FFFC9B53"/>
        <bgColor indexed="64"/>
      </patternFill>
    </fill>
    <fill>
      <patternFill patternType="solid">
        <fgColor rgb="FFF8994D"/>
        <bgColor indexed="64"/>
      </patternFill>
    </fill>
    <fill>
      <patternFill patternType="solid">
        <fgColor rgb="FFFFA556"/>
        <bgColor indexed="64"/>
      </patternFill>
    </fill>
    <fill>
      <patternFill patternType="solid">
        <fgColor rgb="FFDB8954"/>
        <bgColor indexed="64"/>
      </patternFill>
    </fill>
    <fill>
      <patternFill patternType="solid">
        <fgColor rgb="FF51271A"/>
        <bgColor indexed="64"/>
      </patternFill>
    </fill>
    <fill>
      <patternFill patternType="solid">
        <fgColor rgb="FF30211F"/>
        <bgColor indexed="64"/>
      </patternFill>
    </fill>
    <fill>
      <patternFill patternType="solid">
        <fgColor rgb="FF44414E"/>
        <bgColor indexed="64"/>
      </patternFill>
    </fill>
    <fill>
      <patternFill patternType="solid">
        <fgColor rgb="FF393D51"/>
        <bgColor indexed="64"/>
      </patternFill>
    </fill>
    <fill>
      <patternFill patternType="solid">
        <fgColor rgb="FF4D4856"/>
        <bgColor indexed="64"/>
      </patternFill>
    </fill>
    <fill>
      <patternFill patternType="solid">
        <fgColor rgb="FFA573B7"/>
        <bgColor indexed="64"/>
      </patternFill>
    </fill>
    <fill>
      <patternFill patternType="solid">
        <fgColor rgb="FF6C4B88"/>
        <bgColor indexed="64"/>
      </patternFill>
    </fill>
    <fill>
      <patternFill patternType="solid">
        <fgColor rgb="FF8A6399"/>
        <bgColor indexed="64"/>
      </patternFill>
    </fill>
    <fill>
      <patternFill patternType="solid">
        <fgColor rgb="FF665D96"/>
        <bgColor indexed="64"/>
      </patternFill>
    </fill>
    <fill>
      <patternFill patternType="solid">
        <fgColor rgb="FF4F90CC"/>
        <bgColor indexed="64"/>
      </patternFill>
    </fill>
    <fill>
      <patternFill patternType="solid">
        <fgColor rgb="FF42ACFC"/>
        <bgColor indexed="64"/>
      </patternFill>
    </fill>
    <fill>
      <patternFill patternType="solid">
        <fgColor rgb="FF3AA3F9"/>
        <bgColor indexed="64"/>
      </patternFill>
    </fill>
    <fill>
      <patternFill patternType="solid">
        <fgColor rgb="FF3D65B6"/>
        <bgColor indexed="64"/>
      </patternFill>
    </fill>
    <fill>
      <patternFill patternType="solid">
        <fgColor rgb="FF894276"/>
        <bgColor indexed="64"/>
      </patternFill>
    </fill>
    <fill>
      <patternFill patternType="solid">
        <fgColor rgb="FFB4466A"/>
        <bgColor indexed="64"/>
      </patternFill>
    </fill>
    <fill>
      <patternFill patternType="solid">
        <fgColor rgb="FF7C624D"/>
        <bgColor indexed="64"/>
      </patternFill>
    </fill>
    <fill>
      <patternFill patternType="solid">
        <fgColor rgb="FF88B662"/>
        <bgColor indexed="64"/>
      </patternFill>
    </fill>
    <fill>
      <patternFill patternType="solid">
        <fgColor rgb="FF82B762"/>
        <bgColor indexed="64"/>
      </patternFill>
    </fill>
    <fill>
      <patternFill patternType="solid">
        <fgColor rgb="FF7AAF5D"/>
        <bgColor indexed="64"/>
      </patternFill>
    </fill>
    <fill>
      <patternFill patternType="solid">
        <fgColor rgb="FF7BB15B"/>
        <bgColor indexed="64"/>
      </patternFill>
    </fill>
    <fill>
      <patternFill patternType="solid">
        <fgColor rgb="FF80B25D"/>
        <bgColor indexed="64"/>
      </patternFill>
    </fill>
    <fill>
      <patternFill patternType="solid">
        <fgColor rgb="FF7BAC5C"/>
        <bgColor indexed="64"/>
      </patternFill>
    </fill>
    <fill>
      <patternFill patternType="solid">
        <fgColor rgb="FF81B45C"/>
        <bgColor indexed="64"/>
      </patternFill>
    </fill>
    <fill>
      <patternFill patternType="solid">
        <fgColor rgb="FF726544"/>
        <bgColor indexed="64"/>
      </patternFill>
    </fill>
    <fill>
      <patternFill patternType="solid">
        <fgColor rgb="FF594238"/>
        <bgColor indexed="64"/>
      </patternFill>
    </fill>
    <fill>
      <patternFill patternType="solid">
        <fgColor rgb="FF8A5630"/>
        <bgColor indexed="64"/>
      </patternFill>
    </fill>
    <fill>
      <patternFill patternType="solid">
        <fgColor rgb="FFFFA55B"/>
        <bgColor indexed="64"/>
      </patternFill>
    </fill>
    <fill>
      <patternFill patternType="solid">
        <fgColor rgb="FFF89853"/>
        <bgColor indexed="64"/>
      </patternFill>
    </fill>
    <fill>
      <patternFill patternType="solid">
        <fgColor rgb="FFFC9C50"/>
        <bgColor indexed="64"/>
      </patternFill>
    </fill>
    <fill>
      <patternFill patternType="solid">
        <fgColor rgb="FFFDA052"/>
        <bgColor indexed="64"/>
      </patternFill>
    </fill>
    <fill>
      <patternFill patternType="solid">
        <fgColor rgb="FFAD5A2A"/>
        <bgColor indexed="64"/>
      </patternFill>
    </fill>
    <fill>
      <patternFill patternType="solid">
        <fgColor rgb="FFEF924B"/>
        <bgColor indexed="64"/>
      </patternFill>
    </fill>
    <fill>
      <patternFill patternType="solid">
        <fgColor rgb="FFFC9D50"/>
        <bgColor indexed="64"/>
      </patternFill>
    </fill>
    <fill>
      <patternFill patternType="solid">
        <fgColor rgb="FFF99D4E"/>
        <bgColor indexed="64"/>
      </patternFill>
    </fill>
    <fill>
      <patternFill patternType="solid">
        <fgColor rgb="FFFFAB5D"/>
        <bgColor indexed="64"/>
      </patternFill>
    </fill>
    <fill>
      <patternFill patternType="solid">
        <fgColor rgb="FFCF7A45"/>
        <bgColor indexed="64"/>
      </patternFill>
    </fill>
    <fill>
      <patternFill patternType="solid">
        <fgColor rgb="FFAF5B2E"/>
        <bgColor indexed="64"/>
      </patternFill>
    </fill>
    <fill>
      <patternFill patternType="solid">
        <fgColor rgb="FFC3743F"/>
        <bgColor indexed="64"/>
      </patternFill>
    </fill>
    <fill>
      <patternFill patternType="solid">
        <fgColor rgb="FFDD864D"/>
        <bgColor indexed="64"/>
      </patternFill>
    </fill>
    <fill>
      <patternFill patternType="solid">
        <fgColor rgb="FFDC8043"/>
        <bgColor indexed="64"/>
      </patternFill>
    </fill>
    <fill>
      <patternFill patternType="solid">
        <fgColor rgb="FFED8C45"/>
        <bgColor indexed="64"/>
      </patternFill>
    </fill>
    <fill>
      <patternFill patternType="solid">
        <fgColor rgb="FFF39952"/>
        <bgColor indexed="64"/>
      </patternFill>
    </fill>
    <fill>
      <patternFill patternType="solid">
        <fgColor rgb="FFB477B9"/>
        <bgColor indexed="64"/>
      </patternFill>
    </fill>
    <fill>
      <patternFill patternType="solid">
        <fgColor rgb="FFBE7EC0"/>
        <bgColor indexed="64"/>
      </patternFill>
    </fill>
    <fill>
      <patternFill patternType="solid">
        <fgColor rgb="FFBE80C8"/>
        <bgColor indexed="64"/>
      </patternFill>
    </fill>
    <fill>
      <patternFill patternType="solid">
        <fgColor rgb="FF475C96"/>
        <bgColor indexed="64"/>
      </patternFill>
    </fill>
    <fill>
      <patternFill patternType="solid">
        <fgColor rgb="FF4DACF2"/>
        <bgColor indexed="64"/>
      </patternFill>
    </fill>
    <fill>
      <patternFill patternType="solid">
        <fgColor rgb="FF3181D8"/>
        <bgColor indexed="64"/>
      </patternFill>
    </fill>
    <fill>
      <patternFill patternType="solid">
        <fgColor rgb="FF224586"/>
        <bgColor indexed="64"/>
      </patternFill>
    </fill>
    <fill>
      <patternFill patternType="solid">
        <fgColor rgb="FF57528A"/>
        <bgColor indexed="64"/>
      </patternFill>
    </fill>
    <fill>
      <patternFill patternType="solid">
        <fgColor rgb="FFC0507F"/>
        <bgColor indexed="64"/>
      </patternFill>
    </fill>
    <fill>
      <patternFill patternType="solid">
        <fgColor rgb="FFFF6D91"/>
        <bgColor indexed="64"/>
      </patternFill>
    </fill>
    <fill>
      <patternFill patternType="solid">
        <fgColor rgb="FFD45D7B"/>
        <bgColor indexed="64"/>
      </patternFill>
    </fill>
    <fill>
      <patternFill patternType="solid">
        <fgColor rgb="FF767451"/>
        <bgColor indexed="64"/>
      </patternFill>
    </fill>
    <fill>
      <patternFill patternType="solid">
        <fgColor rgb="FF7CA75A"/>
        <bgColor indexed="64"/>
      </patternFill>
    </fill>
    <fill>
      <patternFill patternType="solid">
        <fgColor rgb="FF759B51"/>
        <bgColor indexed="64"/>
      </patternFill>
    </fill>
    <fill>
      <patternFill patternType="solid">
        <fgColor rgb="FF7CAE61"/>
        <bgColor indexed="64"/>
      </patternFill>
    </fill>
    <fill>
      <patternFill patternType="solid">
        <fgColor rgb="FF82B55D"/>
        <bgColor indexed="64"/>
      </patternFill>
    </fill>
    <fill>
      <patternFill patternType="solid">
        <fgColor rgb="FF85B75F"/>
        <bgColor indexed="64"/>
      </patternFill>
    </fill>
    <fill>
      <patternFill patternType="solid">
        <fgColor rgb="FF79AA57"/>
        <bgColor indexed="64"/>
      </patternFill>
    </fill>
    <fill>
      <patternFill patternType="solid">
        <fgColor rgb="FF86B663"/>
        <bgColor indexed="64"/>
      </patternFill>
    </fill>
    <fill>
      <patternFill patternType="solid">
        <fgColor rgb="FFB4783F"/>
        <bgColor indexed="64"/>
      </patternFill>
    </fill>
    <fill>
      <patternFill patternType="solid">
        <fgColor rgb="FFC77A50"/>
        <bgColor indexed="64"/>
      </patternFill>
    </fill>
    <fill>
      <patternFill patternType="solid">
        <fgColor rgb="FFA85C2E"/>
        <bgColor indexed="64"/>
      </patternFill>
    </fill>
    <fill>
      <patternFill patternType="solid">
        <fgColor rgb="FFFFA559"/>
        <bgColor indexed="64"/>
      </patternFill>
    </fill>
    <fill>
      <patternFill patternType="solid">
        <fgColor rgb="FFFB9C50"/>
        <bgColor indexed="64"/>
      </patternFill>
    </fill>
    <fill>
      <patternFill patternType="solid">
        <fgColor rgb="FFFA9B4F"/>
        <bgColor indexed="64"/>
      </patternFill>
    </fill>
    <fill>
      <patternFill patternType="solid">
        <fgColor rgb="FFFB9A50"/>
        <bgColor indexed="64"/>
      </patternFill>
    </fill>
    <fill>
      <patternFill patternType="solid">
        <fgColor rgb="FFFF9F52"/>
        <bgColor indexed="64"/>
      </patternFill>
    </fill>
    <fill>
      <patternFill patternType="solid">
        <fgColor rgb="FFFE9D51"/>
        <bgColor indexed="64"/>
      </patternFill>
    </fill>
    <fill>
      <patternFill patternType="solid">
        <fgColor rgb="FFFE9E58"/>
        <bgColor indexed="64"/>
      </patternFill>
    </fill>
    <fill>
      <patternFill patternType="solid">
        <fgColor rgb="FFB45F39"/>
        <bgColor indexed="64"/>
      </patternFill>
    </fill>
    <fill>
      <patternFill patternType="solid">
        <fgColor rgb="FFA45528"/>
        <bgColor indexed="64"/>
      </patternFill>
    </fill>
    <fill>
      <patternFill patternType="solid">
        <fgColor rgb="FFFC9D52"/>
        <bgColor indexed="64"/>
      </patternFill>
    </fill>
    <fill>
      <patternFill patternType="solid">
        <fgColor rgb="FFFFA054"/>
        <bgColor indexed="64"/>
      </patternFill>
    </fill>
    <fill>
      <patternFill patternType="solid">
        <fgColor rgb="FFFF9B53"/>
        <bgColor indexed="64"/>
      </patternFill>
    </fill>
    <fill>
      <patternFill patternType="solid">
        <fgColor rgb="FFFF9D53"/>
        <bgColor indexed="64"/>
      </patternFill>
    </fill>
    <fill>
      <patternFill patternType="solid">
        <fgColor rgb="FFFF994D"/>
        <bgColor indexed="64"/>
      </patternFill>
    </fill>
    <fill>
      <patternFill patternType="solid">
        <fgColor rgb="FFFA9B55"/>
        <bgColor indexed="64"/>
      </patternFill>
    </fill>
    <fill>
      <patternFill patternType="solid">
        <fgColor rgb="FFB677BA"/>
        <bgColor indexed="64"/>
      </patternFill>
    </fill>
    <fill>
      <patternFill patternType="solid">
        <fgColor rgb="FFB475B6"/>
        <bgColor indexed="64"/>
      </patternFill>
    </fill>
    <fill>
      <patternFill patternType="solid">
        <fgColor rgb="FFB67CC0"/>
        <bgColor indexed="64"/>
      </patternFill>
    </fill>
    <fill>
      <patternFill patternType="solid">
        <fgColor rgb="FF6C8348"/>
        <bgColor indexed="64"/>
      </patternFill>
    </fill>
    <fill>
      <patternFill patternType="solid">
        <fgColor rgb="FF8CBB5B"/>
        <bgColor indexed="64"/>
      </patternFill>
    </fill>
    <fill>
      <patternFill patternType="solid">
        <fgColor rgb="FF88B95D"/>
        <bgColor indexed="64"/>
      </patternFill>
    </fill>
    <fill>
      <patternFill patternType="solid">
        <fgColor rgb="FF699A4F"/>
        <bgColor indexed="64"/>
      </patternFill>
    </fill>
    <fill>
      <patternFill patternType="solid">
        <fgColor rgb="FF6B954A"/>
        <bgColor indexed="64"/>
      </patternFill>
    </fill>
    <fill>
      <patternFill patternType="solid">
        <fgColor rgb="FFD28644"/>
        <bgColor indexed="64"/>
      </patternFill>
    </fill>
    <fill>
      <patternFill patternType="solid">
        <fgColor rgb="FFE6854B"/>
        <bgColor indexed="64"/>
      </patternFill>
    </fill>
    <fill>
      <patternFill patternType="solid">
        <fgColor rgb="FFDE7E40"/>
        <bgColor indexed="64"/>
      </patternFill>
    </fill>
    <fill>
      <patternFill patternType="solid">
        <fgColor rgb="FFFE9F56"/>
        <bgColor indexed="64"/>
      </patternFill>
    </fill>
    <fill>
      <patternFill patternType="solid">
        <fgColor rgb="FFFA9B51"/>
        <bgColor indexed="64"/>
      </patternFill>
    </fill>
    <fill>
      <patternFill patternType="solid">
        <fgColor rgb="FFFC9A51"/>
        <bgColor indexed="64"/>
      </patternFill>
    </fill>
    <fill>
      <patternFill patternType="solid">
        <fgColor rgb="FFFE9D52"/>
        <bgColor indexed="64"/>
      </patternFill>
    </fill>
    <fill>
      <patternFill patternType="solid">
        <fgColor rgb="FFFB9B4D"/>
        <bgColor indexed="64"/>
      </patternFill>
    </fill>
    <fill>
      <patternFill patternType="solid">
        <fgColor rgb="FFFA9A4F"/>
        <bgColor indexed="64"/>
      </patternFill>
    </fill>
    <fill>
      <patternFill patternType="solid">
        <fgColor rgb="FFFC9D51"/>
        <bgColor indexed="64"/>
      </patternFill>
    </fill>
    <fill>
      <patternFill patternType="solid">
        <fgColor rgb="FFFB9A54"/>
        <bgColor indexed="64"/>
      </patternFill>
    </fill>
    <fill>
      <patternFill patternType="solid">
        <fgColor rgb="FFDA7C41"/>
        <bgColor indexed="64"/>
      </patternFill>
    </fill>
    <fill>
      <patternFill patternType="solid">
        <fgColor rgb="FFF7984C"/>
        <bgColor indexed="64"/>
      </patternFill>
    </fill>
    <fill>
      <patternFill patternType="solid">
        <fgColor rgb="FFFE9C4E"/>
        <bgColor indexed="64"/>
      </patternFill>
    </fill>
    <fill>
      <patternFill patternType="solid">
        <fgColor rgb="FFFA974C"/>
        <bgColor indexed="64"/>
      </patternFill>
    </fill>
    <fill>
      <patternFill patternType="solid">
        <fgColor rgb="FFFA974E"/>
        <bgColor indexed="64"/>
      </patternFill>
    </fill>
    <fill>
      <patternFill patternType="solid">
        <fgColor rgb="FFFA964E"/>
        <bgColor indexed="64"/>
      </patternFill>
    </fill>
    <fill>
      <patternFill patternType="solid">
        <fgColor rgb="FFFB944D"/>
        <bgColor indexed="64"/>
      </patternFill>
    </fill>
    <fill>
      <patternFill patternType="solid">
        <fgColor rgb="FFF99954"/>
        <bgColor indexed="64"/>
      </patternFill>
    </fill>
    <fill>
      <patternFill patternType="solid">
        <fgColor rgb="FFB277B5"/>
        <bgColor indexed="64"/>
      </patternFill>
    </fill>
    <fill>
      <patternFill patternType="solid">
        <fgColor rgb="FFAF76B6"/>
        <bgColor indexed="64"/>
      </patternFill>
    </fill>
    <fill>
      <patternFill patternType="solid">
        <fgColor rgb="FF845691"/>
        <bgColor indexed="64"/>
      </patternFill>
    </fill>
    <fill>
      <patternFill patternType="solid">
        <fgColor rgb="FF73294E"/>
        <bgColor indexed="64"/>
      </patternFill>
    </fill>
    <fill>
      <patternFill patternType="solid">
        <fgColor rgb="FFE15876"/>
        <bgColor indexed="64"/>
      </patternFill>
    </fill>
    <fill>
      <patternFill patternType="solid">
        <fgColor rgb="FFDC4A73"/>
        <bgColor indexed="64"/>
      </patternFill>
    </fill>
    <fill>
      <patternFill patternType="solid">
        <fgColor rgb="FFDD4A6E"/>
        <bgColor indexed="64"/>
      </patternFill>
    </fill>
    <fill>
      <patternFill patternType="solid">
        <fgColor rgb="FFFA5F88"/>
        <bgColor indexed="64"/>
      </patternFill>
    </fill>
    <fill>
      <patternFill patternType="solid">
        <fgColor rgb="FFFA608B"/>
        <bgColor indexed="64"/>
      </patternFill>
    </fill>
    <fill>
      <patternFill patternType="solid">
        <fgColor rgb="FFDB4973"/>
        <bgColor indexed="64"/>
      </patternFill>
    </fill>
    <fill>
      <patternFill patternType="solid">
        <fgColor rgb="FFD94A6E"/>
        <bgColor indexed="64"/>
      </patternFill>
    </fill>
    <fill>
      <patternFill patternType="solid">
        <fgColor rgb="FFFB5F84"/>
        <bgColor indexed="64"/>
      </patternFill>
    </fill>
    <fill>
      <patternFill patternType="solid">
        <fgColor rgb="FFE6557F"/>
        <bgColor indexed="64"/>
      </patternFill>
    </fill>
    <fill>
      <patternFill patternType="solid">
        <fgColor rgb="FFA33C5A"/>
        <bgColor indexed="64"/>
      </patternFill>
    </fill>
    <fill>
      <patternFill patternType="solid">
        <fgColor rgb="FF755E47"/>
        <bgColor indexed="64"/>
      </patternFill>
    </fill>
    <fill>
      <patternFill patternType="solid">
        <fgColor rgb="FF82A758"/>
        <bgColor indexed="64"/>
      </patternFill>
    </fill>
    <fill>
      <patternFill patternType="solid">
        <fgColor rgb="FF83B456"/>
        <bgColor indexed="64"/>
      </patternFill>
    </fill>
    <fill>
      <patternFill patternType="solid">
        <fgColor rgb="FF89BB5A"/>
        <bgColor indexed="64"/>
      </patternFill>
    </fill>
    <fill>
      <patternFill patternType="solid">
        <fgColor rgb="FF79A85D"/>
        <bgColor indexed="64"/>
      </patternFill>
    </fill>
    <fill>
      <patternFill patternType="solid">
        <fgColor rgb="FF597D3F"/>
        <bgColor indexed="64"/>
      </patternFill>
    </fill>
    <fill>
      <patternFill patternType="solid">
        <fgColor rgb="FFE4964C"/>
        <bgColor indexed="64"/>
      </patternFill>
    </fill>
    <fill>
      <patternFill patternType="solid">
        <fgColor rgb="FFFF9E56"/>
        <bgColor indexed="64"/>
      </patternFill>
    </fill>
    <fill>
      <patternFill patternType="solid">
        <fgColor rgb="FFFB9A53"/>
        <bgColor indexed="64"/>
      </patternFill>
    </fill>
    <fill>
      <patternFill patternType="solid">
        <fgColor rgb="FFFC9A54"/>
        <bgColor indexed="64"/>
      </patternFill>
    </fill>
    <fill>
      <patternFill patternType="solid">
        <fgColor rgb="FFFB9B53"/>
        <bgColor indexed="64"/>
      </patternFill>
    </fill>
    <fill>
      <patternFill patternType="solid">
        <fgColor rgb="FFFB9A51"/>
        <bgColor indexed="64"/>
      </patternFill>
    </fill>
    <fill>
      <patternFill patternType="solid">
        <fgColor rgb="FFFE9D53"/>
        <bgColor indexed="64"/>
      </patternFill>
    </fill>
    <fill>
      <patternFill patternType="solid">
        <fgColor rgb="FFFB9D4C"/>
        <bgColor indexed="64"/>
      </patternFill>
    </fill>
    <fill>
      <patternFill patternType="solid">
        <fgColor rgb="FFFFA14F"/>
        <bgColor indexed="64"/>
      </patternFill>
    </fill>
    <fill>
      <patternFill patternType="solid">
        <fgColor rgb="FFFE994D"/>
        <bgColor indexed="64"/>
      </patternFill>
    </fill>
    <fill>
      <patternFill patternType="solid">
        <fgColor rgb="FFFB984C"/>
        <bgColor indexed="64"/>
      </patternFill>
    </fill>
    <fill>
      <patternFill patternType="solid">
        <fgColor rgb="FFFC994D"/>
        <bgColor indexed="64"/>
      </patternFill>
    </fill>
    <fill>
      <patternFill patternType="solid">
        <fgColor rgb="FFFC9650"/>
        <bgColor indexed="64"/>
      </patternFill>
    </fill>
    <fill>
      <patternFill patternType="solid">
        <fgColor rgb="FFFC954F"/>
        <bgColor indexed="64"/>
      </patternFill>
    </fill>
    <fill>
      <patternFill patternType="solid">
        <fgColor rgb="FFFD9449"/>
        <bgColor indexed="64"/>
      </patternFill>
    </fill>
    <fill>
      <patternFill patternType="solid">
        <fgColor rgb="FFF8974F"/>
        <bgColor indexed="64"/>
      </patternFill>
    </fill>
    <fill>
      <patternFill patternType="solid">
        <fgColor rgb="FFB57CB7"/>
        <bgColor indexed="64"/>
      </patternFill>
    </fill>
    <fill>
      <patternFill patternType="solid">
        <fgColor rgb="FF9C629F"/>
        <bgColor indexed="64"/>
      </patternFill>
    </fill>
    <fill>
      <patternFill patternType="solid">
        <fgColor rgb="FFA6406A"/>
        <bgColor indexed="64"/>
      </patternFill>
    </fill>
    <fill>
      <patternFill patternType="solid">
        <fgColor rgb="FFC3425E"/>
        <bgColor indexed="64"/>
      </patternFill>
    </fill>
    <fill>
      <patternFill patternType="solid">
        <fgColor rgb="FFDD4766"/>
        <bgColor indexed="64"/>
      </patternFill>
    </fill>
    <fill>
      <patternFill patternType="solid">
        <fgColor rgb="FFFF6186"/>
        <bgColor indexed="64"/>
      </patternFill>
    </fill>
    <fill>
      <patternFill patternType="solid">
        <fgColor rgb="FFFF6189"/>
        <bgColor indexed="64"/>
      </patternFill>
    </fill>
    <fill>
      <patternFill patternType="solid">
        <fgColor rgb="FFFB6087"/>
        <bgColor indexed="64"/>
      </patternFill>
    </fill>
    <fill>
      <patternFill patternType="solid">
        <fgColor rgb="FFF95D84"/>
        <bgColor indexed="64"/>
      </patternFill>
    </fill>
    <fill>
      <patternFill patternType="solid">
        <fgColor rgb="FFFB5D86"/>
        <bgColor indexed="64"/>
      </patternFill>
    </fill>
    <fill>
      <patternFill patternType="solid">
        <fgColor rgb="FFFE6087"/>
        <bgColor indexed="64"/>
      </patternFill>
    </fill>
    <fill>
      <patternFill patternType="solid">
        <fgColor rgb="FFFE5F83"/>
        <bgColor indexed="64"/>
      </patternFill>
    </fill>
    <fill>
      <patternFill patternType="solid">
        <fgColor rgb="FFFC6288"/>
        <bgColor indexed="64"/>
      </patternFill>
    </fill>
    <fill>
      <patternFill patternType="solid">
        <fgColor rgb="FFB84268"/>
        <bgColor indexed="64"/>
      </patternFill>
    </fill>
    <fill>
      <patternFill patternType="solid">
        <fgColor rgb="FF762A3F"/>
        <bgColor indexed="64"/>
      </patternFill>
    </fill>
    <fill>
      <patternFill patternType="solid">
        <fgColor rgb="FF785A42"/>
        <bgColor indexed="64"/>
      </patternFill>
    </fill>
    <fill>
      <patternFill patternType="solid">
        <fgColor rgb="FF95B064"/>
        <bgColor indexed="64"/>
      </patternFill>
    </fill>
    <fill>
      <patternFill patternType="solid">
        <fgColor rgb="FF8BC061"/>
        <bgColor indexed="64"/>
      </patternFill>
    </fill>
    <fill>
      <patternFill patternType="solid">
        <fgColor rgb="FF85B65B"/>
        <bgColor indexed="64"/>
      </patternFill>
    </fill>
    <fill>
      <patternFill patternType="solid">
        <fgColor rgb="FF618D46"/>
        <bgColor indexed="64"/>
      </patternFill>
    </fill>
    <fill>
      <patternFill patternType="solid">
        <fgColor rgb="FF597647"/>
        <bgColor indexed="64"/>
      </patternFill>
    </fill>
    <fill>
      <patternFill patternType="solid">
        <fgColor rgb="FFE99A4C"/>
        <bgColor indexed="64"/>
      </patternFill>
    </fill>
    <fill>
      <patternFill patternType="solid">
        <fgColor rgb="FFFA9854"/>
        <bgColor indexed="64"/>
      </patternFill>
    </fill>
    <fill>
      <patternFill patternType="solid">
        <fgColor rgb="FFFB9952"/>
        <bgColor indexed="64"/>
      </patternFill>
    </fill>
    <fill>
      <patternFill patternType="solid">
        <fgColor rgb="FFFB9953"/>
        <bgColor indexed="64"/>
      </patternFill>
    </fill>
    <fill>
      <patternFill patternType="solid">
        <fgColor rgb="FFFC9A52"/>
        <bgColor indexed="64"/>
      </patternFill>
    </fill>
    <fill>
      <patternFill patternType="solid">
        <fgColor rgb="FFFC9A50"/>
        <bgColor indexed="64"/>
      </patternFill>
    </fill>
    <fill>
      <patternFill patternType="solid">
        <fgColor rgb="FFFC974E"/>
        <bgColor indexed="64"/>
      </patternFill>
    </fill>
    <fill>
      <patternFill patternType="solid">
        <fgColor rgb="FFFD994F"/>
        <bgColor indexed="64"/>
      </patternFill>
    </fill>
    <fill>
      <patternFill patternType="solid">
        <fgColor rgb="FFFB9A4F"/>
        <bgColor indexed="64"/>
      </patternFill>
    </fill>
    <fill>
      <patternFill patternType="solid">
        <fgColor rgb="FFFB9C4F"/>
        <bgColor indexed="64"/>
      </patternFill>
    </fill>
    <fill>
      <patternFill patternType="solid">
        <fgColor rgb="FFFB9C4E"/>
        <bgColor indexed="64"/>
      </patternFill>
    </fill>
    <fill>
      <patternFill patternType="solid">
        <fgColor rgb="FFFB9851"/>
        <bgColor indexed="64"/>
      </patternFill>
    </fill>
    <fill>
      <patternFill patternType="solid">
        <fgColor rgb="FFFC9751"/>
        <bgColor indexed="64"/>
      </patternFill>
    </fill>
    <fill>
      <patternFill patternType="solid">
        <fgColor rgb="FFFB964E"/>
        <bgColor indexed="64"/>
      </patternFill>
    </fill>
    <fill>
      <patternFill patternType="solid">
        <fgColor rgb="FFFB9249"/>
        <bgColor indexed="64"/>
      </patternFill>
    </fill>
    <fill>
      <patternFill patternType="solid">
        <fgColor rgb="FFF99750"/>
        <bgColor indexed="64"/>
      </patternFill>
    </fill>
    <fill>
      <patternFill patternType="solid">
        <fgColor rgb="FFBA7DBE"/>
        <bgColor indexed="64"/>
      </patternFill>
    </fill>
    <fill>
      <patternFill patternType="solid">
        <fgColor rgb="FFB678BC"/>
        <bgColor indexed="64"/>
      </patternFill>
    </fill>
    <fill>
      <patternFill patternType="solid">
        <fgColor rgb="FFA3467E"/>
        <bgColor indexed="64"/>
      </patternFill>
    </fill>
    <fill>
      <patternFill patternType="solid">
        <fgColor rgb="FFCA476A"/>
        <bgColor indexed="64"/>
      </patternFill>
    </fill>
    <fill>
      <patternFill patternType="solid">
        <fgColor rgb="FFDC496B"/>
        <bgColor indexed="64"/>
      </patternFill>
    </fill>
    <fill>
      <patternFill patternType="solid">
        <fgColor rgb="FFF75A7D"/>
        <bgColor indexed="64"/>
      </patternFill>
    </fill>
    <fill>
      <patternFill patternType="solid">
        <fgColor rgb="FFF85C7E"/>
        <bgColor indexed="64"/>
      </patternFill>
    </fill>
    <fill>
      <patternFill patternType="solid">
        <fgColor rgb="FFFC5E80"/>
        <bgColor indexed="64"/>
      </patternFill>
    </fill>
    <fill>
      <patternFill patternType="solid">
        <fgColor rgb="FFFD5C82"/>
        <bgColor indexed="64"/>
      </patternFill>
    </fill>
    <fill>
      <patternFill patternType="solid">
        <fgColor rgb="FFF85B7F"/>
        <bgColor indexed="64"/>
      </patternFill>
    </fill>
    <fill>
      <patternFill patternType="solid">
        <fgColor rgb="FFFA5E83"/>
        <bgColor indexed="64"/>
      </patternFill>
    </fill>
    <fill>
      <patternFill patternType="solid">
        <fgColor rgb="FFFC5F87"/>
        <bgColor indexed="64"/>
      </patternFill>
    </fill>
    <fill>
      <patternFill patternType="solid">
        <fgColor rgb="FFF95D82"/>
        <bgColor indexed="64"/>
      </patternFill>
    </fill>
    <fill>
      <patternFill patternType="solid">
        <fgColor rgb="FFFF6486"/>
        <bgColor indexed="64"/>
      </patternFill>
    </fill>
    <fill>
      <patternFill patternType="solid">
        <fgColor rgb="FFF6638A"/>
        <bgColor indexed="64"/>
      </patternFill>
    </fill>
    <fill>
      <patternFill patternType="solid">
        <fgColor rgb="FF993A56"/>
        <bgColor indexed="64"/>
      </patternFill>
    </fill>
    <fill>
      <patternFill patternType="solid">
        <fgColor rgb="FF8A604E"/>
        <bgColor indexed="64"/>
      </patternFill>
    </fill>
    <fill>
      <patternFill patternType="solid">
        <fgColor rgb="FF8F7051"/>
        <bgColor indexed="64"/>
      </patternFill>
    </fill>
    <fill>
      <patternFill patternType="solid">
        <fgColor rgb="FF685B46"/>
        <bgColor indexed="64"/>
      </patternFill>
    </fill>
    <fill>
      <patternFill patternType="solid">
        <fgColor rgb="FF37341D"/>
        <bgColor indexed="64"/>
      </patternFill>
    </fill>
    <fill>
      <patternFill patternType="solid">
        <fgColor rgb="FF565A39"/>
        <bgColor indexed="64"/>
      </patternFill>
    </fill>
    <fill>
      <patternFill patternType="solid">
        <fgColor rgb="FFE8964D"/>
        <bgColor indexed="64"/>
      </patternFill>
    </fill>
    <fill>
      <patternFill patternType="solid">
        <fgColor rgb="FFF99850"/>
        <bgColor indexed="64"/>
      </patternFill>
    </fill>
    <fill>
      <patternFill patternType="solid">
        <fgColor rgb="FFFC9B4F"/>
        <bgColor indexed="64"/>
      </patternFill>
    </fill>
    <fill>
      <patternFill patternType="solid">
        <fgColor rgb="FFFC984F"/>
        <bgColor indexed="64"/>
      </patternFill>
    </fill>
    <fill>
      <patternFill patternType="solid">
        <fgColor rgb="FFFC964C"/>
        <bgColor indexed="64"/>
      </patternFill>
    </fill>
    <fill>
      <patternFill patternType="solid">
        <fgColor rgb="FFFD984E"/>
        <bgColor indexed="64"/>
      </patternFill>
    </fill>
    <fill>
      <patternFill patternType="solid">
        <fgColor rgb="FFFB9951"/>
        <bgColor indexed="64"/>
      </patternFill>
    </fill>
    <fill>
      <patternFill patternType="solid">
        <fgColor rgb="FFFC9B52"/>
        <bgColor indexed="64"/>
      </patternFill>
    </fill>
    <fill>
      <patternFill patternType="solid">
        <fgColor rgb="FFFC9A4D"/>
        <bgColor indexed="64"/>
      </patternFill>
    </fill>
    <fill>
      <patternFill patternType="solid">
        <fgColor rgb="FFFD9B4F"/>
        <bgColor indexed="64"/>
      </patternFill>
    </fill>
    <fill>
      <patternFill patternType="solid">
        <fgColor rgb="FFFC964D"/>
        <bgColor indexed="64"/>
      </patternFill>
    </fill>
    <fill>
      <patternFill patternType="solid">
        <fgColor rgb="FFFB954B"/>
        <bgColor indexed="64"/>
      </patternFill>
    </fill>
    <fill>
      <patternFill patternType="solid">
        <fgColor rgb="FFFC964E"/>
        <bgColor indexed="64"/>
      </patternFill>
    </fill>
    <fill>
      <patternFill patternType="solid">
        <fgColor rgb="FFFC964A"/>
        <bgColor indexed="64"/>
      </patternFill>
    </fill>
    <fill>
      <patternFill patternType="solid">
        <fgColor rgb="FFFA9951"/>
        <bgColor indexed="64"/>
      </patternFill>
    </fill>
    <fill>
      <patternFill patternType="solid">
        <fgColor rgb="FF765879"/>
        <bgColor indexed="64"/>
      </patternFill>
    </fill>
    <fill>
      <patternFill patternType="solid">
        <fgColor rgb="FF745876"/>
        <bgColor indexed="64"/>
      </patternFill>
    </fill>
    <fill>
      <patternFill patternType="solid">
        <fgColor rgb="FF5C4E68"/>
        <bgColor indexed="64"/>
      </patternFill>
    </fill>
    <fill>
      <patternFill patternType="solid">
        <fgColor rgb="FF3A1B2D"/>
        <bgColor indexed="64"/>
      </patternFill>
    </fill>
    <fill>
      <patternFill patternType="solid">
        <fgColor rgb="FF932B39"/>
        <bgColor indexed="64"/>
      </patternFill>
    </fill>
    <fill>
      <patternFill patternType="solid">
        <fgColor rgb="FFFC5D7D"/>
        <bgColor indexed="64"/>
      </patternFill>
    </fill>
    <fill>
      <patternFill patternType="solid">
        <fgColor rgb="FFFF5F89"/>
        <bgColor indexed="64"/>
      </patternFill>
    </fill>
    <fill>
      <patternFill patternType="solid">
        <fgColor rgb="FFEF5482"/>
        <bgColor indexed="64"/>
      </patternFill>
    </fill>
    <fill>
      <patternFill patternType="solid">
        <fgColor rgb="FFB63053"/>
        <bgColor indexed="64"/>
      </patternFill>
    </fill>
    <fill>
      <patternFill patternType="solid">
        <fgColor rgb="FFEA526E"/>
        <bgColor indexed="64"/>
      </patternFill>
    </fill>
    <fill>
      <patternFill patternType="solid">
        <fgColor rgb="FFFD6082"/>
        <bgColor indexed="64"/>
      </patternFill>
    </fill>
    <fill>
      <patternFill patternType="solid">
        <fgColor rgb="FFE85173"/>
        <bgColor indexed="64"/>
      </patternFill>
    </fill>
    <fill>
      <patternFill patternType="solid">
        <fgColor rgb="FFF45878"/>
        <bgColor indexed="64"/>
      </patternFill>
    </fill>
    <fill>
      <patternFill patternType="solid">
        <fgColor rgb="FFFB5B7D"/>
        <bgColor indexed="64"/>
      </patternFill>
    </fill>
    <fill>
      <patternFill patternType="solid">
        <fgColor rgb="FFE04A70"/>
        <bgColor indexed="64"/>
      </patternFill>
    </fill>
    <fill>
      <patternFill patternType="solid">
        <fgColor rgb="FFCC4362"/>
        <bgColor indexed="64"/>
      </patternFill>
    </fill>
    <fill>
      <patternFill patternType="solid">
        <fgColor rgb="FFDD4B68"/>
        <bgColor indexed="64"/>
      </patternFill>
    </fill>
    <fill>
      <patternFill patternType="solid">
        <fgColor rgb="FFDD4D73"/>
        <bgColor indexed="64"/>
      </patternFill>
    </fill>
    <fill>
      <patternFill patternType="solid">
        <fgColor rgb="FF6F1D37"/>
        <bgColor indexed="64"/>
      </patternFill>
    </fill>
    <fill>
      <patternFill patternType="solid">
        <fgColor rgb="FFA15E3E"/>
        <bgColor indexed="64"/>
      </patternFill>
    </fill>
    <fill>
      <patternFill patternType="solid">
        <fgColor rgb="FFA96D4B"/>
        <bgColor indexed="64"/>
      </patternFill>
    </fill>
    <fill>
      <patternFill patternType="solid">
        <fgColor rgb="FFC97A3B"/>
        <bgColor indexed="64"/>
      </patternFill>
    </fill>
    <fill>
      <patternFill patternType="solid">
        <fgColor rgb="FFFFA356"/>
        <bgColor indexed="64"/>
      </patternFill>
    </fill>
    <fill>
      <patternFill patternType="solid">
        <fgColor rgb="FFFA9855"/>
        <bgColor indexed="64"/>
      </patternFill>
    </fill>
    <fill>
      <patternFill patternType="solid">
        <fgColor rgb="FFFB994C"/>
        <bgColor indexed="64"/>
      </patternFill>
    </fill>
    <fill>
      <patternFill patternType="solid">
        <fgColor rgb="FFFD9A4D"/>
        <bgColor indexed="64"/>
      </patternFill>
    </fill>
    <fill>
      <patternFill patternType="solid">
        <fgColor rgb="FFFB994F"/>
        <bgColor indexed="64"/>
      </patternFill>
    </fill>
    <fill>
      <patternFill patternType="solid">
        <fgColor rgb="FFFB9850"/>
        <bgColor indexed="64"/>
      </patternFill>
    </fill>
    <fill>
      <patternFill patternType="solid">
        <fgColor rgb="FFFC9850"/>
        <bgColor indexed="64"/>
      </patternFill>
    </fill>
    <fill>
      <patternFill patternType="solid">
        <fgColor rgb="FFFD984F"/>
        <bgColor indexed="64"/>
      </patternFill>
    </fill>
    <fill>
      <patternFill patternType="solid">
        <fgColor rgb="FFFB974E"/>
        <bgColor indexed="64"/>
      </patternFill>
    </fill>
    <fill>
      <patternFill patternType="solid">
        <fgColor rgb="FFFB974D"/>
        <bgColor indexed="64"/>
      </patternFill>
    </fill>
    <fill>
      <patternFill patternType="solid">
        <fgColor rgb="FFFD994E"/>
        <bgColor indexed="64"/>
      </patternFill>
    </fill>
    <fill>
      <patternFill patternType="solid">
        <fgColor rgb="FFFC974C"/>
        <bgColor indexed="64"/>
      </patternFill>
    </fill>
    <fill>
      <patternFill patternType="solid">
        <fgColor rgb="FFF99A52"/>
        <bgColor indexed="64"/>
      </patternFill>
    </fill>
    <fill>
      <patternFill patternType="solid">
        <fgColor rgb="FF688F48"/>
        <bgColor indexed="64"/>
      </patternFill>
    </fill>
    <fill>
      <patternFill patternType="solid">
        <fgColor rgb="FF6E954D"/>
        <bgColor indexed="64"/>
      </patternFill>
    </fill>
    <fill>
      <patternFill patternType="solid">
        <fgColor rgb="FF5E6F43"/>
        <bgColor indexed="64"/>
      </patternFill>
    </fill>
    <fill>
      <patternFill patternType="solid">
        <fgColor rgb="FF813A3C"/>
        <bgColor indexed="64"/>
      </patternFill>
    </fill>
    <fill>
      <patternFill patternType="solid">
        <fgColor rgb="FFE95874"/>
        <bgColor indexed="64"/>
      </patternFill>
    </fill>
    <fill>
      <patternFill patternType="solid">
        <fgColor rgb="FFE85477"/>
        <bgColor indexed="64"/>
      </patternFill>
    </fill>
    <fill>
      <patternFill patternType="solid">
        <fgColor rgb="FFBE4D62"/>
        <bgColor indexed="64"/>
      </patternFill>
    </fill>
    <fill>
      <patternFill patternType="solid">
        <fgColor rgb="FF8B5C55"/>
        <bgColor indexed="64"/>
      </patternFill>
    </fill>
    <fill>
      <patternFill patternType="solid">
        <fgColor rgb="FF4D4635"/>
        <bgColor indexed="64"/>
      </patternFill>
    </fill>
    <fill>
      <patternFill patternType="solid">
        <fgColor rgb="FF6D3E38"/>
        <bgColor indexed="64"/>
      </patternFill>
    </fill>
    <fill>
      <patternFill patternType="solid">
        <fgColor rgb="FF85303B"/>
        <bgColor indexed="64"/>
      </patternFill>
    </fill>
    <fill>
      <patternFill patternType="solid">
        <fgColor rgb="FFBC354C"/>
        <bgColor indexed="64"/>
      </patternFill>
    </fill>
    <fill>
      <patternFill patternType="solid">
        <fgColor rgb="FFFB5677"/>
        <bgColor indexed="64"/>
      </patternFill>
    </fill>
    <fill>
      <patternFill patternType="solid">
        <fgColor rgb="FFFF5D82"/>
        <bgColor indexed="64"/>
      </patternFill>
    </fill>
    <fill>
      <patternFill patternType="solid">
        <fgColor rgb="FFEC5170"/>
        <bgColor indexed="64"/>
      </patternFill>
    </fill>
    <fill>
      <patternFill patternType="solid">
        <fgColor rgb="FFE44B63"/>
        <bgColor indexed="64"/>
      </patternFill>
    </fill>
    <fill>
      <patternFill patternType="solid">
        <fgColor rgb="FFFF5873"/>
        <bgColor indexed="64"/>
      </patternFill>
    </fill>
    <fill>
      <patternFill patternType="solid">
        <fgColor rgb="FFFF6184"/>
        <bgColor indexed="64"/>
      </patternFill>
    </fill>
    <fill>
      <patternFill patternType="solid">
        <fgColor rgb="FF872941"/>
        <bgColor indexed="64"/>
      </patternFill>
    </fill>
    <fill>
      <patternFill patternType="solid">
        <fgColor rgb="FFB26434"/>
        <bgColor indexed="64"/>
      </patternFill>
    </fill>
    <fill>
      <patternFill patternType="solid">
        <fgColor rgb="FFFEA25F"/>
        <bgColor indexed="64"/>
      </patternFill>
    </fill>
    <fill>
      <patternFill patternType="solid">
        <fgColor rgb="FFBB642E"/>
        <bgColor indexed="64"/>
      </patternFill>
    </fill>
    <fill>
      <patternFill patternType="solid">
        <fgColor rgb="FFF39447"/>
        <bgColor indexed="64"/>
      </patternFill>
    </fill>
    <fill>
      <patternFill patternType="solid">
        <fgColor rgb="FFFD9C52"/>
        <bgColor indexed="64"/>
      </patternFill>
    </fill>
    <fill>
      <patternFill patternType="solid">
        <fgColor rgb="FFFC9B50"/>
        <bgColor indexed="64"/>
      </patternFill>
    </fill>
    <fill>
      <patternFill patternType="solid">
        <fgColor rgb="FFFA984B"/>
        <bgColor indexed="64"/>
      </patternFill>
    </fill>
    <fill>
      <patternFill patternType="solid">
        <fgColor rgb="FFFB9A52"/>
        <bgColor indexed="64"/>
      </patternFill>
    </fill>
    <fill>
      <patternFill patternType="solid">
        <fgColor rgb="FFFB9852"/>
        <bgColor indexed="64"/>
      </patternFill>
    </fill>
    <fill>
      <patternFill patternType="solid">
        <fgColor rgb="FFFC9550"/>
        <bgColor indexed="64"/>
      </patternFill>
    </fill>
    <fill>
      <patternFill patternType="solid">
        <fgColor rgb="FFFC9450"/>
        <bgColor indexed="64"/>
      </patternFill>
    </fill>
    <fill>
      <patternFill patternType="solid">
        <fgColor rgb="FFFC9551"/>
        <bgColor indexed="64"/>
      </patternFill>
    </fill>
    <fill>
      <patternFill patternType="solid">
        <fgColor rgb="FFFC954E"/>
        <bgColor indexed="64"/>
      </patternFill>
    </fill>
    <fill>
      <patternFill patternType="solid">
        <fgColor rgb="FFFC9750"/>
        <bgColor indexed="64"/>
      </patternFill>
    </fill>
    <fill>
      <patternFill patternType="solid">
        <fgColor rgb="FFFC974F"/>
        <bgColor indexed="64"/>
      </patternFill>
    </fill>
    <fill>
      <patternFill patternType="solid">
        <fgColor rgb="FFFB954A"/>
        <bgColor indexed="64"/>
      </patternFill>
    </fill>
    <fill>
      <patternFill patternType="solid">
        <fgColor rgb="FFF99852"/>
        <bgColor indexed="64"/>
      </patternFill>
    </fill>
    <fill>
      <patternFill patternType="solid">
        <fgColor rgb="FF7AAC55"/>
        <bgColor indexed="64"/>
      </patternFill>
    </fill>
    <fill>
      <patternFill patternType="solid">
        <fgColor rgb="FF81B25F"/>
        <bgColor indexed="64"/>
      </patternFill>
    </fill>
    <fill>
      <patternFill patternType="solid">
        <fgColor rgb="FF51653A"/>
        <bgColor indexed="64"/>
      </patternFill>
    </fill>
    <fill>
      <patternFill patternType="solid">
        <fgColor rgb="FF6D4135"/>
        <bgColor indexed="64"/>
      </patternFill>
    </fill>
    <fill>
      <patternFill patternType="solid">
        <fgColor rgb="FF915F4D"/>
        <bgColor indexed="64"/>
      </patternFill>
    </fill>
    <fill>
      <patternFill patternType="solid">
        <fgColor rgb="FF756B41"/>
        <bgColor indexed="64"/>
      </patternFill>
    </fill>
    <fill>
      <patternFill patternType="solid">
        <fgColor rgb="FF6F8B49"/>
        <bgColor indexed="64"/>
      </patternFill>
    </fill>
    <fill>
      <patternFill patternType="solid">
        <fgColor rgb="FF76A754"/>
        <bgColor indexed="64"/>
      </patternFill>
    </fill>
    <fill>
      <patternFill patternType="solid">
        <fgColor rgb="FF78AA59"/>
        <bgColor indexed="64"/>
      </patternFill>
    </fill>
    <fill>
      <patternFill patternType="solid">
        <fgColor rgb="FF6E9E53"/>
        <bgColor indexed="64"/>
      </patternFill>
    </fill>
    <fill>
      <patternFill patternType="solid">
        <fgColor rgb="FF657D46"/>
        <bgColor indexed="64"/>
      </patternFill>
    </fill>
    <fill>
      <patternFill patternType="solid">
        <fgColor rgb="FF806346"/>
        <bgColor indexed="64"/>
      </patternFill>
    </fill>
    <fill>
      <patternFill patternType="solid">
        <fgColor rgb="FFA05B55"/>
        <bgColor indexed="64"/>
      </patternFill>
    </fill>
    <fill>
      <patternFill patternType="solid">
        <fgColor rgb="FF9D4456"/>
        <bgColor indexed="64"/>
      </patternFill>
    </fill>
    <fill>
      <patternFill patternType="solid">
        <fgColor rgb="FF842137"/>
        <bgColor indexed="64"/>
      </patternFill>
    </fill>
    <fill>
      <patternFill patternType="solid">
        <fgColor rgb="FFCD4156"/>
        <bgColor indexed="64"/>
      </patternFill>
    </fill>
    <fill>
      <patternFill patternType="solid">
        <fgColor rgb="FFFF5777"/>
        <bgColor indexed="64"/>
      </patternFill>
    </fill>
    <fill>
      <patternFill patternType="solid">
        <fgColor rgb="FFFF5E86"/>
        <bgColor indexed="64"/>
      </patternFill>
    </fill>
    <fill>
      <patternFill patternType="solid">
        <fgColor rgb="FFAC3857"/>
        <bgColor indexed="64"/>
      </patternFill>
    </fill>
    <fill>
      <patternFill patternType="solid">
        <fgColor rgb="FFBC6437"/>
        <bgColor indexed="64"/>
      </patternFill>
    </fill>
    <fill>
      <patternFill patternType="solid">
        <fgColor rgb="FFFEA151"/>
        <bgColor indexed="64"/>
      </patternFill>
    </fill>
    <fill>
      <patternFill patternType="solid">
        <fgColor rgb="FFF89650"/>
        <bgColor indexed="64"/>
      </patternFill>
    </fill>
    <fill>
      <patternFill patternType="solid">
        <fgColor rgb="FFF7964D"/>
        <bgColor indexed="64"/>
      </patternFill>
    </fill>
    <fill>
      <patternFill patternType="solid">
        <fgColor rgb="FFFD9C55"/>
        <bgColor indexed="64"/>
      </patternFill>
    </fill>
    <fill>
      <patternFill patternType="solid">
        <fgColor rgb="FFFC9B54"/>
        <bgColor indexed="64"/>
      </patternFill>
    </fill>
    <fill>
      <patternFill patternType="solid">
        <fgColor rgb="FFFC9952"/>
        <bgColor indexed="64"/>
      </patternFill>
    </fill>
    <fill>
      <patternFill patternType="solid">
        <fgColor rgb="FFFB994D"/>
        <bgColor indexed="64"/>
      </patternFill>
    </fill>
    <fill>
      <patternFill patternType="solid">
        <fgColor rgb="FFFA9952"/>
        <bgColor indexed="64"/>
      </patternFill>
    </fill>
    <fill>
      <patternFill patternType="solid">
        <fgColor rgb="FFFB9755"/>
        <bgColor indexed="64"/>
      </patternFill>
    </fill>
    <fill>
      <patternFill patternType="solid">
        <fgColor rgb="FFFB944F"/>
        <bgColor indexed="64"/>
      </patternFill>
    </fill>
    <fill>
      <patternFill patternType="solid">
        <fgColor rgb="FFFB954D"/>
        <bgColor indexed="64"/>
      </patternFill>
    </fill>
    <fill>
      <patternFill patternType="solid">
        <fgColor rgb="FFFD974C"/>
        <bgColor indexed="64"/>
      </patternFill>
    </fill>
    <fill>
      <patternFill patternType="solid">
        <fgColor rgb="FFFB9749"/>
        <bgColor indexed="64"/>
      </patternFill>
    </fill>
    <fill>
      <patternFill patternType="solid">
        <fgColor rgb="FFFC9249"/>
        <bgColor indexed="64"/>
      </patternFill>
    </fill>
    <fill>
      <patternFill patternType="solid">
        <fgColor rgb="FFFA984F"/>
        <bgColor indexed="64"/>
      </patternFill>
    </fill>
    <fill>
      <patternFill patternType="solid">
        <fgColor rgb="FF7CAE59"/>
        <bgColor indexed="64"/>
      </patternFill>
    </fill>
    <fill>
      <patternFill patternType="solid">
        <fgColor rgb="FF7CAC57"/>
        <bgColor indexed="64"/>
      </patternFill>
    </fill>
    <fill>
      <patternFill patternType="solid">
        <fgColor rgb="FF76A45A"/>
        <bgColor indexed="64"/>
      </patternFill>
    </fill>
    <fill>
      <patternFill patternType="solid">
        <fgColor rgb="FF6FA053"/>
        <bgColor indexed="64"/>
      </patternFill>
    </fill>
    <fill>
      <patternFill patternType="solid">
        <fgColor rgb="FF73AA51"/>
        <bgColor indexed="64"/>
      </patternFill>
    </fill>
    <fill>
      <patternFill patternType="solid">
        <fgColor rgb="FF7BB055"/>
        <bgColor indexed="64"/>
      </patternFill>
    </fill>
    <fill>
      <patternFill patternType="solid">
        <fgColor rgb="FF7BAF56"/>
        <bgColor indexed="64"/>
      </patternFill>
    </fill>
    <fill>
      <patternFill patternType="solid">
        <fgColor rgb="FF77AA55"/>
        <bgColor indexed="64"/>
      </patternFill>
    </fill>
    <fill>
      <patternFill patternType="solid">
        <fgColor rgb="FF77A655"/>
        <bgColor indexed="64"/>
      </patternFill>
    </fill>
    <fill>
      <patternFill patternType="solid">
        <fgColor rgb="FF78A756"/>
        <bgColor indexed="64"/>
      </patternFill>
    </fill>
    <fill>
      <patternFill patternType="solid">
        <fgColor rgb="FF78AD56"/>
        <bgColor indexed="64"/>
      </patternFill>
    </fill>
    <fill>
      <patternFill patternType="solid">
        <fgColor rgb="FF6FA74C"/>
        <bgColor indexed="64"/>
      </patternFill>
    </fill>
    <fill>
      <patternFill patternType="solid">
        <fgColor rgb="FF6FA44B"/>
        <bgColor indexed="64"/>
      </patternFill>
    </fill>
    <fill>
      <patternFill patternType="solid">
        <fgColor rgb="FF577943"/>
        <bgColor indexed="64"/>
      </patternFill>
    </fill>
    <fill>
      <patternFill patternType="solid">
        <fgColor rgb="FF613F2E"/>
        <bgColor indexed="64"/>
      </patternFill>
    </fill>
    <fill>
      <patternFill patternType="solid">
        <fgColor rgb="FFB55155"/>
        <bgColor indexed="64"/>
      </patternFill>
    </fill>
    <fill>
      <patternFill patternType="solid">
        <fgColor rgb="FFBB4E58"/>
        <bgColor indexed="64"/>
      </patternFill>
    </fill>
    <fill>
      <patternFill patternType="solid">
        <fgColor rgb="FFC25664"/>
        <bgColor indexed="64"/>
      </patternFill>
    </fill>
    <fill>
      <patternFill patternType="solid">
        <fgColor rgb="FFA34159"/>
        <bgColor indexed="64"/>
      </patternFill>
    </fill>
    <fill>
      <patternFill patternType="solid">
        <fgColor rgb="FF99472C"/>
        <bgColor indexed="64"/>
      </patternFill>
    </fill>
    <fill>
      <patternFill patternType="solid">
        <fgColor rgb="FFFFA455"/>
        <bgColor indexed="64"/>
      </patternFill>
    </fill>
    <fill>
      <patternFill patternType="solid">
        <fgColor rgb="FFFC9950"/>
        <bgColor indexed="64"/>
      </patternFill>
    </fill>
    <fill>
      <patternFill patternType="solid">
        <fgColor rgb="FFFC9851"/>
        <bgColor indexed="64"/>
      </patternFill>
    </fill>
    <fill>
      <patternFill patternType="solid">
        <fgColor rgb="FFFD9853"/>
        <bgColor indexed="64"/>
      </patternFill>
    </fill>
    <fill>
      <patternFill patternType="solid">
        <fgColor rgb="FFFB9754"/>
        <bgColor indexed="64"/>
      </patternFill>
    </fill>
    <fill>
      <patternFill patternType="solid">
        <fgColor rgb="FFFC9754"/>
        <bgColor indexed="64"/>
      </patternFill>
    </fill>
    <fill>
      <patternFill patternType="solid">
        <fgColor rgb="FFFC9953"/>
        <bgColor indexed="64"/>
      </patternFill>
    </fill>
    <fill>
      <patternFill patternType="solid">
        <fgColor rgb="FFFC9E4F"/>
        <bgColor indexed="64"/>
      </patternFill>
    </fill>
    <fill>
      <patternFill patternType="solid">
        <fgColor rgb="FFFB9B50"/>
        <bgColor indexed="64"/>
      </patternFill>
    </fill>
    <fill>
      <patternFill patternType="solid">
        <fgColor rgb="FFFC9651"/>
        <bgColor indexed="64"/>
      </patternFill>
    </fill>
    <fill>
      <patternFill patternType="solid">
        <fgColor rgb="FFFD9450"/>
        <bgColor indexed="64"/>
      </patternFill>
    </fill>
    <fill>
      <patternFill patternType="solid">
        <fgColor rgb="FFFA9549"/>
        <bgColor indexed="64"/>
      </patternFill>
    </fill>
    <fill>
      <patternFill patternType="solid">
        <fgColor rgb="FFFC954B"/>
        <bgColor indexed="64"/>
      </patternFill>
    </fill>
    <fill>
      <patternFill patternType="solid">
        <fgColor rgb="FFFD954B"/>
        <bgColor indexed="64"/>
      </patternFill>
    </fill>
    <fill>
      <patternFill patternType="solid">
        <fgColor rgb="FFFC954A"/>
        <bgColor indexed="64"/>
      </patternFill>
    </fill>
    <fill>
      <patternFill patternType="solid">
        <fgColor rgb="FFFC934E"/>
        <bgColor indexed="64"/>
      </patternFill>
    </fill>
    <fill>
      <patternFill patternType="solid">
        <fgColor rgb="FFFB924C"/>
        <bgColor indexed="64"/>
      </patternFill>
    </fill>
    <fill>
      <patternFill patternType="solid">
        <fgColor rgb="FF83B558"/>
        <bgColor indexed="64"/>
      </patternFill>
    </fill>
    <fill>
      <patternFill patternType="solid">
        <fgColor rgb="FF83B559"/>
        <bgColor indexed="64"/>
      </patternFill>
    </fill>
    <fill>
      <patternFill patternType="solid">
        <fgColor rgb="FF7BAB56"/>
        <bgColor indexed="64"/>
      </patternFill>
    </fill>
    <fill>
      <patternFill patternType="solid">
        <fgColor rgb="FF7BAC57"/>
        <bgColor indexed="64"/>
      </patternFill>
    </fill>
    <fill>
      <patternFill patternType="solid">
        <fgColor rgb="FF7BAB5B"/>
        <bgColor indexed="64"/>
      </patternFill>
    </fill>
    <fill>
      <patternFill patternType="solid">
        <fgColor rgb="FF78A859"/>
        <bgColor indexed="64"/>
      </patternFill>
    </fill>
    <fill>
      <patternFill patternType="solid">
        <fgColor rgb="FF75A651"/>
        <bgColor indexed="64"/>
      </patternFill>
    </fill>
    <fill>
      <patternFill patternType="solid">
        <fgColor rgb="FF75A851"/>
        <bgColor indexed="64"/>
      </patternFill>
    </fill>
    <fill>
      <patternFill patternType="solid">
        <fgColor rgb="FF73A552"/>
        <bgColor indexed="64"/>
      </patternFill>
    </fill>
    <fill>
      <patternFill patternType="solid">
        <fgColor rgb="FF73A652"/>
        <bgColor indexed="64"/>
      </patternFill>
    </fill>
    <fill>
      <patternFill patternType="solid">
        <fgColor rgb="FF6FA64B"/>
        <bgColor indexed="64"/>
      </patternFill>
    </fill>
    <fill>
      <patternFill patternType="solid">
        <fgColor rgb="FF6FA349"/>
        <bgColor indexed="64"/>
      </patternFill>
    </fill>
    <fill>
      <patternFill patternType="solid">
        <fgColor rgb="FF71A348"/>
        <bgColor indexed="64"/>
      </patternFill>
    </fill>
    <fill>
      <patternFill patternType="solid">
        <fgColor rgb="FF72A64D"/>
        <bgColor indexed="64"/>
      </patternFill>
    </fill>
    <fill>
      <patternFill patternType="solid">
        <fgColor rgb="FF6C9A4B"/>
        <bgColor indexed="64"/>
      </patternFill>
    </fill>
    <fill>
      <patternFill patternType="solid">
        <fgColor rgb="FF689044"/>
        <bgColor indexed="64"/>
      </patternFill>
    </fill>
    <fill>
      <patternFill patternType="solid">
        <fgColor rgb="FF6B9346"/>
        <bgColor indexed="64"/>
      </patternFill>
    </fill>
    <fill>
      <patternFill patternType="solid">
        <fgColor rgb="FF6E9349"/>
        <bgColor indexed="64"/>
      </patternFill>
    </fill>
    <fill>
      <patternFill patternType="solid">
        <fgColor rgb="FF718B50"/>
        <bgColor indexed="64"/>
      </patternFill>
    </fill>
    <fill>
      <patternFill patternType="solid">
        <fgColor rgb="FF66653B"/>
        <bgColor indexed="64"/>
      </patternFill>
    </fill>
    <fill>
      <patternFill patternType="solid">
        <fgColor rgb="FFA6642B"/>
        <bgColor indexed="64"/>
      </patternFill>
    </fill>
    <fill>
      <patternFill patternType="solid">
        <fgColor rgb="FFFD9E50"/>
        <bgColor indexed="64"/>
      </patternFill>
    </fill>
    <fill>
      <patternFill patternType="solid">
        <fgColor rgb="FFFA964F"/>
        <bgColor indexed="64"/>
      </patternFill>
    </fill>
    <fill>
      <patternFill patternType="solid">
        <fgColor rgb="FFFB9750"/>
        <bgColor indexed="64"/>
      </patternFill>
    </fill>
    <fill>
      <patternFill patternType="solid">
        <fgColor rgb="FFFD9854"/>
        <bgColor indexed="64"/>
      </patternFill>
    </fill>
    <fill>
      <patternFill patternType="solid">
        <fgColor rgb="FFFB9753"/>
        <bgColor indexed="64"/>
      </patternFill>
    </fill>
    <fill>
      <patternFill patternType="solid">
        <fgColor rgb="FFFCA54E"/>
        <bgColor indexed="64"/>
      </patternFill>
    </fill>
    <fill>
      <patternFill patternType="solid">
        <fgColor rgb="FFFD9E4E"/>
        <bgColor indexed="64"/>
      </patternFill>
    </fill>
    <fill>
      <patternFill patternType="solid">
        <fgColor rgb="FFFD9351"/>
        <bgColor indexed="64"/>
      </patternFill>
    </fill>
    <fill>
      <patternFill patternType="solid">
        <fgColor rgb="FFFD944F"/>
        <bgColor indexed="64"/>
      </patternFill>
    </fill>
    <fill>
      <patternFill patternType="solid">
        <fgColor rgb="FFFC954D"/>
        <bgColor indexed="64"/>
      </patternFill>
    </fill>
    <fill>
      <patternFill patternType="solid">
        <fgColor rgb="FFFD954C"/>
        <bgColor indexed="64"/>
      </patternFill>
    </fill>
    <fill>
      <patternFill patternType="solid">
        <fgColor rgb="FFFD944C"/>
        <bgColor indexed="64"/>
      </patternFill>
    </fill>
    <fill>
      <patternFill patternType="solid">
        <fgColor rgb="FFFD934D"/>
        <bgColor indexed="64"/>
      </patternFill>
    </fill>
    <fill>
      <patternFill patternType="solid">
        <fgColor rgb="FFFA9752"/>
        <bgColor indexed="64"/>
      </patternFill>
    </fill>
    <fill>
      <patternFill patternType="solid">
        <fgColor rgb="FF88B958"/>
        <bgColor indexed="64"/>
      </patternFill>
    </fill>
    <fill>
      <patternFill patternType="solid">
        <fgColor rgb="FF86B85A"/>
        <bgColor indexed="64"/>
      </patternFill>
    </fill>
    <fill>
      <patternFill patternType="solid">
        <fgColor rgb="FF7CAD56"/>
        <bgColor indexed="64"/>
      </patternFill>
    </fill>
    <fill>
      <patternFill patternType="solid">
        <fgColor rgb="FF79AA55"/>
        <bgColor indexed="64"/>
      </patternFill>
    </fill>
    <fill>
      <patternFill patternType="solid">
        <fgColor rgb="FF78A855"/>
        <bgColor indexed="64"/>
      </patternFill>
    </fill>
    <fill>
      <patternFill patternType="solid">
        <fgColor rgb="FF78A857"/>
        <bgColor indexed="64"/>
      </patternFill>
    </fill>
    <fill>
      <patternFill patternType="solid">
        <fgColor rgb="FF79A956"/>
        <bgColor indexed="64"/>
      </patternFill>
    </fill>
    <fill>
      <patternFill patternType="solid">
        <fgColor rgb="FF77A753"/>
        <bgColor indexed="64"/>
      </patternFill>
    </fill>
    <fill>
      <patternFill patternType="solid">
        <fgColor rgb="FF6FA34B"/>
        <bgColor indexed="64"/>
      </patternFill>
    </fill>
    <fill>
      <patternFill patternType="solid">
        <fgColor rgb="FF72A84F"/>
        <bgColor indexed="64"/>
      </patternFill>
    </fill>
    <fill>
      <patternFill patternType="solid">
        <fgColor rgb="FF73A850"/>
        <bgColor indexed="64"/>
      </patternFill>
    </fill>
    <fill>
      <patternFill patternType="solid">
        <fgColor rgb="FF72A54D"/>
        <bgColor indexed="64"/>
      </patternFill>
    </fill>
    <fill>
      <patternFill patternType="solid">
        <fgColor rgb="FF72A44B"/>
        <bgColor indexed="64"/>
      </patternFill>
    </fill>
    <fill>
      <patternFill patternType="solid">
        <fgColor rgb="FF70A248"/>
        <bgColor indexed="64"/>
      </patternFill>
    </fill>
    <fill>
      <patternFill patternType="solid">
        <fgColor rgb="FF72A54B"/>
        <bgColor indexed="64"/>
      </patternFill>
    </fill>
    <fill>
      <patternFill patternType="solid">
        <fgColor rgb="FF74AA4B"/>
        <bgColor indexed="64"/>
      </patternFill>
    </fill>
    <fill>
      <patternFill patternType="solid">
        <fgColor rgb="FF73AB4C"/>
        <bgColor indexed="64"/>
      </patternFill>
    </fill>
    <fill>
      <patternFill patternType="solid">
        <fgColor rgb="FF78AE56"/>
        <bgColor indexed="64"/>
      </patternFill>
    </fill>
    <fill>
      <patternFill patternType="solid">
        <fgColor rgb="FF507B3E"/>
        <bgColor indexed="64"/>
      </patternFill>
    </fill>
    <fill>
      <patternFill patternType="solid">
        <fgColor rgb="FF4A6B34"/>
        <bgColor indexed="64"/>
      </patternFill>
    </fill>
    <fill>
      <patternFill patternType="solid">
        <fgColor rgb="FF677141"/>
        <bgColor indexed="64"/>
      </patternFill>
    </fill>
    <fill>
      <patternFill patternType="solid">
        <fgColor rgb="FFF79A4D"/>
        <bgColor indexed="64"/>
      </patternFill>
    </fill>
    <fill>
      <patternFill patternType="solid">
        <fgColor rgb="FFFD9A4F"/>
        <bgColor indexed="64"/>
      </patternFill>
    </fill>
    <fill>
      <patternFill patternType="solid">
        <fgColor rgb="FFFB9B51"/>
        <bgColor indexed="64"/>
      </patternFill>
    </fill>
    <fill>
      <patternFill patternType="solid">
        <fgColor rgb="FFFD9952"/>
        <bgColor indexed="64"/>
      </patternFill>
    </fill>
    <fill>
      <patternFill patternType="solid">
        <fgColor rgb="FFFA9751"/>
        <bgColor indexed="64"/>
      </patternFill>
    </fill>
    <fill>
      <patternFill patternType="solid">
        <fgColor rgb="FFFC9F4E"/>
        <bgColor indexed="64"/>
      </patternFill>
    </fill>
    <fill>
      <patternFill patternType="solid">
        <fgColor rgb="FFFC9C51"/>
        <bgColor indexed="64"/>
      </patternFill>
    </fill>
    <fill>
      <patternFill patternType="solid">
        <fgColor rgb="FFFB954F"/>
        <bgColor indexed="64"/>
      </patternFill>
    </fill>
    <fill>
      <patternFill patternType="solid">
        <fgColor rgb="FFFD9751"/>
        <bgColor indexed="64"/>
      </patternFill>
    </fill>
    <fill>
      <patternFill patternType="solid">
        <fgColor rgb="FFFD934B"/>
        <bgColor indexed="64"/>
      </patternFill>
    </fill>
    <fill>
      <patternFill patternType="solid">
        <fgColor rgb="FF80B357"/>
        <bgColor indexed="64"/>
      </patternFill>
    </fill>
    <fill>
      <patternFill patternType="solid">
        <fgColor rgb="FF7AAE54"/>
        <bgColor indexed="64"/>
      </patternFill>
    </fill>
    <fill>
      <patternFill patternType="solid">
        <fgColor rgb="FF7BAD54"/>
        <bgColor indexed="64"/>
      </patternFill>
    </fill>
    <fill>
      <patternFill patternType="solid">
        <fgColor rgb="FF7DAD58"/>
        <bgColor indexed="64"/>
      </patternFill>
    </fill>
    <fill>
      <patternFill patternType="solid">
        <fgColor rgb="FF7EAD58"/>
        <bgColor indexed="64"/>
      </patternFill>
    </fill>
    <fill>
      <patternFill patternType="solid">
        <fgColor rgb="FF80AE58"/>
        <bgColor indexed="64"/>
      </patternFill>
    </fill>
    <fill>
      <patternFill patternType="solid">
        <fgColor rgb="FF7DAD56"/>
        <bgColor indexed="64"/>
      </patternFill>
    </fill>
    <fill>
      <patternFill patternType="solid">
        <fgColor rgb="FF72A34E"/>
        <bgColor indexed="64"/>
      </patternFill>
    </fill>
    <fill>
      <patternFill patternType="solid">
        <fgColor rgb="FF6EA349"/>
        <bgColor indexed="64"/>
      </patternFill>
    </fill>
    <fill>
      <patternFill patternType="solid">
        <fgColor rgb="FF71A64A"/>
        <bgColor indexed="64"/>
      </patternFill>
    </fill>
    <fill>
      <patternFill patternType="solid">
        <fgColor rgb="FF73A74E"/>
        <bgColor indexed="64"/>
      </patternFill>
    </fill>
    <fill>
      <patternFill patternType="solid">
        <fgColor rgb="FF73A64E"/>
        <bgColor indexed="64"/>
      </patternFill>
    </fill>
    <fill>
      <patternFill patternType="solid">
        <fgColor rgb="FF70A34D"/>
        <bgColor indexed="64"/>
      </patternFill>
    </fill>
    <fill>
      <patternFill patternType="solid">
        <fgColor rgb="FF6FA34E"/>
        <bgColor indexed="64"/>
      </patternFill>
    </fill>
    <fill>
      <patternFill patternType="solid">
        <fgColor rgb="FF75A84E"/>
        <bgColor indexed="64"/>
      </patternFill>
    </fill>
    <fill>
      <patternFill patternType="solid">
        <fgColor rgb="FF76A94C"/>
        <bgColor indexed="64"/>
      </patternFill>
    </fill>
    <fill>
      <patternFill patternType="solid">
        <fgColor rgb="FF75A84D"/>
        <bgColor indexed="64"/>
      </patternFill>
    </fill>
    <fill>
      <patternFill patternType="solid">
        <fgColor rgb="FF7BAC55"/>
        <bgColor indexed="64"/>
      </patternFill>
    </fill>
    <fill>
      <patternFill patternType="solid">
        <fgColor rgb="FF75A455"/>
        <bgColor indexed="64"/>
      </patternFill>
    </fill>
    <fill>
      <patternFill patternType="solid">
        <fgColor rgb="FF5A7D3F"/>
        <bgColor indexed="64"/>
      </patternFill>
    </fill>
    <fill>
      <patternFill patternType="solid">
        <fgColor rgb="FF576633"/>
        <bgColor indexed="64"/>
      </patternFill>
    </fill>
    <fill>
      <patternFill patternType="solid">
        <fgColor rgb="FFF2984C"/>
        <bgColor indexed="64"/>
      </patternFill>
    </fill>
    <fill>
      <patternFill patternType="solid">
        <fgColor rgb="FFFC984B"/>
        <bgColor indexed="64"/>
      </patternFill>
    </fill>
    <fill>
      <patternFill patternType="solid">
        <fgColor rgb="FFFC9A4E"/>
        <bgColor indexed="64"/>
      </patternFill>
    </fill>
    <fill>
      <patternFill patternType="solid">
        <fgColor rgb="FFFFA154"/>
        <bgColor indexed="64"/>
      </patternFill>
    </fill>
    <fill>
      <patternFill patternType="solid">
        <fgColor rgb="FFF9994F"/>
        <bgColor indexed="64"/>
      </patternFill>
    </fill>
    <fill>
      <patternFill patternType="solid">
        <fgColor rgb="FFF69249"/>
        <bgColor indexed="64"/>
      </patternFill>
    </fill>
    <fill>
      <patternFill patternType="solid">
        <fgColor rgb="FFFA994C"/>
        <bgColor indexed="64"/>
      </patternFill>
    </fill>
    <fill>
      <patternFill patternType="solid">
        <fgColor rgb="FFFA984D"/>
        <bgColor indexed="64"/>
      </patternFill>
    </fill>
    <fill>
      <patternFill patternType="solid">
        <fgColor rgb="FFFA974A"/>
        <bgColor indexed="64"/>
      </patternFill>
    </fill>
    <fill>
      <patternFill patternType="solid">
        <fgColor rgb="FFFB964B"/>
        <bgColor indexed="64"/>
      </patternFill>
    </fill>
    <fill>
      <patternFill patternType="solid">
        <fgColor rgb="FF7AAB52"/>
        <bgColor indexed="64"/>
      </patternFill>
    </fill>
    <fill>
      <patternFill patternType="solid">
        <fgColor rgb="FF79AC54"/>
        <bgColor indexed="64"/>
      </patternFill>
    </fill>
    <fill>
      <patternFill patternType="solid">
        <fgColor rgb="FF7DAE57"/>
        <bgColor indexed="64"/>
      </patternFill>
    </fill>
    <fill>
      <patternFill patternType="solid">
        <fgColor rgb="FF7EAE5A"/>
        <bgColor indexed="64"/>
      </patternFill>
    </fill>
    <fill>
      <patternFill patternType="solid">
        <fgColor rgb="FF82B15A"/>
        <bgColor indexed="64"/>
      </patternFill>
    </fill>
    <fill>
      <patternFill patternType="solid">
        <fgColor rgb="FF84B358"/>
        <bgColor indexed="64"/>
      </patternFill>
    </fill>
    <fill>
      <patternFill patternType="solid">
        <fgColor rgb="FF7AAB51"/>
        <bgColor indexed="64"/>
      </patternFill>
    </fill>
    <fill>
      <patternFill patternType="solid">
        <fgColor rgb="FF71A44B"/>
        <bgColor indexed="64"/>
      </patternFill>
    </fill>
    <fill>
      <patternFill patternType="solid">
        <fgColor rgb="FF74A54B"/>
        <bgColor indexed="64"/>
      </patternFill>
    </fill>
    <fill>
      <patternFill patternType="solid">
        <fgColor rgb="FF72A54A"/>
        <bgColor indexed="64"/>
      </patternFill>
    </fill>
    <fill>
      <patternFill patternType="solid">
        <fgColor rgb="FF72A64A"/>
        <bgColor indexed="64"/>
      </patternFill>
    </fill>
    <fill>
      <patternFill patternType="solid">
        <fgColor rgb="FF72A54C"/>
        <bgColor indexed="64"/>
      </patternFill>
    </fill>
    <fill>
      <patternFill patternType="solid">
        <fgColor rgb="FF6FA34F"/>
        <bgColor indexed="64"/>
      </patternFill>
    </fill>
    <fill>
      <patternFill patternType="solid">
        <fgColor rgb="FF6FA44F"/>
        <bgColor indexed="64"/>
      </patternFill>
    </fill>
    <fill>
      <patternFill patternType="solid">
        <fgColor rgb="FF71A44C"/>
        <bgColor indexed="64"/>
      </patternFill>
    </fill>
    <fill>
      <patternFill patternType="solid">
        <fgColor rgb="FF76A94D"/>
        <bgColor indexed="64"/>
      </patternFill>
    </fill>
    <fill>
      <patternFill patternType="solid">
        <fgColor rgb="FF78AC4F"/>
        <bgColor indexed="64"/>
      </patternFill>
    </fill>
    <fill>
      <patternFill patternType="solid">
        <fgColor rgb="FF59843D"/>
        <bgColor indexed="64"/>
      </patternFill>
    </fill>
    <fill>
      <patternFill patternType="solid">
        <fgColor rgb="FF5A7835"/>
        <bgColor indexed="64"/>
      </patternFill>
    </fill>
    <fill>
      <patternFill patternType="solid">
        <fgColor rgb="FFA2A056"/>
        <bgColor indexed="64"/>
      </patternFill>
    </fill>
    <fill>
      <patternFill patternType="solid">
        <fgColor rgb="FFC0843E"/>
        <bgColor indexed="64"/>
      </patternFill>
    </fill>
    <fill>
      <patternFill patternType="solid">
        <fgColor rgb="FFF69347"/>
        <bgColor indexed="64"/>
      </patternFill>
    </fill>
    <fill>
      <patternFill patternType="solid">
        <fgColor rgb="FFFF9E4F"/>
        <bgColor indexed="64"/>
      </patternFill>
    </fill>
    <fill>
      <patternFill patternType="solid">
        <fgColor rgb="FFFA954A"/>
        <bgColor indexed="64"/>
      </patternFill>
    </fill>
    <fill>
      <patternFill patternType="solid">
        <fgColor rgb="FFFE994F"/>
        <bgColor indexed="64"/>
      </patternFill>
    </fill>
    <fill>
      <patternFill patternType="solid">
        <fgColor rgb="FFFB984F"/>
        <bgColor indexed="64"/>
      </patternFill>
    </fill>
    <fill>
      <patternFill patternType="solid">
        <fgColor rgb="FFFB974B"/>
        <bgColor indexed="64"/>
      </patternFill>
    </fill>
    <fill>
      <patternFill patternType="solid">
        <fgColor rgb="FFFC994C"/>
        <bgColor indexed="64"/>
      </patternFill>
    </fill>
    <fill>
      <patternFill patternType="solid">
        <fgColor rgb="FFFA954C"/>
        <bgColor indexed="64"/>
      </patternFill>
    </fill>
    <fill>
      <patternFill patternType="solid">
        <fgColor rgb="FFFC994B"/>
        <bgColor indexed="64"/>
      </patternFill>
    </fill>
    <fill>
      <patternFill patternType="solid">
        <fgColor rgb="FFF99B51"/>
        <bgColor indexed="64"/>
      </patternFill>
    </fill>
    <fill>
      <patternFill patternType="solid">
        <fgColor rgb="FF85B557"/>
        <bgColor indexed="64"/>
      </patternFill>
    </fill>
    <fill>
      <patternFill patternType="solid">
        <fgColor rgb="FF84B55C"/>
        <bgColor indexed="64"/>
      </patternFill>
    </fill>
    <fill>
      <patternFill patternType="solid">
        <fgColor rgb="FF80B15B"/>
        <bgColor indexed="64"/>
      </patternFill>
    </fill>
    <fill>
      <patternFill patternType="solid">
        <fgColor rgb="FF81B158"/>
        <bgColor indexed="64"/>
      </patternFill>
    </fill>
    <fill>
      <patternFill patternType="solid">
        <fgColor rgb="FF7DAF55"/>
        <bgColor indexed="64"/>
      </patternFill>
    </fill>
    <fill>
      <patternFill patternType="solid">
        <fgColor rgb="FF75A74D"/>
        <bgColor indexed="64"/>
      </patternFill>
    </fill>
    <fill>
      <patternFill patternType="solid">
        <fgColor rgb="FF75A84B"/>
        <bgColor indexed="64"/>
      </patternFill>
    </fill>
    <fill>
      <patternFill patternType="solid">
        <fgColor rgb="FF73A74D"/>
        <bgColor indexed="64"/>
      </patternFill>
    </fill>
    <fill>
      <patternFill patternType="solid">
        <fgColor rgb="FF70A54C"/>
        <bgColor indexed="64"/>
      </patternFill>
    </fill>
    <fill>
      <patternFill patternType="solid">
        <fgColor rgb="FF70A54E"/>
        <bgColor indexed="64"/>
      </patternFill>
    </fill>
    <fill>
      <patternFill patternType="solid">
        <fgColor rgb="FF71A451"/>
        <bgColor indexed="64"/>
      </patternFill>
    </fill>
    <fill>
      <patternFill patternType="solid">
        <fgColor rgb="FF6EA14C"/>
        <bgColor indexed="64"/>
      </patternFill>
    </fill>
    <fill>
      <patternFill patternType="solid">
        <fgColor rgb="FF6FA249"/>
        <bgColor indexed="64"/>
      </patternFill>
    </fill>
    <fill>
      <patternFill patternType="solid">
        <fgColor rgb="FF77A848"/>
        <bgColor indexed="64"/>
      </patternFill>
    </fill>
    <fill>
      <patternFill patternType="solid">
        <fgColor rgb="FF79AC4D"/>
        <bgColor indexed="64"/>
      </patternFill>
    </fill>
    <fill>
      <patternFill patternType="solid">
        <fgColor rgb="FF659349"/>
        <bgColor indexed="64"/>
      </patternFill>
    </fill>
    <fill>
      <patternFill patternType="solid">
        <fgColor rgb="FF556A32"/>
        <bgColor indexed="64"/>
      </patternFill>
    </fill>
    <fill>
      <patternFill patternType="solid">
        <fgColor rgb="FF8F7F3F"/>
        <bgColor indexed="64"/>
      </patternFill>
    </fill>
    <fill>
      <patternFill patternType="solid">
        <fgColor rgb="FFC18B43"/>
        <bgColor indexed="64"/>
      </patternFill>
    </fill>
    <fill>
      <patternFill patternType="solid">
        <fgColor rgb="FFC57D3D"/>
        <bgColor indexed="64"/>
      </patternFill>
    </fill>
    <fill>
      <patternFill patternType="solid">
        <fgColor rgb="FFC27D48"/>
        <bgColor indexed="64"/>
      </patternFill>
    </fill>
    <fill>
      <patternFill patternType="solid">
        <fgColor rgb="FF945A2F"/>
        <bgColor indexed="64"/>
      </patternFill>
    </fill>
    <fill>
      <patternFill patternType="solid">
        <fgColor rgb="FF944D1F"/>
        <bgColor indexed="64"/>
      </patternFill>
    </fill>
    <fill>
      <patternFill patternType="solid">
        <fgColor rgb="FFD77C3A"/>
        <bgColor indexed="64"/>
      </patternFill>
    </fill>
    <fill>
      <patternFill patternType="solid">
        <fgColor rgb="FFFB954E"/>
        <bgColor indexed="64"/>
      </patternFill>
    </fill>
    <fill>
      <patternFill patternType="solid">
        <fgColor rgb="FFF38C4D"/>
        <bgColor indexed="64"/>
      </patternFill>
    </fill>
    <fill>
      <patternFill patternType="solid">
        <fgColor rgb="FFF7944B"/>
        <bgColor indexed="64"/>
      </patternFill>
    </fill>
    <fill>
      <patternFill patternType="solid">
        <fgColor rgb="FFFE9B4E"/>
        <bgColor indexed="64"/>
      </patternFill>
    </fill>
    <fill>
      <patternFill patternType="solid">
        <fgColor rgb="FFFA954E"/>
        <bgColor indexed="64"/>
      </patternFill>
    </fill>
    <fill>
      <patternFill patternType="solid">
        <fgColor rgb="FFFD964F"/>
        <bgColor indexed="64"/>
      </patternFill>
    </fill>
    <fill>
      <patternFill patternType="solid">
        <fgColor rgb="FFFD974A"/>
        <bgColor indexed="64"/>
      </patternFill>
    </fill>
    <fill>
      <patternFill patternType="solid">
        <fgColor rgb="FFFA9845"/>
        <bgColor indexed="64"/>
      </patternFill>
    </fill>
    <fill>
      <patternFill patternType="solid">
        <fgColor rgb="FFFE9A51"/>
        <bgColor indexed="64"/>
      </patternFill>
    </fill>
    <fill>
      <patternFill patternType="solid">
        <fgColor rgb="FFFC9A47"/>
        <bgColor indexed="64"/>
      </patternFill>
    </fill>
    <fill>
      <patternFill patternType="solid">
        <fgColor rgb="FFFA9E51"/>
        <bgColor indexed="64"/>
      </patternFill>
    </fill>
    <fill>
      <patternFill patternType="solid">
        <fgColor rgb="FF587C37"/>
        <bgColor indexed="64"/>
      </patternFill>
    </fill>
    <fill>
      <patternFill patternType="solid">
        <fgColor rgb="FF5C853B"/>
        <bgColor indexed="64"/>
      </patternFill>
    </fill>
    <fill>
      <patternFill patternType="solid">
        <fgColor rgb="FF75A450"/>
        <bgColor indexed="64"/>
      </patternFill>
    </fill>
    <fill>
      <patternFill patternType="solid">
        <fgColor rgb="FF7BAE57"/>
        <bgColor indexed="64"/>
      </patternFill>
    </fill>
    <fill>
      <patternFill patternType="solid">
        <fgColor rgb="FF79AC56"/>
        <bgColor indexed="64"/>
      </patternFill>
    </fill>
    <fill>
      <patternFill patternType="solid">
        <fgColor rgb="FF7AAE56"/>
        <bgColor indexed="64"/>
      </patternFill>
    </fill>
    <fill>
      <patternFill patternType="solid">
        <fgColor rgb="FF79AD53"/>
        <bgColor indexed="64"/>
      </patternFill>
    </fill>
    <fill>
      <patternFill patternType="solid">
        <fgColor rgb="FF74A84E"/>
        <bgColor indexed="64"/>
      </patternFill>
    </fill>
    <fill>
      <patternFill patternType="solid">
        <fgColor rgb="FF73A74A"/>
        <bgColor indexed="64"/>
      </patternFill>
    </fill>
    <fill>
      <patternFill patternType="solid">
        <fgColor rgb="FF70A54D"/>
        <bgColor indexed="64"/>
      </patternFill>
    </fill>
    <fill>
      <patternFill patternType="solid">
        <fgColor rgb="FF6EA44B"/>
        <bgColor indexed="64"/>
      </patternFill>
    </fill>
    <fill>
      <patternFill patternType="solid">
        <fgColor rgb="FF70A24D"/>
        <bgColor indexed="64"/>
      </patternFill>
    </fill>
    <fill>
      <patternFill patternType="solid">
        <fgColor rgb="FF70A14C"/>
        <bgColor indexed="64"/>
      </patternFill>
    </fill>
    <fill>
      <patternFill patternType="solid">
        <fgColor rgb="FF70A448"/>
        <bgColor indexed="64"/>
      </patternFill>
    </fill>
    <fill>
      <patternFill patternType="solid">
        <fgColor rgb="FF75A64A"/>
        <bgColor indexed="64"/>
      </patternFill>
    </fill>
    <fill>
      <patternFill patternType="solid">
        <fgColor rgb="FF77AB4E"/>
        <bgColor indexed="64"/>
      </patternFill>
    </fill>
    <fill>
      <patternFill patternType="solid">
        <fgColor rgb="FF79A952"/>
        <bgColor indexed="64"/>
      </patternFill>
    </fill>
    <fill>
      <patternFill patternType="solid">
        <fgColor rgb="FF6B9644"/>
        <bgColor indexed="64"/>
      </patternFill>
    </fill>
    <fill>
      <patternFill patternType="solid">
        <fgColor rgb="FF6E903F"/>
        <bgColor indexed="64"/>
      </patternFill>
    </fill>
    <fill>
      <patternFill patternType="solid">
        <fgColor rgb="FF66833B"/>
        <bgColor indexed="64"/>
      </patternFill>
    </fill>
    <fill>
      <patternFill patternType="solid">
        <fgColor rgb="FF687731"/>
        <bgColor indexed="64"/>
      </patternFill>
    </fill>
    <fill>
      <patternFill patternType="solid">
        <fgColor rgb="FF8C672A"/>
        <bgColor indexed="64"/>
      </patternFill>
    </fill>
    <fill>
      <patternFill patternType="solid">
        <fgColor rgb="FFD58241"/>
        <bgColor indexed="64"/>
      </patternFill>
    </fill>
    <fill>
      <patternFill patternType="solid">
        <fgColor rgb="FFE38448"/>
        <bgColor indexed="64"/>
      </patternFill>
    </fill>
    <fill>
      <patternFill patternType="solid">
        <fgColor rgb="FFF58F48"/>
        <bgColor indexed="64"/>
      </patternFill>
    </fill>
    <fill>
      <patternFill patternType="solid">
        <fgColor rgb="FFF6914A"/>
        <bgColor indexed="64"/>
      </patternFill>
    </fill>
    <fill>
      <patternFill patternType="solid">
        <fgColor rgb="FFFD9850"/>
        <bgColor indexed="64"/>
      </patternFill>
    </fill>
    <fill>
      <patternFill patternType="solid">
        <fgColor rgb="FFFC974D"/>
        <bgColor indexed="64"/>
      </patternFill>
    </fill>
    <fill>
      <patternFill patternType="solid">
        <fgColor rgb="FFFF994F"/>
        <bgColor indexed="64"/>
      </patternFill>
    </fill>
    <fill>
      <patternFill patternType="solid">
        <fgColor rgb="FFFA9449"/>
        <bgColor indexed="64"/>
      </patternFill>
    </fill>
    <fill>
      <patternFill patternType="solid">
        <fgColor rgb="FFFA9448"/>
        <bgColor indexed="64"/>
      </patternFill>
    </fill>
    <fill>
      <patternFill patternType="solid">
        <fgColor rgb="FFE17B3E"/>
        <bgColor indexed="64"/>
      </patternFill>
    </fill>
    <fill>
      <patternFill patternType="solid">
        <fgColor rgb="FFE98640"/>
        <bgColor indexed="64"/>
      </patternFill>
    </fill>
    <fill>
      <patternFill patternType="solid">
        <fgColor rgb="FFFEA04E"/>
        <bgColor indexed="64"/>
      </patternFill>
    </fill>
    <fill>
      <patternFill patternType="solid">
        <fgColor rgb="FFF29C54"/>
        <bgColor indexed="64"/>
      </patternFill>
    </fill>
    <fill>
      <patternFill patternType="solid">
        <fgColor rgb="FF567335"/>
        <bgColor indexed="64"/>
      </patternFill>
    </fill>
    <fill>
      <patternFill patternType="solid">
        <fgColor rgb="FF61893B"/>
        <bgColor indexed="64"/>
      </patternFill>
    </fill>
    <fill>
      <patternFill patternType="solid">
        <fgColor rgb="FF76A64D"/>
        <bgColor indexed="64"/>
      </patternFill>
    </fill>
    <fill>
      <patternFill patternType="solid">
        <fgColor rgb="FF7BAE56"/>
        <bgColor indexed="64"/>
      </patternFill>
    </fill>
    <fill>
      <patternFill patternType="solid">
        <fgColor rgb="FF7AAD56"/>
        <bgColor indexed="64"/>
      </patternFill>
    </fill>
    <fill>
      <patternFill patternType="solid">
        <fgColor rgb="FF7BAF54"/>
        <bgColor indexed="64"/>
      </patternFill>
    </fill>
    <fill>
      <patternFill patternType="solid">
        <fgColor rgb="FF7AAD52"/>
        <bgColor indexed="64"/>
      </patternFill>
    </fill>
    <fill>
      <patternFill patternType="solid">
        <fgColor rgb="FF75A94F"/>
        <bgColor indexed="64"/>
      </patternFill>
    </fill>
    <fill>
      <patternFill patternType="solid">
        <fgColor rgb="FF72A64B"/>
        <bgColor indexed="64"/>
      </patternFill>
    </fill>
    <fill>
      <patternFill patternType="solid">
        <fgColor rgb="FF71A54B"/>
        <bgColor indexed="64"/>
      </patternFill>
    </fill>
    <fill>
      <patternFill patternType="solid">
        <fgColor rgb="FF71A44D"/>
        <bgColor indexed="64"/>
      </patternFill>
    </fill>
    <fill>
      <patternFill patternType="solid">
        <fgColor rgb="FF70A44C"/>
        <bgColor indexed="64"/>
      </patternFill>
    </fill>
    <fill>
      <patternFill patternType="solid">
        <fgColor rgb="FF70A34A"/>
        <bgColor indexed="64"/>
      </patternFill>
    </fill>
    <fill>
      <patternFill patternType="solid">
        <fgColor rgb="FF70A24A"/>
        <bgColor indexed="64"/>
      </patternFill>
    </fill>
    <fill>
      <patternFill patternType="solid">
        <fgColor rgb="FF71A549"/>
        <bgColor indexed="64"/>
      </patternFill>
    </fill>
    <fill>
      <patternFill patternType="solid">
        <fgColor rgb="FF77AA4D"/>
        <bgColor indexed="64"/>
      </patternFill>
    </fill>
    <fill>
      <patternFill patternType="solid">
        <fgColor rgb="FF75A94A"/>
        <bgColor indexed="64"/>
      </patternFill>
    </fill>
    <fill>
      <patternFill patternType="solid">
        <fgColor rgb="FF80B251"/>
        <bgColor indexed="64"/>
      </patternFill>
    </fill>
    <fill>
      <patternFill patternType="solid">
        <fgColor rgb="FF7D9945"/>
        <bgColor indexed="64"/>
      </patternFill>
    </fill>
    <fill>
      <patternFill patternType="solid">
        <fgColor rgb="FF94843D"/>
        <bgColor indexed="64"/>
      </patternFill>
    </fill>
    <fill>
      <patternFill patternType="solid">
        <fgColor rgb="FFB87B36"/>
        <bgColor indexed="64"/>
      </patternFill>
    </fill>
    <fill>
      <patternFill patternType="solid">
        <fgColor rgb="FFF7954E"/>
        <bgColor indexed="64"/>
      </patternFill>
    </fill>
    <fill>
      <patternFill patternType="solid">
        <fgColor rgb="FFDD783E"/>
        <bgColor indexed="64"/>
      </patternFill>
    </fill>
    <fill>
      <patternFill patternType="solid">
        <fgColor rgb="FFCE6C36"/>
        <bgColor indexed="64"/>
      </patternFill>
    </fill>
    <fill>
      <patternFill patternType="solid">
        <fgColor rgb="FFE27E40"/>
        <bgColor indexed="64"/>
      </patternFill>
    </fill>
    <fill>
      <patternFill patternType="solid">
        <fgColor rgb="FFFB934D"/>
        <bgColor indexed="64"/>
      </patternFill>
    </fill>
    <fill>
      <patternFill patternType="solid">
        <fgColor rgb="FFFA954D"/>
        <bgColor indexed="64"/>
      </patternFill>
    </fill>
    <fill>
      <patternFill patternType="solid">
        <fgColor rgb="FFFA974F"/>
        <bgColor indexed="64"/>
      </patternFill>
    </fill>
    <fill>
      <patternFill patternType="solid">
        <fgColor rgb="FFF89750"/>
        <bgColor indexed="64"/>
      </patternFill>
    </fill>
    <fill>
      <patternFill patternType="solid">
        <fgColor rgb="FFC96B2E"/>
        <bgColor indexed="64"/>
      </patternFill>
    </fill>
    <fill>
      <patternFill patternType="solid">
        <fgColor rgb="FFF38F46"/>
        <bgColor indexed="64"/>
      </patternFill>
    </fill>
    <fill>
      <patternFill patternType="solid">
        <fgColor rgb="FFFF9A52"/>
        <bgColor indexed="64"/>
      </patternFill>
    </fill>
    <fill>
      <patternFill patternType="solid">
        <fgColor rgb="FFED884E"/>
        <bgColor indexed="64"/>
      </patternFill>
    </fill>
    <fill>
      <patternFill patternType="solid">
        <fgColor rgb="FFBB622B"/>
        <bgColor indexed="64"/>
      </patternFill>
    </fill>
    <fill>
      <patternFill patternType="solid">
        <fgColor rgb="FFF59449"/>
        <bgColor indexed="64"/>
      </patternFill>
    </fill>
    <fill>
      <patternFill patternType="solid">
        <fgColor rgb="FFF79D56"/>
        <bgColor indexed="64"/>
      </patternFill>
    </fill>
    <fill>
      <patternFill patternType="solid">
        <fgColor rgb="FFA1703F"/>
        <bgColor indexed="64"/>
      </patternFill>
    </fill>
    <fill>
      <patternFill patternType="solid">
        <fgColor rgb="FF84B154"/>
        <bgColor indexed="64"/>
      </patternFill>
    </fill>
    <fill>
      <patternFill patternType="solid">
        <fgColor rgb="FF82B358"/>
        <bgColor indexed="64"/>
      </patternFill>
    </fill>
    <fill>
      <patternFill patternType="solid">
        <fgColor rgb="FF7BAD55"/>
        <bgColor indexed="64"/>
      </patternFill>
    </fill>
    <fill>
      <patternFill patternType="solid">
        <fgColor rgb="FF7CAD54"/>
        <bgColor indexed="64"/>
      </patternFill>
    </fill>
    <fill>
      <patternFill patternType="solid">
        <fgColor rgb="FF7FAF57"/>
        <bgColor indexed="64"/>
      </patternFill>
    </fill>
    <fill>
      <patternFill patternType="solid">
        <fgColor rgb="FF7DAC56"/>
        <bgColor indexed="64"/>
      </patternFill>
    </fill>
    <fill>
      <patternFill patternType="solid">
        <fgColor rgb="FF78A853"/>
        <bgColor indexed="64"/>
      </patternFill>
    </fill>
    <fill>
      <patternFill patternType="solid">
        <fgColor rgb="FF75A54D"/>
        <bgColor indexed="64"/>
      </patternFill>
    </fill>
    <fill>
      <patternFill patternType="solid">
        <fgColor rgb="FF70A54A"/>
        <bgColor indexed="64"/>
      </patternFill>
    </fill>
    <fill>
      <patternFill patternType="solid">
        <fgColor rgb="FF6EA44A"/>
        <bgColor indexed="64"/>
      </patternFill>
    </fill>
    <fill>
      <patternFill patternType="solid">
        <fgColor rgb="FF6EA24B"/>
        <bgColor indexed="64"/>
      </patternFill>
    </fill>
    <fill>
      <patternFill patternType="solid">
        <fgColor rgb="FF72A74A"/>
        <bgColor indexed="64"/>
      </patternFill>
    </fill>
    <fill>
      <patternFill patternType="solid">
        <fgColor rgb="FF74A74B"/>
        <bgColor indexed="64"/>
      </patternFill>
    </fill>
    <fill>
      <patternFill patternType="solid">
        <fgColor rgb="FF689842"/>
        <bgColor indexed="64"/>
      </patternFill>
    </fill>
    <fill>
      <patternFill patternType="solid">
        <fgColor rgb="FF689845"/>
        <bgColor indexed="64"/>
      </patternFill>
    </fill>
    <fill>
      <patternFill patternType="solid">
        <fgColor rgb="FF50692E"/>
        <bgColor indexed="64"/>
      </patternFill>
    </fill>
    <fill>
      <patternFill patternType="solid">
        <fgColor rgb="FF7F5828"/>
        <bgColor indexed="64"/>
      </patternFill>
    </fill>
    <fill>
      <patternFill patternType="solid">
        <fgColor rgb="FFDC7F43"/>
        <bgColor indexed="64"/>
      </patternFill>
    </fill>
    <fill>
      <patternFill patternType="solid">
        <fgColor rgb="FFFF9751"/>
        <bgColor indexed="64"/>
      </patternFill>
    </fill>
    <fill>
      <patternFill patternType="solid">
        <fgColor rgb="FFFF974E"/>
        <bgColor indexed="64"/>
      </patternFill>
    </fill>
    <fill>
      <patternFill patternType="solid">
        <fgColor rgb="FFE78748"/>
        <bgColor indexed="64"/>
      </patternFill>
    </fill>
    <fill>
      <patternFill patternType="solid">
        <fgColor rgb="FFC67848"/>
        <bgColor indexed="64"/>
      </patternFill>
    </fill>
    <fill>
      <patternFill patternType="solid">
        <fgColor rgb="FFBA642C"/>
        <bgColor indexed="64"/>
      </patternFill>
    </fill>
    <fill>
      <patternFill patternType="solid">
        <fgColor rgb="FFFE984D"/>
        <bgColor indexed="64"/>
      </patternFill>
    </fill>
    <fill>
      <patternFill patternType="solid">
        <fgColor rgb="FFFFA15B"/>
        <bgColor indexed="64"/>
      </patternFill>
    </fill>
    <fill>
      <patternFill patternType="solid">
        <fgColor rgb="FFAD612E"/>
        <bgColor indexed="64"/>
      </patternFill>
    </fill>
    <fill>
      <patternFill patternType="solid">
        <fgColor rgb="FFBE722E"/>
        <bgColor indexed="64"/>
      </patternFill>
    </fill>
    <fill>
      <patternFill patternType="solid">
        <fgColor rgb="FFFFA354"/>
        <bgColor indexed="64"/>
      </patternFill>
    </fill>
    <fill>
      <patternFill patternType="solid">
        <fgColor rgb="FFE38953"/>
        <bgColor indexed="64"/>
      </patternFill>
    </fill>
    <fill>
      <patternFill patternType="solid">
        <fgColor rgb="FF96572A"/>
        <bgColor indexed="64"/>
      </patternFill>
    </fill>
    <fill>
      <patternFill patternType="solid">
        <fgColor rgb="FFDB9049"/>
        <bgColor indexed="64"/>
      </patternFill>
    </fill>
    <fill>
      <patternFill patternType="solid">
        <fgColor rgb="FFB17A3F"/>
        <bgColor indexed="64"/>
      </patternFill>
    </fill>
    <fill>
      <patternFill patternType="solid">
        <fgColor rgb="FF768648"/>
        <bgColor indexed="64"/>
      </patternFill>
    </fill>
    <fill>
      <patternFill patternType="solid">
        <fgColor rgb="FF759F4B"/>
        <bgColor indexed="64"/>
      </patternFill>
    </fill>
    <fill>
      <patternFill patternType="solid">
        <fgColor rgb="FF7CAB53"/>
        <bgColor indexed="64"/>
      </patternFill>
    </fill>
    <fill>
      <patternFill patternType="solid">
        <fgColor rgb="FF7AAA54"/>
        <bgColor indexed="64"/>
      </patternFill>
    </fill>
    <fill>
      <patternFill patternType="solid">
        <fgColor rgb="FF7FAE57"/>
        <bgColor indexed="64"/>
      </patternFill>
    </fill>
    <fill>
      <patternFill patternType="solid">
        <fgColor rgb="FF7FAF5A"/>
        <bgColor indexed="64"/>
      </patternFill>
    </fill>
    <fill>
      <patternFill patternType="solid">
        <fgColor rgb="FF79AB56"/>
        <bgColor indexed="64"/>
      </patternFill>
    </fill>
    <fill>
      <patternFill patternType="solid">
        <fgColor rgb="FF77A953"/>
        <bgColor indexed="64"/>
      </patternFill>
    </fill>
    <fill>
      <patternFill patternType="solid">
        <fgColor rgb="FF76A74E"/>
        <bgColor indexed="64"/>
      </patternFill>
    </fill>
    <fill>
      <patternFill patternType="solid">
        <fgColor rgb="FF74A74E"/>
        <bgColor indexed="64"/>
      </patternFill>
    </fill>
    <fill>
      <patternFill patternType="solid">
        <fgColor rgb="FF70A64A"/>
        <bgColor indexed="64"/>
      </patternFill>
    </fill>
    <fill>
      <patternFill patternType="solid">
        <fgColor rgb="FF6FA34A"/>
        <bgColor indexed="64"/>
      </patternFill>
    </fill>
    <fill>
      <patternFill patternType="solid">
        <fgColor rgb="FF6EA34C"/>
        <bgColor indexed="64"/>
      </patternFill>
    </fill>
    <fill>
      <patternFill patternType="solid">
        <fgColor rgb="FF6EA34E"/>
        <bgColor indexed="64"/>
      </patternFill>
    </fill>
    <fill>
      <patternFill patternType="solid">
        <fgColor rgb="FF70A54B"/>
        <bgColor indexed="64"/>
      </patternFill>
    </fill>
    <fill>
      <patternFill patternType="solid">
        <fgColor rgb="FF74A94A"/>
        <bgColor indexed="64"/>
      </patternFill>
    </fill>
    <fill>
      <patternFill patternType="solid">
        <fgColor rgb="FF5A853A"/>
        <bgColor indexed="64"/>
      </patternFill>
    </fill>
    <fill>
      <patternFill patternType="solid">
        <fgColor rgb="FF547B3E"/>
        <bgColor indexed="64"/>
      </patternFill>
    </fill>
    <fill>
      <patternFill patternType="solid">
        <fgColor rgb="FF354620"/>
        <bgColor indexed="64"/>
      </patternFill>
    </fill>
    <fill>
      <patternFill patternType="solid">
        <fgColor rgb="FF79582F"/>
        <bgColor indexed="64"/>
      </patternFill>
    </fill>
    <fill>
      <patternFill patternType="solid">
        <fgColor rgb="FFA36635"/>
        <bgColor indexed="64"/>
      </patternFill>
    </fill>
    <fill>
      <patternFill patternType="solid">
        <fgColor rgb="FFA86938"/>
        <bgColor indexed="64"/>
      </patternFill>
    </fill>
    <fill>
      <patternFill patternType="solid">
        <fgColor rgb="FF916E33"/>
        <bgColor indexed="64"/>
      </patternFill>
    </fill>
    <fill>
      <patternFill patternType="solid">
        <fgColor rgb="FF757433"/>
        <bgColor indexed="64"/>
      </patternFill>
    </fill>
    <fill>
      <patternFill patternType="solid">
        <fgColor rgb="FF555C2F"/>
        <bgColor indexed="64"/>
      </patternFill>
    </fill>
    <fill>
      <patternFill patternType="solid">
        <fgColor rgb="FFFA9D54"/>
        <bgColor indexed="64"/>
      </patternFill>
    </fill>
    <fill>
      <patternFill patternType="solid">
        <fgColor rgb="FFFB984E"/>
        <bgColor indexed="64"/>
      </patternFill>
    </fill>
    <fill>
      <patternFill patternType="solid">
        <fgColor rgb="FFFFA355"/>
        <bgColor indexed="64"/>
      </patternFill>
    </fill>
    <fill>
      <patternFill patternType="solid">
        <fgColor rgb="FFF99A5A"/>
        <bgColor indexed="64"/>
      </patternFill>
    </fill>
    <fill>
      <patternFill patternType="solid">
        <fgColor rgb="FF94552F"/>
        <bgColor indexed="64"/>
      </patternFill>
    </fill>
    <fill>
      <patternFill patternType="solid">
        <fgColor rgb="FF7E541B"/>
        <bgColor indexed="64"/>
      </patternFill>
    </fill>
    <fill>
      <patternFill patternType="solid">
        <fgColor rgb="FFFFB861"/>
        <bgColor indexed="64"/>
      </patternFill>
    </fill>
    <fill>
      <patternFill patternType="solid">
        <fgColor rgb="FFBF7E47"/>
        <bgColor indexed="64"/>
      </patternFill>
    </fill>
    <fill>
      <patternFill patternType="solid">
        <fgColor rgb="FF59401A"/>
        <bgColor indexed="64"/>
      </patternFill>
    </fill>
    <fill>
      <patternFill patternType="solid">
        <fgColor rgb="FF976D33"/>
        <bgColor indexed="64"/>
      </patternFill>
    </fill>
    <fill>
      <patternFill patternType="solid">
        <fgColor rgb="FFFFAC66"/>
        <bgColor indexed="64"/>
      </patternFill>
    </fill>
    <fill>
      <patternFill patternType="solid">
        <fgColor rgb="FFC17E42"/>
        <bgColor indexed="64"/>
      </patternFill>
    </fill>
    <fill>
      <patternFill patternType="solid">
        <fgColor rgb="FF7B8A43"/>
        <bgColor indexed="64"/>
      </patternFill>
    </fill>
    <fill>
      <patternFill patternType="solid">
        <fgColor rgb="FF8EBE71"/>
        <bgColor indexed="64"/>
      </patternFill>
    </fill>
    <fill>
      <patternFill patternType="solid">
        <fgColor rgb="FF85AC59"/>
        <bgColor indexed="64"/>
      </patternFill>
    </fill>
    <fill>
      <patternFill patternType="solid">
        <fgColor rgb="FF7DAC53"/>
        <bgColor indexed="64"/>
      </patternFill>
    </fill>
    <fill>
      <patternFill patternType="solid">
        <fgColor rgb="FF7BAA51"/>
        <bgColor indexed="64"/>
      </patternFill>
    </fill>
    <fill>
      <patternFill patternType="solid">
        <fgColor rgb="FF7FAE59"/>
        <bgColor indexed="64"/>
      </patternFill>
    </fill>
    <fill>
      <patternFill patternType="solid">
        <fgColor rgb="FF7FAE5B"/>
        <bgColor indexed="64"/>
      </patternFill>
    </fill>
    <fill>
      <patternFill patternType="solid">
        <fgColor rgb="FF7AAB56"/>
        <bgColor indexed="64"/>
      </patternFill>
    </fill>
    <fill>
      <patternFill patternType="solid">
        <fgColor rgb="FF76AA52"/>
        <bgColor indexed="64"/>
      </patternFill>
    </fill>
    <fill>
      <patternFill patternType="solid">
        <fgColor rgb="FF73A84F"/>
        <bgColor indexed="64"/>
      </patternFill>
    </fill>
    <fill>
      <patternFill patternType="solid">
        <fgColor rgb="FF72A64F"/>
        <bgColor indexed="64"/>
      </patternFill>
    </fill>
    <fill>
      <patternFill patternType="solid">
        <fgColor rgb="FF70A54F"/>
        <bgColor indexed="64"/>
      </patternFill>
    </fill>
    <fill>
      <patternFill patternType="solid">
        <fgColor rgb="FF72A34F"/>
        <bgColor indexed="64"/>
      </patternFill>
    </fill>
    <fill>
      <patternFill patternType="solid">
        <fgColor rgb="FF6FA34D"/>
        <bgColor indexed="64"/>
      </patternFill>
    </fill>
    <fill>
      <patternFill patternType="solid">
        <fgColor rgb="FF6FA549"/>
        <bgColor indexed="64"/>
      </patternFill>
    </fill>
    <fill>
      <patternFill patternType="solid">
        <fgColor rgb="FF73A64A"/>
        <bgColor indexed="64"/>
      </patternFill>
    </fill>
    <fill>
      <patternFill patternType="solid">
        <fgColor rgb="FF72A847"/>
        <bgColor indexed="64"/>
      </patternFill>
    </fill>
    <fill>
      <patternFill patternType="solid">
        <fgColor rgb="FF75A94B"/>
        <bgColor indexed="64"/>
      </patternFill>
    </fill>
    <fill>
      <patternFill patternType="solid">
        <fgColor rgb="FF78AC4E"/>
        <bgColor indexed="64"/>
      </patternFill>
    </fill>
    <fill>
      <patternFill patternType="solid">
        <fgColor rgb="FF74A74C"/>
        <bgColor indexed="64"/>
      </patternFill>
    </fill>
    <fill>
      <patternFill patternType="solid">
        <fgColor rgb="FF6E974A"/>
        <bgColor indexed="64"/>
      </patternFill>
    </fill>
    <fill>
      <patternFill patternType="solid">
        <fgColor rgb="FF678D42"/>
        <bgColor indexed="64"/>
      </patternFill>
    </fill>
    <fill>
      <patternFill patternType="solid">
        <fgColor rgb="FF69913E"/>
        <bgColor indexed="64"/>
      </patternFill>
    </fill>
    <fill>
      <patternFill patternType="solid">
        <fgColor rgb="FF76A646"/>
        <bgColor indexed="64"/>
      </patternFill>
    </fill>
    <fill>
      <patternFill patternType="solid">
        <fgColor rgb="FF8AAA55"/>
        <bgColor indexed="64"/>
      </patternFill>
    </fill>
    <fill>
      <patternFill patternType="solid">
        <fgColor rgb="FF846B2B"/>
        <bgColor indexed="64"/>
      </patternFill>
    </fill>
    <fill>
      <patternFill patternType="solid">
        <fgColor rgb="FFC37540"/>
        <bgColor indexed="64"/>
      </patternFill>
    </fill>
    <fill>
      <patternFill patternType="solid">
        <fgColor rgb="FF825F35"/>
        <bgColor indexed="64"/>
      </patternFill>
    </fill>
    <fill>
      <patternFill patternType="solid">
        <fgColor rgb="FF54491C"/>
        <bgColor indexed="64"/>
      </patternFill>
    </fill>
    <fill>
      <patternFill patternType="solid">
        <fgColor rgb="FFC49E53"/>
        <bgColor indexed="64"/>
      </patternFill>
    </fill>
    <fill>
      <patternFill patternType="solid">
        <fgColor rgb="FF9B7437"/>
        <bgColor indexed="64"/>
      </patternFill>
    </fill>
    <fill>
      <patternFill patternType="solid">
        <fgColor rgb="FF646937"/>
        <bgColor indexed="64"/>
      </patternFill>
    </fill>
    <fill>
      <patternFill patternType="solid">
        <fgColor rgb="FF6F7440"/>
        <bgColor indexed="64"/>
      </patternFill>
    </fill>
    <fill>
      <patternFill patternType="solid">
        <fgColor rgb="FFC99150"/>
        <bgColor indexed="64"/>
      </patternFill>
    </fill>
    <fill>
      <patternFill patternType="solid">
        <fgColor rgb="FFB37B40"/>
        <bgColor indexed="64"/>
      </patternFill>
    </fill>
    <fill>
      <patternFill patternType="solid">
        <fgColor rgb="FF7A7E3B"/>
        <bgColor indexed="64"/>
      </patternFill>
    </fill>
    <fill>
      <patternFill patternType="solid">
        <fgColor rgb="FF88B767"/>
        <bgColor indexed="64"/>
      </patternFill>
    </fill>
    <fill>
      <patternFill patternType="solid">
        <fgColor rgb="FF85B46B"/>
        <bgColor indexed="64"/>
      </patternFill>
    </fill>
    <fill>
      <patternFill patternType="solid">
        <fgColor rgb="FF708D43"/>
        <bgColor indexed="64"/>
      </patternFill>
    </fill>
    <fill>
      <patternFill patternType="solid">
        <fgColor rgb="FF7FAD52"/>
        <bgColor indexed="64"/>
      </patternFill>
    </fill>
    <fill>
      <patternFill patternType="solid">
        <fgColor rgb="FF7AAA4F"/>
        <bgColor indexed="64"/>
      </patternFill>
    </fill>
    <fill>
      <patternFill patternType="solid">
        <fgColor rgb="FF7BAB51"/>
        <bgColor indexed="64"/>
      </patternFill>
    </fill>
    <fill>
      <patternFill patternType="solid">
        <fgColor rgb="FF7EAD56"/>
        <bgColor indexed="64"/>
      </patternFill>
    </fill>
    <fill>
      <patternFill patternType="solid">
        <fgColor rgb="FF80AE59"/>
        <bgColor indexed="64"/>
      </patternFill>
    </fill>
    <fill>
      <patternFill patternType="solid">
        <fgColor rgb="FF81AD58"/>
        <bgColor indexed="64"/>
      </patternFill>
    </fill>
    <fill>
      <patternFill patternType="solid">
        <fgColor rgb="FF7AA952"/>
        <bgColor indexed="64"/>
      </patternFill>
    </fill>
    <fill>
      <patternFill patternType="solid">
        <fgColor rgb="FF74A851"/>
        <bgColor indexed="64"/>
      </patternFill>
    </fill>
    <fill>
      <patternFill patternType="solid">
        <fgColor rgb="FF73A64F"/>
        <bgColor indexed="64"/>
      </patternFill>
    </fill>
    <fill>
      <patternFill patternType="solid">
        <fgColor rgb="FF72A74F"/>
        <bgColor indexed="64"/>
      </patternFill>
    </fill>
    <fill>
      <patternFill patternType="solid">
        <fgColor rgb="FF71A74A"/>
        <bgColor indexed="64"/>
      </patternFill>
    </fill>
    <fill>
      <patternFill patternType="solid">
        <fgColor rgb="FF71A649"/>
        <bgColor indexed="64"/>
      </patternFill>
    </fill>
    <fill>
      <patternFill patternType="solid">
        <fgColor rgb="FF72A84B"/>
        <bgColor indexed="64"/>
      </patternFill>
    </fill>
    <fill>
      <patternFill patternType="solid">
        <fgColor rgb="FF74A649"/>
        <bgColor indexed="64"/>
      </patternFill>
    </fill>
    <fill>
      <patternFill patternType="solid">
        <fgColor rgb="FF77AA45"/>
        <bgColor indexed="64"/>
      </patternFill>
    </fill>
    <fill>
      <patternFill patternType="solid">
        <fgColor rgb="FF75AC48"/>
        <bgColor indexed="64"/>
      </patternFill>
    </fill>
    <fill>
      <patternFill patternType="solid">
        <fgColor rgb="FF76AB48"/>
        <bgColor indexed="64"/>
      </patternFill>
    </fill>
    <fill>
      <patternFill patternType="solid">
        <fgColor rgb="FF83B54F"/>
        <bgColor indexed="64"/>
      </patternFill>
    </fill>
    <fill>
      <patternFill patternType="solid">
        <fgColor rgb="FF8DA558"/>
        <bgColor indexed="64"/>
      </patternFill>
    </fill>
    <fill>
      <patternFill patternType="solid">
        <fgColor rgb="FF705C26"/>
        <bgColor indexed="64"/>
      </patternFill>
    </fill>
    <fill>
      <patternFill patternType="solid">
        <fgColor rgb="FFC78948"/>
        <bgColor indexed="64"/>
      </patternFill>
    </fill>
    <fill>
      <patternFill patternType="solid">
        <fgColor rgb="FFD08C47"/>
        <bgColor indexed="64"/>
      </patternFill>
    </fill>
    <fill>
      <patternFill patternType="solid">
        <fgColor rgb="FFCA883B"/>
        <bgColor indexed="64"/>
      </patternFill>
    </fill>
    <fill>
      <patternFill patternType="solid">
        <fgColor rgb="FFCC934B"/>
        <bgColor indexed="64"/>
      </patternFill>
    </fill>
    <fill>
      <patternFill patternType="solid">
        <fgColor rgb="FF82673F"/>
        <bgColor indexed="64"/>
      </patternFill>
    </fill>
    <fill>
      <patternFill patternType="solid">
        <fgColor rgb="FF454F25"/>
        <bgColor indexed="64"/>
      </patternFill>
    </fill>
    <fill>
      <patternFill patternType="solid">
        <fgColor rgb="FF6A7E4C"/>
        <bgColor indexed="64"/>
      </patternFill>
    </fill>
    <fill>
      <patternFill patternType="solid">
        <fgColor rgb="FF72673A"/>
        <bgColor indexed="64"/>
      </patternFill>
    </fill>
    <fill>
      <patternFill patternType="solid">
        <fgColor rgb="FF7A6D37"/>
        <bgColor indexed="64"/>
      </patternFill>
    </fill>
    <fill>
      <patternFill patternType="solid">
        <fgColor rgb="FF66813D"/>
        <bgColor indexed="64"/>
      </patternFill>
    </fill>
    <fill>
      <patternFill patternType="solid">
        <fgColor rgb="FF8DB870"/>
        <bgColor indexed="64"/>
      </patternFill>
    </fill>
    <fill>
      <patternFill patternType="solid">
        <fgColor rgb="FF5A6C43"/>
        <bgColor indexed="64"/>
      </patternFill>
    </fill>
    <fill>
      <patternFill patternType="solid">
        <fgColor rgb="FF5F5E2F"/>
        <bgColor indexed="64"/>
      </patternFill>
    </fill>
    <fill>
      <patternFill patternType="solid">
        <fgColor rgb="FF6F8A44"/>
        <bgColor indexed="64"/>
      </patternFill>
    </fill>
    <fill>
      <patternFill patternType="solid">
        <fgColor rgb="FF84B565"/>
        <bgColor indexed="64"/>
      </patternFill>
    </fill>
    <fill>
      <patternFill patternType="solid">
        <fgColor rgb="FF7DB163"/>
        <bgColor indexed="64"/>
      </patternFill>
    </fill>
    <fill>
      <patternFill patternType="solid">
        <fgColor rgb="FF82B26B"/>
        <bgColor indexed="64"/>
      </patternFill>
    </fill>
    <fill>
      <patternFill patternType="solid">
        <fgColor rgb="FF67913E"/>
        <bgColor indexed="64"/>
      </patternFill>
    </fill>
    <fill>
      <patternFill patternType="solid">
        <fgColor rgb="FF7FAD53"/>
        <bgColor indexed="64"/>
      </patternFill>
    </fill>
    <fill>
      <patternFill patternType="solid">
        <fgColor rgb="FF7CAA52"/>
        <bgColor indexed="64"/>
      </patternFill>
    </fill>
    <fill>
      <patternFill patternType="solid">
        <fgColor rgb="FF7FAD59"/>
        <bgColor indexed="64"/>
      </patternFill>
    </fill>
    <fill>
      <patternFill patternType="solid">
        <fgColor rgb="FF81B057"/>
        <bgColor indexed="64"/>
      </patternFill>
    </fill>
    <fill>
      <patternFill patternType="solid">
        <fgColor rgb="FF83B459"/>
        <bgColor indexed="64"/>
      </patternFill>
    </fill>
    <fill>
      <patternFill patternType="solid">
        <fgColor rgb="FF79AA51"/>
        <bgColor indexed="64"/>
      </patternFill>
    </fill>
    <fill>
      <patternFill patternType="solid">
        <fgColor rgb="FF74A74D"/>
        <bgColor indexed="64"/>
      </patternFill>
    </fill>
    <fill>
      <patternFill patternType="solid">
        <fgColor rgb="FF76AA51"/>
        <bgColor indexed="64"/>
      </patternFill>
    </fill>
    <fill>
      <patternFill patternType="solid">
        <fgColor rgb="FF75A850"/>
        <bgColor indexed="64"/>
      </patternFill>
    </fill>
    <fill>
      <patternFill patternType="solid">
        <fgColor rgb="FF73A64C"/>
        <bgColor indexed="64"/>
      </patternFill>
    </fill>
    <fill>
      <patternFill patternType="solid">
        <fgColor rgb="FF73A74C"/>
        <bgColor indexed="64"/>
      </patternFill>
    </fill>
    <fill>
      <patternFill patternType="solid">
        <fgColor rgb="FF70A74C"/>
        <bgColor indexed="64"/>
      </patternFill>
    </fill>
    <fill>
      <patternFill patternType="solid">
        <fgColor rgb="FF72A64C"/>
        <bgColor indexed="64"/>
      </patternFill>
    </fill>
    <fill>
      <patternFill patternType="solid">
        <fgColor rgb="FF74A74A"/>
        <bgColor indexed="64"/>
      </patternFill>
    </fill>
    <fill>
      <patternFill patternType="solid">
        <fgColor rgb="FF75A949"/>
        <bgColor indexed="64"/>
      </patternFill>
    </fill>
    <fill>
      <patternFill patternType="solid">
        <fgColor rgb="FF79AD4C"/>
        <bgColor indexed="64"/>
      </patternFill>
    </fill>
    <fill>
      <patternFill patternType="solid">
        <fgColor rgb="FF78A94E"/>
        <bgColor indexed="64"/>
      </patternFill>
    </fill>
    <fill>
      <patternFill patternType="solid">
        <fgColor rgb="FF688949"/>
        <bgColor indexed="64"/>
      </patternFill>
    </fill>
    <fill>
      <patternFill patternType="solid">
        <fgColor rgb="FF665F37"/>
        <bgColor indexed="64"/>
      </patternFill>
    </fill>
    <fill>
      <patternFill patternType="solid">
        <fgColor rgb="FFB38B54"/>
        <bgColor indexed="64"/>
      </patternFill>
    </fill>
    <fill>
      <patternFill patternType="solid">
        <fgColor rgb="FFBC8C55"/>
        <bgColor indexed="64"/>
      </patternFill>
    </fill>
    <fill>
      <patternFill patternType="solid">
        <fgColor rgb="FF72532E"/>
        <bgColor indexed="64"/>
      </patternFill>
    </fill>
    <fill>
      <patternFill patternType="solid">
        <fgColor rgb="FF5B4621"/>
        <bgColor indexed="64"/>
      </patternFill>
    </fill>
    <fill>
      <patternFill patternType="solid">
        <fgColor rgb="FF4F441E"/>
        <bgColor indexed="64"/>
      </patternFill>
    </fill>
    <fill>
      <patternFill patternType="solid">
        <fgColor rgb="FF37461F"/>
        <bgColor indexed="64"/>
      </patternFill>
    </fill>
    <fill>
      <patternFill patternType="solid">
        <fgColor rgb="FF5E8047"/>
        <bgColor indexed="64"/>
      </patternFill>
    </fill>
    <fill>
      <patternFill patternType="solid">
        <fgColor rgb="FF465429"/>
        <bgColor indexed="64"/>
      </patternFill>
    </fill>
    <fill>
      <patternFill patternType="solid">
        <fgColor rgb="FF696E34"/>
        <bgColor indexed="64"/>
      </patternFill>
    </fill>
    <fill>
      <patternFill patternType="solid">
        <fgColor rgb="FF8BA960"/>
        <bgColor indexed="64"/>
      </patternFill>
    </fill>
    <fill>
      <patternFill patternType="solid">
        <fgColor rgb="FF8DB96E"/>
        <bgColor indexed="64"/>
      </patternFill>
    </fill>
    <fill>
      <patternFill patternType="solid">
        <fgColor rgb="FF7FB063"/>
        <bgColor indexed="64"/>
      </patternFill>
    </fill>
    <fill>
      <patternFill patternType="solid">
        <fgColor rgb="FF72A15C"/>
        <bgColor indexed="64"/>
      </patternFill>
    </fill>
    <fill>
      <patternFill patternType="solid">
        <fgColor rgb="FF6FA059"/>
        <bgColor indexed="64"/>
      </patternFill>
    </fill>
    <fill>
      <patternFill patternType="solid">
        <fgColor rgb="FF7FB467"/>
        <bgColor indexed="64"/>
      </patternFill>
    </fill>
    <fill>
      <patternFill patternType="solid">
        <fgColor rgb="FF7FB265"/>
        <bgColor indexed="64"/>
      </patternFill>
    </fill>
    <fill>
      <patternFill patternType="solid">
        <fgColor rgb="FF7FB263"/>
        <bgColor indexed="64"/>
      </patternFill>
    </fill>
    <fill>
      <patternFill patternType="solid">
        <fgColor rgb="FF81B36D"/>
        <bgColor indexed="64"/>
      </patternFill>
    </fill>
    <fill>
      <patternFill patternType="solid">
        <fgColor rgb="FF2997FF"/>
        <bgColor indexed="64"/>
      </patternFill>
    </fill>
    <fill>
      <patternFill patternType="solid">
        <fgColor rgb="FF2994FB"/>
        <bgColor indexed="64"/>
      </patternFill>
    </fill>
    <fill>
      <patternFill patternType="solid">
        <fgColor rgb="FF2994FC"/>
        <bgColor indexed="64"/>
      </patternFill>
    </fill>
    <fill>
      <patternFill patternType="solid">
        <fgColor rgb="FF2B96FC"/>
        <bgColor indexed="64"/>
      </patternFill>
    </fill>
    <fill>
      <patternFill patternType="solid">
        <fgColor rgb="FF2B97FC"/>
        <bgColor indexed="64"/>
      </patternFill>
    </fill>
    <fill>
      <patternFill patternType="solid">
        <fgColor rgb="FF2C98FC"/>
        <bgColor indexed="64"/>
      </patternFill>
    </fill>
    <fill>
      <patternFill patternType="solid">
        <fgColor rgb="FF2D99FD"/>
        <bgColor indexed="64"/>
      </patternFill>
    </fill>
    <fill>
      <patternFill patternType="solid">
        <fgColor rgb="FF2C99FE"/>
        <bgColor indexed="64"/>
      </patternFill>
    </fill>
    <fill>
      <patternFill patternType="solid">
        <fgColor rgb="FF2D99FE"/>
        <bgColor indexed="64"/>
      </patternFill>
    </fill>
    <fill>
      <patternFill patternType="solid">
        <fgColor rgb="FF2D9AFE"/>
        <bgColor indexed="64"/>
      </patternFill>
    </fill>
    <fill>
      <patternFill patternType="solid">
        <fgColor rgb="FF2E9BFD"/>
        <bgColor indexed="64"/>
      </patternFill>
    </fill>
    <fill>
      <patternFill patternType="solid">
        <fgColor rgb="FF2E9CFC"/>
        <bgColor indexed="64"/>
      </patternFill>
    </fill>
    <fill>
      <patternFill patternType="solid">
        <fgColor rgb="FF319CFD"/>
        <bgColor indexed="64"/>
      </patternFill>
    </fill>
    <fill>
      <patternFill patternType="solid">
        <fgColor rgb="FF319DFE"/>
        <bgColor indexed="64"/>
      </patternFill>
    </fill>
    <fill>
      <patternFill patternType="solid">
        <fgColor rgb="FF329FFD"/>
        <bgColor indexed="64"/>
      </patternFill>
    </fill>
    <fill>
      <patternFill patternType="solid">
        <fgColor rgb="FF329EFC"/>
        <bgColor indexed="64"/>
      </patternFill>
    </fill>
    <fill>
      <patternFill patternType="solid">
        <fgColor rgb="FF32A0FC"/>
        <bgColor indexed="64"/>
      </patternFill>
    </fill>
    <fill>
      <patternFill patternType="solid">
        <fgColor rgb="FF35A1FD"/>
        <bgColor indexed="64"/>
      </patternFill>
    </fill>
    <fill>
      <patternFill patternType="solid">
        <fgColor rgb="FF34A1FE"/>
        <bgColor indexed="64"/>
      </patternFill>
    </fill>
    <fill>
      <patternFill patternType="solid">
        <fgColor rgb="FF33A0FC"/>
        <bgColor indexed="64"/>
      </patternFill>
    </fill>
    <fill>
      <patternFill patternType="solid">
        <fgColor rgb="FF34A1FD"/>
        <bgColor indexed="64"/>
      </patternFill>
    </fill>
    <fill>
      <patternFill patternType="solid">
        <fgColor rgb="FF33A1FC"/>
        <bgColor indexed="64"/>
      </patternFill>
    </fill>
    <fill>
      <patternFill patternType="solid">
        <fgColor rgb="FF35A2FE"/>
        <bgColor indexed="64"/>
      </patternFill>
    </fill>
    <fill>
      <patternFill patternType="solid">
        <fgColor rgb="FF36A2FD"/>
        <bgColor indexed="64"/>
      </patternFill>
    </fill>
    <fill>
      <patternFill patternType="solid">
        <fgColor rgb="FF35A2FD"/>
        <bgColor indexed="64"/>
      </patternFill>
    </fill>
    <fill>
      <patternFill patternType="solid">
        <fgColor rgb="FF34A2FF"/>
        <bgColor indexed="64"/>
      </patternFill>
    </fill>
    <fill>
      <patternFill patternType="solid">
        <fgColor rgb="FF34A2FD"/>
        <bgColor indexed="64"/>
      </patternFill>
    </fill>
    <fill>
      <patternFill patternType="solid">
        <fgColor rgb="FF34A2FE"/>
        <bgColor indexed="64"/>
      </patternFill>
    </fill>
    <fill>
      <patternFill patternType="solid">
        <fgColor rgb="FF34A3FE"/>
        <bgColor indexed="64"/>
      </patternFill>
    </fill>
    <fill>
      <patternFill patternType="solid">
        <fgColor rgb="FF33A4FD"/>
        <bgColor indexed="64"/>
      </patternFill>
    </fill>
    <fill>
      <patternFill patternType="solid">
        <fgColor rgb="FF34A2FC"/>
        <bgColor indexed="64"/>
      </patternFill>
    </fill>
    <fill>
      <patternFill patternType="solid">
        <fgColor rgb="FF34A4FE"/>
        <bgColor indexed="64"/>
      </patternFill>
    </fill>
    <fill>
      <patternFill patternType="solid">
        <fgColor rgb="FF35A4FD"/>
        <bgColor indexed="64"/>
      </patternFill>
    </fill>
    <fill>
      <patternFill patternType="solid">
        <fgColor rgb="FF34A5FD"/>
        <bgColor indexed="64"/>
      </patternFill>
    </fill>
    <fill>
      <patternFill patternType="solid">
        <fgColor rgb="FF34A4FD"/>
        <bgColor indexed="64"/>
      </patternFill>
    </fill>
    <fill>
      <patternFill patternType="solid">
        <fgColor rgb="FF33A5FD"/>
        <bgColor indexed="64"/>
      </patternFill>
    </fill>
    <fill>
      <patternFill patternType="solid">
        <fgColor rgb="FF34A4FF"/>
        <bgColor indexed="64"/>
      </patternFill>
    </fill>
    <fill>
      <patternFill patternType="solid">
        <fgColor rgb="FF33A4FE"/>
        <bgColor indexed="64"/>
      </patternFill>
    </fill>
    <fill>
      <patternFill patternType="solid">
        <fgColor rgb="FF32A3FD"/>
        <bgColor indexed="64"/>
      </patternFill>
    </fill>
    <fill>
      <patternFill patternType="solid">
        <fgColor rgb="FF32A2FE"/>
        <bgColor indexed="64"/>
      </patternFill>
    </fill>
    <fill>
      <patternFill patternType="solid">
        <fgColor rgb="FF31A2FD"/>
        <bgColor indexed="64"/>
      </patternFill>
    </fill>
    <fill>
      <patternFill patternType="solid">
        <fgColor rgb="FF30A3FD"/>
        <bgColor indexed="64"/>
      </patternFill>
    </fill>
    <fill>
      <patternFill patternType="solid">
        <fgColor rgb="FF31A1FD"/>
        <bgColor indexed="64"/>
      </patternFill>
    </fill>
    <fill>
      <patternFill patternType="solid">
        <fgColor rgb="FF32A3FE"/>
        <bgColor indexed="64"/>
      </patternFill>
    </fill>
    <fill>
      <patternFill patternType="solid">
        <fgColor rgb="FF31A5FD"/>
        <bgColor indexed="64"/>
      </patternFill>
    </fill>
    <fill>
      <patternFill patternType="solid">
        <fgColor rgb="FF31A4FD"/>
        <bgColor indexed="64"/>
      </patternFill>
    </fill>
    <fill>
      <patternFill patternType="solid">
        <fgColor rgb="FF30A4FD"/>
        <bgColor indexed="64"/>
      </patternFill>
    </fill>
    <fill>
      <patternFill patternType="solid">
        <fgColor rgb="FF30A3FE"/>
        <bgColor indexed="64"/>
      </patternFill>
    </fill>
    <fill>
      <patternFill patternType="solid">
        <fgColor rgb="FF31A3FC"/>
        <bgColor indexed="64"/>
      </patternFill>
    </fill>
    <fill>
      <patternFill patternType="solid">
        <fgColor rgb="FF30A6FE"/>
        <bgColor indexed="64"/>
      </patternFill>
    </fill>
    <fill>
      <patternFill patternType="solid">
        <fgColor rgb="FF30A2F9"/>
        <bgColor indexed="64"/>
      </patternFill>
    </fill>
    <fill>
      <patternFill patternType="solid">
        <fgColor rgb="FF3288CF"/>
        <bgColor indexed="64"/>
      </patternFill>
    </fill>
    <fill>
      <patternFill patternType="solid">
        <fgColor rgb="FF2AA0FE"/>
        <bgColor indexed="64"/>
      </patternFill>
    </fill>
    <fill>
      <patternFill patternType="solid">
        <fgColor rgb="FF2FA8FF"/>
        <bgColor indexed="64"/>
      </patternFill>
    </fill>
    <fill>
      <patternFill patternType="solid">
        <fgColor rgb="FF27A0FF"/>
        <bgColor indexed="64"/>
      </patternFill>
    </fill>
    <fill>
      <patternFill patternType="solid">
        <fgColor rgb="FF25A2FF"/>
        <bgColor indexed="64"/>
      </patternFill>
    </fill>
    <fill>
      <patternFill patternType="solid">
        <fgColor rgb="FF279AFD"/>
        <bgColor indexed="64"/>
      </patternFill>
    </fill>
    <fill>
      <patternFill patternType="solid">
        <fgColor rgb="FF2C92E9"/>
        <bgColor indexed="64"/>
      </patternFill>
    </fill>
    <fill>
      <patternFill patternType="solid">
        <fgColor rgb="FF2BA2FE"/>
        <bgColor indexed="64"/>
      </patternFill>
    </fill>
    <fill>
      <patternFill patternType="solid">
        <fgColor rgb="FF29A2FE"/>
        <bgColor indexed="64"/>
      </patternFill>
    </fill>
    <fill>
      <patternFill patternType="solid">
        <fgColor rgb="FF3387D9"/>
        <bgColor indexed="64"/>
      </patternFill>
    </fill>
    <fill>
      <patternFill patternType="solid">
        <fgColor rgb="FF8E7F7C"/>
        <bgColor indexed="64"/>
      </patternFill>
    </fill>
    <fill>
      <patternFill patternType="solid">
        <fgColor rgb="FFEE934D"/>
        <bgColor indexed="64"/>
      </patternFill>
    </fill>
    <fill>
      <patternFill patternType="solid">
        <fgColor rgb="FFD8783F"/>
        <bgColor indexed="64"/>
      </patternFill>
    </fill>
    <fill>
      <patternFill patternType="solid">
        <fgColor rgb="FF676986"/>
        <bgColor indexed="64"/>
      </patternFill>
    </fill>
    <fill>
      <patternFill patternType="solid">
        <fgColor rgb="FF2A9FFD"/>
        <bgColor indexed="64"/>
      </patternFill>
    </fill>
    <fill>
      <patternFill patternType="solid">
        <fgColor rgb="FF2EA0FB"/>
        <bgColor indexed="64"/>
      </patternFill>
    </fill>
    <fill>
      <patternFill patternType="solid">
        <fgColor rgb="FF2CA0FB"/>
        <bgColor indexed="64"/>
      </patternFill>
    </fill>
    <fill>
      <patternFill patternType="solid">
        <fgColor rgb="FF29A3FF"/>
        <bgColor indexed="64"/>
      </patternFill>
    </fill>
    <fill>
      <patternFill patternType="solid">
        <fgColor rgb="FF1C98FF"/>
        <bgColor indexed="64"/>
      </patternFill>
    </fill>
    <fill>
      <patternFill patternType="solid">
        <fgColor rgb="FF1B95FF"/>
        <bgColor indexed="64"/>
      </patternFill>
    </fill>
    <fill>
      <patternFill patternType="solid">
        <fgColor rgb="FF168EFC"/>
        <bgColor indexed="64"/>
      </patternFill>
    </fill>
    <fill>
      <patternFill patternType="solid">
        <fgColor rgb="FF1B8DFC"/>
        <bgColor indexed="64"/>
      </patternFill>
    </fill>
    <fill>
      <patternFill patternType="solid">
        <fgColor rgb="FF1A91FF"/>
        <bgColor indexed="64"/>
      </patternFill>
    </fill>
    <fill>
      <patternFill patternType="solid">
        <fgColor rgb="FF1F98FF"/>
        <bgColor indexed="64"/>
      </patternFill>
    </fill>
    <fill>
      <patternFill patternType="solid">
        <fgColor rgb="FF2597FF"/>
        <bgColor indexed="64"/>
      </patternFill>
    </fill>
    <fill>
      <patternFill patternType="solid">
        <fgColor rgb="FF2696FF"/>
        <bgColor indexed="64"/>
      </patternFill>
    </fill>
    <fill>
      <patternFill patternType="solid">
        <fgColor rgb="FF259AFF"/>
        <bgColor indexed="64"/>
      </patternFill>
    </fill>
    <fill>
      <patternFill patternType="solid">
        <fgColor rgb="FF237FE7"/>
        <bgColor indexed="64"/>
      </patternFill>
    </fill>
    <fill>
      <patternFill patternType="solid">
        <fgColor rgb="FF8A5B59"/>
        <bgColor indexed="64"/>
      </patternFill>
    </fill>
    <fill>
      <patternFill patternType="solid">
        <fgColor rgb="FF55516D"/>
        <bgColor indexed="64"/>
      </patternFill>
    </fill>
    <fill>
      <patternFill patternType="solid">
        <fgColor rgb="FF1371DA"/>
        <bgColor indexed="64"/>
      </patternFill>
    </fill>
    <fill>
      <patternFill patternType="solid">
        <fgColor rgb="FF1A7CE9"/>
        <bgColor indexed="64"/>
      </patternFill>
    </fill>
    <fill>
      <patternFill patternType="solid">
        <fgColor rgb="FF1274E8"/>
        <bgColor indexed="64"/>
      </patternFill>
    </fill>
    <fill>
      <patternFill patternType="solid">
        <fgColor rgb="FF137DF4"/>
        <bgColor indexed="64"/>
      </patternFill>
    </fill>
    <fill>
      <patternFill patternType="solid">
        <fgColor rgb="FF2995FE"/>
        <bgColor indexed="64"/>
      </patternFill>
    </fill>
    <fill>
      <patternFill patternType="solid">
        <fgColor rgb="FF2A94F8"/>
        <bgColor indexed="64"/>
      </patternFill>
    </fill>
    <fill>
      <patternFill patternType="solid">
        <fgColor rgb="FF2A96F9"/>
        <bgColor indexed="64"/>
      </patternFill>
    </fill>
    <fill>
      <patternFill patternType="solid">
        <fgColor rgb="FF2B96FA"/>
        <bgColor indexed="64"/>
      </patternFill>
    </fill>
    <fill>
      <patternFill patternType="solid">
        <fgColor rgb="FF2B97FA"/>
        <bgColor indexed="64"/>
      </patternFill>
    </fill>
    <fill>
      <patternFill patternType="solid">
        <fgColor rgb="FF2B98F9"/>
        <bgColor indexed="64"/>
      </patternFill>
    </fill>
    <fill>
      <patternFill patternType="solid">
        <fgColor rgb="FF2C97FA"/>
        <bgColor indexed="64"/>
      </patternFill>
    </fill>
    <fill>
      <patternFill patternType="solid">
        <fgColor rgb="FF2D98FB"/>
        <bgColor indexed="64"/>
      </patternFill>
    </fill>
    <fill>
      <patternFill patternType="solid">
        <fgColor rgb="FF2D98FA"/>
        <bgColor indexed="64"/>
      </patternFill>
    </fill>
    <fill>
      <patternFill patternType="solid">
        <fgColor rgb="FF2D99FA"/>
        <bgColor indexed="64"/>
      </patternFill>
    </fill>
    <fill>
      <patternFill patternType="solid">
        <fgColor rgb="FF2D99FB"/>
        <bgColor indexed="64"/>
      </patternFill>
    </fill>
    <fill>
      <patternFill patternType="solid">
        <fgColor rgb="FF2E9AFA"/>
        <bgColor indexed="64"/>
      </patternFill>
    </fill>
    <fill>
      <patternFill patternType="solid">
        <fgColor rgb="FF2F9BFA"/>
        <bgColor indexed="64"/>
      </patternFill>
    </fill>
    <fill>
      <patternFill patternType="solid">
        <fgColor rgb="FF319CFA"/>
        <bgColor indexed="64"/>
      </patternFill>
    </fill>
    <fill>
      <patternFill patternType="solid">
        <fgColor rgb="FF319BFA"/>
        <bgColor indexed="64"/>
      </patternFill>
    </fill>
    <fill>
      <patternFill patternType="solid">
        <fgColor rgb="FF309EFC"/>
        <bgColor indexed="64"/>
      </patternFill>
    </fill>
    <fill>
      <patternFill patternType="solid">
        <fgColor rgb="FF2E9EFC"/>
        <bgColor indexed="64"/>
      </patternFill>
    </fill>
    <fill>
      <patternFill patternType="solid">
        <fgColor rgb="FF319CF9"/>
        <bgColor indexed="64"/>
      </patternFill>
    </fill>
    <fill>
      <patternFill patternType="solid">
        <fgColor rgb="FF329CFA"/>
        <bgColor indexed="64"/>
      </patternFill>
    </fill>
    <fill>
      <patternFill patternType="solid">
        <fgColor rgb="FF329DFA"/>
        <bgColor indexed="64"/>
      </patternFill>
    </fill>
    <fill>
      <patternFill patternType="solid">
        <fgColor rgb="FF329CF8"/>
        <bgColor indexed="64"/>
      </patternFill>
    </fill>
    <fill>
      <patternFill patternType="solid">
        <fgColor rgb="FF35A1FE"/>
        <bgColor indexed="64"/>
      </patternFill>
    </fill>
    <fill>
      <patternFill patternType="solid">
        <fgColor rgb="FF339FFB"/>
        <bgColor indexed="64"/>
      </patternFill>
    </fill>
    <fill>
      <patternFill patternType="solid">
        <fgColor rgb="FF349FFB"/>
        <bgColor indexed="64"/>
      </patternFill>
    </fill>
    <fill>
      <patternFill patternType="solid">
        <fgColor rgb="FF35A1FA"/>
        <bgColor indexed="64"/>
      </patternFill>
    </fill>
    <fill>
      <patternFill patternType="solid">
        <fgColor rgb="FF34A1FB"/>
        <bgColor indexed="64"/>
      </patternFill>
    </fill>
    <fill>
      <patternFill patternType="solid">
        <fgColor rgb="FF34A0FA"/>
        <bgColor indexed="64"/>
      </patternFill>
    </fill>
    <fill>
      <patternFill patternType="solid">
        <fgColor rgb="FF34A1FA"/>
        <bgColor indexed="64"/>
      </patternFill>
    </fill>
    <fill>
      <patternFill patternType="solid">
        <fgColor rgb="FF34A0FB"/>
        <bgColor indexed="64"/>
      </patternFill>
    </fill>
    <fill>
      <patternFill patternType="solid">
        <fgColor rgb="FF33A1FB"/>
        <bgColor indexed="64"/>
      </patternFill>
    </fill>
    <fill>
      <patternFill patternType="solid">
        <fgColor rgb="FF35A3FA"/>
        <bgColor indexed="64"/>
      </patternFill>
    </fill>
    <fill>
      <patternFill patternType="solid">
        <fgColor rgb="FF35A2FB"/>
        <bgColor indexed="64"/>
      </patternFill>
    </fill>
    <fill>
      <patternFill patternType="solid">
        <fgColor rgb="FF35A2FA"/>
        <bgColor indexed="64"/>
      </patternFill>
    </fill>
    <fill>
      <patternFill patternType="solid">
        <fgColor rgb="FF34A3FB"/>
        <bgColor indexed="64"/>
      </patternFill>
    </fill>
    <fill>
      <patternFill patternType="solid">
        <fgColor rgb="FF33A3FB"/>
        <bgColor indexed="64"/>
      </patternFill>
    </fill>
    <fill>
      <patternFill patternType="solid">
        <fgColor rgb="FF35A3FB"/>
        <bgColor indexed="64"/>
      </patternFill>
    </fill>
    <fill>
      <patternFill patternType="solid">
        <fgColor rgb="FF33A4FB"/>
        <bgColor indexed="64"/>
      </patternFill>
    </fill>
    <fill>
      <patternFill patternType="solid">
        <fgColor rgb="FF33A5FB"/>
        <bgColor indexed="64"/>
      </patternFill>
    </fill>
    <fill>
      <patternFill patternType="solid">
        <fgColor rgb="FF32A3FB"/>
        <bgColor indexed="64"/>
      </patternFill>
    </fill>
    <fill>
      <patternFill patternType="solid">
        <fgColor rgb="FF31A2FB"/>
        <bgColor indexed="64"/>
      </patternFill>
    </fill>
    <fill>
      <patternFill patternType="solid">
        <fgColor rgb="FF32A1FB"/>
        <bgColor indexed="64"/>
      </patternFill>
    </fill>
    <fill>
      <patternFill patternType="solid">
        <fgColor rgb="FF32A2FB"/>
        <bgColor indexed="64"/>
      </patternFill>
    </fill>
    <fill>
      <patternFill patternType="solid">
        <fgColor rgb="FF32A3FC"/>
        <bgColor indexed="64"/>
      </patternFill>
    </fill>
    <fill>
      <patternFill patternType="solid">
        <fgColor rgb="FF31A3FB"/>
        <bgColor indexed="64"/>
      </patternFill>
    </fill>
    <fill>
      <patternFill patternType="solid">
        <fgColor rgb="FF32A4FB"/>
        <bgColor indexed="64"/>
      </patternFill>
    </fill>
    <fill>
      <patternFill patternType="solid">
        <fgColor rgb="FF34A5FA"/>
        <bgColor indexed="64"/>
      </patternFill>
    </fill>
    <fill>
      <patternFill patternType="solid">
        <fgColor rgb="FF33A2FB"/>
        <bgColor indexed="64"/>
      </patternFill>
    </fill>
    <fill>
      <patternFill patternType="solid">
        <fgColor rgb="FF31A2FA"/>
        <bgColor indexed="64"/>
      </patternFill>
    </fill>
    <fill>
      <patternFill patternType="solid">
        <fgColor rgb="FF30A1FA"/>
        <bgColor indexed="64"/>
      </patternFill>
    </fill>
    <fill>
      <patternFill patternType="solid">
        <fgColor rgb="FF2891E5"/>
        <bgColor indexed="64"/>
      </patternFill>
    </fill>
    <fill>
      <patternFill patternType="solid">
        <fgColor rgb="FF9AA450"/>
        <bgColor indexed="64"/>
      </patternFill>
    </fill>
    <fill>
      <patternFill patternType="solid">
        <fgColor rgb="FF689E99"/>
        <bgColor indexed="64"/>
      </patternFill>
    </fill>
    <fill>
      <patternFill patternType="solid">
        <fgColor rgb="FF3089CD"/>
        <bgColor indexed="64"/>
      </patternFill>
    </fill>
    <fill>
      <patternFill patternType="solid">
        <fgColor rgb="FF769D8D"/>
        <bgColor indexed="64"/>
      </patternFill>
    </fill>
    <fill>
      <patternFill patternType="solid">
        <fgColor rgb="FF6C9E9E"/>
        <bgColor indexed="64"/>
      </patternFill>
    </fill>
    <fill>
      <patternFill patternType="solid">
        <fgColor rgb="FF669291"/>
        <bgColor indexed="64"/>
      </patternFill>
    </fill>
    <fill>
      <patternFill patternType="solid">
        <fgColor rgb="FF4396CE"/>
        <bgColor indexed="64"/>
      </patternFill>
    </fill>
    <fill>
      <patternFill patternType="solid">
        <fgColor rgb="FF29A1FF"/>
        <bgColor indexed="64"/>
      </patternFill>
    </fill>
    <fill>
      <patternFill patternType="solid">
        <fgColor rgb="FF2B9DF8"/>
        <bgColor indexed="64"/>
      </patternFill>
    </fill>
    <fill>
      <patternFill patternType="solid">
        <fgColor rgb="FF2AA2FF"/>
        <bgColor indexed="64"/>
      </patternFill>
    </fill>
    <fill>
      <patternFill patternType="solid">
        <fgColor rgb="FF2094FB"/>
        <bgColor indexed="64"/>
      </patternFill>
    </fill>
    <fill>
      <patternFill patternType="solid">
        <fgColor rgb="FF4978A6"/>
        <bgColor indexed="64"/>
      </patternFill>
    </fill>
    <fill>
      <patternFill patternType="solid">
        <fgColor rgb="FFDE8E4E"/>
        <bgColor indexed="64"/>
      </patternFill>
    </fill>
    <fill>
      <patternFill patternType="solid">
        <fgColor rgb="FF857377"/>
        <bgColor indexed="64"/>
      </patternFill>
    </fill>
    <fill>
      <patternFill patternType="solid">
        <fgColor rgb="FF2398F1"/>
        <bgColor indexed="64"/>
      </patternFill>
    </fill>
    <fill>
      <patternFill patternType="solid">
        <fgColor rgb="FF30A8FF"/>
        <bgColor indexed="64"/>
      </patternFill>
    </fill>
    <fill>
      <patternFill patternType="solid">
        <fgColor rgb="FF229CFF"/>
        <bgColor indexed="64"/>
      </patternFill>
    </fill>
    <fill>
      <patternFill patternType="solid">
        <fgColor rgb="FF2C78CE"/>
        <bgColor indexed="64"/>
      </patternFill>
    </fill>
    <fill>
      <patternFill patternType="solid">
        <fgColor rgb="FF6E6F96"/>
        <bgColor indexed="64"/>
      </patternFill>
    </fill>
    <fill>
      <patternFill patternType="solid">
        <fgColor rgb="FFA3808B"/>
        <bgColor indexed="64"/>
      </patternFill>
    </fill>
    <fill>
      <patternFill patternType="solid">
        <fgColor rgb="FF95696B"/>
        <bgColor indexed="64"/>
      </patternFill>
    </fill>
    <fill>
      <patternFill patternType="solid">
        <fgColor rgb="FF9C6F67"/>
        <bgColor indexed="64"/>
      </patternFill>
    </fill>
    <fill>
      <patternFill patternType="solid">
        <fgColor rgb="FF7C6D80"/>
        <bgColor indexed="64"/>
      </patternFill>
    </fill>
    <fill>
      <patternFill patternType="solid">
        <fgColor rgb="FF3D75BC"/>
        <bgColor indexed="64"/>
      </patternFill>
    </fill>
    <fill>
      <patternFill patternType="solid">
        <fgColor rgb="FF1A7AE1"/>
        <bgColor indexed="64"/>
      </patternFill>
    </fill>
    <fill>
      <patternFill patternType="solid">
        <fgColor rgb="FF0C74E1"/>
        <bgColor indexed="64"/>
      </patternFill>
    </fill>
    <fill>
      <patternFill patternType="solid">
        <fgColor rgb="FF1686F1"/>
        <bgColor indexed="64"/>
      </patternFill>
    </fill>
    <fill>
      <patternFill patternType="solid">
        <fgColor rgb="FF685E7E"/>
        <bgColor indexed="64"/>
      </patternFill>
    </fill>
    <fill>
      <patternFill patternType="solid">
        <fgColor rgb="FF5D5F81"/>
        <bgColor indexed="64"/>
      </patternFill>
    </fill>
    <fill>
      <patternFill patternType="solid">
        <fgColor rgb="FF1586F5"/>
        <bgColor indexed="64"/>
      </patternFill>
    </fill>
    <fill>
      <patternFill patternType="solid">
        <fgColor rgb="FF1D90FF"/>
        <bgColor indexed="64"/>
      </patternFill>
    </fill>
    <fill>
      <patternFill patternType="solid">
        <fgColor rgb="FF1A88FC"/>
        <bgColor indexed="64"/>
      </patternFill>
    </fill>
    <fill>
      <patternFill patternType="solid">
        <fgColor rgb="FF1A86FD"/>
        <bgColor indexed="64"/>
      </patternFill>
    </fill>
    <fill>
      <patternFill patternType="solid">
        <fgColor rgb="FF187FF6"/>
        <bgColor indexed="64"/>
      </patternFill>
    </fill>
    <fill>
      <patternFill patternType="solid">
        <fgColor rgb="FF309DFF"/>
        <bgColor indexed="64"/>
      </patternFill>
    </fill>
    <fill>
      <patternFill patternType="solid">
        <fgColor rgb="FF2F98FA"/>
        <bgColor indexed="64"/>
      </patternFill>
    </fill>
    <fill>
      <patternFill patternType="solid">
        <fgColor rgb="FF2D97F9"/>
        <bgColor indexed="64"/>
      </patternFill>
    </fill>
    <fill>
      <patternFill patternType="solid">
        <fgColor rgb="FF2C97F9"/>
        <bgColor indexed="64"/>
      </patternFill>
    </fill>
    <fill>
      <patternFill patternType="solid">
        <fgColor rgb="FF2D99FC"/>
        <bgColor indexed="64"/>
      </patternFill>
    </fill>
    <fill>
      <patternFill patternType="solid">
        <fgColor rgb="FF2D9AFC"/>
        <bgColor indexed="64"/>
      </patternFill>
    </fill>
    <fill>
      <patternFill patternType="solid">
        <fgColor rgb="FF2D9AFB"/>
        <bgColor indexed="64"/>
      </patternFill>
    </fill>
    <fill>
      <patternFill patternType="solid">
        <fgColor rgb="FF2D9BFB"/>
        <bgColor indexed="64"/>
      </patternFill>
    </fill>
    <fill>
      <patternFill patternType="solid">
        <fgColor rgb="FF2E9AFB"/>
        <bgColor indexed="64"/>
      </patternFill>
    </fill>
    <fill>
      <patternFill patternType="solid">
        <fgColor rgb="FF2F9AFA"/>
        <bgColor indexed="64"/>
      </patternFill>
    </fill>
    <fill>
      <patternFill patternType="solid">
        <fgColor rgb="FF309BFB"/>
        <bgColor indexed="64"/>
      </patternFill>
    </fill>
    <fill>
      <patternFill patternType="solid">
        <fgColor rgb="FF319CFB"/>
        <bgColor indexed="64"/>
      </patternFill>
    </fill>
    <fill>
      <patternFill patternType="solid">
        <fgColor rgb="FF319DF9"/>
        <bgColor indexed="64"/>
      </patternFill>
    </fill>
    <fill>
      <patternFill patternType="solid">
        <fgColor rgb="FF32A1FD"/>
        <bgColor indexed="64"/>
      </patternFill>
    </fill>
    <fill>
      <patternFill patternType="solid">
        <fgColor rgb="FF3286DD"/>
        <bgColor indexed="64"/>
      </patternFill>
    </fill>
    <fill>
      <patternFill patternType="solid">
        <fgColor rgb="FF388CE0"/>
        <bgColor indexed="64"/>
      </patternFill>
    </fill>
    <fill>
      <patternFill patternType="solid">
        <fgColor rgb="FF339FF9"/>
        <bgColor indexed="64"/>
      </patternFill>
    </fill>
    <fill>
      <patternFill patternType="solid">
        <fgColor rgb="FF359EF8"/>
        <bgColor indexed="64"/>
      </patternFill>
    </fill>
    <fill>
      <patternFill patternType="solid">
        <fgColor rgb="FF33A9FF"/>
        <bgColor indexed="64"/>
      </patternFill>
    </fill>
    <fill>
      <patternFill patternType="solid">
        <fgColor rgb="FF2584DA"/>
        <bgColor indexed="64"/>
      </patternFill>
    </fill>
    <fill>
      <patternFill patternType="solid">
        <fgColor rgb="FF3088E0"/>
        <bgColor indexed="64"/>
      </patternFill>
    </fill>
    <fill>
      <patternFill patternType="solid">
        <fgColor rgb="FF38A7FE"/>
        <bgColor indexed="64"/>
      </patternFill>
    </fill>
    <fill>
      <patternFill patternType="solid">
        <fgColor rgb="FF38A2F9"/>
        <bgColor indexed="64"/>
      </patternFill>
    </fill>
    <fill>
      <patternFill patternType="solid">
        <fgColor rgb="FF36A1F8"/>
        <bgColor indexed="64"/>
      </patternFill>
    </fill>
    <fill>
      <patternFill patternType="solid">
        <fgColor rgb="FF36A5FE"/>
        <bgColor indexed="64"/>
      </patternFill>
    </fill>
    <fill>
      <patternFill patternType="solid">
        <fgColor rgb="FF38A6FC"/>
        <bgColor indexed="64"/>
      </patternFill>
    </fill>
    <fill>
      <patternFill patternType="solid">
        <fgColor rgb="FF37A3FA"/>
        <bgColor indexed="64"/>
      </patternFill>
    </fill>
    <fill>
      <patternFill patternType="solid">
        <fgColor rgb="FF37A3FB"/>
        <bgColor indexed="64"/>
      </patternFill>
    </fill>
    <fill>
      <patternFill patternType="solid">
        <fgColor rgb="FF37A3FC"/>
        <bgColor indexed="64"/>
      </patternFill>
    </fill>
    <fill>
      <patternFill patternType="solid">
        <fgColor rgb="FF36A4FB"/>
        <bgColor indexed="64"/>
      </patternFill>
    </fill>
    <fill>
      <patternFill patternType="solid">
        <fgColor rgb="FF36A4FA"/>
        <bgColor indexed="64"/>
      </patternFill>
    </fill>
    <fill>
      <patternFill patternType="solid">
        <fgColor rgb="FF35A4FA"/>
        <bgColor indexed="64"/>
      </patternFill>
    </fill>
    <fill>
      <patternFill patternType="solid">
        <fgColor rgb="FF35A4FB"/>
        <bgColor indexed="64"/>
      </patternFill>
    </fill>
    <fill>
      <patternFill patternType="solid">
        <fgColor rgb="FF35A5FB"/>
        <bgColor indexed="64"/>
      </patternFill>
    </fill>
    <fill>
      <patternFill patternType="solid">
        <fgColor rgb="FF36A6FB"/>
        <bgColor indexed="64"/>
      </patternFill>
    </fill>
    <fill>
      <patternFill patternType="solid">
        <fgColor rgb="FF34A5FB"/>
        <bgColor indexed="64"/>
      </patternFill>
    </fill>
    <fill>
      <patternFill patternType="solid">
        <fgColor rgb="FF34A4FA"/>
        <bgColor indexed="64"/>
      </patternFill>
    </fill>
    <fill>
      <patternFill patternType="solid">
        <fgColor rgb="FF35A6FB"/>
        <bgColor indexed="64"/>
      </patternFill>
    </fill>
    <fill>
      <patternFill patternType="solid">
        <fgColor rgb="FF37A5FB"/>
        <bgColor indexed="64"/>
      </patternFill>
    </fill>
    <fill>
      <patternFill patternType="solid">
        <fgColor rgb="FF36A5FB"/>
        <bgColor indexed="64"/>
      </patternFill>
    </fill>
    <fill>
      <patternFill patternType="solid">
        <fgColor rgb="FF35A4FC"/>
        <bgColor indexed="64"/>
      </patternFill>
    </fill>
    <fill>
      <patternFill patternType="solid">
        <fgColor rgb="FF33A5FA"/>
        <bgColor indexed="64"/>
      </patternFill>
    </fill>
    <fill>
      <patternFill patternType="solid">
        <fgColor rgb="FF34A6FA"/>
        <bgColor indexed="64"/>
      </patternFill>
    </fill>
    <fill>
      <patternFill patternType="solid">
        <fgColor rgb="FF36A7FA"/>
        <bgColor indexed="64"/>
      </patternFill>
    </fill>
    <fill>
      <patternFill patternType="solid">
        <fgColor rgb="FF36A7FB"/>
        <bgColor indexed="64"/>
      </patternFill>
    </fill>
    <fill>
      <patternFill patternType="solid">
        <fgColor rgb="FF2FA2F9"/>
        <bgColor indexed="64"/>
      </patternFill>
    </fill>
    <fill>
      <patternFill patternType="solid">
        <fgColor rgb="FF34A8FD"/>
        <bgColor indexed="64"/>
      </patternFill>
    </fill>
    <fill>
      <patternFill patternType="solid">
        <fgColor rgb="FF2491EF"/>
        <bgColor indexed="64"/>
      </patternFill>
    </fill>
    <fill>
      <patternFill patternType="solid">
        <fgColor rgb="FF96AA4D"/>
        <bgColor indexed="64"/>
      </patternFill>
    </fill>
    <fill>
      <patternFill patternType="solid">
        <fgColor rgb="FFFFF92D"/>
        <bgColor indexed="64"/>
      </patternFill>
    </fill>
    <fill>
      <patternFill patternType="solid">
        <fgColor rgb="FFC8BD31"/>
        <bgColor indexed="64"/>
      </patternFill>
    </fill>
    <fill>
      <patternFill patternType="solid">
        <fgColor rgb="FFEEE129"/>
        <bgColor indexed="64"/>
      </patternFill>
    </fill>
    <fill>
      <patternFill patternType="solid">
        <fgColor rgb="FFFDEB25"/>
        <bgColor indexed="64"/>
      </patternFill>
    </fill>
    <fill>
      <patternFill patternType="solid">
        <fgColor rgb="FF6F997A"/>
        <bgColor indexed="64"/>
      </patternFill>
    </fill>
    <fill>
      <patternFill patternType="solid">
        <fgColor rgb="FF28A1FD"/>
        <bgColor indexed="64"/>
      </patternFill>
    </fill>
    <fill>
      <patternFill patternType="solid">
        <fgColor rgb="FF2DA1F8"/>
        <bgColor indexed="64"/>
      </patternFill>
    </fill>
    <fill>
      <patternFill patternType="solid">
        <fgColor rgb="FF2A9EFA"/>
        <bgColor indexed="64"/>
      </patternFill>
    </fill>
    <fill>
      <patternFill patternType="solid">
        <fgColor rgb="FF2B9EF8"/>
        <bgColor indexed="64"/>
      </patternFill>
    </fill>
    <fill>
      <patternFill patternType="solid">
        <fgColor rgb="FF31A0FA"/>
        <bgColor indexed="64"/>
      </patternFill>
    </fill>
    <fill>
      <patternFill patternType="solid">
        <fgColor rgb="FF259DFF"/>
        <bgColor indexed="64"/>
      </patternFill>
    </fill>
    <fill>
      <patternFill patternType="solid">
        <fgColor rgb="FF497BB0"/>
        <bgColor indexed="64"/>
      </patternFill>
    </fill>
    <fill>
      <patternFill patternType="solid">
        <fgColor rgb="FFC27E4E"/>
        <bgColor indexed="64"/>
      </patternFill>
    </fill>
    <fill>
      <patternFill patternType="solid">
        <fgColor rgb="FF3272AD"/>
        <bgColor indexed="64"/>
      </patternFill>
    </fill>
    <fill>
      <patternFill patternType="solid">
        <fgColor rgb="FF318FE4"/>
        <bgColor indexed="64"/>
      </patternFill>
    </fill>
    <fill>
      <patternFill patternType="solid">
        <fgColor rgb="FF927F90"/>
        <bgColor indexed="64"/>
      </patternFill>
    </fill>
    <fill>
      <patternFill patternType="solid">
        <fgColor rgb="FFDD7F51"/>
        <bgColor indexed="64"/>
      </patternFill>
    </fill>
    <fill>
      <patternFill patternType="solid">
        <fgColor rgb="FFFF9245"/>
        <bgColor indexed="64"/>
      </patternFill>
    </fill>
    <fill>
      <patternFill patternType="solid">
        <fgColor rgb="FFFF9749"/>
        <bgColor indexed="64"/>
      </patternFill>
    </fill>
    <fill>
      <patternFill patternType="solid">
        <fgColor rgb="FFFF9B47"/>
        <bgColor indexed="64"/>
      </patternFill>
    </fill>
    <fill>
      <patternFill patternType="solid">
        <fgColor rgb="FFFF9846"/>
        <bgColor indexed="64"/>
      </patternFill>
    </fill>
    <fill>
      <patternFill patternType="solid">
        <fgColor rgb="FFF28439"/>
        <bgColor indexed="64"/>
      </patternFill>
    </fill>
    <fill>
      <patternFill patternType="solid">
        <fgColor rgb="FFD26F34"/>
        <bgColor indexed="64"/>
      </patternFill>
    </fill>
    <fill>
      <patternFill patternType="solid">
        <fgColor rgb="FFBF6F4E"/>
        <bgColor indexed="64"/>
      </patternFill>
    </fill>
    <fill>
      <patternFill patternType="solid">
        <fgColor rgb="FF9A5F55"/>
        <bgColor indexed="64"/>
      </patternFill>
    </fill>
    <fill>
      <patternFill patternType="solid">
        <fgColor rgb="FF7E5356"/>
        <bgColor indexed="64"/>
      </patternFill>
    </fill>
    <fill>
      <patternFill patternType="solid">
        <fgColor rgb="FF36609B"/>
        <bgColor indexed="64"/>
      </patternFill>
    </fill>
    <fill>
      <patternFill patternType="solid">
        <fgColor rgb="FF1B8DFD"/>
        <bgColor indexed="64"/>
      </patternFill>
    </fill>
    <fill>
      <patternFill patternType="solid">
        <fgColor rgb="FF1D8FFD"/>
        <bgColor indexed="64"/>
      </patternFill>
    </fill>
    <fill>
      <patternFill patternType="solid">
        <fgColor rgb="FF1C89F8"/>
        <bgColor indexed="64"/>
      </patternFill>
    </fill>
    <fill>
      <patternFill patternType="solid">
        <fgColor rgb="FF1B86F9"/>
        <bgColor indexed="64"/>
      </patternFill>
    </fill>
    <fill>
      <patternFill patternType="solid">
        <fgColor rgb="FF1984F8"/>
        <bgColor indexed="64"/>
      </patternFill>
    </fill>
    <fill>
      <patternFill patternType="solid">
        <fgColor rgb="FF177FF5"/>
        <bgColor indexed="64"/>
      </patternFill>
    </fill>
    <fill>
      <patternFill patternType="solid">
        <fgColor rgb="FF208EF5"/>
        <bgColor indexed="64"/>
      </patternFill>
    </fill>
    <fill>
      <patternFill patternType="solid">
        <fgColor rgb="FF2393F8"/>
        <bgColor indexed="64"/>
      </patternFill>
    </fill>
    <fill>
      <patternFill patternType="solid">
        <fgColor rgb="FF2C9DFF"/>
        <bgColor indexed="64"/>
      </patternFill>
    </fill>
    <fill>
      <patternFill patternType="solid">
        <fgColor rgb="FF31A0FF"/>
        <bgColor indexed="64"/>
      </patternFill>
    </fill>
    <fill>
      <patternFill patternType="solid">
        <fgColor rgb="FF319DFA"/>
        <bgColor indexed="64"/>
      </patternFill>
    </fill>
    <fill>
      <patternFill patternType="solid">
        <fgColor rgb="FF2F99FA"/>
        <bgColor indexed="64"/>
      </patternFill>
    </fill>
    <fill>
      <patternFill patternType="solid">
        <fgColor rgb="FF309CFB"/>
        <bgColor indexed="64"/>
      </patternFill>
    </fill>
    <fill>
      <patternFill patternType="solid">
        <fgColor rgb="FF2F9DFB"/>
        <bgColor indexed="64"/>
      </patternFill>
    </fill>
    <fill>
      <patternFill patternType="solid">
        <fgColor rgb="FF2F9BFB"/>
        <bgColor indexed="64"/>
      </patternFill>
    </fill>
    <fill>
      <patternFill patternType="solid">
        <fgColor rgb="FF329EFA"/>
        <bgColor indexed="64"/>
      </patternFill>
    </fill>
    <fill>
      <patternFill patternType="solid">
        <fgColor rgb="FF2FA6FF"/>
        <bgColor indexed="64"/>
      </patternFill>
    </fill>
    <fill>
      <patternFill patternType="solid">
        <fgColor rgb="FF565D9D"/>
        <bgColor indexed="64"/>
      </patternFill>
    </fill>
    <fill>
      <patternFill patternType="solid">
        <fgColor rgb="FF5A6EB0"/>
        <bgColor indexed="64"/>
      </patternFill>
    </fill>
    <fill>
      <patternFill patternType="solid">
        <fgColor rgb="FF2EA4FD"/>
        <bgColor indexed="64"/>
      </patternFill>
    </fill>
    <fill>
      <patternFill patternType="solid">
        <fgColor rgb="FF389FF9"/>
        <bgColor indexed="64"/>
      </patternFill>
    </fill>
    <fill>
      <patternFill patternType="solid">
        <fgColor rgb="FF2BA8FF"/>
        <bgColor indexed="64"/>
      </patternFill>
    </fill>
    <fill>
      <patternFill patternType="solid">
        <fgColor rgb="FF4783D1"/>
        <bgColor indexed="64"/>
      </patternFill>
    </fill>
    <fill>
      <patternFill patternType="solid">
        <fgColor rgb="FF70548F"/>
        <bgColor indexed="64"/>
      </patternFill>
    </fill>
    <fill>
      <patternFill patternType="solid">
        <fgColor rgb="FF3E96E9"/>
        <bgColor indexed="64"/>
      </patternFill>
    </fill>
    <fill>
      <patternFill patternType="solid">
        <fgColor rgb="FF39AAFF"/>
        <bgColor indexed="64"/>
      </patternFill>
    </fill>
    <fill>
      <patternFill patternType="solid">
        <fgColor rgb="FF33AAFF"/>
        <bgColor indexed="64"/>
      </patternFill>
    </fill>
    <fill>
      <patternFill patternType="solid">
        <fgColor rgb="FF3495E8"/>
        <bgColor indexed="64"/>
      </patternFill>
    </fill>
    <fill>
      <patternFill patternType="solid">
        <fgColor rgb="FF3495EC"/>
        <bgColor indexed="64"/>
      </patternFill>
    </fill>
    <fill>
      <patternFill patternType="solid">
        <fgColor rgb="FF3CA7FC"/>
        <bgColor indexed="64"/>
      </patternFill>
    </fill>
    <fill>
      <patternFill patternType="solid">
        <fgColor rgb="FF3AA3F8"/>
        <bgColor indexed="64"/>
      </patternFill>
    </fill>
    <fill>
      <patternFill patternType="solid">
        <fgColor rgb="FF39A4FA"/>
        <bgColor indexed="64"/>
      </patternFill>
    </fill>
    <fill>
      <patternFill patternType="solid">
        <fgColor rgb="FF38A3FB"/>
        <bgColor indexed="64"/>
      </patternFill>
    </fill>
    <fill>
      <patternFill patternType="solid">
        <fgColor rgb="FF37A4F9"/>
        <bgColor indexed="64"/>
      </patternFill>
    </fill>
    <fill>
      <patternFill patternType="solid">
        <fgColor rgb="FF36A4F9"/>
        <bgColor indexed="64"/>
      </patternFill>
    </fill>
    <fill>
      <patternFill patternType="solid">
        <fgColor rgb="FF37A5FA"/>
        <bgColor indexed="64"/>
      </patternFill>
    </fill>
    <fill>
      <patternFill patternType="solid">
        <fgColor rgb="FF37A6FB"/>
        <bgColor indexed="64"/>
      </patternFill>
    </fill>
    <fill>
      <patternFill patternType="solid">
        <fgColor rgb="FF36A6FA"/>
        <bgColor indexed="64"/>
      </patternFill>
    </fill>
    <fill>
      <patternFill patternType="solid">
        <fgColor rgb="FF37A8FB"/>
        <bgColor indexed="64"/>
      </patternFill>
    </fill>
    <fill>
      <patternFill patternType="solid">
        <fgColor rgb="FF39A8FB"/>
        <bgColor indexed="64"/>
      </patternFill>
    </fill>
    <fill>
      <patternFill patternType="solid">
        <fgColor rgb="FF37A8FA"/>
        <bgColor indexed="64"/>
      </patternFill>
    </fill>
    <fill>
      <patternFill patternType="solid">
        <fgColor rgb="FF38A7FA"/>
        <bgColor indexed="64"/>
      </patternFill>
    </fill>
    <fill>
      <patternFill patternType="solid">
        <fgColor rgb="FF35A7FB"/>
        <bgColor indexed="64"/>
      </patternFill>
    </fill>
    <fill>
      <patternFill patternType="solid">
        <fgColor rgb="FF33A5FC"/>
        <bgColor indexed="64"/>
      </patternFill>
    </fill>
    <fill>
      <patternFill patternType="solid">
        <fgColor rgb="FF31A5FF"/>
        <bgColor indexed="64"/>
      </patternFill>
    </fill>
    <fill>
      <patternFill patternType="solid">
        <fgColor rgb="FF3D8DC2"/>
        <bgColor indexed="64"/>
      </patternFill>
    </fill>
    <fill>
      <patternFill patternType="solid">
        <fgColor rgb="FF9EA737"/>
        <bgColor indexed="64"/>
      </patternFill>
    </fill>
    <fill>
      <patternFill patternType="solid">
        <fgColor rgb="FFDBD52C"/>
        <bgColor indexed="64"/>
      </patternFill>
    </fill>
    <fill>
      <patternFill patternType="solid">
        <fgColor rgb="FFFCF83B"/>
        <bgColor indexed="64"/>
      </patternFill>
    </fill>
    <fill>
      <patternFill patternType="solid">
        <fgColor rgb="FFF2F237"/>
        <bgColor indexed="64"/>
      </patternFill>
    </fill>
    <fill>
      <patternFill patternType="solid">
        <fgColor rgb="FF4C96A8"/>
        <bgColor indexed="64"/>
      </patternFill>
    </fill>
    <fill>
      <patternFill patternType="solid">
        <fgColor rgb="FF23A2FF"/>
        <bgColor indexed="64"/>
      </patternFill>
    </fill>
    <fill>
      <patternFill patternType="solid">
        <fgColor rgb="FF30A1F8"/>
        <bgColor indexed="64"/>
      </patternFill>
    </fill>
    <fill>
      <patternFill patternType="solid">
        <fgColor rgb="FF2F9FF7"/>
        <bgColor indexed="64"/>
      </patternFill>
    </fill>
    <fill>
      <patternFill patternType="solid">
        <fgColor rgb="FF37AAFB"/>
        <bgColor indexed="64"/>
      </patternFill>
    </fill>
    <fill>
      <patternFill patternType="solid">
        <fgColor rgb="FF1D95F9"/>
        <bgColor indexed="64"/>
      </patternFill>
    </fill>
    <fill>
      <patternFill patternType="solid">
        <fgColor rgb="FF6C6568"/>
        <bgColor indexed="64"/>
      </patternFill>
    </fill>
    <fill>
      <patternFill patternType="solid">
        <fgColor rgb="FFAA6C4A"/>
        <bgColor indexed="64"/>
      </patternFill>
    </fill>
    <fill>
      <patternFill patternType="solid">
        <fgColor rgb="FFCD7F5A"/>
        <bgColor indexed="64"/>
      </patternFill>
    </fill>
    <fill>
      <patternFill patternType="solid">
        <fgColor rgb="FFFF994E"/>
        <bgColor indexed="64"/>
      </patternFill>
    </fill>
    <fill>
      <patternFill patternType="solid">
        <fgColor rgb="FFFFA155"/>
        <bgColor indexed="64"/>
      </patternFill>
    </fill>
    <fill>
      <patternFill patternType="solid">
        <fgColor rgb="FFF89754"/>
        <bgColor indexed="64"/>
      </patternFill>
    </fill>
    <fill>
      <patternFill patternType="solid">
        <fgColor rgb="FFF89951"/>
        <bgColor indexed="64"/>
      </patternFill>
    </fill>
    <fill>
      <patternFill patternType="solid">
        <fgColor rgb="FFFA9852"/>
        <bgColor indexed="64"/>
      </patternFill>
    </fill>
    <fill>
      <patternFill patternType="solid">
        <fgColor rgb="FFFF954F"/>
        <bgColor indexed="64"/>
      </patternFill>
    </fill>
    <fill>
      <patternFill patternType="solid">
        <fgColor rgb="FFFC8E44"/>
        <bgColor indexed="64"/>
      </patternFill>
    </fill>
    <fill>
      <patternFill patternType="solid">
        <fgColor rgb="FFFF8E3A"/>
        <bgColor indexed="64"/>
      </patternFill>
    </fill>
    <fill>
      <patternFill patternType="solid">
        <fgColor rgb="FFA26A59"/>
        <bgColor indexed="64"/>
      </patternFill>
    </fill>
    <fill>
      <patternFill patternType="solid">
        <fgColor rgb="FF1285F1"/>
        <bgColor indexed="64"/>
      </patternFill>
    </fill>
    <fill>
      <patternFill patternType="solid">
        <fgColor rgb="FF2091FC"/>
        <bgColor indexed="64"/>
      </patternFill>
    </fill>
    <fill>
      <patternFill patternType="solid">
        <fgColor rgb="FF1D8BF8"/>
        <bgColor indexed="64"/>
      </patternFill>
    </fill>
    <fill>
      <patternFill patternType="solid">
        <fgColor rgb="FF1C8BFB"/>
        <bgColor indexed="64"/>
      </patternFill>
    </fill>
    <fill>
      <patternFill patternType="solid">
        <fgColor rgb="FF1B89FB"/>
        <bgColor indexed="64"/>
      </patternFill>
    </fill>
    <fill>
      <patternFill patternType="solid">
        <fgColor rgb="FF1985F9"/>
        <bgColor indexed="64"/>
      </patternFill>
    </fill>
    <fill>
      <patternFill patternType="solid">
        <fgColor rgb="FF1681F7"/>
        <bgColor indexed="64"/>
      </patternFill>
    </fill>
    <fill>
      <patternFill patternType="solid">
        <fgColor rgb="FFA7B5D8"/>
        <bgColor indexed="64"/>
      </patternFill>
    </fill>
    <fill>
      <patternFill patternType="solid">
        <fgColor rgb="FF799CD3"/>
        <bgColor indexed="64"/>
      </patternFill>
    </fill>
    <fill>
      <patternFill patternType="solid">
        <fgColor rgb="FF4084D0"/>
        <bgColor indexed="64"/>
      </patternFill>
    </fill>
    <fill>
      <patternFill patternType="solid">
        <fgColor rgb="FF2888E4"/>
        <bgColor indexed="64"/>
      </patternFill>
    </fill>
    <fill>
      <patternFill patternType="solid">
        <fgColor rgb="FF2496F7"/>
        <bgColor indexed="64"/>
      </patternFill>
    </fill>
    <fill>
      <patternFill patternType="solid">
        <fgColor rgb="FF31A3FF"/>
        <bgColor indexed="64"/>
      </patternFill>
    </fill>
    <fill>
      <patternFill patternType="solid">
        <fgColor rgb="FF36A1FD"/>
        <bgColor indexed="64"/>
      </patternFill>
    </fill>
    <fill>
      <patternFill patternType="solid">
        <fgColor rgb="FF309DF9"/>
        <bgColor indexed="64"/>
      </patternFill>
    </fill>
    <fill>
      <patternFill patternType="solid">
        <fgColor rgb="FF309DFA"/>
        <bgColor indexed="64"/>
      </patternFill>
    </fill>
    <fill>
      <patternFill patternType="solid">
        <fgColor rgb="FF2E9BFB"/>
        <bgColor indexed="64"/>
      </patternFill>
    </fill>
    <fill>
      <patternFill patternType="solid">
        <fgColor rgb="FF2E9CFB"/>
        <bgColor indexed="64"/>
      </patternFill>
    </fill>
    <fill>
      <patternFill patternType="solid">
        <fgColor rgb="FF329FFA"/>
        <bgColor indexed="64"/>
      </patternFill>
    </fill>
    <fill>
      <patternFill patternType="solid">
        <fgColor rgb="FF329DF8"/>
        <bgColor indexed="64"/>
      </patternFill>
    </fill>
    <fill>
      <patternFill patternType="solid">
        <fgColor rgb="FF934D7B"/>
        <bgColor indexed="64"/>
      </patternFill>
    </fill>
    <fill>
      <patternFill patternType="solid">
        <fgColor rgb="FF5E74BB"/>
        <bgColor indexed="64"/>
      </patternFill>
    </fill>
    <fill>
      <patternFill patternType="solid">
        <fgColor rgb="FF29A5FF"/>
        <bgColor indexed="64"/>
      </patternFill>
    </fill>
    <fill>
      <patternFill patternType="solid">
        <fgColor rgb="FF1D89E7"/>
        <bgColor indexed="64"/>
      </patternFill>
    </fill>
    <fill>
      <patternFill patternType="solid">
        <fgColor rgb="FF5770B7"/>
        <bgColor indexed="64"/>
      </patternFill>
    </fill>
    <fill>
      <patternFill patternType="solid">
        <fgColor rgb="FFA94572"/>
        <bgColor indexed="64"/>
      </patternFill>
    </fill>
    <fill>
      <patternFill patternType="solid">
        <fgColor rgb="FF5782D2"/>
        <bgColor indexed="64"/>
      </patternFill>
    </fill>
    <fill>
      <patternFill patternType="solid">
        <fgColor rgb="FF2FB1FF"/>
        <bgColor indexed="64"/>
      </patternFill>
    </fill>
    <fill>
      <patternFill patternType="solid">
        <fgColor rgb="FF3296EA"/>
        <bgColor indexed="64"/>
      </patternFill>
    </fill>
    <fill>
      <patternFill patternType="solid">
        <fgColor rgb="FF577DC6"/>
        <bgColor indexed="64"/>
      </patternFill>
    </fill>
    <fill>
      <patternFill patternType="solid">
        <fgColor rgb="FF686194"/>
        <bgColor indexed="64"/>
      </patternFill>
    </fill>
    <fill>
      <patternFill patternType="solid">
        <fgColor rgb="FF4461A7"/>
        <bgColor indexed="64"/>
      </patternFill>
    </fill>
    <fill>
      <patternFill patternType="solid">
        <fgColor rgb="FF3CA3FA"/>
        <bgColor indexed="64"/>
      </patternFill>
    </fill>
    <fill>
      <patternFill patternType="solid">
        <fgColor rgb="FF3DAEFF"/>
        <bgColor indexed="64"/>
      </patternFill>
    </fill>
    <fill>
      <patternFill patternType="solid">
        <fgColor rgb="FF3BABFF"/>
        <bgColor indexed="64"/>
      </patternFill>
    </fill>
    <fill>
      <patternFill patternType="solid">
        <fgColor rgb="FF3CA8FC"/>
        <bgColor indexed="64"/>
      </patternFill>
    </fill>
    <fill>
      <patternFill patternType="solid">
        <fgColor rgb="FF3CA6FB"/>
        <bgColor indexed="64"/>
      </patternFill>
    </fill>
    <fill>
      <patternFill patternType="solid">
        <fgColor rgb="FF3BA5FB"/>
        <bgColor indexed="64"/>
      </patternFill>
    </fill>
    <fill>
      <patternFill patternType="solid">
        <fgColor rgb="FF39A9FF"/>
        <bgColor indexed="64"/>
      </patternFill>
    </fill>
    <fill>
      <patternFill patternType="solid">
        <fgColor rgb="FF33ACFF"/>
        <bgColor indexed="64"/>
      </patternFill>
    </fill>
    <fill>
      <patternFill patternType="solid">
        <fgColor rgb="FF37A6FA"/>
        <bgColor indexed="64"/>
      </patternFill>
    </fill>
    <fill>
      <patternFill patternType="solid">
        <fgColor rgb="FF38A6FA"/>
        <bgColor indexed="64"/>
      </patternFill>
    </fill>
    <fill>
      <patternFill patternType="solid">
        <fgColor rgb="FF37A9FB"/>
        <bgColor indexed="64"/>
      </patternFill>
    </fill>
    <fill>
      <patternFill patternType="solid">
        <fgColor rgb="FF3AAAFA"/>
        <bgColor indexed="64"/>
      </patternFill>
    </fill>
    <fill>
      <patternFill patternType="solid">
        <fgColor rgb="FF39ABFA"/>
        <bgColor indexed="64"/>
      </patternFill>
    </fill>
    <fill>
      <patternFill patternType="solid">
        <fgColor rgb="FF36A8FB"/>
        <bgColor indexed="64"/>
      </patternFill>
    </fill>
    <fill>
      <patternFill patternType="solid">
        <fgColor rgb="FF31A5FB"/>
        <bgColor indexed="64"/>
      </patternFill>
    </fill>
    <fill>
      <patternFill patternType="solid">
        <fgColor rgb="FF32A5FA"/>
        <bgColor indexed="64"/>
      </patternFill>
    </fill>
    <fill>
      <patternFill patternType="solid">
        <fgColor rgb="FF31A7FE"/>
        <bgColor indexed="64"/>
      </patternFill>
    </fill>
    <fill>
      <patternFill patternType="solid">
        <fgColor rgb="FF438DC6"/>
        <bgColor indexed="64"/>
      </patternFill>
    </fill>
    <fill>
      <patternFill patternType="solid">
        <fgColor rgb="FF7A8243"/>
        <bgColor indexed="64"/>
      </patternFill>
    </fill>
    <fill>
      <patternFill patternType="solid">
        <fgColor rgb="FFB7BB39"/>
        <bgColor indexed="64"/>
      </patternFill>
    </fill>
    <fill>
      <patternFill patternType="solid">
        <fgColor rgb="FFD2D739"/>
        <bgColor indexed="64"/>
      </patternFill>
    </fill>
    <fill>
      <patternFill patternType="solid">
        <fgColor rgb="FFD7D538"/>
        <bgColor indexed="64"/>
      </patternFill>
    </fill>
    <fill>
      <patternFill patternType="solid">
        <fgColor rgb="FF5E949E"/>
        <bgColor indexed="64"/>
      </patternFill>
    </fill>
    <fill>
      <patternFill patternType="solid">
        <fgColor rgb="FF419DD3"/>
        <bgColor indexed="64"/>
      </patternFill>
    </fill>
    <fill>
      <patternFill patternType="solid">
        <fgColor rgb="FF1F8AD8"/>
        <bgColor indexed="64"/>
      </patternFill>
    </fill>
    <fill>
      <patternFill patternType="solid">
        <fgColor rgb="FF21A6FF"/>
        <bgColor indexed="64"/>
      </patternFill>
    </fill>
    <fill>
      <patternFill patternType="solid">
        <fgColor rgb="FF28A8FF"/>
        <bgColor indexed="64"/>
      </patternFill>
    </fill>
    <fill>
      <patternFill patternType="solid">
        <fgColor rgb="FF279FFF"/>
        <bgColor indexed="64"/>
      </patternFill>
    </fill>
    <fill>
      <patternFill patternType="solid">
        <fgColor rgb="FF1E9CFE"/>
        <bgColor indexed="64"/>
      </patternFill>
    </fill>
    <fill>
      <patternFill patternType="solid">
        <fgColor rgb="FF5877A6"/>
        <bgColor indexed="64"/>
      </patternFill>
    </fill>
    <fill>
      <patternFill patternType="solid">
        <fgColor rgb="FFD18054"/>
        <bgColor indexed="64"/>
      </patternFill>
    </fill>
    <fill>
      <patternFill patternType="solid">
        <fgColor rgb="FFFF9D50"/>
        <bgColor indexed="64"/>
      </patternFill>
    </fill>
    <fill>
      <patternFill patternType="solid">
        <fgColor rgb="FFFFA153"/>
        <bgColor indexed="64"/>
      </patternFill>
    </fill>
    <fill>
      <patternFill patternType="solid">
        <fgColor rgb="FFF89C55"/>
        <bgColor indexed="64"/>
      </patternFill>
    </fill>
    <fill>
      <patternFill patternType="solid">
        <fgColor rgb="FFFA9B52"/>
        <bgColor indexed="64"/>
      </patternFill>
    </fill>
    <fill>
      <patternFill patternType="solid">
        <fgColor rgb="FFFB9B52"/>
        <bgColor indexed="64"/>
      </patternFill>
    </fill>
    <fill>
      <patternFill patternType="solid">
        <fgColor rgb="FFFCA04F"/>
        <bgColor indexed="64"/>
      </patternFill>
    </fill>
    <fill>
      <patternFill patternType="solid">
        <fgColor rgb="FFF9984E"/>
        <bgColor indexed="64"/>
      </patternFill>
    </fill>
    <fill>
      <patternFill patternType="solid">
        <fgColor rgb="FFF8944E"/>
        <bgColor indexed="64"/>
      </patternFill>
    </fill>
    <fill>
      <patternFill patternType="solid">
        <fgColor rgb="FFFF9951"/>
        <bgColor indexed="64"/>
      </patternFill>
    </fill>
    <fill>
      <patternFill patternType="solid">
        <fgColor rgb="FF8E6248"/>
        <bgColor indexed="64"/>
      </patternFill>
    </fill>
    <fill>
      <patternFill patternType="solid">
        <fgColor rgb="FFA37146"/>
        <bgColor indexed="64"/>
      </patternFill>
    </fill>
    <fill>
      <patternFill patternType="solid">
        <fgColor rgb="FF466898"/>
        <bgColor indexed="64"/>
      </patternFill>
    </fill>
    <fill>
      <patternFill patternType="solid">
        <fgColor rgb="FF2095FF"/>
        <bgColor indexed="64"/>
      </patternFill>
    </fill>
    <fill>
      <patternFill patternType="solid">
        <fgColor rgb="FF1D8FFA"/>
        <bgColor indexed="64"/>
      </patternFill>
    </fill>
    <fill>
      <patternFill patternType="solid">
        <fgColor rgb="FF1C8DFA"/>
        <bgColor indexed="64"/>
      </patternFill>
    </fill>
    <fill>
      <patternFill patternType="solid">
        <fgColor rgb="FF1C8CFB"/>
        <bgColor indexed="64"/>
      </patternFill>
    </fill>
    <fill>
      <patternFill patternType="solid">
        <fgColor rgb="FF1B89FA"/>
        <bgColor indexed="64"/>
      </patternFill>
    </fill>
    <fill>
      <patternFill patternType="solid">
        <fgColor rgb="FF1783F8"/>
        <bgColor indexed="64"/>
      </patternFill>
    </fill>
    <fill>
      <patternFill patternType="solid">
        <fgColor rgb="FFFFFFFF"/>
        <bgColor indexed="64"/>
      </patternFill>
    </fill>
    <fill>
      <patternFill patternType="solid">
        <fgColor rgb="FFFFFFFC"/>
        <bgColor indexed="64"/>
      </patternFill>
    </fill>
    <fill>
      <patternFill patternType="solid">
        <fgColor rgb="FFF1E8EA"/>
        <bgColor indexed="64"/>
      </patternFill>
    </fill>
    <fill>
      <patternFill patternType="solid">
        <fgColor rgb="FFC6C9DE"/>
        <bgColor indexed="64"/>
      </patternFill>
    </fill>
    <fill>
      <patternFill patternType="solid">
        <fgColor rgb="FF7B9ECF"/>
        <bgColor indexed="64"/>
      </patternFill>
    </fill>
    <fill>
      <patternFill patternType="solid">
        <fgColor rgb="FF3283D2"/>
        <bgColor indexed="64"/>
      </patternFill>
    </fill>
    <fill>
      <patternFill patternType="solid">
        <fgColor rgb="FF2495F4"/>
        <bgColor indexed="64"/>
      </patternFill>
    </fill>
    <fill>
      <patternFill patternType="solid">
        <fgColor rgb="FF33A4FF"/>
        <bgColor indexed="64"/>
      </patternFill>
    </fill>
    <fill>
      <patternFill patternType="solid">
        <fgColor rgb="FF329DF9"/>
        <bgColor indexed="64"/>
      </patternFill>
    </fill>
    <fill>
      <patternFill patternType="solid">
        <fgColor rgb="FF2F9DFA"/>
        <bgColor indexed="64"/>
      </patternFill>
    </fill>
    <fill>
      <patternFill patternType="solid">
        <fgColor rgb="FF359FFA"/>
        <bgColor indexed="64"/>
      </patternFill>
    </fill>
    <fill>
      <patternFill patternType="solid">
        <fgColor rgb="FF2B9BFA"/>
        <bgColor indexed="64"/>
      </patternFill>
    </fill>
    <fill>
      <patternFill patternType="solid">
        <fgColor rgb="FF5A6BB4"/>
        <bgColor indexed="64"/>
      </patternFill>
    </fill>
    <fill>
      <patternFill patternType="solid">
        <fgColor rgb="FFB0466A"/>
        <bgColor indexed="64"/>
      </patternFill>
    </fill>
    <fill>
      <patternFill patternType="solid">
        <fgColor rgb="FF2F7FD3"/>
        <bgColor indexed="64"/>
      </patternFill>
    </fill>
    <fill>
      <patternFill patternType="solid">
        <fgColor rgb="FF4067AB"/>
        <bgColor indexed="64"/>
      </patternFill>
    </fill>
    <fill>
      <patternFill patternType="solid">
        <fgColor rgb="FFA14B73"/>
        <bgColor indexed="64"/>
      </patternFill>
    </fill>
    <fill>
      <patternFill patternType="solid">
        <fgColor rgb="FFBF435B"/>
        <bgColor indexed="64"/>
      </patternFill>
    </fill>
    <fill>
      <patternFill patternType="solid">
        <fgColor rgb="FF475090"/>
        <bgColor indexed="64"/>
      </patternFill>
    </fill>
    <fill>
      <patternFill patternType="solid">
        <fgColor rgb="FF4276C6"/>
        <bgColor indexed="64"/>
      </patternFill>
    </fill>
    <fill>
      <patternFill patternType="solid">
        <fgColor rgb="FF7D6298"/>
        <bgColor indexed="64"/>
      </patternFill>
    </fill>
    <fill>
      <patternFill patternType="solid">
        <fgColor rgb="FFC75A84"/>
        <bgColor indexed="64"/>
      </patternFill>
    </fill>
    <fill>
      <patternFill patternType="solid">
        <fgColor rgb="FFA83E5D"/>
        <bgColor indexed="64"/>
      </patternFill>
    </fill>
    <fill>
      <patternFill patternType="solid">
        <fgColor rgb="FF4D457E"/>
        <bgColor indexed="64"/>
      </patternFill>
    </fill>
    <fill>
      <patternFill patternType="solid">
        <fgColor rgb="FF4892E5"/>
        <bgColor indexed="64"/>
      </patternFill>
    </fill>
    <fill>
      <patternFill patternType="solid">
        <fgColor rgb="FF3C98E4"/>
        <bgColor indexed="64"/>
      </patternFill>
    </fill>
    <fill>
      <patternFill patternType="solid">
        <fgColor rgb="FF358DD9"/>
        <bgColor indexed="64"/>
      </patternFill>
    </fill>
    <fill>
      <patternFill patternType="solid">
        <fgColor rgb="FF3587D7"/>
        <bgColor indexed="64"/>
      </patternFill>
    </fill>
    <fill>
      <patternFill patternType="solid">
        <fgColor rgb="FF319EF0"/>
        <bgColor indexed="64"/>
      </patternFill>
    </fill>
    <fill>
      <patternFill patternType="solid">
        <fgColor rgb="FF2FA3F8"/>
        <bgColor indexed="64"/>
      </patternFill>
    </fill>
    <fill>
      <patternFill patternType="solid">
        <fgColor rgb="FF35A4F9"/>
        <bgColor indexed="64"/>
      </patternFill>
    </fill>
    <fill>
      <patternFill patternType="solid">
        <fgColor rgb="FF3D98E5"/>
        <bgColor indexed="64"/>
      </patternFill>
    </fill>
    <fill>
      <patternFill patternType="solid">
        <fgColor rgb="FF5889D0"/>
        <bgColor indexed="64"/>
      </patternFill>
    </fill>
    <fill>
      <patternFill patternType="solid">
        <fgColor rgb="FF4878C3"/>
        <bgColor indexed="64"/>
      </patternFill>
    </fill>
    <fill>
      <patternFill patternType="solid">
        <fgColor rgb="FF318FE6"/>
        <bgColor indexed="64"/>
      </patternFill>
    </fill>
    <fill>
      <patternFill patternType="solid">
        <fgColor rgb="FF39A8FC"/>
        <bgColor indexed="64"/>
      </patternFill>
    </fill>
    <fill>
      <patternFill patternType="solid">
        <fgColor rgb="FF36A6F9"/>
        <bgColor indexed="64"/>
      </patternFill>
    </fill>
    <fill>
      <patternFill patternType="solid">
        <fgColor rgb="FF39A9FB"/>
        <bgColor indexed="64"/>
      </patternFill>
    </fill>
    <fill>
      <patternFill patternType="solid">
        <fgColor rgb="FF39AAFA"/>
        <bgColor indexed="64"/>
      </patternFill>
    </fill>
    <fill>
      <patternFill patternType="solid">
        <fgColor rgb="FF39A9FA"/>
        <bgColor indexed="64"/>
      </patternFill>
    </fill>
    <fill>
      <patternFill patternType="solid">
        <fgColor rgb="FF38A9FA"/>
        <bgColor indexed="64"/>
      </patternFill>
    </fill>
    <fill>
      <patternFill patternType="solid">
        <fgColor rgb="FF3AA8FA"/>
        <bgColor indexed="64"/>
      </patternFill>
    </fill>
    <fill>
      <patternFill patternType="solid">
        <fgColor rgb="FF3CA9FB"/>
        <bgColor indexed="64"/>
      </patternFill>
    </fill>
    <fill>
      <patternFill patternType="solid">
        <fgColor rgb="FF3DABFC"/>
        <bgColor indexed="64"/>
      </patternFill>
    </fill>
    <fill>
      <patternFill patternType="solid">
        <fgColor rgb="FF3CADFB"/>
        <bgColor indexed="64"/>
      </patternFill>
    </fill>
    <fill>
      <patternFill patternType="solid">
        <fgColor rgb="FF3CACFB"/>
        <bgColor indexed="64"/>
      </patternFill>
    </fill>
    <fill>
      <patternFill patternType="solid">
        <fgColor rgb="FF3AA9FA"/>
        <bgColor indexed="64"/>
      </patternFill>
    </fill>
    <fill>
      <patternFill patternType="solid">
        <fgColor rgb="FF35A6FA"/>
        <bgColor indexed="64"/>
      </patternFill>
    </fill>
    <fill>
      <patternFill patternType="solid">
        <fgColor rgb="FF32A5FB"/>
        <bgColor indexed="64"/>
      </patternFill>
    </fill>
    <fill>
      <patternFill patternType="solid">
        <fgColor rgb="FF3298EC"/>
        <bgColor indexed="64"/>
      </patternFill>
    </fill>
    <fill>
      <patternFill patternType="solid">
        <fgColor rgb="FF3399E8"/>
        <bgColor indexed="64"/>
      </patternFill>
    </fill>
    <fill>
      <patternFill patternType="solid">
        <fgColor rgb="FF379BE1"/>
        <bgColor indexed="64"/>
      </patternFill>
    </fill>
    <fill>
      <patternFill patternType="solid">
        <fgColor rgb="FF2E92DE"/>
        <bgColor indexed="64"/>
      </patternFill>
    </fill>
    <fill>
      <patternFill patternType="solid">
        <fgColor rgb="FF89B170"/>
        <bgColor indexed="64"/>
      </patternFill>
    </fill>
    <fill>
      <patternFill patternType="solid">
        <fgColor rgb="FFFAEF2F"/>
        <bgColor indexed="64"/>
      </patternFill>
    </fill>
    <fill>
      <patternFill patternType="solid">
        <fgColor rgb="FFBE9533"/>
        <bgColor indexed="64"/>
      </patternFill>
    </fill>
    <fill>
      <patternFill patternType="solid">
        <fgColor rgb="FF846968"/>
        <bgColor indexed="64"/>
      </patternFill>
    </fill>
    <fill>
      <patternFill patternType="solid">
        <fgColor rgb="FF6483AB"/>
        <bgColor indexed="64"/>
      </patternFill>
    </fill>
    <fill>
      <patternFill patternType="solid">
        <fgColor rgb="FF5278A7"/>
        <bgColor indexed="64"/>
      </patternFill>
    </fill>
    <fill>
      <patternFill patternType="solid">
        <fgColor rgb="FF335B93"/>
        <bgColor indexed="64"/>
      </patternFill>
    </fill>
    <fill>
      <patternFill patternType="solid">
        <fgColor rgb="FF7A788C"/>
        <bgColor indexed="64"/>
      </patternFill>
    </fill>
    <fill>
      <patternFill patternType="solid">
        <fgColor rgb="FFF19558"/>
        <bgColor indexed="64"/>
      </patternFill>
    </fill>
    <fill>
      <patternFill patternType="solid">
        <fgColor rgb="FFFFA357"/>
        <bgColor indexed="64"/>
      </patternFill>
    </fill>
    <fill>
      <patternFill patternType="solid">
        <fgColor rgb="FFF69C59"/>
        <bgColor indexed="64"/>
      </patternFill>
    </fill>
    <fill>
      <patternFill patternType="solid">
        <fgColor rgb="FFFC9F59"/>
        <bgColor indexed="64"/>
      </patternFill>
    </fill>
    <fill>
      <patternFill patternType="solid">
        <fgColor rgb="FFFD9B50"/>
        <bgColor indexed="64"/>
      </patternFill>
    </fill>
    <fill>
      <patternFill patternType="solid">
        <fgColor rgb="FFFF9B52"/>
        <bgColor indexed="64"/>
      </patternFill>
    </fill>
    <fill>
      <patternFill patternType="solid">
        <fgColor rgb="FFFD9953"/>
        <bgColor indexed="64"/>
      </patternFill>
    </fill>
    <fill>
      <patternFill patternType="solid">
        <fgColor rgb="FFA57A69"/>
        <bgColor indexed="64"/>
      </patternFill>
    </fill>
    <fill>
      <patternFill patternType="solid">
        <fgColor rgb="FF295FA0"/>
        <bgColor indexed="64"/>
      </patternFill>
    </fill>
    <fill>
      <patternFill patternType="solid">
        <fgColor rgb="FF385475"/>
        <bgColor indexed="64"/>
      </patternFill>
    </fill>
    <fill>
      <patternFill patternType="solid">
        <fgColor rgb="FF2494F0"/>
        <bgColor indexed="64"/>
      </patternFill>
    </fill>
    <fill>
      <patternFill patternType="solid">
        <fgColor rgb="FF1D84E6"/>
        <bgColor indexed="64"/>
      </patternFill>
    </fill>
    <fill>
      <patternFill patternType="solid">
        <fgColor rgb="FF0F54A9"/>
        <bgColor indexed="64"/>
      </patternFill>
    </fill>
    <fill>
      <patternFill patternType="solid">
        <fgColor rgb="FF1E90F7"/>
        <bgColor indexed="64"/>
      </patternFill>
    </fill>
    <fill>
      <patternFill patternType="solid">
        <fgColor rgb="FF1D8EFB"/>
        <bgColor indexed="64"/>
      </patternFill>
    </fill>
    <fill>
      <patternFill patternType="solid">
        <fgColor rgb="FF1C8CFA"/>
        <bgColor indexed="64"/>
      </patternFill>
    </fill>
    <fill>
      <patternFill patternType="solid">
        <fgColor rgb="FF1C8BFC"/>
        <bgColor indexed="64"/>
      </patternFill>
    </fill>
    <fill>
      <patternFill patternType="solid">
        <fgColor rgb="FF1984F9"/>
        <bgColor indexed="64"/>
      </patternFill>
    </fill>
    <fill>
      <patternFill patternType="solid">
        <fgColor rgb="FFFCFDFE"/>
        <bgColor indexed="64"/>
      </patternFill>
    </fill>
    <fill>
      <patternFill patternType="solid">
        <fgColor rgb="FFFBFDFE"/>
        <bgColor indexed="64"/>
      </patternFill>
    </fill>
    <fill>
      <patternFill patternType="solid">
        <fgColor rgb="FFFFFFFD"/>
        <bgColor indexed="64"/>
      </patternFill>
    </fill>
    <fill>
      <patternFill patternType="solid">
        <fgColor rgb="FFDCD8E0"/>
        <bgColor indexed="64"/>
      </patternFill>
    </fill>
    <fill>
      <patternFill patternType="solid">
        <fgColor rgb="FF7699C7"/>
        <bgColor indexed="64"/>
      </patternFill>
    </fill>
    <fill>
      <patternFill patternType="solid">
        <fgColor rgb="FF2585DA"/>
        <bgColor indexed="64"/>
      </patternFill>
    </fill>
    <fill>
      <patternFill patternType="solid">
        <fgColor rgb="FF2FA2FF"/>
        <bgColor indexed="64"/>
      </patternFill>
    </fill>
    <fill>
      <patternFill patternType="solid">
        <fgColor rgb="FF309EFA"/>
        <bgColor indexed="64"/>
      </patternFill>
    </fill>
    <fill>
      <patternFill patternType="solid">
        <fgColor rgb="FF329BF8"/>
        <bgColor indexed="64"/>
      </patternFill>
    </fill>
    <fill>
      <patternFill patternType="solid">
        <fgColor rgb="FF37A8FF"/>
        <bgColor indexed="64"/>
      </patternFill>
    </fill>
    <fill>
      <patternFill patternType="solid">
        <fgColor rgb="FF2E72C1"/>
        <bgColor indexed="64"/>
      </patternFill>
    </fill>
    <fill>
      <patternFill patternType="solid">
        <fgColor rgb="FFA83D5E"/>
        <bgColor indexed="64"/>
      </patternFill>
    </fill>
    <fill>
      <patternFill patternType="solid">
        <fgColor rgb="FF823A56"/>
        <bgColor indexed="64"/>
      </patternFill>
    </fill>
    <fill>
      <patternFill patternType="solid">
        <fgColor rgb="FF874D81"/>
        <bgColor indexed="64"/>
      </patternFill>
    </fill>
    <fill>
      <patternFill patternType="solid">
        <fgColor rgb="FFEE4B65"/>
        <bgColor indexed="64"/>
      </patternFill>
    </fill>
    <fill>
      <patternFill patternType="solid">
        <fgColor rgb="FFDF4B5B"/>
        <bgColor indexed="64"/>
      </patternFill>
    </fill>
    <fill>
      <patternFill patternType="solid">
        <fgColor rgb="FF6E2E42"/>
        <bgColor indexed="64"/>
      </patternFill>
    </fill>
    <fill>
      <patternFill patternType="solid">
        <fgColor rgb="FFAA496F"/>
        <bgColor indexed="64"/>
      </patternFill>
    </fill>
    <fill>
      <patternFill patternType="solid">
        <fgColor rgb="FFDC4761"/>
        <bgColor indexed="64"/>
      </patternFill>
    </fill>
    <fill>
      <patternFill patternType="solid">
        <fgColor rgb="FFE14458"/>
        <bgColor indexed="64"/>
      </patternFill>
    </fill>
    <fill>
      <patternFill patternType="solid">
        <fgColor rgb="FFB9475C"/>
        <bgColor indexed="64"/>
      </patternFill>
    </fill>
    <fill>
      <patternFill patternType="solid">
        <fgColor rgb="FF924874"/>
        <bgColor indexed="64"/>
      </patternFill>
    </fill>
    <fill>
      <patternFill patternType="solid">
        <fgColor rgb="FFBC5C8B"/>
        <bgColor indexed="64"/>
      </patternFill>
    </fill>
    <fill>
      <patternFill patternType="solid">
        <fgColor rgb="FFB64869"/>
        <bgColor indexed="64"/>
      </patternFill>
    </fill>
    <fill>
      <patternFill patternType="solid">
        <fgColor rgb="FFAB3F5B"/>
        <bgColor indexed="64"/>
      </patternFill>
    </fill>
    <fill>
      <patternFill patternType="solid">
        <fgColor rgb="FFC44766"/>
        <bgColor indexed="64"/>
      </patternFill>
    </fill>
    <fill>
      <patternFill patternType="solid">
        <fgColor rgb="FFC24767"/>
        <bgColor indexed="64"/>
      </patternFill>
    </fill>
    <fill>
      <patternFill patternType="solid">
        <fgColor rgb="FFB5537C"/>
        <bgColor indexed="64"/>
      </patternFill>
    </fill>
    <fill>
      <patternFill patternType="solid">
        <fgColor rgb="FFB45D87"/>
        <bgColor indexed="64"/>
      </patternFill>
    </fill>
    <fill>
      <patternFill patternType="solid">
        <fgColor rgb="FFB55987"/>
        <bgColor indexed="64"/>
      </patternFill>
    </fill>
    <fill>
      <patternFill patternType="solid">
        <fgColor rgb="FFA24D7E"/>
        <bgColor indexed="64"/>
      </patternFill>
    </fill>
    <fill>
      <patternFill patternType="solid">
        <fgColor rgb="FF775C9A"/>
        <bgColor indexed="64"/>
      </patternFill>
    </fill>
    <fill>
      <patternFill patternType="solid">
        <fgColor rgb="FF4B8CDA"/>
        <bgColor indexed="64"/>
      </patternFill>
    </fill>
    <fill>
      <patternFill patternType="solid">
        <fgColor rgb="FF40ACFB"/>
        <bgColor indexed="64"/>
      </patternFill>
    </fill>
    <fill>
      <patternFill patternType="solid">
        <fgColor rgb="FF3DACFA"/>
        <bgColor indexed="64"/>
      </patternFill>
    </fill>
    <fill>
      <patternFill patternType="solid">
        <fgColor rgb="FF3CAAFA"/>
        <bgColor indexed="64"/>
      </patternFill>
    </fill>
    <fill>
      <patternFill patternType="solid">
        <fgColor rgb="FF3DABFA"/>
        <bgColor indexed="64"/>
      </patternFill>
    </fill>
    <fill>
      <patternFill patternType="solid">
        <fgColor rgb="FF3CABFA"/>
        <bgColor indexed="64"/>
      </patternFill>
    </fill>
    <fill>
      <patternFill patternType="solid">
        <fgColor rgb="FF3CAAFB"/>
        <bgColor indexed="64"/>
      </patternFill>
    </fill>
    <fill>
      <patternFill patternType="solid">
        <fgColor rgb="FF3DABFB"/>
        <bgColor indexed="64"/>
      </patternFill>
    </fill>
    <fill>
      <patternFill patternType="solid">
        <fgColor rgb="FF3DACFB"/>
        <bgColor indexed="64"/>
      </patternFill>
    </fill>
    <fill>
      <patternFill patternType="solid">
        <fgColor rgb="FF3BACFC"/>
        <bgColor indexed="64"/>
      </patternFill>
    </fill>
    <fill>
      <patternFill patternType="solid">
        <fgColor rgb="FF33A6FC"/>
        <bgColor indexed="64"/>
      </patternFill>
    </fill>
    <fill>
      <patternFill patternType="solid">
        <fgColor rgb="FF32A8FE"/>
        <bgColor indexed="64"/>
      </patternFill>
    </fill>
    <fill>
      <patternFill patternType="solid">
        <fgColor rgb="FF32A8FF"/>
        <bgColor indexed="64"/>
      </patternFill>
    </fill>
    <fill>
      <patternFill patternType="solid">
        <fgColor rgb="FF31A8FF"/>
        <bgColor indexed="64"/>
      </patternFill>
    </fill>
    <fill>
      <patternFill patternType="solid">
        <fgColor rgb="FF2FA9FF"/>
        <bgColor indexed="64"/>
      </patternFill>
    </fill>
    <fill>
      <patternFill patternType="solid">
        <fgColor rgb="FF32A0EA"/>
        <bgColor indexed="64"/>
      </patternFill>
    </fill>
    <fill>
      <patternFill patternType="solid">
        <fgColor rgb="FF7BA477"/>
        <bgColor indexed="64"/>
      </patternFill>
    </fill>
    <fill>
      <patternFill patternType="solid">
        <fgColor rgb="FF785E4C"/>
        <bgColor indexed="64"/>
      </patternFill>
    </fill>
    <fill>
      <patternFill patternType="solid">
        <fgColor rgb="FFC8805A"/>
        <bgColor indexed="64"/>
      </patternFill>
    </fill>
    <fill>
      <patternFill patternType="solid">
        <fgColor rgb="FFF58B46"/>
        <bgColor indexed="64"/>
      </patternFill>
    </fill>
    <fill>
      <patternFill patternType="solid">
        <fgColor rgb="FFE88043"/>
        <bgColor indexed="64"/>
      </patternFill>
    </fill>
    <fill>
      <patternFill patternType="solid">
        <fgColor rgb="FFBF5E30"/>
        <bgColor indexed="64"/>
      </patternFill>
    </fill>
    <fill>
      <patternFill patternType="solid">
        <fgColor rgb="FFDA7836"/>
        <bgColor indexed="64"/>
      </patternFill>
    </fill>
    <fill>
      <patternFill patternType="solid">
        <fgColor rgb="FFFF9E4E"/>
        <bgColor indexed="64"/>
      </patternFill>
    </fill>
    <fill>
      <patternFill patternType="solid">
        <fgColor rgb="FFFFA352"/>
        <bgColor indexed="64"/>
      </patternFill>
    </fill>
    <fill>
      <patternFill patternType="solid">
        <fgColor rgb="FFFFA553"/>
        <bgColor indexed="64"/>
      </patternFill>
    </fill>
    <fill>
      <patternFill patternType="solid">
        <fgColor rgb="FFED8F49"/>
        <bgColor indexed="64"/>
      </patternFill>
    </fill>
    <fill>
      <patternFill patternType="solid">
        <fgColor rgb="FFEB8E48"/>
        <bgColor indexed="64"/>
      </patternFill>
    </fill>
    <fill>
      <patternFill patternType="solid">
        <fgColor rgb="FFED904E"/>
        <bgColor indexed="64"/>
      </patternFill>
    </fill>
    <fill>
      <patternFill patternType="solid">
        <fgColor rgb="FFE9904A"/>
        <bgColor indexed="64"/>
      </patternFill>
    </fill>
    <fill>
      <patternFill patternType="solid">
        <fgColor rgb="FFEA873E"/>
        <bgColor indexed="64"/>
      </patternFill>
    </fill>
    <fill>
      <patternFill patternType="solid">
        <fgColor rgb="FFF18F48"/>
        <bgColor indexed="64"/>
      </patternFill>
    </fill>
    <fill>
      <patternFill patternType="solid">
        <fgColor rgb="FFD98A50"/>
        <bgColor indexed="64"/>
      </patternFill>
    </fill>
    <fill>
      <patternFill patternType="solid">
        <fgColor rgb="FF8F7772"/>
        <bgColor indexed="64"/>
      </patternFill>
    </fill>
    <fill>
      <patternFill patternType="solid">
        <fgColor rgb="FF2E8ADC"/>
        <bgColor indexed="64"/>
      </patternFill>
    </fill>
    <fill>
      <patternFill patternType="solid">
        <fgColor rgb="FF1C6BC2"/>
        <bgColor indexed="64"/>
      </patternFill>
    </fill>
    <fill>
      <patternFill patternType="solid">
        <fgColor rgb="FF1664BA"/>
        <bgColor indexed="64"/>
      </patternFill>
    </fill>
    <fill>
      <patternFill patternType="solid">
        <fgColor rgb="FF2394F4"/>
        <bgColor indexed="64"/>
      </patternFill>
    </fill>
    <fill>
      <patternFill patternType="solid">
        <fgColor rgb="FF0F4494"/>
        <bgColor indexed="64"/>
      </patternFill>
    </fill>
    <fill>
      <patternFill patternType="solid">
        <fgColor rgb="FF154EA0"/>
        <bgColor indexed="64"/>
      </patternFill>
    </fill>
    <fill>
      <patternFill patternType="solid">
        <fgColor rgb="FF1E90F9"/>
        <bgColor indexed="64"/>
      </patternFill>
    </fill>
    <fill>
      <patternFill patternType="solid">
        <fgColor rgb="FF1B8BFB"/>
        <bgColor indexed="64"/>
      </patternFill>
    </fill>
    <fill>
      <patternFill patternType="solid">
        <fgColor rgb="FF1987FA"/>
        <bgColor indexed="64"/>
      </patternFill>
    </fill>
    <fill>
      <patternFill patternType="solid">
        <fgColor rgb="FFFEFEFE"/>
        <bgColor indexed="64"/>
      </patternFill>
    </fill>
    <fill>
      <patternFill patternType="solid">
        <fgColor rgb="FFFDFDFE"/>
        <bgColor indexed="64"/>
      </patternFill>
    </fill>
    <fill>
      <patternFill patternType="solid">
        <fgColor rgb="FFFCFEFF"/>
        <bgColor indexed="64"/>
      </patternFill>
    </fill>
    <fill>
      <patternFill patternType="solid">
        <fgColor rgb="FFB5BDD3"/>
        <bgColor indexed="64"/>
      </patternFill>
    </fill>
    <fill>
      <patternFill patternType="solid">
        <fgColor rgb="FF448BD2"/>
        <bgColor indexed="64"/>
      </patternFill>
    </fill>
    <fill>
      <patternFill patternType="solid">
        <fgColor rgb="FF2D9CF8"/>
        <bgColor indexed="64"/>
      </patternFill>
    </fill>
    <fill>
      <patternFill patternType="solid">
        <fgColor rgb="FF38A4FE"/>
        <bgColor indexed="64"/>
      </patternFill>
    </fill>
    <fill>
      <patternFill patternType="solid">
        <fgColor rgb="FF37A3FE"/>
        <bgColor indexed="64"/>
      </patternFill>
    </fill>
    <fill>
      <patternFill patternType="solid">
        <fgColor rgb="FF2599EF"/>
        <bgColor indexed="64"/>
      </patternFill>
    </fill>
    <fill>
      <patternFill patternType="solid">
        <fgColor rgb="FF824971"/>
        <bgColor indexed="64"/>
      </patternFill>
    </fill>
    <fill>
      <patternFill patternType="solid">
        <fgColor rgb="FFE5485E"/>
        <bgColor indexed="64"/>
      </patternFill>
    </fill>
    <fill>
      <patternFill patternType="solid">
        <fgColor rgb="FFB63B52"/>
        <bgColor indexed="64"/>
      </patternFill>
    </fill>
    <fill>
      <patternFill patternType="solid">
        <fgColor rgb="FFFF566E"/>
        <bgColor indexed="64"/>
      </patternFill>
    </fill>
    <fill>
      <patternFill patternType="solid">
        <fgColor rgb="FFDE4B64"/>
        <bgColor indexed="64"/>
      </patternFill>
    </fill>
    <fill>
      <patternFill patternType="solid">
        <fgColor rgb="FFC63F59"/>
        <bgColor indexed="64"/>
      </patternFill>
    </fill>
    <fill>
      <patternFill patternType="solid">
        <fgColor rgb="FFF55471"/>
        <bgColor indexed="64"/>
      </patternFill>
    </fill>
    <fill>
      <patternFill patternType="solid">
        <fgColor rgb="FFFF5772"/>
        <bgColor indexed="64"/>
      </patternFill>
    </fill>
    <fill>
      <patternFill patternType="solid">
        <fgColor rgb="FFE34D67"/>
        <bgColor indexed="64"/>
      </patternFill>
    </fill>
    <fill>
      <patternFill patternType="solid">
        <fgColor rgb="FFC1425D"/>
        <bgColor indexed="64"/>
      </patternFill>
    </fill>
    <fill>
      <patternFill patternType="solid">
        <fgColor rgb="FFD34A67"/>
        <bgColor indexed="64"/>
      </patternFill>
    </fill>
    <fill>
      <patternFill patternType="solid">
        <fgColor rgb="FFFF5D79"/>
        <bgColor indexed="64"/>
      </patternFill>
    </fill>
    <fill>
      <patternFill patternType="solid">
        <fgColor rgb="FFFF5B75"/>
        <bgColor indexed="64"/>
      </patternFill>
    </fill>
    <fill>
      <patternFill patternType="solid">
        <fgColor rgb="FFF45570"/>
        <bgColor indexed="64"/>
      </patternFill>
    </fill>
    <fill>
      <patternFill patternType="solid">
        <fgColor rgb="FFFC5975"/>
        <bgColor indexed="64"/>
      </patternFill>
    </fill>
    <fill>
      <patternFill patternType="solid">
        <fgColor rgb="FFEB4E66"/>
        <bgColor indexed="64"/>
      </patternFill>
    </fill>
    <fill>
      <patternFill patternType="solid">
        <fgColor rgb="FFE24C63"/>
        <bgColor indexed="64"/>
      </patternFill>
    </fill>
    <fill>
      <patternFill patternType="solid">
        <fgColor rgb="FFF34C62"/>
        <bgColor indexed="64"/>
      </patternFill>
    </fill>
    <fill>
      <patternFill patternType="solid">
        <fgColor rgb="FFC65071"/>
        <bgColor indexed="64"/>
      </patternFill>
    </fill>
    <fill>
      <patternFill patternType="solid">
        <fgColor rgb="FF6875BC"/>
        <bgColor indexed="64"/>
      </patternFill>
    </fill>
    <fill>
      <patternFill patternType="solid">
        <fgColor rgb="FF3E9CF2"/>
        <bgColor indexed="64"/>
      </patternFill>
    </fill>
    <fill>
      <patternFill patternType="solid">
        <fgColor rgb="FF38B6FF"/>
        <bgColor indexed="64"/>
      </patternFill>
    </fill>
    <fill>
      <patternFill patternType="solid">
        <fgColor rgb="FF40B5FF"/>
        <bgColor indexed="64"/>
      </patternFill>
    </fill>
    <fill>
      <patternFill patternType="solid">
        <fgColor rgb="FF41AEFA"/>
        <bgColor indexed="64"/>
      </patternFill>
    </fill>
    <fill>
      <patternFill patternType="solid">
        <fgColor rgb="FF41ADF9"/>
        <bgColor indexed="64"/>
      </patternFill>
    </fill>
    <fill>
      <patternFill patternType="solid">
        <fgColor rgb="FF41ACFB"/>
        <bgColor indexed="64"/>
      </patternFill>
    </fill>
    <fill>
      <patternFill patternType="solid">
        <fgColor rgb="FF3EABFA"/>
        <bgColor indexed="64"/>
      </patternFill>
    </fill>
    <fill>
      <patternFill patternType="solid">
        <fgColor rgb="FF3EADFB"/>
        <bgColor indexed="64"/>
      </patternFill>
    </fill>
    <fill>
      <patternFill patternType="solid">
        <fgColor rgb="FF3FAFFC"/>
        <bgColor indexed="64"/>
      </patternFill>
    </fill>
    <fill>
      <patternFill patternType="solid">
        <fgColor rgb="FF3FAEFB"/>
        <bgColor indexed="64"/>
      </patternFill>
    </fill>
    <fill>
      <patternFill patternType="solid">
        <fgColor rgb="FF40ADFA"/>
        <bgColor indexed="64"/>
      </patternFill>
    </fill>
    <fill>
      <patternFill patternType="solid">
        <fgColor rgb="FF3FADFA"/>
        <bgColor indexed="64"/>
      </patternFill>
    </fill>
    <fill>
      <patternFill patternType="solid">
        <fgColor rgb="FF3EACFB"/>
        <bgColor indexed="64"/>
      </patternFill>
    </fill>
    <fill>
      <patternFill patternType="solid">
        <fgColor rgb="FF3EAEFB"/>
        <bgColor indexed="64"/>
      </patternFill>
    </fill>
    <fill>
      <patternFill patternType="solid">
        <fgColor rgb="FF3FADFB"/>
        <bgColor indexed="64"/>
      </patternFill>
    </fill>
    <fill>
      <patternFill patternType="solid">
        <fgColor rgb="FF3FABFA"/>
        <bgColor indexed="64"/>
      </patternFill>
    </fill>
    <fill>
      <patternFill patternType="solid">
        <fgColor rgb="FF36A8FA"/>
        <bgColor indexed="64"/>
      </patternFill>
    </fill>
    <fill>
      <patternFill patternType="solid">
        <fgColor rgb="FF32A6FA"/>
        <bgColor indexed="64"/>
      </patternFill>
    </fill>
    <fill>
      <patternFill patternType="solid">
        <fgColor rgb="FF33A6FA"/>
        <bgColor indexed="64"/>
      </patternFill>
    </fill>
    <fill>
      <patternFill patternType="solid">
        <fgColor rgb="FF32A4FA"/>
        <bgColor indexed="64"/>
      </patternFill>
    </fill>
    <fill>
      <patternFill patternType="solid">
        <fgColor rgb="FF31A4F8"/>
        <bgColor indexed="64"/>
      </patternFill>
    </fill>
    <fill>
      <patternFill patternType="solid">
        <fgColor rgb="FF31A9FF"/>
        <bgColor indexed="64"/>
      </patternFill>
    </fill>
    <fill>
      <patternFill patternType="solid">
        <fgColor rgb="FF2994F3"/>
        <bgColor indexed="64"/>
      </patternFill>
    </fill>
    <fill>
      <patternFill patternType="solid">
        <fgColor rgb="FF2384DE"/>
        <bgColor indexed="64"/>
      </patternFill>
    </fill>
    <fill>
      <patternFill patternType="solid">
        <fgColor rgb="FF2A8CE2"/>
        <bgColor indexed="64"/>
      </patternFill>
    </fill>
    <fill>
      <patternFill patternType="solid">
        <fgColor rgb="FF407FC2"/>
        <bgColor indexed="64"/>
      </patternFill>
    </fill>
    <fill>
      <patternFill patternType="solid">
        <fgColor rgb="FF477CB9"/>
        <bgColor indexed="64"/>
      </patternFill>
    </fill>
    <fill>
      <patternFill patternType="solid">
        <fgColor rgb="FF527DB4"/>
        <bgColor indexed="64"/>
      </patternFill>
    </fill>
    <fill>
      <patternFill patternType="solid">
        <fgColor rgb="FF3D639D"/>
        <bgColor indexed="64"/>
      </patternFill>
    </fill>
    <fill>
      <patternFill patternType="solid">
        <fgColor rgb="FF566B91"/>
        <bgColor indexed="64"/>
      </patternFill>
    </fill>
    <fill>
      <patternFill patternType="solid">
        <fgColor rgb="FF947F7C"/>
        <bgColor indexed="64"/>
      </patternFill>
    </fill>
    <fill>
      <patternFill patternType="solid">
        <fgColor rgb="FFAB7C61"/>
        <bgColor indexed="64"/>
      </patternFill>
    </fill>
    <fill>
      <patternFill patternType="solid">
        <fgColor rgb="FFA6725A"/>
        <bgColor indexed="64"/>
      </patternFill>
    </fill>
    <fill>
      <patternFill patternType="solid">
        <fgColor rgb="FF765346"/>
        <bgColor indexed="64"/>
      </patternFill>
    </fill>
    <fill>
      <patternFill patternType="solid">
        <fgColor rgb="FFD78346"/>
        <bgColor indexed="64"/>
      </patternFill>
    </fill>
    <fill>
      <patternFill patternType="solid">
        <fgColor rgb="FF6E4E4B"/>
        <bgColor indexed="64"/>
      </patternFill>
    </fill>
    <fill>
      <patternFill patternType="solid">
        <fgColor rgb="FF4175B1"/>
        <bgColor indexed="64"/>
      </patternFill>
    </fill>
    <fill>
      <patternFill patternType="solid">
        <fgColor rgb="FF2B7BCA"/>
        <bgColor indexed="64"/>
      </patternFill>
    </fill>
    <fill>
      <patternFill patternType="solid">
        <fgColor rgb="FF2192F1"/>
        <bgColor indexed="64"/>
      </patternFill>
    </fill>
    <fill>
      <patternFill patternType="solid">
        <fgColor rgb="FF2AA5FF"/>
        <bgColor indexed="64"/>
      </patternFill>
    </fill>
    <fill>
      <patternFill patternType="solid">
        <fgColor rgb="FF2689E6"/>
        <bgColor indexed="64"/>
      </patternFill>
    </fill>
    <fill>
      <patternFill patternType="solid">
        <fgColor rgb="FF1D73D5"/>
        <bgColor indexed="64"/>
      </patternFill>
    </fill>
    <fill>
      <patternFill patternType="solid">
        <fgColor rgb="FF1B75D8"/>
        <bgColor indexed="64"/>
      </patternFill>
    </fill>
    <fill>
      <patternFill patternType="solid">
        <fgColor rgb="FF1E76D8"/>
        <bgColor indexed="64"/>
      </patternFill>
    </fill>
    <fill>
      <patternFill patternType="solid">
        <fgColor rgb="FF2293FA"/>
        <bgColor indexed="64"/>
      </patternFill>
    </fill>
    <fill>
      <patternFill patternType="solid">
        <fgColor rgb="FF2094FD"/>
        <bgColor indexed="64"/>
      </patternFill>
    </fill>
    <fill>
      <patternFill patternType="solid">
        <fgColor rgb="FF1E92F9"/>
        <bgColor indexed="64"/>
      </patternFill>
    </fill>
    <fill>
      <patternFill patternType="solid">
        <fgColor rgb="FF1D8FFB"/>
        <bgColor indexed="64"/>
      </patternFill>
    </fill>
    <fill>
      <patternFill patternType="solid">
        <fgColor rgb="FF1A89FA"/>
        <bgColor indexed="64"/>
      </patternFill>
    </fill>
    <fill>
      <patternFill patternType="solid">
        <fgColor rgb="FFBEBEC6"/>
        <bgColor indexed="64"/>
      </patternFill>
    </fill>
    <fill>
      <patternFill patternType="solid">
        <fgColor rgb="FF486FA4"/>
        <bgColor indexed="64"/>
      </patternFill>
    </fill>
    <fill>
      <patternFill patternType="solid">
        <fgColor rgb="FF2B92EB"/>
        <bgColor indexed="64"/>
      </patternFill>
    </fill>
    <fill>
      <patternFill patternType="solid">
        <fgColor rgb="FF319CF5"/>
        <bgColor indexed="64"/>
      </patternFill>
    </fill>
    <fill>
      <patternFill patternType="solid">
        <fgColor rgb="FF724C7D"/>
        <bgColor indexed="64"/>
      </patternFill>
    </fill>
    <fill>
      <patternFill patternType="solid">
        <fgColor rgb="FFDF445A"/>
        <bgColor indexed="64"/>
      </patternFill>
    </fill>
    <fill>
      <patternFill patternType="solid">
        <fgColor rgb="FFED4F6A"/>
        <bgColor indexed="64"/>
      </patternFill>
    </fill>
    <fill>
      <patternFill patternType="solid">
        <fgColor rgb="FFDF455F"/>
        <bgColor indexed="64"/>
      </patternFill>
    </fill>
    <fill>
      <patternFill patternType="solid">
        <fgColor rgb="FFE54C66"/>
        <bgColor indexed="64"/>
      </patternFill>
    </fill>
    <fill>
      <patternFill patternType="solid">
        <fgColor rgb="FFDA425E"/>
        <bgColor indexed="64"/>
      </patternFill>
    </fill>
    <fill>
      <patternFill patternType="solid">
        <fgColor rgb="FFFF5976"/>
        <bgColor indexed="64"/>
      </patternFill>
    </fill>
    <fill>
      <patternFill patternType="solid">
        <fgColor rgb="FFE74F69"/>
        <bgColor indexed="64"/>
      </patternFill>
    </fill>
    <fill>
      <patternFill patternType="solid">
        <fgColor rgb="FFD94762"/>
        <bgColor indexed="64"/>
      </patternFill>
    </fill>
    <fill>
      <patternFill patternType="solid">
        <fgColor rgb="FFFB5977"/>
        <bgColor indexed="64"/>
      </patternFill>
    </fill>
    <fill>
      <patternFill patternType="solid">
        <fgColor rgb="FFFF5C7A"/>
        <bgColor indexed="64"/>
      </patternFill>
    </fill>
    <fill>
      <patternFill patternType="solid">
        <fgColor rgb="FFFF5F7D"/>
        <bgColor indexed="64"/>
      </patternFill>
    </fill>
    <fill>
      <patternFill patternType="solid">
        <fgColor rgb="FFFA5C78"/>
        <bgColor indexed="64"/>
      </patternFill>
    </fill>
    <fill>
      <patternFill patternType="solid">
        <fgColor rgb="FFF35976"/>
        <bgColor indexed="64"/>
      </patternFill>
    </fill>
    <fill>
      <patternFill patternType="solid">
        <fgColor rgb="FFEA526F"/>
        <bgColor indexed="64"/>
      </patternFill>
    </fill>
    <fill>
      <patternFill patternType="solid">
        <fgColor rgb="FFF05975"/>
        <bgColor indexed="64"/>
      </patternFill>
    </fill>
    <fill>
      <patternFill patternType="solid">
        <fgColor rgb="FFE44E6C"/>
        <bgColor indexed="64"/>
      </patternFill>
    </fill>
    <fill>
      <patternFill patternType="solid">
        <fgColor rgb="FFE84F6D"/>
        <bgColor indexed="64"/>
      </patternFill>
    </fill>
    <fill>
      <patternFill patternType="solid">
        <fgColor rgb="FFEC526F"/>
        <bgColor indexed="64"/>
      </patternFill>
    </fill>
    <fill>
      <patternFill patternType="solid">
        <fgColor rgb="FFE25474"/>
        <bgColor indexed="64"/>
      </patternFill>
    </fill>
    <fill>
      <patternFill patternType="solid">
        <fgColor rgb="FFC16490"/>
        <bgColor indexed="64"/>
      </patternFill>
    </fill>
    <fill>
      <patternFill patternType="solid">
        <fgColor rgb="FF8B77AF"/>
        <bgColor indexed="64"/>
      </patternFill>
    </fill>
    <fill>
      <patternFill patternType="solid">
        <fgColor rgb="FF588FD1"/>
        <bgColor indexed="64"/>
      </patternFill>
    </fill>
    <fill>
      <patternFill patternType="solid">
        <fgColor rgb="FF3BA1EC"/>
        <bgColor indexed="64"/>
      </patternFill>
    </fill>
    <fill>
      <patternFill patternType="solid">
        <fgColor rgb="FF35ADFD"/>
        <bgColor indexed="64"/>
      </patternFill>
    </fill>
    <fill>
      <patternFill patternType="solid">
        <fgColor rgb="FF35B2FF"/>
        <bgColor indexed="64"/>
      </patternFill>
    </fill>
    <fill>
      <patternFill patternType="solid">
        <fgColor rgb="FF34B2FF"/>
        <bgColor indexed="64"/>
      </patternFill>
    </fill>
    <fill>
      <patternFill patternType="solid">
        <fgColor rgb="FF38ADFD"/>
        <bgColor indexed="64"/>
      </patternFill>
    </fill>
    <fill>
      <patternFill patternType="solid">
        <fgColor rgb="FF3EA8F6"/>
        <bgColor indexed="64"/>
      </patternFill>
    </fill>
    <fill>
      <patternFill patternType="solid">
        <fgColor rgb="FF3EA8F5"/>
        <bgColor indexed="64"/>
      </patternFill>
    </fill>
    <fill>
      <patternFill patternType="solid">
        <fgColor rgb="FF40ACFC"/>
        <bgColor indexed="64"/>
      </patternFill>
    </fill>
    <fill>
      <patternFill patternType="solid">
        <fgColor rgb="FF43B3FF"/>
        <bgColor indexed="64"/>
      </patternFill>
    </fill>
    <fill>
      <patternFill patternType="solid">
        <fgColor rgb="FF37ADFC"/>
        <bgColor indexed="64"/>
      </patternFill>
    </fill>
    <fill>
      <patternFill patternType="solid">
        <fgColor rgb="FF38ABFC"/>
        <bgColor indexed="64"/>
      </patternFill>
    </fill>
    <fill>
      <patternFill patternType="solid">
        <fgColor rgb="FF35A9FB"/>
        <bgColor indexed="64"/>
      </patternFill>
    </fill>
    <fill>
      <patternFill patternType="solid">
        <fgColor rgb="FF35AAFC"/>
        <bgColor indexed="64"/>
      </patternFill>
    </fill>
    <fill>
      <patternFill patternType="solid">
        <fgColor rgb="FF36ADFF"/>
        <bgColor indexed="64"/>
      </patternFill>
    </fill>
    <fill>
      <patternFill patternType="solid">
        <fgColor rgb="FF3AB1FF"/>
        <bgColor indexed="64"/>
      </patternFill>
    </fill>
    <fill>
      <patternFill patternType="solid">
        <fgColor rgb="FF3FAEFC"/>
        <bgColor indexed="64"/>
      </patternFill>
    </fill>
    <fill>
      <patternFill patternType="solid">
        <fgColor rgb="FF3DAAFA"/>
        <bgColor indexed="64"/>
      </patternFill>
    </fill>
    <fill>
      <patternFill patternType="solid">
        <fgColor rgb="FF38A8FA"/>
        <bgColor indexed="64"/>
      </patternFill>
    </fill>
    <fill>
      <patternFill patternType="solid">
        <fgColor rgb="FF35A7FA"/>
        <bgColor indexed="64"/>
      </patternFill>
    </fill>
    <fill>
      <patternFill patternType="solid">
        <fgColor rgb="FF31A6FB"/>
        <bgColor indexed="64"/>
      </patternFill>
    </fill>
    <fill>
      <patternFill patternType="solid">
        <fgColor rgb="FF30A3FA"/>
        <bgColor indexed="64"/>
      </patternFill>
    </fill>
    <fill>
      <patternFill patternType="solid">
        <fgColor rgb="FF31A7FB"/>
        <bgColor indexed="64"/>
      </patternFill>
    </fill>
    <fill>
      <patternFill patternType="solid">
        <fgColor rgb="FF30A9FF"/>
        <bgColor indexed="64"/>
      </patternFill>
    </fill>
    <fill>
      <patternFill patternType="solid">
        <fgColor rgb="FF2BA9FF"/>
        <bgColor indexed="64"/>
      </patternFill>
    </fill>
    <fill>
      <patternFill patternType="solid">
        <fgColor rgb="FF2AA7FF"/>
        <bgColor indexed="64"/>
      </patternFill>
    </fill>
    <fill>
      <patternFill patternType="solid">
        <fgColor rgb="FF28A5FF"/>
        <bgColor indexed="64"/>
      </patternFill>
    </fill>
    <fill>
      <patternFill patternType="solid">
        <fgColor rgb="FF2BA5FF"/>
        <bgColor indexed="64"/>
      </patternFill>
    </fill>
    <fill>
      <patternFill patternType="solid">
        <fgColor rgb="FF27A2FF"/>
        <bgColor indexed="64"/>
      </patternFill>
    </fill>
    <fill>
      <patternFill patternType="solid">
        <fgColor rgb="FF1F98FB"/>
        <bgColor indexed="64"/>
      </patternFill>
    </fill>
    <fill>
      <patternFill patternType="solid">
        <fgColor rgb="FF228EED"/>
        <bgColor indexed="64"/>
      </patternFill>
    </fill>
    <fill>
      <patternFill patternType="solid">
        <fgColor rgb="FF3199F0"/>
        <bgColor indexed="64"/>
      </patternFill>
    </fill>
    <fill>
      <patternFill patternType="solid">
        <fgColor rgb="FF2085E3"/>
        <bgColor indexed="64"/>
      </patternFill>
    </fill>
    <fill>
      <patternFill patternType="solid">
        <fgColor rgb="FF79665E"/>
        <bgColor indexed="64"/>
      </patternFill>
    </fill>
    <fill>
      <patternFill patternType="solid">
        <fgColor rgb="FFD8854B"/>
        <bgColor indexed="64"/>
      </patternFill>
    </fill>
    <fill>
      <patternFill patternType="solid">
        <fgColor rgb="FF356092"/>
        <bgColor indexed="64"/>
      </patternFill>
    </fill>
    <fill>
      <patternFill patternType="solid">
        <fgColor rgb="FF2A94ED"/>
        <bgColor indexed="64"/>
      </patternFill>
    </fill>
    <fill>
      <patternFill patternType="solid">
        <fgColor rgb="FF2899F3"/>
        <bgColor indexed="64"/>
      </patternFill>
    </fill>
    <fill>
      <patternFill patternType="solid">
        <fgColor rgb="FF1CA1FF"/>
        <bgColor indexed="64"/>
      </patternFill>
    </fill>
    <fill>
      <patternFill patternType="solid">
        <fgColor rgb="FF1695FD"/>
        <bgColor indexed="64"/>
      </patternFill>
    </fill>
    <fill>
      <patternFill patternType="solid">
        <fgColor rgb="FF1F95F8"/>
        <bgColor indexed="64"/>
      </patternFill>
    </fill>
    <fill>
      <patternFill patternType="solid">
        <fgColor rgb="FF2A98F7"/>
        <bgColor indexed="64"/>
      </patternFill>
    </fill>
    <fill>
      <patternFill patternType="solid">
        <fgColor rgb="FF26A0FF"/>
        <bgColor indexed="64"/>
      </patternFill>
    </fill>
    <fill>
      <patternFill patternType="solid">
        <fgColor rgb="FF249FFF"/>
        <bgColor indexed="64"/>
      </patternFill>
    </fill>
    <fill>
      <patternFill patternType="solid">
        <fgColor rgb="FF2599F9"/>
        <bgColor indexed="64"/>
      </patternFill>
    </fill>
    <fill>
      <patternFill patternType="solid">
        <fgColor rgb="FF2295FA"/>
        <bgColor indexed="64"/>
      </patternFill>
    </fill>
    <fill>
      <patternFill patternType="solid">
        <fgColor rgb="FF1E95FB"/>
        <bgColor indexed="64"/>
      </patternFill>
    </fill>
    <fill>
      <patternFill patternType="solid">
        <fgColor rgb="FF1C91FA"/>
        <bgColor indexed="64"/>
      </patternFill>
    </fill>
    <fill>
      <patternFill patternType="solid">
        <fgColor rgb="FF1C8EFB"/>
        <bgColor indexed="64"/>
      </patternFill>
    </fill>
    <fill>
      <patternFill patternType="solid">
        <fgColor rgb="FF1A8AFB"/>
        <bgColor indexed="64"/>
      </patternFill>
    </fill>
    <fill>
      <patternFill patternType="solid">
        <fgColor rgb="FFFDFEFE"/>
        <bgColor indexed="64"/>
      </patternFill>
    </fill>
    <fill>
      <patternFill patternType="solid">
        <fgColor rgb="FFD5D7DA"/>
        <bgColor indexed="64"/>
      </patternFill>
    </fill>
    <fill>
      <patternFill patternType="solid">
        <fgColor rgb="FFB3ABB3"/>
        <bgColor indexed="64"/>
      </patternFill>
    </fill>
    <fill>
      <patternFill patternType="solid">
        <fgColor rgb="FF88A3C4"/>
        <bgColor indexed="64"/>
      </patternFill>
    </fill>
    <fill>
      <patternFill patternType="solid">
        <fgColor rgb="FF814D7C"/>
        <bgColor indexed="64"/>
      </patternFill>
    </fill>
    <fill>
      <patternFill patternType="solid">
        <fgColor rgb="FFFD536F"/>
        <bgColor indexed="64"/>
      </patternFill>
    </fill>
    <fill>
      <patternFill patternType="solid">
        <fgColor rgb="FFF7536E"/>
        <bgColor indexed="64"/>
      </patternFill>
    </fill>
    <fill>
      <patternFill patternType="solid">
        <fgColor rgb="FFF6536F"/>
        <bgColor indexed="64"/>
      </patternFill>
    </fill>
    <fill>
      <patternFill patternType="solid">
        <fgColor rgb="FFF85575"/>
        <bgColor indexed="64"/>
      </patternFill>
    </fill>
    <fill>
      <patternFill patternType="solid">
        <fgColor rgb="FFF65572"/>
        <bgColor indexed="64"/>
      </patternFill>
    </fill>
    <fill>
      <patternFill patternType="solid">
        <fgColor rgb="FFFC5674"/>
        <bgColor indexed="64"/>
      </patternFill>
    </fill>
    <fill>
      <patternFill patternType="solid">
        <fgColor rgb="FFFB5776"/>
        <bgColor indexed="64"/>
      </patternFill>
    </fill>
    <fill>
      <patternFill patternType="solid">
        <fgColor rgb="FFF65573"/>
        <bgColor indexed="64"/>
      </patternFill>
    </fill>
    <fill>
      <patternFill patternType="solid">
        <fgColor rgb="FFF95776"/>
        <bgColor indexed="64"/>
      </patternFill>
    </fill>
    <fill>
      <patternFill patternType="solid">
        <fgColor rgb="FFFC5A79"/>
        <bgColor indexed="64"/>
      </patternFill>
    </fill>
    <fill>
      <patternFill patternType="solid">
        <fgColor rgb="FFFA5B78"/>
        <bgColor indexed="64"/>
      </patternFill>
    </fill>
    <fill>
      <patternFill patternType="solid">
        <fgColor rgb="FFF95D79"/>
        <bgColor indexed="64"/>
      </patternFill>
    </fill>
    <fill>
      <patternFill patternType="solid">
        <fgColor rgb="FFFB5C79"/>
        <bgColor indexed="64"/>
      </patternFill>
    </fill>
    <fill>
      <patternFill patternType="solid">
        <fgColor rgb="FFFB5C7A"/>
        <bgColor indexed="64"/>
      </patternFill>
    </fill>
    <fill>
      <patternFill patternType="solid">
        <fgColor rgb="FFFB5D77"/>
        <bgColor indexed="64"/>
      </patternFill>
    </fill>
    <fill>
      <patternFill patternType="solid">
        <fgColor rgb="FFFD5F7B"/>
        <bgColor indexed="64"/>
      </patternFill>
    </fill>
    <fill>
      <patternFill patternType="solid">
        <fgColor rgb="FFFF5F7B"/>
        <bgColor indexed="64"/>
      </patternFill>
    </fill>
    <fill>
      <patternFill patternType="solid">
        <fgColor rgb="FFFF5B77"/>
        <bgColor indexed="64"/>
      </patternFill>
    </fill>
    <fill>
      <patternFill patternType="solid">
        <fgColor rgb="FFFD5B78"/>
        <bgColor indexed="64"/>
      </patternFill>
    </fill>
    <fill>
      <patternFill patternType="solid">
        <fgColor rgb="FFFF5C79"/>
        <bgColor indexed="64"/>
      </patternFill>
    </fill>
    <fill>
      <patternFill patternType="solid">
        <fgColor rgb="FFFF5C73"/>
        <bgColor indexed="64"/>
      </patternFill>
    </fill>
    <fill>
      <patternFill patternType="solid">
        <fgColor rgb="FFFF5871"/>
        <bgColor indexed="64"/>
      </patternFill>
    </fill>
    <fill>
      <patternFill patternType="solid">
        <fgColor rgb="FFF55979"/>
        <bgColor indexed="64"/>
      </patternFill>
    </fill>
    <fill>
      <patternFill patternType="solid">
        <fgColor rgb="FFD15C83"/>
        <bgColor indexed="64"/>
      </patternFill>
    </fill>
    <fill>
      <patternFill patternType="solid">
        <fgColor rgb="FFBA6B96"/>
        <bgColor indexed="64"/>
      </patternFill>
    </fill>
    <fill>
      <patternFill patternType="solid">
        <fgColor rgb="FFAA74A2"/>
        <bgColor indexed="64"/>
      </patternFill>
    </fill>
    <fill>
      <patternFill patternType="solid">
        <fgColor rgb="FF9D6EA0"/>
        <bgColor indexed="64"/>
      </patternFill>
    </fill>
    <fill>
      <patternFill patternType="solid">
        <fgColor rgb="FF8F6EA8"/>
        <bgColor indexed="64"/>
      </patternFill>
    </fill>
    <fill>
      <patternFill patternType="solid">
        <fgColor rgb="FF4977C4"/>
        <bgColor indexed="64"/>
      </patternFill>
    </fill>
    <fill>
      <patternFill patternType="solid">
        <fgColor rgb="FF2A8BE1"/>
        <bgColor indexed="64"/>
      </patternFill>
    </fill>
    <fill>
      <patternFill patternType="solid">
        <fgColor rgb="FF3699EA"/>
        <bgColor indexed="64"/>
      </patternFill>
    </fill>
    <fill>
      <patternFill patternType="solid">
        <fgColor rgb="FF3D96DE"/>
        <bgColor indexed="64"/>
      </patternFill>
    </fill>
    <fill>
      <patternFill patternType="solid">
        <fgColor rgb="FF61ACEB"/>
        <bgColor indexed="64"/>
      </patternFill>
    </fill>
    <fill>
      <patternFill patternType="solid">
        <fgColor rgb="FF71AEE8"/>
        <bgColor indexed="64"/>
      </patternFill>
    </fill>
    <fill>
      <patternFill patternType="solid">
        <fgColor rgb="FF69A0DB"/>
        <bgColor indexed="64"/>
      </patternFill>
    </fill>
    <fill>
      <patternFill patternType="solid">
        <fgColor rgb="FF669DD8"/>
        <bgColor indexed="64"/>
      </patternFill>
    </fill>
    <fill>
      <patternFill patternType="solid">
        <fgColor rgb="FF72A9E3"/>
        <bgColor indexed="64"/>
      </patternFill>
    </fill>
    <fill>
      <patternFill patternType="solid">
        <fgColor rgb="FF699BD4"/>
        <bgColor indexed="64"/>
      </patternFill>
    </fill>
    <fill>
      <patternFill patternType="solid">
        <fgColor rgb="FF548AC6"/>
        <bgColor indexed="64"/>
      </patternFill>
    </fill>
    <fill>
      <patternFill patternType="solid">
        <fgColor rgb="FF3D89CF"/>
        <bgColor indexed="64"/>
      </patternFill>
    </fill>
    <fill>
      <patternFill patternType="solid">
        <fgColor rgb="FF3195E0"/>
        <bgColor indexed="64"/>
      </patternFill>
    </fill>
    <fill>
      <patternFill patternType="solid">
        <fgColor rgb="FF33A6F4"/>
        <bgColor indexed="64"/>
      </patternFill>
    </fill>
    <fill>
      <patternFill patternType="solid">
        <fgColor rgb="FF3BB1FE"/>
        <bgColor indexed="64"/>
      </patternFill>
    </fill>
    <fill>
      <patternFill patternType="solid">
        <fgColor rgb="FF41B2FD"/>
        <bgColor indexed="64"/>
      </patternFill>
    </fill>
    <fill>
      <patternFill patternType="solid">
        <fgColor rgb="FF3BACF9"/>
        <bgColor indexed="64"/>
      </patternFill>
    </fill>
    <fill>
      <patternFill patternType="solid">
        <fgColor rgb="FF37A9FA"/>
        <bgColor indexed="64"/>
      </patternFill>
    </fill>
    <fill>
      <patternFill patternType="solid">
        <fgColor rgb="FF34A7FB"/>
        <bgColor indexed="64"/>
      </patternFill>
    </fill>
    <fill>
      <patternFill patternType="solid">
        <fgColor rgb="FF30A6FC"/>
        <bgColor indexed="64"/>
      </patternFill>
    </fill>
    <fill>
      <patternFill patternType="solid">
        <fgColor rgb="FF2FA5FC"/>
        <bgColor indexed="64"/>
      </patternFill>
    </fill>
    <fill>
      <patternFill patternType="solid">
        <fgColor rgb="FF30A3F9"/>
        <bgColor indexed="64"/>
      </patternFill>
    </fill>
    <fill>
      <patternFill patternType="solid">
        <fgColor rgb="FF31A4F9"/>
        <bgColor indexed="64"/>
      </patternFill>
    </fill>
    <fill>
      <patternFill patternType="solid">
        <fgColor rgb="FF31A2F9"/>
        <bgColor indexed="64"/>
      </patternFill>
    </fill>
    <fill>
      <patternFill patternType="solid">
        <fgColor rgb="FF31A3FA"/>
        <bgColor indexed="64"/>
      </patternFill>
    </fill>
    <fill>
      <patternFill patternType="solid">
        <fgColor rgb="FF32A3FA"/>
        <bgColor indexed="64"/>
      </patternFill>
    </fill>
    <fill>
      <patternFill patternType="solid">
        <fgColor rgb="FF34ABFE"/>
        <bgColor indexed="64"/>
      </patternFill>
    </fill>
    <fill>
      <patternFill patternType="solid">
        <fgColor rgb="FF32A8FC"/>
        <bgColor indexed="64"/>
      </patternFill>
    </fill>
    <fill>
      <patternFill patternType="solid">
        <fgColor rgb="FF2BABFF"/>
        <bgColor indexed="64"/>
      </patternFill>
    </fill>
    <fill>
      <patternFill patternType="solid">
        <fgColor rgb="FF45749F"/>
        <bgColor indexed="64"/>
      </patternFill>
    </fill>
    <fill>
      <patternFill patternType="solid">
        <fgColor rgb="FFDB8642"/>
        <bgColor indexed="64"/>
      </patternFill>
    </fill>
    <fill>
      <patternFill patternType="solid">
        <fgColor rgb="FFAF6641"/>
        <bgColor indexed="64"/>
      </patternFill>
    </fill>
    <fill>
      <patternFill patternType="solid">
        <fgColor rgb="FF9E603E"/>
        <bgColor indexed="64"/>
      </patternFill>
    </fill>
    <fill>
      <patternFill patternType="solid">
        <fgColor rgb="FF735859"/>
        <bgColor indexed="64"/>
      </patternFill>
    </fill>
    <fill>
      <patternFill patternType="solid">
        <fgColor rgb="FF6F7998"/>
        <bgColor indexed="64"/>
      </patternFill>
    </fill>
    <fill>
      <patternFill patternType="solid">
        <fgColor rgb="FF927981"/>
        <bgColor indexed="64"/>
      </patternFill>
    </fill>
    <fill>
      <patternFill patternType="solid">
        <fgColor rgb="FFAC7667"/>
        <bgColor indexed="64"/>
      </patternFill>
    </fill>
    <fill>
      <patternFill patternType="solid">
        <fgColor rgb="FF84635E"/>
        <bgColor indexed="64"/>
      </patternFill>
    </fill>
    <fill>
      <patternFill patternType="solid">
        <fgColor rgb="FF2A7CC3"/>
        <bgColor indexed="64"/>
      </patternFill>
    </fill>
    <fill>
      <patternFill patternType="solid">
        <fgColor rgb="FF1F96F7"/>
        <bgColor indexed="64"/>
      </patternFill>
    </fill>
    <fill>
      <patternFill patternType="solid">
        <fgColor rgb="FF1396FF"/>
        <bgColor indexed="64"/>
      </patternFill>
    </fill>
    <fill>
      <patternFill patternType="solid">
        <fgColor rgb="FF1F9BFF"/>
        <bgColor indexed="64"/>
      </patternFill>
    </fill>
    <fill>
      <patternFill patternType="solid">
        <fgColor rgb="FF2096FB"/>
        <bgColor indexed="64"/>
      </patternFill>
    </fill>
    <fill>
      <patternFill patternType="solid">
        <fgColor rgb="FF1E93FA"/>
        <bgColor indexed="64"/>
      </patternFill>
    </fill>
    <fill>
      <patternFill patternType="solid">
        <fgColor rgb="FF1D90FB"/>
        <bgColor indexed="64"/>
      </patternFill>
    </fill>
    <fill>
      <patternFill patternType="solid">
        <fgColor rgb="FF1A8AFA"/>
        <bgColor indexed="64"/>
      </patternFill>
    </fill>
    <fill>
      <patternFill patternType="solid">
        <fgColor rgb="FFFEFEFF"/>
        <bgColor indexed="64"/>
      </patternFill>
    </fill>
    <fill>
      <patternFill patternType="solid">
        <fgColor rgb="FFEFEFF0"/>
        <bgColor indexed="64"/>
      </patternFill>
    </fill>
    <fill>
      <patternFill patternType="solid">
        <fgColor rgb="FF757C81"/>
        <bgColor indexed="64"/>
      </patternFill>
    </fill>
    <fill>
      <patternFill patternType="solid">
        <fgColor rgb="FFB9929A"/>
        <bgColor indexed="64"/>
      </patternFill>
    </fill>
    <fill>
      <patternFill patternType="solid">
        <fgColor rgb="FFE9465E"/>
        <bgColor indexed="64"/>
      </patternFill>
    </fill>
    <fill>
      <patternFill patternType="solid">
        <fgColor rgb="FFFE5873"/>
        <bgColor indexed="64"/>
      </patternFill>
    </fill>
    <fill>
      <patternFill patternType="solid">
        <fgColor rgb="FFED506B"/>
        <bgColor indexed="64"/>
      </patternFill>
    </fill>
    <fill>
      <patternFill patternType="solid">
        <fgColor rgb="FFEF536E"/>
        <bgColor indexed="64"/>
      </patternFill>
    </fill>
    <fill>
      <patternFill patternType="solid">
        <fgColor rgb="FFFE5D79"/>
        <bgColor indexed="64"/>
      </patternFill>
    </fill>
    <fill>
      <patternFill patternType="solid">
        <fgColor rgb="FFFC5E7B"/>
        <bgColor indexed="64"/>
      </patternFill>
    </fill>
    <fill>
      <patternFill patternType="solid">
        <fgColor rgb="FFFB5C78"/>
        <bgColor indexed="64"/>
      </patternFill>
    </fill>
    <fill>
      <patternFill patternType="solid">
        <fgColor rgb="FFFD5C7B"/>
        <bgColor indexed="64"/>
      </patternFill>
    </fill>
    <fill>
      <patternFill patternType="solid">
        <fgColor rgb="FFFC5C7A"/>
        <bgColor indexed="64"/>
      </patternFill>
    </fill>
    <fill>
      <patternFill patternType="solid">
        <fgColor rgb="FFFB5D79"/>
        <bgColor indexed="64"/>
      </patternFill>
    </fill>
    <fill>
      <patternFill patternType="solid">
        <fgColor rgb="FFFB5D7B"/>
        <bgColor indexed="64"/>
      </patternFill>
    </fill>
    <fill>
      <patternFill patternType="solid">
        <fgColor rgb="FFFB5E7B"/>
        <bgColor indexed="64"/>
      </patternFill>
    </fill>
    <fill>
      <patternFill patternType="solid">
        <fgColor rgb="FFFB5F7B"/>
        <bgColor indexed="64"/>
      </patternFill>
    </fill>
    <fill>
      <patternFill patternType="solid">
        <fgColor rgb="FFFB607C"/>
        <bgColor indexed="64"/>
      </patternFill>
    </fill>
    <fill>
      <patternFill patternType="solid">
        <fgColor rgb="FFFA5F7B"/>
        <bgColor indexed="64"/>
      </patternFill>
    </fill>
    <fill>
      <patternFill patternType="solid">
        <fgColor rgb="FFFB5D78"/>
        <bgColor indexed="64"/>
      </patternFill>
    </fill>
    <fill>
      <patternFill patternType="solid">
        <fgColor rgb="FFFB5B78"/>
        <bgColor indexed="64"/>
      </patternFill>
    </fill>
    <fill>
      <patternFill patternType="solid">
        <fgColor rgb="FFF45775"/>
        <bgColor indexed="64"/>
      </patternFill>
    </fill>
    <fill>
      <patternFill patternType="solid">
        <fgColor rgb="FFF45A77"/>
        <bgColor indexed="64"/>
      </patternFill>
    </fill>
    <fill>
      <patternFill patternType="solid">
        <fgColor rgb="FFF45C78"/>
        <bgColor indexed="64"/>
      </patternFill>
    </fill>
    <fill>
      <patternFill patternType="solid">
        <fgColor rgb="FFE4556B"/>
        <bgColor indexed="64"/>
      </patternFill>
    </fill>
    <fill>
      <patternFill patternType="solid">
        <fgColor rgb="FFC3404E"/>
        <bgColor indexed="64"/>
      </patternFill>
    </fill>
    <fill>
      <patternFill patternType="solid">
        <fgColor rgb="FFA3445C"/>
        <bgColor indexed="64"/>
      </patternFill>
    </fill>
    <fill>
      <patternFill patternType="solid">
        <fgColor rgb="FF7A4373"/>
        <bgColor indexed="64"/>
      </patternFill>
    </fill>
    <fill>
      <patternFill patternType="solid">
        <fgColor rgb="FF6E5794"/>
        <bgColor indexed="64"/>
      </patternFill>
    </fill>
    <fill>
      <patternFill patternType="solid">
        <fgColor rgb="FF617CC6"/>
        <bgColor indexed="64"/>
      </patternFill>
    </fill>
    <fill>
      <patternFill patternType="solid">
        <fgColor rgb="FF5E94D4"/>
        <bgColor indexed="64"/>
      </patternFill>
    </fill>
    <fill>
      <patternFill patternType="solid">
        <fgColor rgb="FF96B8E1"/>
        <bgColor indexed="64"/>
      </patternFill>
    </fill>
    <fill>
      <patternFill patternType="solid">
        <fgColor rgb="FFBECCE5"/>
        <bgColor indexed="64"/>
      </patternFill>
    </fill>
    <fill>
      <patternFill patternType="solid">
        <fgColor rgb="FFD3D4E4"/>
        <bgColor indexed="64"/>
      </patternFill>
    </fill>
    <fill>
      <patternFill patternType="solid">
        <fgColor rgb="FFFBF7F8"/>
        <bgColor indexed="64"/>
      </patternFill>
    </fill>
    <fill>
      <patternFill patternType="solid">
        <fgColor rgb="FFFFFDFB"/>
        <bgColor indexed="64"/>
      </patternFill>
    </fill>
    <fill>
      <patternFill patternType="solid">
        <fgColor rgb="FFFFFBFB"/>
        <bgColor indexed="64"/>
      </patternFill>
    </fill>
    <fill>
      <patternFill patternType="solid">
        <fgColor rgb="FFFFFBFA"/>
        <bgColor indexed="64"/>
      </patternFill>
    </fill>
    <fill>
      <patternFill patternType="solid">
        <fgColor rgb="FFFFFEFD"/>
        <bgColor indexed="64"/>
      </patternFill>
    </fill>
    <fill>
      <patternFill patternType="solid">
        <fgColor rgb="FFFFFCFB"/>
        <bgColor indexed="64"/>
      </patternFill>
    </fill>
    <fill>
      <patternFill patternType="solid">
        <fgColor rgb="FFFBF4F6"/>
        <bgColor indexed="64"/>
      </patternFill>
    </fill>
    <fill>
      <patternFill patternType="solid">
        <fgColor rgb="FFE6E1EB"/>
        <bgColor indexed="64"/>
      </patternFill>
    </fill>
    <fill>
      <patternFill patternType="solid">
        <fgColor rgb="FFB6BCD6"/>
        <bgColor indexed="64"/>
      </patternFill>
    </fill>
    <fill>
      <patternFill patternType="solid">
        <fgColor rgb="FF7EA1CD"/>
        <bgColor indexed="64"/>
      </patternFill>
    </fill>
    <fill>
      <patternFill patternType="solid">
        <fgColor rgb="FF4D9DE0"/>
        <bgColor indexed="64"/>
      </patternFill>
    </fill>
    <fill>
      <patternFill patternType="solid">
        <fgColor rgb="FF36A7F4"/>
        <bgColor indexed="64"/>
      </patternFill>
    </fill>
    <fill>
      <patternFill patternType="solid">
        <fgColor rgb="FF42B6FF"/>
        <bgColor indexed="64"/>
      </patternFill>
    </fill>
    <fill>
      <patternFill patternType="solid">
        <fgColor rgb="FF3CADFA"/>
        <bgColor indexed="64"/>
      </patternFill>
    </fill>
    <fill>
      <patternFill patternType="solid">
        <fgColor rgb="FF35A8FB"/>
        <bgColor indexed="64"/>
      </patternFill>
    </fill>
    <fill>
      <patternFill patternType="solid">
        <fgColor rgb="FF34A5FC"/>
        <bgColor indexed="64"/>
      </patternFill>
    </fill>
    <fill>
      <patternFill patternType="solid">
        <fgColor rgb="FF32A6FB"/>
        <bgColor indexed="64"/>
      </patternFill>
    </fill>
    <fill>
      <patternFill patternType="solid">
        <fgColor rgb="FF30A4FC"/>
        <bgColor indexed="64"/>
      </patternFill>
    </fill>
    <fill>
      <patternFill patternType="solid">
        <fgColor rgb="FF30A3FB"/>
        <bgColor indexed="64"/>
      </patternFill>
    </fill>
    <fill>
      <patternFill patternType="solid">
        <fgColor rgb="FF2EA4FB"/>
        <bgColor indexed="64"/>
      </patternFill>
    </fill>
    <fill>
      <patternFill patternType="solid">
        <fgColor rgb="FF2FA3FB"/>
        <bgColor indexed="64"/>
      </patternFill>
    </fill>
    <fill>
      <patternFill patternType="solid">
        <fgColor rgb="FF2FA3FC"/>
        <bgColor indexed="64"/>
      </patternFill>
    </fill>
    <fill>
      <patternFill patternType="solid">
        <fgColor rgb="FF32A6F9"/>
        <bgColor indexed="64"/>
      </patternFill>
    </fill>
    <fill>
      <patternFill patternType="solid">
        <fgColor rgb="FF28A1FA"/>
        <bgColor indexed="64"/>
      </patternFill>
    </fill>
    <fill>
      <patternFill patternType="solid">
        <fgColor rgb="FF5D6F83"/>
        <bgColor indexed="64"/>
      </patternFill>
    </fill>
    <fill>
      <patternFill patternType="solid">
        <fgColor rgb="FFFFA44A"/>
        <bgColor indexed="64"/>
      </patternFill>
    </fill>
    <fill>
      <patternFill patternType="solid">
        <fgColor rgb="FFF29246"/>
        <bgColor indexed="64"/>
      </patternFill>
    </fill>
    <fill>
      <patternFill patternType="solid">
        <fgColor rgb="FFDD803C"/>
        <bgColor indexed="64"/>
      </patternFill>
    </fill>
    <fill>
      <patternFill patternType="solid">
        <fgColor rgb="FFF98E42"/>
        <bgColor indexed="64"/>
      </patternFill>
    </fill>
    <fill>
      <patternFill patternType="solid">
        <fgColor rgb="FFFF933E"/>
        <bgColor indexed="64"/>
      </patternFill>
    </fill>
    <fill>
      <patternFill patternType="solid">
        <fgColor rgb="FFFF9743"/>
        <bgColor indexed="64"/>
      </patternFill>
    </fill>
    <fill>
      <patternFill patternType="solid">
        <fgColor rgb="FFE47F3C"/>
        <bgColor indexed="64"/>
      </patternFill>
    </fill>
    <fill>
      <patternFill patternType="solid">
        <fgColor rgb="FFBA6635"/>
        <bgColor indexed="64"/>
      </patternFill>
    </fill>
    <fill>
      <patternFill patternType="solid">
        <fgColor rgb="FFAB6844"/>
        <bgColor indexed="64"/>
      </patternFill>
    </fill>
    <fill>
      <patternFill patternType="solid">
        <fgColor rgb="FFBD7A5B"/>
        <bgColor indexed="64"/>
      </patternFill>
    </fill>
    <fill>
      <patternFill patternType="solid">
        <fgColor rgb="FF927C83"/>
        <bgColor indexed="64"/>
      </patternFill>
    </fill>
    <fill>
      <patternFill patternType="solid">
        <fgColor rgb="FF328AD9"/>
        <bgColor indexed="64"/>
      </patternFill>
    </fill>
    <fill>
      <patternFill patternType="solid">
        <fgColor rgb="FF209AFC"/>
        <bgColor indexed="64"/>
      </patternFill>
    </fill>
    <fill>
      <patternFill patternType="solid">
        <fgColor rgb="FF1D91FA"/>
        <bgColor indexed="64"/>
      </patternFill>
    </fill>
    <fill>
      <patternFill patternType="solid">
        <fgColor rgb="FF1A8CFB"/>
        <bgColor indexed="64"/>
      </patternFill>
    </fill>
    <fill>
      <patternFill patternType="solid">
        <fgColor rgb="FFFEFDFE"/>
        <bgColor indexed="64"/>
      </patternFill>
    </fill>
    <fill>
      <patternFill patternType="solid">
        <fgColor rgb="FFE7E4E6"/>
        <bgColor indexed="64"/>
      </patternFill>
    </fill>
    <fill>
      <patternFill patternType="solid">
        <fgColor rgb="FF6B3644"/>
        <bgColor indexed="64"/>
      </patternFill>
    </fill>
    <fill>
      <patternFill patternType="solid">
        <fgColor rgb="FFAC4154"/>
        <bgColor indexed="64"/>
      </patternFill>
    </fill>
    <fill>
      <patternFill patternType="solid">
        <fgColor rgb="FFFE5875"/>
        <bgColor indexed="64"/>
      </patternFill>
    </fill>
    <fill>
      <patternFill patternType="solid">
        <fgColor rgb="FFFA5772"/>
        <bgColor indexed="64"/>
      </patternFill>
    </fill>
    <fill>
      <patternFill patternType="solid">
        <fgColor rgb="FFF55871"/>
        <bgColor indexed="64"/>
      </patternFill>
    </fill>
    <fill>
      <patternFill patternType="solid">
        <fgColor rgb="FFEF546F"/>
        <bgColor indexed="64"/>
      </patternFill>
    </fill>
    <fill>
      <patternFill patternType="solid">
        <fgColor rgb="FFFC5B78"/>
        <bgColor indexed="64"/>
      </patternFill>
    </fill>
    <fill>
      <patternFill patternType="solid">
        <fgColor rgb="FFFB5E7A"/>
        <bgColor indexed="64"/>
      </patternFill>
    </fill>
    <fill>
      <patternFill patternType="solid">
        <fgColor rgb="FFFB5E78"/>
        <bgColor indexed="64"/>
      </patternFill>
    </fill>
    <fill>
      <patternFill patternType="solid">
        <fgColor rgb="FFFB5B7A"/>
        <bgColor indexed="64"/>
      </patternFill>
    </fill>
    <fill>
      <patternFill patternType="solid">
        <fgColor rgb="FFFB5B7B"/>
        <bgColor indexed="64"/>
      </patternFill>
    </fill>
    <fill>
      <patternFill patternType="solid">
        <fgColor rgb="FFFC5C78"/>
        <bgColor indexed="64"/>
      </patternFill>
    </fill>
    <fill>
      <patternFill patternType="solid">
        <fgColor rgb="FFFB5F7D"/>
        <bgColor indexed="64"/>
      </patternFill>
    </fill>
    <fill>
      <patternFill patternType="solid">
        <fgColor rgb="FFFB5E7C"/>
        <bgColor indexed="64"/>
      </patternFill>
    </fill>
    <fill>
      <patternFill patternType="solid">
        <fgColor rgb="FFFB5F7C"/>
        <bgColor indexed="64"/>
      </patternFill>
    </fill>
    <fill>
      <patternFill patternType="solid">
        <fgColor rgb="FFFB607B"/>
        <bgColor indexed="64"/>
      </patternFill>
    </fill>
    <fill>
      <patternFill patternType="solid">
        <fgColor rgb="FFE8536F"/>
        <bgColor indexed="64"/>
      </patternFill>
    </fill>
    <fill>
      <patternFill patternType="solid">
        <fgColor rgb="FFF25875"/>
        <bgColor indexed="64"/>
      </patternFill>
    </fill>
    <fill>
      <patternFill patternType="solid">
        <fgColor rgb="FFF75B78"/>
        <bgColor indexed="64"/>
      </patternFill>
    </fill>
    <fill>
      <patternFill patternType="solid">
        <fgColor rgb="FFE65674"/>
        <bgColor indexed="64"/>
      </patternFill>
    </fill>
    <fill>
      <patternFill patternType="solid">
        <fgColor rgb="FFD1506C"/>
        <bgColor indexed="64"/>
      </patternFill>
    </fill>
    <fill>
      <patternFill patternType="solid">
        <fgColor rgb="FF784265"/>
        <bgColor indexed="64"/>
      </patternFill>
    </fill>
    <fill>
      <patternFill patternType="solid">
        <fgColor rgb="FF6787AD"/>
        <bgColor indexed="64"/>
      </patternFill>
    </fill>
    <fill>
      <patternFill patternType="solid">
        <fgColor rgb="FFC2DCF3"/>
        <bgColor indexed="64"/>
      </patternFill>
    </fill>
    <fill>
      <patternFill patternType="solid">
        <fgColor rgb="FFE2E9F5"/>
        <bgColor indexed="64"/>
      </patternFill>
    </fill>
    <fill>
      <patternFill patternType="solid">
        <fgColor rgb="FFF8F3F4"/>
        <bgColor indexed="64"/>
      </patternFill>
    </fill>
    <fill>
      <patternFill patternType="solid">
        <fgColor rgb="FFFEFFFF"/>
        <bgColor indexed="64"/>
      </patternFill>
    </fill>
    <fill>
      <patternFill patternType="solid">
        <fgColor rgb="FFFDFFFF"/>
        <bgColor indexed="64"/>
      </patternFill>
    </fill>
    <fill>
      <patternFill patternType="solid">
        <fgColor rgb="FFECEAF2"/>
        <bgColor indexed="64"/>
      </patternFill>
    </fill>
    <fill>
      <patternFill patternType="solid">
        <fgColor rgb="FF7C9AC4"/>
        <bgColor indexed="64"/>
      </patternFill>
    </fill>
    <fill>
      <patternFill patternType="solid">
        <fgColor rgb="FF2B87CB"/>
        <bgColor indexed="64"/>
      </patternFill>
    </fill>
    <fill>
      <patternFill patternType="solid">
        <fgColor rgb="FF37AAFA"/>
        <bgColor indexed="64"/>
      </patternFill>
    </fill>
    <fill>
      <patternFill patternType="solid">
        <fgColor rgb="FF34A7FA"/>
        <bgColor indexed="64"/>
      </patternFill>
    </fill>
    <fill>
      <patternFill patternType="solid">
        <fgColor rgb="FF34A8FA"/>
        <bgColor indexed="64"/>
      </patternFill>
    </fill>
    <fill>
      <patternFill patternType="solid">
        <fgColor rgb="FF2EA4FC"/>
        <bgColor indexed="64"/>
      </patternFill>
    </fill>
    <fill>
      <patternFill patternType="solid">
        <fgColor rgb="FF2FA6FA"/>
        <bgColor indexed="64"/>
      </patternFill>
    </fill>
    <fill>
      <patternFill patternType="solid">
        <fgColor rgb="FF2FA8FA"/>
        <bgColor indexed="64"/>
      </patternFill>
    </fill>
    <fill>
      <patternFill patternType="solid">
        <fgColor rgb="FF2FA4FC"/>
        <bgColor indexed="64"/>
      </patternFill>
    </fill>
    <fill>
      <patternFill patternType="solid">
        <fgColor rgb="FF33ABFC"/>
        <bgColor indexed="64"/>
      </patternFill>
    </fill>
    <fill>
      <patternFill patternType="solid">
        <fgColor rgb="FF2CA0F9"/>
        <bgColor indexed="64"/>
      </patternFill>
    </fill>
    <fill>
      <patternFill patternType="solid">
        <fgColor rgb="FF536B8C"/>
        <bgColor indexed="64"/>
      </patternFill>
    </fill>
    <fill>
      <patternFill patternType="solid">
        <fgColor rgb="FF788597"/>
        <bgColor indexed="64"/>
      </patternFill>
    </fill>
    <fill>
      <patternFill patternType="solid">
        <fgColor rgb="FF5886AC"/>
        <bgColor indexed="64"/>
      </patternFill>
    </fill>
    <fill>
      <patternFill patternType="solid">
        <fgColor rgb="FF5987AC"/>
        <bgColor indexed="64"/>
      </patternFill>
    </fill>
    <fill>
      <patternFill patternType="solid">
        <fgColor rgb="FF4F7FB2"/>
        <bgColor indexed="64"/>
      </patternFill>
    </fill>
    <fill>
      <patternFill patternType="solid">
        <fgColor rgb="FF497AAD"/>
        <bgColor indexed="64"/>
      </patternFill>
    </fill>
    <fill>
      <patternFill patternType="solid">
        <fgColor rgb="FF437AB3"/>
        <bgColor indexed="64"/>
      </patternFill>
    </fill>
    <fill>
      <patternFill patternType="solid">
        <fgColor rgb="FF437FB9"/>
        <bgColor indexed="64"/>
      </patternFill>
    </fill>
    <fill>
      <patternFill patternType="solid">
        <fgColor rgb="FF3D7EBC"/>
        <bgColor indexed="64"/>
      </patternFill>
    </fill>
    <fill>
      <patternFill patternType="solid">
        <fgColor rgb="FF3776B6"/>
        <bgColor indexed="64"/>
      </patternFill>
    </fill>
    <fill>
      <patternFill patternType="solid">
        <fgColor rgb="FF54759A"/>
        <bgColor indexed="64"/>
      </patternFill>
    </fill>
    <fill>
      <patternFill patternType="solid">
        <fgColor rgb="FF8C6B60"/>
        <bgColor indexed="64"/>
      </patternFill>
    </fill>
    <fill>
      <patternFill patternType="solid">
        <fgColor rgb="FF4975A7"/>
        <bgColor indexed="64"/>
      </patternFill>
    </fill>
    <fill>
      <patternFill patternType="solid">
        <fgColor rgb="FF1E9DFF"/>
        <bgColor indexed="64"/>
      </patternFill>
    </fill>
    <fill>
      <patternFill patternType="solid">
        <fgColor rgb="FF2197F8"/>
        <bgColor indexed="64"/>
      </patternFill>
    </fill>
    <fill>
      <patternFill patternType="solid">
        <fgColor rgb="FF2092FB"/>
        <bgColor indexed="64"/>
      </patternFill>
    </fill>
    <fill>
      <patternFill patternType="solid">
        <fgColor rgb="FFFEFDFD"/>
        <bgColor indexed="64"/>
      </patternFill>
    </fill>
    <fill>
      <patternFill patternType="solid">
        <fgColor rgb="FFCFB5BC"/>
        <bgColor indexed="64"/>
      </patternFill>
    </fill>
    <fill>
      <patternFill patternType="solid">
        <fgColor rgb="FFC93D52"/>
        <bgColor indexed="64"/>
      </patternFill>
    </fill>
    <fill>
      <patternFill patternType="solid">
        <fgColor rgb="FFE24D65"/>
        <bgColor indexed="64"/>
      </patternFill>
    </fill>
    <fill>
      <patternFill patternType="solid">
        <fgColor rgb="FFEA526B"/>
        <bgColor indexed="64"/>
      </patternFill>
    </fill>
    <fill>
      <patternFill patternType="solid">
        <fgColor rgb="FFFB5C76"/>
        <bgColor indexed="64"/>
      </patternFill>
    </fill>
    <fill>
      <patternFill patternType="solid">
        <fgColor rgb="FFFA5D77"/>
        <bgColor indexed="64"/>
      </patternFill>
    </fill>
    <fill>
      <patternFill patternType="solid">
        <fgColor rgb="FFFA5977"/>
        <bgColor indexed="64"/>
      </patternFill>
    </fill>
    <fill>
      <patternFill patternType="solid">
        <fgColor rgb="FFFB5B76"/>
        <bgColor indexed="64"/>
      </patternFill>
    </fill>
    <fill>
      <patternFill patternType="solid">
        <fgColor rgb="FFFB5D7A"/>
        <bgColor indexed="64"/>
      </patternFill>
    </fill>
    <fill>
      <patternFill patternType="solid">
        <fgColor rgb="FFFC5C7B"/>
        <bgColor indexed="64"/>
      </patternFill>
    </fill>
    <fill>
      <patternFill patternType="solid">
        <fgColor rgb="FFFB5D7C"/>
        <bgColor indexed="64"/>
      </patternFill>
    </fill>
    <fill>
      <patternFill patternType="solid">
        <fgColor rgb="FFFB5E7D"/>
        <bgColor indexed="64"/>
      </patternFill>
    </fill>
    <fill>
      <patternFill patternType="solid">
        <fgColor rgb="FFFB607D"/>
        <bgColor indexed="64"/>
      </patternFill>
    </fill>
    <fill>
      <patternFill patternType="solid">
        <fgColor rgb="FFFB607F"/>
        <bgColor indexed="64"/>
      </patternFill>
    </fill>
    <fill>
      <patternFill patternType="solid">
        <fgColor rgb="FFFC607E"/>
        <bgColor indexed="64"/>
      </patternFill>
    </fill>
    <fill>
      <patternFill patternType="solid">
        <fgColor rgb="FFFF6481"/>
        <bgColor indexed="64"/>
      </patternFill>
    </fill>
    <fill>
      <patternFill patternType="solid">
        <fgColor rgb="FFFF6380"/>
        <bgColor indexed="64"/>
      </patternFill>
    </fill>
    <fill>
      <patternFill patternType="solid">
        <fgColor rgb="FFFF617E"/>
        <bgColor indexed="64"/>
      </patternFill>
    </fill>
    <fill>
      <patternFill patternType="solid">
        <fgColor rgb="FFFF6685"/>
        <bgColor indexed="64"/>
      </patternFill>
    </fill>
    <fill>
      <patternFill patternType="solid">
        <fgColor rgb="FFFF6B8D"/>
        <bgColor indexed="64"/>
      </patternFill>
    </fill>
    <fill>
      <patternFill patternType="solid">
        <fgColor rgb="FFFF6485"/>
        <bgColor indexed="64"/>
      </patternFill>
    </fill>
    <fill>
      <patternFill patternType="solid">
        <fgColor rgb="FFD87886"/>
        <bgColor indexed="64"/>
      </patternFill>
    </fill>
    <fill>
      <patternFill patternType="solid">
        <fgColor rgb="FFEDE4DE"/>
        <bgColor indexed="64"/>
      </patternFill>
    </fill>
    <fill>
      <patternFill patternType="solid">
        <fgColor rgb="FFFFFEFF"/>
        <bgColor indexed="64"/>
      </patternFill>
    </fill>
    <fill>
      <patternFill patternType="solid">
        <fgColor rgb="FFFCFEFE"/>
        <bgColor indexed="64"/>
      </patternFill>
    </fill>
    <fill>
      <patternFill patternType="solid">
        <fgColor rgb="FF7E89A6"/>
        <bgColor indexed="64"/>
      </patternFill>
    </fill>
    <fill>
      <patternFill patternType="solid">
        <fgColor rgb="FF2D88C9"/>
        <bgColor indexed="64"/>
      </patternFill>
    </fill>
    <fill>
      <patternFill patternType="solid">
        <fgColor rgb="FF33A8FA"/>
        <bgColor indexed="64"/>
      </patternFill>
    </fill>
    <fill>
      <patternFill patternType="solid">
        <fgColor rgb="FF31A9FA"/>
        <bgColor indexed="64"/>
      </patternFill>
    </fill>
    <fill>
      <patternFill patternType="solid">
        <fgColor rgb="FF2FA6FC"/>
        <bgColor indexed="64"/>
      </patternFill>
    </fill>
    <fill>
      <patternFill patternType="solid">
        <fgColor rgb="FF33A7FB"/>
        <bgColor indexed="64"/>
      </patternFill>
    </fill>
    <fill>
      <patternFill patternType="solid">
        <fgColor rgb="FF2D99F0"/>
        <bgColor indexed="64"/>
      </patternFill>
    </fill>
    <fill>
      <patternFill patternType="solid">
        <fgColor rgb="FF298EE1"/>
        <bgColor indexed="64"/>
      </patternFill>
    </fill>
    <fill>
      <patternFill patternType="solid">
        <fgColor rgb="FF2EA7FF"/>
        <bgColor indexed="64"/>
      </patternFill>
    </fill>
    <fill>
      <patternFill patternType="solid">
        <fgColor rgb="FF219FFF"/>
        <bgColor indexed="64"/>
      </patternFill>
    </fill>
    <fill>
      <patternFill patternType="solid">
        <fgColor rgb="FF24A4FF"/>
        <bgColor indexed="64"/>
      </patternFill>
    </fill>
    <fill>
      <patternFill patternType="solid">
        <fgColor rgb="FF23A5FF"/>
        <bgColor indexed="64"/>
      </patternFill>
    </fill>
    <fill>
      <patternFill patternType="solid">
        <fgColor rgb="FF22A4FF"/>
        <bgColor indexed="64"/>
      </patternFill>
    </fill>
    <fill>
      <patternFill patternType="solid">
        <fgColor rgb="FF22A2FF"/>
        <bgColor indexed="64"/>
      </patternFill>
    </fill>
    <fill>
      <patternFill patternType="solid">
        <fgColor rgb="FF21A2FF"/>
        <bgColor indexed="64"/>
      </patternFill>
    </fill>
    <fill>
      <patternFill patternType="solid">
        <fgColor rgb="FF22A3FF"/>
        <bgColor indexed="64"/>
      </patternFill>
    </fill>
    <fill>
      <patternFill patternType="solid">
        <fgColor rgb="FF1C9EFF"/>
        <bgColor indexed="64"/>
      </patternFill>
    </fill>
    <fill>
      <patternFill patternType="solid">
        <fgColor rgb="FF1690F6"/>
        <bgColor indexed="64"/>
      </patternFill>
    </fill>
    <fill>
      <patternFill patternType="solid">
        <fgColor rgb="FF2298F8"/>
        <bgColor indexed="64"/>
      </patternFill>
    </fill>
    <fill>
      <patternFill patternType="solid">
        <fgColor rgb="FF249DFB"/>
        <bgColor indexed="64"/>
      </patternFill>
    </fill>
    <fill>
      <patternFill patternType="solid">
        <fgColor rgb="FF2098FA"/>
        <bgColor indexed="64"/>
      </patternFill>
    </fill>
    <fill>
      <patternFill patternType="solid">
        <fgColor rgb="FF2095FA"/>
        <bgColor indexed="64"/>
      </patternFill>
    </fill>
    <fill>
      <patternFill patternType="solid">
        <fgColor rgb="FF1C8EFA"/>
        <bgColor indexed="64"/>
      </patternFill>
    </fill>
    <fill>
      <patternFill patternType="solid">
        <fgColor rgb="FFFFFEFE"/>
        <bgColor indexed="64"/>
      </patternFill>
    </fill>
    <fill>
      <patternFill patternType="solid">
        <fgColor rgb="FFE8F0EF"/>
        <bgColor indexed="64"/>
      </patternFill>
    </fill>
    <fill>
      <patternFill patternType="solid">
        <fgColor rgb="FFB26172"/>
        <bgColor indexed="64"/>
      </patternFill>
    </fill>
    <fill>
      <patternFill patternType="solid">
        <fgColor rgb="FFE3445C"/>
        <bgColor indexed="64"/>
      </patternFill>
    </fill>
    <fill>
      <patternFill patternType="solid">
        <fgColor rgb="FFE14C63"/>
        <bgColor indexed="64"/>
      </patternFill>
    </fill>
    <fill>
      <patternFill patternType="solid">
        <fgColor rgb="FFF2556E"/>
        <bgColor indexed="64"/>
      </patternFill>
    </fill>
    <fill>
      <patternFill patternType="solid">
        <fgColor rgb="FFFD5E77"/>
        <bgColor indexed="64"/>
      </patternFill>
    </fill>
    <fill>
      <patternFill patternType="solid">
        <fgColor rgb="FFFA5C77"/>
        <bgColor indexed="64"/>
      </patternFill>
    </fill>
    <fill>
      <patternFill patternType="solid">
        <fgColor rgb="FFFB5A77"/>
        <bgColor indexed="64"/>
      </patternFill>
    </fill>
    <fill>
      <patternFill patternType="solid">
        <fgColor rgb="FFFA5D7A"/>
        <bgColor indexed="64"/>
      </patternFill>
    </fill>
    <fill>
      <patternFill patternType="solid">
        <fgColor rgb="FFFA5D7C"/>
        <bgColor indexed="64"/>
      </patternFill>
    </fill>
    <fill>
      <patternFill patternType="solid">
        <fgColor rgb="FFFB5F7F"/>
        <bgColor indexed="64"/>
      </patternFill>
    </fill>
    <fill>
      <patternFill patternType="solid">
        <fgColor rgb="FFFB5E7F"/>
        <bgColor indexed="64"/>
      </patternFill>
    </fill>
    <fill>
      <patternFill patternType="solid">
        <fgColor rgb="FFFB5F7E"/>
        <bgColor indexed="64"/>
      </patternFill>
    </fill>
    <fill>
      <patternFill patternType="solid">
        <fgColor rgb="FFFC6180"/>
        <bgColor indexed="64"/>
      </patternFill>
    </fill>
    <fill>
      <patternFill patternType="solid">
        <fgColor rgb="FFF9617D"/>
        <bgColor indexed="64"/>
      </patternFill>
    </fill>
    <fill>
      <patternFill patternType="solid">
        <fgColor rgb="FFE85870"/>
        <bgColor indexed="64"/>
      </patternFill>
    </fill>
    <fill>
      <patternFill patternType="solid">
        <fgColor rgb="FFE4526C"/>
        <bgColor indexed="64"/>
      </patternFill>
    </fill>
    <fill>
      <patternFill patternType="solid">
        <fgColor rgb="FFDF5067"/>
        <bgColor indexed="64"/>
      </patternFill>
    </fill>
    <fill>
      <patternFill patternType="solid">
        <fgColor rgb="FFCE4B60"/>
        <bgColor indexed="64"/>
      </patternFill>
    </fill>
    <fill>
      <patternFill patternType="solid">
        <fgColor rgb="FFCC4F62"/>
        <bgColor indexed="64"/>
      </patternFill>
    </fill>
    <fill>
      <patternFill patternType="solid">
        <fgColor rgb="FFDF596D"/>
        <bgColor indexed="64"/>
      </patternFill>
    </fill>
    <fill>
      <patternFill patternType="solid">
        <fgColor rgb="FFEE5877"/>
        <bgColor indexed="64"/>
      </patternFill>
    </fill>
    <fill>
      <patternFill patternType="solid">
        <fgColor rgb="FFCE536B"/>
        <bgColor indexed="64"/>
      </patternFill>
    </fill>
    <fill>
      <patternFill patternType="solid">
        <fgColor rgb="FFBE7D85"/>
        <bgColor indexed="64"/>
      </patternFill>
    </fill>
    <fill>
      <patternFill patternType="solid">
        <fgColor rgb="FFC5ABAB"/>
        <bgColor indexed="64"/>
      </patternFill>
    </fill>
    <fill>
      <patternFill patternType="solid">
        <fgColor rgb="FFCECBCD"/>
        <bgColor indexed="64"/>
      </patternFill>
    </fill>
    <fill>
      <patternFill patternType="solid">
        <fgColor rgb="FFDEDFE4"/>
        <bgColor indexed="64"/>
      </patternFill>
    </fill>
    <fill>
      <patternFill patternType="solid">
        <fgColor rgb="FFF9F9FA"/>
        <bgColor indexed="64"/>
      </patternFill>
    </fill>
    <fill>
      <patternFill patternType="solid">
        <fgColor rgb="FFFFFCFD"/>
        <bgColor indexed="64"/>
      </patternFill>
    </fill>
    <fill>
      <patternFill patternType="solid">
        <fgColor rgb="FF587FA6"/>
        <bgColor indexed="64"/>
      </patternFill>
    </fill>
    <fill>
      <patternFill patternType="solid">
        <fgColor rgb="FF38A8F3"/>
        <bgColor indexed="64"/>
      </patternFill>
    </fill>
    <fill>
      <patternFill patternType="solid">
        <fgColor rgb="FF3DAFFC"/>
        <bgColor indexed="64"/>
      </patternFill>
    </fill>
    <fill>
      <patternFill patternType="solid">
        <fgColor rgb="FF3EB0FA"/>
        <bgColor indexed="64"/>
      </patternFill>
    </fill>
    <fill>
      <patternFill patternType="solid">
        <fgColor rgb="FF38A9FC"/>
        <bgColor indexed="64"/>
      </patternFill>
    </fill>
    <fill>
      <patternFill patternType="solid">
        <fgColor rgb="FF31AAFA"/>
        <bgColor indexed="64"/>
      </patternFill>
    </fill>
    <fill>
      <patternFill patternType="solid">
        <fgColor rgb="FF32A9FC"/>
        <bgColor indexed="64"/>
      </patternFill>
    </fill>
    <fill>
      <patternFill patternType="solid">
        <fgColor rgb="FF34A8F8"/>
        <bgColor indexed="64"/>
      </patternFill>
    </fill>
    <fill>
      <patternFill patternType="solid">
        <fgColor rgb="FF36B0FF"/>
        <bgColor indexed="64"/>
      </patternFill>
    </fill>
    <fill>
      <patternFill patternType="solid">
        <fgColor rgb="FF3A8EC7"/>
        <bgColor indexed="64"/>
      </patternFill>
    </fill>
    <fill>
      <patternFill patternType="solid">
        <fgColor rgb="FF4A7D8E"/>
        <bgColor indexed="64"/>
      </patternFill>
    </fill>
    <fill>
      <patternFill patternType="solid">
        <fgColor rgb="FF33ADFF"/>
        <bgColor indexed="64"/>
      </patternFill>
    </fill>
    <fill>
      <patternFill patternType="solid">
        <fgColor rgb="FF30A3F8"/>
        <bgColor indexed="64"/>
      </patternFill>
    </fill>
    <fill>
      <patternFill patternType="solid">
        <fgColor rgb="FF2EA2F8"/>
        <bgColor indexed="64"/>
      </patternFill>
    </fill>
    <fill>
      <patternFill patternType="solid">
        <fgColor rgb="FF2DA0F8"/>
        <bgColor indexed="64"/>
      </patternFill>
    </fill>
    <fill>
      <patternFill patternType="solid">
        <fgColor rgb="FF2C9FF8"/>
        <bgColor indexed="64"/>
      </patternFill>
    </fill>
    <fill>
      <patternFill patternType="solid">
        <fgColor rgb="FF2AA0F7"/>
        <bgColor indexed="64"/>
      </patternFill>
    </fill>
    <fill>
      <patternFill patternType="solid">
        <fgColor rgb="FF2A9FF8"/>
        <bgColor indexed="64"/>
      </patternFill>
    </fill>
    <fill>
      <patternFill patternType="solid">
        <fgColor rgb="FF299EF8"/>
        <bgColor indexed="64"/>
      </patternFill>
    </fill>
    <fill>
      <patternFill patternType="solid">
        <fgColor rgb="FF289DF8"/>
        <bgColor indexed="64"/>
      </patternFill>
    </fill>
    <fill>
      <patternFill patternType="solid">
        <fgColor rgb="FF299DF8"/>
        <bgColor indexed="64"/>
      </patternFill>
    </fill>
    <fill>
      <patternFill patternType="solid">
        <fgColor rgb="FF2AA4FB"/>
        <bgColor indexed="64"/>
      </patternFill>
    </fill>
    <fill>
      <patternFill patternType="solid">
        <fgColor rgb="FF269FFA"/>
        <bgColor indexed="64"/>
      </patternFill>
    </fill>
    <fill>
      <patternFill patternType="solid">
        <fgColor rgb="FF239CFA"/>
        <bgColor indexed="64"/>
      </patternFill>
    </fill>
    <fill>
      <patternFill patternType="solid">
        <fgColor rgb="FF229AFA"/>
        <bgColor indexed="64"/>
      </patternFill>
    </fill>
    <fill>
      <patternFill patternType="solid">
        <fgColor rgb="FF2096FA"/>
        <bgColor indexed="64"/>
      </patternFill>
    </fill>
    <fill>
      <patternFill patternType="solid">
        <fgColor rgb="FF1D93FB"/>
        <bgColor indexed="64"/>
      </patternFill>
    </fill>
    <fill>
      <patternFill patternType="solid">
        <fgColor rgb="FFFDFCFD"/>
        <bgColor indexed="64"/>
      </patternFill>
    </fill>
    <fill>
      <patternFill patternType="solid">
        <fgColor rgb="FFC9B9BC"/>
        <bgColor indexed="64"/>
      </patternFill>
    </fill>
    <fill>
      <patternFill patternType="solid">
        <fgColor rgb="FFD44159"/>
        <bgColor indexed="64"/>
      </patternFill>
    </fill>
    <fill>
      <patternFill patternType="solid">
        <fgColor rgb="FFFE5672"/>
        <bgColor indexed="64"/>
      </patternFill>
    </fill>
    <fill>
      <patternFill patternType="solid">
        <fgColor rgb="FFE44C65"/>
        <bgColor indexed="64"/>
      </patternFill>
    </fill>
    <fill>
      <patternFill patternType="solid">
        <fgColor rgb="FFFC5C77"/>
        <bgColor indexed="64"/>
      </patternFill>
    </fill>
    <fill>
      <patternFill patternType="solid">
        <fgColor rgb="FFFA5976"/>
        <bgColor indexed="64"/>
      </patternFill>
    </fill>
    <fill>
      <patternFill patternType="solid">
        <fgColor rgb="FFFA5A76"/>
        <bgColor indexed="64"/>
      </patternFill>
    </fill>
    <fill>
      <patternFill patternType="solid">
        <fgColor rgb="FFFB5B79"/>
        <bgColor indexed="64"/>
      </patternFill>
    </fill>
    <fill>
      <patternFill patternType="solid">
        <fgColor rgb="FFFC5C79"/>
        <bgColor indexed="64"/>
      </patternFill>
    </fill>
    <fill>
      <patternFill patternType="solid">
        <fgColor rgb="FFFB5D7D"/>
        <bgColor indexed="64"/>
      </patternFill>
    </fill>
    <fill>
      <patternFill patternType="solid">
        <fgColor rgb="FFFB5E7E"/>
        <bgColor indexed="64"/>
      </patternFill>
    </fill>
    <fill>
      <patternFill patternType="solid">
        <fgColor rgb="FFFB5F80"/>
        <bgColor indexed="64"/>
      </patternFill>
    </fill>
    <fill>
      <patternFill patternType="solid">
        <fgColor rgb="FFFB607E"/>
        <bgColor indexed="64"/>
      </patternFill>
    </fill>
    <fill>
      <patternFill patternType="solid">
        <fgColor rgb="FFFC607D"/>
        <bgColor indexed="64"/>
      </patternFill>
    </fill>
    <fill>
      <patternFill patternType="solid">
        <fgColor rgb="FFF45D7A"/>
        <bgColor indexed="64"/>
      </patternFill>
    </fill>
    <fill>
      <patternFill patternType="solid">
        <fgColor rgb="FFDE5472"/>
        <bgColor indexed="64"/>
      </patternFill>
    </fill>
    <fill>
      <patternFill patternType="solid">
        <fgColor rgb="FFF25E7B"/>
        <bgColor indexed="64"/>
      </patternFill>
    </fill>
    <fill>
      <patternFill patternType="solid">
        <fgColor rgb="FFDB4E6A"/>
        <bgColor indexed="64"/>
      </patternFill>
    </fill>
    <fill>
      <patternFill patternType="solid">
        <fgColor rgb="FFC34761"/>
        <bgColor indexed="64"/>
      </patternFill>
    </fill>
    <fill>
      <patternFill patternType="solid">
        <fgColor rgb="FFB4425D"/>
        <bgColor indexed="64"/>
      </patternFill>
    </fill>
    <fill>
      <patternFill patternType="solid">
        <fgColor rgb="FF792E3F"/>
        <bgColor indexed="64"/>
      </patternFill>
    </fill>
    <fill>
      <patternFill patternType="solid">
        <fgColor rgb="FFA78392"/>
        <bgColor indexed="64"/>
      </patternFill>
    </fill>
    <fill>
      <patternFill patternType="solid">
        <fgColor rgb="FFD4ABC1"/>
        <bgColor indexed="64"/>
      </patternFill>
    </fill>
    <fill>
      <patternFill patternType="solid">
        <fgColor rgb="FFC991AE"/>
        <bgColor indexed="64"/>
      </patternFill>
    </fill>
    <fill>
      <patternFill patternType="solid">
        <fgColor rgb="FFBD93AA"/>
        <bgColor indexed="64"/>
      </patternFill>
    </fill>
    <fill>
      <patternFill patternType="solid">
        <fgColor rgb="FFC7BFCD"/>
        <bgColor indexed="64"/>
      </patternFill>
    </fill>
    <fill>
      <patternFill patternType="solid">
        <fgColor rgb="FFF2F2F5"/>
        <bgColor indexed="64"/>
      </patternFill>
    </fill>
    <fill>
      <patternFill patternType="solid">
        <fgColor rgb="FFFCFCFD"/>
        <bgColor indexed="64"/>
      </patternFill>
    </fill>
    <fill>
      <patternFill patternType="solid">
        <fgColor rgb="FF8D9EB4"/>
        <bgColor indexed="64"/>
      </patternFill>
    </fill>
    <fill>
      <patternFill patternType="solid">
        <fgColor rgb="FF3197DD"/>
        <bgColor indexed="64"/>
      </patternFill>
    </fill>
    <fill>
      <patternFill patternType="solid">
        <fgColor rgb="FF3EB0F9"/>
        <bgColor indexed="64"/>
      </patternFill>
    </fill>
    <fill>
      <patternFill patternType="solid">
        <fgColor rgb="FF37AAFC"/>
        <bgColor indexed="64"/>
      </patternFill>
    </fill>
    <fill>
      <patternFill patternType="solid">
        <fgColor rgb="FF298BDF"/>
        <bgColor indexed="64"/>
      </patternFill>
    </fill>
    <fill>
      <patternFill patternType="solid">
        <fgColor rgb="FF2F9EF0"/>
        <bgColor indexed="64"/>
      </patternFill>
    </fill>
    <fill>
      <patternFill patternType="solid">
        <fgColor rgb="FF37AEFC"/>
        <bgColor indexed="64"/>
      </patternFill>
    </fill>
    <fill>
      <patternFill patternType="solid">
        <fgColor rgb="FF34ABFC"/>
        <bgColor indexed="64"/>
      </patternFill>
    </fill>
    <fill>
      <patternFill patternType="solid">
        <fgColor rgb="FF2C9AF1"/>
        <bgColor indexed="64"/>
      </patternFill>
    </fill>
    <fill>
      <patternFill patternType="solid">
        <fgColor rgb="FF31A0EF"/>
        <bgColor indexed="64"/>
      </patternFill>
    </fill>
    <fill>
      <patternFill patternType="solid">
        <fgColor rgb="FF39A4F1"/>
        <bgColor indexed="64"/>
      </patternFill>
    </fill>
    <fill>
      <patternFill patternType="solid">
        <fgColor rgb="FF2296F8"/>
        <bgColor indexed="64"/>
      </patternFill>
    </fill>
    <fill>
      <patternFill patternType="solid">
        <fgColor rgb="FF7C9863"/>
        <bgColor indexed="64"/>
      </patternFill>
    </fill>
    <fill>
      <patternFill patternType="solid">
        <fgColor rgb="FF8BB486"/>
        <bgColor indexed="64"/>
      </patternFill>
    </fill>
    <fill>
      <patternFill patternType="solid">
        <fgColor rgb="FF2BA2FB"/>
        <bgColor indexed="64"/>
      </patternFill>
    </fill>
    <fill>
      <patternFill patternType="solid">
        <fgColor rgb="FF34A4F4"/>
        <bgColor indexed="64"/>
      </patternFill>
    </fill>
    <fill>
      <patternFill patternType="solid">
        <fgColor rgb="FF2EA2F7"/>
        <bgColor indexed="64"/>
      </patternFill>
    </fill>
    <fill>
      <patternFill patternType="solid">
        <fgColor rgb="FF2EA1F7"/>
        <bgColor indexed="64"/>
      </patternFill>
    </fill>
    <fill>
      <patternFill patternType="solid">
        <fgColor rgb="FF2CA2F8"/>
        <bgColor indexed="64"/>
      </patternFill>
    </fill>
    <fill>
      <patternFill patternType="solid">
        <fgColor rgb="FF2AA3FB"/>
        <bgColor indexed="64"/>
      </patternFill>
    </fill>
    <fill>
      <patternFill patternType="solid">
        <fgColor rgb="FF2AA0FB"/>
        <bgColor indexed="64"/>
      </patternFill>
    </fill>
    <fill>
      <patternFill patternType="solid">
        <fgColor rgb="FF28A0FA"/>
        <bgColor indexed="64"/>
      </patternFill>
    </fill>
    <fill>
      <patternFill patternType="solid">
        <fgColor rgb="FF269EFB"/>
        <bgColor indexed="64"/>
      </patternFill>
    </fill>
    <fill>
      <patternFill patternType="solid">
        <fgColor rgb="FF269EF8"/>
        <bgColor indexed="64"/>
      </patternFill>
    </fill>
    <fill>
      <patternFill patternType="solid">
        <fgColor rgb="FF27A1FA"/>
        <bgColor indexed="64"/>
      </patternFill>
    </fill>
    <fill>
      <patternFill patternType="solid">
        <fgColor rgb="FF269FFB"/>
        <bgColor indexed="64"/>
      </patternFill>
    </fill>
    <fill>
      <patternFill patternType="solid">
        <fgColor rgb="FF2399FB"/>
        <bgColor indexed="64"/>
      </patternFill>
    </fill>
    <fill>
      <patternFill patternType="solid">
        <fgColor rgb="FF2297FB"/>
        <bgColor indexed="64"/>
      </patternFill>
    </fill>
    <fill>
      <patternFill patternType="solid">
        <fgColor rgb="FF1F95FC"/>
        <bgColor indexed="64"/>
      </patternFill>
    </fill>
    <fill>
      <patternFill patternType="solid">
        <fgColor rgb="FFDFE0E2"/>
        <bgColor indexed="64"/>
      </patternFill>
    </fill>
    <fill>
      <patternFill patternType="solid">
        <fgColor rgb="FFDDE4E4"/>
        <bgColor indexed="64"/>
      </patternFill>
    </fill>
    <fill>
      <patternFill patternType="solid">
        <fgColor rgb="FFAB7C84"/>
        <bgColor indexed="64"/>
      </patternFill>
    </fill>
    <fill>
      <patternFill patternType="solid">
        <fgColor rgb="FFE4465E"/>
        <bgColor indexed="64"/>
      </patternFill>
    </fill>
    <fill>
      <patternFill patternType="solid">
        <fgColor rgb="FFFF5872"/>
        <bgColor indexed="64"/>
      </patternFill>
    </fill>
    <fill>
      <patternFill patternType="solid">
        <fgColor rgb="FFFC5A74"/>
        <bgColor indexed="64"/>
      </patternFill>
    </fill>
    <fill>
      <patternFill patternType="solid">
        <fgColor rgb="FFFB5D76"/>
        <bgColor indexed="64"/>
      </patternFill>
    </fill>
    <fill>
      <patternFill patternType="solid">
        <fgColor rgb="FFFB5A75"/>
        <bgColor indexed="64"/>
      </patternFill>
    </fill>
    <fill>
      <patternFill patternType="solid">
        <fgColor rgb="FFFB5C7B"/>
        <bgColor indexed="64"/>
      </patternFill>
    </fill>
    <fill>
      <patternFill patternType="solid">
        <fgColor rgb="FFFA5E7C"/>
        <bgColor indexed="64"/>
      </patternFill>
    </fill>
    <fill>
      <patternFill patternType="solid">
        <fgColor rgb="FFFB6080"/>
        <bgColor indexed="64"/>
      </patternFill>
    </fill>
    <fill>
      <patternFill patternType="solid">
        <fgColor rgb="FFFA5E7F"/>
        <bgColor indexed="64"/>
      </patternFill>
    </fill>
    <fill>
      <patternFill patternType="solid">
        <fgColor rgb="FFFC5F7F"/>
        <bgColor indexed="64"/>
      </patternFill>
    </fill>
    <fill>
      <patternFill patternType="solid">
        <fgColor rgb="FFFF6483"/>
        <bgColor indexed="64"/>
      </patternFill>
    </fill>
    <fill>
      <patternFill patternType="solid">
        <fgColor rgb="FFFF6381"/>
        <bgColor indexed="64"/>
      </patternFill>
    </fill>
    <fill>
      <patternFill patternType="solid">
        <fgColor rgb="FFFF6A8C"/>
        <bgColor indexed="64"/>
      </patternFill>
    </fill>
    <fill>
      <patternFill patternType="solid">
        <fgColor rgb="FFFF6C8E"/>
        <bgColor indexed="64"/>
      </patternFill>
    </fill>
    <fill>
      <patternFill patternType="solid">
        <fgColor rgb="FFFA668B"/>
        <bgColor indexed="64"/>
      </patternFill>
    </fill>
    <fill>
      <patternFill patternType="solid">
        <fgColor rgb="FFD76780"/>
        <bgColor indexed="64"/>
      </patternFill>
    </fill>
    <fill>
      <patternFill patternType="solid">
        <fgColor rgb="FFCA9A9F"/>
        <bgColor indexed="64"/>
      </patternFill>
    </fill>
    <fill>
      <patternFill patternType="solid">
        <fgColor rgb="FFE9EDE8"/>
        <bgColor indexed="64"/>
      </patternFill>
    </fill>
    <fill>
      <patternFill patternType="solid">
        <fgColor rgb="FFFCFDFD"/>
        <bgColor indexed="64"/>
      </patternFill>
    </fill>
    <fill>
      <patternFill patternType="solid">
        <fgColor rgb="FFA4B3C7"/>
        <bgColor indexed="64"/>
      </patternFill>
    </fill>
    <fill>
      <patternFill patternType="solid">
        <fgColor rgb="FF379AE0"/>
        <bgColor indexed="64"/>
      </patternFill>
    </fill>
    <fill>
      <patternFill patternType="solid">
        <fgColor rgb="FF3FB1FB"/>
        <bgColor indexed="64"/>
      </patternFill>
    </fill>
    <fill>
      <patternFill patternType="solid">
        <fgColor rgb="FF36AAFA"/>
        <bgColor indexed="64"/>
      </patternFill>
    </fill>
    <fill>
      <patternFill patternType="solid">
        <fgColor rgb="FF32A7FA"/>
        <bgColor indexed="64"/>
      </patternFill>
    </fill>
    <fill>
      <patternFill patternType="solid">
        <fgColor rgb="FF33AFFF"/>
        <bgColor indexed="64"/>
      </patternFill>
    </fill>
    <fill>
      <patternFill patternType="solid">
        <fgColor rgb="FF3190DC"/>
        <bgColor indexed="64"/>
      </patternFill>
    </fill>
    <fill>
      <patternFill patternType="solid">
        <fgColor rgb="FF3679A7"/>
        <bgColor indexed="64"/>
      </patternFill>
    </fill>
    <fill>
      <patternFill patternType="solid">
        <fgColor rgb="FF35A9F9"/>
        <bgColor indexed="64"/>
      </patternFill>
    </fill>
    <fill>
      <patternFill patternType="solid">
        <fgColor rgb="FF3B85C5"/>
        <bgColor indexed="64"/>
      </patternFill>
    </fill>
    <fill>
      <patternFill patternType="solid">
        <fgColor rgb="FF3593E2"/>
        <bgColor indexed="64"/>
      </patternFill>
    </fill>
    <fill>
      <patternFill patternType="solid">
        <fgColor rgb="FF258AEB"/>
        <bgColor indexed="64"/>
      </patternFill>
    </fill>
    <fill>
      <patternFill patternType="solid">
        <fgColor rgb="FF719E85"/>
        <bgColor indexed="64"/>
      </patternFill>
    </fill>
    <fill>
      <patternFill patternType="solid">
        <fgColor rgb="FFD5D230"/>
        <bgColor indexed="64"/>
      </patternFill>
    </fill>
    <fill>
      <patternFill patternType="solid">
        <fgColor rgb="FF3D87B0"/>
        <bgColor indexed="64"/>
      </patternFill>
    </fill>
    <fill>
      <patternFill patternType="solid">
        <fgColor rgb="FF208EFC"/>
        <bgColor indexed="64"/>
      </patternFill>
    </fill>
    <fill>
      <patternFill patternType="solid">
        <fgColor rgb="FF2B9BFE"/>
        <bgColor indexed="64"/>
      </patternFill>
    </fill>
    <fill>
      <patternFill patternType="solid">
        <fgColor rgb="FF2BA7FF"/>
        <bgColor indexed="64"/>
      </patternFill>
    </fill>
    <fill>
      <patternFill patternType="solid">
        <fgColor rgb="FF28A6FF"/>
        <bgColor indexed="64"/>
      </patternFill>
    </fill>
    <fill>
      <patternFill patternType="solid">
        <fgColor rgb="FF2AA6FF"/>
        <bgColor indexed="64"/>
      </patternFill>
    </fill>
    <fill>
      <patternFill patternType="solid">
        <fgColor rgb="FF2B9FF7"/>
        <bgColor indexed="64"/>
      </patternFill>
    </fill>
    <fill>
      <patternFill patternType="solid">
        <fgColor rgb="FF2C9FF5"/>
        <bgColor indexed="64"/>
      </patternFill>
    </fill>
    <fill>
      <patternFill patternType="solid">
        <fgColor rgb="FF2AA2F8"/>
        <bgColor indexed="64"/>
      </patternFill>
    </fill>
    <fill>
      <patternFill patternType="solid">
        <fgColor rgb="FF2AA0F8"/>
        <bgColor indexed="64"/>
      </patternFill>
    </fill>
    <fill>
      <patternFill patternType="solid">
        <fgColor rgb="FF2AA1FC"/>
        <bgColor indexed="64"/>
      </patternFill>
    </fill>
    <fill>
      <patternFill patternType="solid">
        <fgColor rgb="FF29A4FF"/>
        <bgColor indexed="64"/>
      </patternFill>
    </fill>
    <fill>
      <patternFill patternType="solid">
        <fgColor rgb="FF249FFB"/>
        <bgColor indexed="64"/>
      </patternFill>
    </fill>
    <fill>
      <patternFill patternType="solid">
        <fgColor rgb="FF249EFB"/>
        <bgColor indexed="64"/>
      </patternFill>
    </fill>
    <fill>
      <patternFill patternType="solid">
        <fgColor rgb="FF2298FA"/>
        <bgColor indexed="64"/>
      </patternFill>
    </fill>
    <fill>
      <patternFill patternType="solid">
        <fgColor rgb="FF1F94FB"/>
        <bgColor indexed="64"/>
      </patternFill>
    </fill>
    <fill>
      <patternFill patternType="solid">
        <fgColor rgb="FFFDFDFD"/>
        <bgColor indexed="64"/>
      </patternFill>
    </fill>
    <fill>
      <patternFill patternType="solid">
        <fgColor rgb="FF9D9DA1"/>
        <bgColor indexed="64"/>
      </patternFill>
    </fill>
    <fill>
      <patternFill patternType="solid">
        <fgColor rgb="FFADB0B4"/>
        <bgColor indexed="64"/>
      </patternFill>
    </fill>
    <fill>
      <patternFill patternType="solid">
        <fgColor rgb="FFB85D6B"/>
        <bgColor indexed="64"/>
      </patternFill>
    </fill>
    <fill>
      <patternFill patternType="solid">
        <fgColor rgb="FFF74F6C"/>
        <bgColor indexed="64"/>
      </patternFill>
    </fill>
    <fill>
      <patternFill patternType="solid">
        <fgColor rgb="FFFA5770"/>
        <bgColor indexed="64"/>
      </patternFill>
    </fill>
    <fill>
      <patternFill patternType="solid">
        <fgColor rgb="FFFA5973"/>
        <bgColor indexed="64"/>
      </patternFill>
    </fill>
    <fill>
      <patternFill patternType="solid">
        <fgColor rgb="FFFB5C74"/>
        <bgColor indexed="64"/>
      </patternFill>
    </fill>
    <fill>
      <patternFill patternType="solid">
        <fgColor rgb="FFFB5B77"/>
        <bgColor indexed="64"/>
      </patternFill>
    </fill>
    <fill>
      <patternFill patternType="solid">
        <fgColor rgb="FFFA5D7B"/>
        <bgColor indexed="64"/>
      </patternFill>
    </fill>
    <fill>
      <patternFill patternType="solid">
        <fgColor rgb="FFFA5E7E"/>
        <bgColor indexed="64"/>
      </patternFill>
    </fill>
    <fill>
      <patternFill patternType="solid">
        <fgColor rgb="FFEE5974"/>
        <bgColor indexed="64"/>
      </patternFill>
    </fill>
    <fill>
      <patternFill patternType="solid">
        <fgColor rgb="FFD04B5F"/>
        <bgColor indexed="64"/>
      </patternFill>
    </fill>
    <fill>
      <patternFill patternType="solid">
        <fgColor rgb="FFC7495C"/>
        <bgColor indexed="64"/>
      </patternFill>
    </fill>
    <fill>
      <patternFill patternType="solid">
        <fgColor rgb="FFD14E62"/>
        <bgColor indexed="64"/>
      </patternFill>
    </fill>
    <fill>
      <patternFill patternType="solid">
        <fgColor rgb="FFE95B74"/>
        <bgColor indexed="64"/>
      </patternFill>
    </fill>
    <fill>
      <patternFill patternType="solid">
        <fgColor rgb="FFFB617E"/>
        <bgColor indexed="64"/>
      </patternFill>
    </fill>
    <fill>
      <patternFill patternType="solid">
        <fgColor rgb="FFC93F5A"/>
        <bgColor indexed="64"/>
      </patternFill>
    </fill>
    <fill>
      <patternFill patternType="solid">
        <fgColor rgb="FFAD4B5A"/>
        <bgColor indexed="64"/>
      </patternFill>
    </fill>
    <fill>
      <patternFill patternType="solid">
        <fgColor rgb="FFE0D3CF"/>
        <bgColor indexed="64"/>
      </patternFill>
    </fill>
    <fill>
      <patternFill patternType="solid">
        <fgColor rgb="FF93A9C2"/>
        <bgColor indexed="64"/>
      </patternFill>
    </fill>
    <fill>
      <patternFill patternType="solid">
        <fgColor rgb="FF3BA2EA"/>
        <bgColor indexed="64"/>
      </patternFill>
    </fill>
    <fill>
      <patternFill patternType="solid">
        <fgColor rgb="FF40B2FE"/>
        <bgColor indexed="64"/>
      </patternFill>
    </fill>
    <fill>
      <patternFill patternType="solid">
        <fgColor rgb="FF40AFFB"/>
        <bgColor indexed="64"/>
      </patternFill>
    </fill>
    <fill>
      <patternFill patternType="solid">
        <fgColor rgb="FF3FAFFB"/>
        <bgColor indexed="64"/>
      </patternFill>
    </fill>
    <fill>
      <patternFill patternType="solid">
        <fgColor rgb="FF37ADFD"/>
        <bgColor indexed="64"/>
      </patternFill>
    </fill>
    <fill>
      <patternFill patternType="solid">
        <fgColor rgb="FF34AEFD"/>
        <bgColor indexed="64"/>
      </patternFill>
    </fill>
    <fill>
      <patternFill patternType="solid">
        <fgColor rgb="FF3596D7"/>
        <bgColor indexed="64"/>
      </patternFill>
    </fill>
    <fill>
      <patternFill patternType="solid">
        <fgColor rgb="FF929A47"/>
        <bgColor indexed="64"/>
      </patternFill>
    </fill>
    <fill>
      <patternFill patternType="solid">
        <fgColor rgb="FF4396BD"/>
        <bgColor indexed="64"/>
      </patternFill>
    </fill>
    <fill>
      <patternFill patternType="solid">
        <fgColor rgb="FF2593F7"/>
        <bgColor indexed="64"/>
      </patternFill>
    </fill>
    <fill>
      <patternFill patternType="solid">
        <fgColor rgb="FF4C8BA1"/>
        <bgColor indexed="64"/>
      </patternFill>
    </fill>
    <fill>
      <patternFill patternType="solid">
        <fgColor rgb="FF5F7761"/>
        <bgColor indexed="64"/>
      </patternFill>
    </fill>
    <fill>
      <patternFill patternType="solid">
        <fgColor rgb="FF306490"/>
        <bgColor indexed="64"/>
      </patternFill>
    </fill>
    <fill>
      <patternFill patternType="solid">
        <fgColor rgb="FF9CB365"/>
        <bgColor indexed="64"/>
      </patternFill>
    </fill>
    <fill>
      <patternFill patternType="solid">
        <fgColor rgb="FFE6E12D"/>
        <bgColor indexed="64"/>
      </patternFill>
    </fill>
    <fill>
      <patternFill patternType="solid">
        <fgColor rgb="FF566027"/>
        <bgColor indexed="64"/>
      </patternFill>
    </fill>
    <fill>
      <patternFill patternType="solid">
        <fgColor rgb="FF486153"/>
        <bgColor indexed="64"/>
      </patternFill>
    </fill>
    <fill>
      <patternFill patternType="solid">
        <fgColor rgb="FF8EAA69"/>
        <bgColor indexed="64"/>
      </patternFill>
    </fill>
    <fill>
      <patternFill patternType="solid">
        <fgColor rgb="FF8FAB69"/>
        <bgColor indexed="64"/>
      </patternFill>
    </fill>
    <fill>
      <patternFill patternType="solid">
        <fgColor rgb="FF6C8A66"/>
        <bgColor indexed="64"/>
      </patternFill>
    </fill>
    <fill>
      <patternFill patternType="solid">
        <fgColor rgb="FF416C71"/>
        <bgColor indexed="64"/>
      </patternFill>
    </fill>
    <fill>
      <patternFill patternType="solid">
        <fgColor rgb="FF467D8F"/>
        <bgColor indexed="64"/>
      </patternFill>
    </fill>
    <fill>
      <patternFill patternType="solid">
        <fgColor rgb="FF306D9D"/>
        <bgColor indexed="64"/>
      </patternFill>
    </fill>
    <fill>
      <patternFill patternType="solid">
        <fgColor rgb="FF1B7BDD"/>
        <bgColor indexed="64"/>
      </patternFill>
    </fill>
    <fill>
      <patternFill patternType="solid">
        <fgColor rgb="FF1B94FE"/>
        <bgColor indexed="64"/>
      </patternFill>
    </fill>
    <fill>
      <patternFill patternType="solid">
        <fgColor rgb="FF21A1FF"/>
        <bgColor indexed="64"/>
      </patternFill>
    </fill>
    <fill>
      <patternFill patternType="solid">
        <fgColor rgb="FF209DFF"/>
        <bgColor indexed="64"/>
      </patternFill>
    </fill>
    <fill>
      <patternFill patternType="solid">
        <fgColor rgb="FF2097FB"/>
        <bgColor indexed="64"/>
      </patternFill>
    </fill>
    <fill>
      <patternFill patternType="solid">
        <fgColor rgb="FF217DD0"/>
        <bgColor indexed="64"/>
      </patternFill>
    </fill>
    <fill>
      <patternFill patternType="solid">
        <fgColor rgb="FF2088E3"/>
        <bgColor indexed="64"/>
      </patternFill>
    </fill>
    <fill>
      <patternFill patternType="solid">
        <fgColor rgb="FF26A2FE"/>
        <bgColor indexed="64"/>
      </patternFill>
    </fill>
    <fill>
      <patternFill patternType="solid">
        <fgColor rgb="FF239AFA"/>
        <bgColor indexed="64"/>
      </patternFill>
    </fill>
    <fill>
      <patternFill patternType="solid">
        <fgColor rgb="FF2299FA"/>
        <bgColor indexed="64"/>
      </patternFill>
    </fill>
    <fill>
      <patternFill patternType="solid">
        <fgColor rgb="FF1F96FA"/>
        <bgColor indexed="64"/>
      </patternFill>
    </fill>
    <fill>
      <patternFill patternType="solid">
        <fgColor rgb="FFF2F6F4"/>
        <bgColor indexed="64"/>
      </patternFill>
    </fill>
    <fill>
      <patternFill patternType="solid">
        <fgColor rgb="FF7B4C55"/>
        <bgColor indexed="64"/>
      </patternFill>
    </fill>
    <fill>
      <patternFill patternType="solid">
        <fgColor rgb="FF977D84"/>
        <bgColor indexed="64"/>
      </patternFill>
    </fill>
    <fill>
      <patternFill patternType="solid">
        <fgColor rgb="FFB84B5D"/>
        <bgColor indexed="64"/>
      </patternFill>
    </fill>
    <fill>
      <patternFill patternType="solid">
        <fgColor rgb="FFFF5672"/>
        <bgColor indexed="64"/>
      </patternFill>
    </fill>
    <fill>
      <patternFill patternType="solid">
        <fgColor rgb="FFF95771"/>
        <bgColor indexed="64"/>
      </patternFill>
    </fill>
    <fill>
      <patternFill patternType="solid">
        <fgColor rgb="FFFB5B75"/>
        <bgColor indexed="64"/>
      </patternFill>
    </fill>
    <fill>
      <patternFill patternType="solid">
        <fgColor rgb="FFFB5B73"/>
        <bgColor indexed="64"/>
      </patternFill>
    </fill>
    <fill>
      <patternFill patternType="solid">
        <fgColor rgb="FFFB5B74"/>
        <bgColor indexed="64"/>
      </patternFill>
    </fill>
    <fill>
      <patternFill patternType="solid">
        <fgColor rgb="FFFB5C77"/>
        <bgColor indexed="64"/>
      </patternFill>
    </fill>
    <fill>
      <patternFill patternType="solid">
        <fgColor rgb="FFFA5B77"/>
        <bgColor indexed="64"/>
      </patternFill>
    </fill>
    <fill>
      <patternFill patternType="solid">
        <fgColor rgb="FFFA5C7D"/>
        <bgColor indexed="64"/>
      </patternFill>
    </fill>
    <fill>
      <patternFill patternType="solid">
        <fgColor rgb="FFFB5E80"/>
        <bgColor indexed="64"/>
      </patternFill>
    </fill>
    <fill>
      <patternFill patternType="solid">
        <fgColor rgb="FFFC5F80"/>
        <bgColor indexed="64"/>
      </patternFill>
    </fill>
    <fill>
      <patternFill patternType="solid">
        <fgColor rgb="FFFA5F7D"/>
        <bgColor indexed="64"/>
      </patternFill>
    </fill>
    <fill>
      <patternFill patternType="solid">
        <fgColor rgb="FFFC6080"/>
        <bgColor indexed="64"/>
      </patternFill>
    </fill>
    <fill>
      <patternFill patternType="solid">
        <fgColor rgb="FFF25B7D"/>
        <bgColor indexed="64"/>
      </patternFill>
    </fill>
    <fill>
      <patternFill patternType="solid">
        <fgColor rgb="FFE05373"/>
        <bgColor indexed="64"/>
      </patternFill>
    </fill>
    <fill>
      <patternFill patternType="solid">
        <fgColor rgb="FFDC5274"/>
        <bgColor indexed="64"/>
      </patternFill>
    </fill>
    <fill>
      <patternFill patternType="solid">
        <fgColor rgb="FFDD5270"/>
        <bgColor indexed="64"/>
      </patternFill>
    </fill>
    <fill>
      <patternFill patternType="solid">
        <fgColor rgb="FFD14C69"/>
        <bgColor indexed="64"/>
      </patternFill>
    </fill>
    <fill>
      <patternFill patternType="solid">
        <fgColor rgb="FFD14C67"/>
        <bgColor indexed="64"/>
      </patternFill>
    </fill>
    <fill>
      <patternFill patternType="solid">
        <fgColor rgb="FFC74D63"/>
        <bgColor indexed="64"/>
      </patternFill>
    </fill>
    <fill>
      <patternFill patternType="solid">
        <fgColor rgb="FFD24A66"/>
        <bgColor indexed="64"/>
      </patternFill>
    </fill>
    <fill>
      <patternFill patternType="solid">
        <fgColor rgb="FFBE6875"/>
        <bgColor indexed="64"/>
      </patternFill>
    </fill>
    <fill>
      <patternFill patternType="solid">
        <fgColor rgb="FFF5F1EF"/>
        <bgColor indexed="64"/>
      </patternFill>
    </fill>
    <fill>
      <patternFill patternType="solid">
        <fgColor rgb="FFFFFFFE"/>
        <bgColor indexed="64"/>
      </patternFill>
    </fill>
    <fill>
      <patternFill patternType="solid">
        <fgColor rgb="FF7BA5CA"/>
        <bgColor indexed="64"/>
      </patternFill>
    </fill>
    <fill>
      <patternFill patternType="solid">
        <fgColor rgb="FF3BABF7"/>
        <bgColor indexed="64"/>
      </patternFill>
    </fill>
    <fill>
      <patternFill patternType="solid">
        <fgColor rgb="FF3FB1FC"/>
        <bgColor indexed="64"/>
      </patternFill>
    </fill>
    <fill>
      <patternFill patternType="solid">
        <fgColor rgb="FF35AAFB"/>
        <bgColor indexed="64"/>
      </patternFill>
    </fill>
    <fill>
      <patternFill patternType="solid">
        <fgColor rgb="FF35A7F5"/>
        <bgColor indexed="64"/>
      </patternFill>
    </fill>
    <fill>
      <patternFill patternType="solid">
        <fgColor rgb="FF37B5FF"/>
        <bgColor indexed="64"/>
      </patternFill>
    </fill>
    <fill>
      <patternFill patternType="solid">
        <fgColor rgb="FF2D85C8"/>
        <bgColor indexed="64"/>
      </patternFill>
    </fill>
    <fill>
      <patternFill patternType="solid">
        <fgColor rgb="FFCBC72E"/>
        <bgColor indexed="64"/>
      </patternFill>
    </fill>
    <fill>
      <patternFill patternType="solid">
        <fgColor rgb="FF778D52"/>
        <bgColor indexed="64"/>
      </patternFill>
    </fill>
    <fill>
      <patternFill patternType="solid">
        <fgColor rgb="FF355969"/>
        <bgColor indexed="64"/>
      </patternFill>
    </fill>
    <fill>
      <patternFill patternType="solid">
        <fgColor rgb="FF99962D"/>
        <bgColor indexed="64"/>
      </patternFill>
    </fill>
    <fill>
      <patternFill patternType="solid">
        <fgColor rgb="FF514C1B"/>
        <bgColor indexed="64"/>
      </patternFill>
    </fill>
    <fill>
      <patternFill patternType="solid">
        <fgColor rgb="FFD1C72F"/>
        <bgColor indexed="64"/>
      </patternFill>
    </fill>
    <fill>
      <patternFill patternType="solid">
        <fgColor rgb="FFFFFF34"/>
        <bgColor indexed="64"/>
      </patternFill>
    </fill>
    <fill>
      <patternFill patternType="solid">
        <fgColor rgb="FFABA630"/>
        <bgColor indexed="64"/>
      </patternFill>
    </fill>
    <fill>
      <patternFill patternType="solid">
        <fgColor rgb="FF908825"/>
        <bgColor indexed="64"/>
      </patternFill>
    </fill>
    <fill>
      <patternFill patternType="solid">
        <fgColor rgb="FFFEF734"/>
        <bgColor indexed="64"/>
      </patternFill>
    </fill>
    <fill>
      <patternFill patternType="solid">
        <fgColor rgb="FFFFFF30"/>
        <bgColor indexed="64"/>
      </patternFill>
    </fill>
    <fill>
      <patternFill patternType="solid">
        <fgColor rgb="FFF2E82A"/>
        <bgColor indexed="64"/>
      </patternFill>
    </fill>
    <fill>
      <patternFill patternType="solid">
        <fgColor rgb="FFC2B721"/>
        <bgColor indexed="64"/>
      </patternFill>
    </fill>
    <fill>
      <patternFill patternType="solid">
        <fgColor rgb="FFD8CD24"/>
        <bgColor indexed="64"/>
      </patternFill>
    </fill>
    <fill>
      <patternFill patternType="solid">
        <fgColor rgb="FFD2C31E"/>
        <bgColor indexed="64"/>
      </patternFill>
    </fill>
    <fill>
      <patternFill patternType="solid">
        <fgColor rgb="FFBEAE23"/>
        <bgColor indexed="64"/>
      </patternFill>
    </fill>
    <fill>
      <patternFill patternType="solid">
        <fgColor rgb="FFB2B448"/>
        <bgColor indexed="64"/>
      </patternFill>
    </fill>
    <fill>
      <patternFill patternType="solid">
        <fgColor rgb="FF8CA368"/>
        <bgColor indexed="64"/>
      </patternFill>
    </fill>
    <fill>
      <patternFill patternType="solid">
        <fgColor rgb="FF4F736F"/>
        <bgColor indexed="64"/>
      </patternFill>
    </fill>
    <fill>
      <patternFill patternType="solid">
        <fgColor rgb="FF496F67"/>
        <bgColor indexed="64"/>
      </patternFill>
    </fill>
    <fill>
      <patternFill patternType="solid">
        <fgColor rgb="FF6D8158"/>
        <bgColor indexed="64"/>
      </patternFill>
    </fill>
    <fill>
      <patternFill patternType="solid">
        <fgColor rgb="FF2B5D80"/>
        <bgColor indexed="64"/>
      </patternFill>
    </fill>
    <fill>
      <patternFill patternType="solid">
        <fgColor rgb="FF2298F5"/>
        <bgColor indexed="64"/>
      </patternFill>
    </fill>
    <fill>
      <patternFill patternType="solid">
        <fgColor rgb="FF27A0FC"/>
        <bgColor indexed="64"/>
      </patternFill>
    </fill>
    <fill>
      <patternFill patternType="solid">
        <fgColor rgb="FF259BFA"/>
        <bgColor indexed="64"/>
      </patternFill>
    </fill>
    <fill>
      <patternFill patternType="solid">
        <fgColor rgb="FF2197FB"/>
        <bgColor indexed="64"/>
      </patternFill>
    </fill>
    <fill>
      <patternFill patternType="solid">
        <fgColor rgb="FFD8E0DE"/>
        <bgColor indexed="64"/>
      </patternFill>
    </fill>
    <fill>
      <patternFill patternType="solid">
        <fgColor rgb="FFA64A58"/>
        <bgColor indexed="64"/>
      </patternFill>
    </fill>
    <fill>
      <patternFill patternType="solid">
        <fgColor rgb="FF823941"/>
        <bgColor indexed="64"/>
      </patternFill>
    </fill>
    <fill>
      <patternFill patternType="solid">
        <fgColor rgb="FFAA3E4E"/>
        <bgColor indexed="64"/>
      </patternFill>
    </fill>
    <fill>
      <patternFill patternType="solid">
        <fgColor rgb="FFFE5772"/>
        <bgColor indexed="64"/>
      </patternFill>
    </fill>
    <fill>
      <patternFill patternType="solid">
        <fgColor rgb="FFFA5872"/>
        <bgColor indexed="64"/>
      </patternFill>
    </fill>
    <fill>
      <patternFill patternType="solid">
        <fgColor rgb="FFFB5A73"/>
        <bgColor indexed="64"/>
      </patternFill>
    </fill>
    <fill>
      <patternFill patternType="solid">
        <fgColor rgb="FFFC5D78"/>
        <bgColor indexed="64"/>
      </patternFill>
    </fill>
    <fill>
      <patternFill patternType="solid">
        <fgColor rgb="FFFB5C7C"/>
        <bgColor indexed="64"/>
      </patternFill>
    </fill>
    <fill>
      <patternFill patternType="solid">
        <fgColor rgb="FFFA5E81"/>
        <bgColor indexed="64"/>
      </patternFill>
    </fill>
    <fill>
      <patternFill patternType="solid">
        <fgColor rgb="FFFB5F81"/>
        <bgColor indexed="64"/>
      </patternFill>
    </fill>
    <fill>
      <patternFill patternType="solid">
        <fgColor rgb="FFFB5D7E"/>
        <bgColor indexed="64"/>
      </patternFill>
    </fill>
    <fill>
      <patternFill patternType="solid">
        <fgColor rgb="FFFE6183"/>
        <bgColor indexed="64"/>
      </patternFill>
    </fill>
    <fill>
      <patternFill patternType="solid">
        <fgColor rgb="FFFF6487"/>
        <bgColor indexed="64"/>
      </patternFill>
    </fill>
    <fill>
      <patternFill patternType="solid">
        <fgColor rgb="FFFF6283"/>
        <bgColor indexed="64"/>
      </patternFill>
    </fill>
    <fill>
      <patternFill patternType="solid">
        <fgColor rgb="FFFA5B7A"/>
        <bgColor indexed="64"/>
      </patternFill>
    </fill>
    <fill>
      <patternFill patternType="solid">
        <fgColor rgb="FFFF6281"/>
        <bgColor indexed="64"/>
      </patternFill>
    </fill>
    <fill>
      <patternFill patternType="solid">
        <fgColor rgb="FFE4566E"/>
        <bgColor indexed="64"/>
      </patternFill>
    </fill>
    <fill>
      <patternFill patternType="solid">
        <fgColor rgb="FFCC4D67"/>
        <bgColor indexed="64"/>
      </patternFill>
    </fill>
    <fill>
      <patternFill patternType="solid">
        <fgColor rgb="FFC3425B"/>
        <bgColor indexed="64"/>
      </patternFill>
    </fill>
    <fill>
      <patternFill patternType="solid">
        <fgColor rgb="FFD64963"/>
        <bgColor indexed="64"/>
      </patternFill>
    </fill>
    <fill>
      <patternFill patternType="solid">
        <fgColor rgb="FFD5AEB6"/>
        <bgColor indexed="64"/>
      </patternFill>
    </fill>
    <fill>
      <patternFill patternType="solid">
        <fgColor rgb="FFF8FAFB"/>
        <bgColor indexed="64"/>
      </patternFill>
    </fill>
    <fill>
      <patternFill patternType="solid">
        <fgColor rgb="FFE1E2E5"/>
        <bgColor indexed="64"/>
      </patternFill>
    </fill>
    <fill>
      <patternFill patternType="solid">
        <fgColor rgb="FF4B98D5"/>
        <bgColor indexed="64"/>
      </patternFill>
    </fill>
    <fill>
      <patternFill patternType="solid">
        <fgColor rgb="FF37AFFE"/>
        <bgColor indexed="64"/>
      </patternFill>
    </fill>
    <fill>
      <patternFill patternType="solid">
        <fgColor rgb="FF2A8ADD"/>
        <bgColor indexed="64"/>
      </patternFill>
    </fill>
    <fill>
      <patternFill patternType="solid">
        <fgColor rgb="FF447082"/>
        <bgColor indexed="64"/>
      </patternFill>
    </fill>
    <fill>
      <patternFill patternType="solid">
        <fgColor rgb="FF40A4DC"/>
        <bgColor indexed="64"/>
      </patternFill>
    </fill>
    <fill>
      <patternFill patternType="solid">
        <fgColor rgb="FF317FB6"/>
        <bgColor indexed="64"/>
      </patternFill>
    </fill>
    <fill>
      <patternFill patternType="solid">
        <fgColor rgb="FFE2DC32"/>
        <bgColor indexed="64"/>
      </patternFill>
    </fill>
    <fill>
      <patternFill patternType="solid">
        <fgColor rgb="FFB6B228"/>
        <bgColor indexed="64"/>
      </patternFill>
    </fill>
    <fill>
      <patternFill patternType="solid">
        <fgColor rgb="FFA6A123"/>
        <bgColor indexed="64"/>
      </patternFill>
    </fill>
    <fill>
      <patternFill patternType="solid">
        <fgColor rgb="FFB0AB30"/>
        <bgColor indexed="64"/>
      </patternFill>
    </fill>
    <fill>
      <patternFill patternType="solid">
        <fgColor rgb="FFD8D134"/>
        <bgColor indexed="64"/>
      </patternFill>
    </fill>
    <fill>
      <patternFill patternType="solid">
        <fgColor rgb="FFFFFF3D"/>
        <bgColor indexed="64"/>
      </patternFill>
    </fill>
    <fill>
      <patternFill patternType="solid">
        <fgColor rgb="FFFAFA3A"/>
        <bgColor indexed="64"/>
      </patternFill>
    </fill>
    <fill>
      <patternFill patternType="solid">
        <fgColor rgb="FFFFFB39"/>
        <bgColor indexed="64"/>
      </patternFill>
    </fill>
    <fill>
      <patternFill patternType="solid">
        <fgColor rgb="FFFFFF3C"/>
        <bgColor indexed="64"/>
      </patternFill>
    </fill>
    <fill>
      <patternFill patternType="solid">
        <fgColor rgb="FFFEFE3A"/>
        <bgColor indexed="64"/>
      </patternFill>
    </fill>
    <fill>
      <patternFill patternType="solid">
        <fgColor rgb="FFFBFA39"/>
        <bgColor indexed="64"/>
      </patternFill>
    </fill>
    <fill>
      <patternFill patternType="solid">
        <fgColor rgb="FFFCFC3B"/>
        <bgColor indexed="64"/>
      </patternFill>
    </fill>
    <fill>
      <patternFill patternType="solid">
        <fgColor rgb="FFFCFB3B"/>
        <bgColor indexed="64"/>
      </patternFill>
    </fill>
    <fill>
      <patternFill patternType="solid">
        <fgColor rgb="FFD8DA32"/>
        <bgColor indexed="64"/>
      </patternFill>
    </fill>
    <fill>
      <patternFill patternType="solid">
        <fgColor rgb="FFDADE39"/>
        <bgColor indexed="64"/>
      </patternFill>
    </fill>
    <fill>
      <patternFill patternType="solid">
        <fgColor rgb="FFE4E738"/>
        <bgColor indexed="64"/>
      </patternFill>
    </fill>
    <fill>
      <patternFill patternType="solid">
        <fgColor rgb="FFE6E72F"/>
        <bgColor indexed="64"/>
      </patternFill>
    </fill>
    <fill>
      <patternFill patternType="solid">
        <fgColor rgb="FFD0D02E"/>
        <bgColor indexed="64"/>
      </patternFill>
    </fill>
    <fill>
      <patternFill patternType="solid">
        <fgColor rgb="FF8D8E38"/>
        <bgColor indexed="64"/>
      </patternFill>
    </fill>
    <fill>
      <patternFill patternType="solid">
        <fgColor rgb="FF607A62"/>
        <bgColor indexed="64"/>
      </patternFill>
    </fill>
    <fill>
      <patternFill patternType="solid">
        <fgColor rgb="FF3D82A3"/>
        <bgColor indexed="64"/>
      </patternFill>
    </fill>
    <fill>
      <patternFill patternType="solid">
        <fgColor rgb="FF2896F1"/>
        <bgColor indexed="64"/>
      </patternFill>
    </fill>
    <fill>
      <patternFill patternType="solid">
        <fgColor rgb="FF29A1FE"/>
        <bgColor indexed="64"/>
      </patternFill>
    </fill>
    <fill>
      <patternFill patternType="solid">
        <fgColor rgb="FF269DFA"/>
        <bgColor indexed="64"/>
      </patternFill>
    </fill>
    <fill>
      <patternFill patternType="solid">
        <fgColor rgb="FF279DFB"/>
        <bgColor indexed="64"/>
      </patternFill>
    </fill>
    <fill>
      <patternFill patternType="solid">
        <fgColor rgb="FFFDFDFC"/>
        <bgColor indexed="64"/>
      </patternFill>
    </fill>
    <fill>
      <patternFill patternType="solid">
        <fgColor rgb="FFABA5A7"/>
        <bgColor indexed="64"/>
      </patternFill>
    </fill>
    <fill>
      <patternFill patternType="solid">
        <fgColor rgb="FFB93C51"/>
        <bgColor indexed="64"/>
      </patternFill>
    </fill>
    <fill>
      <patternFill patternType="solid">
        <fgColor rgb="FFCD455A"/>
        <bgColor indexed="64"/>
      </patternFill>
    </fill>
    <fill>
      <patternFill patternType="solid">
        <fgColor rgb="FFAA3545"/>
        <bgColor indexed="64"/>
      </patternFill>
    </fill>
    <fill>
      <patternFill patternType="solid">
        <fgColor rgb="FFFF5A78"/>
        <bgColor indexed="64"/>
      </patternFill>
    </fill>
    <fill>
      <patternFill patternType="solid">
        <fgColor rgb="FFF95875"/>
        <bgColor indexed="64"/>
      </patternFill>
    </fill>
    <fill>
      <patternFill patternType="solid">
        <fgColor rgb="FFFB5C7D"/>
        <bgColor indexed="64"/>
      </patternFill>
    </fill>
    <fill>
      <patternFill patternType="solid">
        <fgColor rgb="FFFB6083"/>
        <bgColor indexed="64"/>
      </patternFill>
    </fill>
    <fill>
      <patternFill patternType="solid">
        <fgColor rgb="FFFC6082"/>
        <bgColor indexed="64"/>
      </patternFill>
    </fill>
    <fill>
      <patternFill patternType="solid">
        <fgColor rgb="FFFC5E7E"/>
        <bgColor indexed="64"/>
      </patternFill>
    </fill>
    <fill>
      <patternFill patternType="solid">
        <fgColor rgb="FFFB6180"/>
        <bgColor indexed="64"/>
      </patternFill>
    </fill>
    <fill>
      <patternFill patternType="solid">
        <fgColor rgb="FFFB6481"/>
        <bgColor indexed="64"/>
      </patternFill>
    </fill>
    <fill>
      <patternFill patternType="solid">
        <fgColor rgb="FFF75E7D"/>
        <bgColor indexed="64"/>
      </patternFill>
    </fill>
    <fill>
      <patternFill patternType="solid">
        <fgColor rgb="FFF35B78"/>
        <bgColor indexed="64"/>
      </patternFill>
    </fill>
    <fill>
      <patternFill patternType="solid">
        <fgColor rgb="FFF75E7A"/>
        <bgColor indexed="64"/>
      </patternFill>
    </fill>
    <fill>
      <patternFill patternType="solid">
        <fgColor rgb="FFB73E54"/>
        <bgColor indexed="64"/>
      </patternFill>
    </fill>
    <fill>
      <patternFill patternType="solid">
        <fgColor rgb="FFA75E71"/>
        <bgColor indexed="64"/>
      </patternFill>
    </fill>
    <fill>
      <patternFill patternType="solid">
        <fgColor rgb="FFC4A6BA"/>
        <bgColor indexed="64"/>
      </patternFill>
    </fill>
    <fill>
      <patternFill patternType="solid">
        <fgColor rgb="FFB36882"/>
        <bgColor indexed="64"/>
      </patternFill>
    </fill>
    <fill>
      <patternFill patternType="solid">
        <fgColor rgb="FFB98E96"/>
        <bgColor indexed="64"/>
      </patternFill>
    </fill>
    <fill>
      <patternFill patternType="solid">
        <fgColor rgb="FF799DC1"/>
        <bgColor indexed="64"/>
      </patternFill>
    </fill>
    <fill>
      <patternFill patternType="solid">
        <fgColor rgb="FF3AA5F1"/>
        <bgColor indexed="64"/>
      </patternFill>
    </fill>
    <fill>
      <patternFill patternType="solid">
        <fgColor rgb="FF43B3FC"/>
        <bgColor indexed="64"/>
      </patternFill>
    </fill>
    <fill>
      <patternFill patternType="solid">
        <fgColor rgb="FF2EA6FF"/>
        <bgColor indexed="64"/>
      </patternFill>
    </fill>
    <fill>
      <patternFill patternType="solid">
        <fgColor rgb="FF5E8D8A"/>
        <bgColor indexed="64"/>
      </patternFill>
    </fill>
    <fill>
      <patternFill patternType="solid">
        <fgColor rgb="FF6D8157"/>
        <bgColor indexed="64"/>
      </patternFill>
    </fill>
    <fill>
      <patternFill patternType="solid">
        <fgColor rgb="FF4F6F5F"/>
        <bgColor indexed="64"/>
      </patternFill>
    </fill>
    <fill>
      <patternFill patternType="solid">
        <fgColor rgb="FFFCF734"/>
        <bgColor indexed="64"/>
      </patternFill>
    </fill>
    <fill>
      <patternFill patternType="solid">
        <fgColor rgb="FFEEED37"/>
        <bgColor indexed="64"/>
      </patternFill>
    </fill>
    <fill>
      <patternFill patternType="solid">
        <fgColor rgb="FFE6E53A"/>
        <bgColor indexed="64"/>
      </patternFill>
    </fill>
    <fill>
      <patternFill patternType="solid">
        <fgColor rgb="FFA9A82D"/>
        <bgColor indexed="64"/>
      </patternFill>
    </fill>
    <fill>
      <patternFill patternType="solid">
        <fgColor rgb="FFFFFF3B"/>
        <bgColor indexed="64"/>
      </patternFill>
    </fill>
    <fill>
      <patternFill patternType="solid">
        <fgColor rgb="FFFCFB37"/>
        <bgColor indexed="64"/>
      </patternFill>
    </fill>
    <fill>
      <patternFill patternType="solid">
        <fgColor rgb="FFFFFD37"/>
        <bgColor indexed="64"/>
      </patternFill>
    </fill>
    <fill>
      <patternFill patternType="solid">
        <fgColor rgb="FFFEFD37"/>
        <bgColor indexed="64"/>
      </patternFill>
    </fill>
    <fill>
      <patternFill patternType="solid">
        <fgColor rgb="FFFCFB36"/>
        <bgColor indexed="64"/>
      </patternFill>
    </fill>
    <fill>
      <patternFill patternType="solid">
        <fgColor rgb="FFFEFC37"/>
        <bgColor indexed="64"/>
      </patternFill>
    </fill>
    <fill>
      <patternFill patternType="solid">
        <fgColor rgb="FFFEFC38"/>
        <bgColor indexed="64"/>
      </patternFill>
    </fill>
    <fill>
      <patternFill patternType="solid">
        <fgColor rgb="FFFCFA38"/>
        <bgColor indexed="64"/>
      </patternFill>
    </fill>
    <fill>
      <patternFill patternType="solid">
        <fgColor rgb="FFFCFC39"/>
        <bgColor indexed="64"/>
      </patternFill>
    </fill>
    <fill>
      <patternFill patternType="solid">
        <fgColor rgb="FFD3CF30"/>
        <bgColor indexed="64"/>
      </patternFill>
    </fill>
    <fill>
      <patternFill patternType="solid">
        <fgColor rgb="FFA39E27"/>
        <bgColor indexed="64"/>
      </patternFill>
    </fill>
    <fill>
      <patternFill patternType="solid">
        <fgColor rgb="FFB7B02C"/>
        <bgColor indexed="64"/>
      </patternFill>
    </fill>
    <fill>
      <patternFill patternType="solid">
        <fgColor rgb="FF9D9624"/>
        <bgColor indexed="64"/>
      </patternFill>
    </fill>
    <fill>
      <patternFill patternType="solid">
        <fgColor rgb="FF515A34"/>
        <bgColor indexed="64"/>
      </patternFill>
    </fill>
    <fill>
      <patternFill patternType="solid">
        <fgColor rgb="FF1B5A9C"/>
        <bgColor indexed="64"/>
      </patternFill>
    </fill>
    <fill>
      <patternFill patternType="solid">
        <fgColor rgb="FF1989FA"/>
        <bgColor indexed="64"/>
      </patternFill>
    </fill>
    <fill>
      <patternFill patternType="solid">
        <fgColor rgb="FF27A4FF"/>
        <bgColor indexed="64"/>
      </patternFill>
    </fill>
    <fill>
      <patternFill patternType="solid">
        <fgColor rgb="FF2BA1F9"/>
        <bgColor indexed="64"/>
      </patternFill>
    </fill>
    <fill>
      <patternFill patternType="solid">
        <fgColor rgb="FF299EFA"/>
        <bgColor indexed="64"/>
      </patternFill>
    </fill>
    <fill>
      <patternFill patternType="solid">
        <fgColor rgb="FF269DFB"/>
        <bgColor indexed="64"/>
      </patternFill>
    </fill>
    <fill>
      <patternFill patternType="solid">
        <fgColor rgb="FF279FFB"/>
        <bgColor indexed="64"/>
      </patternFill>
    </fill>
    <fill>
      <patternFill patternType="solid">
        <fgColor rgb="FF2199FA"/>
        <bgColor indexed="64"/>
      </patternFill>
    </fill>
    <fill>
      <patternFill patternType="solid">
        <fgColor rgb="FFF7F7F7"/>
        <bgColor indexed="64"/>
      </patternFill>
    </fill>
    <fill>
      <patternFill patternType="solid">
        <fgColor rgb="FFF1F2F4"/>
        <bgColor indexed="64"/>
      </patternFill>
    </fill>
    <fill>
      <patternFill patternType="solid">
        <fgColor rgb="FFC4B8BB"/>
        <bgColor indexed="64"/>
      </patternFill>
    </fill>
    <fill>
      <patternFill patternType="solid">
        <fgColor rgb="FFBC384E"/>
        <bgColor indexed="64"/>
      </patternFill>
    </fill>
    <fill>
      <patternFill patternType="solid">
        <fgColor rgb="FFFF5977"/>
        <bgColor indexed="64"/>
      </patternFill>
    </fill>
    <fill>
      <patternFill patternType="solid">
        <fgColor rgb="FFE54A64"/>
        <bgColor indexed="64"/>
      </patternFill>
    </fill>
    <fill>
      <patternFill patternType="solid">
        <fgColor rgb="FFFB5770"/>
        <bgColor indexed="64"/>
      </patternFill>
    </fill>
    <fill>
      <patternFill patternType="solid">
        <fgColor rgb="FFFB5973"/>
        <bgColor indexed="64"/>
      </patternFill>
    </fill>
    <fill>
      <patternFill patternType="solid">
        <fgColor rgb="FFFB5976"/>
        <bgColor indexed="64"/>
      </patternFill>
    </fill>
    <fill>
      <patternFill patternType="solid">
        <fgColor rgb="FFFC5B76"/>
        <bgColor indexed="64"/>
      </patternFill>
    </fill>
    <fill>
      <patternFill patternType="solid">
        <fgColor rgb="FFFB5D7F"/>
        <bgColor indexed="64"/>
      </patternFill>
    </fill>
    <fill>
      <patternFill patternType="solid">
        <fgColor rgb="FFFC5D7C"/>
        <bgColor indexed="64"/>
      </patternFill>
    </fill>
    <fill>
      <patternFill patternType="solid">
        <fgColor rgb="FFFB5F83"/>
        <bgColor indexed="64"/>
      </patternFill>
    </fill>
    <fill>
      <patternFill patternType="solid">
        <fgColor rgb="FFFB6082"/>
        <bgColor indexed="64"/>
      </patternFill>
    </fill>
    <fill>
      <patternFill patternType="solid">
        <fgColor rgb="FFFB5F82"/>
        <bgColor indexed="64"/>
      </patternFill>
    </fill>
    <fill>
      <patternFill patternType="solid">
        <fgColor rgb="FFFB617C"/>
        <bgColor indexed="64"/>
      </patternFill>
    </fill>
    <fill>
      <patternFill patternType="solid">
        <fgColor rgb="FFFB647F"/>
        <bgColor indexed="64"/>
      </patternFill>
    </fill>
    <fill>
      <patternFill patternType="solid">
        <fgColor rgb="FFFB617D"/>
        <bgColor indexed="64"/>
      </patternFill>
    </fill>
    <fill>
      <patternFill patternType="solid">
        <fgColor rgb="FFF2637D"/>
        <bgColor indexed="64"/>
      </patternFill>
    </fill>
    <fill>
      <patternFill patternType="solid">
        <fgColor rgb="FFDEA3A7"/>
        <bgColor indexed="64"/>
      </patternFill>
    </fill>
    <fill>
      <patternFill patternType="solid">
        <fgColor rgb="FFF7FBFD"/>
        <bgColor indexed="64"/>
      </patternFill>
    </fill>
    <fill>
      <patternFill patternType="solid">
        <fgColor rgb="FFA396A6"/>
        <bgColor indexed="64"/>
      </patternFill>
    </fill>
    <fill>
      <patternFill patternType="solid">
        <fgColor rgb="FFD5D5D8"/>
        <bgColor indexed="64"/>
      </patternFill>
    </fill>
    <fill>
      <patternFill patternType="solid">
        <fgColor rgb="FFB4C4D5"/>
        <bgColor indexed="64"/>
      </patternFill>
    </fill>
    <fill>
      <patternFill patternType="solid">
        <fgColor rgb="FF3795DD"/>
        <bgColor indexed="64"/>
      </patternFill>
    </fill>
    <fill>
      <patternFill patternType="solid">
        <fgColor rgb="FF43B5FF"/>
        <bgColor indexed="64"/>
      </patternFill>
    </fill>
    <fill>
      <patternFill patternType="solid">
        <fgColor rgb="FF3EAEFA"/>
        <bgColor indexed="64"/>
      </patternFill>
    </fill>
    <fill>
      <patternFill patternType="solid">
        <fgColor rgb="FF3AAAFB"/>
        <bgColor indexed="64"/>
      </patternFill>
    </fill>
    <fill>
      <patternFill patternType="solid">
        <fgColor rgb="FF3AB0FD"/>
        <bgColor indexed="64"/>
      </patternFill>
    </fill>
    <fill>
      <patternFill patternType="solid">
        <fgColor rgb="FF38B0FD"/>
        <bgColor indexed="64"/>
      </patternFill>
    </fill>
    <fill>
      <patternFill patternType="solid">
        <fgColor rgb="FF459AC5"/>
        <bgColor indexed="64"/>
      </patternFill>
    </fill>
    <fill>
      <patternFill patternType="solid">
        <fgColor rgb="FF828334"/>
        <bgColor indexed="64"/>
      </patternFill>
    </fill>
    <fill>
      <patternFill patternType="solid">
        <fgColor rgb="FFA09C27"/>
        <bgColor indexed="64"/>
      </patternFill>
    </fill>
    <fill>
      <patternFill patternType="solid">
        <fgColor rgb="FFFFFF3E"/>
        <bgColor indexed="64"/>
      </patternFill>
    </fill>
    <fill>
      <patternFill patternType="solid">
        <fgColor rgb="FFFDFC38"/>
        <bgColor indexed="64"/>
      </patternFill>
    </fill>
    <fill>
      <patternFill patternType="solid">
        <fgColor rgb="FFFEFC39"/>
        <bgColor indexed="64"/>
      </patternFill>
    </fill>
    <fill>
      <patternFill patternType="solid">
        <fgColor rgb="FFD7D431"/>
        <bgColor indexed="64"/>
      </patternFill>
    </fill>
    <fill>
      <patternFill patternType="solid">
        <fgColor rgb="FFFDFB38"/>
        <bgColor indexed="64"/>
      </patternFill>
    </fill>
    <fill>
      <patternFill patternType="solid">
        <fgColor rgb="FFFEFD38"/>
        <bgColor indexed="64"/>
      </patternFill>
    </fill>
    <fill>
      <patternFill patternType="solid">
        <fgColor rgb="FFFFFD38"/>
        <bgColor indexed="64"/>
      </patternFill>
    </fill>
    <fill>
      <patternFill patternType="solid">
        <fgColor rgb="FFFDFB39"/>
        <bgColor indexed="64"/>
      </patternFill>
    </fill>
    <fill>
      <patternFill patternType="solid">
        <fgColor rgb="FFFDFA38"/>
        <bgColor indexed="64"/>
      </patternFill>
    </fill>
    <fill>
      <patternFill patternType="solid">
        <fgColor rgb="FFF6F035"/>
        <bgColor indexed="64"/>
      </patternFill>
    </fill>
    <fill>
      <patternFill patternType="solid">
        <fgColor rgb="FFFEF838"/>
        <bgColor indexed="64"/>
      </patternFill>
    </fill>
    <fill>
      <patternFill patternType="solid">
        <fgColor rgb="FFFFFC38"/>
        <bgColor indexed="64"/>
      </patternFill>
    </fill>
    <fill>
      <patternFill patternType="solid">
        <fgColor rgb="FFFFFF39"/>
        <bgColor indexed="64"/>
      </patternFill>
    </fill>
    <fill>
      <patternFill patternType="solid">
        <fgColor rgb="FFFFF534"/>
        <bgColor indexed="64"/>
      </patternFill>
    </fill>
    <fill>
      <patternFill patternType="solid">
        <fgColor rgb="FFC2BE34"/>
        <bgColor indexed="64"/>
      </patternFill>
    </fill>
    <fill>
      <patternFill patternType="solid">
        <fgColor rgb="FF599A9C"/>
        <bgColor indexed="64"/>
      </patternFill>
    </fill>
    <fill>
      <patternFill patternType="solid">
        <fgColor rgb="FF2AA5FE"/>
        <bgColor indexed="64"/>
      </patternFill>
    </fill>
    <fill>
      <patternFill patternType="solid">
        <fgColor rgb="FF2DA4FB"/>
        <bgColor indexed="64"/>
      </patternFill>
    </fill>
    <fill>
      <patternFill patternType="solid">
        <fgColor rgb="FF299FFA"/>
        <bgColor indexed="64"/>
      </patternFill>
    </fill>
    <fill>
      <patternFill patternType="solid">
        <fgColor rgb="FFCED3D3"/>
        <bgColor indexed="64"/>
      </patternFill>
    </fill>
    <fill>
      <patternFill patternType="solid">
        <fgColor rgb="FFB7B8BB"/>
        <bgColor indexed="64"/>
      </patternFill>
    </fill>
    <fill>
      <patternFill patternType="solid">
        <fgColor rgb="FFC54A60"/>
        <bgColor indexed="64"/>
      </patternFill>
    </fill>
    <fill>
      <patternFill patternType="solid">
        <fgColor rgb="FFFE5572"/>
        <bgColor indexed="64"/>
      </patternFill>
    </fill>
    <fill>
      <patternFill patternType="solid">
        <fgColor rgb="FFFC5771"/>
        <bgColor indexed="64"/>
      </patternFill>
    </fill>
    <fill>
      <patternFill patternType="solid">
        <fgColor rgb="FFFB5C75"/>
        <bgColor indexed="64"/>
      </patternFill>
    </fill>
    <fill>
      <patternFill patternType="solid">
        <fgColor rgb="FFFB5A76"/>
        <bgColor indexed="64"/>
      </patternFill>
    </fill>
    <fill>
      <patternFill patternType="solid">
        <fgColor rgb="FFFB5E82"/>
        <bgColor indexed="64"/>
      </patternFill>
    </fill>
    <fill>
      <patternFill patternType="solid">
        <fgColor rgb="FFFA5E7B"/>
        <bgColor indexed="64"/>
      </patternFill>
    </fill>
    <fill>
      <patternFill patternType="solid">
        <fgColor rgb="FFFB5F7A"/>
        <bgColor indexed="64"/>
      </patternFill>
    </fill>
    <fill>
      <patternFill patternType="solid">
        <fgColor rgb="FFFB627D"/>
        <bgColor indexed="64"/>
      </patternFill>
    </fill>
    <fill>
      <patternFill patternType="solid">
        <fgColor rgb="FFFF6382"/>
        <bgColor indexed="64"/>
      </patternFill>
    </fill>
    <fill>
      <patternFill patternType="solid">
        <fgColor rgb="FFE14A65"/>
        <bgColor indexed="64"/>
      </patternFill>
    </fill>
    <fill>
      <patternFill patternType="solid">
        <fgColor rgb="FFD8A2A0"/>
        <bgColor indexed="64"/>
      </patternFill>
    </fill>
    <fill>
      <patternFill patternType="solid">
        <fgColor rgb="FFEBEAEF"/>
        <bgColor indexed="64"/>
      </patternFill>
    </fill>
    <fill>
      <patternFill patternType="solid">
        <fgColor rgb="FFEEEFF1"/>
        <bgColor indexed="64"/>
      </patternFill>
    </fill>
    <fill>
      <patternFill patternType="solid">
        <fgColor rgb="FFD1D3D2"/>
        <bgColor indexed="64"/>
      </patternFill>
    </fill>
    <fill>
      <patternFill patternType="solid">
        <fgColor rgb="FFD7DFE6"/>
        <bgColor indexed="64"/>
      </patternFill>
    </fill>
    <fill>
      <patternFill patternType="solid">
        <fgColor rgb="FF4090D0"/>
        <bgColor indexed="64"/>
      </patternFill>
    </fill>
    <fill>
      <patternFill patternType="solid">
        <fgColor rgb="FF40B3FF"/>
        <bgColor indexed="64"/>
      </patternFill>
    </fill>
    <fill>
      <patternFill patternType="solid">
        <fgColor rgb="FF40AFFA"/>
        <bgColor indexed="64"/>
      </patternFill>
    </fill>
    <fill>
      <patternFill patternType="solid">
        <fgColor rgb="FF3DADFB"/>
        <bgColor indexed="64"/>
      </patternFill>
    </fill>
    <fill>
      <patternFill patternType="solid">
        <fgColor rgb="FF3EAEFD"/>
        <bgColor indexed="64"/>
      </patternFill>
    </fill>
    <fill>
      <patternFill patternType="solid">
        <fgColor rgb="FF318FD8"/>
        <bgColor indexed="64"/>
      </patternFill>
    </fill>
    <fill>
      <patternFill patternType="solid">
        <fgColor rgb="FF379FE1"/>
        <bgColor indexed="64"/>
      </patternFill>
    </fill>
    <fill>
      <patternFill patternType="solid">
        <fgColor rgb="FF34AAFF"/>
        <bgColor indexed="64"/>
      </patternFill>
    </fill>
    <fill>
      <patternFill patternType="solid">
        <fgColor rgb="FF6A9F8E"/>
        <bgColor indexed="64"/>
      </patternFill>
    </fill>
    <fill>
      <patternFill patternType="solid">
        <fgColor rgb="FFC7C12C"/>
        <bgColor indexed="64"/>
      </patternFill>
    </fill>
    <fill>
      <patternFill patternType="solid">
        <fgColor rgb="FFB6B731"/>
        <bgColor indexed="64"/>
      </patternFill>
    </fill>
    <fill>
      <patternFill patternType="solid">
        <fgColor rgb="FFFCFA37"/>
        <bgColor indexed="64"/>
      </patternFill>
    </fill>
    <fill>
      <patternFill patternType="solid">
        <fgColor rgb="FFFFFE38"/>
        <bgColor indexed="64"/>
      </patternFill>
    </fill>
    <fill>
      <patternFill patternType="solid">
        <fgColor rgb="FFFCF837"/>
        <bgColor indexed="64"/>
      </patternFill>
    </fill>
    <fill>
      <patternFill patternType="solid">
        <fgColor rgb="FFFBFA37"/>
        <bgColor indexed="64"/>
      </patternFill>
    </fill>
    <fill>
      <patternFill patternType="solid">
        <fgColor rgb="FFF6F535"/>
        <bgColor indexed="64"/>
      </patternFill>
    </fill>
    <fill>
      <patternFill patternType="solid">
        <fgColor rgb="FFFDF737"/>
        <bgColor indexed="64"/>
      </patternFill>
    </fill>
    <fill>
      <patternFill patternType="solid">
        <fgColor rgb="FFA4981A"/>
        <bgColor indexed="64"/>
      </patternFill>
    </fill>
    <fill>
      <patternFill patternType="solid">
        <fgColor rgb="FF2B5E70"/>
        <bgColor indexed="64"/>
      </patternFill>
    </fill>
    <fill>
      <patternFill patternType="solid">
        <fgColor rgb="FF1785E4"/>
        <bgColor indexed="64"/>
      </patternFill>
    </fill>
    <fill>
      <patternFill patternType="solid">
        <fgColor rgb="FF2093F6"/>
        <bgColor indexed="64"/>
      </patternFill>
    </fill>
    <fill>
      <patternFill patternType="solid">
        <fgColor rgb="FF269BFC"/>
        <bgColor indexed="64"/>
      </patternFill>
    </fill>
    <fill>
      <patternFill patternType="solid">
        <fgColor rgb="FF2CA3FD"/>
        <bgColor indexed="64"/>
      </patternFill>
    </fill>
    <fill>
      <patternFill patternType="solid">
        <fgColor rgb="FF279CFB"/>
        <bgColor indexed="64"/>
      </patternFill>
    </fill>
    <fill>
      <patternFill patternType="solid">
        <fgColor rgb="FFFBFBFB"/>
        <bgColor indexed="64"/>
      </patternFill>
    </fill>
    <fill>
      <patternFill patternType="solid">
        <fgColor rgb="FFBBA7AD"/>
        <bgColor indexed="64"/>
      </patternFill>
    </fill>
    <fill>
      <patternFill patternType="solid">
        <fgColor rgb="FF7E4B56"/>
        <bgColor indexed="64"/>
      </patternFill>
    </fill>
    <fill>
      <patternFill patternType="solid">
        <fgColor rgb="FFC25060"/>
        <bgColor indexed="64"/>
      </patternFill>
    </fill>
    <fill>
      <patternFill patternType="solid">
        <fgColor rgb="FFF85871"/>
        <bgColor indexed="64"/>
      </patternFill>
    </fill>
    <fill>
      <patternFill patternType="solid">
        <fgColor rgb="FFFA5C7C"/>
        <bgColor indexed="64"/>
      </patternFill>
    </fill>
    <fill>
      <patternFill patternType="solid">
        <fgColor rgb="FFFB6081"/>
        <bgColor indexed="64"/>
      </patternFill>
    </fill>
    <fill>
      <patternFill patternType="solid">
        <fgColor rgb="FFFC6181"/>
        <bgColor indexed="64"/>
      </patternFill>
    </fill>
    <fill>
      <patternFill patternType="solid">
        <fgColor rgb="FFFA607D"/>
        <bgColor indexed="64"/>
      </patternFill>
    </fill>
    <fill>
      <patternFill patternType="solid">
        <fgColor rgb="FFFA607B"/>
        <bgColor indexed="64"/>
      </patternFill>
    </fill>
    <fill>
      <patternFill patternType="solid">
        <fgColor rgb="FFBF4054"/>
        <bgColor indexed="64"/>
      </patternFill>
    </fill>
    <fill>
      <patternFill patternType="solid">
        <fgColor rgb="FFED5B72"/>
        <bgColor indexed="64"/>
      </patternFill>
    </fill>
    <fill>
      <patternFill patternType="solid">
        <fgColor rgb="FFF56483"/>
        <bgColor indexed="64"/>
      </patternFill>
    </fill>
    <fill>
      <patternFill patternType="solid">
        <fgColor rgb="FFAF4558"/>
        <bgColor indexed="64"/>
      </patternFill>
    </fill>
    <fill>
      <patternFill patternType="solid">
        <fgColor rgb="FFDBD4CF"/>
        <bgColor indexed="64"/>
      </patternFill>
    </fill>
    <fill>
      <patternFill patternType="solid">
        <fgColor rgb="FFFAFAFB"/>
        <bgColor indexed="64"/>
      </patternFill>
    </fill>
    <fill>
      <patternFill patternType="solid">
        <fgColor rgb="FF9E9FAC"/>
        <bgColor indexed="64"/>
      </patternFill>
    </fill>
    <fill>
      <patternFill patternType="solid">
        <fgColor rgb="FF5183AB"/>
        <bgColor indexed="64"/>
      </patternFill>
    </fill>
    <fill>
      <patternFill patternType="solid">
        <fgColor rgb="FF41AFFA"/>
        <bgColor indexed="64"/>
      </patternFill>
    </fill>
    <fill>
      <patternFill patternType="solid">
        <fgColor rgb="FF41B0FB"/>
        <bgColor indexed="64"/>
      </patternFill>
    </fill>
    <fill>
      <patternFill patternType="solid">
        <fgColor rgb="FF2D91E9"/>
        <bgColor indexed="64"/>
      </patternFill>
    </fill>
    <fill>
      <patternFill patternType="solid">
        <fgColor rgb="FF568185"/>
        <bgColor indexed="64"/>
      </patternFill>
    </fill>
    <fill>
      <patternFill patternType="solid">
        <fgColor rgb="FF568A9F"/>
        <bgColor indexed="64"/>
      </patternFill>
    </fill>
    <fill>
      <patternFill patternType="solid">
        <fgColor rgb="FF587861"/>
        <bgColor indexed="64"/>
      </patternFill>
    </fill>
    <fill>
      <patternFill patternType="solid">
        <fgColor rgb="FFEBE332"/>
        <bgColor indexed="64"/>
      </patternFill>
    </fill>
    <fill>
      <patternFill patternType="solid">
        <fgColor rgb="FFB3B130"/>
        <bgColor indexed="64"/>
      </patternFill>
    </fill>
    <fill>
      <patternFill patternType="solid">
        <fgColor rgb="FFFDFC37"/>
        <bgColor indexed="64"/>
      </patternFill>
    </fill>
    <fill>
      <patternFill patternType="solid">
        <fgColor rgb="FFFBF837"/>
        <bgColor indexed="64"/>
      </patternFill>
    </fill>
    <fill>
      <patternFill patternType="solid">
        <fgColor rgb="FFF7F537"/>
        <bgColor indexed="64"/>
      </patternFill>
    </fill>
    <fill>
      <patternFill patternType="solid">
        <fgColor rgb="FFF7F736"/>
        <bgColor indexed="64"/>
      </patternFill>
    </fill>
    <fill>
      <patternFill patternType="solid">
        <fgColor rgb="FFF8F138"/>
        <bgColor indexed="64"/>
      </patternFill>
    </fill>
    <fill>
      <patternFill patternType="solid">
        <fgColor rgb="FFCDC227"/>
        <bgColor indexed="64"/>
      </patternFill>
    </fill>
    <fill>
      <patternFill patternType="solid">
        <fgColor rgb="FF8C8F3D"/>
        <bgColor indexed="64"/>
      </patternFill>
    </fill>
    <fill>
      <patternFill patternType="solid">
        <fgColor rgb="FF396C8C"/>
        <bgColor indexed="64"/>
      </patternFill>
    </fill>
    <fill>
      <patternFill patternType="solid">
        <fgColor rgb="FF2E94DF"/>
        <bgColor indexed="64"/>
      </patternFill>
    </fill>
    <fill>
      <patternFill patternType="solid">
        <fgColor rgb="FF2897F0"/>
        <bgColor indexed="64"/>
      </patternFill>
    </fill>
    <fill>
      <patternFill patternType="solid">
        <fgColor rgb="FF269CFA"/>
        <bgColor indexed="64"/>
      </patternFill>
    </fill>
    <fill>
      <patternFill patternType="solid">
        <fgColor rgb="FF219BFA"/>
        <bgColor indexed="64"/>
      </patternFill>
    </fill>
    <fill>
      <patternFill patternType="solid">
        <fgColor rgb="FFFDFCFC"/>
        <bgColor indexed="64"/>
      </patternFill>
    </fill>
    <fill>
      <patternFill patternType="solid">
        <fgColor rgb="FFE7D7DB"/>
        <bgColor indexed="64"/>
      </patternFill>
    </fill>
    <fill>
      <patternFill patternType="solid">
        <fgColor rgb="FFCA475E"/>
        <bgColor indexed="64"/>
      </patternFill>
    </fill>
    <fill>
      <patternFill patternType="solid">
        <fgColor rgb="FFC53D53"/>
        <bgColor indexed="64"/>
      </patternFill>
    </fill>
    <fill>
      <patternFill patternType="solid">
        <fgColor rgb="FFE34C63"/>
        <bgColor indexed="64"/>
      </patternFill>
    </fill>
    <fill>
      <patternFill patternType="solid">
        <fgColor rgb="FFFB5D75"/>
        <bgColor indexed="64"/>
      </patternFill>
    </fill>
    <fill>
      <patternFill patternType="solid">
        <fgColor rgb="FFFA5C7B"/>
        <bgColor indexed="64"/>
      </patternFill>
    </fill>
    <fill>
      <patternFill patternType="solid">
        <fgColor rgb="FFFA5F7C"/>
        <bgColor indexed="64"/>
      </patternFill>
    </fill>
    <fill>
      <patternFill patternType="solid">
        <fgColor rgb="FFFE6482"/>
        <bgColor indexed="64"/>
      </patternFill>
    </fill>
    <fill>
      <patternFill patternType="solid">
        <fgColor rgb="FFBE4964"/>
        <bgColor indexed="64"/>
      </patternFill>
    </fill>
    <fill>
      <patternFill patternType="solid">
        <fgColor rgb="FF93323F"/>
        <bgColor indexed="64"/>
      </patternFill>
    </fill>
    <fill>
      <patternFill patternType="solid">
        <fgColor rgb="FFFB6A7F"/>
        <bgColor indexed="64"/>
      </patternFill>
    </fill>
    <fill>
      <patternFill patternType="solid">
        <fgColor rgb="FFDF5472"/>
        <bgColor indexed="64"/>
      </patternFill>
    </fill>
    <fill>
      <patternFill patternType="solid">
        <fgColor rgb="FFAB8688"/>
        <bgColor indexed="64"/>
      </patternFill>
    </fill>
    <fill>
      <patternFill patternType="solid">
        <fgColor rgb="FFFCFAFC"/>
        <bgColor indexed="64"/>
      </patternFill>
    </fill>
    <fill>
      <patternFill patternType="solid">
        <fgColor rgb="FF6A90B0"/>
        <bgColor indexed="64"/>
      </patternFill>
    </fill>
    <fill>
      <patternFill patternType="solid">
        <fgColor rgb="FF46B3F5"/>
        <bgColor indexed="64"/>
      </patternFill>
    </fill>
    <fill>
      <patternFill patternType="solid">
        <fgColor rgb="FF44B2FB"/>
        <bgColor indexed="64"/>
      </patternFill>
    </fill>
    <fill>
      <patternFill patternType="solid">
        <fgColor rgb="FF3EACFC"/>
        <bgColor indexed="64"/>
      </patternFill>
    </fill>
    <fill>
      <patternFill patternType="solid">
        <fgColor rgb="FF40AEFB"/>
        <bgColor indexed="64"/>
      </patternFill>
    </fill>
    <fill>
      <patternFill patternType="solid">
        <fgColor rgb="FF3BACF7"/>
        <bgColor indexed="64"/>
      </patternFill>
    </fill>
    <fill>
      <patternFill patternType="solid">
        <fgColor rgb="FF38B1FF"/>
        <bgColor indexed="64"/>
      </patternFill>
    </fill>
    <fill>
      <patternFill patternType="solid">
        <fgColor rgb="FF569CB9"/>
        <bgColor indexed="64"/>
      </patternFill>
    </fill>
    <fill>
      <patternFill patternType="solid">
        <fgColor rgb="FFDCD44E"/>
        <bgColor indexed="64"/>
      </patternFill>
    </fill>
    <fill>
      <patternFill patternType="solid">
        <fgColor rgb="FF686924"/>
        <bgColor indexed="64"/>
      </patternFill>
    </fill>
    <fill>
      <patternFill patternType="solid">
        <fgColor rgb="FFD2D133"/>
        <bgColor indexed="64"/>
      </patternFill>
    </fill>
    <fill>
      <patternFill patternType="solid">
        <fgColor rgb="FFECEA37"/>
        <bgColor indexed="64"/>
      </patternFill>
    </fill>
    <fill>
      <patternFill patternType="solid">
        <fgColor rgb="FFFEFD39"/>
        <bgColor indexed="64"/>
      </patternFill>
    </fill>
    <fill>
      <patternFill patternType="solid">
        <fgColor rgb="FFF5F339"/>
        <bgColor indexed="64"/>
      </patternFill>
    </fill>
    <fill>
      <patternFill patternType="solid">
        <fgColor rgb="FFA8A72C"/>
        <bgColor indexed="64"/>
      </patternFill>
    </fill>
    <fill>
      <patternFill patternType="solid">
        <fgColor rgb="FFBFC830"/>
        <bgColor indexed="64"/>
      </patternFill>
    </fill>
    <fill>
      <patternFill patternType="solid">
        <fgColor rgb="FFF4F732"/>
        <bgColor indexed="64"/>
      </patternFill>
    </fill>
    <fill>
      <patternFill patternType="solid">
        <fgColor rgb="FFFFF929"/>
        <bgColor indexed="64"/>
      </patternFill>
    </fill>
    <fill>
      <patternFill patternType="solid">
        <fgColor rgb="FFCDC72A"/>
        <bgColor indexed="64"/>
      </patternFill>
    </fill>
    <fill>
      <patternFill patternType="solid">
        <fgColor rgb="FF547C6C"/>
        <bgColor indexed="64"/>
      </patternFill>
    </fill>
    <fill>
      <patternFill patternType="solid">
        <fgColor rgb="FF238BE5"/>
        <bgColor indexed="64"/>
      </patternFill>
    </fill>
    <fill>
      <patternFill patternType="solid">
        <fgColor rgb="FF259CFB"/>
        <bgColor indexed="64"/>
      </patternFill>
    </fill>
    <fill>
      <patternFill patternType="solid">
        <fgColor rgb="FFE7E9E8"/>
        <bgColor indexed="64"/>
      </patternFill>
    </fill>
    <fill>
      <patternFill patternType="solid">
        <fgColor rgb="FFC25367"/>
        <bgColor indexed="64"/>
      </patternFill>
    </fill>
    <fill>
      <patternFill patternType="solid">
        <fgColor rgb="FFFF5673"/>
        <bgColor indexed="64"/>
      </patternFill>
    </fill>
    <fill>
      <patternFill patternType="solid">
        <fgColor rgb="FFEF516B"/>
        <bgColor indexed="64"/>
      </patternFill>
    </fill>
    <fill>
      <patternFill patternType="solid">
        <fgColor rgb="FFFA5A74"/>
        <bgColor indexed="64"/>
      </patternFill>
    </fill>
    <fill>
      <patternFill patternType="solid">
        <fgColor rgb="FFFC5D7A"/>
        <bgColor indexed="64"/>
      </patternFill>
    </fill>
    <fill>
      <patternFill patternType="solid">
        <fgColor rgb="FFFB5E79"/>
        <bgColor indexed="64"/>
      </patternFill>
    </fill>
    <fill>
      <patternFill patternType="solid">
        <fgColor rgb="FFFA607E"/>
        <bgColor indexed="64"/>
      </patternFill>
    </fill>
    <fill>
      <patternFill patternType="solid">
        <fgColor rgb="FFA63E57"/>
        <bgColor indexed="64"/>
      </patternFill>
    </fill>
    <fill>
      <patternFill patternType="solid">
        <fgColor rgb="FF803239"/>
        <bgColor indexed="64"/>
      </patternFill>
    </fill>
    <fill>
      <patternFill patternType="solid">
        <fgColor rgb="FFDD576F"/>
        <bgColor indexed="64"/>
      </patternFill>
    </fill>
    <fill>
      <patternFill patternType="solid">
        <fgColor rgb="FF8E525E"/>
        <bgColor indexed="64"/>
      </patternFill>
    </fill>
    <fill>
      <patternFill patternType="solid">
        <fgColor rgb="FFF8FBF7"/>
        <bgColor indexed="64"/>
      </patternFill>
    </fill>
    <fill>
      <patternFill patternType="solid">
        <fgColor rgb="FFC9CBD4"/>
        <bgColor indexed="64"/>
      </patternFill>
    </fill>
    <fill>
      <patternFill patternType="solid">
        <fgColor rgb="FF4290C9"/>
        <bgColor indexed="64"/>
      </patternFill>
    </fill>
    <fill>
      <patternFill patternType="solid">
        <fgColor rgb="FF45B9FF"/>
        <bgColor indexed="64"/>
      </patternFill>
    </fill>
    <fill>
      <patternFill patternType="solid">
        <fgColor rgb="FF40ACF9"/>
        <bgColor indexed="64"/>
      </patternFill>
    </fill>
    <fill>
      <patternFill patternType="solid">
        <fgColor rgb="FF3FACFB"/>
        <bgColor indexed="64"/>
      </patternFill>
    </fill>
    <fill>
      <patternFill patternType="solid">
        <fgColor rgb="FF3BABF8"/>
        <bgColor indexed="64"/>
      </patternFill>
    </fill>
    <fill>
      <patternFill patternType="solid">
        <fgColor rgb="FF40B0FD"/>
        <bgColor indexed="64"/>
      </patternFill>
    </fill>
    <fill>
      <patternFill patternType="solid">
        <fgColor rgb="FF2361A1"/>
        <bgColor indexed="64"/>
      </patternFill>
    </fill>
    <fill>
      <patternFill patternType="solid">
        <fgColor rgb="FFB5B636"/>
        <bgColor indexed="64"/>
      </patternFill>
    </fill>
    <fill>
      <patternFill patternType="solid">
        <fgColor rgb="FFEBE434"/>
        <bgColor indexed="64"/>
      </patternFill>
    </fill>
    <fill>
      <patternFill patternType="solid">
        <fgColor rgb="FFAEA928"/>
        <bgColor indexed="64"/>
      </patternFill>
    </fill>
    <fill>
      <patternFill patternType="solid">
        <fgColor rgb="FFFBFA38"/>
        <bgColor indexed="64"/>
      </patternFill>
    </fill>
    <fill>
      <patternFill patternType="solid">
        <fgColor rgb="FFFEFF39"/>
        <bgColor indexed="64"/>
      </patternFill>
    </fill>
    <fill>
      <patternFill patternType="solid">
        <fgColor rgb="FFF5F246"/>
        <bgColor indexed="64"/>
      </patternFill>
    </fill>
    <fill>
      <patternFill patternType="solid">
        <fgColor rgb="FF8E8D42"/>
        <bgColor indexed="64"/>
      </patternFill>
    </fill>
    <fill>
      <patternFill patternType="solid">
        <fgColor rgb="FF32627C"/>
        <bgColor indexed="64"/>
      </patternFill>
    </fill>
    <fill>
      <patternFill patternType="solid">
        <fgColor rgb="FF3E84A3"/>
        <bgColor indexed="64"/>
      </patternFill>
    </fill>
    <fill>
      <patternFill patternType="solid">
        <fgColor rgb="FF3286BD"/>
        <bgColor indexed="64"/>
      </patternFill>
    </fill>
    <fill>
      <patternFill patternType="solid">
        <fgColor rgb="FF2796EE"/>
        <bgColor indexed="64"/>
      </patternFill>
    </fill>
    <fill>
      <patternFill patternType="solid">
        <fgColor rgb="FF2AA4FE"/>
        <bgColor indexed="64"/>
      </patternFill>
    </fill>
    <fill>
      <patternFill patternType="solid">
        <fgColor rgb="FF279EF9"/>
        <bgColor indexed="64"/>
      </patternFill>
    </fill>
    <fill>
      <patternFill patternType="solid">
        <fgColor rgb="FF259CFC"/>
        <bgColor indexed="64"/>
      </patternFill>
    </fill>
    <fill>
      <patternFill patternType="solid">
        <fgColor rgb="FFF2F0F1"/>
        <bgColor indexed="64"/>
      </patternFill>
    </fill>
    <fill>
      <patternFill patternType="solid">
        <fgColor rgb="FFCCD2D6"/>
        <bgColor indexed="64"/>
      </patternFill>
    </fill>
    <fill>
      <patternFill patternType="solid">
        <fgColor rgb="FFD58B9A"/>
        <bgColor indexed="64"/>
      </patternFill>
    </fill>
    <fill>
      <patternFill patternType="solid">
        <fgColor rgb="FFC4324B"/>
        <bgColor indexed="64"/>
      </patternFill>
    </fill>
    <fill>
      <patternFill patternType="solid">
        <fgColor rgb="FFF45872"/>
        <bgColor indexed="64"/>
      </patternFill>
    </fill>
    <fill>
      <patternFill patternType="solid">
        <fgColor rgb="FFFD5E76"/>
        <bgColor indexed="64"/>
      </patternFill>
    </fill>
    <fill>
      <patternFill patternType="solid">
        <fgColor rgb="FFFA5E78"/>
        <bgColor indexed="64"/>
      </patternFill>
    </fill>
    <fill>
      <patternFill patternType="solid">
        <fgColor rgb="FFFC6081"/>
        <bgColor indexed="64"/>
      </patternFill>
    </fill>
    <fill>
      <patternFill patternType="solid">
        <fgColor rgb="FFFB6182"/>
        <bgColor indexed="64"/>
      </patternFill>
    </fill>
    <fill>
      <patternFill patternType="solid">
        <fgColor rgb="FFFB627F"/>
        <bgColor indexed="64"/>
      </patternFill>
    </fill>
    <fill>
      <patternFill patternType="solid">
        <fgColor rgb="FFFA607C"/>
        <bgColor indexed="64"/>
      </patternFill>
    </fill>
    <fill>
      <patternFill patternType="solid">
        <fgColor rgb="FFFC607C"/>
        <bgColor indexed="64"/>
      </patternFill>
    </fill>
    <fill>
      <patternFill patternType="solid">
        <fgColor rgb="FFFA5D79"/>
        <bgColor indexed="64"/>
      </patternFill>
    </fill>
    <fill>
      <patternFill patternType="solid">
        <fgColor rgb="FFFD6180"/>
        <bgColor indexed="64"/>
      </patternFill>
    </fill>
    <fill>
      <patternFill patternType="solid">
        <fgColor rgb="FF8F3A4F"/>
        <bgColor indexed="64"/>
      </patternFill>
    </fill>
    <fill>
      <patternFill patternType="solid">
        <fgColor rgb="FF944954"/>
        <bgColor indexed="64"/>
      </patternFill>
    </fill>
    <fill>
      <patternFill patternType="solid">
        <fgColor rgb="FFAB5263"/>
        <bgColor indexed="64"/>
      </patternFill>
    </fill>
    <fill>
      <patternFill patternType="solid">
        <fgColor rgb="FFB4B5B1"/>
        <bgColor indexed="64"/>
      </patternFill>
    </fill>
    <fill>
      <patternFill patternType="solid">
        <fgColor rgb="FF7395B8"/>
        <bgColor indexed="64"/>
      </patternFill>
    </fill>
    <fill>
      <patternFill patternType="solid">
        <fgColor rgb="FF3EA8EF"/>
        <bgColor indexed="64"/>
      </patternFill>
    </fill>
    <fill>
      <patternFill patternType="solid">
        <fgColor rgb="FF3CA9F7"/>
        <bgColor indexed="64"/>
      </patternFill>
    </fill>
    <fill>
      <patternFill patternType="solid">
        <fgColor rgb="FF40B6FF"/>
        <bgColor indexed="64"/>
      </patternFill>
    </fill>
    <fill>
      <patternFill patternType="solid">
        <fgColor rgb="FF2F7ABE"/>
        <bgColor indexed="64"/>
      </patternFill>
    </fill>
    <fill>
      <patternFill patternType="solid">
        <fgColor rgb="FF464422"/>
        <bgColor indexed="64"/>
      </patternFill>
    </fill>
    <fill>
      <patternFill patternType="solid">
        <fgColor rgb="FFEDE937"/>
        <bgColor indexed="64"/>
      </patternFill>
    </fill>
    <fill>
      <patternFill patternType="solid">
        <fgColor rgb="FFFEFC3A"/>
        <bgColor indexed="64"/>
      </patternFill>
    </fill>
    <fill>
      <patternFill patternType="solid">
        <fgColor rgb="FFFEFD3A"/>
        <bgColor indexed="64"/>
      </patternFill>
    </fill>
    <fill>
      <patternFill patternType="solid">
        <fgColor rgb="FFE1E032"/>
        <bgColor indexed="64"/>
      </patternFill>
    </fill>
    <fill>
      <patternFill patternType="solid">
        <fgColor rgb="FFF2F336"/>
        <bgColor indexed="64"/>
      </patternFill>
    </fill>
    <fill>
      <patternFill patternType="solid">
        <fgColor rgb="FF77996D"/>
        <bgColor indexed="64"/>
      </patternFill>
    </fill>
    <fill>
      <patternFill patternType="solid">
        <fgColor rgb="FF219BFF"/>
        <bgColor indexed="64"/>
      </patternFill>
    </fill>
    <fill>
      <patternFill patternType="solid">
        <fgColor rgb="FF289EFA"/>
        <bgColor indexed="64"/>
      </patternFill>
    </fill>
    <fill>
      <patternFill patternType="solid">
        <fgColor rgb="FF279EFB"/>
        <bgColor indexed="64"/>
      </patternFill>
    </fill>
    <fill>
      <patternFill patternType="solid">
        <fgColor rgb="FFEFEEEF"/>
        <bgColor indexed="64"/>
      </patternFill>
    </fill>
    <fill>
      <patternFill patternType="solid">
        <fgColor rgb="FF9F9EA2"/>
        <bgColor indexed="64"/>
      </patternFill>
    </fill>
    <fill>
      <patternFill patternType="solid">
        <fgColor rgb="FFE0D8D9"/>
        <bgColor indexed="64"/>
      </patternFill>
    </fill>
    <fill>
      <patternFill patternType="solid">
        <fgColor rgb="FFD55E74"/>
        <bgColor indexed="64"/>
      </patternFill>
    </fill>
    <fill>
      <patternFill patternType="solid">
        <fgColor rgb="FFEC506A"/>
        <bgColor indexed="64"/>
      </patternFill>
    </fill>
    <fill>
      <patternFill patternType="solid">
        <fgColor rgb="FFFA5B74"/>
        <bgColor indexed="64"/>
      </patternFill>
    </fill>
    <fill>
      <patternFill patternType="solid">
        <fgColor rgb="FFFA5B73"/>
        <bgColor indexed="64"/>
      </patternFill>
    </fill>
    <fill>
      <patternFill patternType="solid">
        <fgColor rgb="FFFA5D78"/>
        <bgColor indexed="64"/>
      </patternFill>
    </fill>
    <fill>
      <patternFill patternType="solid">
        <fgColor rgb="FFFA6281"/>
        <bgColor indexed="64"/>
      </patternFill>
    </fill>
    <fill>
      <patternFill patternType="solid">
        <fgColor rgb="FFFC6281"/>
        <bgColor indexed="64"/>
      </patternFill>
    </fill>
    <fill>
      <patternFill patternType="solid">
        <fgColor rgb="FFFC617E"/>
        <bgColor indexed="64"/>
      </patternFill>
    </fill>
    <fill>
      <patternFill patternType="solid">
        <fgColor rgb="FFFD617D"/>
        <bgColor indexed="64"/>
      </patternFill>
    </fill>
    <fill>
      <patternFill patternType="solid">
        <fgColor rgb="FFF6627F"/>
        <bgColor indexed="64"/>
      </patternFill>
    </fill>
    <fill>
      <patternFill patternType="solid">
        <fgColor rgb="FF8D5A6C"/>
        <bgColor indexed="64"/>
      </patternFill>
    </fill>
    <fill>
      <patternFill patternType="solid">
        <fgColor rgb="FF7C4654"/>
        <bgColor indexed="64"/>
      </patternFill>
    </fill>
    <fill>
      <patternFill patternType="solid">
        <fgColor rgb="FFA69FA3"/>
        <bgColor indexed="64"/>
      </patternFill>
    </fill>
    <fill>
      <patternFill patternType="solid">
        <fgColor rgb="FFBAC4D2"/>
        <bgColor indexed="64"/>
      </patternFill>
    </fill>
    <fill>
      <patternFill patternType="solid">
        <fgColor rgb="FF3E9ADA"/>
        <bgColor indexed="64"/>
      </patternFill>
    </fill>
    <fill>
      <patternFill patternType="solid">
        <fgColor rgb="FF45B8FF"/>
        <bgColor indexed="64"/>
      </patternFill>
    </fill>
    <fill>
      <patternFill patternType="solid">
        <fgColor rgb="FF40AEFA"/>
        <bgColor indexed="64"/>
      </patternFill>
    </fill>
    <fill>
      <patternFill patternType="solid">
        <fgColor rgb="FF3FB0FD"/>
        <bgColor indexed="64"/>
      </patternFill>
    </fill>
    <fill>
      <patternFill patternType="solid">
        <fgColor rgb="FF3BA8F8"/>
        <bgColor indexed="64"/>
      </patternFill>
    </fill>
    <fill>
      <patternFill patternType="solid">
        <fgColor rgb="FF3389D2"/>
        <bgColor indexed="64"/>
      </patternFill>
    </fill>
    <fill>
      <patternFill patternType="solid">
        <fgColor rgb="FF408FC8"/>
        <bgColor indexed="64"/>
      </patternFill>
    </fill>
    <fill>
      <patternFill patternType="solid">
        <fgColor rgb="FF797934"/>
        <bgColor indexed="64"/>
      </patternFill>
    </fill>
    <fill>
      <patternFill patternType="solid">
        <fgColor rgb="FFDCDA35"/>
        <bgColor indexed="64"/>
      </patternFill>
    </fill>
    <fill>
      <patternFill patternType="solid">
        <fgColor rgb="FFBEBE2D"/>
        <bgColor indexed="64"/>
      </patternFill>
    </fill>
    <fill>
      <patternFill patternType="solid">
        <fgColor rgb="FFE6E534"/>
        <bgColor indexed="64"/>
      </patternFill>
    </fill>
    <fill>
      <patternFill patternType="solid">
        <fgColor rgb="FFF7F538"/>
        <bgColor indexed="64"/>
      </patternFill>
    </fill>
    <fill>
      <patternFill patternType="solid">
        <fgColor rgb="FFE1E137"/>
        <bgColor indexed="64"/>
      </patternFill>
    </fill>
    <fill>
      <patternFill patternType="solid">
        <fgColor rgb="FFEAEE38"/>
        <bgColor indexed="64"/>
      </patternFill>
    </fill>
    <fill>
      <patternFill patternType="solid">
        <fgColor rgb="FFDDD930"/>
        <bgColor indexed="64"/>
      </patternFill>
    </fill>
    <fill>
      <patternFill patternType="solid">
        <fgColor rgb="FF3489B8"/>
        <bgColor indexed="64"/>
      </patternFill>
    </fill>
    <fill>
      <patternFill patternType="solid">
        <fgColor rgb="FF2BA4FD"/>
        <bgColor indexed="64"/>
      </patternFill>
    </fill>
    <fill>
      <patternFill patternType="solid">
        <fgColor rgb="FF289FFB"/>
        <bgColor indexed="64"/>
      </patternFill>
    </fill>
    <fill>
      <patternFill patternType="solid">
        <fgColor rgb="FF279DFC"/>
        <bgColor indexed="64"/>
      </patternFill>
    </fill>
    <fill>
      <patternFill patternType="solid">
        <fgColor rgb="FFF9F9F9"/>
        <bgColor indexed="64"/>
      </patternFill>
    </fill>
    <fill>
      <patternFill patternType="solid">
        <fgColor rgb="FF8B727B"/>
        <bgColor indexed="64"/>
      </patternFill>
    </fill>
    <fill>
      <patternFill patternType="solid">
        <fgColor rgb="FFA77580"/>
        <bgColor indexed="64"/>
      </patternFill>
    </fill>
    <fill>
      <patternFill patternType="solid">
        <fgColor rgb="FFB76E79"/>
        <bgColor indexed="64"/>
      </patternFill>
    </fill>
    <fill>
      <patternFill patternType="solid">
        <fgColor rgb="FFE84E68"/>
        <bgColor indexed="64"/>
      </patternFill>
    </fill>
    <fill>
      <patternFill patternType="solid">
        <fgColor rgb="FFF85873"/>
        <bgColor indexed="64"/>
      </patternFill>
    </fill>
    <fill>
      <patternFill patternType="solid">
        <fgColor rgb="FFFB5A74"/>
        <bgColor indexed="64"/>
      </patternFill>
    </fill>
    <fill>
      <patternFill patternType="solid">
        <fgColor rgb="FFFA5B75"/>
        <bgColor indexed="64"/>
      </patternFill>
    </fill>
    <fill>
      <patternFill patternType="solid">
        <fgColor rgb="FFFC5C76"/>
        <bgColor indexed="64"/>
      </patternFill>
    </fill>
    <fill>
      <patternFill patternType="solid">
        <fgColor rgb="FFFA5C79"/>
        <bgColor indexed="64"/>
      </patternFill>
    </fill>
    <fill>
      <patternFill patternType="solid">
        <fgColor rgb="FFFB6181"/>
        <bgColor indexed="64"/>
      </patternFill>
    </fill>
    <fill>
      <patternFill patternType="solid">
        <fgColor rgb="FFFB637C"/>
        <bgColor indexed="64"/>
      </patternFill>
    </fill>
    <fill>
      <patternFill patternType="solid">
        <fgColor rgb="FFF75D79"/>
        <bgColor indexed="64"/>
      </patternFill>
    </fill>
    <fill>
      <patternFill patternType="solid">
        <fgColor rgb="FFF45B74"/>
        <bgColor indexed="64"/>
      </patternFill>
    </fill>
    <fill>
      <patternFill patternType="solid">
        <fgColor rgb="FFFD6584"/>
        <bgColor indexed="64"/>
      </patternFill>
    </fill>
    <fill>
      <patternFill patternType="solid">
        <fgColor rgb="FFD24960"/>
        <bgColor indexed="64"/>
      </patternFill>
    </fill>
    <fill>
      <patternFill patternType="solid">
        <fgColor rgb="FFBD7B89"/>
        <bgColor indexed="64"/>
      </patternFill>
    </fill>
    <fill>
      <patternFill patternType="solid">
        <fgColor rgb="FF8C798C"/>
        <bgColor indexed="64"/>
      </patternFill>
    </fill>
    <fill>
      <patternFill patternType="solid">
        <fgColor rgb="FF847B7E"/>
        <bgColor indexed="64"/>
      </patternFill>
    </fill>
    <fill>
      <patternFill patternType="solid">
        <fgColor rgb="FFF8F8F7"/>
        <bgColor indexed="64"/>
      </patternFill>
    </fill>
    <fill>
      <patternFill patternType="solid">
        <fgColor rgb="FFD6D8DD"/>
        <bgColor indexed="64"/>
      </patternFill>
    </fill>
    <fill>
      <patternFill patternType="solid">
        <fgColor rgb="FF4492C7"/>
        <bgColor indexed="64"/>
      </patternFill>
    </fill>
    <fill>
      <patternFill patternType="solid">
        <fgColor rgb="FF45BBFF"/>
        <bgColor indexed="64"/>
      </patternFill>
    </fill>
    <fill>
      <patternFill patternType="solid">
        <fgColor rgb="FF41B1FB"/>
        <bgColor indexed="64"/>
      </patternFill>
    </fill>
    <fill>
      <patternFill patternType="solid">
        <fgColor rgb="FF3DA6F0"/>
        <bgColor indexed="64"/>
      </patternFill>
    </fill>
    <fill>
      <patternFill patternType="solid">
        <fgColor rgb="FF3FB1FE"/>
        <bgColor indexed="64"/>
      </patternFill>
    </fill>
    <fill>
      <patternFill patternType="solid">
        <fgColor rgb="FF4895CC"/>
        <bgColor indexed="64"/>
      </patternFill>
    </fill>
    <fill>
      <patternFill patternType="solid">
        <fgColor rgb="FF4C625D"/>
        <bgColor indexed="64"/>
      </patternFill>
    </fill>
    <fill>
      <patternFill patternType="solid">
        <fgColor rgb="FF838633"/>
        <bgColor indexed="64"/>
      </patternFill>
    </fill>
    <fill>
      <patternFill patternType="solid">
        <fgColor rgb="FFBBB42A"/>
        <bgColor indexed="64"/>
      </patternFill>
    </fill>
    <fill>
      <patternFill patternType="solid">
        <fgColor rgb="FFCDC92F"/>
        <bgColor indexed="64"/>
      </patternFill>
    </fill>
    <fill>
      <patternFill patternType="solid">
        <fgColor rgb="FFC5C12C"/>
        <bgColor indexed="64"/>
      </patternFill>
    </fill>
    <fill>
      <patternFill patternType="solid">
        <fgColor rgb="FFFCFB38"/>
        <bgColor indexed="64"/>
      </patternFill>
    </fill>
    <fill>
      <patternFill patternType="solid">
        <fgColor rgb="FFECE739"/>
        <bgColor indexed="64"/>
      </patternFill>
    </fill>
    <fill>
      <patternFill patternType="solid">
        <fgColor rgb="FF9FA22E"/>
        <bgColor indexed="64"/>
      </patternFill>
    </fill>
    <fill>
      <patternFill patternType="solid">
        <fgColor rgb="FFF8F233"/>
        <bgColor indexed="64"/>
      </patternFill>
    </fill>
    <fill>
      <patternFill patternType="solid">
        <fgColor rgb="FF4F7E6D"/>
        <bgColor indexed="64"/>
      </patternFill>
    </fill>
    <fill>
      <patternFill patternType="solid">
        <fgColor rgb="FF269FFE"/>
        <bgColor indexed="64"/>
      </patternFill>
    </fill>
    <fill>
      <patternFill patternType="solid">
        <fgColor rgb="FF2AA0F9"/>
        <bgColor indexed="64"/>
      </patternFill>
    </fill>
    <fill>
      <patternFill patternType="solid">
        <fgColor rgb="FF289EFB"/>
        <bgColor indexed="64"/>
      </patternFill>
    </fill>
    <fill>
      <patternFill patternType="solid">
        <fgColor rgb="FF269DFC"/>
        <bgColor indexed="64"/>
      </patternFill>
    </fill>
    <fill>
      <patternFill patternType="solid">
        <fgColor rgb="FFFCFCFC"/>
        <bgColor indexed="64"/>
      </patternFill>
    </fill>
    <fill>
      <patternFill patternType="solid">
        <fgColor rgb="FFDCD4D6"/>
        <bgColor indexed="64"/>
      </patternFill>
    </fill>
    <fill>
      <patternFill patternType="solid">
        <fgColor rgb="FFBA4B66"/>
        <bgColor indexed="64"/>
      </patternFill>
    </fill>
    <fill>
      <patternFill patternType="solid">
        <fgColor rgb="FFF05B79"/>
        <bgColor indexed="64"/>
      </patternFill>
    </fill>
    <fill>
      <patternFill patternType="solid">
        <fgColor rgb="FFF35572"/>
        <bgColor indexed="64"/>
      </patternFill>
    </fill>
    <fill>
      <patternFill patternType="solid">
        <fgColor rgb="FFFE5E79"/>
        <bgColor indexed="64"/>
      </patternFill>
    </fill>
    <fill>
      <patternFill patternType="solid">
        <fgColor rgb="FFFB5A72"/>
        <bgColor indexed="64"/>
      </patternFill>
    </fill>
    <fill>
      <patternFill patternType="solid">
        <fgColor rgb="FFFB5974"/>
        <bgColor indexed="64"/>
      </patternFill>
    </fill>
    <fill>
      <patternFill patternType="solid">
        <fgColor rgb="FFFB5B72"/>
        <bgColor indexed="64"/>
      </patternFill>
    </fill>
    <fill>
      <patternFill patternType="solid">
        <fgColor rgb="FFF45C7B"/>
        <bgColor indexed="64"/>
      </patternFill>
    </fill>
    <fill>
      <patternFill patternType="solid">
        <fgColor rgb="FFC4455D"/>
        <bgColor indexed="64"/>
      </patternFill>
    </fill>
    <fill>
      <patternFill patternType="solid">
        <fgColor rgb="FFFB6787"/>
        <bgColor indexed="64"/>
      </patternFill>
    </fill>
    <fill>
      <patternFill patternType="solid">
        <fgColor rgb="FFCF4C6C"/>
        <bgColor indexed="64"/>
      </patternFill>
    </fill>
    <fill>
      <patternFill patternType="solid">
        <fgColor rgb="FF89535E"/>
        <bgColor indexed="64"/>
      </patternFill>
    </fill>
    <fill>
      <patternFill patternType="solid">
        <fgColor rgb="FFF4F3F8"/>
        <bgColor indexed="64"/>
      </patternFill>
    </fill>
    <fill>
      <patternFill patternType="solid">
        <fgColor rgb="FFB1B1C1"/>
        <bgColor indexed="64"/>
      </patternFill>
    </fill>
    <fill>
      <patternFill patternType="solid">
        <fgColor rgb="FFD0D0D5"/>
        <bgColor indexed="64"/>
      </patternFill>
    </fill>
    <fill>
      <patternFill patternType="solid">
        <fgColor rgb="FFD8D9DE"/>
        <bgColor indexed="64"/>
      </patternFill>
    </fill>
    <fill>
      <patternFill patternType="solid">
        <fgColor rgb="FF4790C5"/>
        <bgColor indexed="64"/>
      </patternFill>
    </fill>
    <fill>
      <patternFill patternType="solid">
        <fgColor rgb="FF46BBFF"/>
        <bgColor indexed="64"/>
      </patternFill>
    </fill>
    <fill>
      <patternFill patternType="solid">
        <fgColor rgb="FF41B2FB"/>
        <bgColor indexed="64"/>
      </patternFill>
    </fill>
    <fill>
      <patternFill patternType="solid">
        <fgColor rgb="FF3CA2ED"/>
        <bgColor indexed="64"/>
      </patternFill>
    </fill>
    <fill>
      <patternFill patternType="solid">
        <fgColor rgb="FF3274AD"/>
        <bgColor indexed="64"/>
      </patternFill>
    </fill>
    <fill>
      <patternFill patternType="solid">
        <fgColor rgb="FF3697E4"/>
        <bgColor indexed="64"/>
      </patternFill>
    </fill>
    <fill>
      <patternFill patternType="solid">
        <fgColor rgb="FF57817D"/>
        <bgColor indexed="64"/>
      </patternFill>
    </fill>
    <fill>
      <patternFill patternType="solid">
        <fgColor rgb="FFB4AA22"/>
        <bgColor indexed="64"/>
      </patternFill>
    </fill>
    <fill>
      <patternFill patternType="solid">
        <fgColor rgb="FFF4F03A"/>
        <bgColor indexed="64"/>
      </patternFill>
    </fill>
    <fill>
      <patternFill patternType="solid">
        <fgColor rgb="FFFDFC39"/>
        <bgColor indexed="64"/>
      </patternFill>
    </fill>
    <fill>
      <patternFill patternType="solid">
        <fgColor rgb="FFFCFC38"/>
        <bgColor indexed="64"/>
      </patternFill>
    </fill>
    <fill>
      <patternFill patternType="solid">
        <fgColor rgb="FFFFFD39"/>
        <bgColor indexed="64"/>
      </patternFill>
    </fill>
    <fill>
      <patternFill patternType="solid">
        <fgColor rgb="FF92902D"/>
        <bgColor indexed="64"/>
      </patternFill>
    </fill>
    <fill>
      <patternFill patternType="solid">
        <fgColor rgb="FFD4D037"/>
        <bgColor indexed="64"/>
      </patternFill>
    </fill>
    <fill>
      <patternFill patternType="solid">
        <fgColor rgb="FF81974D"/>
        <bgColor indexed="64"/>
      </patternFill>
    </fill>
    <fill>
      <patternFill patternType="solid">
        <fgColor rgb="FF2195F2"/>
        <bgColor indexed="64"/>
      </patternFill>
    </fill>
    <fill>
      <patternFill patternType="solid">
        <fgColor rgb="FF2CA2FC"/>
        <bgColor indexed="64"/>
      </patternFill>
    </fill>
    <fill>
      <patternFill patternType="solid">
        <fgColor rgb="FF259DFB"/>
        <bgColor indexed="64"/>
      </patternFill>
    </fill>
    <fill>
      <patternFill patternType="solid">
        <fgColor rgb="FFE5E9E9"/>
        <bgColor indexed="64"/>
      </patternFill>
    </fill>
    <fill>
      <patternFill patternType="solid">
        <fgColor rgb="FFA56274"/>
        <bgColor indexed="64"/>
      </patternFill>
    </fill>
    <fill>
      <patternFill patternType="solid">
        <fgColor rgb="FFF55A77"/>
        <bgColor indexed="64"/>
      </patternFill>
    </fill>
    <fill>
      <patternFill patternType="solid">
        <fgColor rgb="FFE8546C"/>
        <bgColor indexed="64"/>
      </patternFill>
    </fill>
    <fill>
      <patternFill patternType="solid">
        <fgColor rgb="FFF3556F"/>
        <bgColor indexed="64"/>
      </patternFill>
    </fill>
    <fill>
      <patternFill patternType="solid">
        <fgColor rgb="FFFC5B74"/>
        <bgColor indexed="64"/>
      </patternFill>
    </fill>
    <fill>
      <patternFill patternType="solid">
        <fgColor rgb="FFFB5972"/>
        <bgColor indexed="64"/>
      </patternFill>
    </fill>
    <fill>
      <patternFill patternType="solid">
        <fgColor rgb="FFFB5C73"/>
        <bgColor indexed="64"/>
      </patternFill>
    </fill>
    <fill>
      <patternFill patternType="solid">
        <fgColor rgb="FFFC5E7F"/>
        <bgColor indexed="64"/>
      </patternFill>
    </fill>
    <fill>
      <patternFill patternType="solid">
        <fgColor rgb="FFFA5B79"/>
        <bgColor indexed="64"/>
      </patternFill>
    </fill>
    <fill>
      <patternFill patternType="solid">
        <fgColor rgb="FFFF607F"/>
        <bgColor indexed="64"/>
      </patternFill>
    </fill>
    <fill>
      <patternFill patternType="solid">
        <fgColor rgb="FFDB516F"/>
        <bgColor indexed="64"/>
      </patternFill>
    </fill>
    <fill>
      <patternFill patternType="solid">
        <fgColor rgb="FFEA5B76"/>
        <bgColor indexed="64"/>
      </patternFill>
    </fill>
    <fill>
      <patternFill patternType="solid">
        <fgColor rgb="FF884E5E"/>
        <bgColor indexed="64"/>
      </patternFill>
    </fill>
    <fill>
      <patternFill patternType="solid">
        <fgColor rgb="FFF0F5F1"/>
        <bgColor indexed="64"/>
      </patternFill>
    </fill>
    <fill>
      <patternFill patternType="solid">
        <fgColor rgb="FFB5BDC8"/>
        <bgColor indexed="64"/>
      </patternFill>
    </fill>
    <fill>
      <patternFill patternType="solid">
        <fgColor rgb="FF398FCB"/>
        <bgColor indexed="64"/>
      </patternFill>
    </fill>
    <fill>
      <patternFill patternType="solid">
        <fgColor rgb="FF4ABCFF"/>
        <bgColor indexed="64"/>
      </patternFill>
    </fill>
    <fill>
      <patternFill patternType="solid">
        <fgColor rgb="FF41ADF6"/>
        <bgColor indexed="64"/>
      </patternFill>
    </fill>
    <fill>
      <patternFill patternType="solid">
        <fgColor rgb="FF4B8AAC"/>
        <bgColor indexed="64"/>
      </patternFill>
    </fill>
    <fill>
      <patternFill patternType="solid">
        <fgColor rgb="FF8F963E"/>
        <bgColor indexed="64"/>
      </patternFill>
    </fill>
    <fill>
      <patternFill patternType="solid">
        <fgColor rgb="FF57796F"/>
        <bgColor indexed="64"/>
      </patternFill>
    </fill>
    <fill>
      <patternFill patternType="solid">
        <fgColor rgb="FF84842A"/>
        <bgColor indexed="64"/>
      </patternFill>
    </fill>
    <fill>
      <patternFill patternType="solid">
        <fgColor rgb="FFC3C22C"/>
        <bgColor indexed="64"/>
      </patternFill>
    </fill>
    <fill>
      <patternFill patternType="solid">
        <fgColor rgb="FFC5C12A"/>
        <bgColor indexed="64"/>
      </patternFill>
    </fill>
    <fill>
      <patternFill patternType="solid">
        <fgColor rgb="FFE3E031"/>
        <bgColor indexed="64"/>
      </patternFill>
    </fill>
    <fill>
      <patternFill patternType="solid">
        <fgColor rgb="FFFAFA37"/>
        <bgColor indexed="64"/>
      </patternFill>
    </fill>
    <fill>
      <patternFill patternType="solid">
        <fgColor rgb="FF9B9A2B"/>
        <bgColor indexed="64"/>
      </patternFill>
    </fill>
    <fill>
      <patternFill patternType="solid">
        <fgColor rgb="FFD5D635"/>
        <bgColor indexed="64"/>
      </patternFill>
    </fill>
    <fill>
      <patternFill patternType="solid">
        <fgColor rgb="FFC7C93A"/>
        <bgColor indexed="64"/>
      </patternFill>
    </fill>
    <fill>
      <patternFill patternType="solid">
        <fgColor rgb="FF1878BF"/>
        <bgColor indexed="64"/>
      </patternFill>
    </fill>
    <fill>
      <patternFill patternType="solid">
        <fgColor rgb="FF289DF7"/>
        <bgColor indexed="64"/>
      </patternFill>
    </fill>
    <fill>
      <patternFill patternType="solid">
        <fgColor rgb="FFFEFEFD"/>
        <bgColor indexed="64"/>
      </patternFill>
    </fill>
    <fill>
      <patternFill patternType="solid">
        <fgColor rgb="FFFCFBFB"/>
        <bgColor indexed="64"/>
      </patternFill>
    </fill>
    <fill>
      <patternFill patternType="solid">
        <fgColor rgb="FFE7E4E7"/>
        <bgColor indexed="64"/>
      </patternFill>
    </fill>
    <fill>
      <patternFill patternType="solid">
        <fgColor rgb="FFB36F7E"/>
        <bgColor indexed="64"/>
      </patternFill>
    </fill>
    <fill>
      <patternFill patternType="solid">
        <fgColor rgb="FFD74964"/>
        <bgColor indexed="64"/>
      </patternFill>
    </fill>
    <fill>
      <patternFill patternType="solid">
        <fgColor rgb="FFF65A74"/>
        <bgColor indexed="64"/>
      </patternFill>
    </fill>
    <fill>
      <patternFill patternType="solid">
        <fgColor rgb="FFFB5A71"/>
        <bgColor indexed="64"/>
      </patternFill>
    </fill>
    <fill>
      <patternFill patternType="solid">
        <fgColor rgb="FFFB5D74"/>
        <bgColor indexed="64"/>
      </patternFill>
    </fill>
    <fill>
      <patternFill patternType="solid">
        <fgColor rgb="FFFB5E76"/>
        <bgColor indexed="64"/>
      </patternFill>
    </fill>
    <fill>
      <patternFill patternType="solid">
        <fgColor rgb="FFF95C7B"/>
        <bgColor indexed="64"/>
      </patternFill>
    </fill>
    <fill>
      <patternFill patternType="solid">
        <fgColor rgb="FFFF607D"/>
        <bgColor indexed="64"/>
      </patternFill>
    </fill>
    <fill>
      <patternFill patternType="solid">
        <fgColor rgb="FFD75069"/>
        <bgColor indexed="64"/>
      </patternFill>
    </fill>
    <fill>
      <patternFill patternType="solid">
        <fgColor rgb="FFBE4758"/>
        <bgColor indexed="64"/>
      </patternFill>
    </fill>
    <fill>
      <patternFill patternType="solid">
        <fgColor rgb="FFAA6D7F"/>
        <bgColor indexed="64"/>
      </patternFill>
    </fill>
    <fill>
      <patternFill patternType="solid">
        <fgColor rgb="FFF8FDFD"/>
        <bgColor indexed="64"/>
      </patternFill>
    </fill>
    <fill>
      <patternFill patternType="solid">
        <fgColor rgb="FFFBFCFD"/>
        <bgColor indexed="64"/>
      </patternFill>
    </fill>
    <fill>
      <patternFill patternType="solid">
        <fgColor rgb="FF91A7BD"/>
        <bgColor indexed="64"/>
      </patternFill>
    </fill>
    <fill>
      <patternFill patternType="solid">
        <fgColor rgb="FF38A0E5"/>
        <bgColor indexed="64"/>
      </patternFill>
    </fill>
    <fill>
      <patternFill patternType="solid">
        <fgColor rgb="FF48B9FF"/>
        <bgColor indexed="64"/>
      </patternFill>
    </fill>
    <fill>
      <patternFill patternType="solid">
        <fgColor rgb="FF41AFF9"/>
        <bgColor indexed="64"/>
      </patternFill>
    </fill>
    <fill>
      <patternFill patternType="solid">
        <fgColor rgb="FF44B6FE"/>
        <bgColor indexed="64"/>
      </patternFill>
    </fill>
    <fill>
      <patternFill patternType="solid">
        <fgColor rgb="FF3FA8F4"/>
        <bgColor indexed="64"/>
      </patternFill>
    </fill>
    <fill>
      <patternFill patternType="solid">
        <fgColor rgb="FF9FB055"/>
        <bgColor indexed="64"/>
      </patternFill>
    </fill>
    <fill>
      <patternFill patternType="solid">
        <fgColor rgb="FFFFFD22"/>
        <bgColor indexed="64"/>
      </patternFill>
    </fill>
    <fill>
      <patternFill patternType="solid">
        <fgColor rgb="FFE7E536"/>
        <bgColor indexed="64"/>
      </patternFill>
    </fill>
    <fill>
      <patternFill patternType="solid">
        <fgColor rgb="FFE3DF33"/>
        <bgColor indexed="64"/>
      </patternFill>
    </fill>
    <fill>
      <patternFill patternType="solid">
        <fgColor rgb="FFEDE934"/>
        <bgColor indexed="64"/>
      </patternFill>
    </fill>
    <fill>
      <patternFill patternType="solid">
        <fgColor rgb="FFF8F837"/>
        <bgColor indexed="64"/>
      </patternFill>
    </fill>
    <fill>
      <patternFill patternType="solid">
        <fgColor rgb="FF85832B"/>
        <bgColor indexed="64"/>
      </patternFill>
    </fill>
    <fill>
      <patternFill patternType="solid">
        <fgColor rgb="FF777F26"/>
        <bgColor indexed="64"/>
      </patternFill>
    </fill>
    <fill>
      <patternFill patternType="solid">
        <fgColor rgb="FFFFFD28"/>
        <bgColor indexed="64"/>
      </patternFill>
    </fill>
    <fill>
      <patternFill patternType="solid">
        <fgColor rgb="FF839C58"/>
        <bgColor indexed="64"/>
      </patternFill>
    </fill>
    <fill>
      <patternFill patternType="solid">
        <fgColor rgb="FF2194EA"/>
        <bgColor indexed="64"/>
      </patternFill>
    </fill>
    <fill>
      <patternFill patternType="solid">
        <fgColor rgb="FF28A1FC"/>
        <bgColor indexed="64"/>
      </patternFill>
    </fill>
    <fill>
      <patternFill patternType="solid">
        <fgColor rgb="FF279EFA"/>
        <bgColor indexed="64"/>
      </patternFill>
    </fill>
    <fill>
      <patternFill patternType="solid">
        <fgColor rgb="FFDFDFDF"/>
        <bgColor indexed="64"/>
      </patternFill>
    </fill>
    <fill>
      <patternFill patternType="solid">
        <fgColor rgb="FFE2E3E2"/>
        <bgColor indexed="64"/>
      </patternFill>
    </fill>
    <fill>
      <patternFill patternType="solid">
        <fgColor rgb="FFEEF8F6"/>
        <bgColor indexed="64"/>
      </patternFill>
    </fill>
    <fill>
      <patternFill patternType="solid">
        <fgColor rgb="FFA35262"/>
        <bgColor indexed="64"/>
      </patternFill>
    </fill>
    <fill>
      <patternFill patternType="solid">
        <fgColor rgb="FFEF526B"/>
        <bgColor indexed="64"/>
      </patternFill>
    </fill>
    <fill>
      <patternFill patternType="solid">
        <fgColor rgb="FFFF607A"/>
        <bgColor indexed="64"/>
      </patternFill>
    </fill>
    <fill>
      <patternFill patternType="solid">
        <fgColor rgb="FFFD5C74"/>
        <bgColor indexed="64"/>
      </patternFill>
    </fill>
    <fill>
      <patternFill patternType="solid">
        <fgColor rgb="FFFF5D74"/>
        <bgColor indexed="64"/>
      </patternFill>
    </fill>
    <fill>
      <patternFill patternType="solid">
        <fgColor rgb="FFFB5D73"/>
        <bgColor indexed="64"/>
      </patternFill>
    </fill>
    <fill>
      <patternFill patternType="solid">
        <fgColor rgb="FFFC5E7D"/>
        <bgColor indexed="64"/>
      </patternFill>
    </fill>
    <fill>
      <patternFill patternType="solid">
        <fgColor rgb="FFFF5F7E"/>
        <bgColor indexed="64"/>
      </patternFill>
    </fill>
    <fill>
      <patternFill patternType="solid">
        <fgColor rgb="FFD0526C"/>
        <bgColor indexed="64"/>
      </patternFill>
    </fill>
    <fill>
      <patternFill patternType="solid">
        <fgColor rgb="FF9A374B"/>
        <bgColor indexed="64"/>
      </patternFill>
    </fill>
    <fill>
      <patternFill patternType="solid">
        <fgColor rgb="FFDB4D65"/>
        <bgColor indexed="64"/>
      </patternFill>
    </fill>
    <fill>
      <patternFill patternType="solid">
        <fgColor rgb="FFBF9CA6"/>
        <bgColor indexed="64"/>
      </patternFill>
    </fill>
    <fill>
      <patternFill patternType="solid">
        <fgColor rgb="FFF2EFEC"/>
        <bgColor indexed="64"/>
      </patternFill>
    </fill>
    <fill>
      <patternFill patternType="solid">
        <fgColor rgb="FF5186B4"/>
        <bgColor indexed="64"/>
      </patternFill>
    </fill>
    <fill>
      <patternFill patternType="solid">
        <fgColor rgb="FF44B6FD"/>
        <bgColor indexed="64"/>
      </patternFill>
    </fill>
    <fill>
      <patternFill patternType="solid">
        <fgColor rgb="FF44B3FB"/>
        <bgColor indexed="64"/>
      </patternFill>
    </fill>
    <fill>
      <patternFill patternType="solid">
        <fgColor rgb="FF43B2FD"/>
        <bgColor indexed="64"/>
      </patternFill>
    </fill>
    <fill>
      <patternFill patternType="solid">
        <fgColor rgb="FF43ABEC"/>
        <bgColor indexed="64"/>
      </patternFill>
    </fill>
    <fill>
      <patternFill patternType="solid">
        <fgColor rgb="FF46B1EE"/>
        <bgColor indexed="64"/>
      </patternFill>
    </fill>
    <fill>
      <patternFill patternType="solid">
        <fgColor rgb="FF2D89E1"/>
        <bgColor indexed="64"/>
      </patternFill>
    </fill>
    <fill>
      <patternFill patternType="solid">
        <fgColor rgb="FF819A5E"/>
        <bgColor indexed="64"/>
      </patternFill>
    </fill>
    <fill>
      <patternFill patternType="solid">
        <fgColor rgb="FFF4F334"/>
        <bgColor indexed="64"/>
      </patternFill>
    </fill>
    <fill>
      <patternFill patternType="solid">
        <fgColor rgb="FFF9F739"/>
        <bgColor indexed="64"/>
      </patternFill>
    </fill>
    <fill>
      <patternFill patternType="solid">
        <fgColor rgb="FFFDFD37"/>
        <bgColor indexed="64"/>
      </patternFill>
    </fill>
    <fill>
      <patternFill patternType="solid">
        <fgColor rgb="FFF9F837"/>
        <bgColor indexed="64"/>
      </patternFill>
    </fill>
    <fill>
      <patternFill patternType="solid">
        <fgColor rgb="FFFFFE32"/>
        <bgColor indexed="64"/>
      </patternFill>
    </fill>
    <fill>
      <patternFill patternType="solid">
        <fgColor rgb="FF7C9655"/>
        <bgColor indexed="64"/>
      </patternFill>
    </fill>
    <fill>
      <patternFill patternType="solid">
        <fgColor rgb="FF1E6EBE"/>
        <bgColor indexed="64"/>
      </patternFill>
    </fill>
    <fill>
      <patternFill patternType="solid">
        <fgColor rgb="FF6D9770"/>
        <bgColor indexed="64"/>
      </patternFill>
    </fill>
    <fill>
      <patternFill patternType="solid">
        <fgColor rgb="FF8FA966"/>
        <bgColor indexed="64"/>
      </patternFill>
    </fill>
    <fill>
      <patternFill patternType="solid">
        <fgColor rgb="FF2B77B2"/>
        <bgColor indexed="64"/>
      </patternFill>
    </fill>
    <fill>
      <patternFill patternType="solid">
        <fgColor rgb="FF28A0FB"/>
        <bgColor indexed="64"/>
      </patternFill>
    </fill>
    <fill>
      <patternFill patternType="solid">
        <fgColor rgb="FF28A1F9"/>
        <bgColor indexed="64"/>
      </patternFill>
    </fill>
    <fill>
      <patternFill patternType="solid">
        <fgColor rgb="FF83797A"/>
        <bgColor indexed="64"/>
      </patternFill>
    </fill>
    <fill>
      <patternFill patternType="solid">
        <fgColor rgb="FFA98A8F"/>
        <bgColor indexed="64"/>
      </patternFill>
    </fill>
    <fill>
      <patternFill patternType="solid">
        <fgColor rgb="FFB299A0"/>
        <bgColor indexed="64"/>
      </patternFill>
    </fill>
    <fill>
      <patternFill patternType="solid">
        <fgColor rgb="FFA24A5D"/>
        <bgColor indexed="64"/>
      </patternFill>
    </fill>
    <fill>
      <patternFill patternType="solid">
        <fgColor rgb="FFEA566C"/>
        <bgColor indexed="64"/>
      </patternFill>
    </fill>
    <fill>
      <patternFill patternType="solid">
        <fgColor rgb="FFE45064"/>
        <bgColor indexed="64"/>
      </patternFill>
    </fill>
    <fill>
      <patternFill patternType="solid">
        <fgColor rgb="FFDC4C5E"/>
        <bgColor indexed="64"/>
      </patternFill>
    </fill>
    <fill>
      <patternFill patternType="solid">
        <fgColor rgb="FFFA5E7A"/>
        <bgColor indexed="64"/>
      </patternFill>
    </fill>
    <fill>
      <patternFill patternType="solid">
        <fgColor rgb="FFFA5E79"/>
        <bgColor indexed="64"/>
      </patternFill>
    </fill>
    <fill>
      <patternFill patternType="solid">
        <fgColor rgb="FFFC5F81"/>
        <bgColor indexed="64"/>
      </patternFill>
    </fill>
    <fill>
      <patternFill patternType="solid">
        <fgColor rgb="FFFC6182"/>
        <bgColor indexed="64"/>
      </patternFill>
    </fill>
    <fill>
      <patternFill patternType="solid">
        <fgColor rgb="FFFF5E7D"/>
        <bgColor indexed="64"/>
      </patternFill>
    </fill>
    <fill>
      <patternFill patternType="solid">
        <fgColor rgb="FFC45871"/>
        <bgColor indexed="64"/>
      </patternFill>
    </fill>
    <fill>
      <patternFill patternType="solid">
        <fgColor rgb="FF994A5F"/>
        <bgColor indexed="64"/>
      </patternFill>
    </fill>
    <fill>
      <patternFill patternType="solid">
        <fgColor rgb="FFB8465D"/>
        <bgColor indexed="64"/>
      </patternFill>
    </fill>
    <fill>
      <patternFill patternType="solid">
        <fgColor rgb="FFD8D1D5"/>
        <bgColor indexed="64"/>
      </patternFill>
    </fill>
    <fill>
      <patternFill patternType="solid">
        <fgColor rgb="FFFAF5F2"/>
        <bgColor indexed="64"/>
      </patternFill>
    </fill>
    <fill>
      <patternFill patternType="solid">
        <fgColor rgb="FF7492B3"/>
        <bgColor indexed="64"/>
      </patternFill>
    </fill>
    <fill>
      <patternFill patternType="solid">
        <fgColor rgb="FF39A3E7"/>
        <bgColor indexed="64"/>
      </patternFill>
    </fill>
    <fill>
      <patternFill patternType="solid">
        <fgColor rgb="FF45B9FD"/>
        <bgColor indexed="64"/>
      </patternFill>
    </fill>
    <fill>
      <patternFill patternType="solid">
        <fgColor rgb="FF43B5FC"/>
        <bgColor indexed="64"/>
      </patternFill>
    </fill>
    <fill>
      <patternFill patternType="solid">
        <fgColor rgb="FF3791DC"/>
        <bgColor indexed="64"/>
      </patternFill>
    </fill>
    <fill>
      <patternFill patternType="solid">
        <fgColor rgb="FF2E6298"/>
        <bgColor indexed="64"/>
      </patternFill>
    </fill>
    <fill>
      <patternFill patternType="solid">
        <fgColor rgb="FF5F8176"/>
        <bgColor indexed="64"/>
      </patternFill>
    </fill>
    <fill>
      <patternFill patternType="solid">
        <fgColor rgb="FF8AA56F"/>
        <bgColor indexed="64"/>
      </patternFill>
    </fill>
    <fill>
      <patternFill patternType="solid">
        <fgColor rgb="FF6D876A"/>
        <bgColor indexed="64"/>
      </patternFill>
    </fill>
    <fill>
      <patternFill patternType="solid">
        <fgColor rgb="FFA8A52D"/>
        <bgColor indexed="64"/>
      </patternFill>
    </fill>
    <fill>
      <patternFill patternType="solid">
        <fgColor rgb="FFE6E537"/>
        <bgColor indexed="64"/>
      </patternFill>
    </fill>
    <fill>
      <patternFill patternType="solid">
        <fgColor rgb="FFF8F73A"/>
        <bgColor indexed="64"/>
      </patternFill>
    </fill>
    <fill>
      <patternFill patternType="solid">
        <fgColor rgb="FFE2DE32"/>
        <bgColor indexed="64"/>
      </patternFill>
    </fill>
    <fill>
      <patternFill patternType="solid">
        <fgColor rgb="FFEDEA35"/>
        <bgColor indexed="64"/>
      </patternFill>
    </fill>
    <fill>
      <patternFill patternType="solid">
        <fgColor rgb="FFFEFE3C"/>
        <bgColor indexed="64"/>
      </patternFill>
    </fill>
    <fill>
      <patternFill patternType="solid">
        <fgColor rgb="FFD4D536"/>
        <bgColor indexed="64"/>
      </patternFill>
    </fill>
    <fill>
      <patternFill patternType="solid">
        <fgColor rgb="FFBBBE34"/>
        <bgColor indexed="64"/>
      </patternFill>
    </fill>
    <fill>
      <patternFill patternType="solid">
        <fgColor rgb="FFFAF430"/>
        <bgColor indexed="64"/>
      </patternFill>
    </fill>
    <fill>
      <patternFill patternType="solid">
        <fgColor rgb="FF559593"/>
        <bgColor indexed="64"/>
      </patternFill>
    </fill>
    <fill>
      <patternFill patternType="solid">
        <fgColor rgb="FF2FA4FF"/>
        <bgColor indexed="64"/>
      </patternFill>
    </fill>
    <fill>
      <patternFill patternType="solid">
        <fgColor rgb="FF29A2FF"/>
        <bgColor indexed="64"/>
      </patternFill>
    </fill>
    <fill>
      <patternFill patternType="solid">
        <fgColor rgb="FF36ABFC"/>
        <bgColor indexed="64"/>
      </patternFill>
    </fill>
    <fill>
      <patternFill patternType="solid">
        <fgColor rgb="FF35A9FA"/>
        <bgColor indexed="64"/>
      </patternFill>
    </fill>
    <fill>
      <patternFill patternType="solid">
        <fgColor rgb="FFDEDBDC"/>
        <bgColor indexed="64"/>
      </patternFill>
    </fill>
    <fill>
      <patternFill patternType="solid">
        <fgColor rgb="FF933E51"/>
        <bgColor indexed="64"/>
      </patternFill>
    </fill>
    <fill>
      <patternFill patternType="solid">
        <fgColor rgb="FFDC5975"/>
        <bgColor indexed="64"/>
      </patternFill>
    </fill>
    <fill>
      <patternFill patternType="solid">
        <fgColor rgb="FFD45E74"/>
        <bgColor indexed="64"/>
      </patternFill>
    </fill>
    <fill>
      <patternFill patternType="solid">
        <fgColor rgb="FFD75064"/>
        <bgColor indexed="64"/>
      </patternFill>
    </fill>
    <fill>
      <patternFill patternType="solid">
        <fgColor rgb="FFF0556E"/>
        <bgColor indexed="64"/>
      </patternFill>
    </fill>
    <fill>
      <patternFill patternType="solid">
        <fgColor rgb="FFEE546B"/>
        <bgColor indexed="64"/>
      </patternFill>
    </fill>
    <fill>
      <patternFill patternType="solid">
        <fgColor rgb="FFF95B76"/>
        <bgColor indexed="64"/>
      </patternFill>
    </fill>
    <fill>
      <patternFill patternType="solid">
        <fgColor rgb="FFFC5D74"/>
        <bgColor indexed="64"/>
      </patternFill>
    </fill>
    <fill>
      <patternFill patternType="solid">
        <fgColor rgb="FFFB5F77"/>
        <bgColor indexed="64"/>
      </patternFill>
    </fill>
    <fill>
      <patternFill patternType="solid">
        <fgColor rgb="FFFB617F"/>
        <bgColor indexed="64"/>
      </patternFill>
    </fill>
    <fill>
      <patternFill patternType="solid">
        <fgColor rgb="FFFA5E7D"/>
        <bgColor indexed="64"/>
      </patternFill>
    </fill>
    <fill>
      <patternFill patternType="solid">
        <fgColor rgb="FFFF5B7C"/>
        <bgColor indexed="64"/>
      </patternFill>
    </fill>
    <fill>
      <patternFill patternType="solid">
        <fgColor rgb="FFCC7086"/>
        <bgColor indexed="64"/>
      </patternFill>
    </fill>
    <fill>
      <patternFill patternType="solid">
        <fgColor rgb="FF916271"/>
        <bgColor indexed="64"/>
      </patternFill>
    </fill>
    <fill>
      <patternFill patternType="solid">
        <fgColor rgb="FFA76F80"/>
        <bgColor indexed="64"/>
      </patternFill>
    </fill>
    <fill>
      <patternFill patternType="solid">
        <fgColor rgb="FFFCFDFF"/>
        <bgColor indexed="64"/>
      </patternFill>
    </fill>
    <fill>
      <patternFill patternType="solid">
        <fgColor rgb="FFDDDADD"/>
        <bgColor indexed="64"/>
      </patternFill>
    </fill>
    <fill>
      <patternFill patternType="solid">
        <fgColor rgb="FF628AB2"/>
        <bgColor indexed="64"/>
      </patternFill>
    </fill>
    <fill>
      <patternFill patternType="solid">
        <fgColor rgb="FF39A0E8"/>
        <bgColor indexed="64"/>
      </patternFill>
    </fill>
    <fill>
      <patternFill patternType="solid">
        <fgColor rgb="FF46BAFE"/>
        <bgColor indexed="64"/>
      </patternFill>
    </fill>
    <fill>
      <patternFill patternType="solid">
        <fgColor rgb="FF42B2FA"/>
        <bgColor indexed="64"/>
      </patternFill>
    </fill>
    <fill>
      <patternFill patternType="solid">
        <fgColor rgb="FF44B3FC"/>
        <bgColor indexed="64"/>
      </patternFill>
    </fill>
    <fill>
      <patternFill patternType="solid">
        <fgColor rgb="FF41AEF6"/>
        <bgColor indexed="64"/>
      </patternFill>
    </fill>
    <fill>
      <patternFill patternType="solid">
        <fgColor rgb="FF42AFF7"/>
        <bgColor indexed="64"/>
      </patternFill>
    </fill>
    <fill>
      <patternFill patternType="solid">
        <fgColor rgb="FF6A9E97"/>
        <bgColor indexed="64"/>
      </patternFill>
    </fill>
    <fill>
      <patternFill patternType="solid">
        <fgColor rgb="FFC5BA24"/>
        <bgColor indexed="64"/>
      </patternFill>
    </fill>
    <fill>
      <patternFill patternType="solid">
        <fgColor rgb="FFEADD22"/>
        <bgColor indexed="64"/>
      </patternFill>
    </fill>
    <fill>
      <patternFill patternType="solid">
        <fgColor rgb="FFEFE422"/>
        <bgColor indexed="64"/>
      </patternFill>
    </fill>
    <fill>
      <patternFill patternType="solid">
        <fgColor rgb="FFFDF730"/>
        <bgColor indexed="64"/>
      </patternFill>
    </fill>
    <fill>
      <patternFill patternType="solid">
        <fgColor rgb="FFF8F639"/>
        <bgColor indexed="64"/>
      </patternFill>
    </fill>
    <fill>
      <patternFill patternType="solid">
        <fgColor rgb="FFE0DC31"/>
        <bgColor indexed="64"/>
      </patternFill>
    </fill>
    <fill>
      <patternFill patternType="solid">
        <fgColor rgb="FFF6F337"/>
        <bgColor indexed="64"/>
      </patternFill>
    </fill>
    <fill>
      <patternFill patternType="solid">
        <fgColor rgb="FFFBFA44"/>
        <bgColor indexed="64"/>
      </patternFill>
    </fill>
    <fill>
      <patternFill patternType="solid">
        <fgColor rgb="FFFFFF43"/>
        <bgColor indexed="64"/>
      </patternFill>
    </fill>
    <fill>
      <patternFill patternType="solid">
        <fgColor rgb="FFB4B431"/>
        <bgColor indexed="64"/>
      </patternFill>
    </fill>
    <fill>
      <patternFill patternType="solid">
        <fgColor rgb="FFBEBB2C"/>
        <bgColor indexed="64"/>
      </patternFill>
    </fill>
    <fill>
      <patternFill patternType="solid">
        <fgColor rgb="FFAEC34B"/>
        <bgColor indexed="64"/>
      </patternFill>
    </fill>
    <fill>
      <patternFill patternType="solid">
        <fgColor rgb="FF329CE7"/>
        <bgColor indexed="64"/>
      </patternFill>
    </fill>
    <fill>
      <patternFill patternType="solid">
        <fgColor rgb="FF38AEFB"/>
        <bgColor indexed="64"/>
      </patternFill>
    </fill>
    <fill>
      <patternFill patternType="solid">
        <fgColor rgb="FF36ABF7"/>
        <bgColor indexed="64"/>
      </patternFill>
    </fill>
    <fill>
      <patternFill patternType="solid">
        <fgColor rgb="FF33ABFB"/>
        <bgColor indexed="64"/>
      </patternFill>
    </fill>
    <fill>
      <patternFill patternType="solid">
        <fgColor rgb="FF30A8FB"/>
        <bgColor indexed="64"/>
      </patternFill>
    </fill>
    <fill>
      <patternFill patternType="solid">
        <fgColor rgb="FFD5BBC2"/>
        <bgColor indexed="64"/>
      </patternFill>
    </fill>
    <fill>
      <patternFill patternType="solid">
        <fgColor rgb="FFC84C64"/>
        <bgColor indexed="64"/>
      </patternFill>
    </fill>
    <fill>
      <patternFill patternType="solid">
        <fgColor rgb="FFFF6379"/>
        <bgColor indexed="64"/>
      </patternFill>
    </fill>
    <fill>
      <patternFill patternType="solid">
        <fgColor rgb="FFFF6279"/>
        <bgColor indexed="64"/>
      </patternFill>
    </fill>
    <fill>
      <patternFill patternType="solid">
        <fgColor rgb="FFFF5F77"/>
        <bgColor indexed="64"/>
      </patternFill>
    </fill>
    <fill>
      <patternFill patternType="solid">
        <fgColor rgb="FFFB5F79"/>
        <bgColor indexed="64"/>
      </patternFill>
    </fill>
    <fill>
      <patternFill patternType="solid">
        <fgColor rgb="FFFB6079"/>
        <bgColor indexed="64"/>
      </patternFill>
    </fill>
    <fill>
      <patternFill patternType="solid">
        <fgColor rgb="FFFB5E77"/>
        <bgColor indexed="64"/>
      </patternFill>
    </fill>
    <fill>
      <patternFill patternType="solid">
        <fgColor rgb="FFFA6380"/>
        <bgColor indexed="64"/>
      </patternFill>
    </fill>
    <fill>
      <patternFill patternType="solid">
        <fgColor rgb="FFFB6382"/>
        <bgColor indexed="64"/>
      </patternFill>
    </fill>
    <fill>
      <patternFill patternType="solid">
        <fgColor rgb="FFFA5F7E"/>
        <bgColor indexed="64"/>
      </patternFill>
    </fill>
    <fill>
      <patternFill patternType="solid">
        <fgColor rgb="FFFF6180"/>
        <bgColor indexed="64"/>
      </patternFill>
    </fill>
    <fill>
      <patternFill patternType="solid">
        <fgColor rgb="FFF25A77"/>
        <bgColor indexed="64"/>
      </patternFill>
    </fill>
    <fill>
      <patternFill patternType="solid">
        <fgColor rgb="FFE74F6E"/>
        <bgColor indexed="64"/>
      </patternFill>
    </fill>
    <fill>
      <patternFill patternType="solid">
        <fgColor rgb="FFBF7F8E"/>
        <bgColor indexed="64"/>
      </patternFill>
    </fill>
    <fill>
      <patternFill patternType="solid">
        <fgColor rgb="FF90828B"/>
        <bgColor indexed="64"/>
      </patternFill>
    </fill>
    <fill>
      <patternFill patternType="solid">
        <fgColor rgb="FFCCC2C7"/>
        <bgColor indexed="64"/>
      </patternFill>
    </fill>
    <fill>
      <patternFill patternType="solid">
        <fgColor rgb="FFECE7E5"/>
        <bgColor indexed="64"/>
      </patternFill>
    </fill>
    <fill>
      <patternFill patternType="solid">
        <fgColor rgb="FF9BACBF"/>
        <bgColor indexed="64"/>
      </patternFill>
    </fill>
    <fill>
      <patternFill patternType="solid">
        <fgColor rgb="FF468BC5"/>
        <bgColor indexed="64"/>
      </patternFill>
    </fill>
    <fill>
      <patternFill patternType="solid">
        <fgColor rgb="FF3CADF8"/>
        <bgColor indexed="64"/>
      </patternFill>
    </fill>
    <fill>
      <patternFill patternType="solid">
        <fgColor rgb="FF47B8FF"/>
        <bgColor indexed="64"/>
      </patternFill>
    </fill>
    <fill>
      <patternFill patternType="solid">
        <fgColor rgb="FF40B1FA"/>
        <bgColor indexed="64"/>
      </patternFill>
    </fill>
    <fill>
      <patternFill patternType="solid">
        <fgColor rgb="FF43B1FC"/>
        <bgColor indexed="64"/>
      </patternFill>
    </fill>
    <fill>
      <patternFill patternType="solid">
        <fgColor rgb="FF42B0FB"/>
        <bgColor indexed="64"/>
      </patternFill>
    </fill>
    <fill>
      <patternFill patternType="solid">
        <fgColor rgb="FF42B4FC"/>
        <bgColor indexed="64"/>
      </patternFill>
    </fill>
    <fill>
      <patternFill patternType="solid">
        <fgColor rgb="FF44B8FB"/>
        <bgColor indexed="64"/>
      </patternFill>
    </fill>
    <fill>
      <patternFill patternType="solid">
        <fgColor rgb="FF44B7FC"/>
        <bgColor indexed="64"/>
      </patternFill>
    </fill>
    <fill>
      <patternFill patternType="solid">
        <fgColor rgb="FF3EB2FF"/>
        <bgColor indexed="64"/>
      </patternFill>
    </fill>
    <fill>
      <patternFill patternType="solid">
        <fgColor rgb="FF4291C9"/>
        <bgColor indexed="64"/>
      </patternFill>
    </fill>
    <fill>
      <patternFill patternType="solid">
        <fgColor rgb="FF6F9A88"/>
        <bgColor indexed="64"/>
      </patternFill>
    </fill>
    <fill>
      <patternFill patternType="solid">
        <fgColor rgb="FF87AB80"/>
        <bgColor indexed="64"/>
      </patternFill>
    </fill>
    <fill>
      <patternFill patternType="solid">
        <fgColor rgb="FF8E9C4C"/>
        <bgColor indexed="64"/>
      </patternFill>
    </fill>
    <fill>
      <patternFill patternType="solid">
        <fgColor rgb="FFC3BC2B"/>
        <bgColor indexed="64"/>
      </patternFill>
    </fill>
    <fill>
      <patternFill patternType="solid">
        <fgColor rgb="FFF1EF38"/>
        <bgColor indexed="64"/>
      </patternFill>
    </fill>
    <fill>
      <patternFill patternType="solid">
        <fgColor rgb="FFFFFC39"/>
        <bgColor indexed="64"/>
      </patternFill>
    </fill>
    <fill>
      <patternFill patternType="solid">
        <fgColor rgb="FFFFFE3A"/>
        <bgColor indexed="64"/>
      </patternFill>
    </fill>
    <fill>
      <patternFill patternType="solid">
        <fgColor rgb="FFFFFE40"/>
        <bgColor indexed="64"/>
      </patternFill>
    </fill>
    <fill>
      <patternFill patternType="solid">
        <fgColor rgb="FFFEFE42"/>
        <bgColor indexed="64"/>
      </patternFill>
    </fill>
    <fill>
      <patternFill patternType="solid">
        <fgColor rgb="FFFDF935"/>
        <bgColor indexed="64"/>
      </patternFill>
    </fill>
    <fill>
      <patternFill patternType="solid">
        <fgColor rgb="FFA8A92B"/>
        <bgColor indexed="64"/>
      </patternFill>
    </fill>
    <fill>
      <patternFill patternType="solid">
        <fgColor rgb="FF4992A0"/>
        <bgColor indexed="64"/>
      </patternFill>
    </fill>
    <fill>
      <patternFill patternType="solid">
        <fgColor rgb="FF2EA6FA"/>
        <bgColor indexed="64"/>
      </patternFill>
    </fill>
    <fill>
      <patternFill patternType="solid">
        <fgColor rgb="FF2BA4FB"/>
        <bgColor indexed="64"/>
      </patternFill>
    </fill>
    <fill>
      <patternFill patternType="solid">
        <fgColor rgb="FFCEA3AB"/>
        <bgColor indexed="64"/>
      </patternFill>
    </fill>
    <fill>
      <patternFill patternType="solid">
        <fgColor rgb="FFDF4B63"/>
        <bgColor indexed="64"/>
      </patternFill>
    </fill>
    <fill>
      <patternFill patternType="solid">
        <fgColor rgb="FFFF6079"/>
        <bgColor indexed="64"/>
      </patternFill>
    </fill>
    <fill>
      <patternFill patternType="solid">
        <fgColor rgb="FFE65267"/>
        <bgColor indexed="64"/>
      </patternFill>
    </fill>
    <fill>
      <patternFill patternType="solid">
        <fgColor rgb="FFF1576C"/>
        <bgColor indexed="64"/>
      </patternFill>
    </fill>
    <fill>
      <patternFill patternType="solid">
        <fgColor rgb="FFFA5F80"/>
        <bgColor indexed="64"/>
      </patternFill>
    </fill>
    <fill>
      <patternFill patternType="solid">
        <fgColor rgb="FFFD6282"/>
        <bgColor indexed="64"/>
      </patternFill>
    </fill>
    <fill>
      <patternFill patternType="solid">
        <fgColor rgb="FFFE6282"/>
        <bgColor indexed="64"/>
      </patternFill>
    </fill>
    <fill>
      <patternFill patternType="solid">
        <fgColor rgb="FFF95E7F"/>
        <bgColor indexed="64"/>
      </patternFill>
    </fill>
    <fill>
      <patternFill patternType="solid">
        <fgColor rgb="FFFD6181"/>
        <bgColor indexed="64"/>
      </patternFill>
    </fill>
    <fill>
      <patternFill patternType="solid">
        <fgColor rgb="FFE2526C"/>
        <bgColor indexed="64"/>
      </patternFill>
    </fill>
    <fill>
      <patternFill patternType="solid">
        <fgColor rgb="FFF55D7B"/>
        <bgColor indexed="64"/>
      </patternFill>
    </fill>
    <fill>
      <patternFill patternType="solid">
        <fgColor rgb="FFD84C6A"/>
        <bgColor indexed="64"/>
      </patternFill>
    </fill>
    <fill>
      <patternFill patternType="solid">
        <fgColor rgb="FFB295A2"/>
        <bgColor indexed="64"/>
      </patternFill>
    </fill>
    <fill>
      <patternFill patternType="solid">
        <fgColor rgb="FFB9B4BC"/>
        <bgColor indexed="64"/>
      </patternFill>
    </fill>
    <fill>
      <patternFill patternType="solid">
        <fgColor rgb="FFFFFFFA"/>
        <bgColor indexed="64"/>
      </patternFill>
    </fill>
    <fill>
      <patternFill patternType="solid">
        <fgColor rgb="FFF0ECEB"/>
        <bgColor indexed="64"/>
      </patternFill>
    </fill>
    <fill>
      <patternFill patternType="solid">
        <fgColor rgb="FFC1C7D1"/>
        <bgColor indexed="64"/>
      </patternFill>
    </fill>
    <fill>
      <patternFill patternType="solid">
        <fgColor rgb="FF829BBB"/>
        <bgColor indexed="64"/>
      </patternFill>
    </fill>
    <fill>
      <patternFill patternType="solid">
        <fgColor rgb="FF4A8BC3"/>
        <bgColor indexed="64"/>
      </patternFill>
    </fill>
    <fill>
      <patternFill patternType="solid">
        <fgColor rgb="FF359BE5"/>
        <bgColor indexed="64"/>
      </patternFill>
    </fill>
    <fill>
      <patternFill patternType="solid">
        <fgColor rgb="FF40B0FA"/>
        <bgColor indexed="64"/>
      </patternFill>
    </fill>
    <fill>
      <patternFill patternType="solid">
        <fgColor rgb="FF3FB0FA"/>
        <bgColor indexed="64"/>
      </patternFill>
    </fill>
    <fill>
      <patternFill patternType="solid">
        <fgColor rgb="FF42B3F9"/>
        <bgColor indexed="64"/>
      </patternFill>
    </fill>
    <fill>
      <patternFill patternType="solid">
        <fgColor rgb="FF44B9FC"/>
        <bgColor indexed="64"/>
      </patternFill>
    </fill>
    <fill>
      <patternFill patternType="solid">
        <fgColor rgb="FF399BE2"/>
        <bgColor indexed="64"/>
      </patternFill>
    </fill>
    <fill>
      <patternFill patternType="solid">
        <fgColor rgb="FF428CB8"/>
        <bgColor indexed="64"/>
      </patternFill>
    </fill>
    <fill>
      <patternFill patternType="solid">
        <fgColor rgb="FF4F9FBE"/>
        <bgColor indexed="64"/>
      </patternFill>
    </fill>
    <fill>
      <patternFill patternType="solid">
        <fgColor rgb="FF559AB2"/>
        <bgColor indexed="64"/>
      </patternFill>
    </fill>
    <fill>
      <patternFill patternType="solid">
        <fgColor rgb="FF96A758"/>
        <bgColor indexed="64"/>
      </patternFill>
    </fill>
    <fill>
      <patternFill patternType="solid">
        <fgColor rgb="FFF8F83D"/>
        <bgColor indexed="64"/>
      </patternFill>
    </fill>
    <fill>
      <patternFill patternType="solid">
        <fgColor rgb="FFFCFC3A"/>
        <bgColor indexed="64"/>
      </patternFill>
    </fill>
    <fill>
      <patternFill patternType="solid">
        <fgColor rgb="FFFFFF3A"/>
        <bgColor indexed="64"/>
      </patternFill>
    </fill>
    <fill>
      <patternFill patternType="solid">
        <fgColor rgb="FFEFEC39"/>
        <bgColor indexed="64"/>
      </patternFill>
    </fill>
    <fill>
      <patternFill patternType="solid">
        <fgColor rgb="FFF5F237"/>
        <bgColor indexed="64"/>
      </patternFill>
    </fill>
    <fill>
      <patternFill patternType="solid">
        <fgColor rgb="FFFCFA40"/>
        <bgColor indexed="64"/>
      </patternFill>
    </fill>
    <fill>
      <patternFill patternType="solid">
        <fgColor rgb="FFDBDB39"/>
        <bgColor indexed="64"/>
      </patternFill>
    </fill>
    <fill>
      <patternFill patternType="solid">
        <fgColor rgb="FFFEFA31"/>
        <bgColor indexed="64"/>
      </patternFill>
    </fill>
    <fill>
      <patternFill patternType="solid">
        <fgColor rgb="FF81A96D"/>
        <bgColor indexed="64"/>
      </patternFill>
    </fill>
    <fill>
      <patternFill patternType="solid">
        <fgColor rgb="FF87AC70"/>
        <bgColor indexed="64"/>
      </patternFill>
    </fill>
    <fill>
      <patternFill patternType="solid">
        <fgColor rgb="FFA6B644"/>
        <bgColor indexed="64"/>
      </patternFill>
    </fill>
    <fill>
      <patternFill patternType="solid">
        <fgColor rgb="FF2D9EED"/>
        <bgColor indexed="64"/>
      </patternFill>
    </fill>
    <fill>
      <patternFill patternType="solid">
        <fgColor rgb="FF37AFFD"/>
        <bgColor indexed="64"/>
      </patternFill>
    </fill>
    <fill>
      <patternFill patternType="solid">
        <fgColor rgb="FF35ABFA"/>
        <bgColor indexed="64"/>
      </patternFill>
    </fill>
    <fill>
      <patternFill patternType="solid">
        <fgColor rgb="FF30A9FA"/>
        <bgColor indexed="64"/>
      </patternFill>
    </fill>
    <fill>
      <patternFill patternType="solid">
        <fgColor rgb="FF2FA8FB"/>
        <bgColor indexed="64"/>
      </patternFill>
    </fill>
    <fill>
      <patternFill patternType="solid">
        <fgColor rgb="FF2BA4FC"/>
        <bgColor indexed="64"/>
      </patternFill>
    </fill>
    <fill>
      <patternFill patternType="solid">
        <fgColor rgb="FFFEFCFC"/>
        <bgColor indexed="64"/>
      </patternFill>
    </fill>
    <fill>
      <patternFill patternType="solid">
        <fgColor rgb="FFD9AEB6"/>
        <bgColor indexed="64"/>
      </patternFill>
    </fill>
    <fill>
      <patternFill patternType="solid">
        <fgColor rgb="FFE3596B"/>
        <bgColor indexed="64"/>
      </patternFill>
    </fill>
    <fill>
      <patternFill patternType="solid">
        <fgColor rgb="FFE35266"/>
        <bgColor indexed="64"/>
      </patternFill>
    </fill>
    <fill>
      <patternFill patternType="solid">
        <fgColor rgb="FFE35068"/>
        <bgColor indexed="64"/>
      </patternFill>
    </fill>
    <fill>
      <patternFill patternType="solid">
        <fgColor rgb="FFFF6077"/>
        <bgColor indexed="64"/>
      </patternFill>
    </fill>
    <fill>
      <patternFill patternType="solid">
        <fgColor rgb="FFFA5C75"/>
        <bgColor indexed="64"/>
      </patternFill>
    </fill>
    <fill>
      <patternFill patternType="solid">
        <fgColor rgb="FFFA5D76"/>
        <bgColor indexed="64"/>
      </patternFill>
    </fill>
    <fill>
      <patternFill patternType="solid">
        <fgColor rgb="FFFA5C76"/>
        <bgColor indexed="64"/>
      </patternFill>
    </fill>
    <fill>
      <patternFill patternType="solid">
        <fgColor rgb="FFFC5F7B"/>
        <bgColor indexed="64"/>
      </patternFill>
    </fill>
    <fill>
      <patternFill patternType="solid">
        <fgColor rgb="FFF85D79"/>
        <bgColor indexed="64"/>
      </patternFill>
    </fill>
    <fill>
      <patternFill patternType="solid">
        <fgColor rgb="FFF95E7E"/>
        <bgColor indexed="64"/>
      </patternFill>
    </fill>
    <fill>
      <patternFill patternType="solid">
        <fgColor rgb="FFFE6283"/>
        <bgColor indexed="64"/>
      </patternFill>
    </fill>
    <fill>
      <patternFill patternType="solid">
        <fgColor rgb="FFE55772"/>
        <bgColor indexed="64"/>
      </patternFill>
    </fill>
    <fill>
      <patternFill patternType="solid">
        <fgColor rgb="FFC6475E"/>
        <bgColor indexed="64"/>
      </patternFill>
    </fill>
    <fill>
      <patternFill patternType="solid">
        <fgColor rgb="FFFF6687"/>
        <bgColor indexed="64"/>
      </patternFill>
    </fill>
    <fill>
      <patternFill patternType="solid">
        <fgColor rgb="FFF65A79"/>
        <bgColor indexed="64"/>
      </patternFill>
    </fill>
    <fill>
      <patternFill patternType="solid">
        <fgColor rgb="FFAE3C51"/>
        <bgColor indexed="64"/>
      </patternFill>
    </fill>
    <fill>
      <patternFill patternType="solid">
        <fgColor rgb="FFDD516A"/>
        <bgColor indexed="64"/>
      </patternFill>
    </fill>
    <fill>
      <patternFill patternType="solid">
        <fgColor rgb="FFB04D64"/>
        <bgColor indexed="64"/>
      </patternFill>
    </fill>
    <fill>
      <patternFill patternType="solid">
        <fgColor rgb="FFE1E0E2"/>
        <bgColor indexed="64"/>
      </patternFill>
    </fill>
    <fill>
      <patternFill patternType="solid">
        <fgColor rgb="FFD8D6DA"/>
        <bgColor indexed="64"/>
      </patternFill>
    </fill>
    <fill>
      <patternFill patternType="solid">
        <fgColor rgb="FFFAF9FA"/>
        <bgColor indexed="64"/>
      </patternFill>
    </fill>
    <fill>
      <patternFill patternType="solid">
        <fgColor rgb="FFB9BBBF"/>
        <bgColor indexed="64"/>
      </patternFill>
    </fill>
    <fill>
      <patternFill patternType="solid">
        <fgColor rgb="FF869CB5"/>
        <bgColor indexed="64"/>
      </patternFill>
    </fill>
    <fill>
      <patternFill patternType="solid">
        <fgColor rgb="FF7DA0C5"/>
        <bgColor indexed="64"/>
      </patternFill>
    </fill>
    <fill>
      <patternFill patternType="solid">
        <fgColor rgb="FF719EC8"/>
        <bgColor indexed="64"/>
      </patternFill>
    </fill>
    <fill>
      <patternFill patternType="solid">
        <fgColor rgb="FF5399D3"/>
        <bgColor indexed="64"/>
      </patternFill>
    </fill>
    <fill>
      <patternFill patternType="solid">
        <fgColor rgb="FF34A3F2"/>
        <bgColor indexed="64"/>
      </patternFill>
    </fill>
    <fill>
      <patternFill patternType="solid">
        <fgColor rgb="FF45B6FF"/>
        <bgColor indexed="64"/>
      </patternFill>
    </fill>
    <fill>
      <patternFill patternType="solid">
        <fgColor rgb="FF40AFF9"/>
        <bgColor indexed="64"/>
      </patternFill>
    </fill>
    <fill>
      <patternFill patternType="solid">
        <fgColor rgb="FF3FB0FB"/>
        <bgColor indexed="64"/>
      </patternFill>
    </fill>
    <fill>
      <patternFill patternType="solid">
        <fgColor rgb="FF41B1FA"/>
        <bgColor indexed="64"/>
      </patternFill>
    </fill>
    <fill>
      <patternFill patternType="solid">
        <fgColor rgb="FF40B0FB"/>
        <bgColor indexed="64"/>
      </patternFill>
    </fill>
    <fill>
      <patternFill patternType="solid">
        <fgColor rgb="FF41B0FA"/>
        <bgColor indexed="64"/>
      </patternFill>
    </fill>
    <fill>
      <patternFill patternType="solid">
        <fgColor rgb="FF43B6FB"/>
        <bgColor indexed="64"/>
      </patternFill>
    </fill>
    <fill>
      <patternFill patternType="solid">
        <fgColor rgb="FF3EADF5"/>
        <bgColor indexed="64"/>
      </patternFill>
    </fill>
    <fill>
      <patternFill patternType="solid">
        <fgColor rgb="FF4085B6"/>
        <bgColor indexed="64"/>
      </patternFill>
    </fill>
    <fill>
      <patternFill patternType="solid">
        <fgColor rgb="FF697B51"/>
        <bgColor indexed="64"/>
      </patternFill>
    </fill>
    <fill>
      <patternFill patternType="solid">
        <fgColor rgb="FFA9A124"/>
        <bgColor indexed="64"/>
      </patternFill>
    </fill>
    <fill>
      <patternFill patternType="solid">
        <fgColor rgb="FFD1C520"/>
        <bgColor indexed="64"/>
      </patternFill>
    </fill>
    <fill>
      <patternFill patternType="solid">
        <fgColor rgb="FFD9CD20"/>
        <bgColor indexed="64"/>
      </patternFill>
    </fill>
    <fill>
      <patternFill patternType="solid">
        <fgColor rgb="FFD1C725"/>
        <bgColor indexed="64"/>
      </patternFill>
    </fill>
    <fill>
      <patternFill patternType="solid">
        <fgColor rgb="FFE1DF35"/>
        <bgColor indexed="64"/>
      </patternFill>
    </fill>
    <fill>
      <patternFill patternType="solid">
        <fgColor rgb="FFEBE734"/>
        <bgColor indexed="64"/>
      </patternFill>
    </fill>
    <fill>
      <patternFill patternType="solid">
        <fgColor rgb="FFF2F138"/>
        <bgColor indexed="64"/>
      </patternFill>
    </fill>
    <fill>
      <patternFill patternType="solid">
        <fgColor rgb="FFEDEC36"/>
        <bgColor indexed="64"/>
      </patternFill>
    </fill>
    <fill>
      <patternFill patternType="solid">
        <fgColor rgb="FFE3E135"/>
        <bgColor indexed="64"/>
      </patternFill>
    </fill>
    <fill>
      <patternFill patternType="solid">
        <fgColor rgb="FFE9E738"/>
        <bgColor indexed="64"/>
      </patternFill>
    </fill>
    <fill>
      <patternFill patternType="solid">
        <fgColor rgb="FFF6F53C"/>
        <bgColor indexed="64"/>
      </patternFill>
    </fill>
    <fill>
      <patternFill patternType="solid">
        <fgColor rgb="FFECEB3E"/>
        <bgColor indexed="64"/>
      </patternFill>
    </fill>
    <fill>
      <patternFill patternType="solid">
        <fgColor rgb="FFBBB62B"/>
        <bgColor indexed="64"/>
      </patternFill>
    </fill>
    <fill>
      <patternFill patternType="solid">
        <fgColor rgb="FF92B872"/>
        <bgColor indexed="64"/>
      </patternFill>
    </fill>
    <fill>
      <patternFill patternType="solid">
        <fgColor rgb="FF269FF8"/>
        <bgColor indexed="64"/>
      </patternFill>
    </fill>
    <fill>
      <patternFill patternType="solid">
        <fgColor rgb="FF5EA3A5"/>
        <bgColor indexed="64"/>
      </patternFill>
    </fill>
    <fill>
      <patternFill patternType="solid">
        <fgColor rgb="FF7FA15F"/>
        <bgColor indexed="64"/>
      </patternFill>
    </fill>
    <fill>
      <patternFill patternType="solid">
        <fgColor rgb="FF32A9FE"/>
        <bgColor indexed="64"/>
      </patternFill>
    </fill>
    <fill>
      <patternFill patternType="solid">
        <fgColor rgb="FFF5F5F4"/>
        <bgColor indexed="64"/>
      </patternFill>
    </fill>
    <fill>
      <patternFill patternType="solid">
        <fgColor rgb="FFACA6A6"/>
        <bgColor indexed="64"/>
      </patternFill>
    </fill>
    <fill>
      <patternFill patternType="solid">
        <fgColor rgb="FFC7A1A2"/>
        <bgColor indexed="64"/>
      </patternFill>
    </fill>
    <fill>
      <patternFill patternType="solid">
        <fgColor rgb="FF8B4049"/>
        <bgColor indexed="64"/>
      </patternFill>
    </fill>
    <fill>
      <patternFill patternType="solid">
        <fgColor rgb="FFC6475B"/>
        <bgColor indexed="64"/>
      </patternFill>
    </fill>
    <fill>
      <patternFill patternType="solid">
        <fgColor rgb="FFE75569"/>
        <bgColor indexed="64"/>
      </patternFill>
    </fill>
    <fill>
      <patternFill patternType="solid">
        <fgColor rgb="FFE55166"/>
        <bgColor indexed="64"/>
      </patternFill>
    </fill>
    <fill>
      <patternFill patternType="solid">
        <fgColor rgb="FFFA5F76"/>
        <bgColor indexed="64"/>
      </patternFill>
    </fill>
    <fill>
      <patternFill patternType="solid">
        <fgColor rgb="FFF95C77"/>
        <bgColor indexed="64"/>
      </patternFill>
    </fill>
    <fill>
      <patternFill patternType="solid">
        <fgColor rgb="FFF95D7A"/>
        <bgColor indexed="64"/>
      </patternFill>
    </fill>
    <fill>
      <patternFill patternType="solid">
        <fgColor rgb="FFF85C77"/>
        <bgColor indexed="64"/>
      </patternFill>
    </fill>
    <fill>
      <patternFill patternType="solid">
        <fgColor rgb="FFE34D69"/>
        <bgColor indexed="64"/>
      </patternFill>
    </fill>
    <fill>
      <patternFill patternType="solid">
        <fgColor rgb="FFF35878"/>
        <bgColor indexed="64"/>
      </patternFill>
    </fill>
    <fill>
      <patternFill patternType="solid">
        <fgColor rgb="FFA3364B"/>
        <bgColor indexed="64"/>
      </patternFill>
    </fill>
    <fill>
      <patternFill patternType="solid">
        <fgColor rgb="FFDA5472"/>
        <bgColor indexed="64"/>
      </patternFill>
    </fill>
    <fill>
      <patternFill patternType="solid">
        <fgColor rgb="FFE0536A"/>
        <bgColor indexed="64"/>
      </patternFill>
    </fill>
    <fill>
      <patternFill patternType="solid">
        <fgColor rgb="FFD54D65"/>
        <bgColor indexed="64"/>
      </patternFill>
    </fill>
    <fill>
      <patternFill patternType="solid">
        <fgColor rgb="FFEC5973"/>
        <bgColor indexed="64"/>
      </patternFill>
    </fill>
    <fill>
      <patternFill patternType="solid">
        <fgColor rgb="FFC04761"/>
        <bgColor indexed="64"/>
      </patternFill>
    </fill>
    <fill>
      <patternFill patternType="solid">
        <fgColor rgb="FFD5496A"/>
        <bgColor indexed="64"/>
      </patternFill>
    </fill>
    <fill>
      <patternFill patternType="solid">
        <fgColor rgb="FFBC96A5"/>
        <bgColor indexed="64"/>
      </patternFill>
    </fill>
    <fill>
      <patternFill patternType="solid">
        <fgColor rgb="FFF4F3F3"/>
        <bgColor indexed="64"/>
      </patternFill>
    </fill>
    <fill>
      <patternFill patternType="solid">
        <fgColor rgb="FFC4C7D2"/>
        <bgColor indexed="64"/>
      </patternFill>
    </fill>
    <fill>
      <patternFill patternType="solid">
        <fgColor rgb="FF3B70A5"/>
        <bgColor indexed="64"/>
      </patternFill>
    </fill>
    <fill>
      <patternFill patternType="solid">
        <fgColor rgb="FF35A6F2"/>
        <bgColor indexed="64"/>
      </patternFill>
    </fill>
    <fill>
      <patternFill patternType="solid">
        <fgColor rgb="FF3DB0FE"/>
        <bgColor indexed="64"/>
      </patternFill>
    </fill>
    <fill>
      <patternFill patternType="solid">
        <fgColor rgb="FF45B7FF"/>
        <bgColor indexed="64"/>
      </patternFill>
    </fill>
    <fill>
      <patternFill patternType="solid">
        <fgColor rgb="FF45B3FC"/>
        <bgColor indexed="64"/>
      </patternFill>
    </fill>
    <fill>
      <patternFill patternType="solid">
        <fgColor rgb="FF42B0F9"/>
        <bgColor indexed="64"/>
      </patternFill>
    </fill>
    <fill>
      <patternFill patternType="solid">
        <fgColor rgb="FF41B1FC"/>
        <bgColor indexed="64"/>
      </patternFill>
    </fill>
    <fill>
      <patternFill patternType="solid">
        <fgColor rgb="FF42B5FD"/>
        <bgColor indexed="64"/>
      </patternFill>
    </fill>
    <fill>
      <patternFill patternType="solid">
        <fgColor rgb="FF41B9FF"/>
        <bgColor indexed="64"/>
      </patternFill>
    </fill>
    <fill>
      <patternFill patternType="solid">
        <fgColor rgb="FF3182CD"/>
        <bgColor indexed="64"/>
      </patternFill>
    </fill>
    <fill>
      <patternFill patternType="solid">
        <fgColor rgb="FF306BA3"/>
        <bgColor indexed="64"/>
      </patternFill>
    </fill>
    <fill>
      <patternFill patternType="solid">
        <fgColor rgb="FF4B7F93"/>
        <bgColor indexed="64"/>
      </patternFill>
    </fill>
    <fill>
      <patternFill patternType="solid">
        <fgColor rgb="FF4F849A"/>
        <bgColor indexed="64"/>
      </patternFill>
    </fill>
    <fill>
      <patternFill patternType="solid">
        <fgColor rgb="FFA7B04B"/>
        <bgColor indexed="64"/>
      </patternFill>
    </fill>
    <fill>
      <patternFill patternType="solid">
        <fgColor rgb="FFE5E032"/>
        <bgColor indexed="64"/>
      </patternFill>
    </fill>
    <fill>
      <patternFill patternType="solid">
        <fgColor rgb="FFE5E336"/>
        <bgColor indexed="64"/>
      </patternFill>
    </fill>
    <fill>
      <patternFill patternType="solid">
        <fgColor rgb="FFD2CF32"/>
        <bgColor indexed="64"/>
      </patternFill>
    </fill>
    <fill>
      <patternFill patternType="solid">
        <fgColor rgb="FFF0F13B"/>
        <bgColor indexed="64"/>
      </patternFill>
    </fill>
    <fill>
      <patternFill patternType="solid">
        <fgColor rgb="FFE1DD34"/>
        <bgColor indexed="64"/>
      </patternFill>
    </fill>
    <fill>
      <patternFill patternType="solid">
        <fgColor rgb="FFEDEA33"/>
        <bgColor indexed="64"/>
      </patternFill>
    </fill>
    <fill>
      <patternFill patternType="solid">
        <fgColor rgb="FFB5B32B"/>
        <bgColor indexed="64"/>
      </patternFill>
    </fill>
    <fill>
      <patternFill patternType="solid">
        <fgColor rgb="FFFCFB3C"/>
        <bgColor indexed="64"/>
      </patternFill>
    </fill>
    <fill>
      <patternFill patternType="solid">
        <fgColor rgb="FFBDB923"/>
        <bgColor indexed="64"/>
      </patternFill>
    </fill>
    <fill>
      <patternFill patternType="solid">
        <fgColor rgb="FF93A24A"/>
        <bgColor indexed="64"/>
      </patternFill>
    </fill>
    <fill>
      <patternFill patternType="solid">
        <fgColor rgb="FF3DA3E0"/>
        <bgColor indexed="64"/>
      </patternFill>
    </fill>
    <fill>
      <patternFill patternType="solid">
        <fgColor rgb="FF3DB8FF"/>
        <bgColor indexed="64"/>
      </patternFill>
    </fill>
    <fill>
      <patternFill patternType="solid">
        <fgColor rgb="FF359BE4"/>
        <bgColor indexed="64"/>
      </patternFill>
    </fill>
    <fill>
      <patternFill patternType="solid">
        <fgColor rgb="FF367DA7"/>
        <bgColor indexed="64"/>
      </patternFill>
    </fill>
    <fill>
      <patternFill patternType="solid">
        <fgColor rgb="FF38ADFA"/>
        <bgColor indexed="64"/>
      </patternFill>
    </fill>
    <fill>
      <patternFill patternType="solid">
        <fgColor rgb="FFE1DDDF"/>
        <bgColor indexed="64"/>
      </patternFill>
    </fill>
    <fill>
      <patternFill patternType="solid">
        <fgColor rgb="FFBD7E8C"/>
        <bgColor indexed="64"/>
      </patternFill>
    </fill>
    <fill>
      <patternFill patternType="solid">
        <fgColor rgb="FFBC4A61"/>
        <bgColor indexed="64"/>
      </patternFill>
    </fill>
    <fill>
      <patternFill patternType="solid">
        <fgColor rgb="FFB43950"/>
        <bgColor indexed="64"/>
      </patternFill>
    </fill>
    <fill>
      <patternFill patternType="solid">
        <fgColor rgb="FFC53851"/>
        <bgColor indexed="64"/>
      </patternFill>
    </fill>
    <fill>
      <patternFill patternType="solid">
        <fgColor rgb="FFE44763"/>
        <bgColor indexed="64"/>
      </patternFill>
    </fill>
    <fill>
      <patternFill patternType="solid">
        <fgColor rgb="FFEF5267"/>
        <bgColor indexed="64"/>
      </patternFill>
    </fill>
    <fill>
      <patternFill patternType="solid">
        <fgColor rgb="FFF1596F"/>
        <bgColor indexed="64"/>
      </patternFill>
    </fill>
    <fill>
      <patternFill patternType="solid">
        <fgColor rgb="FFFD5E78"/>
        <bgColor indexed="64"/>
      </patternFill>
    </fill>
    <fill>
      <patternFill patternType="solid">
        <fgColor rgb="FFF95972"/>
        <bgColor indexed="64"/>
      </patternFill>
    </fill>
    <fill>
      <patternFill patternType="solid">
        <fgColor rgb="FFFD5B74"/>
        <bgColor indexed="64"/>
      </patternFill>
    </fill>
    <fill>
      <patternFill patternType="solid">
        <fgColor rgb="FFFF5C78"/>
        <bgColor indexed="64"/>
      </patternFill>
    </fill>
    <fill>
      <patternFill patternType="solid">
        <fgColor rgb="FFFF6280"/>
        <bgColor indexed="64"/>
      </patternFill>
    </fill>
    <fill>
      <patternFill patternType="solid">
        <fgColor rgb="FFE7516B"/>
        <bgColor indexed="64"/>
      </patternFill>
    </fill>
    <fill>
      <patternFill patternType="solid">
        <fgColor rgb="FFE8536D"/>
        <bgColor indexed="64"/>
      </patternFill>
    </fill>
    <fill>
      <patternFill patternType="solid">
        <fgColor rgb="FFD94961"/>
        <bgColor indexed="64"/>
      </patternFill>
    </fill>
    <fill>
      <patternFill patternType="solid">
        <fgColor rgb="FFD14864"/>
        <bgColor indexed="64"/>
      </patternFill>
    </fill>
    <fill>
      <patternFill patternType="solid">
        <fgColor rgb="FFF5607F"/>
        <bgColor indexed="64"/>
      </patternFill>
    </fill>
    <fill>
      <patternFill patternType="solid">
        <fgColor rgb="FFFF6784"/>
        <bgColor indexed="64"/>
      </patternFill>
    </fill>
    <fill>
      <patternFill patternType="solid">
        <fgColor rgb="FFB53E50"/>
        <bgColor indexed="64"/>
      </patternFill>
    </fill>
    <fill>
      <patternFill patternType="solid">
        <fgColor rgb="FFBF4966"/>
        <bgColor indexed="64"/>
      </patternFill>
    </fill>
    <fill>
      <patternFill patternType="solid">
        <fgColor rgb="FFFF6786"/>
        <bgColor indexed="64"/>
      </patternFill>
    </fill>
    <fill>
      <patternFill patternType="solid">
        <fgColor rgb="FF8E3346"/>
        <bgColor indexed="64"/>
      </patternFill>
    </fill>
    <fill>
      <patternFill patternType="solid">
        <fgColor rgb="FFBD405B"/>
        <bgColor indexed="64"/>
      </patternFill>
    </fill>
    <fill>
      <patternFill patternType="solid">
        <fgColor rgb="FFC2536E"/>
        <bgColor indexed="64"/>
      </patternFill>
    </fill>
    <fill>
      <patternFill patternType="solid">
        <fgColor rgb="FFCF4E69"/>
        <bgColor indexed="64"/>
      </patternFill>
    </fill>
    <fill>
      <patternFill patternType="solid">
        <fgColor rgb="FFC47088"/>
        <bgColor indexed="64"/>
      </patternFill>
    </fill>
    <fill>
      <patternFill patternType="solid">
        <fgColor rgb="FFF3F4F6"/>
        <bgColor indexed="64"/>
      </patternFill>
    </fill>
    <fill>
      <patternFill patternType="solid">
        <fgColor rgb="FF3E719F"/>
        <bgColor indexed="64"/>
      </patternFill>
    </fill>
    <fill>
      <patternFill patternType="solid">
        <fgColor rgb="FF4AB5FA"/>
        <bgColor indexed="64"/>
      </patternFill>
    </fill>
    <fill>
      <patternFill patternType="solid">
        <fgColor rgb="FF44AFF9"/>
        <bgColor indexed="64"/>
      </patternFill>
    </fill>
    <fill>
      <patternFill patternType="solid">
        <fgColor rgb="FF42AEF9"/>
        <bgColor indexed="64"/>
      </patternFill>
    </fill>
    <fill>
      <patternFill patternType="solid">
        <fgColor rgb="FF42B1FB"/>
        <bgColor indexed="64"/>
      </patternFill>
    </fill>
    <fill>
      <patternFill patternType="solid">
        <fgColor rgb="FF42B3FC"/>
        <bgColor indexed="64"/>
      </patternFill>
    </fill>
    <fill>
      <patternFill patternType="solid">
        <fgColor rgb="FF41AFFB"/>
        <bgColor indexed="64"/>
      </patternFill>
    </fill>
    <fill>
      <patternFill patternType="solid">
        <fgColor rgb="FF42B1FA"/>
        <bgColor indexed="64"/>
      </patternFill>
    </fill>
    <fill>
      <patternFill patternType="solid">
        <fgColor rgb="FF40B0F8"/>
        <bgColor indexed="64"/>
      </patternFill>
    </fill>
    <fill>
      <patternFill patternType="solid">
        <fgColor rgb="FF44BAFD"/>
        <bgColor indexed="64"/>
      </patternFill>
    </fill>
    <fill>
      <patternFill patternType="solid">
        <fgColor rgb="FF46BCFF"/>
        <bgColor indexed="64"/>
      </patternFill>
    </fill>
    <fill>
      <patternFill patternType="solid">
        <fgColor rgb="FF3FABF8"/>
        <bgColor indexed="64"/>
      </patternFill>
    </fill>
    <fill>
      <patternFill patternType="solid">
        <fgColor rgb="FF4096CC"/>
        <bgColor indexed="64"/>
      </patternFill>
    </fill>
    <fill>
      <patternFill patternType="solid">
        <fgColor rgb="FF718B63"/>
        <bgColor indexed="64"/>
      </patternFill>
    </fill>
    <fill>
      <patternFill patternType="solid">
        <fgColor rgb="FFC8BE23"/>
        <bgColor indexed="64"/>
      </patternFill>
    </fill>
    <fill>
      <patternFill patternType="solid">
        <fgColor rgb="FFD8D431"/>
        <bgColor indexed="64"/>
      </patternFill>
    </fill>
    <fill>
      <patternFill patternType="solid">
        <fgColor rgb="FFC3C232"/>
        <bgColor indexed="64"/>
      </patternFill>
    </fill>
    <fill>
      <patternFill patternType="solid">
        <fgColor rgb="FF8D8923"/>
        <bgColor indexed="64"/>
      </patternFill>
    </fill>
    <fill>
      <patternFill patternType="solid">
        <fgColor rgb="FFB7B42D"/>
        <bgColor indexed="64"/>
      </patternFill>
    </fill>
    <fill>
      <patternFill patternType="solid">
        <fgColor rgb="FFDAD129"/>
        <bgColor indexed="64"/>
      </patternFill>
    </fill>
    <fill>
      <patternFill patternType="solid">
        <fgColor rgb="FFD4D538"/>
        <bgColor indexed="64"/>
      </patternFill>
    </fill>
    <fill>
      <patternFill patternType="solid">
        <fgColor rgb="FF959F3F"/>
        <bgColor indexed="64"/>
      </patternFill>
    </fill>
    <fill>
      <patternFill patternType="solid">
        <fgColor rgb="FF85954E"/>
        <bgColor indexed="64"/>
      </patternFill>
    </fill>
    <fill>
      <patternFill patternType="solid">
        <fgColor rgb="FF97A84A"/>
        <bgColor indexed="64"/>
      </patternFill>
    </fill>
    <fill>
      <patternFill patternType="solid">
        <fgColor rgb="FFCDCD33"/>
        <bgColor indexed="64"/>
      </patternFill>
    </fill>
    <fill>
      <patternFill patternType="solid">
        <fgColor rgb="FF4F6858"/>
        <bgColor indexed="64"/>
      </patternFill>
    </fill>
    <fill>
      <patternFill patternType="solid">
        <fgColor rgb="FF639A92"/>
        <bgColor indexed="64"/>
      </patternFill>
    </fill>
    <fill>
      <patternFill patternType="solid">
        <fgColor rgb="FF37AFFF"/>
        <bgColor indexed="64"/>
      </patternFill>
    </fill>
    <fill>
      <patternFill patternType="solid">
        <fgColor rgb="FF38AEFD"/>
        <bgColor indexed="64"/>
      </patternFill>
    </fill>
    <fill>
      <patternFill patternType="solid">
        <fgColor rgb="FF31A5FA"/>
        <bgColor indexed="64"/>
      </patternFill>
    </fill>
    <fill>
      <patternFill patternType="solid">
        <fgColor rgb="FF31A9F9"/>
        <bgColor indexed="64"/>
      </patternFill>
    </fill>
    <fill>
      <patternFill patternType="solid">
        <fgColor rgb="FFF1E8EC"/>
        <bgColor indexed="64"/>
      </patternFill>
    </fill>
    <fill>
      <patternFill patternType="solid">
        <fgColor rgb="FFE7CED9"/>
        <bgColor indexed="64"/>
      </patternFill>
    </fill>
    <fill>
      <patternFill patternType="solid">
        <fgColor rgb="FFDAAFBE"/>
        <bgColor indexed="64"/>
      </patternFill>
    </fill>
    <fill>
      <patternFill patternType="solid">
        <fgColor rgb="FFCD92A1"/>
        <bgColor indexed="64"/>
      </patternFill>
    </fill>
    <fill>
      <patternFill patternType="solid">
        <fgColor rgb="FFB05B6C"/>
        <bgColor indexed="64"/>
      </patternFill>
    </fill>
    <fill>
      <patternFill patternType="solid">
        <fgColor rgb="FFE6546A"/>
        <bgColor indexed="64"/>
      </patternFill>
    </fill>
    <fill>
      <patternFill patternType="solid">
        <fgColor rgb="FFFD5873"/>
        <bgColor indexed="64"/>
      </patternFill>
    </fill>
    <fill>
      <patternFill patternType="solid">
        <fgColor rgb="FFF55670"/>
        <bgColor indexed="64"/>
      </patternFill>
    </fill>
    <fill>
      <patternFill patternType="solid">
        <fgColor rgb="FFE74E67"/>
        <bgColor indexed="64"/>
      </patternFill>
    </fill>
    <fill>
      <patternFill patternType="solid">
        <fgColor rgb="FFE34B64"/>
        <bgColor indexed="64"/>
      </patternFill>
    </fill>
    <fill>
      <patternFill patternType="solid">
        <fgColor rgb="FFD0475B"/>
        <bgColor indexed="64"/>
      </patternFill>
    </fill>
    <fill>
      <patternFill patternType="solid">
        <fgColor rgb="FFC8475A"/>
        <bgColor indexed="64"/>
      </patternFill>
    </fill>
    <fill>
      <patternFill patternType="solid">
        <fgColor rgb="FFDD4D66"/>
        <bgColor indexed="64"/>
      </patternFill>
    </fill>
    <fill>
      <patternFill patternType="solid">
        <fgColor rgb="FFC93F57"/>
        <bgColor indexed="64"/>
      </patternFill>
    </fill>
    <fill>
      <patternFill patternType="solid">
        <fgColor rgb="FFC34560"/>
        <bgColor indexed="64"/>
      </patternFill>
    </fill>
    <fill>
      <patternFill patternType="solid">
        <fgColor rgb="FFEB5B77"/>
        <bgColor indexed="64"/>
      </patternFill>
    </fill>
    <fill>
      <patternFill patternType="solid">
        <fgColor rgb="FFC4536A"/>
        <bgColor indexed="64"/>
      </patternFill>
    </fill>
    <fill>
      <patternFill patternType="solid">
        <fgColor rgb="FF803E4F"/>
        <bgColor indexed="64"/>
      </patternFill>
    </fill>
    <fill>
      <patternFill patternType="solid">
        <fgColor rgb="FFE64F72"/>
        <bgColor indexed="64"/>
      </patternFill>
    </fill>
    <fill>
      <patternFill patternType="solid">
        <fgColor rgb="FFB15167"/>
        <bgColor indexed="64"/>
      </patternFill>
    </fill>
    <fill>
      <patternFill patternType="solid">
        <fgColor rgb="FF963C54"/>
        <bgColor indexed="64"/>
      </patternFill>
    </fill>
    <fill>
      <patternFill patternType="solid">
        <fgColor rgb="FFD0728E"/>
        <bgColor indexed="64"/>
      </patternFill>
    </fill>
    <fill>
      <patternFill patternType="solid">
        <fgColor rgb="FFCFB9C3"/>
        <bgColor indexed="64"/>
      </patternFill>
    </fill>
    <fill>
      <patternFill patternType="solid">
        <fgColor rgb="FF9C4A62"/>
        <bgColor indexed="64"/>
      </patternFill>
    </fill>
    <fill>
      <patternFill patternType="solid">
        <fgColor rgb="FFDAD1D8"/>
        <bgColor indexed="64"/>
      </patternFill>
    </fill>
    <fill>
      <patternFill patternType="solid">
        <fgColor rgb="FFFBFBFC"/>
        <bgColor indexed="64"/>
      </patternFill>
    </fill>
    <fill>
      <patternFill patternType="solid">
        <fgColor rgb="FFB5B9C5"/>
        <bgColor indexed="64"/>
      </patternFill>
    </fill>
    <fill>
      <patternFill patternType="solid">
        <fgColor rgb="FF3986C2"/>
        <bgColor indexed="64"/>
      </patternFill>
    </fill>
    <fill>
      <patternFill patternType="solid">
        <fgColor rgb="FF48BAFF"/>
        <bgColor indexed="64"/>
      </patternFill>
    </fill>
    <fill>
      <patternFill patternType="solid">
        <fgColor rgb="FF43AEF9"/>
        <bgColor indexed="64"/>
      </patternFill>
    </fill>
    <fill>
      <patternFill patternType="solid">
        <fgColor rgb="FF42B0FA"/>
        <bgColor indexed="64"/>
      </patternFill>
    </fill>
    <fill>
      <patternFill patternType="solid">
        <fgColor rgb="FF41AEFB"/>
        <bgColor indexed="64"/>
      </patternFill>
    </fill>
    <fill>
      <patternFill patternType="solid">
        <fgColor rgb="FF3FAFFA"/>
        <bgColor indexed="64"/>
      </patternFill>
    </fill>
    <fill>
      <patternFill patternType="solid">
        <fgColor rgb="FF41B3FC"/>
        <bgColor indexed="64"/>
      </patternFill>
    </fill>
    <fill>
      <patternFill patternType="solid">
        <fgColor rgb="FF3AA0EB"/>
        <bgColor indexed="64"/>
      </patternFill>
    </fill>
    <fill>
      <patternFill patternType="solid">
        <fgColor rgb="FF286FB6"/>
        <bgColor indexed="64"/>
      </patternFill>
    </fill>
    <fill>
      <patternFill patternType="solid">
        <fgColor rgb="FF455C5F"/>
        <bgColor indexed="64"/>
      </patternFill>
    </fill>
    <fill>
      <patternFill patternType="solid">
        <fgColor rgb="FF999A37"/>
        <bgColor indexed="64"/>
      </patternFill>
    </fill>
    <fill>
      <patternFill patternType="solid">
        <fgColor rgb="FF9BA345"/>
        <bgColor indexed="64"/>
      </patternFill>
    </fill>
    <fill>
      <patternFill patternType="solid">
        <fgColor rgb="FF768E63"/>
        <bgColor indexed="64"/>
      </patternFill>
    </fill>
    <fill>
      <patternFill patternType="solid">
        <fgColor rgb="FF676F32"/>
        <bgColor indexed="64"/>
      </patternFill>
    </fill>
    <fill>
      <patternFill patternType="solid">
        <fgColor rgb="FFA8A01B"/>
        <bgColor indexed="64"/>
      </patternFill>
    </fill>
    <fill>
      <patternFill patternType="solid">
        <fgColor rgb="FFC9C42F"/>
        <bgColor indexed="64"/>
      </patternFill>
    </fill>
    <fill>
      <patternFill patternType="solid">
        <fgColor rgb="FFA8A024"/>
        <bgColor indexed="64"/>
      </patternFill>
    </fill>
    <fill>
      <patternFill patternType="solid">
        <fgColor rgb="FF99AD52"/>
        <bgColor indexed="64"/>
      </patternFill>
    </fill>
    <fill>
      <patternFill patternType="solid">
        <fgColor rgb="FF59A9C6"/>
        <bgColor indexed="64"/>
      </patternFill>
    </fill>
    <fill>
      <patternFill patternType="solid">
        <fgColor rgb="FF488AB0"/>
        <bgColor indexed="64"/>
      </patternFill>
    </fill>
    <fill>
      <patternFill patternType="solid">
        <fgColor rgb="FF418AB5"/>
        <bgColor indexed="64"/>
      </patternFill>
    </fill>
    <fill>
      <patternFill patternType="solid">
        <fgColor rgb="FF6A855D"/>
        <bgColor indexed="64"/>
      </patternFill>
    </fill>
    <fill>
      <patternFill patternType="solid">
        <fgColor rgb="FF4A93A5"/>
        <bgColor indexed="64"/>
      </patternFill>
    </fill>
    <fill>
      <patternFill patternType="solid">
        <fgColor rgb="FF418BC2"/>
        <bgColor indexed="64"/>
      </patternFill>
    </fill>
    <fill>
      <patternFill patternType="solid">
        <fgColor rgb="FF4D92AC"/>
        <bgColor indexed="64"/>
      </patternFill>
    </fill>
    <fill>
      <patternFill patternType="solid">
        <fgColor rgb="FF36AEFB"/>
        <bgColor indexed="64"/>
      </patternFill>
    </fill>
    <fill>
      <patternFill patternType="solid">
        <fgColor rgb="FF35ADFC"/>
        <bgColor indexed="64"/>
      </patternFill>
    </fill>
    <fill>
      <patternFill patternType="solid">
        <fgColor rgb="FF32AAFB"/>
        <bgColor indexed="64"/>
      </patternFill>
    </fill>
    <fill>
      <patternFill patternType="solid">
        <fgColor rgb="FF31A7F9"/>
        <bgColor indexed="64"/>
      </patternFill>
    </fill>
    <fill>
      <patternFill patternType="solid">
        <fgColor rgb="FF33ABFD"/>
        <bgColor indexed="64"/>
      </patternFill>
    </fill>
    <fill>
      <patternFill patternType="solid">
        <fgColor rgb="FF2FA9FB"/>
        <bgColor indexed="64"/>
      </patternFill>
    </fill>
    <fill>
      <patternFill patternType="solid">
        <fgColor rgb="FFFFFDFD"/>
        <bgColor indexed="64"/>
      </patternFill>
    </fill>
    <fill>
      <patternFill patternType="solid">
        <fgColor rgb="FFEBEEEA"/>
        <bgColor indexed="64"/>
      </patternFill>
    </fill>
    <fill>
      <patternFill patternType="solid">
        <fgColor rgb="FFD8D7D2"/>
        <bgColor indexed="64"/>
      </patternFill>
    </fill>
    <fill>
      <patternFill patternType="solid">
        <fgColor rgb="FFD4BBBC"/>
        <bgColor indexed="64"/>
      </patternFill>
    </fill>
    <fill>
      <patternFill patternType="solid">
        <fgColor rgb="FFC68088"/>
        <bgColor indexed="64"/>
      </patternFill>
    </fill>
    <fill>
      <patternFill patternType="solid">
        <fgColor rgb="FFB64154"/>
        <bgColor indexed="64"/>
      </patternFill>
    </fill>
    <fill>
      <patternFill patternType="solid">
        <fgColor rgb="FFC33E55"/>
        <bgColor indexed="64"/>
      </patternFill>
    </fill>
    <fill>
      <patternFill patternType="solid">
        <fgColor rgb="FFBB495A"/>
        <bgColor indexed="64"/>
      </patternFill>
    </fill>
    <fill>
      <patternFill patternType="solid">
        <fgColor rgb="FFB34254"/>
        <bgColor indexed="64"/>
      </patternFill>
    </fill>
    <fill>
      <patternFill patternType="solid">
        <fgColor rgb="FFD74961"/>
        <bgColor indexed="64"/>
      </patternFill>
    </fill>
    <fill>
      <patternFill patternType="solid">
        <fgColor rgb="FFE54E66"/>
        <bgColor indexed="64"/>
      </patternFill>
    </fill>
    <fill>
      <patternFill patternType="solid">
        <fgColor rgb="FFEF536B"/>
        <bgColor indexed="64"/>
      </patternFill>
    </fill>
    <fill>
      <patternFill patternType="solid">
        <fgColor rgb="FFF0546D"/>
        <bgColor indexed="64"/>
      </patternFill>
    </fill>
    <fill>
      <patternFill patternType="solid">
        <fgColor rgb="FF722C33"/>
        <bgColor indexed="64"/>
      </patternFill>
    </fill>
    <fill>
      <patternFill patternType="solid">
        <fgColor rgb="FF3F231E"/>
        <bgColor indexed="64"/>
      </patternFill>
    </fill>
    <fill>
      <patternFill patternType="solid">
        <fgColor rgb="FF783440"/>
        <bgColor indexed="64"/>
      </patternFill>
    </fill>
    <fill>
      <patternFill patternType="solid">
        <fgColor rgb="FFC07D90"/>
        <bgColor indexed="64"/>
      </patternFill>
    </fill>
    <fill>
      <patternFill patternType="solid">
        <fgColor rgb="FFB05869"/>
        <bgColor indexed="64"/>
      </patternFill>
    </fill>
    <fill>
      <patternFill patternType="solid">
        <fgColor rgb="FFD8405D"/>
        <bgColor indexed="64"/>
      </patternFill>
    </fill>
    <fill>
      <patternFill patternType="solid">
        <fgColor rgb="FFBE5C78"/>
        <bgColor indexed="64"/>
      </patternFill>
    </fill>
    <fill>
      <patternFill patternType="solid">
        <fgColor rgb="FF988290"/>
        <bgColor indexed="64"/>
      </patternFill>
    </fill>
    <fill>
      <patternFill patternType="solid">
        <fgColor rgb="FF9F5770"/>
        <bgColor indexed="64"/>
      </patternFill>
    </fill>
    <fill>
      <patternFill patternType="solid">
        <fgColor rgb="FFDBA5BA"/>
        <bgColor indexed="64"/>
      </patternFill>
    </fill>
    <fill>
      <patternFill patternType="solid">
        <fgColor rgb="FFAB90A0"/>
        <bgColor indexed="64"/>
      </patternFill>
    </fill>
    <fill>
      <patternFill patternType="solid">
        <fgColor rgb="FFB86681"/>
        <bgColor indexed="64"/>
      </patternFill>
    </fill>
    <fill>
      <patternFill patternType="solid">
        <fgColor rgb="FFF6EEF3"/>
        <bgColor indexed="64"/>
      </patternFill>
    </fill>
    <fill>
      <patternFill patternType="solid">
        <fgColor rgb="FFCDC1C5"/>
        <bgColor indexed="64"/>
      </patternFill>
    </fill>
    <fill>
      <patternFill patternType="solid">
        <fgColor rgb="FF906173"/>
        <bgColor indexed="64"/>
      </patternFill>
    </fill>
    <fill>
      <patternFill patternType="solid">
        <fgColor rgb="FF6683A2"/>
        <bgColor indexed="64"/>
      </patternFill>
    </fill>
    <fill>
      <patternFill patternType="solid">
        <fgColor rgb="FF3CA5EB"/>
        <bgColor indexed="64"/>
      </patternFill>
    </fill>
    <fill>
      <patternFill patternType="solid">
        <fgColor rgb="FF45B3FE"/>
        <bgColor indexed="64"/>
      </patternFill>
    </fill>
    <fill>
      <patternFill patternType="solid">
        <fgColor rgb="FF43AFFA"/>
        <bgColor indexed="64"/>
      </patternFill>
    </fill>
    <fill>
      <patternFill patternType="solid">
        <fgColor rgb="FF42AFFA"/>
        <bgColor indexed="64"/>
      </patternFill>
    </fill>
    <fill>
      <patternFill patternType="solid">
        <fgColor rgb="FF3DA7F6"/>
        <bgColor indexed="64"/>
      </patternFill>
    </fill>
    <fill>
      <patternFill patternType="solid">
        <fgColor rgb="FF3998E1"/>
        <bgColor indexed="64"/>
      </patternFill>
    </fill>
    <fill>
      <patternFill patternType="solid">
        <fgColor rgb="FF439AD8"/>
        <bgColor indexed="64"/>
      </patternFill>
    </fill>
    <fill>
      <patternFill patternType="solid">
        <fgColor rgb="FF41A5E9"/>
        <bgColor indexed="64"/>
      </patternFill>
    </fill>
    <fill>
      <patternFill patternType="solid">
        <fgColor rgb="FF339FF8"/>
        <bgColor indexed="64"/>
      </patternFill>
    </fill>
    <fill>
      <patternFill patternType="solid">
        <fgColor rgb="FF4C7B85"/>
        <bgColor indexed="64"/>
      </patternFill>
    </fill>
    <fill>
      <patternFill patternType="solid">
        <fgColor rgb="FFA6AB3D"/>
        <bgColor indexed="64"/>
      </patternFill>
    </fill>
    <fill>
      <patternFill patternType="solid">
        <fgColor rgb="FF99B26C"/>
        <bgColor indexed="64"/>
      </patternFill>
    </fill>
    <fill>
      <patternFill patternType="solid">
        <fgColor rgb="FF525634"/>
        <bgColor indexed="64"/>
      </patternFill>
    </fill>
    <fill>
      <patternFill patternType="solid">
        <fgColor rgb="FF555123"/>
        <bgColor indexed="64"/>
      </patternFill>
    </fill>
    <fill>
      <patternFill patternType="solid">
        <fgColor rgb="FF3284BC"/>
        <bgColor indexed="64"/>
      </patternFill>
    </fill>
    <fill>
      <patternFill patternType="solid">
        <fgColor rgb="FF3FB8FF"/>
        <bgColor indexed="64"/>
      </patternFill>
    </fill>
    <fill>
      <patternFill patternType="solid">
        <fgColor rgb="FF40B4FF"/>
        <bgColor indexed="64"/>
      </patternFill>
    </fill>
    <fill>
      <patternFill patternType="solid">
        <fgColor rgb="FF2F86D3"/>
        <bgColor indexed="64"/>
      </patternFill>
    </fill>
    <fill>
      <patternFill patternType="solid">
        <fgColor rgb="FF3182C5"/>
        <bgColor indexed="64"/>
      </patternFill>
    </fill>
    <fill>
      <patternFill patternType="solid">
        <fgColor rgb="FF3FBAFF"/>
        <bgColor indexed="64"/>
      </patternFill>
    </fill>
    <fill>
      <patternFill patternType="solid">
        <fgColor rgb="FF3694DB"/>
        <bgColor indexed="64"/>
      </patternFill>
    </fill>
    <fill>
      <patternFill patternType="solid">
        <fgColor rgb="FF3180BD"/>
        <bgColor indexed="64"/>
      </patternFill>
    </fill>
    <fill>
      <patternFill patternType="solid">
        <fgColor rgb="FF3DB3FF"/>
        <bgColor indexed="64"/>
      </patternFill>
    </fill>
    <fill>
      <patternFill patternType="solid">
        <fgColor rgb="FF36ACFB"/>
        <bgColor indexed="64"/>
      </patternFill>
    </fill>
    <fill>
      <patternFill patternType="solid">
        <fgColor rgb="FF35ADFB"/>
        <bgColor indexed="64"/>
      </patternFill>
    </fill>
    <fill>
      <patternFill patternType="solid">
        <fgColor rgb="FF37AEFE"/>
        <bgColor indexed="64"/>
      </patternFill>
    </fill>
    <fill>
      <patternFill patternType="solid">
        <fgColor rgb="FF2A9EF1"/>
        <bgColor indexed="64"/>
      </patternFill>
    </fill>
    <fill>
      <patternFill patternType="solid">
        <fgColor rgb="FF2E9EEF"/>
        <bgColor indexed="64"/>
      </patternFill>
    </fill>
    <fill>
      <patternFill patternType="solid">
        <fgColor rgb="FF24A9FB"/>
        <bgColor indexed="64"/>
      </patternFill>
    </fill>
    <fill>
      <patternFill patternType="solid">
        <fgColor rgb="FF2CA6F9"/>
        <bgColor indexed="64"/>
      </patternFill>
    </fill>
    <fill>
      <patternFill patternType="solid">
        <fgColor rgb="FFCECFD0"/>
        <bgColor indexed="64"/>
      </patternFill>
    </fill>
    <fill>
      <patternFill patternType="solid">
        <fgColor rgb="FF90828D"/>
        <bgColor indexed="64"/>
      </patternFill>
    </fill>
    <fill>
      <patternFill patternType="solid">
        <fgColor rgb="FFB28191"/>
        <bgColor indexed="64"/>
      </patternFill>
    </fill>
    <fill>
      <patternFill patternType="solid">
        <fgColor rgb="FFD899AB"/>
        <bgColor indexed="64"/>
      </patternFill>
    </fill>
    <fill>
      <patternFill patternType="solid">
        <fgColor rgb="FFD6A3AF"/>
        <bgColor indexed="64"/>
      </patternFill>
    </fill>
    <fill>
      <patternFill patternType="solid">
        <fgColor rgb="FFB5929D"/>
        <bgColor indexed="64"/>
      </patternFill>
    </fill>
    <fill>
      <patternFill patternType="solid">
        <fgColor rgb="FFA35C69"/>
        <bgColor indexed="64"/>
      </patternFill>
    </fill>
    <fill>
      <patternFill patternType="solid">
        <fgColor rgb="FFB93951"/>
        <bgColor indexed="64"/>
      </patternFill>
    </fill>
    <fill>
      <patternFill patternType="solid">
        <fgColor rgb="FFDE4861"/>
        <bgColor indexed="64"/>
      </patternFill>
    </fill>
    <fill>
      <patternFill patternType="solid">
        <fgColor rgb="FFCE4258"/>
        <bgColor indexed="64"/>
      </patternFill>
    </fill>
    <fill>
      <patternFill patternType="solid">
        <fgColor rgb="FFB73B51"/>
        <bgColor indexed="64"/>
      </patternFill>
    </fill>
    <fill>
      <patternFill patternType="solid">
        <fgColor rgb="FFB74556"/>
        <bgColor indexed="64"/>
      </patternFill>
    </fill>
    <fill>
      <patternFill patternType="solid">
        <fgColor rgb="FF452A2C"/>
        <bgColor indexed="64"/>
      </patternFill>
    </fill>
    <fill>
      <patternFill patternType="solid">
        <fgColor rgb="FF251E15"/>
        <bgColor indexed="64"/>
      </patternFill>
    </fill>
    <fill>
      <patternFill patternType="solid">
        <fgColor rgb="FF4F5057"/>
        <bgColor indexed="64"/>
      </patternFill>
    </fill>
    <fill>
      <patternFill patternType="solid">
        <fgColor rgb="FFB397A3"/>
        <bgColor indexed="64"/>
      </patternFill>
    </fill>
    <fill>
      <patternFill patternType="solid">
        <fgColor rgb="FFA44059"/>
        <bgColor indexed="64"/>
      </patternFill>
    </fill>
    <fill>
      <patternFill patternType="solid">
        <fgColor rgb="FFBA8A9D"/>
        <bgColor indexed="64"/>
      </patternFill>
    </fill>
    <fill>
      <patternFill patternType="solid">
        <fgColor rgb="FFD0D3DB"/>
        <bgColor indexed="64"/>
      </patternFill>
    </fill>
    <fill>
      <patternFill patternType="solid">
        <fgColor rgb="FFBEB3BE"/>
        <bgColor indexed="64"/>
      </patternFill>
    </fill>
    <fill>
      <patternFill patternType="solid">
        <fgColor rgb="FFEEE2EA"/>
        <bgColor indexed="64"/>
      </patternFill>
    </fill>
    <fill>
      <patternFill patternType="solid">
        <fgColor rgb="FFF5FDFC"/>
        <bgColor indexed="64"/>
      </patternFill>
    </fill>
    <fill>
      <patternFill patternType="solid">
        <fgColor rgb="FFC3B8C2"/>
        <bgColor indexed="64"/>
      </patternFill>
    </fill>
    <fill>
      <patternFill patternType="solid">
        <fgColor rgb="FFE9E6EB"/>
        <bgColor indexed="64"/>
      </patternFill>
    </fill>
    <fill>
      <patternFill patternType="solid">
        <fgColor rgb="FFBDA7AF"/>
        <bgColor indexed="64"/>
      </patternFill>
    </fill>
    <fill>
      <patternFill patternType="solid">
        <fgColor rgb="FFAB8D9A"/>
        <bgColor indexed="64"/>
      </patternFill>
    </fill>
    <fill>
      <patternFill patternType="solid">
        <fgColor rgb="FFC1C7CF"/>
        <bgColor indexed="64"/>
      </patternFill>
    </fill>
    <fill>
      <patternFill patternType="solid">
        <fgColor rgb="FF388BC8"/>
        <bgColor indexed="64"/>
      </patternFill>
    </fill>
    <fill>
      <patternFill patternType="solid">
        <fgColor rgb="FF48B8FF"/>
        <bgColor indexed="64"/>
      </patternFill>
    </fill>
    <fill>
      <patternFill patternType="solid">
        <fgColor rgb="FF42AFFB"/>
        <bgColor indexed="64"/>
      </patternFill>
    </fill>
    <fill>
      <patternFill patternType="solid">
        <fgColor rgb="FF42AEFA"/>
        <bgColor indexed="64"/>
      </patternFill>
    </fill>
    <fill>
      <patternFill patternType="solid">
        <fgColor rgb="FF42ADFA"/>
        <bgColor indexed="64"/>
      </patternFill>
    </fill>
    <fill>
      <patternFill patternType="solid">
        <fgColor rgb="FF3FAEFA"/>
        <bgColor indexed="64"/>
      </patternFill>
    </fill>
    <fill>
      <patternFill patternType="solid">
        <fgColor rgb="FF42AFF9"/>
        <bgColor indexed="64"/>
      </patternFill>
    </fill>
    <fill>
      <patternFill patternType="solid">
        <fgColor rgb="FF3EB0FB"/>
        <bgColor indexed="64"/>
      </patternFill>
    </fill>
    <fill>
      <patternFill patternType="solid">
        <fgColor rgb="FF3DAFFA"/>
        <bgColor indexed="64"/>
      </patternFill>
    </fill>
    <fill>
      <patternFill patternType="solid">
        <fgColor rgb="FF41B2FC"/>
        <bgColor indexed="64"/>
      </patternFill>
    </fill>
    <fill>
      <patternFill patternType="solid">
        <fgColor rgb="FF43BAFF"/>
        <bgColor indexed="64"/>
      </patternFill>
    </fill>
    <fill>
      <patternFill patternType="solid">
        <fgColor rgb="FF367DB1"/>
        <bgColor indexed="64"/>
      </patternFill>
    </fill>
    <fill>
      <patternFill patternType="solid">
        <fgColor rgb="FF4C675E"/>
        <bgColor indexed="64"/>
      </patternFill>
    </fill>
    <fill>
      <patternFill patternType="solid">
        <fgColor rgb="FF429DD5"/>
        <bgColor indexed="64"/>
      </patternFill>
    </fill>
    <fill>
      <patternFill patternType="solid">
        <fgColor rgb="FF2C82D3"/>
        <bgColor indexed="64"/>
      </patternFill>
    </fill>
    <fill>
      <patternFill patternType="solid">
        <fgColor rgb="FF5E5C2E"/>
        <bgColor indexed="64"/>
      </patternFill>
    </fill>
    <fill>
      <patternFill patternType="solid">
        <fgColor rgb="FF738147"/>
        <bgColor indexed="64"/>
      </patternFill>
    </fill>
    <fill>
      <patternFill patternType="solid">
        <fgColor rgb="FF40A8E6"/>
        <bgColor indexed="64"/>
      </patternFill>
    </fill>
    <fill>
      <patternFill patternType="solid">
        <fgColor rgb="FF41B4FD"/>
        <bgColor indexed="64"/>
      </patternFill>
    </fill>
    <fill>
      <patternFill patternType="solid">
        <fgColor rgb="FF3FB0F8"/>
        <bgColor indexed="64"/>
      </patternFill>
    </fill>
    <fill>
      <patternFill patternType="solid">
        <fgColor rgb="FF38ABF9"/>
        <bgColor indexed="64"/>
      </patternFill>
    </fill>
    <fill>
      <patternFill patternType="solid">
        <fgColor rgb="FF339BEA"/>
        <bgColor indexed="64"/>
      </patternFill>
    </fill>
    <fill>
      <patternFill patternType="solid">
        <fgColor rgb="FF35AAFA"/>
        <bgColor indexed="64"/>
      </patternFill>
    </fill>
    <fill>
      <patternFill patternType="solid">
        <fgColor rgb="FF2E8AD7"/>
        <bgColor indexed="64"/>
      </patternFill>
    </fill>
    <fill>
      <patternFill patternType="solid">
        <fgColor rgb="FF2782C9"/>
        <bgColor indexed="64"/>
      </patternFill>
    </fill>
    <fill>
      <patternFill patternType="solid">
        <fgColor rgb="FF7279BD"/>
        <bgColor indexed="64"/>
      </patternFill>
    </fill>
    <fill>
      <patternFill patternType="solid">
        <fgColor rgb="FF6F5888"/>
        <bgColor indexed="64"/>
      </patternFill>
    </fill>
    <fill>
      <patternFill patternType="solid">
        <fgColor rgb="FF7871AB"/>
        <bgColor indexed="64"/>
      </patternFill>
    </fill>
    <fill>
      <patternFill patternType="solid">
        <fgColor rgb="FF3681CC"/>
        <bgColor indexed="64"/>
      </patternFill>
    </fill>
    <fill>
      <patternFill patternType="solid">
        <fgColor rgb="FFDFEBEA"/>
        <bgColor indexed="64"/>
      </patternFill>
    </fill>
    <fill>
      <patternFill patternType="solid">
        <fgColor rgb="FFA0A9AC"/>
        <bgColor indexed="64"/>
      </patternFill>
    </fill>
    <fill>
      <patternFill patternType="solid">
        <fgColor rgb="FFA18791"/>
        <bgColor indexed="64"/>
      </patternFill>
    </fill>
    <fill>
      <patternFill patternType="solid">
        <fgColor rgb="FFCC889A"/>
        <bgColor indexed="64"/>
      </patternFill>
    </fill>
    <fill>
      <patternFill patternType="solid">
        <fgColor rgb="FFD092A5"/>
        <bgColor indexed="64"/>
      </patternFill>
    </fill>
    <fill>
      <patternFill patternType="solid">
        <fgColor rgb="FF9C6978"/>
        <bgColor indexed="64"/>
      </patternFill>
    </fill>
    <fill>
      <patternFill patternType="solid">
        <fgColor rgb="FFA8899A"/>
        <bgColor indexed="64"/>
      </patternFill>
    </fill>
    <fill>
      <patternFill patternType="solid">
        <fgColor rgb="FFCDC1CC"/>
        <bgColor indexed="64"/>
      </patternFill>
    </fill>
    <fill>
      <patternFill patternType="solid">
        <fgColor rgb="FFB0ABB7"/>
        <bgColor indexed="64"/>
      </patternFill>
    </fill>
    <fill>
      <patternFill patternType="solid">
        <fgColor rgb="FF787157"/>
        <bgColor indexed="64"/>
      </patternFill>
    </fill>
    <fill>
      <patternFill patternType="solid">
        <fgColor rgb="FF483710"/>
        <bgColor indexed="64"/>
      </patternFill>
    </fill>
    <fill>
      <patternFill patternType="solid">
        <fgColor rgb="FF8C8476"/>
        <bgColor indexed="64"/>
      </patternFill>
    </fill>
    <fill>
      <patternFill patternType="solid">
        <fgColor rgb="FFDED3DD"/>
        <bgColor indexed="64"/>
      </patternFill>
    </fill>
    <fill>
      <patternFill patternType="solid">
        <fgColor rgb="FFE2DDE5"/>
        <bgColor indexed="64"/>
      </patternFill>
    </fill>
    <fill>
      <patternFill patternType="solid">
        <fgColor rgb="FFF8F9FA"/>
        <bgColor indexed="64"/>
      </patternFill>
    </fill>
    <fill>
      <patternFill patternType="solid">
        <fgColor rgb="FFECEAEB"/>
        <bgColor indexed="64"/>
      </patternFill>
    </fill>
    <fill>
      <patternFill patternType="solid">
        <fgColor rgb="FFE8E9EA"/>
        <bgColor indexed="64"/>
      </patternFill>
    </fill>
    <fill>
      <patternFill patternType="solid">
        <fgColor rgb="FFB5A8B0"/>
        <bgColor indexed="64"/>
      </patternFill>
    </fill>
    <fill>
      <patternFill patternType="solid">
        <fgColor rgb="FFDBCFD7"/>
        <bgColor indexed="64"/>
      </patternFill>
    </fill>
    <fill>
      <patternFill patternType="solid">
        <fgColor rgb="FFD7DBDF"/>
        <bgColor indexed="64"/>
      </patternFill>
    </fill>
    <fill>
      <patternFill patternType="solid">
        <fgColor rgb="FF418EC9"/>
        <bgColor indexed="64"/>
      </patternFill>
    </fill>
    <fill>
      <patternFill patternType="solid">
        <fgColor rgb="FF46B6FF"/>
        <bgColor indexed="64"/>
      </patternFill>
    </fill>
    <fill>
      <patternFill patternType="solid">
        <fgColor rgb="FF42AEF8"/>
        <bgColor indexed="64"/>
      </patternFill>
    </fill>
    <fill>
      <patternFill patternType="solid">
        <fgColor rgb="FF42ADF9"/>
        <bgColor indexed="64"/>
      </patternFill>
    </fill>
    <fill>
      <patternFill patternType="solid">
        <fgColor rgb="FF43AFFB"/>
        <bgColor indexed="64"/>
      </patternFill>
    </fill>
    <fill>
      <patternFill patternType="solid">
        <fgColor rgb="FF43B2FF"/>
        <bgColor indexed="64"/>
      </patternFill>
    </fill>
    <fill>
      <patternFill patternType="solid">
        <fgColor rgb="FF41ADFA"/>
        <bgColor indexed="64"/>
      </patternFill>
    </fill>
    <fill>
      <patternFill patternType="solid">
        <fgColor rgb="FF40ADF9"/>
        <bgColor indexed="64"/>
      </patternFill>
    </fill>
    <fill>
      <patternFill patternType="solid">
        <fgColor rgb="FF3EADFA"/>
        <bgColor indexed="64"/>
      </patternFill>
    </fill>
    <fill>
      <patternFill patternType="solid">
        <fgColor rgb="FF3DAAF6"/>
        <bgColor indexed="64"/>
      </patternFill>
    </fill>
    <fill>
      <patternFill patternType="solid">
        <fgColor rgb="FF2F7CC5"/>
        <bgColor indexed="64"/>
      </patternFill>
    </fill>
    <fill>
      <patternFill patternType="solid">
        <fgColor rgb="FF3BA6F6"/>
        <bgColor indexed="64"/>
      </patternFill>
    </fill>
    <fill>
      <patternFill patternType="solid">
        <fgColor rgb="FF3CB7FF"/>
        <bgColor indexed="64"/>
      </patternFill>
    </fill>
    <fill>
      <patternFill patternType="solid">
        <fgColor rgb="FF4184A6"/>
        <bgColor indexed="64"/>
      </patternFill>
    </fill>
    <fill>
      <patternFill patternType="solid">
        <fgColor rgb="FFCCC02C"/>
        <bgColor indexed="64"/>
      </patternFill>
    </fill>
    <fill>
      <patternFill patternType="solid">
        <fgColor rgb="FF81A369"/>
        <bgColor indexed="64"/>
      </patternFill>
    </fill>
    <fill>
      <patternFill patternType="solid">
        <fgColor rgb="FF38A6F8"/>
        <bgColor indexed="64"/>
      </patternFill>
    </fill>
    <fill>
      <patternFill patternType="solid">
        <fgColor rgb="FF42B3FB"/>
        <bgColor indexed="64"/>
      </patternFill>
    </fill>
    <fill>
      <patternFill patternType="solid">
        <fgColor rgb="FF39AEFD"/>
        <bgColor indexed="64"/>
      </patternFill>
    </fill>
    <fill>
      <patternFill patternType="solid">
        <fgColor rgb="FF30A1F4"/>
        <bgColor indexed="64"/>
      </patternFill>
    </fill>
    <fill>
      <patternFill patternType="solid">
        <fgColor rgb="FF2AABFB"/>
        <bgColor indexed="64"/>
      </patternFill>
    </fill>
    <fill>
      <patternFill patternType="solid">
        <fgColor rgb="FF5E78BA"/>
        <bgColor indexed="64"/>
      </patternFill>
    </fill>
    <fill>
      <patternFill patternType="solid">
        <fgColor rgb="FF915A84"/>
        <bgColor indexed="64"/>
      </patternFill>
    </fill>
    <fill>
      <patternFill patternType="solid">
        <fgColor rgb="FFDF78A5"/>
        <bgColor indexed="64"/>
      </patternFill>
    </fill>
    <fill>
      <patternFill patternType="solid">
        <fgColor rgb="FFCB6089"/>
        <bgColor indexed="64"/>
      </patternFill>
    </fill>
    <fill>
      <patternFill patternType="solid">
        <fgColor rgb="FF7380BF"/>
        <bgColor indexed="64"/>
      </patternFill>
    </fill>
    <fill>
      <patternFill patternType="solid">
        <fgColor rgb="FF34A7F9"/>
        <bgColor indexed="64"/>
      </patternFill>
    </fill>
    <fill>
      <patternFill patternType="solid">
        <fgColor rgb="FFFEFDFC"/>
        <bgColor indexed="64"/>
      </patternFill>
    </fill>
    <fill>
      <patternFill patternType="solid">
        <fgColor rgb="FFF1F0F1"/>
        <bgColor indexed="64"/>
      </patternFill>
    </fill>
    <fill>
      <patternFill patternType="solid">
        <fgColor rgb="FFEEEBF0"/>
        <bgColor indexed="64"/>
      </patternFill>
    </fill>
    <fill>
      <patternFill patternType="solid">
        <fgColor rgb="FFF9FFFF"/>
        <bgColor indexed="64"/>
      </patternFill>
    </fill>
    <fill>
      <patternFill patternType="solid">
        <fgColor rgb="FFDFE6E9"/>
        <bgColor indexed="64"/>
      </patternFill>
    </fill>
    <fill>
      <patternFill patternType="solid">
        <fgColor rgb="FFB3AB66"/>
        <bgColor indexed="64"/>
      </patternFill>
    </fill>
    <fill>
      <patternFill patternType="solid">
        <fgColor rgb="FFCCC321"/>
        <bgColor indexed="64"/>
      </patternFill>
    </fill>
    <fill>
      <patternFill patternType="solid">
        <fgColor rgb="FFC2BD82"/>
        <bgColor indexed="64"/>
      </patternFill>
    </fill>
    <fill>
      <patternFill patternType="solid">
        <fgColor rgb="FFFAFAF9"/>
        <bgColor indexed="64"/>
      </patternFill>
    </fill>
    <fill>
      <patternFill patternType="solid">
        <fgColor rgb="FFF4F4F3"/>
        <bgColor indexed="64"/>
      </patternFill>
    </fill>
    <fill>
      <patternFill patternType="solid">
        <fgColor rgb="FFCECFD3"/>
        <bgColor indexed="64"/>
      </patternFill>
    </fill>
    <fill>
      <patternFill patternType="solid">
        <fgColor rgb="FFFAFCFC"/>
        <bgColor indexed="64"/>
      </patternFill>
    </fill>
    <fill>
      <patternFill patternType="solid">
        <fgColor rgb="FFBBC2CC"/>
        <bgColor indexed="64"/>
      </patternFill>
    </fill>
    <fill>
      <patternFill patternType="solid">
        <fgColor rgb="FF3A90D1"/>
        <bgColor indexed="64"/>
      </patternFill>
    </fill>
    <fill>
      <patternFill patternType="solid">
        <fgColor rgb="FF47B9FF"/>
        <bgColor indexed="64"/>
      </patternFill>
    </fill>
    <fill>
      <patternFill patternType="solid">
        <fgColor rgb="FF44AEF8"/>
        <bgColor indexed="64"/>
      </patternFill>
    </fill>
    <fill>
      <patternFill patternType="solid">
        <fgColor rgb="FF3AABFA"/>
        <bgColor indexed="64"/>
      </patternFill>
    </fill>
    <fill>
      <patternFill patternType="solid">
        <fgColor rgb="FF3F9CE0"/>
        <bgColor indexed="64"/>
      </patternFill>
    </fill>
    <fill>
      <patternFill patternType="solid">
        <fgColor rgb="FF41A6F2"/>
        <bgColor indexed="64"/>
      </patternFill>
    </fill>
    <fill>
      <patternFill patternType="solid">
        <fgColor rgb="FF45B0FB"/>
        <bgColor indexed="64"/>
      </patternFill>
    </fill>
    <fill>
      <patternFill patternType="solid">
        <fgColor rgb="FF40B2FF"/>
        <bgColor indexed="64"/>
      </patternFill>
    </fill>
    <fill>
      <patternFill patternType="solid">
        <fgColor rgb="FF40B0FF"/>
        <bgColor indexed="64"/>
      </patternFill>
    </fill>
    <fill>
      <patternFill patternType="solid">
        <fgColor rgb="FF40B0FC"/>
        <bgColor indexed="64"/>
      </patternFill>
    </fill>
    <fill>
      <patternFill patternType="solid">
        <fgColor rgb="FF3DAEFA"/>
        <bgColor indexed="64"/>
      </patternFill>
    </fill>
    <fill>
      <patternFill patternType="solid">
        <fgColor rgb="FF3DAEFB"/>
        <bgColor indexed="64"/>
      </patternFill>
    </fill>
    <fill>
      <patternFill patternType="solid">
        <fgColor rgb="FF3DAFF9"/>
        <bgColor indexed="64"/>
      </patternFill>
    </fill>
    <fill>
      <patternFill patternType="solid">
        <fgColor rgb="FF3EB1FF"/>
        <bgColor indexed="64"/>
      </patternFill>
    </fill>
    <fill>
      <patternFill patternType="solid">
        <fgColor rgb="FF3FB0F9"/>
        <bgColor indexed="64"/>
      </patternFill>
    </fill>
    <fill>
      <patternFill patternType="solid">
        <fgColor rgb="FF36ACFD"/>
        <bgColor indexed="64"/>
      </patternFill>
    </fill>
    <fill>
      <patternFill patternType="solid">
        <fgColor rgb="FF568E8F"/>
        <bgColor indexed="64"/>
      </patternFill>
    </fill>
    <fill>
      <patternFill patternType="solid">
        <fgColor rgb="FFEDE22D"/>
        <bgColor indexed="64"/>
      </patternFill>
    </fill>
    <fill>
      <patternFill patternType="solid">
        <fgColor rgb="FF6A9D89"/>
        <bgColor indexed="64"/>
      </patternFill>
    </fill>
    <fill>
      <patternFill patternType="solid">
        <fgColor rgb="FF3AAEFF"/>
        <bgColor indexed="64"/>
      </patternFill>
    </fill>
    <fill>
      <patternFill patternType="solid">
        <fgColor rgb="FF41B1F9"/>
        <bgColor indexed="64"/>
      </patternFill>
    </fill>
    <fill>
      <patternFill patternType="solid">
        <fgColor rgb="FF3BAFFA"/>
        <bgColor indexed="64"/>
      </patternFill>
    </fill>
    <fill>
      <patternFill patternType="solid">
        <fgColor rgb="FF39AFFC"/>
        <bgColor indexed="64"/>
      </patternFill>
    </fill>
    <fill>
      <patternFill patternType="solid">
        <fgColor rgb="FF36ABFB"/>
        <bgColor indexed="64"/>
      </patternFill>
    </fill>
    <fill>
      <patternFill patternType="solid">
        <fgColor rgb="FF32ACFE"/>
        <bgColor indexed="64"/>
      </patternFill>
    </fill>
    <fill>
      <patternFill patternType="solid">
        <fgColor rgb="FF2E93E6"/>
        <bgColor indexed="64"/>
      </patternFill>
    </fill>
    <fill>
      <patternFill patternType="solid">
        <fgColor rgb="FF646DAA"/>
        <bgColor indexed="64"/>
      </patternFill>
    </fill>
    <fill>
      <patternFill patternType="solid">
        <fgColor rgb="FFB976A1"/>
        <bgColor indexed="64"/>
      </patternFill>
    </fill>
    <fill>
      <patternFill patternType="solid">
        <fgColor rgb="FFFD7EA6"/>
        <bgColor indexed="64"/>
      </patternFill>
    </fill>
    <fill>
      <patternFill patternType="solid">
        <fgColor rgb="FFFD7FA9"/>
        <bgColor indexed="64"/>
      </patternFill>
    </fill>
    <fill>
      <patternFill patternType="solid">
        <fgColor rgb="FFFF81AE"/>
        <bgColor indexed="64"/>
      </patternFill>
    </fill>
    <fill>
      <patternFill patternType="solid">
        <fgColor rgb="FF7179B7"/>
        <bgColor indexed="64"/>
      </patternFill>
    </fill>
    <fill>
      <patternFill patternType="solid">
        <fgColor rgb="FF25A4F9"/>
        <bgColor indexed="64"/>
      </patternFill>
    </fill>
    <fill>
      <patternFill patternType="solid">
        <fgColor rgb="FFFFFDFE"/>
        <bgColor indexed="64"/>
      </patternFill>
    </fill>
    <fill>
      <patternFill patternType="solid">
        <fgColor rgb="FFF5F4FB"/>
        <bgColor indexed="64"/>
      </patternFill>
    </fill>
    <fill>
      <patternFill patternType="solid">
        <fgColor rgb="FFB9B558"/>
        <bgColor indexed="64"/>
      </patternFill>
    </fill>
    <fill>
      <patternFill patternType="solid">
        <fgColor rgb="FFBBB880"/>
        <bgColor indexed="64"/>
      </patternFill>
    </fill>
    <fill>
      <patternFill patternType="solid">
        <fgColor rgb="FFFDFDFA"/>
        <bgColor indexed="64"/>
      </patternFill>
    </fill>
    <fill>
      <patternFill patternType="solid">
        <fgColor rgb="FFFBFCFC"/>
        <bgColor indexed="64"/>
      </patternFill>
    </fill>
    <fill>
      <patternFill patternType="solid">
        <fgColor rgb="FFF7F3F1"/>
        <bgColor indexed="64"/>
      </patternFill>
    </fill>
    <fill>
      <patternFill patternType="solid">
        <fgColor rgb="FF6A88A7"/>
        <bgColor indexed="64"/>
      </patternFill>
    </fill>
    <fill>
      <patternFill patternType="solid">
        <fgColor rgb="FF38A5F3"/>
        <bgColor indexed="64"/>
      </patternFill>
    </fill>
    <fill>
      <patternFill patternType="solid">
        <fgColor rgb="FF43B0F9"/>
        <bgColor indexed="64"/>
      </patternFill>
    </fill>
    <fill>
      <patternFill patternType="solid">
        <fgColor rgb="FF44B5FF"/>
        <bgColor indexed="64"/>
      </patternFill>
    </fill>
    <fill>
      <patternFill patternType="solid">
        <fgColor rgb="FF4190D2"/>
        <bgColor indexed="64"/>
      </patternFill>
    </fill>
    <fill>
      <patternFill patternType="solid">
        <fgColor rgb="FF7E7775"/>
        <bgColor indexed="64"/>
      </patternFill>
    </fill>
    <fill>
      <patternFill patternType="solid">
        <fgColor rgb="FF4E7CA6"/>
        <bgColor indexed="64"/>
      </patternFill>
    </fill>
    <fill>
      <patternFill patternType="solid">
        <fgColor rgb="FF3BB3FF"/>
        <bgColor indexed="64"/>
      </patternFill>
    </fill>
    <fill>
      <patternFill patternType="solid">
        <fgColor rgb="FF3FA3EE"/>
        <bgColor indexed="64"/>
      </patternFill>
    </fill>
    <fill>
      <patternFill patternType="solid">
        <fgColor rgb="FF439AD9"/>
        <bgColor indexed="64"/>
      </patternFill>
    </fill>
    <fill>
      <patternFill patternType="solid">
        <fgColor rgb="FF3D9FE5"/>
        <bgColor indexed="64"/>
      </patternFill>
    </fill>
    <fill>
      <patternFill patternType="solid">
        <fgColor rgb="FF41AFFC"/>
        <bgColor indexed="64"/>
      </patternFill>
    </fill>
    <fill>
      <patternFill patternType="solid">
        <fgColor rgb="FF3DADFA"/>
        <bgColor indexed="64"/>
      </patternFill>
    </fill>
    <fill>
      <patternFill patternType="solid">
        <fgColor rgb="FF3EAEF9"/>
        <bgColor indexed="64"/>
      </patternFill>
    </fill>
    <fill>
      <patternFill patternType="solid">
        <fgColor rgb="FF30A6FF"/>
        <bgColor indexed="64"/>
      </patternFill>
    </fill>
    <fill>
      <patternFill patternType="solid">
        <fgColor rgb="FF74A37F"/>
        <bgColor indexed="64"/>
      </patternFill>
    </fill>
    <fill>
      <patternFill patternType="solid">
        <fgColor rgb="FFF1E62E"/>
        <bgColor indexed="64"/>
      </patternFill>
    </fill>
    <fill>
      <patternFill patternType="solid">
        <fgColor rgb="FF498999"/>
        <bgColor indexed="64"/>
      </patternFill>
    </fill>
    <fill>
      <patternFill patternType="solid">
        <fgColor rgb="FF3DADF8"/>
        <bgColor indexed="64"/>
      </patternFill>
    </fill>
    <fill>
      <patternFill patternType="solid">
        <fgColor rgb="FF3CAFFB"/>
        <bgColor indexed="64"/>
      </patternFill>
    </fill>
    <fill>
      <patternFill patternType="solid">
        <fgColor rgb="FF289EF3"/>
        <bgColor indexed="64"/>
      </patternFill>
    </fill>
    <fill>
      <patternFill patternType="solid">
        <fgColor rgb="FF735D92"/>
        <bgColor indexed="64"/>
      </patternFill>
    </fill>
    <fill>
      <patternFill patternType="solid">
        <fgColor rgb="FFF87C9C"/>
        <bgColor indexed="64"/>
      </patternFill>
    </fill>
    <fill>
      <patternFill patternType="solid">
        <fgColor rgb="FFFA81AC"/>
        <bgColor indexed="64"/>
      </patternFill>
    </fill>
    <fill>
      <patternFill patternType="solid">
        <fgColor rgb="FFF980AA"/>
        <bgColor indexed="64"/>
      </patternFill>
    </fill>
    <fill>
      <patternFill patternType="solid">
        <fgColor rgb="FFDA73A0"/>
        <bgColor indexed="64"/>
      </patternFill>
    </fill>
    <fill>
      <patternFill patternType="solid">
        <fgColor rgb="FF9D618F"/>
        <bgColor indexed="64"/>
      </patternFill>
    </fill>
    <fill>
      <patternFill patternType="solid">
        <fgColor rgb="FF2F97E5"/>
        <bgColor indexed="64"/>
      </patternFill>
    </fill>
    <fill>
      <patternFill patternType="solid">
        <fgColor rgb="FFF3F2F1"/>
        <bgColor indexed="64"/>
      </patternFill>
    </fill>
    <fill>
      <patternFill patternType="solid">
        <fgColor rgb="FF8F8946"/>
        <bgColor indexed="64"/>
      </patternFill>
    </fill>
    <fill>
      <patternFill patternType="solid">
        <fgColor rgb="FFCAC52C"/>
        <bgColor indexed="64"/>
      </patternFill>
    </fill>
    <fill>
      <patternFill patternType="solid">
        <fgColor rgb="FFC3BF87"/>
        <bgColor indexed="64"/>
      </patternFill>
    </fill>
    <fill>
      <patternFill patternType="solid">
        <fgColor rgb="FFFEFEFB"/>
        <bgColor indexed="64"/>
      </patternFill>
    </fill>
    <fill>
      <patternFill patternType="solid">
        <fgColor rgb="FFEEEEED"/>
        <bgColor indexed="64"/>
      </patternFill>
    </fill>
    <fill>
      <patternFill patternType="solid">
        <fgColor rgb="FF808792"/>
        <bgColor indexed="64"/>
      </patternFill>
    </fill>
    <fill>
      <patternFill patternType="solid">
        <fgColor rgb="FF3C8DD0"/>
        <bgColor indexed="64"/>
      </patternFill>
    </fill>
    <fill>
      <patternFill patternType="solid">
        <fgColor rgb="FF4E86BC"/>
        <bgColor indexed="64"/>
      </patternFill>
    </fill>
    <fill>
      <patternFill patternType="solid">
        <fgColor rgb="FF559EDB"/>
        <bgColor indexed="64"/>
      </patternFill>
    </fill>
    <fill>
      <patternFill patternType="solid">
        <fgColor rgb="FF3E84C2"/>
        <bgColor indexed="64"/>
      </patternFill>
    </fill>
    <fill>
      <patternFill patternType="solid">
        <fgColor rgb="FFC38B58"/>
        <bgColor indexed="64"/>
      </patternFill>
    </fill>
    <fill>
      <patternFill patternType="solid">
        <fgColor rgb="FFAE8964"/>
        <bgColor indexed="64"/>
      </patternFill>
    </fill>
    <fill>
      <patternFill patternType="solid">
        <fgColor rgb="FF367FC9"/>
        <bgColor indexed="64"/>
      </patternFill>
    </fill>
    <fill>
      <patternFill patternType="solid">
        <fgColor rgb="FF5888B5"/>
        <bgColor indexed="64"/>
      </patternFill>
    </fill>
    <fill>
      <patternFill patternType="solid">
        <fgColor rgb="FFA28F80"/>
        <bgColor indexed="64"/>
      </patternFill>
    </fill>
    <fill>
      <patternFill patternType="solid">
        <fgColor rgb="FFB07F5C"/>
        <bgColor indexed="64"/>
      </patternFill>
    </fill>
    <fill>
      <patternFill patternType="solid">
        <fgColor rgb="FF554E5E"/>
        <bgColor indexed="64"/>
      </patternFill>
    </fill>
    <fill>
      <patternFill patternType="solid">
        <fgColor rgb="FF3580C2"/>
        <bgColor indexed="64"/>
      </patternFill>
    </fill>
    <fill>
      <patternFill patternType="solid">
        <fgColor rgb="FF44B2FD"/>
        <bgColor indexed="64"/>
      </patternFill>
    </fill>
    <fill>
      <patternFill patternType="solid">
        <fgColor rgb="FF3EADF9"/>
        <bgColor indexed="64"/>
      </patternFill>
    </fill>
    <fill>
      <patternFill patternType="solid">
        <fgColor rgb="FF3BADFA"/>
        <bgColor indexed="64"/>
      </patternFill>
    </fill>
    <fill>
      <patternFill patternType="solid">
        <fgColor rgb="FF3CACFA"/>
        <bgColor indexed="64"/>
      </patternFill>
    </fill>
    <fill>
      <patternFill patternType="solid">
        <fgColor rgb="FF35AAFF"/>
        <bgColor indexed="64"/>
      </patternFill>
    </fill>
    <fill>
      <patternFill patternType="solid">
        <fgColor rgb="FF598289"/>
        <bgColor indexed="64"/>
      </patternFill>
    </fill>
    <fill>
      <patternFill patternType="solid">
        <fgColor rgb="FFB8AF34"/>
        <bgColor indexed="64"/>
      </patternFill>
    </fill>
    <fill>
      <patternFill patternType="solid">
        <fgColor rgb="FF4F9FB9"/>
        <bgColor indexed="64"/>
      </patternFill>
    </fill>
    <fill>
      <patternFill patternType="solid">
        <fgColor rgb="FF38ACFF"/>
        <bgColor indexed="64"/>
      </patternFill>
    </fill>
    <fill>
      <patternFill patternType="solid">
        <fgColor rgb="FF3CACF8"/>
        <bgColor indexed="64"/>
      </patternFill>
    </fill>
    <fill>
      <patternFill patternType="solid">
        <fgColor rgb="FF32ACFD"/>
        <bgColor indexed="64"/>
      </patternFill>
    </fill>
    <fill>
      <patternFill patternType="solid">
        <fgColor rgb="FF2B90E7"/>
        <bgColor indexed="64"/>
      </patternFill>
    </fill>
    <fill>
      <patternFill patternType="solid">
        <fgColor rgb="FF815C92"/>
        <bgColor indexed="64"/>
      </patternFill>
    </fill>
    <fill>
      <patternFill patternType="solid">
        <fgColor rgb="FFFD80A6"/>
        <bgColor indexed="64"/>
      </patternFill>
    </fill>
    <fill>
      <patternFill patternType="solid">
        <fgColor rgb="FFFB86B2"/>
        <bgColor indexed="64"/>
      </patternFill>
    </fill>
    <fill>
      <patternFill patternType="solid">
        <fgColor rgb="FFFF87B4"/>
        <bgColor indexed="64"/>
      </patternFill>
    </fill>
    <fill>
      <patternFill patternType="solid">
        <fgColor rgb="FFB672A8"/>
        <bgColor indexed="64"/>
      </patternFill>
    </fill>
    <fill>
      <patternFill patternType="solid">
        <fgColor rgb="FF3972B8"/>
        <bgColor indexed="64"/>
      </patternFill>
    </fill>
    <fill>
      <patternFill patternType="solid">
        <fgColor rgb="FF39A2EF"/>
        <bgColor indexed="64"/>
      </patternFill>
    </fill>
    <fill>
      <patternFill patternType="solid">
        <fgColor rgb="FFEEEEEF"/>
        <bgColor indexed="64"/>
      </patternFill>
    </fill>
    <fill>
      <patternFill patternType="solid">
        <fgColor rgb="FF585239"/>
        <bgColor indexed="64"/>
      </patternFill>
    </fill>
    <fill>
      <patternFill patternType="solid">
        <fgColor rgb="FF675E1B"/>
        <bgColor indexed="64"/>
      </patternFill>
    </fill>
    <fill>
      <patternFill patternType="solid">
        <fgColor rgb="FF959188"/>
        <bgColor indexed="64"/>
      </patternFill>
    </fill>
    <fill>
      <patternFill patternType="solid">
        <fgColor rgb="FFDED5D0"/>
        <bgColor indexed="64"/>
      </patternFill>
    </fill>
    <fill>
      <patternFill patternType="solid">
        <fgColor rgb="FF456586"/>
        <bgColor indexed="64"/>
      </patternFill>
    </fill>
    <fill>
      <patternFill patternType="solid">
        <fgColor rgb="FF50A3E7"/>
        <bgColor indexed="64"/>
      </patternFill>
    </fill>
    <fill>
      <patternFill patternType="solid">
        <fgColor rgb="FFA8826A"/>
        <bgColor indexed="64"/>
      </patternFill>
    </fill>
    <fill>
      <patternFill patternType="solid">
        <fgColor rgb="FF535F7C"/>
        <bgColor indexed="64"/>
      </patternFill>
    </fill>
    <fill>
      <patternFill patternType="solid">
        <fgColor rgb="FFB3845E"/>
        <bgColor indexed="64"/>
      </patternFill>
    </fill>
    <fill>
      <patternFill patternType="solid">
        <fgColor rgb="FFFEAD57"/>
        <bgColor indexed="64"/>
      </patternFill>
    </fill>
    <fill>
      <patternFill patternType="solid">
        <fgColor rgb="FF463B44"/>
        <bgColor indexed="64"/>
      </patternFill>
    </fill>
    <fill>
      <patternFill patternType="solid">
        <fgColor rgb="FF94786B"/>
        <bgColor indexed="64"/>
      </patternFill>
    </fill>
    <fill>
      <patternFill patternType="solid">
        <fgColor rgb="FFF6A555"/>
        <bgColor indexed="64"/>
      </patternFill>
    </fill>
    <fill>
      <patternFill patternType="solid">
        <fgColor rgb="FFDD9B4F"/>
        <bgColor indexed="64"/>
      </patternFill>
    </fill>
    <fill>
      <patternFill patternType="solid">
        <fgColor rgb="FF64758B"/>
        <bgColor indexed="64"/>
      </patternFill>
    </fill>
    <fill>
      <patternFill patternType="solid">
        <fgColor rgb="FF3AA0F3"/>
        <bgColor indexed="64"/>
      </patternFill>
    </fill>
    <fill>
      <patternFill patternType="solid">
        <fgColor rgb="FF3EB7FF"/>
        <bgColor indexed="64"/>
      </patternFill>
    </fill>
    <fill>
      <patternFill patternType="solid">
        <fgColor rgb="FF3FADF9"/>
        <bgColor indexed="64"/>
      </patternFill>
    </fill>
    <fill>
      <patternFill patternType="solid">
        <fgColor rgb="FF3FADFC"/>
        <bgColor indexed="64"/>
      </patternFill>
    </fill>
    <fill>
      <patternFill patternType="solid">
        <fgColor rgb="FF3CADFC"/>
        <bgColor indexed="64"/>
      </patternFill>
    </fill>
    <fill>
      <patternFill patternType="solid">
        <fgColor rgb="FF3CADF9"/>
        <bgColor indexed="64"/>
      </patternFill>
    </fill>
    <fill>
      <patternFill patternType="solid">
        <fgColor rgb="FF37ADFF"/>
        <bgColor indexed="64"/>
      </patternFill>
    </fill>
    <fill>
      <patternFill patternType="solid">
        <fgColor rgb="FF3D6A97"/>
        <bgColor indexed="64"/>
      </patternFill>
    </fill>
    <fill>
      <patternFill patternType="solid">
        <fgColor rgb="FF737235"/>
        <bgColor indexed="64"/>
      </patternFill>
    </fill>
    <fill>
      <patternFill patternType="solid">
        <fgColor rgb="FF469DCB"/>
        <bgColor indexed="64"/>
      </patternFill>
    </fill>
    <fill>
      <patternFill patternType="solid">
        <fgColor rgb="FF3BB0FF"/>
        <bgColor indexed="64"/>
      </patternFill>
    </fill>
    <fill>
      <patternFill patternType="solid">
        <fgColor rgb="FF3DADF9"/>
        <bgColor indexed="64"/>
      </patternFill>
    </fill>
    <fill>
      <patternFill patternType="solid">
        <fgColor rgb="FF32A7FB"/>
        <bgColor indexed="64"/>
      </patternFill>
    </fill>
    <fill>
      <patternFill patternType="solid">
        <fgColor rgb="FF3D97ED"/>
        <bgColor indexed="64"/>
      </patternFill>
    </fill>
    <fill>
      <patternFill patternType="solid">
        <fgColor rgb="FF8B70AC"/>
        <bgColor indexed="64"/>
      </patternFill>
    </fill>
    <fill>
      <patternFill patternType="solid">
        <fgColor rgb="FFEF769C"/>
        <bgColor indexed="64"/>
      </patternFill>
    </fill>
    <fill>
      <patternFill patternType="solid">
        <fgColor rgb="FFB65E79"/>
        <bgColor indexed="64"/>
      </patternFill>
    </fill>
    <fill>
      <patternFill patternType="solid">
        <fgColor rgb="FFC872A1"/>
        <bgColor indexed="64"/>
      </patternFill>
    </fill>
    <fill>
      <patternFill patternType="solid">
        <fgColor rgb="FF3D9CE4"/>
        <bgColor indexed="64"/>
      </patternFill>
    </fill>
    <fill>
      <patternFill patternType="solid">
        <fgColor rgb="FFEAEAE0"/>
        <bgColor indexed="64"/>
      </patternFill>
    </fill>
    <fill>
      <patternFill patternType="solid">
        <fgColor rgb="FF6C6633"/>
        <bgColor indexed="64"/>
      </patternFill>
    </fill>
    <fill>
      <patternFill patternType="solid">
        <fgColor rgb="FF423718"/>
        <bgColor indexed="64"/>
      </patternFill>
    </fill>
    <fill>
      <patternFill patternType="solid">
        <fgColor rgb="FF918B87"/>
        <bgColor indexed="64"/>
      </patternFill>
    </fill>
    <fill>
      <patternFill patternType="solid">
        <fgColor rgb="FFFBFAFA"/>
        <bgColor indexed="64"/>
      </patternFill>
    </fill>
    <fill>
      <patternFill patternType="solid">
        <fgColor rgb="FF8B848A"/>
        <bgColor indexed="64"/>
      </patternFill>
    </fill>
    <fill>
      <patternFill patternType="solid">
        <fgColor rgb="FF926F62"/>
        <bgColor indexed="64"/>
      </patternFill>
    </fill>
    <fill>
      <patternFill patternType="solid">
        <fgColor rgb="FF70798C"/>
        <bgColor indexed="64"/>
      </patternFill>
    </fill>
    <fill>
      <patternFill patternType="solid">
        <fgColor rgb="FFD2925C"/>
        <bgColor indexed="64"/>
      </patternFill>
    </fill>
    <fill>
      <patternFill patternType="solid">
        <fgColor rgb="FF8C5938"/>
        <bgColor indexed="64"/>
      </patternFill>
    </fill>
    <fill>
      <patternFill patternType="solid">
        <fgColor rgb="FFFFB460"/>
        <bgColor indexed="64"/>
      </patternFill>
    </fill>
    <fill>
      <patternFill patternType="solid">
        <fgColor rgb="FFC27D4B"/>
        <bgColor indexed="64"/>
      </patternFill>
    </fill>
    <fill>
      <patternFill patternType="solid">
        <fgColor rgb="FFAF6F42"/>
        <bgColor indexed="64"/>
      </patternFill>
    </fill>
    <fill>
      <patternFill patternType="solid">
        <fgColor rgb="FFFFB25C"/>
        <bgColor indexed="64"/>
      </patternFill>
    </fill>
    <fill>
      <patternFill patternType="solid">
        <fgColor rgb="FFD18C4D"/>
        <bgColor indexed="64"/>
      </patternFill>
    </fill>
    <fill>
      <patternFill patternType="solid">
        <fgColor rgb="FF5B4244"/>
        <bgColor indexed="64"/>
      </patternFill>
    </fill>
    <fill>
      <patternFill patternType="solid">
        <fgColor rgb="FF5F6A89"/>
        <bgColor indexed="64"/>
      </patternFill>
    </fill>
    <fill>
      <patternFill patternType="solid">
        <fgColor rgb="FF657E9A"/>
        <bgColor indexed="64"/>
      </patternFill>
    </fill>
    <fill>
      <patternFill patternType="solid">
        <fgColor rgb="FF5890BB"/>
        <bgColor indexed="64"/>
      </patternFill>
    </fill>
    <fill>
      <patternFill patternType="solid">
        <fgColor rgb="FF45A9F0"/>
        <bgColor indexed="64"/>
      </patternFill>
    </fill>
    <fill>
      <patternFill patternType="solid">
        <fgColor rgb="FF3AACFC"/>
        <bgColor indexed="64"/>
      </patternFill>
    </fill>
    <fill>
      <patternFill patternType="solid">
        <fgColor rgb="FF3AABFC"/>
        <bgColor indexed="64"/>
      </patternFill>
    </fill>
    <fill>
      <patternFill patternType="solid">
        <fgColor rgb="FF3BACFB"/>
        <bgColor indexed="64"/>
      </patternFill>
    </fill>
    <fill>
      <patternFill patternType="solid">
        <fgColor rgb="FF3CACF9"/>
        <bgColor indexed="64"/>
      </patternFill>
    </fill>
    <fill>
      <patternFill patternType="solid">
        <fgColor rgb="FF39AFFF"/>
        <bgColor indexed="64"/>
      </patternFill>
    </fill>
    <fill>
      <patternFill patternType="solid">
        <fgColor rgb="FF34628E"/>
        <bgColor indexed="64"/>
      </patternFill>
    </fill>
    <fill>
      <patternFill patternType="solid">
        <fgColor rgb="FF313334"/>
        <bgColor indexed="64"/>
      </patternFill>
    </fill>
    <fill>
      <patternFill patternType="solid">
        <fgColor rgb="FF3D95D1"/>
        <bgColor indexed="64"/>
      </patternFill>
    </fill>
    <fill>
      <patternFill patternType="solid">
        <fgColor rgb="FF3CAEF9"/>
        <bgColor indexed="64"/>
      </patternFill>
    </fill>
    <fill>
      <patternFill patternType="solid">
        <fgColor rgb="FF3BAFFB"/>
        <bgColor indexed="64"/>
      </patternFill>
    </fill>
    <fill>
      <patternFill patternType="solid">
        <fgColor rgb="FF32A8FA"/>
        <bgColor indexed="64"/>
      </patternFill>
    </fill>
    <fill>
      <patternFill patternType="solid">
        <fgColor rgb="FF33A8FB"/>
        <bgColor indexed="64"/>
      </patternFill>
    </fill>
    <fill>
      <patternFill patternType="solid">
        <fgColor rgb="FF30AAFB"/>
        <bgColor indexed="64"/>
      </patternFill>
    </fill>
    <fill>
      <patternFill patternType="solid">
        <fgColor rgb="FF31A9FD"/>
        <bgColor indexed="64"/>
      </patternFill>
    </fill>
    <fill>
      <patternFill patternType="solid">
        <fgColor rgb="FF1E97F0"/>
        <bgColor indexed="64"/>
      </patternFill>
    </fill>
    <fill>
      <patternFill patternType="solid">
        <fgColor rgb="FF4F578E"/>
        <bgColor indexed="64"/>
      </patternFill>
    </fill>
    <fill>
      <patternFill patternType="solid">
        <fgColor rgb="FF6A5B8C"/>
        <bgColor indexed="64"/>
      </patternFill>
    </fill>
    <fill>
      <patternFill patternType="solid">
        <fgColor rgb="FF373D38"/>
        <bgColor indexed="64"/>
      </patternFill>
    </fill>
    <fill>
      <patternFill patternType="solid">
        <fgColor rgb="FF706E6A"/>
        <bgColor indexed="64"/>
      </patternFill>
    </fill>
    <fill>
      <patternFill patternType="solid">
        <fgColor rgb="FF2DA6FC"/>
        <bgColor indexed="64"/>
      </patternFill>
    </fill>
    <fill>
      <patternFill patternType="solid">
        <fgColor rgb="FFE4E2CB"/>
        <bgColor indexed="64"/>
      </patternFill>
    </fill>
    <fill>
      <patternFill patternType="solid">
        <fgColor rgb="FF8F862E"/>
        <bgColor indexed="64"/>
      </patternFill>
    </fill>
    <fill>
      <patternFill patternType="solid">
        <fgColor rgb="FF796D25"/>
        <bgColor indexed="64"/>
      </patternFill>
    </fill>
    <fill>
      <patternFill patternType="solid">
        <fgColor rgb="FFA9A198"/>
        <bgColor indexed="64"/>
      </patternFill>
    </fill>
    <fill>
      <patternFill patternType="solid">
        <fgColor rgb="FFFFFEFB"/>
        <bgColor indexed="64"/>
      </patternFill>
    </fill>
    <fill>
      <patternFill patternType="solid">
        <fgColor rgb="FF8BA8C2"/>
        <bgColor indexed="64"/>
      </patternFill>
    </fill>
    <fill>
      <patternFill patternType="solid">
        <fgColor rgb="FF4D92CB"/>
        <bgColor indexed="64"/>
      </patternFill>
    </fill>
    <fill>
      <patternFill patternType="solid">
        <fgColor rgb="FFD2966C"/>
        <bgColor indexed="64"/>
      </patternFill>
    </fill>
    <fill>
      <patternFill patternType="solid">
        <fgColor rgb="FFBF7645"/>
        <bgColor indexed="64"/>
      </patternFill>
    </fill>
    <fill>
      <patternFill patternType="solid">
        <fgColor rgb="FFE69854"/>
        <bgColor indexed="64"/>
      </patternFill>
    </fill>
    <fill>
      <patternFill patternType="solid">
        <fgColor rgb="FFF6A256"/>
        <bgColor indexed="64"/>
      </patternFill>
    </fill>
    <fill>
      <patternFill patternType="solid">
        <fgColor rgb="FFFBA85B"/>
        <bgColor indexed="64"/>
      </patternFill>
    </fill>
    <fill>
      <patternFill patternType="solid">
        <fgColor rgb="FFE99754"/>
        <bgColor indexed="64"/>
      </patternFill>
    </fill>
    <fill>
      <patternFill patternType="solid">
        <fgColor rgb="FFFFB05D"/>
        <bgColor indexed="64"/>
      </patternFill>
    </fill>
    <fill>
      <patternFill patternType="solid">
        <fgColor rgb="FFF5A259"/>
        <bgColor indexed="64"/>
      </patternFill>
    </fill>
    <fill>
      <patternFill patternType="solid">
        <fgColor rgb="FFDB8C52"/>
        <bgColor indexed="64"/>
      </patternFill>
    </fill>
    <fill>
      <patternFill patternType="solid">
        <fgColor rgb="FFF4A15E"/>
        <bgColor indexed="64"/>
      </patternFill>
    </fill>
    <fill>
      <patternFill patternType="solid">
        <fgColor rgb="FFFFA458"/>
        <bgColor indexed="64"/>
      </patternFill>
    </fill>
    <fill>
      <patternFill patternType="solid">
        <fgColor rgb="FFFFA453"/>
        <bgColor indexed="64"/>
      </patternFill>
    </fill>
    <fill>
      <patternFill patternType="solid">
        <fgColor rgb="FFED9955"/>
        <bgColor indexed="64"/>
      </patternFill>
    </fill>
    <fill>
      <patternFill patternType="solid">
        <fgColor rgb="FF8C756E"/>
        <bgColor indexed="64"/>
      </patternFill>
    </fill>
    <fill>
      <patternFill patternType="solid">
        <fgColor rgb="FF398BCE"/>
        <bgColor indexed="64"/>
      </patternFill>
    </fill>
    <fill>
      <patternFill patternType="solid">
        <fgColor rgb="FF41B0FC"/>
        <bgColor indexed="64"/>
      </patternFill>
    </fill>
    <fill>
      <patternFill patternType="solid">
        <fgColor rgb="FF3BAAFB"/>
        <bgColor indexed="64"/>
      </patternFill>
    </fill>
    <fill>
      <patternFill patternType="solid">
        <fgColor rgb="FF39ADFF"/>
        <bgColor indexed="64"/>
      </patternFill>
    </fill>
    <fill>
      <patternFill patternType="solid">
        <fgColor rgb="FF578590"/>
        <bgColor indexed="64"/>
      </patternFill>
    </fill>
    <fill>
      <patternFill patternType="solid">
        <fgColor rgb="FF79742A"/>
        <bgColor indexed="64"/>
      </patternFill>
    </fill>
    <fill>
      <patternFill patternType="solid">
        <fgColor rgb="FF4E9EC1"/>
        <bgColor indexed="64"/>
      </patternFill>
    </fill>
    <fill>
      <patternFill patternType="solid">
        <fgColor rgb="FF3BAFFF"/>
        <bgColor indexed="64"/>
      </patternFill>
    </fill>
    <fill>
      <patternFill patternType="solid">
        <fgColor rgb="FF3DAEF8"/>
        <bgColor indexed="64"/>
      </patternFill>
    </fill>
    <fill>
      <patternFill patternType="solid">
        <fgColor rgb="FF30A8FC"/>
        <bgColor indexed="64"/>
      </patternFill>
    </fill>
    <fill>
      <patternFill patternType="solid">
        <fgColor rgb="FF2D97ED"/>
        <bgColor indexed="64"/>
      </patternFill>
    </fill>
    <fill>
      <patternFill patternType="solid">
        <fgColor rgb="FF2D8EDC"/>
        <bgColor indexed="64"/>
      </patternFill>
    </fill>
    <fill>
      <patternFill patternType="solid">
        <fgColor rgb="FF27A7FF"/>
        <bgColor indexed="64"/>
      </patternFill>
    </fill>
    <fill>
      <patternFill patternType="solid">
        <fgColor rgb="FF318ED2"/>
        <bgColor indexed="64"/>
      </patternFill>
    </fill>
    <fill>
      <patternFill patternType="solid">
        <fgColor rgb="FF577551"/>
        <bgColor indexed="64"/>
      </patternFill>
    </fill>
    <fill>
      <patternFill patternType="solid">
        <fgColor rgb="FF399CD2"/>
        <bgColor indexed="64"/>
      </patternFill>
    </fill>
    <fill>
      <patternFill patternType="solid">
        <fgColor rgb="FF2EA9FF"/>
        <bgColor indexed="64"/>
      </patternFill>
    </fill>
    <fill>
      <patternFill patternType="solid">
        <fgColor rgb="FFCDCBAD"/>
        <bgColor indexed="64"/>
      </patternFill>
    </fill>
    <fill>
      <patternFill patternType="solid">
        <fgColor rgb="FFB8B12C"/>
        <bgColor indexed="64"/>
      </patternFill>
    </fill>
    <fill>
      <patternFill patternType="solid">
        <fgColor rgb="FFCFC831"/>
        <bgColor indexed="64"/>
      </patternFill>
    </fill>
    <fill>
      <patternFill patternType="solid">
        <fgColor rgb="FFAEA990"/>
        <bgColor indexed="64"/>
      </patternFill>
    </fill>
    <fill>
      <patternFill patternType="solid">
        <fgColor rgb="FF9DAEC1"/>
        <bgColor indexed="64"/>
      </patternFill>
    </fill>
    <fill>
      <patternFill patternType="solid">
        <fgColor rgb="FF3880B9"/>
        <bgColor indexed="64"/>
      </patternFill>
    </fill>
    <fill>
      <patternFill patternType="solid">
        <fgColor rgb="FF43A4EA"/>
        <bgColor indexed="64"/>
      </patternFill>
    </fill>
    <fill>
      <patternFill patternType="solid">
        <fgColor rgb="FFB4978B"/>
        <bgColor indexed="64"/>
      </patternFill>
    </fill>
    <fill>
      <patternFill patternType="solid">
        <fgColor rgb="FFF59450"/>
        <bgColor indexed="64"/>
      </patternFill>
    </fill>
    <fill>
      <patternFill patternType="solid">
        <fgColor rgb="FFF29F58"/>
        <bgColor indexed="64"/>
      </patternFill>
    </fill>
    <fill>
      <patternFill patternType="solid">
        <fgColor rgb="FFFEA75A"/>
        <bgColor indexed="64"/>
      </patternFill>
    </fill>
    <fill>
      <patternFill patternType="solid">
        <fgColor rgb="FFFBA457"/>
        <bgColor indexed="64"/>
      </patternFill>
    </fill>
    <fill>
      <patternFill patternType="solid">
        <fgColor rgb="FFFFAA58"/>
        <bgColor indexed="64"/>
      </patternFill>
    </fill>
    <fill>
      <patternFill patternType="solid">
        <fgColor rgb="FFFBA459"/>
        <bgColor indexed="64"/>
      </patternFill>
    </fill>
    <fill>
      <patternFill patternType="solid">
        <fgColor rgb="FFFCA35A"/>
        <bgColor indexed="64"/>
      </patternFill>
    </fill>
    <fill>
      <patternFill patternType="solid">
        <fgColor rgb="FFFFAA5A"/>
        <bgColor indexed="64"/>
      </patternFill>
    </fill>
    <fill>
      <patternFill patternType="solid">
        <fgColor rgb="FFFFA95A"/>
        <bgColor indexed="64"/>
      </patternFill>
    </fill>
    <fill>
      <patternFill patternType="solid">
        <fgColor rgb="FFF6A15D"/>
        <bgColor indexed="64"/>
      </patternFill>
    </fill>
    <fill>
      <patternFill patternType="solid">
        <fgColor rgb="FFB7724A"/>
        <bgColor indexed="64"/>
      </patternFill>
    </fill>
    <fill>
      <patternFill patternType="solid">
        <fgColor rgb="FF676C81"/>
        <bgColor indexed="64"/>
      </patternFill>
    </fill>
    <fill>
      <patternFill patternType="solid">
        <fgColor rgb="FF418FD8"/>
        <bgColor indexed="64"/>
      </patternFill>
    </fill>
    <fill>
      <patternFill patternType="solid">
        <fgColor rgb="FF3B9DE9"/>
        <bgColor indexed="64"/>
      </patternFill>
    </fill>
    <fill>
      <patternFill patternType="solid">
        <fgColor rgb="FF41ADF8"/>
        <bgColor indexed="64"/>
      </patternFill>
    </fill>
    <fill>
      <patternFill patternType="solid">
        <fgColor rgb="FF3BABFC"/>
        <bgColor indexed="64"/>
      </patternFill>
    </fill>
    <fill>
      <patternFill patternType="solid">
        <fgColor rgb="FF33A7FF"/>
        <bgColor indexed="64"/>
      </patternFill>
    </fill>
    <fill>
      <patternFill patternType="solid">
        <fgColor rgb="FF81AD84"/>
        <bgColor indexed="64"/>
      </patternFill>
    </fill>
    <fill>
      <patternFill patternType="solid">
        <fgColor rgb="FFD7CF27"/>
        <bgColor indexed="64"/>
      </patternFill>
    </fill>
    <fill>
      <patternFill patternType="solid">
        <fgColor rgb="FF458FAA"/>
        <bgColor indexed="64"/>
      </patternFill>
    </fill>
    <fill>
      <patternFill patternType="solid">
        <fgColor rgb="FF30AAFC"/>
        <bgColor indexed="64"/>
      </patternFill>
    </fill>
    <fill>
      <patternFill patternType="solid">
        <fgColor rgb="FF2FAAFF"/>
        <bgColor indexed="64"/>
      </patternFill>
    </fill>
    <fill>
      <patternFill patternType="solid">
        <fgColor rgb="FF2EA4F8"/>
        <bgColor indexed="64"/>
      </patternFill>
    </fill>
    <fill>
      <patternFill patternType="solid">
        <fgColor rgb="FF2CABFF"/>
        <bgColor indexed="64"/>
      </patternFill>
    </fill>
    <fill>
      <patternFill patternType="solid">
        <fgColor rgb="FF246BAE"/>
        <bgColor indexed="64"/>
      </patternFill>
    </fill>
    <fill>
      <patternFill patternType="solid">
        <fgColor rgb="FF518582"/>
        <bgColor indexed="64"/>
      </patternFill>
    </fill>
    <fill>
      <patternFill patternType="solid">
        <fgColor rgb="FF33AEFD"/>
        <bgColor indexed="64"/>
      </patternFill>
    </fill>
    <fill>
      <patternFill patternType="solid">
        <fgColor rgb="FFC6C2A1"/>
        <bgColor indexed="64"/>
      </patternFill>
    </fill>
    <fill>
      <patternFill patternType="solid">
        <fgColor rgb="FFECE82D"/>
        <bgColor indexed="64"/>
      </patternFill>
    </fill>
    <fill>
      <patternFill patternType="solid">
        <fgColor rgb="FFF5F232"/>
        <bgColor indexed="64"/>
      </patternFill>
    </fill>
    <fill>
      <patternFill patternType="solid">
        <fgColor rgb="FFBFBC9B"/>
        <bgColor indexed="64"/>
      </patternFill>
    </fill>
    <fill>
      <patternFill patternType="solid">
        <fgColor rgb="FFF7F0EE"/>
        <bgColor indexed="64"/>
      </patternFill>
    </fill>
    <fill>
      <patternFill patternType="solid">
        <fgColor rgb="FF8FA0B7"/>
        <bgColor indexed="64"/>
      </patternFill>
    </fill>
    <fill>
      <patternFill patternType="solid">
        <fgColor rgb="FF4AA5E3"/>
        <bgColor indexed="64"/>
      </patternFill>
    </fill>
    <fill>
      <patternFill patternType="solid">
        <fgColor rgb="FF488EC7"/>
        <bgColor indexed="64"/>
      </patternFill>
    </fill>
    <fill>
      <patternFill patternType="solid">
        <fgColor rgb="FF535E77"/>
        <bgColor indexed="64"/>
      </patternFill>
    </fill>
    <fill>
      <patternFill patternType="solid">
        <fgColor rgb="FF514D62"/>
        <bgColor indexed="64"/>
      </patternFill>
    </fill>
    <fill>
      <patternFill patternType="solid">
        <fgColor rgb="FFDE864B"/>
        <bgColor indexed="64"/>
      </patternFill>
    </fill>
    <fill>
      <patternFill patternType="solid">
        <fgColor rgb="FFFEA85C"/>
        <bgColor indexed="64"/>
      </patternFill>
    </fill>
    <fill>
      <patternFill patternType="solid">
        <fgColor rgb="FFFAA457"/>
        <bgColor indexed="64"/>
      </patternFill>
    </fill>
    <fill>
      <patternFill patternType="solid">
        <fgColor rgb="FFFCA459"/>
        <bgColor indexed="64"/>
      </patternFill>
    </fill>
    <fill>
      <patternFill patternType="solid">
        <fgColor rgb="FFFBA456"/>
        <bgColor indexed="64"/>
      </patternFill>
    </fill>
    <fill>
      <patternFill patternType="solid">
        <fgColor rgb="FFFBA355"/>
        <bgColor indexed="64"/>
      </patternFill>
    </fill>
    <fill>
      <patternFill patternType="solid">
        <fgColor rgb="FFFAA558"/>
        <bgColor indexed="64"/>
      </patternFill>
    </fill>
    <fill>
      <patternFill patternType="solid">
        <fgColor rgb="FFF9A558"/>
        <bgColor indexed="64"/>
      </patternFill>
    </fill>
    <fill>
      <patternFill patternType="solid">
        <fgColor rgb="FFE59654"/>
        <bgColor indexed="64"/>
      </patternFill>
    </fill>
    <fill>
      <patternFill patternType="solid">
        <fgColor rgb="FFD5935F"/>
        <bgColor indexed="64"/>
      </patternFill>
    </fill>
    <fill>
      <patternFill patternType="solid">
        <fgColor rgb="FF9A9690"/>
        <bgColor indexed="64"/>
      </patternFill>
    </fill>
    <fill>
      <patternFill patternType="solid">
        <fgColor rgb="FF4BA8E8"/>
        <bgColor indexed="64"/>
      </patternFill>
    </fill>
    <fill>
      <patternFill patternType="solid">
        <fgColor rgb="FF3DAAFC"/>
        <bgColor indexed="64"/>
      </patternFill>
    </fill>
    <fill>
      <patternFill patternType="solid">
        <fgColor rgb="FF3BACFA"/>
        <bgColor indexed="64"/>
      </patternFill>
    </fill>
    <fill>
      <patternFill patternType="solid">
        <fgColor rgb="FF2EA3FF"/>
        <bgColor indexed="64"/>
      </patternFill>
    </fill>
    <fill>
      <patternFill patternType="solid">
        <fgColor rgb="FF7AA578"/>
        <bgColor indexed="64"/>
      </patternFill>
    </fill>
    <fill>
      <patternFill patternType="solid">
        <fgColor rgb="FFECE628"/>
        <bgColor indexed="64"/>
      </patternFill>
    </fill>
    <fill>
      <patternFill patternType="solid">
        <fgColor rgb="FF3F88A4"/>
        <bgColor indexed="64"/>
      </patternFill>
    </fill>
    <fill>
      <patternFill patternType="solid">
        <fgColor rgb="FF3DB1FF"/>
        <bgColor indexed="64"/>
      </patternFill>
    </fill>
    <fill>
      <patternFill patternType="solid">
        <fgColor rgb="FF2DA4FA"/>
        <bgColor indexed="64"/>
      </patternFill>
    </fill>
    <fill>
      <patternFill patternType="solid">
        <fgColor rgb="FF2CA6FC"/>
        <bgColor indexed="64"/>
      </patternFill>
    </fill>
    <fill>
      <patternFill patternType="solid">
        <fgColor rgb="FF2C96E9"/>
        <bgColor indexed="64"/>
      </patternFill>
    </fill>
    <fill>
      <patternFill patternType="solid">
        <fgColor rgb="FF4F7D8C"/>
        <bgColor indexed="64"/>
      </patternFill>
    </fill>
    <fill>
      <patternFill patternType="solid">
        <fgColor rgb="FF32A6EE"/>
        <bgColor indexed="64"/>
      </patternFill>
    </fill>
    <fill>
      <patternFill patternType="solid">
        <fgColor rgb="FFFEFEFC"/>
        <bgColor indexed="64"/>
      </patternFill>
    </fill>
    <fill>
      <patternFill patternType="solid">
        <fgColor rgb="FFD5D2B2"/>
        <bgColor indexed="64"/>
      </patternFill>
    </fill>
    <fill>
      <patternFill patternType="solid">
        <fgColor rgb="FFEDE931"/>
        <bgColor indexed="64"/>
      </patternFill>
    </fill>
    <fill>
      <patternFill patternType="solid">
        <fgColor rgb="FFD1CF2F"/>
        <bgColor indexed="64"/>
      </patternFill>
    </fill>
    <fill>
      <patternFill patternType="solid">
        <fgColor rgb="FFBFBEBB"/>
        <bgColor indexed="64"/>
      </patternFill>
    </fill>
    <fill>
      <patternFill patternType="solid">
        <fgColor rgb="FFFEF8F5"/>
        <bgColor indexed="64"/>
      </patternFill>
    </fill>
    <fill>
      <patternFill patternType="solid">
        <fgColor rgb="FFC7CAD1"/>
        <bgColor indexed="64"/>
      </patternFill>
    </fill>
    <fill>
      <patternFill patternType="solid">
        <fgColor rgb="FF78A1C3"/>
        <bgColor indexed="64"/>
      </patternFill>
    </fill>
    <fill>
      <patternFill patternType="solid">
        <fgColor rgb="FF3F9FE8"/>
        <bgColor indexed="64"/>
      </patternFill>
    </fill>
    <fill>
      <patternFill patternType="solid">
        <fgColor rgb="FF4EBFFF"/>
        <bgColor indexed="64"/>
      </patternFill>
    </fill>
    <fill>
      <patternFill patternType="solid">
        <fgColor rgb="FF3E8CCF"/>
        <bgColor indexed="64"/>
      </patternFill>
    </fill>
    <fill>
      <patternFill patternType="solid">
        <fgColor rgb="FFA7724C"/>
        <bgColor indexed="64"/>
      </patternFill>
    </fill>
    <fill>
      <patternFill patternType="solid">
        <fgColor rgb="FFC98748"/>
        <bgColor indexed="64"/>
      </patternFill>
    </fill>
    <fill>
      <patternFill patternType="solid">
        <fgColor rgb="FFEB9957"/>
        <bgColor indexed="64"/>
      </patternFill>
    </fill>
    <fill>
      <patternFill patternType="solid">
        <fgColor rgb="FFFEA759"/>
        <bgColor indexed="64"/>
      </patternFill>
    </fill>
    <fill>
      <patternFill patternType="solid">
        <fgColor rgb="FFFBA755"/>
        <bgColor indexed="64"/>
      </patternFill>
    </fill>
    <fill>
      <patternFill patternType="solid">
        <fgColor rgb="FFFCA956"/>
        <bgColor indexed="64"/>
      </patternFill>
    </fill>
    <fill>
      <patternFill patternType="solid">
        <fgColor rgb="FFFCA856"/>
        <bgColor indexed="64"/>
      </patternFill>
    </fill>
    <fill>
      <patternFill patternType="solid">
        <fgColor rgb="FFEF9D53"/>
        <bgColor indexed="64"/>
      </patternFill>
    </fill>
    <fill>
      <patternFill patternType="solid">
        <fgColor rgb="FFF4A059"/>
        <bgColor indexed="64"/>
      </patternFill>
    </fill>
    <fill>
      <patternFill patternType="solid">
        <fgColor rgb="FFB37344"/>
        <bgColor indexed="64"/>
      </patternFill>
    </fill>
    <fill>
      <patternFill patternType="solid">
        <fgColor rgb="FF9C8569"/>
        <bgColor indexed="64"/>
      </patternFill>
    </fill>
    <fill>
      <patternFill patternType="solid">
        <fgColor rgb="FF4BA4DD"/>
        <bgColor indexed="64"/>
      </patternFill>
    </fill>
    <fill>
      <patternFill patternType="solid">
        <fgColor rgb="FF41B3FD"/>
        <bgColor indexed="64"/>
      </patternFill>
    </fill>
    <fill>
      <patternFill patternType="solid">
        <fgColor rgb="FF33A6FF"/>
        <bgColor indexed="64"/>
      </patternFill>
    </fill>
    <fill>
      <patternFill patternType="solid">
        <fgColor rgb="FF6F9674"/>
        <bgColor indexed="64"/>
      </patternFill>
    </fill>
    <fill>
      <patternFill patternType="solid">
        <fgColor rgb="FFE7E228"/>
        <bgColor indexed="64"/>
      </patternFill>
    </fill>
    <fill>
      <patternFill patternType="solid">
        <fgColor rgb="FF4190B4"/>
        <bgColor indexed="64"/>
      </patternFill>
    </fill>
    <fill>
      <patternFill patternType="solid">
        <fgColor rgb="FF3EAFF8"/>
        <bgColor indexed="64"/>
      </patternFill>
    </fill>
    <fill>
      <patternFill patternType="solid">
        <fgColor rgb="FF3CB0FA"/>
        <bgColor indexed="64"/>
      </patternFill>
    </fill>
    <fill>
      <patternFill patternType="solid">
        <fgColor rgb="FF33A7FA"/>
        <bgColor indexed="64"/>
      </patternFill>
    </fill>
    <fill>
      <patternFill patternType="solid">
        <fgColor rgb="FF34ABF9"/>
        <bgColor indexed="64"/>
      </patternFill>
    </fill>
    <fill>
      <patternFill patternType="solid">
        <fgColor rgb="FF35AEFD"/>
        <bgColor indexed="64"/>
      </patternFill>
    </fill>
    <fill>
      <patternFill patternType="solid">
        <fgColor rgb="FF2DA7FC"/>
        <bgColor indexed="64"/>
      </patternFill>
    </fill>
    <fill>
      <patternFill patternType="solid">
        <fgColor rgb="FF386A85"/>
        <bgColor indexed="64"/>
      </patternFill>
    </fill>
    <fill>
      <patternFill patternType="solid">
        <fgColor rgb="FF359BD2"/>
        <bgColor indexed="64"/>
      </patternFill>
    </fill>
    <fill>
      <patternFill patternType="solid">
        <fgColor rgb="FFD1CDB0"/>
        <bgColor indexed="64"/>
      </patternFill>
    </fill>
    <fill>
      <patternFill patternType="solid">
        <fgColor rgb="FFD5D242"/>
        <bgColor indexed="64"/>
      </patternFill>
    </fill>
    <fill>
      <patternFill patternType="solid">
        <fgColor rgb="FFDDDCDD"/>
        <bgColor indexed="64"/>
      </patternFill>
    </fill>
    <fill>
      <patternFill patternType="solid">
        <fgColor rgb="FFF5F1F0"/>
        <bgColor indexed="64"/>
      </patternFill>
    </fill>
    <fill>
      <patternFill patternType="solid">
        <fgColor rgb="FFBBC7D5"/>
        <bgColor indexed="64"/>
      </patternFill>
    </fill>
    <fill>
      <patternFill patternType="solid">
        <fgColor rgb="FF6896BE"/>
        <bgColor indexed="64"/>
      </patternFill>
    </fill>
    <fill>
      <patternFill patternType="solid">
        <fgColor rgb="FF45A0E0"/>
        <bgColor indexed="64"/>
      </patternFill>
    </fill>
    <fill>
      <patternFill patternType="solid">
        <fgColor rgb="FF45B4FD"/>
        <bgColor indexed="64"/>
      </patternFill>
    </fill>
    <fill>
      <patternFill patternType="solid">
        <fgColor rgb="FF47B4FE"/>
        <bgColor indexed="64"/>
      </patternFill>
    </fill>
    <fill>
      <patternFill patternType="solid">
        <fgColor rgb="FF48B3FB"/>
        <bgColor indexed="64"/>
      </patternFill>
    </fill>
    <fill>
      <patternFill patternType="solid">
        <fgColor rgb="FF45AAF6"/>
        <bgColor indexed="64"/>
      </patternFill>
    </fill>
    <fill>
      <patternFill patternType="solid">
        <fgColor rgb="FF614D54"/>
        <bgColor indexed="64"/>
      </patternFill>
    </fill>
    <fill>
      <patternFill patternType="solid">
        <fgColor rgb="FFD98340"/>
        <bgColor indexed="64"/>
      </patternFill>
    </fill>
    <fill>
      <patternFill patternType="solid">
        <fgColor rgb="FFFDAA5D"/>
        <bgColor indexed="64"/>
      </patternFill>
    </fill>
    <fill>
      <patternFill patternType="solid">
        <fgColor rgb="FFFAA257"/>
        <bgColor indexed="64"/>
      </patternFill>
    </fill>
    <fill>
      <patternFill patternType="solid">
        <fgColor rgb="FFFCA556"/>
        <bgColor indexed="64"/>
      </patternFill>
    </fill>
    <fill>
      <patternFill patternType="solid">
        <fgColor rgb="FFFBAA56"/>
        <bgColor indexed="64"/>
      </patternFill>
    </fill>
    <fill>
      <patternFill patternType="solid">
        <fgColor rgb="FFFCA857"/>
        <bgColor indexed="64"/>
      </patternFill>
    </fill>
    <fill>
      <patternFill patternType="solid">
        <fgColor rgb="FFFBA659"/>
        <bgColor indexed="64"/>
      </patternFill>
    </fill>
    <fill>
      <patternFill patternType="solid">
        <fgColor rgb="FFD68348"/>
        <bgColor indexed="64"/>
      </patternFill>
    </fill>
    <fill>
      <patternFill patternType="solid">
        <fgColor rgb="FF796763"/>
        <bgColor indexed="64"/>
      </patternFill>
    </fill>
    <fill>
      <patternFill patternType="solid">
        <fgColor rgb="FF537092"/>
        <bgColor indexed="64"/>
      </patternFill>
    </fill>
    <fill>
      <patternFill patternType="solid">
        <fgColor rgb="FF517A9C"/>
        <bgColor indexed="64"/>
      </patternFill>
    </fill>
    <fill>
      <patternFill patternType="solid">
        <fgColor rgb="FF42B4FF"/>
        <bgColor indexed="64"/>
      </patternFill>
    </fill>
    <fill>
      <patternFill patternType="solid">
        <fgColor rgb="FF3CAAF9"/>
        <bgColor indexed="64"/>
      </patternFill>
    </fill>
    <fill>
      <patternFill patternType="solid">
        <fgColor rgb="FF46B6F9"/>
        <bgColor indexed="64"/>
      </patternFill>
    </fill>
    <fill>
      <patternFill patternType="solid">
        <fgColor rgb="FF3FB3FF"/>
        <bgColor indexed="64"/>
      </patternFill>
    </fill>
    <fill>
      <patternFill patternType="solid">
        <fgColor rgb="FF638777"/>
        <bgColor indexed="64"/>
      </patternFill>
    </fill>
    <fill>
      <patternFill patternType="solid">
        <fgColor rgb="FFDBD426"/>
        <bgColor indexed="64"/>
      </patternFill>
    </fill>
    <fill>
      <patternFill patternType="solid">
        <fgColor rgb="FF428FAF"/>
        <bgColor indexed="64"/>
      </patternFill>
    </fill>
    <fill>
      <patternFill patternType="solid">
        <fgColor rgb="FF3AB0FF"/>
        <bgColor indexed="64"/>
      </patternFill>
    </fill>
    <fill>
      <patternFill patternType="solid">
        <fgColor rgb="FF3BADF7"/>
        <bgColor indexed="64"/>
      </patternFill>
    </fill>
    <fill>
      <patternFill patternType="solid">
        <fgColor rgb="FF35AAF8"/>
        <bgColor indexed="64"/>
      </patternFill>
    </fill>
    <fill>
      <patternFill patternType="solid">
        <fgColor rgb="FF2C9BEE"/>
        <bgColor indexed="64"/>
      </patternFill>
    </fill>
    <fill>
      <patternFill patternType="solid">
        <fgColor rgb="FF35AFFF"/>
        <bgColor indexed="64"/>
      </patternFill>
    </fill>
    <fill>
      <patternFill patternType="solid">
        <fgColor rgb="FF33AEFF"/>
        <bgColor indexed="64"/>
      </patternFill>
    </fill>
    <fill>
      <patternFill patternType="solid">
        <fgColor rgb="FF2CA2F9"/>
        <bgColor indexed="64"/>
      </patternFill>
    </fill>
    <fill>
      <patternFill patternType="solid">
        <fgColor rgb="FF628D73"/>
        <bgColor indexed="64"/>
      </patternFill>
    </fill>
    <fill>
      <patternFill patternType="solid">
        <fgColor rgb="FF3794BE"/>
        <bgColor indexed="64"/>
      </patternFill>
    </fill>
    <fill>
      <patternFill patternType="solid">
        <fgColor rgb="FFCBC599"/>
        <bgColor indexed="64"/>
      </patternFill>
    </fill>
    <fill>
      <patternFill patternType="solid">
        <fgColor rgb="FFEAE426"/>
        <bgColor indexed="64"/>
      </patternFill>
    </fill>
    <fill>
      <patternFill patternType="solid">
        <fgColor rgb="FFDCDA53"/>
        <bgColor indexed="64"/>
      </patternFill>
    </fill>
    <fill>
      <patternFill patternType="solid">
        <fgColor rgb="FFF4F4F0"/>
        <bgColor indexed="64"/>
      </patternFill>
    </fill>
    <fill>
      <patternFill patternType="solid">
        <fgColor rgb="FFFDFEFF"/>
        <bgColor indexed="64"/>
      </patternFill>
    </fill>
    <fill>
      <patternFill patternType="solid">
        <fgColor rgb="FFF4EEEA"/>
        <bgColor indexed="64"/>
      </patternFill>
    </fill>
    <fill>
      <patternFill patternType="solid">
        <fgColor rgb="FFC6C8CF"/>
        <bgColor indexed="64"/>
      </patternFill>
    </fill>
    <fill>
      <patternFill patternType="solid">
        <fgColor rgb="FF8CAAC8"/>
        <bgColor indexed="64"/>
      </patternFill>
    </fill>
    <fill>
      <patternFill patternType="solid">
        <fgColor rgb="FF59A2D8"/>
        <bgColor indexed="64"/>
      </patternFill>
    </fill>
    <fill>
      <patternFill patternType="solid">
        <fgColor rgb="FF3BA1E9"/>
        <bgColor indexed="64"/>
      </patternFill>
    </fill>
    <fill>
      <patternFill patternType="solid">
        <fgColor rgb="FF37A7FA"/>
        <bgColor indexed="64"/>
      </patternFill>
    </fill>
    <fill>
      <patternFill patternType="solid">
        <fgColor rgb="FF46B1FB"/>
        <bgColor indexed="64"/>
      </patternFill>
    </fill>
    <fill>
      <patternFill patternType="solid">
        <fgColor rgb="FF45B1FA"/>
        <bgColor indexed="64"/>
      </patternFill>
    </fill>
    <fill>
      <patternFill patternType="solid">
        <fgColor rgb="FF49B2F8"/>
        <bgColor indexed="64"/>
      </patternFill>
    </fill>
    <fill>
      <patternFill patternType="solid">
        <fgColor rgb="FF45AAF4"/>
        <bgColor indexed="64"/>
      </patternFill>
    </fill>
    <fill>
      <patternFill patternType="solid">
        <fgColor rgb="FF4B79AF"/>
        <bgColor indexed="64"/>
      </patternFill>
    </fill>
    <fill>
      <patternFill patternType="solid">
        <fgColor rgb="FFAB6240"/>
        <bgColor indexed="64"/>
      </patternFill>
    </fill>
    <fill>
      <patternFill patternType="solid">
        <fgColor rgb="FFE68E4E"/>
        <bgColor indexed="64"/>
      </patternFill>
    </fill>
    <fill>
      <patternFill patternType="solid">
        <fgColor rgb="FFFEAA55"/>
        <bgColor indexed="64"/>
      </patternFill>
    </fill>
    <fill>
      <patternFill patternType="solid">
        <fgColor rgb="FFE89654"/>
        <bgColor indexed="64"/>
      </patternFill>
    </fill>
    <fill>
      <patternFill patternType="solid">
        <fgColor rgb="FFC47740"/>
        <bgColor indexed="64"/>
      </patternFill>
    </fill>
    <fill>
      <patternFill patternType="solid">
        <fgColor rgb="FFF29852"/>
        <bgColor indexed="64"/>
      </patternFill>
    </fill>
    <fill>
      <patternFill patternType="solid">
        <fgColor rgb="FFA86342"/>
        <bgColor indexed="64"/>
      </patternFill>
    </fill>
    <fill>
      <patternFill patternType="solid">
        <fgColor rgb="FF3976AE"/>
        <bgColor indexed="64"/>
      </patternFill>
    </fill>
    <fill>
      <patternFill patternType="solid">
        <fgColor rgb="FF3A9BE7"/>
        <bgColor indexed="64"/>
      </patternFill>
    </fill>
    <fill>
      <patternFill patternType="solid">
        <fgColor rgb="FF43AFF9"/>
        <bgColor indexed="64"/>
      </patternFill>
    </fill>
    <fill>
      <patternFill patternType="solid">
        <fgColor rgb="FF39A8FA"/>
        <bgColor indexed="64"/>
      </patternFill>
    </fill>
    <fill>
      <patternFill patternType="solid">
        <fgColor rgb="FF38A8FB"/>
        <bgColor indexed="64"/>
      </patternFill>
    </fill>
    <fill>
      <patternFill patternType="solid">
        <fgColor rgb="FF43B4F9"/>
        <bgColor indexed="64"/>
      </patternFill>
    </fill>
    <fill>
      <patternFill patternType="solid">
        <fgColor rgb="FF44B9FF"/>
        <bgColor indexed="64"/>
      </patternFill>
    </fill>
    <fill>
      <patternFill patternType="solid">
        <fgColor rgb="FF38607B"/>
        <bgColor indexed="64"/>
      </patternFill>
    </fill>
    <fill>
      <patternFill patternType="solid">
        <fgColor rgb="FFB5AB21"/>
        <bgColor indexed="64"/>
      </patternFill>
    </fill>
    <fill>
      <patternFill patternType="solid">
        <fgColor rgb="FF4389A2"/>
        <bgColor indexed="64"/>
      </patternFill>
    </fill>
    <fill>
      <patternFill patternType="solid">
        <fgColor rgb="FF3AAAF7"/>
        <bgColor indexed="64"/>
      </patternFill>
    </fill>
    <fill>
      <patternFill patternType="solid">
        <fgColor rgb="FF37B3FF"/>
        <bgColor indexed="64"/>
      </patternFill>
    </fill>
    <fill>
      <patternFill patternType="solid">
        <fgColor rgb="FF318FD1"/>
        <bgColor indexed="64"/>
      </patternFill>
    </fill>
    <fill>
      <patternFill patternType="solid">
        <fgColor rgb="FF427678"/>
        <bgColor indexed="64"/>
      </patternFill>
    </fill>
    <fill>
      <patternFill patternType="solid">
        <fgColor rgb="FF3189C0"/>
        <bgColor indexed="64"/>
      </patternFill>
    </fill>
    <fill>
      <patternFill patternType="solid">
        <fgColor rgb="FF3C9ACC"/>
        <bgColor indexed="64"/>
      </patternFill>
    </fill>
    <fill>
      <patternFill patternType="solid">
        <fgColor rgb="FF36AFFE"/>
        <bgColor indexed="64"/>
      </patternFill>
    </fill>
    <fill>
      <patternFill patternType="solid">
        <fgColor rgb="FF2FA7FD"/>
        <bgColor indexed="64"/>
      </patternFill>
    </fill>
    <fill>
      <patternFill patternType="solid">
        <fgColor rgb="FF309DF5"/>
        <bgColor indexed="64"/>
      </patternFill>
    </fill>
    <fill>
      <patternFill patternType="solid">
        <fgColor rgb="FF285473"/>
        <bgColor indexed="64"/>
      </patternFill>
    </fill>
    <fill>
      <patternFill patternType="solid">
        <fgColor rgb="FF3098D9"/>
        <bgColor indexed="64"/>
      </patternFill>
    </fill>
    <fill>
      <patternFill patternType="solid">
        <fgColor rgb="FFFEFFFE"/>
        <bgColor indexed="64"/>
      </patternFill>
    </fill>
    <fill>
      <patternFill patternType="solid">
        <fgColor rgb="FFB0A87D"/>
        <bgColor indexed="64"/>
      </patternFill>
    </fill>
    <fill>
      <patternFill patternType="solid">
        <fgColor rgb="FFBFB51C"/>
        <bgColor indexed="64"/>
      </patternFill>
    </fill>
    <fill>
      <patternFill patternType="solid">
        <fgColor rgb="FFDAD75A"/>
        <bgColor indexed="64"/>
      </patternFill>
    </fill>
    <fill>
      <patternFill patternType="solid">
        <fgColor rgb="FFEFEFF6"/>
        <bgColor indexed="64"/>
      </patternFill>
    </fill>
    <fill>
      <patternFill patternType="solid">
        <fgColor rgb="FFFBF6F3"/>
        <bgColor indexed="64"/>
      </patternFill>
    </fill>
    <fill>
      <patternFill patternType="solid">
        <fgColor rgb="FFD9D6D9"/>
        <bgColor indexed="64"/>
      </patternFill>
    </fill>
    <fill>
      <patternFill patternType="solid">
        <fgColor rgb="FFB3BECD"/>
        <bgColor indexed="64"/>
      </patternFill>
    </fill>
    <fill>
      <patternFill patternType="solid">
        <fgColor rgb="FF87A8C9"/>
        <bgColor indexed="64"/>
      </patternFill>
    </fill>
    <fill>
      <patternFill patternType="solid">
        <fgColor rgb="FF5590C2"/>
        <bgColor indexed="64"/>
      </patternFill>
    </fill>
    <fill>
      <patternFill patternType="solid">
        <fgColor rgb="FF3687CD"/>
        <bgColor indexed="64"/>
      </patternFill>
    </fill>
    <fill>
      <patternFill patternType="solid">
        <fgColor rgb="FF3EA4ED"/>
        <bgColor indexed="64"/>
      </patternFill>
    </fill>
    <fill>
      <patternFill patternType="solid">
        <fgColor rgb="FF4A90BF"/>
        <bgColor indexed="64"/>
      </patternFill>
    </fill>
    <fill>
      <patternFill patternType="solid">
        <fgColor rgb="FF539ED1"/>
        <bgColor indexed="64"/>
      </patternFill>
    </fill>
    <fill>
      <patternFill patternType="solid">
        <fgColor rgb="FF91A36A"/>
        <bgColor indexed="64"/>
      </patternFill>
    </fill>
    <fill>
      <patternFill patternType="solid">
        <fgColor rgb="FF5996B5"/>
        <bgColor indexed="64"/>
      </patternFill>
    </fill>
    <fill>
      <patternFill patternType="solid">
        <fgColor rgb="FF46B6FE"/>
        <bgColor indexed="64"/>
      </patternFill>
    </fill>
    <fill>
      <patternFill patternType="solid">
        <fgColor rgb="FF47B0F6"/>
        <bgColor indexed="64"/>
      </patternFill>
    </fill>
    <fill>
      <patternFill patternType="solid">
        <fgColor rgb="FF4CB8FE"/>
        <bgColor indexed="64"/>
      </patternFill>
    </fill>
    <fill>
      <patternFill patternType="solid">
        <fgColor rgb="FF36689C"/>
        <bgColor indexed="64"/>
      </patternFill>
    </fill>
    <fill>
      <patternFill patternType="solid">
        <fgColor rgb="FF61616E"/>
        <bgColor indexed="64"/>
      </patternFill>
    </fill>
    <fill>
      <patternFill patternType="solid">
        <fgColor rgb="FF9A674E"/>
        <bgColor indexed="64"/>
      </patternFill>
    </fill>
    <fill>
      <patternFill patternType="solid">
        <fgColor rgb="FFE78D50"/>
        <bgColor indexed="64"/>
      </patternFill>
    </fill>
    <fill>
      <patternFill patternType="solid">
        <fgColor rgb="FFFAA256"/>
        <bgColor indexed="64"/>
      </patternFill>
    </fill>
    <fill>
      <patternFill patternType="solid">
        <fgColor rgb="FFF9A453"/>
        <bgColor indexed="64"/>
      </patternFill>
    </fill>
    <fill>
      <patternFill patternType="solid">
        <fgColor rgb="FFFFAF5C"/>
        <bgColor indexed="64"/>
      </patternFill>
    </fill>
    <fill>
      <patternFill patternType="solid">
        <fgColor rgb="FF8E6553"/>
        <bgColor indexed="64"/>
      </patternFill>
    </fill>
    <fill>
      <patternFill patternType="solid">
        <fgColor rgb="FF76605A"/>
        <bgColor indexed="64"/>
      </patternFill>
    </fill>
    <fill>
      <patternFill patternType="solid">
        <fgColor rgb="FFD17C47"/>
        <bgColor indexed="64"/>
      </patternFill>
    </fill>
    <fill>
      <patternFill patternType="solid">
        <fgColor rgb="FF476D91"/>
        <bgColor indexed="64"/>
      </patternFill>
    </fill>
    <fill>
      <patternFill patternType="solid">
        <fgColor rgb="FF43B9FF"/>
        <bgColor indexed="64"/>
      </patternFill>
    </fill>
    <fill>
      <patternFill patternType="solid">
        <fgColor rgb="FF3BA7F7"/>
        <bgColor indexed="64"/>
      </patternFill>
    </fill>
    <fill>
      <patternFill patternType="solid">
        <fgColor rgb="FF43B2F9"/>
        <bgColor indexed="64"/>
      </patternFill>
    </fill>
    <fill>
      <patternFill patternType="solid">
        <fgColor rgb="FF45B4FF"/>
        <bgColor indexed="64"/>
      </patternFill>
    </fill>
    <fill>
      <patternFill patternType="solid">
        <fgColor rgb="FF295277"/>
        <bgColor indexed="64"/>
      </patternFill>
    </fill>
    <fill>
      <patternFill patternType="solid">
        <fgColor rgb="FF81761A"/>
        <bgColor indexed="64"/>
      </patternFill>
    </fill>
    <fill>
      <patternFill patternType="solid">
        <fgColor rgb="FF468CA4"/>
        <bgColor indexed="64"/>
      </patternFill>
    </fill>
    <fill>
      <patternFill patternType="solid">
        <fgColor rgb="FF38A9F7"/>
        <bgColor indexed="64"/>
      </patternFill>
    </fill>
    <fill>
      <patternFill patternType="solid">
        <fgColor rgb="FF37ABFA"/>
        <bgColor indexed="64"/>
      </patternFill>
    </fill>
    <fill>
      <patternFill patternType="solid">
        <fgColor rgb="FF3AAFFE"/>
        <bgColor indexed="64"/>
      </patternFill>
    </fill>
    <fill>
      <patternFill patternType="solid">
        <fgColor rgb="FF3184C3"/>
        <bgColor indexed="64"/>
      </patternFill>
    </fill>
    <fill>
      <patternFill patternType="solid">
        <fgColor rgb="FF3074A1"/>
        <bgColor indexed="64"/>
      </patternFill>
    </fill>
    <fill>
      <patternFill patternType="solid">
        <fgColor rgb="FF487E71"/>
        <bgColor indexed="64"/>
      </patternFill>
    </fill>
    <fill>
      <patternFill patternType="solid">
        <fgColor rgb="FF79A95C"/>
        <bgColor indexed="64"/>
      </patternFill>
    </fill>
    <fill>
      <patternFill patternType="solid">
        <fgColor rgb="FF578153"/>
        <bgColor indexed="64"/>
      </patternFill>
    </fill>
    <fill>
      <patternFill patternType="solid">
        <fgColor rgb="FF3E87A3"/>
        <bgColor indexed="64"/>
      </patternFill>
    </fill>
    <fill>
      <patternFill patternType="solid">
        <fgColor rgb="FF2D99E6"/>
        <bgColor indexed="64"/>
      </patternFill>
    </fill>
    <fill>
      <patternFill patternType="solid">
        <fgColor rgb="FF3597DC"/>
        <bgColor indexed="64"/>
      </patternFill>
    </fill>
    <fill>
      <patternFill patternType="solid">
        <fgColor rgb="FF33A7F9"/>
        <bgColor indexed="64"/>
      </patternFill>
    </fill>
    <fill>
      <patternFill patternType="solid">
        <fgColor rgb="FF649484"/>
        <bgColor indexed="64"/>
      </patternFill>
    </fill>
    <fill>
      <patternFill patternType="solid">
        <fgColor rgb="FF2CA0EE"/>
        <bgColor indexed="64"/>
      </patternFill>
    </fill>
    <fill>
      <patternFill patternType="solid">
        <fgColor rgb="FFFCFDFC"/>
        <bgColor indexed="64"/>
      </patternFill>
    </fill>
    <fill>
      <patternFill patternType="solid">
        <fgColor rgb="FFD6D6D6"/>
        <bgColor indexed="64"/>
      </patternFill>
    </fill>
    <fill>
      <patternFill patternType="solid">
        <fgColor rgb="FFC3C5C7"/>
        <bgColor indexed="64"/>
      </patternFill>
    </fill>
    <fill>
      <patternFill patternType="solid">
        <fgColor rgb="FFF9F9F8"/>
        <bgColor indexed="64"/>
      </patternFill>
    </fill>
    <fill>
      <patternFill patternType="solid">
        <fgColor rgb="FF7A725C"/>
        <bgColor indexed="64"/>
      </patternFill>
    </fill>
    <fill>
      <patternFill patternType="solid">
        <fgColor rgb="FF897D14"/>
        <bgColor indexed="64"/>
      </patternFill>
    </fill>
    <fill>
      <patternFill patternType="solid">
        <fgColor rgb="FFA09859"/>
        <bgColor indexed="64"/>
      </patternFill>
    </fill>
    <fill>
      <patternFill patternType="solid">
        <fgColor rgb="FFFFFCFF"/>
        <bgColor indexed="64"/>
      </patternFill>
    </fill>
    <fill>
      <patternFill patternType="solid">
        <fgColor rgb="FFFFFDF8"/>
        <bgColor indexed="64"/>
      </patternFill>
    </fill>
    <fill>
      <patternFill patternType="solid">
        <fgColor rgb="FFF3ECE8"/>
        <bgColor indexed="64"/>
      </patternFill>
    </fill>
    <fill>
      <patternFill patternType="solid">
        <fgColor rgb="FFE2DDDB"/>
        <bgColor indexed="64"/>
      </patternFill>
    </fill>
    <fill>
      <patternFill patternType="solid">
        <fgColor rgb="FFC8C6C7"/>
        <bgColor indexed="64"/>
      </patternFill>
    </fill>
    <fill>
      <patternFill patternType="solid">
        <fgColor rgb="FFA5AAB5"/>
        <bgColor indexed="64"/>
      </patternFill>
    </fill>
    <fill>
      <patternFill patternType="solid">
        <fgColor rgb="FF7B93B0"/>
        <bgColor indexed="64"/>
      </patternFill>
    </fill>
    <fill>
      <patternFill patternType="solid">
        <fgColor rgb="FF5B8DBE"/>
        <bgColor indexed="64"/>
      </patternFill>
    </fill>
    <fill>
      <patternFill patternType="solid">
        <fgColor rgb="FF418CCD"/>
        <bgColor indexed="64"/>
      </patternFill>
    </fill>
    <fill>
      <patternFill patternType="solid">
        <fgColor rgb="FF3C9DE6"/>
        <bgColor indexed="64"/>
      </patternFill>
    </fill>
    <fill>
      <patternFill patternType="solid">
        <fgColor rgb="FF41B5FA"/>
        <bgColor indexed="64"/>
      </patternFill>
    </fill>
    <fill>
      <patternFill patternType="solid">
        <fgColor rgb="FF4B9ECD"/>
        <bgColor indexed="64"/>
      </patternFill>
    </fill>
    <fill>
      <patternFill patternType="solid">
        <fgColor rgb="FF4080B0"/>
        <bgColor indexed="64"/>
      </patternFill>
    </fill>
    <fill>
      <patternFill patternType="solid">
        <fgColor rgb="FF7FA78B"/>
        <bgColor indexed="64"/>
      </patternFill>
    </fill>
    <fill>
      <patternFill patternType="solid">
        <fgColor rgb="FF898C4D"/>
        <bgColor indexed="64"/>
      </patternFill>
    </fill>
    <fill>
      <patternFill patternType="solid">
        <fgColor rgb="FFC4CA53"/>
        <bgColor indexed="64"/>
      </patternFill>
    </fill>
    <fill>
      <patternFill patternType="solid">
        <fgColor rgb="FF8BA877"/>
        <bgColor indexed="64"/>
      </patternFill>
    </fill>
    <fill>
      <patternFill patternType="solid">
        <fgColor rgb="FF3FA8FB"/>
        <bgColor indexed="64"/>
      </patternFill>
    </fill>
    <fill>
      <patternFill patternType="solid">
        <fgColor rgb="FF44B3FF"/>
        <bgColor indexed="64"/>
      </patternFill>
    </fill>
    <fill>
      <patternFill patternType="solid">
        <fgColor rgb="FF47B1FB"/>
        <bgColor indexed="64"/>
      </patternFill>
    </fill>
    <fill>
      <patternFill patternType="solid">
        <fgColor rgb="FF49B5FC"/>
        <bgColor indexed="64"/>
      </patternFill>
    </fill>
    <fill>
      <patternFill patternType="solid">
        <fgColor rgb="FF42A3EA"/>
        <bgColor indexed="64"/>
      </patternFill>
    </fill>
    <fill>
      <patternFill patternType="solid">
        <fgColor rgb="FF505166"/>
        <bgColor indexed="64"/>
      </patternFill>
    </fill>
    <fill>
      <patternFill patternType="solid">
        <fgColor rgb="FFDA874E"/>
        <bgColor indexed="64"/>
      </patternFill>
    </fill>
    <fill>
      <patternFill patternType="solid">
        <fgColor rgb="FFFFA95E"/>
        <bgColor indexed="64"/>
      </patternFill>
    </fill>
    <fill>
      <patternFill patternType="solid">
        <fgColor rgb="FFFEA756"/>
        <bgColor indexed="64"/>
      </patternFill>
    </fill>
    <fill>
      <patternFill patternType="solid">
        <fgColor rgb="FFFAAB59"/>
        <bgColor indexed="64"/>
      </patternFill>
    </fill>
    <fill>
      <patternFill patternType="solid">
        <fgColor rgb="FFD98643"/>
        <bgColor indexed="64"/>
      </patternFill>
    </fill>
    <fill>
      <patternFill patternType="solid">
        <fgColor rgb="FFD09059"/>
        <bgColor indexed="64"/>
      </patternFill>
    </fill>
    <fill>
      <patternFill patternType="solid">
        <fgColor rgb="FF3E82C4"/>
        <bgColor indexed="64"/>
      </patternFill>
    </fill>
    <fill>
      <patternFill patternType="solid">
        <fgColor rgb="FF777771"/>
        <bgColor indexed="64"/>
      </patternFill>
    </fill>
    <fill>
      <patternFill patternType="solid">
        <fgColor rgb="FF688495"/>
        <bgColor indexed="64"/>
      </patternFill>
    </fill>
    <fill>
      <patternFill patternType="solid">
        <fgColor rgb="FF39ADFE"/>
        <bgColor indexed="64"/>
      </patternFill>
    </fill>
    <fill>
      <patternFill patternType="solid">
        <fgColor rgb="FF39A8F7"/>
        <bgColor indexed="64"/>
      </patternFill>
    </fill>
    <fill>
      <patternFill patternType="solid">
        <fgColor rgb="FF3BA9FA"/>
        <bgColor indexed="64"/>
      </patternFill>
    </fill>
    <fill>
      <patternFill patternType="solid">
        <fgColor rgb="FF43B4FB"/>
        <bgColor indexed="64"/>
      </patternFill>
    </fill>
    <fill>
      <patternFill patternType="solid">
        <fgColor rgb="FF44B0FD"/>
        <bgColor indexed="64"/>
      </patternFill>
    </fill>
    <fill>
      <patternFill patternType="solid">
        <fgColor rgb="FF22426A"/>
        <bgColor indexed="64"/>
      </patternFill>
    </fill>
    <fill>
      <patternFill patternType="solid">
        <fgColor rgb="FF665C1C"/>
        <bgColor indexed="64"/>
      </patternFill>
    </fill>
    <fill>
      <patternFill patternType="solid">
        <fgColor rgb="FF488CA7"/>
        <bgColor indexed="64"/>
      </patternFill>
    </fill>
    <fill>
      <patternFill patternType="solid">
        <fgColor rgb="FF3BAAF7"/>
        <bgColor indexed="64"/>
      </patternFill>
    </fill>
    <fill>
      <patternFill patternType="solid">
        <fgColor rgb="FF38ADF8"/>
        <bgColor indexed="64"/>
      </patternFill>
    </fill>
    <fill>
      <patternFill patternType="solid">
        <fgColor rgb="FF306B8D"/>
        <bgColor indexed="64"/>
      </patternFill>
    </fill>
    <fill>
      <patternFill patternType="solid">
        <fgColor rgb="FF6E934B"/>
        <bgColor indexed="64"/>
      </patternFill>
    </fill>
    <fill>
      <patternFill patternType="solid">
        <fgColor rgb="FF7BAD60"/>
        <bgColor indexed="64"/>
      </patternFill>
    </fill>
    <fill>
      <patternFill patternType="solid">
        <fgColor rgb="FF7CB163"/>
        <bgColor indexed="64"/>
      </patternFill>
    </fill>
    <fill>
      <patternFill patternType="solid">
        <fgColor rgb="FF5C864F"/>
        <bgColor indexed="64"/>
      </patternFill>
    </fill>
    <fill>
      <patternFill patternType="solid">
        <fgColor rgb="FF457466"/>
        <bgColor indexed="64"/>
      </patternFill>
    </fill>
    <fill>
      <patternFill patternType="solid">
        <fgColor rgb="FF288ACC"/>
        <bgColor indexed="64"/>
      </patternFill>
    </fill>
    <fill>
      <patternFill patternType="solid">
        <fgColor rgb="FF647082"/>
        <bgColor indexed="64"/>
      </patternFill>
    </fill>
    <fill>
      <patternFill patternType="solid">
        <fgColor rgb="FF718D9A"/>
        <bgColor indexed="64"/>
      </patternFill>
    </fill>
    <fill>
      <patternFill patternType="solid">
        <fgColor rgb="FF29ACFF"/>
        <bgColor indexed="64"/>
      </patternFill>
    </fill>
    <fill>
      <patternFill patternType="solid">
        <fgColor rgb="FF23A6FF"/>
        <bgColor indexed="64"/>
      </patternFill>
    </fill>
    <fill>
      <patternFill patternType="solid">
        <fgColor rgb="FF3A7CA0"/>
        <bgColor indexed="64"/>
      </patternFill>
    </fill>
    <fill>
      <patternFill patternType="solid">
        <fgColor rgb="FF458385"/>
        <bgColor indexed="64"/>
      </patternFill>
    </fill>
    <fill>
      <patternFill patternType="solid">
        <fgColor rgb="FF28B0FF"/>
        <bgColor indexed="64"/>
      </patternFill>
    </fill>
    <fill>
      <patternFill patternType="solid">
        <fgColor rgb="FFBBBABB"/>
        <bgColor indexed="64"/>
      </patternFill>
    </fill>
    <fill>
      <patternFill patternType="solid">
        <fgColor rgb="FF6F6F71"/>
        <bgColor indexed="64"/>
      </patternFill>
    </fill>
    <fill>
      <patternFill patternType="solid">
        <fgColor rgb="FF838692"/>
        <bgColor indexed="64"/>
      </patternFill>
    </fill>
    <fill>
      <patternFill patternType="solid">
        <fgColor rgb="FFDAD9DD"/>
        <bgColor indexed="64"/>
      </patternFill>
    </fill>
    <fill>
      <patternFill patternType="solid">
        <fgColor rgb="FFEEE7E5"/>
        <bgColor indexed="64"/>
      </patternFill>
    </fill>
    <fill>
      <patternFill patternType="solid">
        <fgColor rgb="FFF6EFEB"/>
        <bgColor indexed="64"/>
      </patternFill>
    </fill>
    <fill>
      <patternFill patternType="solid">
        <fgColor rgb="FFF9F3EE"/>
        <bgColor indexed="64"/>
      </patternFill>
    </fill>
    <fill>
      <patternFill patternType="solid">
        <fgColor rgb="FFFFFEF9"/>
        <bgColor indexed="64"/>
      </patternFill>
    </fill>
    <fill>
      <patternFill patternType="solid">
        <fgColor rgb="FFFFFDF9"/>
        <bgColor indexed="64"/>
      </patternFill>
    </fill>
    <fill>
      <patternFill patternType="solid">
        <fgColor rgb="FFF7F2ED"/>
        <bgColor indexed="64"/>
      </patternFill>
    </fill>
    <fill>
      <patternFill patternType="solid">
        <fgColor rgb="FFE8E2DF"/>
        <bgColor indexed="64"/>
      </patternFill>
    </fill>
    <fill>
      <patternFill patternType="solid">
        <fgColor rgb="FF6B654D"/>
        <bgColor indexed="64"/>
      </patternFill>
    </fill>
    <fill>
      <patternFill patternType="solid">
        <fgColor rgb="FF564813"/>
        <bgColor indexed="64"/>
      </patternFill>
    </fill>
    <fill>
      <patternFill patternType="solid">
        <fgColor rgb="FF464443"/>
        <bgColor indexed="64"/>
      </patternFill>
    </fill>
    <fill>
      <patternFill patternType="solid">
        <fgColor rgb="FF758AA5"/>
        <bgColor indexed="64"/>
      </patternFill>
    </fill>
    <fill>
      <patternFill patternType="solid">
        <fgColor rgb="FF6688AF"/>
        <bgColor indexed="64"/>
      </patternFill>
    </fill>
    <fill>
      <patternFill patternType="solid">
        <fgColor rgb="FF4C7AA6"/>
        <bgColor indexed="64"/>
      </patternFill>
    </fill>
    <fill>
      <patternFill patternType="solid">
        <fgColor rgb="FF407FB6"/>
        <bgColor indexed="64"/>
      </patternFill>
    </fill>
    <fill>
      <patternFill patternType="solid">
        <fgColor rgb="FF3786C8"/>
        <bgColor indexed="64"/>
      </patternFill>
    </fill>
    <fill>
      <patternFill patternType="solid">
        <fgColor rgb="FF348ED8"/>
        <bgColor indexed="64"/>
      </patternFill>
    </fill>
    <fill>
      <patternFill patternType="solid">
        <fgColor rgb="FF38A2F2"/>
        <bgColor indexed="64"/>
      </patternFill>
    </fill>
    <fill>
      <patternFill patternType="solid">
        <fgColor rgb="FF3FAFFE"/>
        <bgColor indexed="64"/>
      </patternFill>
    </fill>
    <fill>
      <patternFill patternType="solid">
        <fgColor rgb="FF3BA2F3"/>
        <bgColor indexed="64"/>
      </patternFill>
    </fill>
    <fill>
      <patternFill patternType="solid">
        <fgColor rgb="FF3EAEFF"/>
        <bgColor indexed="64"/>
      </patternFill>
    </fill>
    <fill>
      <patternFill patternType="solid">
        <fgColor rgb="FF689E9F"/>
        <bgColor indexed="64"/>
      </patternFill>
    </fill>
    <fill>
      <patternFill patternType="solid">
        <fgColor rgb="FF928C32"/>
        <bgColor indexed="64"/>
      </patternFill>
    </fill>
    <fill>
      <patternFill patternType="solid">
        <fgColor rgb="FFC3BD37"/>
        <bgColor indexed="64"/>
      </patternFill>
    </fill>
    <fill>
      <patternFill patternType="solid">
        <fgColor rgb="FFF5F035"/>
        <bgColor indexed="64"/>
      </patternFill>
    </fill>
    <fill>
      <patternFill patternType="solid">
        <fgColor rgb="FFB0AE2C"/>
        <bgColor indexed="64"/>
      </patternFill>
    </fill>
    <fill>
      <patternFill patternType="solid">
        <fgColor rgb="FF628878"/>
        <bgColor indexed="64"/>
      </patternFill>
    </fill>
    <fill>
      <patternFill patternType="solid">
        <fgColor rgb="FF74A48F"/>
        <bgColor indexed="64"/>
      </patternFill>
    </fill>
    <fill>
      <patternFill patternType="solid">
        <fgColor rgb="FF4A82A4"/>
        <bgColor indexed="64"/>
      </patternFill>
    </fill>
    <fill>
      <patternFill patternType="solid">
        <fgColor rgb="FF3C99E6"/>
        <bgColor indexed="64"/>
      </patternFill>
    </fill>
    <fill>
      <patternFill patternType="solid">
        <fgColor rgb="FF46B1FA"/>
        <bgColor indexed="64"/>
      </patternFill>
    </fill>
    <fill>
      <patternFill patternType="solid">
        <fgColor rgb="FF4CB8FF"/>
        <bgColor indexed="64"/>
      </patternFill>
    </fill>
    <fill>
      <patternFill patternType="solid">
        <fgColor rgb="FF3B9AE5"/>
        <bgColor indexed="64"/>
      </patternFill>
    </fill>
    <fill>
      <patternFill patternType="solid">
        <fgColor rgb="FF576480"/>
        <bgColor indexed="64"/>
      </patternFill>
    </fill>
    <fill>
      <patternFill patternType="solid">
        <fgColor rgb="FFD48B5C"/>
        <bgColor indexed="64"/>
      </patternFill>
    </fill>
    <fill>
      <patternFill patternType="solid">
        <fgColor rgb="FFEA944E"/>
        <bgColor indexed="64"/>
      </patternFill>
    </fill>
    <fill>
      <patternFill patternType="solid">
        <fgColor rgb="FFF7A456"/>
        <bgColor indexed="64"/>
      </patternFill>
    </fill>
    <fill>
      <patternFill patternType="solid">
        <fgColor rgb="FFFCA554"/>
        <bgColor indexed="64"/>
      </patternFill>
    </fill>
    <fill>
      <patternFill patternType="solid">
        <fgColor rgb="FFFAA158"/>
        <bgColor indexed="64"/>
      </patternFill>
    </fill>
    <fill>
      <patternFill patternType="solid">
        <fgColor rgb="FFFFB35C"/>
        <bgColor indexed="64"/>
      </patternFill>
    </fill>
    <fill>
      <patternFill patternType="solid">
        <fgColor rgb="FFB27851"/>
        <bgColor indexed="64"/>
      </patternFill>
    </fill>
    <fill>
      <patternFill patternType="solid">
        <fgColor rgb="FF955E3B"/>
        <bgColor indexed="64"/>
      </patternFill>
    </fill>
    <fill>
      <patternFill patternType="solid">
        <fgColor rgb="FF7F9DAC"/>
        <bgColor indexed="64"/>
      </patternFill>
    </fill>
    <fill>
      <patternFill patternType="solid">
        <fgColor rgb="FF328CDB"/>
        <bgColor indexed="64"/>
      </patternFill>
    </fill>
    <fill>
      <patternFill patternType="solid">
        <fgColor rgb="FF428ECD"/>
        <bgColor indexed="64"/>
      </patternFill>
    </fill>
    <fill>
      <patternFill patternType="solid">
        <fgColor rgb="FF3BAEFE"/>
        <bgColor indexed="64"/>
      </patternFill>
    </fill>
    <fill>
      <patternFill patternType="solid">
        <fgColor rgb="FF3BA9F8"/>
        <bgColor indexed="64"/>
      </patternFill>
    </fill>
    <fill>
      <patternFill patternType="solid">
        <fgColor rgb="FF3EACFA"/>
        <bgColor indexed="64"/>
      </patternFill>
    </fill>
    <fill>
      <patternFill patternType="solid">
        <fgColor rgb="FF3DAAF9"/>
        <bgColor indexed="64"/>
      </patternFill>
    </fill>
    <fill>
      <patternFill patternType="solid">
        <fgColor rgb="FF40B1FB"/>
        <bgColor indexed="64"/>
      </patternFill>
    </fill>
    <fill>
      <patternFill patternType="solid">
        <fgColor rgb="FF48BCFF"/>
        <bgColor indexed="64"/>
      </patternFill>
    </fill>
    <fill>
      <patternFill patternType="solid">
        <fgColor rgb="FF3EA6F3"/>
        <bgColor indexed="64"/>
      </patternFill>
    </fill>
    <fill>
      <patternFill patternType="solid">
        <fgColor rgb="FF213252"/>
        <bgColor indexed="64"/>
      </patternFill>
    </fill>
    <fill>
      <patternFill patternType="solid">
        <fgColor rgb="FF464223"/>
        <bgColor indexed="64"/>
      </patternFill>
    </fill>
    <fill>
      <patternFill patternType="solid">
        <fgColor rgb="FF3280AB"/>
        <bgColor indexed="64"/>
      </patternFill>
    </fill>
    <fill>
      <patternFill patternType="solid">
        <fgColor rgb="FF3EBAFF"/>
        <bgColor indexed="64"/>
      </patternFill>
    </fill>
    <fill>
      <patternFill patternType="solid">
        <fgColor rgb="FF34B0FE"/>
        <bgColor indexed="64"/>
      </patternFill>
    </fill>
    <fill>
      <patternFill patternType="solid">
        <fgColor rgb="FF39ABF9"/>
        <bgColor indexed="64"/>
      </patternFill>
    </fill>
    <fill>
      <patternFill patternType="solid">
        <fgColor rgb="FF2F99EE"/>
        <bgColor indexed="64"/>
      </patternFill>
    </fill>
    <fill>
      <patternFill patternType="solid">
        <fgColor rgb="FF52836D"/>
        <bgColor indexed="64"/>
      </patternFill>
    </fill>
    <fill>
      <patternFill patternType="solid">
        <fgColor rgb="FF81B360"/>
        <bgColor indexed="64"/>
      </patternFill>
    </fill>
    <fill>
      <patternFill patternType="solid">
        <fgColor rgb="FF7DB365"/>
        <bgColor indexed="64"/>
      </patternFill>
    </fill>
    <fill>
      <patternFill patternType="solid">
        <fgColor rgb="FF77AB60"/>
        <bgColor indexed="64"/>
      </patternFill>
    </fill>
    <fill>
      <patternFill patternType="solid">
        <fgColor rgb="FF57814D"/>
        <bgColor indexed="64"/>
      </patternFill>
    </fill>
    <fill>
      <patternFill patternType="solid">
        <fgColor rgb="FF3D797D"/>
        <bgColor indexed="64"/>
      </patternFill>
    </fill>
    <fill>
      <patternFill patternType="solid">
        <fgColor rgb="FF3177B2"/>
        <bgColor indexed="64"/>
      </patternFill>
    </fill>
    <fill>
      <patternFill patternType="solid">
        <fgColor rgb="FFB27D58"/>
        <bgColor indexed="64"/>
      </patternFill>
    </fill>
    <fill>
      <patternFill patternType="solid">
        <fgColor rgb="FF4479AC"/>
        <bgColor indexed="64"/>
      </patternFill>
    </fill>
    <fill>
      <patternFill patternType="solid">
        <fgColor rgb="FF387FC2"/>
        <bgColor indexed="64"/>
      </patternFill>
    </fill>
    <fill>
      <patternFill patternType="solid">
        <fgColor rgb="FF787887"/>
        <bgColor indexed="64"/>
      </patternFill>
    </fill>
    <fill>
      <patternFill patternType="solid">
        <fgColor rgb="FF726A3A"/>
        <bgColor indexed="64"/>
      </patternFill>
    </fill>
    <fill>
      <patternFill patternType="solid">
        <fgColor rgb="FF3E6D7F"/>
        <bgColor indexed="64"/>
      </patternFill>
    </fill>
    <fill>
      <patternFill patternType="solid">
        <fgColor rgb="FF3077B3"/>
        <bgColor indexed="64"/>
      </patternFill>
    </fill>
    <fill>
      <patternFill patternType="solid">
        <fgColor rgb="FFFAFAF6"/>
        <bgColor indexed="64"/>
      </patternFill>
    </fill>
    <fill>
      <patternFill patternType="solid">
        <fgColor rgb="FF5B7392"/>
        <bgColor indexed="64"/>
      </patternFill>
    </fill>
    <fill>
      <patternFill patternType="solid">
        <fgColor rgb="FF2C6FB1"/>
        <bgColor indexed="64"/>
      </patternFill>
    </fill>
    <fill>
      <patternFill patternType="solid">
        <fgColor rgb="FF4577A9"/>
        <bgColor indexed="64"/>
      </patternFill>
    </fill>
    <fill>
      <patternFill patternType="solid">
        <fgColor rgb="FF466D99"/>
        <bgColor indexed="64"/>
      </patternFill>
    </fill>
    <fill>
      <patternFill patternType="solid">
        <fgColor rgb="FF4B7099"/>
        <bgColor indexed="64"/>
      </patternFill>
    </fill>
    <fill>
      <patternFill patternType="solid">
        <fgColor rgb="FF6287B1"/>
        <bgColor indexed="64"/>
      </patternFill>
    </fill>
    <fill>
      <patternFill patternType="solid">
        <fgColor rgb="FF7697C1"/>
        <bgColor indexed="64"/>
      </patternFill>
    </fill>
    <fill>
      <patternFill patternType="solid">
        <fgColor rgb="FF7B9CC5"/>
        <bgColor indexed="64"/>
      </patternFill>
    </fill>
    <fill>
      <patternFill patternType="solid">
        <fgColor rgb="FF7A9CC8"/>
        <bgColor indexed="64"/>
      </patternFill>
    </fill>
    <fill>
      <patternFill patternType="solid">
        <fgColor rgb="FF6D8DBC"/>
        <bgColor indexed="64"/>
      </patternFill>
    </fill>
    <fill>
      <patternFill patternType="solid">
        <fgColor rgb="FF587DAD"/>
        <bgColor indexed="64"/>
      </patternFill>
    </fill>
    <fill>
      <patternFill patternType="solid">
        <fgColor rgb="FF4E78A7"/>
        <bgColor indexed="64"/>
      </patternFill>
    </fill>
    <fill>
      <patternFill patternType="solid">
        <fgColor rgb="FF3D71A5"/>
        <bgColor indexed="64"/>
      </patternFill>
    </fill>
    <fill>
      <patternFill patternType="solid">
        <fgColor rgb="FF596046"/>
        <bgColor indexed="64"/>
      </patternFill>
    </fill>
    <fill>
      <patternFill patternType="solid">
        <fgColor rgb="FF836E16"/>
        <bgColor indexed="64"/>
      </patternFill>
    </fill>
    <fill>
      <patternFill patternType="solid">
        <fgColor rgb="FF597261"/>
        <bgColor indexed="64"/>
      </patternFill>
    </fill>
    <fill>
      <patternFill patternType="solid">
        <fgColor rgb="FF44B4FF"/>
        <bgColor indexed="64"/>
      </patternFill>
    </fill>
    <fill>
      <patternFill patternType="solid">
        <fgColor rgb="FF46B4FF"/>
        <bgColor indexed="64"/>
      </patternFill>
    </fill>
    <fill>
      <patternFill patternType="solid">
        <fgColor rgb="FF46B3FE"/>
        <bgColor indexed="64"/>
      </patternFill>
    </fill>
    <fill>
      <patternFill patternType="solid">
        <fgColor rgb="FF3990D4"/>
        <bgColor indexed="64"/>
      </patternFill>
    </fill>
    <fill>
      <patternFill patternType="solid">
        <fgColor rgb="FF797F3B"/>
        <bgColor indexed="64"/>
      </patternFill>
    </fill>
    <fill>
      <patternFill patternType="solid">
        <fgColor rgb="FF709883"/>
        <bgColor indexed="64"/>
      </patternFill>
    </fill>
    <fill>
      <patternFill patternType="solid">
        <fgColor rgb="FF517777"/>
        <bgColor indexed="64"/>
      </patternFill>
    </fill>
    <fill>
      <patternFill patternType="solid">
        <fgColor rgb="FFF0EA31"/>
        <bgColor indexed="64"/>
      </patternFill>
    </fill>
    <fill>
      <patternFill patternType="solid">
        <fgColor rgb="FFDDD936"/>
        <bgColor indexed="64"/>
      </patternFill>
    </fill>
    <fill>
      <patternFill patternType="solid">
        <fgColor rgb="FFFEFD3B"/>
        <bgColor indexed="64"/>
      </patternFill>
    </fill>
    <fill>
      <patternFill patternType="solid">
        <fgColor rgb="FFDFDD37"/>
        <bgColor indexed="64"/>
      </patternFill>
    </fill>
    <fill>
      <patternFill patternType="solid">
        <fgColor rgb="FFC1B925"/>
        <bgColor indexed="64"/>
      </patternFill>
    </fill>
    <fill>
      <patternFill patternType="solid">
        <fgColor rgb="FF9D952B"/>
        <bgColor indexed="64"/>
      </patternFill>
    </fill>
    <fill>
      <patternFill patternType="solid">
        <fgColor rgb="FF5F8A8C"/>
        <bgColor indexed="64"/>
      </patternFill>
    </fill>
    <fill>
      <patternFill patternType="solid">
        <fgColor rgb="FF45A9EF"/>
        <bgColor indexed="64"/>
      </patternFill>
    </fill>
    <fill>
      <patternFill patternType="solid">
        <fgColor rgb="FF45B1FB"/>
        <bgColor indexed="64"/>
      </patternFill>
    </fill>
    <fill>
      <patternFill patternType="solid">
        <fgColor rgb="FF46B4FC"/>
        <bgColor indexed="64"/>
      </patternFill>
    </fill>
    <fill>
      <patternFill patternType="solid">
        <fgColor rgb="FF3F95DB"/>
        <bgColor indexed="64"/>
      </patternFill>
    </fill>
    <fill>
      <patternFill patternType="solid">
        <fgColor rgb="FF5D5768"/>
        <bgColor indexed="64"/>
      </patternFill>
    </fill>
    <fill>
      <patternFill patternType="solid">
        <fgColor rgb="FF915745"/>
        <bgColor indexed="64"/>
      </patternFill>
    </fill>
    <fill>
      <patternFill patternType="solid">
        <fgColor rgb="FFD07B4A"/>
        <bgColor indexed="64"/>
      </patternFill>
    </fill>
    <fill>
      <patternFill patternType="solid">
        <fgColor rgb="FFEF9B52"/>
        <bgColor indexed="64"/>
      </patternFill>
    </fill>
    <fill>
      <patternFill patternType="solid">
        <fgColor rgb="FFF6A753"/>
        <bgColor indexed="64"/>
      </patternFill>
    </fill>
    <fill>
      <patternFill patternType="solid">
        <fgColor rgb="FFF8A155"/>
        <bgColor indexed="64"/>
      </patternFill>
    </fill>
    <fill>
      <patternFill patternType="solid">
        <fgColor rgb="FFFAA355"/>
        <bgColor indexed="64"/>
      </patternFill>
    </fill>
    <fill>
      <patternFill patternType="solid">
        <fgColor rgb="FFE4914D"/>
        <bgColor indexed="64"/>
      </patternFill>
    </fill>
    <fill>
      <patternFill patternType="solid">
        <fgColor rgb="FFEE9745"/>
        <bgColor indexed="64"/>
      </patternFill>
    </fill>
    <fill>
      <patternFill patternType="solid">
        <fgColor rgb="FFBF9B72"/>
        <bgColor indexed="64"/>
      </patternFill>
    </fill>
    <fill>
      <patternFill patternType="solid">
        <fgColor rgb="FF466D9D"/>
        <bgColor indexed="64"/>
      </patternFill>
    </fill>
    <fill>
      <patternFill patternType="solid">
        <fgColor rgb="FF5682AB"/>
        <bgColor indexed="64"/>
      </patternFill>
    </fill>
    <fill>
      <patternFill patternType="solid">
        <fgColor rgb="FF37ABFF"/>
        <bgColor indexed="64"/>
      </patternFill>
    </fill>
    <fill>
      <patternFill patternType="solid">
        <fgColor rgb="FF41ABFB"/>
        <bgColor indexed="64"/>
      </patternFill>
    </fill>
    <fill>
      <patternFill patternType="solid">
        <fgColor rgb="FF3CABF4"/>
        <bgColor indexed="64"/>
      </patternFill>
    </fill>
    <fill>
      <patternFill patternType="solid">
        <fgColor rgb="FF40B5FA"/>
        <bgColor indexed="64"/>
      </patternFill>
    </fill>
    <fill>
      <patternFill patternType="solid">
        <fgColor rgb="FF3778B7"/>
        <bgColor indexed="64"/>
      </patternFill>
    </fill>
    <fill>
      <patternFill patternType="solid">
        <fgColor rgb="FF504E2F"/>
        <bgColor indexed="64"/>
      </patternFill>
    </fill>
    <fill>
      <patternFill patternType="solid">
        <fgColor rgb="FF47402A"/>
        <bgColor indexed="64"/>
      </patternFill>
    </fill>
    <fill>
      <patternFill patternType="solid">
        <fgColor rgb="FF52517D"/>
        <bgColor indexed="64"/>
      </patternFill>
    </fill>
    <fill>
      <patternFill patternType="solid">
        <fgColor rgb="FF3074B8"/>
        <bgColor indexed="64"/>
      </patternFill>
    </fill>
    <fill>
      <patternFill patternType="solid">
        <fgColor rgb="FF527AC0"/>
        <bgColor indexed="64"/>
      </patternFill>
    </fill>
    <fill>
      <patternFill patternType="solid">
        <fgColor rgb="FF4B71B6"/>
        <bgColor indexed="64"/>
      </patternFill>
    </fill>
    <fill>
      <patternFill patternType="solid">
        <fgColor rgb="FF36A8F5"/>
        <bgColor indexed="64"/>
      </patternFill>
    </fill>
    <fill>
      <patternFill patternType="solid">
        <fgColor rgb="FF3AA6F7"/>
        <bgColor indexed="64"/>
      </patternFill>
    </fill>
    <fill>
      <patternFill patternType="solid">
        <fgColor rgb="FF3082BA"/>
        <bgColor indexed="64"/>
      </patternFill>
    </fill>
    <fill>
      <patternFill patternType="solid">
        <fgColor rgb="FF4D785E"/>
        <bgColor indexed="64"/>
      </patternFill>
    </fill>
    <fill>
      <patternFill patternType="solid">
        <fgColor rgb="FF7DAC5D"/>
        <bgColor indexed="64"/>
      </patternFill>
    </fill>
    <fill>
      <patternFill patternType="solid">
        <fgColor rgb="FF7CAF60"/>
        <bgColor indexed="64"/>
      </patternFill>
    </fill>
    <fill>
      <patternFill patternType="solid">
        <fgColor rgb="FF7CB05E"/>
        <bgColor indexed="64"/>
      </patternFill>
    </fill>
    <fill>
      <patternFill patternType="solid">
        <fgColor rgb="FF618B4D"/>
        <bgColor indexed="64"/>
      </patternFill>
    </fill>
    <fill>
      <patternFill patternType="solid">
        <fgColor rgb="FF45807D"/>
        <bgColor indexed="64"/>
      </patternFill>
    </fill>
    <fill>
      <patternFill patternType="solid">
        <fgColor rgb="FF636978"/>
        <bgColor indexed="64"/>
      </patternFill>
    </fill>
    <fill>
      <patternFill patternType="solid">
        <fgColor rgb="FF966A50"/>
        <bgColor indexed="64"/>
      </patternFill>
    </fill>
    <fill>
      <patternFill patternType="solid">
        <fgColor rgb="FF5A4C4B"/>
        <bgColor indexed="64"/>
      </patternFill>
    </fill>
    <fill>
      <patternFill patternType="solid">
        <fgColor rgb="FFE08649"/>
        <bgColor indexed="64"/>
      </patternFill>
    </fill>
    <fill>
      <patternFill patternType="solid">
        <fgColor rgb="FFC66A31"/>
        <bgColor indexed="64"/>
      </patternFill>
    </fill>
    <fill>
      <patternFill patternType="solid">
        <fgColor rgb="FFC97B3B"/>
        <bgColor indexed="64"/>
      </patternFill>
    </fill>
    <fill>
      <patternFill patternType="solid">
        <fgColor rgb="FFD68346"/>
        <bgColor indexed="64"/>
      </patternFill>
    </fill>
    <fill>
      <patternFill patternType="solid">
        <fgColor rgb="FF704634"/>
        <bgColor indexed="64"/>
      </patternFill>
    </fill>
    <fill>
      <patternFill patternType="solid">
        <fgColor rgb="FFFAFBFB"/>
        <bgColor indexed="64"/>
      </patternFill>
    </fill>
    <fill>
      <patternFill patternType="solid">
        <fgColor rgb="FFCBD1D9"/>
        <bgColor indexed="64"/>
      </patternFill>
    </fill>
    <fill>
      <patternFill patternType="solid">
        <fgColor rgb="FF3390DB"/>
        <bgColor indexed="64"/>
      </patternFill>
    </fill>
    <fill>
      <patternFill patternType="solid">
        <fgColor rgb="FF3DB6FF"/>
        <bgColor indexed="64"/>
      </patternFill>
    </fill>
    <fill>
      <patternFill patternType="solid">
        <fgColor rgb="FF37A8FE"/>
        <bgColor indexed="64"/>
      </patternFill>
    </fill>
    <fill>
      <patternFill patternType="solid">
        <fgColor rgb="FF30A0F7"/>
        <bgColor indexed="64"/>
      </patternFill>
    </fill>
    <fill>
      <patternFill patternType="solid">
        <fgColor rgb="FF2F9DF4"/>
        <bgColor indexed="64"/>
      </patternFill>
    </fill>
    <fill>
      <patternFill patternType="solid">
        <fgColor rgb="FF309EF5"/>
        <bgColor indexed="64"/>
      </patternFill>
    </fill>
    <fill>
      <patternFill patternType="solid">
        <fgColor rgb="FF319FF7"/>
        <bgColor indexed="64"/>
      </patternFill>
    </fill>
    <fill>
      <patternFill patternType="solid">
        <fgColor rgb="FF32A3F9"/>
        <bgColor indexed="64"/>
      </patternFill>
    </fill>
    <fill>
      <patternFill patternType="solid">
        <fgColor rgb="FF36ABFF"/>
        <bgColor indexed="64"/>
      </patternFill>
    </fill>
    <fill>
      <patternFill patternType="solid">
        <fgColor rgb="FF3BADFF"/>
        <bgColor indexed="64"/>
      </patternFill>
    </fill>
    <fill>
      <patternFill patternType="solid">
        <fgColor rgb="FF5D7358"/>
        <bgColor indexed="64"/>
      </patternFill>
    </fill>
    <fill>
      <patternFill patternType="solid">
        <fgColor rgb="FFDECD25"/>
        <bgColor indexed="64"/>
      </patternFill>
    </fill>
    <fill>
      <patternFill patternType="solid">
        <fgColor rgb="FF7B9B6D"/>
        <bgColor indexed="64"/>
      </patternFill>
    </fill>
    <fill>
      <patternFill patternType="solid">
        <fgColor rgb="FF39A5FF"/>
        <bgColor indexed="64"/>
      </patternFill>
    </fill>
    <fill>
      <patternFill patternType="solid">
        <fgColor rgb="FF41ACF8"/>
        <bgColor indexed="64"/>
      </patternFill>
    </fill>
    <fill>
      <patternFill patternType="solid">
        <fgColor rgb="FF3FAAF8"/>
        <bgColor indexed="64"/>
      </patternFill>
    </fill>
    <fill>
      <patternFill patternType="solid">
        <fgColor rgb="FF40AAF9"/>
        <bgColor indexed="64"/>
      </patternFill>
    </fill>
    <fill>
      <patternFill patternType="solid">
        <fgColor rgb="FF3FAAF9"/>
        <bgColor indexed="64"/>
      </patternFill>
    </fill>
    <fill>
      <patternFill patternType="solid">
        <fgColor rgb="FF3BA3F5"/>
        <bgColor indexed="64"/>
      </patternFill>
    </fill>
    <fill>
      <patternFill patternType="solid">
        <fgColor rgb="FF73997A"/>
        <bgColor indexed="64"/>
      </patternFill>
    </fill>
    <fill>
      <patternFill patternType="solid">
        <fgColor rgb="FFDBD632"/>
        <bgColor indexed="64"/>
      </patternFill>
    </fill>
    <fill>
      <patternFill patternType="solid">
        <fgColor rgb="FFB9B22E"/>
        <bgColor indexed="64"/>
      </patternFill>
    </fill>
    <fill>
      <patternFill patternType="solid">
        <fgColor rgb="FFF8F439"/>
        <bgColor indexed="64"/>
      </patternFill>
    </fill>
    <fill>
      <patternFill patternType="solid">
        <fgColor rgb="FFF6F339"/>
        <bgColor indexed="64"/>
      </patternFill>
    </fill>
    <fill>
      <patternFill patternType="solid">
        <fgColor rgb="FFFFFF38"/>
        <bgColor indexed="64"/>
      </patternFill>
    </fill>
    <fill>
      <patternFill patternType="solid">
        <fgColor rgb="FFEBEB3A"/>
        <bgColor indexed="64"/>
      </patternFill>
    </fill>
    <fill>
      <patternFill patternType="solid">
        <fgColor rgb="FFB0AC33"/>
        <bgColor indexed="64"/>
      </patternFill>
    </fill>
    <fill>
      <patternFill patternType="solid">
        <fgColor rgb="FF999F4C"/>
        <bgColor indexed="64"/>
      </patternFill>
    </fill>
    <fill>
      <patternFill patternType="solid">
        <fgColor rgb="FF5C8D9F"/>
        <bgColor indexed="64"/>
      </patternFill>
    </fill>
    <fill>
      <patternFill patternType="solid">
        <fgColor rgb="FF41AEF8"/>
        <bgColor indexed="64"/>
      </patternFill>
    </fill>
    <fill>
      <patternFill patternType="solid">
        <fgColor rgb="FF48B5FE"/>
        <bgColor indexed="64"/>
      </patternFill>
    </fill>
    <fill>
      <patternFill patternType="solid">
        <fgColor rgb="FF477FB6"/>
        <bgColor indexed="64"/>
      </patternFill>
    </fill>
    <fill>
      <patternFill patternType="solid">
        <fgColor rgb="FF775958"/>
        <bgColor indexed="64"/>
      </patternFill>
    </fill>
    <fill>
      <patternFill patternType="solid">
        <fgColor rgb="FFCC7E4D"/>
        <bgColor indexed="64"/>
      </patternFill>
    </fill>
    <fill>
      <patternFill patternType="solid">
        <fgColor rgb="FFF9A25D"/>
        <bgColor indexed="64"/>
      </patternFill>
    </fill>
    <fill>
      <patternFill patternType="solid">
        <fgColor rgb="FFF5A054"/>
        <bgColor indexed="64"/>
      </patternFill>
    </fill>
    <fill>
      <patternFill patternType="solid">
        <fgColor rgb="FFFEA757"/>
        <bgColor indexed="64"/>
      </patternFill>
    </fill>
    <fill>
      <patternFill patternType="solid">
        <fgColor rgb="FFF19953"/>
        <bgColor indexed="64"/>
      </patternFill>
    </fill>
    <fill>
      <patternFill patternType="solid">
        <fgColor rgb="FFE48945"/>
        <bgColor indexed="64"/>
      </patternFill>
    </fill>
    <fill>
      <patternFill patternType="solid">
        <fgColor rgb="FFAE7A4D"/>
        <bgColor indexed="64"/>
      </patternFill>
    </fill>
    <fill>
      <patternFill patternType="solid">
        <fgColor rgb="FF8F6549"/>
        <bgColor indexed="64"/>
      </patternFill>
    </fill>
    <fill>
      <patternFill patternType="solid">
        <fgColor rgb="FFB99876"/>
        <bgColor indexed="64"/>
      </patternFill>
    </fill>
    <fill>
      <patternFill patternType="solid">
        <fgColor rgb="FF329BF1"/>
        <bgColor indexed="64"/>
      </patternFill>
    </fill>
    <fill>
      <patternFill patternType="solid">
        <fgColor rgb="FF309AF0"/>
        <bgColor indexed="64"/>
      </patternFill>
    </fill>
    <fill>
      <patternFill patternType="solid">
        <fgColor rgb="FF37A8FC"/>
        <bgColor indexed="64"/>
      </patternFill>
    </fill>
    <fill>
      <patternFill patternType="solid">
        <fgColor rgb="FF3DADFD"/>
        <bgColor indexed="64"/>
      </patternFill>
    </fill>
    <fill>
      <patternFill patternType="solid">
        <fgColor rgb="FF40B1FE"/>
        <bgColor indexed="64"/>
      </patternFill>
    </fill>
    <fill>
      <patternFill patternType="solid">
        <fgColor rgb="FF3FB4FF"/>
        <bgColor indexed="64"/>
      </patternFill>
    </fill>
    <fill>
      <patternFill patternType="solid">
        <fgColor rgb="FF44B1FB"/>
        <bgColor indexed="64"/>
      </patternFill>
    </fill>
    <fill>
      <patternFill patternType="solid">
        <fgColor rgb="FF44B6FF"/>
        <bgColor indexed="64"/>
      </patternFill>
    </fill>
    <fill>
      <patternFill patternType="solid">
        <fgColor rgb="FF34A8F6"/>
        <bgColor indexed="64"/>
      </patternFill>
    </fill>
    <fill>
      <patternFill patternType="solid">
        <fgColor rgb="FF5871B4"/>
        <bgColor indexed="64"/>
      </patternFill>
    </fill>
    <fill>
      <patternFill patternType="solid">
        <fgColor rgb="FF6967AF"/>
        <bgColor indexed="64"/>
      </patternFill>
    </fill>
    <fill>
      <patternFill patternType="solid">
        <fgColor rgb="FF756464"/>
        <bgColor indexed="64"/>
      </patternFill>
    </fill>
    <fill>
      <patternFill patternType="solid">
        <fgColor rgb="FFBEB928"/>
        <bgColor indexed="64"/>
      </patternFill>
    </fill>
    <fill>
      <patternFill patternType="solid">
        <fgColor rgb="FF62542C"/>
        <bgColor indexed="64"/>
      </patternFill>
    </fill>
    <fill>
      <patternFill patternType="solid">
        <fgColor rgb="FFAD75AD"/>
        <bgColor indexed="64"/>
      </patternFill>
    </fill>
    <fill>
      <patternFill patternType="solid">
        <fgColor rgb="FF875B97"/>
        <bgColor indexed="64"/>
      </patternFill>
    </fill>
    <fill>
      <patternFill patternType="solid">
        <fgColor rgb="FF8E5D95"/>
        <bgColor indexed="64"/>
      </patternFill>
    </fill>
    <fill>
      <patternFill patternType="solid">
        <fgColor rgb="FF574C7F"/>
        <bgColor indexed="64"/>
      </patternFill>
    </fill>
    <fill>
      <patternFill patternType="solid">
        <fgColor rgb="FF467CBA"/>
        <bgColor indexed="64"/>
      </patternFill>
    </fill>
    <fill>
      <patternFill patternType="solid">
        <fgColor rgb="FF3DB7FF"/>
        <bgColor indexed="64"/>
      </patternFill>
    </fill>
    <fill>
      <patternFill patternType="solid">
        <fgColor rgb="FF2B97EE"/>
        <bgColor indexed="64"/>
      </patternFill>
    </fill>
    <fill>
      <patternFill patternType="solid">
        <fgColor rgb="FF53565F"/>
        <bgColor indexed="64"/>
      </patternFill>
    </fill>
    <fill>
      <patternFill patternType="solid">
        <fgColor rgb="FF7F9F58"/>
        <bgColor indexed="64"/>
      </patternFill>
    </fill>
    <fill>
      <patternFill patternType="solid">
        <fgColor rgb="FF7AB862"/>
        <bgColor indexed="64"/>
      </patternFill>
    </fill>
    <fill>
      <patternFill patternType="solid">
        <fgColor rgb="FF7AAE5C"/>
        <bgColor indexed="64"/>
      </patternFill>
    </fill>
    <fill>
      <patternFill patternType="solid">
        <fgColor rgb="FF7FB35C"/>
        <bgColor indexed="64"/>
      </patternFill>
    </fill>
    <fill>
      <patternFill patternType="solid">
        <fgColor rgb="FF7EA956"/>
        <bgColor indexed="64"/>
      </patternFill>
    </fill>
    <fill>
      <patternFill patternType="solid">
        <fgColor rgb="FF355A63"/>
        <bgColor indexed="64"/>
      </patternFill>
    </fill>
    <fill>
      <patternFill patternType="solid">
        <fgColor rgb="FFA78375"/>
        <bgColor indexed="64"/>
      </patternFill>
    </fill>
    <fill>
      <patternFill patternType="solid">
        <fgColor rgb="FFCA7941"/>
        <bgColor indexed="64"/>
      </patternFill>
    </fill>
    <fill>
      <patternFill patternType="solid">
        <fgColor rgb="FFE78D45"/>
        <bgColor indexed="64"/>
      </patternFill>
    </fill>
    <fill>
      <patternFill patternType="solid">
        <fgColor rgb="FFDD8143"/>
        <bgColor indexed="64"/>
      </patternFill>
    </fill>
    <fill>
      <patternFill patternType="solid">
        <fgColor rgb="FFF1974F"/>
        <bgColor indexed="64"/>
      </patternFill>
    </fill>
    <fill>
      <patternFill patternType="solid">
        <fgColor rgb="FFFFA557"/>
        <bgColor indexed="64"/>
      </patternFill>
    </fill>
    <fill>
      <patternFill patternType="solid">
        <fgColor rgb="FFB4693B"/>
        <bgColor indexed="64"/>
      </patternFill>
    </fill>
    <fill>
      <patternFill patternType="solid">
        <fgColor rgb="FF634D44"/>
        <bgColor indexed="64"/>
      </patternFill>
    </fill>
    <fill>
      <patternFill patternType="solid">
        <fgColor rgb="FFECEBEB"/>
        <bgColor indexed="64"/>
      </patternFill>
    </fill>
    <fill>
      <patternFill patternType="solid">
        <fgColor rgb="FF478ECD"/>
        <bgColor indexed="64"/>
      </patternFill>
    </fill>
    <fill>
      <patternFill patternType="solid">
        <fgColor rgb="FF38AAFD"/>
        <bgColor indexed="64"/>
      </patternFill>
    </fill>
    <fill>
      <patternFill patternType="solid">
        <fgColor rgb="FF39A6F7"/>
        <bgColor indexed="64"/>
      </patternFill>
    </fill>
    <fill>
      <patternFill patternType="solid">
        <fgColor rgb="FF3BA7F9"/>
        <bgColor indexed="64"/>
      </patternFill>
    </fill>
    <fill>
      <patternFill patternType="solid">
        <fgColor rgb="FF3CA8FB"/>
        <bgColor indexed="64"/>
      </patternFill>
    </fill>
    <fill>
      <patternFill patternType="solid">
        <fgColor rgb="FF3DA9FC"/>
        <bgColor indexed="64"/>
      </patternFill>
    </fill>
    <fill>
      <patternFill patternType="solid">
        <fgColor rgb="FF3CAAFC"/>
        <bgColor indexed="64"/>
      </patternFill>
    </fill>
    <fill>
      <patternFill patternType="solid">
        <fgColor rgb="FF3BA9FC"/>
        <bgColor indexed="64"/>
      </patternFill>
    </fill>
    <fill>
      <patternFill patternType="solid">
        <fgColor rgb="FF329AF0"/>
        <bgColor indexed="64"/>
      </patternFill>
    </fill>
    <fill>
      <patternFill patternType="solid">
        <fgColor rgb="FF7D944E"/>
        <bgColor indexed="64"/>
      </patternFill>
    </fill>
    <fill>
      <patternFill patternType="solid">
        <fgColor rgb="FFFFFF2F"/>
        <bgColor indexed="64"/>
      </patternFill>
    </fill>
    <fill>
      <patternFill patternType="solid">
        <fgColor rgb="FF7D9C68"/>
        <bgColor indexed="64"/>
      </patternFill>
    </fill>
    <fill>
      <patternFill patternType="solid">
        <fgColor rgb="FF38A3FC"/>
        <bgColor indexed="64"/>
      </patternFill>
    </fill>
    <fill>
      <patternFill patternType="solid">
        <fgColor rgb="FF3FABFB"/>
        <bgColor indexed="64"/>
      </patternFill>
    </fill>
    <fill>
      <patternFill patternType="solid">
        <fgColor rgb="FF3FACFA"/>
        <bgColor indexed="64"/>
      </patternFill>
    </fill>
    <fill>
      <patternFill patternType="solid">
        <fgColor rgb="FF4496CC"/>
        <bgColor indexed="64"/>
      </patternFill>
    </fill>
    <fill>
      <patternFill patternType="solid">
        <fgColor rgb="FF4E86A2"/>
        <bgColor indexed="64"/>
      </patternFill>
    </fill>
    <fill>
      <patternFill patternType="solid">
        <fgColor rgb="FFA4B24F"/>
        <bgColor indexed="64"/>
      </patternFill>
    </fill>
    <fill>
      <patternFill patternType="solid">
        <fgColor rgb="FFFFFF36"/>
        <bgColor indexed="64"/>
      </patternFill>
    </fill>
    <fill>
      <patternFill patternType="solid">
        <fgColor rgb="FFFFFD3A"/>
        <bgColor indexed="64"/>
      </patternFill>
    </fill>
    <fill>
      <patternFill patternType="solid">
        <fgColor rgb="FFFBFA3A"/>
        <bgColor indexed="64"/>
      </patternFill>
    </fill>
    <fill>
      <patternFill patternType="solid">
        <fgColor rgb="FFEFEC31"/>
        <bgColor indexed="64"/>
      </patternFill>
    </fill>
    <fill>
      <patternFill patternType="solid">
        <fgColor rgb="FF729065"/>
        <bgColor indexed="64"/>
      </patternFill>
    </fill>
    <fill>
      <patternFill patternType="solid">
        <fgColor rgb="FF358AD9"/>
        <bgColor indexed="64"/>
      </patternFill>
    </fill>
    <fill>
      <patternFill patternType="solid">
        <fgColor rgb="FF44ABF4"/>
        <bgColor indexed="64"/>
      </patternFill>
    </fill>
    <fill>
      <patternFill patternType="solid">
        <fgColor rgb="FF48B6FB"/>
        <bgColor indexed="64"/>
      </patternFill>
    </fill>
    <fill>
      <patternFill patternType="solid">
        <fgColor rgb="FF3894DF"/>
        <bgColor indexed="64"/>
      </patternFill>
    </fill>
    <fill>
      <patternFill patternType="solid">
        <fgColor rgb="FF515A79"/>
        <bgColor indexed="64"/>
      </patternFill>
    </fill>
    <fill>
      <patternFill patternType="solid">
        <fgColor rgb="FFB1633C"/>
        <bgColor indexed="64"/>
      </patternFill>
    </fill>
    <fill>
      <patternFill patternType="solid">
        <fgColor rgb="FFE88647"/>
        <bgColor indexed="64"/>
      </patternFill>
    </fill>
    <fill>
      <patternFill patternType="solid">
        <fgColor rgb="FFDA844A"/>
        <bgColor indexed="64"/>
      </patternFill>
    </fill>
    <fill>
      <patternFill patternType="solid">
        <fgColor rgb="FFE6914A"/>
        <bgColor indexed="64"/>
      </patternFill>
    </fill>
    <fill>
      <patternFill patternType="solid">
        <fgColor rgb="FFC67E4A"/>
        <bgColor indexed="64"/>
      </patternFill>
    </fill>
    <fill>
      <patternFill patternType="solid">
        <fgColor rgb="FFD67F44"/>
        <bgColor indexed="64"/>
      </patternFill>
    </fill>
    <fill>
      <patternFill patternType="solid">
        <fgColor rgb="FF64717F"/>
        <bgColor indexed="64"/>
      </patternFill>
    </fill>
    <fill>
      <patternFill patternType="solid">
        <fgColor rgb="FF4F7EAF"/>
        <bgColor indexed="64"/>
      </patternFill>
    </fill>
    <fill>
      <patternFill patternType="solid">
        <fgColor rgb="FF6586A5"/>
        <bgColor indexed="64"/>
      </patternFill>
    </fill>
    <fill>
      <patternFill patternType="solid">
        <fgColor rgb="FF3FB1FF"/>
        <bgColor indexed="64"/>
      </patternFill>
    </fill>
    <fill>
      <patternFill patternType="solid">
        <fgColor rgb="FF2E9CF3"/>
        <bgColor indexed="64"/>
      </patternFill>
    </fill>
    <fill>
      <patternFill patternType="solid">
        <fgColor rgb="FF34A1ED"/>
        <bgColor indexed="64"/>
      </patternFill>
    </fill>
    <fill>
      <patternFill patternType="solid">
        <fgColor rgb="FF5D95DC"/>
        <bgColor indexed="64"/>
      </patternFill>
    </fill>
    <fill>
      <patternFill patternType="solid">
        <fgColor rgb="FF646EA8"/>
        <bgColor indexed="64"/>
      </patternFill>
    </fill>
    <fill>
      <patternFill patternType="solid">
        <fgColor rgb="FF597DBD"/>
        <bgColor indexed="64"/>
      </patternFill>
    </fill>
    <fill>
      <patternFill patternType="solid">
        <fgColor rgb="FF72659B"/>
        <bgColor indexed="64"/>
      </patternFill>
    </fill>
    <fill>
      <patternFill patternType="solid">
        <fgColor rgb="FF3AA5EC"/>
        <bgColor indexed="64"/>
      </patternFill>
    </fill>
    <fill>
      <patternFill patternType="solid">
        <fgColor rgb="FF3288D0"/>
        <bgColor indexed="64"/>
      </patternFill>
    </fill>
    <fill>
      <patternFill patternType="solid">
        <fgColor rgb="FF59629D"/>
        <bgColor indexed="64"/>
      </patternFill>
    </fill>
    <fill>
      <patternFill patternType="solid">
        <fgColor rgb="FF996DA2"/>
        <bgColor indexed="64"/>
      </patternFill>
    </fill>
    <fill>
      <patternFill patternType="solid">
        <fgColor rgb="FFAD6EBB"/>
        <bgColor indexed="64"/>
      </patternFill>
    </fill>
    <fill>
      <patternFill patternType="solid">
        <fgColor rgb="FFA38F50"/>
        <bgColor indexed="64"/>
      </patternFill>
    </fill>
    <fill>
      <patternFill patternType="solid">
        <fgColor rgb="FFE9E832"/>
        <bgColor indexed="64"/>
      </patternFill>
    </fill>
    <fill>
      <patternFill patternType="solid">
        <fgColor rgb="FF6A5930"/>
        <bgColor indexed="64"/>
      </patternFill>
    </fill>
    <fill>
      <patternFill patternType="solid">
        <fgColor rgb="FFA771A9"/>
        <bgColor indexed="64"/>
      </patternFill>
    </fill>
    <fill>
      <patternFill patternType="solid">
        <fgColor rgb="FFBC7FC2"/>
        <bgColor indexed="64"/>
      </patternFill>
    </fill>
    <fill>
      <patternFill patternType="solid">
        <fgColor rgb="FFAE77B9"/>
        <bgColor indexed="64"/>
      </patternFill>
    </fill>
    <fill>
      <patternFill patternType="solid">
        <fgColor rgb="FF9665A6"/>
        <bgColor indexed="64"/>
      </patternFill>
    </fill>
    <fill>
      <patternFill patternType="solid">
        <fgColor rgb="FF4A6CA8"/>
        <bgColor indexed="64"/>
      </patternFill>
    </fill>
    <fill>
      <patternFill patternType="solid">
        <fgColor rgb="FF3A74B8"/>
        <bgColor indexed="64"/>
      </patternFill>
    </fill>
    <fill>
      <patternFill patternType="solid">
        <fgColor rgb="FF925E95"/>
        <bgColor indexed="64"/>
      </patternFill>
    </fill>
    <fill>
      <patternFill patternType="solid">
        <fgColor rgb="FFC74B74"/>
        <bgColor indexed="64"/>
      </patternFill>
    </fill>
    <fill>
      <patternFill patternType="solid">
        <fgColor rgb="FF817B53"/>
        <bgColor indexed="64"/>
      </patternFill>
    </fill>
    <fill>
      <patternFill patternType="solid">
        <fgColor rgb="FF8C9B61"/>
        <bgColor indexed="64"/>
      </patternFill>
    </fill>
    <fill>
      <patternFill patternType="solid">
        <fgColor rgb="FF7DA85A"/>
        <bgColor indexed="64"/>
      </patternFill>
    </fill>
    <fill>
      <patternFill patternType="solid">
        <fgColor rgb="FF7F9D53"/>
        <bgColor indexed="64"/>
      </patternFill>
    </fill>
    <fill>
      <patternFill patternType="solid">
        <fgColor rgb="FFA3673B"/>
        <bgColor indexed="64"/>
      </patternFill>
    </fill>
    <fill>
      <patternFill patternType="solid">
        <fgColor rgb="FFD98142"/>
        <bgColor indexed="64"/>
      </patternFill>
    </fill>
    <fill>
      <patternFill patternType="solid">
        <fgColor rgb="FFFFA656"/>
        <bgColor indexed="64"/>
      </patternFill>
    </fill>
    <fill>
      <patternFill patternType="solid">
        <fgColor rgb="FFF5964F"/>
        <bgColor indexed="64"/>
      </patternFill>
    </fill>
    <fill>
      <patternFill patternType="solid">
        <fgColor rgb="FFED9049"/>
        <bgColor indexed="64"/>
      </patternFill>
    </fill>
    <fill>
      <patternFill patternType="solid">
        <fgColor rgb="FFFB9E54"/>
        <bgColor indexed="64"/>
      </patternFill>
    </fill>
    <fill>
      <patternFill patternType="solid">
        <fgColor rgb="FFCA743F"/>
        <bgColor indexed="64"/>
      </patternFill>
    </fill>
    <fill>
      <patternFill patternType="solid">
        <fgColor rgb="FFE58947"/>
        <bgColor indexed="64"/>
      </patternFill>
    </fill>
    <fill>
      <patternFill patternType="solid">
        <fgColor rgb="FFFD964E"/>
        <bgColor indexed="64"/>
      </patternFill>
    </fill>
    <fill>
      <patternFill patternType="solid">
        <fgColor rgb="FFE7E7E7"/>
        <bgColor indexed="64"/>
      </patternFill>
    </fill>
    <fill>
      <patternFill patternType="solid">
        <fgColor rgb="FF438ECD"/>
        <bgColor indexed="64"/>
      </patternFill>
    </fill>
    <fill>
      <patternFill patternType="solid">
        <fgColor rgb="FF38A7F9"/>
        <bgColor indexed="64"/>
      </patternFill>
    </fill>
    <fill>
      <patternFill patternType="solid">
        <fgColor rgb="FF39A6FA"/>
        <bgColor indexed="64"/>
      </patternFill>
    </fill>
    <fill>
      <patternFill patternType="solid">
        <fgColor rgb="FF39A7FA"/>
        <bgColor indexed="64"/>
      </patternFill>
    </fill>
    <fill>
      <patternFill patternType="solid">
        <fgColor rgb="FF38A5F8"/>
        <bgColor indexed="64"/>
      </patternFill>
    </fill>
    <fill>
      <patternFill patternType="solid">
        <fgColor rgb="FF3DADFE"/>
        <bgColor indexed="64"/>
      </patternFill>
    </fill>
    <fill>
      <patternFill patternType="solid">
        <fgColor rgb="FF3094E4"/>
        <bgColor indexed="64"/>
      </patternFill>
    </fill>
    <fill>
      <patternFill patternType="solid">
        <fgColor rgb="FF838E40"/>
        <bgColor indexed="64"/>
      </patternFill>
    </fill>
    <fill>
      <patternFill patternType="solid">
        <fgColor rgb="FFFCF52F"/>
        <bgColor indexed="64"/>
      </patternFill>
    </fill>
    <fill>
      <patternFill patternType="solid">
        <fgColor rgb="FF90AB61"/>
        <bgColor indexed="64"/>
      </patternFill>
    </fill>
    <fill>
      <patternFill patternType="solid">
        <fgColor rgb="FF44B0FB"/>
        <bgColor indexed="64"/>
      </patternFill>
    </fill>
    <fill>
      <patternFill patternType="solid">
        <fgColor rgb="FF40ADFB"/>
        <bgColor indexed="64"/>
      </patternFill>
    </fill>
    <fill>
      <patternFill patternType="solid">
        <fgColor rgb="FF41B1FE"/>
        <bgColor indexed="64"/>
      </patternFill>
    </fill>
    <fill>
      <patternFill patternType="solid">
        <fgColor rgb="FF458AB7"/>
        <bgColor indexed="64"/>
      </patternFill>
    </fill>
    <fill>
      <patternFill patternType="solid">
        <fgColor rgb="FFA19B2C"/>
        <bgColor indexed="64"/>
      </patternFill>
    </fill>
    <fill>
      <patternFill patternType="solid">
        <fgColor rgb="FFEAE42F"/>
        <bgColor indexed="64"/>
      </patternFill>
    </fill>
    <fill>
      <patternFill patternType="solid">
        <fgColor rgb="FFF9F73A"/>
        <bgColor indexed="64"/>
      </patternFill>
    </fill>
    <fill>
      <patternFill patternType="solid">
        <fgColor rgb="FFFBF939"/>
        <bgColor indexed="64"/>
      </patternFill>
    </fill>
    <fill>
      <patternFill patternType="solid">
        <fgColor rgb="FFEBE838"/>
        <bgColor indexed="64"/>
      </patternFill>
    </fill>
    <fill>
      <patternFill patternType="solid">
        <fgColor rgb="FFE9E437"/>
        <bgColor indexed="64"/>
      </patternFill>
    </fill>
    <fill>
      <patternFill patternType="solid">
        <fgColor rgb="FF47859F"/>
        <bgColor indexed="64"/>
      </patternFill>
    </fill>
    <fill>
      <patternFill patternType="solid">
        <fgColor rgb="FF43B4FF"/>
        <bgColor indexed="64"/>
      </patternFill>
    </fill>
    <fill>
      <patternFill patternType="solid">
        <fgColor rgb="FF42ADF8"/>
        <bgColor indexed="64"/>
      </patternFill>
    </fill>
    <fill>
      <patternFill patternType="solid">
        <fgColor rgb="FF4AA2E9"/>
        <bgColor indexed="64"/>
      </patternFill>
    </fill>
    <fill>
      <patternFill patternType="solid">
        <fgColor rgb="FF5782B2"/>
        <bgColor indexed="64"/>
      </patternFill>
    </fill>
    <fill>
      <patternFill patternType="solid">
        <fgColor rgb="FF6B758E"/>
        <bgColor indexed="64"/>
      </patternFill>
    </fill>
    <fill>
      <patternFill patternType="solid">
        <fgColor rgb="FF96573C"/>
        <bgColor indexed="64"/>
      </patternFill>
    </fill>
    <fill>
      <patternFill patternType="solid">
        <fgColor rgb="FF7F6E74"/>
        <bgColor indexed="64"/>
      </patternFill>
    </fill>
    <fill>
      <patternFill patternType="solid">
        <fgColor rgb="FF8B6F6C"/>
        <bgColor indexed="64"/>
      </patternFill>
    </fill>
    <fill>
      <patternFill patternType="solid">
        <fgColor rgb="FF8B5433"/>
        <bgColor indexed="64"/>
      </patternFill>
    </fill>
    <fill>
      <patternFill patternType="solid">
        <fgColor rgb="FF3682BD"/>
        <bgColor indexed="64"/>
      </patternFill>
    </fill>
    <fill>
      <patternFill patternType="solid">
        <fgColor rgb="FF44ADFB"/>
        <bgColor indexed="64"/>
      </patternFill>
    </fill>
    <fill>
      <patternFill patternType="solid">
        <fgColor rgb="FF3DA7F5"/>
        <bgColor indexed="64"/>
      </patternFill>
    </fill>
    <fill>
      <patternFill patternType="solid">
        <fgColor rgb="FF43ACF9"/>
        <bgColor indexed="64"/>
      </patternFill>
    </fill>
    <fill>
      <patternFill patternType="solid">
        <fgColor rgb="FF2E98E8"/>
        <bgColor indexed="64"/>
      </patternFill>
    </fill>
    <fill>
      <patternFill patternType="solid">
        <fgColor rgb="FF876AAB"/>
        <bgColor indexed="64"/>
      </patternFill>
    </fill>
    <fill>
      <patternFill patternType="solid">
        <fgColor rgb="FF8E4A76"/>
        <bgColor indexed="64"/>
      </patternFill>
    </fill>
    <fill>
      <patternFill patternType="solid">
        <fgColor rgb="FFBD6992"/>
        <bgColor indexed="64"/>
      </patternFill>
    </fill>
    <fill>
      <patternFill patternType="solid">
        <fgColor rgb="FFDD6088"/>
        <bgColor indexed="64"/>
      </patternFill>
    </fill>
    <fill>
      <patternFill patternType="solid">
        <fgColor rgb="FFE3678C"/>
        <bgColor indexed="64"/>
      </patternFill>
    </fill>
    <fill>
      <patternFill patternType="solid">
        <fgColor rgb="FFB45379"/>
        <bgColor indexed="64"/>
      </patternFill>
    </fill>
    <fill>
      <patternFill patternType="solid">
        <fgColor rgb="FF915F89"/>
        <bgColor indexed="64"/>
      </patternFill>
    </fill>
    <fill>
      <patternFill patternType="solid">
        <fgColor rgb="FF95517B"/>
        <bgColor indexed="64"/>
      </patternFill>
    </fill>
    <fill>
      <patternFill patternType="solid">
        <fgColor rgb="FFAA6695"/>
        <bgColor indexed="64"/>
      </patternFill>
    </fill>
    <fill>
      <patternFill patternType="solid">
        <fgColor rgb="FFC888CC"/>
        <bgColor indexed="64"/>
      </patternFill>
    </fill>
    <fill>
      <patternFill patternType="solid">
        <fgColor rgb="FF895F9F"/>
        <bgColor indexed="64"/>
      </patternFill>
    </fill>
    <fill>
      <patternFill patternType="solid">
        <fgColor rgb="FFB3AC34"/>
        <bgColor indexed="64"/>
      </patternFill>
    </fill>
    <fill>
      <patternFill patternType="solid">
        <fgColor rgb="FFFFFE35"/>
        <bgColor indexed="64"/>
      </patternFill>
    </fill>
    <fill>
      <patternFill patternType="solid">
        <fgColor rgb="FF7A6341"/>
        <bgColor indexed="64"/>
      </patternFill>
    </fill>
    <fill>
      <patternFill patternType="solid">
        <fgColor rgb="FFB377BA"/>
        <bgColor indexed="64"/>
      </patternFill>
    </fill>
    <fill>
      <patternFill patternType="solid">
        <fgColor rgb="FFB87BBC"/>
        <bgColor indexed="64"/>
      </patternFill>
    </fill>
    <fill>
      <patternFill patternType="solid">
        <fgColor rgb="FFB579B9"/>
        <bgColor indexed="64"/>
      </patternFill>
    </fill>
    <fill>
      <patternFill patternType="solid">
        <fgColor rgb="FF9D4F81"/>
        <bgColor indexed="64"/>
      </patternFill>
    </fill>
    <fill>
      <patternFill patternType="solid">
        <fgColor rgb="FFB9476B"/>
        <bgColor indexed="64"/>
      </patternFill>
    </fill>
    <fill>
      <patternFill patternType="solid">
        <fgColor rgb="FFD84E74"/>
        <bgColor indexed="64"/>
      </patternFill>
    </fill>
    <fill>
      <patternFill patternType="solid">
        <fgColor rgb="FFFF5E82"/>
        <bgColor indexed="64"/>
      </patternFill>
    </fill>
    <fill>
      <patternFill patternType="solid">
        <fgColor rgb="FFDC5275"/>
        <bgColor indexed="64"/>
      </patternFill>
    </fill>
    <fill>
      <patternFill patternType="solid">
        <fgColor rgb="FFCF4D6F"/>
        <bgColor indexed="64"/>
      </patternFill>
    </fill>
    <fill>
      <patternFill patternType="solid">
        <fgColor rgb="FF904B52"/>
        <bgColor indexed="64"/>
      </patternFill>
    </fill>
    <fill>
      <patternFill patternType="solid">
        <fgColor rgb="FF81B256"/>
        <bgColor indexed="64"/>
      </patternFill>
    </fill>
    <fill>
      <patternFill patternType="solid">
        <fgColor rgb="FF77B35A"/>
        <bgColor indexed="64"/>
      </patternFill>
    </fill>
    <fill>
      <patternFill patternType="solid">
        <fgColor rgb="FF6B773A"/>
        <bgColor indexed="64"/>
      </patternFill>
    </fill>
    <fill>
      <patternFill patternType="solid">
        <fgColor rgb="FFEF944C"/>
        <bgColor indexed="64"/>
      </patternFill>
    </fill>
    <fill>
      <patternFill patternType="solid">
        <fgColor rgb="FFFD9954"/>
        <bgColor indexed="64"/>
      </patternFill>
    </fill>
    <fill>
      <patternFill patternType="solid">
        <fgColor rgb="FFFA9A52"/>
        <bgColor indexed="64"/>
      </patternFill>
    </fill>
    <fill>
      <patternFill patternType="solid">
        <fgColor rgb="FFFC9B51"/>
        <bgColor indexed="64"/>
      </patternFill>
    </fill>
    <fill>
      <patternFill patternType="solid">
        <fgColor rgb="FFFF9D52"/>
        <bgColor indexed="64"/>
      </patternFill>
    </fill>
    <fill>
      <patternFill patternType="solid">
        <fgColor rgb="FFF9984C"/>
        <bgColor indexed="64"/>
      </patternFill>
    </fill>
    <fill>
      <patternFill patternType="solid">
        <fgColor rgb="FFFF9C50"/>
        <bgColor indexed="64"/>
      </patternFill>
    </fill>
    <fill>
      <patternFill patternType="solid">
        <fgColor rgb="FFC5CBD2"/>
        <bgColor indexed="64"/>
      </patternFill>
    </fill>
    <fill>
      <patternFill patternType="solid">
        <fgColor rgb="FF328CD4"/>
        <bgColor indexed="64"/>
      </patternFill>
    </fill>
    <fill>
      <patternFill patternType="solid">
        <fgColor rgb="FF3CAFFF"/>
        <bgColor indexed="64"/>
      </patternFill>
    </fill>
    <fill>
      <patternFill patternType="solid">
        <fgColor rgb="FF36A5F9"/>
        <bgColor indexed="64"/>
      </patternFill>
    </fill>
    <fill>
      <patternFill patternType="solid">
        <fgColor rgb="FF38A5FB"/>
        <bgColor indexed="64"/>
      </patternFill>
    </fill>
    <fill>
      <patternFill patternType="solid">
        <fgColor rgb="FF37A4FA"/>
        <bgColor indexed="64"/>
      </patternFill>
    </fill>
    <fill>
      <patternFill patternType="solid">
        <fgColor rgb="FF37A4FB"/>
        <bgColor indexed="64"/>
      </patternFill>
    </fill>
    <fill>
      <patternFill patternType="solid">
        <fgColor rgb="FF3493DD"/>
        <bgColor indexed="64"/>
      </patternFill>
    </fill>
    <fill>
      <patternFill patternType="solid">
        <fgColor rgb="FF60653D"/>
        <bgColor indexed="64"/>
      </patternFill>
    </fill>
    <fill>
      <patternFill patternType="solid">
        <fgColor rgb="FFBAAA2F"/>
        <bgColor indexed="64"/>
      </patternFill>
    </fill>
    <fill>
      <patternFill patternType="solid">
        <fgColor rgb="FF779064"/>
        <bgColor indexed="64"/>
      </patternFill>
    </fill>
    <fill>
      <patternFill patternType="solid">
        <fgColor rgb="FF38A2FA"/>
        <bgColor indexed="64"/>
      </patternFill>
    </fill>
    <fill>
      <patternFill patternType="solid">
        <fgColor rgb="FF45B2FB"/>
        <bgColor indexed="64"/>
      </patternFill>
    </fill>
    <fill>
      <patternFill patternType="solid">
        <fgColor rgb="FF41ADFB"/>
        <bgColor indexed="64"/>
      </patternFill>
    </fill>
    <fill>
      <patternFill patternType="solid">
        <fgColor rgb="FF42ADFB"/>
        <bgColor indexed="64"/>
      </patternFill>
    </fill>
    <fill>
      <patternFill patternType="solid">
        <fgColor rgb="FF3FAFFF"/>
        <bgColor indexed="64"/>
      </patternFill>
    </fill>
    <fill>
      <patternFill patternType="solid">
        <fgColor rgb="FF1E57A3"/>
        <bgColor indexed="64"/>
      </patternFill>
    </fill>
    <fill>
      <patternFill patternType="solid">
        <fgColor rgb="FF787429"/>
        <bgColor indexed="64"/>
      </patternFill>
    </fill>
    <fill>
      <patternFill patternType="solid">
        <fgColor rgb="FFFCFA39"/>
        <bgColor indexed="64"/>
      </patternFill>
    </fill>
    <fill>
      <patternFill patternType="solid">
        <fgColor rgb="FFFBF937"/>
        <bgColor indexed="64"/>
      </patternFill>
    </fill>
    <fill>
      <patternFill patternType="solid">
        <fgColor rgb="FFD1CC38"/>
        <bgColor indexed="64"/>
      </patternFill>
    </fill>
    <fill>
      <patternFill patternType="solid">
        <fgColor rgb="FFE6DC39"/>
        <bgColor indexed="64"/>
      </patternFill>
    </fill>
    <fill>
      <patternFill patternType="solid">
        <fgColor rgb="FF648366"/>
        <bgColor indexed="64"/>
      </patternFill>
    </fill>
    <fill>
      <patternFill patternType="solid">
        <fgColor rgb="FF3AA6F9"/>
        <bgColor indexed="64"/>
      </patternFill>
    </fill>
    <fill>
      <patternFill patternType="solid">
        <fgColor rgb="FF40BBFF"/>
        <bgColor indexed="64"/>
      </patternFill>
    </fill>
    <fill>
      <patternFill patternType="solid">
        <fgColor rgb="FF3C91DB"/>
        <bgColor indexed="64"/>
      </patternFill>
    </fill>
    <fill>
      <patternFill patternType="solid">
        <fgColor rgb="FF516481"/>
        <bgColor indexed="64"/>
      </patternFill>
    </fill>
    <fill>
      <patternFill patternType="solid">
        <fgColor rgb="FF5592CA"/>
        <bgColor indexed="64"/>
      </patternFill>
    </fill>
    <fill>
      <patternFill patternType="solid">
        <fgColor rgb="FF6D5E63"/>
        <bgColor indexed="64"/>
      </patternFill>
    </fill>
    <fill>
      <patternFill patternType="solid">
        <fgColor rgb="FF1E1A1E"/>
        <bgColor indexed="64"/>
      </patternFill>
    </fill>
    <fill>
      <patternFill patternType="solid">
        <fgColor rgb="FF3581BA"/>
        <bgColor indexed="64"/>
      </patternFill>
    </fill>
    <fill>
      <patternFill patternType="solid">
        <fgColor rgb="FF3F81C8"/>
        <bgColor indexed="64"/>
      </patternFill>
    </fill>
    <fill>
      <patternFill patternType="solid">
        <fgColor rgb="FF913D65"/>
        <bgColor indexed="64"/>
      </patternFill>
    </fill>
    <fill>
      <patternFill patternType="solid">
        <fgColor rgb="FFF25E84"/>
        <bgColor indexed="64"/>
      </patternFill>
    </fill>
    <fill>
      <patternFill patternType="solid">
        <fgColor rgb="FFFF648A"/>
        <bgColor indexed="64"/>
      </patternFill>
    </fill>
    <fill>
      <patternFill patternType="solid">
        <fgColor rgb="FFFB6D92"/>
        <bgColor indexed="64"/>
      </patternFill>
    </fill>
    <fill>
      <patternFill patternType="solid">
        <fgColor rgb="FFFF729C"/>
        <bgColor indexed="64"/>
      </patternFill>
    </fill>
    <fill>
      <patternFill patternType="solid">
        <fgColor rgb="FFFF719E"/>
        <bgColor indexed="64"/>
      </patternFill>
    </fill>
    <fill>
      <patternFill patternType="solid">
        <fgColor rgb="FFFD6F9D"/>
        <bgColor indexed="64"/>
      </patternFill>
    </fill>
    <fill>
      <patternFill patternType="solid">
        <fgColor rgb="FFFD6B93"/>
        <bgColor indexed="64"/>
      </patternFill>
    </fill>
    <fill>
      <patternFill patternType="solid">
        <fgColor rgb="FFCD567E"/>
        <bgColor indexed="64"/>
      </patternFill>
    </fill>
    <fill>
      <patternFill patternType="solid">
        <fgColor rgb="FF814873"/>
        <bgColor indexed="64"/>
      </patternFill>
    </fill>
    <fill>
      <patternFill patternType="solid">
        <fgColor rgb="FFAF73B2"/>
        <bgColor indexed="64"/>
      </patternFill>
    </fill>
    <fill>
      <patternFill patternType="solid">
        <fgColor rgb="FF6E4F71"/>
        <bgColor indexed="64"/>
      </patternFill>
    </fill>
    <fill>
      <patternFill patternType="solid">
        <fgColor rgb="FFD9D82F"/>
        <bgColor indexed="64"/>
      </patternFill>
    </fill>
    <fill>
      <patternFill patternType="solid">
        <fgColor rgb="FFEBE832"/>
        <bgColor indexed="64"/>
      </patternFill>
    </fill>
    <fill>
      <patternFill patternType="solid">
        <fgColor rgb="FF775359"/>
        <bgColor indexed="64"/>
      </patternFill>
    </fill>
    <fill>
      <patternFill patternType="solid">
        <fgColor rgb="FFA76CAD"/>
        <bgColor indexed="64"/>
      </patternFill>
    </fill>
    <fill>
      <patternFill patternType="solid">
        <fgColor rgb="FFA86EAB"/>
        <bgColor indexed="64"/>
      </patternFill>
    </fill>
    <fill>
      <patternFill patternType="solid">
        <fgColor rgb="FFA069A8"/>
        <bgColor indexed="64"/>
      </patternFill>
    </fill>
    <fill>
      <patternFill patternType="solid">
        <fgColor rgb="FF993D62"/>
        <bgColor indexed="64"/>
      </patternFill>
    </fill>
    <fill>
      <patternFill patternType="solid">
        <fgColor rgb="FFF04F6E"/>
        <bgColor indexed="64"/>
      </patternFill>
    </fill>
    <fill>
      <patternFill patternType="solid">
        <fgColor rgb="FFFF5E8B"/>
        <bgColor indexed="64"/>
      </patternFill>
    </fill>
    <fill>
      <patternFill patternType="solid">
        <fgColor rgb="FFF4517D"/>
        <bgColor indexed="64"/>
      </patternFill>
    </fill>
    <fill>
      <patternFill patternType="solid">
        <fgColor rgb="FFFF5F87"/>
        <bgColor indexed="64"/>
      </patternFill>
    </fill>
    <fill>
      <patternFill patternType="solid">
        <fgColor rgb="FFFC5D84"/>
        <bgColor indexed="64"/>
      </patternFill>
    </fill>
    <fill>
      <patternFill patternType="solid">
        <fgColor rgb="FFB54D62"/>
        <bgColor indexed="64"/>
      </patternFill>
    </fill>
    <fill>
      <patternFill patternType="solid">
        <fgColor rgb="FF987458"/>
        <bgColor indexed="64"/>
      </patternFill>
    </fill>
    <fill>
      <patternFill patternType="solid">
        <fgColor rgb="FF676241"/>
        <bgColor indexed="64"/>
      </patternFill>
    </fill>
    <fill>
      <patternFill patternType="solid">
        <fgColor rgb="FF5E4E2A"/>
        <bgColor indexed="64"/>
      </patternFill>
    </fill>
    <fill>
      <patternFill patternType="solid">
        <fgColor rgb="FFE79049"/>
        <bgColor indexed="64"/>
      </patternFill>
    </fill>
    <fill>
      <patternFill patternType="solid">
        <fgColor rgb="FFFF9D54"/>
        <bgColor indexed="64"/>
      </patternFill>
    </fill>
    <fill>
      <patternFill patternType="solid">
        <fgColor rgb="FFFB9950"/>
        <bgColor indexed="64"/>
      </patternFill>
    </fill>
    <fill>
      <patternFill patternType="solid">
        <fgColor rgb="FFFC984E"/>
        <bgColor indexed="64"/>
      </patternFill>
    </fill>
    <fill>
      <patternFill patternType="solid">
        <fgColor rgb="FFFB974F"/>
        <bgColor indexed="64"/>
      </patternFill>
    </fill>
    <fill>
      <patternFill patternType="solid">
        <fgColor rgb="FFFB964C"/>
        <bgColor indexed="64"/>
      </patternFill>
    </fill>
    <fill>
      <patternFill patternType="solid">
        <fgColor rgb="FFDDDEDF"/>
        <bgColor indexed="64"/>
      </patternFill>
    </fill>
    <fill>
      <patternFill patternType="solid">
        <fgColor rgb="FFEAE5E2"/>
        <bgColor indexed="64"/>
      </patternFill>
    </fill>
    <fill>
      <patternFill patternType="solid">
        <fgColor rgb="FFCAC0BA"/>
        <bgColor indexed="64"/>
      </patternFill>
    </fill>
    <fill>
      <patternFill patternType="solid">
        <fgColor rgb="FFF0F2F5"/>
        <bgColor indexed="64"/>
      </patternFill>
    </fill>
    <fill>
      <patternFill patternType="solid">
        <fgColor rgb="FF6A8AAF"/>
        <bgColor indexed="64"/>
      </patternFill>
    </fill>
    <fill>
      <patternFill patternType="solid">
        <fgColor rgb="FF2B8FE8"/>
        <bgColor indexed="64"/>
      </patternFill>
    </fill>
    <fill>
      <patternFill patternType="solid">
        <fgColor rgb="FF3AA7FA"/>
        <bgColor indexed="64"/>
      </patternFill>
    </fill>
    <fill>
      <patternFill patternType="solid">
        <fgColor rgb="FF36A5FA"/>
        <bgColor indexed="64"/>
      </patternFill>
    </fill>
    <fill>
      <patternFill patternType="solid">
        <fgColor rgb="FF36A4FC"/>
        <bgColor indexed="64"/>
      </patternFill>
    </fill>
    <fill>
      <patternFill patternType="solid">
        <fgColor rgb="FF3AA1F1"/>
        <bgColor indexed="64"/>
      </patternFill>
    </fill>
    <fill>
      <patternFill patternType="solid">
        <fgColor rgb="FF2A3C49"/>
        <bgColor indexed="64"/>
      </patternFill>
    </fill>
    <fill>
      <patternFill patternType="solid">
        <fgColor rgb="FF534315"/>
        <bgColor indexed="64"/>
      </patternFill>
    </fill>
    <fill>
      <patternFill patternType="solid">
        <fgColor rgb="FF59736B"/>
        <bgColor indexed="64"/>
      </patternFill>
    </fill>
    <fill>
      <patternFill patternType="solid">
        <fgColor rgb="FF3EAAFD"/>
        <bgColor indexed="64"/>
      </patternFill>
    </fill>
    <fill>
      <patternFill patternType="solid">
        <fgColor rgb="FF44B0FC"/>
        <bgColor indexed="64"/>
      </patternFill>
    </fill>
    <fill>
      <patternFill patternType="solid">
        <fgColor rgb="FF3EABFC"/>
        <bgColor indexed="64"/>
      </patternFill>
    </fill>
    <fill>
      <patternFill patternType="solid">
        <fgColor rgb="FF3EABFB"/>
        <bgColor indexed="64"/>
      </patternFill>
    </fill>
    <fill>
      <patternFill patternType="solid">
        <fgColor rgb="FF42AFFC"/>
        <bgColor indexed="64"/>
      </patternFill>
    </fill>
    <fill>
      <patternFill patternType="solid">
        <fgColor rgb="FF457D9A"/>
        <bgColor indexed="64"/>
      </patternFill>
    </fill>
    <fill>
      <patternFill patternType="solid">
        <fgColor rgb="FF91A760"/>
        <bgColor indexed="64"/>
      </patternFill>
    </fill>
    <fill>
      <patternFill patternType="solid">
        <fgColor rgb="FFD6D73C"/>
        <bgColor indexed="64"/>
      </patternFill>
    </fill>
    <fill>
      <patternFill patternType="solid">
        <fgColor rgb="FFFFFE39"/>
        <bgColor indexed="64"/>
      </patternFill>
    </fill>
    <fill>
      <patternFill patternType="solid">
        <fgColor rgb="FFDFDC35"/>
        <bgColor indexed="64"/>
      </patternFill>
    </fill>
    <fill>
      <patternFill patternType="solid">
        <fgColor rgb="FF868231"/>
        <bgColor indexed="64"/>
      </patternFill>
    </fill>
    <fill>
      <patternFill patternType="solid">
        <fgColor rgb="FF858249"/>
        <bgColor indexed="64"/>
      </patternFill>
    </fill>
    <fill>
      <patternFill patternType="solid">
        <fgColor rgb="FF436572"/>
        <bgColor indexed="64"/>
      </patternFill>
    </fill>
    <fill>
      <patternFill patternType="solid">
        <fgColor rgb="FF40AAFA"/>
        <bgColor indexed="64"/>
      </patternFill>
    </fill>
    <fill>
      <patternFill patternType="solid">
        <fgColor rgb="FF45AFF9"/>
        <bgColor indexed="64"/>
      </patternFill>
    </fill>
    <fill>
      <patternFill patternType="solid">
        <fgColor rgb="FF45A5ED"/>
        <bgColor indexed="64"/>
      </patternFill>
    </fill>
    <fill>
      <patternFill patternType="solid">
        <fgColor rgb="FF3D8BCF"/>
        <bgColor indexed="64"/>
      </patternFill>
    </fill>
    <fill>
      <patternFill patternType="solid">
        <fgColor rgb="FF3B8BD2"/>
        <bgColor indexed="64"/>
      </patternFill>
    </fill>
    <fill>
      <patternFill patternType="solid">
        <fgColor rgb="FF23374F"/>
        <bgColor indexed="64"/>
      </patternFill>
    </fill>
    <fill>
      <patternFill patternType="solid">
        <fgColor rgb="FF3F82AD"/>
        <bgColor indexed="64"/>
      </patternFill>
    </fill>
    <fill>
      <patternFill patternType="solid">
        <fgColor rgb="FF42B5FE"/>
        <bgColor indexed="64"/>
      </patternFill>
    </fill>
    <fill>
      <patternFill patternType="solid">
        <fgColor rgb="FF387FC9"/>
        <bgColor indexed="64"/>
      </patternFill>
    </fill>
    <fill>
      <patternFill patternType="solid">
        <fgColor rgb="FF6E3455"/>
        <bgColor indexed="64"/>
      </patternFill>
    </fill>
    <fill>
      <patternFill patternType="solid">
        <fgColor rgb="FFEF526E"/>
        <bgColor indexed="64"/>
      </patternFill>
    </fill>
    <fill>
      <patternFill patternType="solid">
        <fgColor rgb="FFFD6187"/>
        <bgColor indexed="64"/>
      </patternFill>
    </fill>
    <fill>
      <patternFill patternType="solid">
        <fgColor rgb="FFED5984"/>
        <bgColor indexed="64"/>
      </patternFill>
    </fill>
    <fill>
      <patternFill patternType="solid">
        <fgColor rgb="FFFF6497"/>
        <bgColor indexed="64"/>
      </patternFill>
    </fill>
    <fill>
      <patternFill patternType="solid">
        <fgColor rgb="FFE65881"/>
        <bgColor indexed="64"/>
      </patternFill>
    </fill>
    <fill>
      <patternFill patternType="solid">
        <fgColor rgb="FFB34F62"/>
        <bgColor indexed="64"/>
      </patternFill>
    </fill>
    <fill>
      <patternFill patternType="solid">
        <fgColor rgb="FFA75C62"/>
        <bgColor indexed="64"/>
      </patternFill>
    </fill>
    <fill>
      <patternFill patternType="solid">
        <fgColor rgb="FFC55B77"/>
        <bgColor indexed="64"/>
      </patternFill>
    </fill>
    <fill>
      <patternFill patternType="solid">
        <fgColor rgb="FF985762"/>
        <bgColor indexed="64"/>
      </patternFill>
    </fill>
    <fill>
      <patternFill patternType="solid">
        <fgColor rgb="FF6A7E4B"/>
        <bgColor indexed="64"/>
      </patternFill>
    </fill>
    <fill>
      <patternFill patternType="solid">
        <fgColor rgb="FF678351"/>
        <bgColor indexed="64"/>
      </patternFill>
    </fill>
    <fill>
      <patternFill patternType="solid">
        <fgColor rgb="FF707335"/>
        <bgColor indexed="64"/>
      </patternFill>
    </fill>
    <fill>
      <patternFill patternType="solid">
        <fgColor rgb="FFAFAF2A"/>
        <bgColor indexed="64"/>
      </patternFill>
    </fill>
    <fill>
      <patternFill patternType="solid">
        <fgColor rgb="FF50683B"/>
        <bgColor indexed="64"/>
      </patternFill>
    </fill>
    <fill>
      <patternFill patternType="solid">
        <fgColor rgb="FF6D8B53"/>
        <bgColor indexed="64"/>
      </patternFill>
    </fill>
    <fill>
      <patternFill patternType="solid">
        <fgColor rgb="FF6B8654"/>
        <bgColor indexed="64"/>
      </patternFill>
    </fill>
    <fill>
      <patternFill patternType="solid">
        <fgColor rgb="FF6B8B58"/>
        <bgColor indexed="64"/>
      </patternFill>
    </fill>
    <fill>
      <patternFill patternType="solid">
        <fgColor rgb="FF604A40"/>
        <bgColor indexed="64"/>
      </patternFill>
    </fill>
    <fill>
      <patternFill patternType="solid">
        <fgColor rgb="FFC2495D"/>
        <bgColor indexed="64"/>
      </patternFill>
    </fill>
    <fill>
      <patternFill patternType="solid">
        <fgColor rgb="FFAC6663"/>
        <bgColor indexed="64"/>
      </patternFill>
    </fill>
    <fill>
      <patternFill patternType="solid">
        <fgColor rgb="FF7B5A47"/>
        <bgColor indexed="64"/>
      </patternFill>
    </fill>
    <fill>
      <patternFill patternType="solid">
        <fgColor rgb="FFAD4952"/>
        <bgColor indexed="64"/>
      </patternFill>
    </fill>
    <fill>
      <patternFill patternType="solid">
        <fgColor rgb="FFE65071"/>
        <bgColor indexed="64"/>
      </patternFill>
    </fill>
    <fill>
      <patternFill patternType="solid">
        <fgColor rgb="FFE44466"/>
        <bgColor indexed="64"/>
      </patternFill>
    </fill>
    <fill>
      <patternFill patternType="solid">
        <fgColor rgb="FFF54477"/>
        <bgColor indexed="64"/>
      </patternFill>
    </fill>
    <fill>
      <patternFill patternType="solid">
        <fgColor rgb="FFB24A47"/>
        <bgColor indexed="64"/>
      </patternFill>
    </fill>
    <fill>
      <patternFill patternType="solid">
        <fgColor rgb="FFCF7D43"/>
        <bgColor indexed="64"/>
      </patternFill>
    </fill>
    <fill>
      <patternFill patternType="solid">
        <fgColor rgb="FFDC8141"/>
        <bgColor indexed="64"/>
      </patternFill>
    </fill>
    <fill>
      <patternFill patternType="solid">
        <fgColor rgb="FFFE9E55"/>
        <bgColor indexed="64"/>
      </patternFill>
    </fill>
    <fill>
      <patternFill patternType="solid">
        <fgColor rgb="FFFB9752"/>
        <bgColor indexed="64"/>
      </patternFill>
    </fill>
    <fill>
      <patternFill patternType="solid">
        <fgColor rgb="FFA0918C"/>
        <bgColor indexed="64"/>
      </patternFill>
    </fill>
    <fill>
      <patternFill patternType="solid">
        <fgColor rgb="FFD6CCCB"/>
        <bgColor indexed="64"/>
      </patternFill>
    </fill>
    <fill>
      <patternFill patternType="solid">
        <fgColor rgb="FFD49362"/>
        <bgColor indexed="64"/>
      </patternFill>
    </fill>
    <fill>
      <patternFill patternType="solid">
        <fgColor rgb="FF805A47"/>
        <bgColor indexed="64"/>
      </patternFill>
    </fill>
    <fill>
      <patternFill patternType="solid">
        <fgColor rgb="FFA29491"/>
        <bgColor indexed="64"/>
      </patternFill>
    </fill>
    <fill>
      <patternFill patternType="solid">
        <fgColor rgb="FF4B5674"/>
        <bgColor indexed="64"/>
      </patternFill>
    </fill>
    <fill>
      <patternFill patternType="solid">
        <fgColor rgb="FF308AE3"/>
        <bgColor indexed="64"/>
      </patternFill>
    </fill>
    <fill>
      <patternFill patternType="solid">
        <fgColor rgb="FF3AA8FB"/>
        <bgColor indexed="64"/>
      </patternFill>
    </fill>
    <fill>
      <patternFill patternType="solid">
        <fgColor rgb="FF39A7F9"/>
        <bgColor indexed="64"/>
      </patternFill>
    </fill>
    <fill>
      <patternFill patternType="solid">
        <fgColor rgb="FF3BA7FB"/>
        <bgColor indexed="64"/>
      </patternFill>
    </fill>
    <fill>
      <patternFill patternType="solid">
        <fgColor rgb="FF23405B"/>
        <bgColor indexed="64"/>
      </patternFill>
    </fill>
    <fill>
      <patternFill patternType="solid">
        <fgColor rgb="FF2B1F0D"/>
        <bgColor indexed="64"/>
      </patternFill>
    </fill>
    <fill>
      <patternFill patternType="solid">
        <fgColor rgb="FF3D5C6E"/>
        <bgColor indexed="64"/>
      </patternFill>
    </fill>
    <fill>
      <patternFill patternType="solid">
        <fgColor rgb="FF40ADFF"/>
        <bgColor indexed="64"/>
      </patternFill>
    </fill>
    <fill>
      <patternFill patternType="solid">
        <fgColor rgb="FF43B0FB"/>
        <bgColor indexed="64"/>
      </patternFill>
    </fill>
    <fill>
      <patternFill patternType="solid">
        <fgColor rgb="FF489DCB"/>
        <bgColor indexed="64"/>
      </patternFill>
    </fill>
    <fill>
      <patternFill patternType="solid">
        <fgColor rgb="FFA5B34F"/>
        <bgColor indexed="64"/>
      </patternFill>
    </fill>
    <fill>
      <patternFill patternType="solid">
        <fgColor rgb="FFDEDA2F"/>
        <bgColor indexed="64"/>
      </patternFill>
    </fill>
    <fill>
      <patternFill patternType="solid">
        <fgColor rgb="FFDCD832"/>
        <bgColor indexed="64"/>
      </patternFill>
    </fill>
    <fill>
      <patternFill patternType="solid">
        <fgColor rgb="FFFAF839"/>
        <bgColor indexed="64"/>
      </patternFill>
    </fill>
    <fill>
      <patternFill patternType="solid">
        <fgColor rgb="FFF0EE36"/>
        <bgColor indexed="64"/>
      </patternFill>
    </fill>
    <fill>
      <patternFill patternType="solid">
        <fgColor rgb="FFDCD733"/>
        <bgColor indexed="64"/>
      </patternFill>
    </fill>
    <fill>
      <patternFill patternType="solid">
        <fgColor rgb="FFE5E33B"/>
        <bgColor indexed="64"/>
      </patternFill>
    </fill>
    <fill>
      <patternFill patternType="solid">
        <fgColor rgb="FF3E657C"/>
        <bgColor indexed="64"/>
      </patternFill>
    </fill>
    <fill>
      <patternFill patternType="solid">
        <fgColor rgb="FF3A8FD9"/>
        <bgColor indexed="64"/>
      </patternFill>
    </fill>
    <fill>
      <patternFill patternType="solid">
        <fgColor rgb="FF3485CB"/>
        <bgColor indexed="64"/>
      </patternFill>
    </fill>
    <fill>
      <patternFill patternType="solid">
        <fgColor rgb="FF42B0FC"/>
        <bgColor indexed="64"/>
      </patternFill>
    </fill>
    <fill>
      <patternFill patternType="solid">
        <fgColor rgb="FF40ACFA"/>
        <bgColor indexed="64"/>
      </patternFill>
    </fill>
    <fill>
      <patternFill patternType="solid">
        <fgColor rgb="FF42B2FD"/>
        <bgColor indexed="64"/>
      </patternFill>
    </fill>
    <fill>
      <patternFill patternType="solid">
        <fgColor rgb="FF43B0FA"/>
        <bgColor indexed="64"/>
      </patternFill>
    </fill>
    <fill>
      <patternFill patternType="solid">
        <fgColor rgb="FF43B4FE"/>
        <bgColor indexed="64"/>
      </patternFill>
    </fill>
    <fill>
      <patternFill patternType="solid">
        <fgColor rgb="FF465659"/>
        <bgColor indexed="64"/>
      </patternFill>
    </fill>
    <fill>
      <patternFill patternType="solid">
        <fgColor rgb="FF4687A5"/>
        <bgColor indexed="64"/>
      </patternFill>
    </fill>
    <fill>
      <patternFill patternType="solid">
        <fgColor rgb="FF40BFFF"/>
        <bgColor indexed="64"/>
      </patternFill>
    </fill>
    <fill>
      <patternFill patternType="solid">
        <fgColor rgb="FF3C74BE"/>
        <bgColor indexed="64"/>
      </patternFill>
    </fill>
    <fill>
      <patternFill patternType="solid">
        <fgColor rgb="FFAA3456"/>
        <bgColor indexed="64"/>
      </patternFill>
    </fill>
    <fill>
      <patternFill patternType="solid">
        <fgColor rgb="FFBE465D"/>
        <bgColor indexed="64"/>
      </patternFill>
    </fill>
    <fill>
      <patternFill patternType="solid">
        <fgColor rgb="FFB44A5C"/>
        <bgColor indexed="64"/>
      </patternFill>
    </fill>
    <fill>
      <patternFill patternType="solid">
        <fgColor rgb="FF826849"/>
        <bgColor indexed="64"/>
      </patternFill>
    </fill>
    <fill>
      <patternFill patternType="solid">
        <fgColor rgb="FF9B6B5B"/>
        <bgColor indexed="64"/>
      </patternFill>
    </fill>
    <fill>
      <patternFill patternType="solid">
        <fgColor rgb="FF948556"/>
        <bgColor indexed="64"/>
      </patternFill>
    </fill>
    <fill>
      <patternFill patternType="solid">
        <fgColor rgb="FF7DA54E"/>
        <bgColor indexed="64"/>
      </patternFill>
    </fill>
    <fill>
      <patternFill patternType="solid">
        <fgColor rgb="FF85B357"/>
        <bgColor indexed="64"/>
      </patternFill>
    </fill>
    <fill>
      <patternFill patternType="solid">
        <fgColor rgb="FF849452"/>
        <bgColor indexed="64"/>
      </patternFill>
    </fill>
    <fill>
      <patternFill patternType="solid">
        <fgColor rgb="FF87A351"/>
        <bgColor indexed="64"/>
      </patternFill>
    </fill>
    <fill>
      <patternFill patternType="solid">
        <fgColor rgb="FF8EC35E"/>
        <bgColor indexed="64"/>
      </patternFill>
    </fill>
    <fill>
      <patternFill patternType="solid">
        <fgColor rgb="FF82B05B"/>
        <bgColor indexed="64"/>
      </patternFill>
    </fill>
    <fill>
      <patternFill patternType="solid">
        <fgColor rgb="FF5D6425"/>
        <bgColor indexed="64"/>
      </patternFill>
    </fill>
    <fill>
      <patternFill patternType="solid">
        <fgColor rgb="FFFCF73A"/>
        <bgColor indexed="64"/>
      </patternFill>
    </fill>
    <fill>
      <patternFill patternType="solid">
        <fgColor rgb="FF8F9829"/>
        <bgColor indexed="64"/>
      </patternFill>
    </fill>
    <fill>
      <patternFill patternType="solid">
        <fgColor rgb="FF6B9B48"/>
        <bgColor indexed="64"/>
      </patternFill>
    </fill>
    <fill>
      <patternFill patternType="solid">
        <fgColor rgb="FF80B656"/>
        <bgColor indexed="64"/>
      </patternFill>
    </fill>
    <fill>
      <patternFill patternType="solid">
        <fgColor rgb="FF7CB057"/>
        <bgColor indexed="64"/>
      </patternFill>
    </fill>
    <fill>
      <patternFill patternType="solid">
        <fgColor rgb="FF7DB357"/>
        <bgColor indexed="64"/>
      </patternFill>
    </fill>
    <fill>
      <patternFill patternType="solid">
        <fgColor rgb="FF749450"/>
        <bgColor indexed="64"/>
      </patternFill>
    </fill>
    <fill>
      <patternFill patternType="solid">
        <fgColor rgb="FF769950"/>
        <bgColor indexed="64"/>
      </patternFill>
    </fill>
    <fill>
      <patternFill patternType="solid">
        <fgColor rgb="FF6FAA50"/>
        <bgColor indexed="64"/>
      </patternFill>
    </fill>
    <fill>
      <patternFill patternType="solid">
        <fgColor rgb="FF70AC55"/>
        <bgColor indexed="64"/>
      </patternFill>
    </fill>
    <fill>
      <patternFill patternType="solid">
        <fgColor rgb="FF6D9E4B"/>
        <bgColor indexed="64"/>
      </patternFill>
    </fill>
    <fill>
      <patternFill patternType="solid">
        <fgColor rgb="FF6B7F45"/>
        <bgColor indexed="64"/>
      </patternFill>
    </fill>
    <fill>
      <patternFill patternType="solid">
        <fgColor rgb="FF875442"/>
        <bgColor indexed="64"/>
      </patternFill>
    </fill>
    <fill>
      <patternFill patternType="solid">
        <fgColor rgb="FFBD6465"/>
        <bgColor indexed="64"/>
      </patternFill>
    </fill>
    <fill>
      <patternFill patternType="solid">
        <fgColor rgb="FF9F5846"/>
        <bgColor indexed="64"/>
      </patternFill>
    </fill>
    <fill>
      <patternFill patternType="solid">
        <fgColor rgb="FFFB9B4B"/>
        <bgColor indexed="64"/>
      </patternFill>
    </fill>
    <fill>
      <patternFill patternType="solid">
        <fgColor rgb="FFFC9854"/>
        <bgColor indexed="64"/>
      </patternFill>
    </fill>
    <fill>
      <patternFill patternType="solid">
        <fgColor rgb="FFFB9D50"/>
        <bgColor indexed="64"/>
      </patternFill>
    </fill>
    <fill>
      <patternFill patternType="solid">
        <fgColor rgb="FFFC9552"/>
        <bgColor indexed="64"/>
      </patternFill>
    </fill>
    <fill>
      <patternFill patternType="solid">
        <fgColor rgb="FFFC944D"/>
        <bgColor indexed="64"/>
      </patternFill>
    </fill>
    <fill>
      <patternFill patternType="solid">
        <fgColor rgb="FFFC964B"/>
        <bgColor indexed="64"/>
      </patternFill>
    </fill>
    <fill>
      <patternFill patternType="solid">
        <fgColor rgb="FFFC934C"/>
        <bgColor indexed="64"/>
      </patternFill>
    </fill>
    <fill>
      <patternFill patternType="solid">
        <fgColor rgb="FFF3F6FB"/>
        <bgColor indexed="64"/>
      </patternFill>
    </fill>
    <fill>
      <patternFill patternType="solid">
        <fgColor rgb="FFAD8061"/>
        <bgColor indexed="64"/>
      </patternFill>
    </fill>
    <fill>
      <patternFill patternType="solid">
        <fgColor rgb="FFAB6B4B"/>
        <bgColor indexed="64"/>
      </patternFill>
    </fill>
    <fill>
      <patternFill patternType="solid">
        <fgColor rgb="FFDF864C"/>
        <bgColor indexed="64"/>
      </patternFill>
    </fill>
    <fill>
      <patternFill patternType="solid">
        <fgColor rgb="FFA1603B"/>
        <bgColor indexed="64"/>
      </patternFill>
    </fill>
    <fill>
      <patternFill patternType="solid">
        <fgColor rgb="FFC57441"/>
        <bgColor indexed="64"/>
      </patternFill>
    </fill>
    <fill>
      <patternFill patternType="solid">
        <fgColor rgb="FF3A4871"/>
        <bgColor indexed="64"/>
      </patternFill>
    </fill>
    <fill>
      <patternFill patternType="solid">
        <fgColor rgb="FF2282E4"/>
        <bgColor indexed="64"/>
      </patternFill>
    </fill>
    <fill>
      <patternFill patternType="solid">
        <fgColor rgb="FF329EF7"/>
        <bgColor indexed="64"/>
      </patternFill>
    </fill>
    <fill>
      <patternFill patternType="solid">
        <fgColor rgb="FF3BA9FB"/>
        <bgColor indexed="64"/>
      </patternFill>
    </fill>
    <fill>
      <patternFill patternType="solid">
        <fgColor rgb="FF34A3FA"/>
        <bgColor indexed="64"/>
      </patternFill>
    </fill>
    <fill>
      <patternFill patternType="solid">
        <fgColor rgb="FF36A2FB"/>
        <bgColor indexed="64"/>
      </patternFill>
    </fill>
    <fill>
      <patternFill patternType="solid">
        <fgColor rgb="FF36A3FA"/>
        <bgColor indexed="64"/>
      </patternFill>
    </fill>
    <fill>
      <patternFill patternType="solid">
        <fgColor rgb="FF3AA2F7"/>
        <bgColor indexed="64"/>
      </patternFill>
    </fill>
    <fill>
      <patternFill patternType="solid">
        <fgColor rgb="FF304551"/>
        <bgColor indexed="64"/>
      </patternFill>
    </fill>
    <fill>
      <patternFill patternType="solid">
        <fgColor rgb="FF594A16"/>
        <bgColor indexed="64"/>
      </patternFill>
    </fill>
    <fill>
      <patternFill patternType="solid">
        <fgColor rgb="FF355A7B"/>
        <bgColor indexed="64"/>
      </patternFill>
    </fill>
    <fill>
      <patternFill patternType="solid">
        <fgColor rgb="FF41ACF9"/>
        <bgColor indexed="64"/>
      </patternFill>
    </fill>
    <fill>
      <patternFill patternType="solid">
        <fgColor rgb="FF3794DF"/>
        <bgColor indexed="64"/>
      </patternFill>
    </fill>
    <fill>
      <patternFill patternType="solid">
        <fgColor rgb="FF2C5788"/>
        <bgColor indexed="64"/>
      </patternFill>
    </fill>
    <fill>
      <patternFill patternType="solid">
        <fgColor rgb="FF81742A"/>
        <bgColor indexed="64"/>
      </patternFill>
    </fill>
    <fill>
      <patternFill patternType="solid">
        <fgColor rgb="FFE4DB32"/>
        <bgColor indexed="64"/>
      </patternFill>
    </fill>
    <fill>
      <patternFill patternType="solid">
        <fgColor rgb="FFEEEC36"/>
        <bgColor indexed="64"/>
      </patternFill>
    </fill>
    <fill>
      <patternFill patternType="solid">
        <fgColor rgb="FFD5D13F"/>
        <bgColor indexed="64"/>
      </patternFill>
    </fill>
    <fill>
      <patternFill patternType="solid">
        <fgColor rgb="FFBFB939"/>
        <bgColor indexed="64"/>
      </patternFill>
    </fill>
    <fill>
      <patternFill patternType="solid">
        <fgColor rgb="FFC9D34D"/>
        <bgColor indexed="64"/>
      </patternFill>
    </fill>
    <fill>
      <patternFill patternType="solid">
        <fgColor rgb="FF42A0E1"/>
        <bgColor indexed="64"/>
      </patternFill>
    </fill>
    <fill>
      <patternFill patternType="solid">
        <fgColor rgb="FF3EAAF8"/>
        <bgColor indexed="64"/>
      </patternFill>
    </fill>
    <fill>
      <patternFill patternType="solid">
        <fgColor rgb="FF41ADF7"/>
        <bgColor indexed="64"/>
      </patternFill>
    </fill>
    <fill>
      <patternFill patternType="solid">
        <fgColor rgb="FF43B0F8"/>
        <bgColor indexed="64"/>
      </patternFill>
    </fill>
    <fill>
      <patternFill patternType="solid">
        <fgColor rgb="FF47BCFF"/>
        <bgColor indexed="64"/>
      </patternFill>
    </fill>
    <fill>
      <patternFill patternType="solid">
        <fgColor rgb="FF3CA8F3"/>
        <bgColor indexed="64"/>
      </patternFill>
    </fill>
    <fill>
      <patternFill patternType="solid">
        <fgColor rgb="FF85934D"/>
        <bgColor indexed="64"/>
      </patternFill>
    </fill>
    <fill>
      <patternFill patternType="solid">
        <fgColor rgb="FF4B8B9F"/>
        <bgColor indexed="64"/>
      </patternFill>
    </fill>
    <fill>
      <patternFill patternType="solid">
        <fgColor rgb="FF2D9CEF"/>
        <bgColor indexed="64"/>
      </patternFill>
    </fill>
    <fill>
      <patternFill patternType="solid">
        <fgColor rgb="FF4764A1"/>
        <bgColor indexed="64"/>
      </patternFill>
    </fill>
    <fill>
      <patternFill patternType="solid">
        <fgColor rgb="FF976B59"/>
        <bgColor indexed="64"/>
      </patternFill>
    </fill>
    <fill>
      <patternFill patternType="solid">
        <fgColor rgb="FF7C9851"/>
        <bgColor indexed="64"/>
      </patternFill>
    </fill>
    <fill>
      <patternFill patternType="solid">
        <fgColor rgb="FF6F8F48"/>
        <bgColor indexed="64"/>
      </patternFill>
    </fill>
    <fill>
      <patternFill patternType="solid">
        <fgColor rgb="FF7DB257"/>
        <bgColor indexed="64"/>
      </patternFill>
    </fill>
    <fill>
      <patternFill patternType="solid">
        <fgColor rgb="FF7BB653"/>
        <bgColor indexed="64"/>
      </patternFill>
    </fill>
    <fill>
      <patternFill patternType="solid">
        <fgColor rgb="FF7FB655"/>
        <bgColor indexed="64"/>
      </patternFill>
    </fill>
    <fill>
      <patternFill patternType="solid">
        <fgColor rgb="FF85B454"/>
        <bgColor indexed="64"/>
      </patternFill>
    </fill>
    <fill>
      <patternFill patternType="solid">
        <fgColor rgb="FF83B352"/>
        <bgColor indexed="64"/>
      </patternFill>
    </fill>
    <fill>
      <patternFill patternType="solid">
        <fgColor rgb="FF83B654"/>
        <bgColor indexed="64"/>
      </patternFill>
    </fill>
    <fill>
      <patternFill patternType="solid">
        <fgColor rgb="FF86B751"/>
        <bgColor indexed="64"/>
      </patternFill>
    </fill>
    <fill>
      <patternFill patternType="solid">
        <fgColor rgb="FF95C359"/>
        <bgColor indexed="64"/>
      </patternFill>
    </fill>
    <fill>
      <patternFill patternType="solid">
        <fgColor rgb="FF789E4E"/>
        <bgColor indexed="64"/>
      </patternFill>
    </fill>
    <fill>
      <patternFill patternType="solid">
        <fgColor rgb="FF5F5C21"/>
        <bgColor indexed="64"/>
      </patternFill>
    </fill>
    <fill>
      <patternFill patternType="solid">
        <fgColor rgb="FFD9CF35"/>
        <bgColor indexed="64"/>
      </patternFill>
    </fill>
    <fill>
      <patternFill patternType="solid">
        <fgColor rgb="FF75832C"/>
        <bgColor indexed="64"/>
      </patternFill>
    </fill>
    <fill>
      <patternFill patternType="solid">
        <fgColor rgb="FF78A952"/>
        <bgColor indexed="64"/>
      </patternFill>
    </fill>
    <fill>
      <patternFill patternType="solid">
        <fgColor rgb="FF7FAE54"/>
        <bgColor indexed="64"/>
      </patternFill>
    </fill>
    <fill>
      <patternFill patternType="solid">
        <fgColor rgb="FF7FAD58"/>
        <bgColor indexed="64"/>
      </patternFill>
    </fill>
    <fill>
      <patternFill patternType="solid">
        <fgColor rgb="FF83B358"/>
        <bgColor indexed="64"/>
      </patternFill>
    </fill>
    <fill>
      <patternFill patternType="solid">
        <fgColor rgb="FF7AAE59"/>
        <bgColor indexed="64"/>
      </patternFill>
    </fill>
    <fill>
      <patternFill patternType="solid">
        <fgColor rgb="FF78A753"/>
        <bgColor indexed="64"/>
      </patternFill>
    </fill>
    <fill>
      <patternFill patternType="solid">
        <fgColor rgb="FF72A44D"/>
        <bgColor indexed="64"/>
      </patternFill>
    </fill>
    <fill>
      <patternFill patternType="solid">
        <fgColor rgb="FF73A94E"/>
        <bgColor indexed="64"/>
      </patternFill>
    </fill>
    <fill>
      <patternFill patternType="solid">
        <fgColor rgb="FF6FA84B"/>
        <bgColor indexed="64"/>
      </patternFill>
    </fill>
    <fill>
      <patternFill patternType="solid">
        <fgColor rgb="FF6EA84A"/>
        <bgColor indexed="64"/>
      </patternFill>
    </fill>
    <fill>
      <patternFill patternType="solid">
        <fgColor rgb="FF6DAB4C"/>
        <bgColor indexed="64"/>
      </patternFill>
    </fill>
    <fill>
      <patternFill patternType="solid">
        <fgColor rgb="FF538042"/>
        <bgColor indexed="64"/>
      </patternFill>
    </fill>
    <fill>
      <patternFill patternType="solid">
        <fgColor rgb="FF866932"/>
        <bgColor indexed="64"/>
      </patternFill>
    </fill>
    <fill>
      <patternFill patternType="solid">
        <fgColor rgb="FFFE9B4D"/>
        <bgColor indexed="64"/>
      </patternFill>
    </fill>
    <fill>
      <patternFill patternType="solid">
        <fgColor rgb="FFFF9E52"/>
        <bgColor indexed="64"/>
      </patternFill>
    </fill>
    <fill>
      <patternFill patternType="solid">
        <fgColor rgb="FFFA9851"/>
        <bgColor indexed="64"/>
      </patternFill>
    </fill>
    <fill>
      <patternFill patternType="solid">
        <fgColor rgb="FFFD9E4F"/>
        <bgColor indexed="64"/>
      </patternFill>
    </fill>
    <fill>
      <patternFill patternType="solid">
        <fgColor rgb="FFFC944C"/>
        <bgColor indexed="64"/>
      </patternFill>
    </fill>
    <fill>
      <patternFill patternType="solid">
        <fgColor rgb="FFA89085"/>
        <bgColor indexed="64"/>
      </patternFill>
    </fill>
    <fill>
      <patternFill patternType="solid">
        <fgColor rgb="FFC3815A"/>
        <bgColor indexed="64"/>
      </patternFill>
    </fill>
    <fill>
      <patternFill patternType="solid">
        <fgColor rgb="FFE48045"/>
        <bgColor indexed="64"/>
      </patternFill>
    </fill>
    <fill>
      <patternFill patternType="solid">
        <fgColor rgb="FFF5904E"/>
        <bgColor indexed="64"/>
      </patternFill>
    </fill>
    <fill>
      <patternFill patternType="solid">
        <fgColor rgb="FFFA944E"/>
        <bgColor indexed="64"/>
      </patternFill>
    </fill>
    <fill>
      <patternFill patternType="solid">
        <fgColor rgb="FFAC6338"/>
        <bgColor indexed="64"/>
      </patternFill>
    </fill>
    <fill>
      <patternFill patternType="solid">
        <fgColor rgb="FFA5775A"/>
        <bgColor indexed="64"/>
      </patternFill>
    </fill>
    <fill>
      <patternFill patternType="solid">
        <fgColor rgb="FF988C8E"/>
        <bgColor indexed="64"/>
      </patternFill>
    </fill>
    <fill>
      <patternFill patternType="solid">
        <fgColor rgb="FF4D90CD"/>
        <bgColor indexed="64"/>
      </patternFill>
    </fill>
    <fill>
      <patternFill patternType="solid">
        <fgColor rgb="FF39A8FE"/>
        <bgColor indexed="64"/>
      </patternFill>
    </fill>
    <fill>
      <patternFill patternType="solid">
        <fgColor rgb="FF369CEB"/>
        <bgColor indexed="64"/>
      </patternFill>
    </fill>
    <fill>
      <patternFill patternType="solid">
        <fgColor rgb="FF677348"/>
        <bgColor indexed="64"/>
      </patternFill>
    </fill>
    <fill>
      <patternFill patternType="solid">
        <fgColor rgb="FFD0BF26"/>
        <bgColor indexed="64"/>
      </patternFill>
    </fill>
    <fill>
      <patternFill patternType="solid">
        <fgColor rgb="FF5B8A89"/>
        <bgColor indexed="64"/>
      </patternFill>
    </fill>
    <fill>
      <patternFill patternType="solid">
        <fgColor rgb="FF38AAFF"/>
        <bgColor indexed="64"/>
      </patternFill>
    </fill>
    <fill>
      <patternFill patternType="solid">
        <fgColor rgb="FF42AFF8"/>
        <bgColor indexed="64"/>
      </patternFill>
    </fill>
    <fill>
      <patternFill patternType="solid">
        <fgColor rgb="FF40ABFA"/>
        <bgColor indexed="64"/>
      </patternFill>
    </fill>
    <fill>
      <patternFill patternType="solid">
        <fgColor rgb="FF3E99E0"/>
        <bgColor indexed="64"/>
      </patternFill>
    </fill>
    <fill>
      <patternFill patternType="solid">
        <fgColor rgb="FF407FAB"/>
        <bgColor indexed="64"/>
      </patternFill>
    </fill>
    <fill>
      <patternFill patternType="solid">
        <fgColor rgb="FF497A8C"/>
        <bgColor indexed="64"/>
      </patternFill>
    </fill>
    <fill>
      <patternFill patternType="solid">
        <fgColor rgb="FF576968"/>
        <bgColor indexed="64"/>
      </patternFill>
    </fill>
    <fill>
      <patternFill patternType="solid">
        <fgColor rgb="FF898B34"/>
        <bgColor indexed="64"/>
      </patternFill>
    </fill>
    <fill>
      <patternFill patternType="solid">
        <fgColor rgb="FFDAD831"/>
        <bgColor indexed="64"/>
      </patternFill>
    </fill>
    <fill>
      <patternFill patternType="solid">
        <fgColor rgb="FFB4A458"/>
        <bgColor indexed="64"/>
      </patternFill>
    </fill>
    <fill>
      <patternFill patternType="solid">
        <fgColor rgb="FF94784F"/>
        <bgColor indexed="64"/>
      </patternFill>
    </fill>
    <fill>
      <patternFill patternType="solid">
        <fgColor rgb="FF7D8D4E"/>
        <bgColor indexed="64"/>
      </patternFill>
    </fill>
    <fill>
      <patternFill patternType="solid">
        <fgColor rgb="FF39A1F1"/>
        <bgColor indexed="64"/>
      </patternFill>
    </fill>
    <fill>
      <patternFill patternType="solid">
        <fgColor rgb="FF41AAF9"/>
        <bgColor indexed="64"/>
      </patternFill>
    </fill>
    <fill>
      <patternFill patternType="solid">
        <fgColor rgb="FF3FB0FF"/>
        <bgColor indexed="64"/>
      </patternFill>
    </fill>
    <fill>
      <patternFill patternType="solid">
        <fgColor rgb="FF3EAAF6"/>
        <bgColor indexed="64"/>
      </patternFill>
    </fill>
    <fill>
      <patternFill patternType="solid">
        <fgColor rgb="FF46B7FF"/>
        <bgColor indexed="64"/>
      </patternFill>
    </fill>
    <fill>
      <patternFill patternType="solid">
        <fgColor rgb="FF3CACFF"/>
        <bgColor indexed="64"/>
      </patternFill>
    </fill>
    <fill>
      <patternFill patternType="solid">
        <fgColor rgb="FF3CA0EA"/>
        <bgColor indexed="64"/>
      </patternFill>
    </fill>
    <fill>
      <patternFill patternType="solid">
        <fgColor rgb="FF3881AB"/>
        <bgColor indexed="64"/>
      </patternFill>
    </fill>
    <fill>
      <patternFill patternType="solid">
        <fgColor rgb="FF9A9E41"/>
        <bgColor indexed="64"/>
      </patternFill>
    </fill>
    <fill>
      <patternFill patternType="solid">
        <fgColor rgb="FF607546"/>
        <bgColor indexed="64"/>
      </patternFill>
    </fill>
    <fill>
      <patternFill patternType="solid">
        <fgColor rgb="FF5C886F"/>
        <bgColor indexed="64"/>
      </patternFill>
    </fill>
    <fill>
      <patternFill patternType="solid">
        <fgColor rgb="FF71A26E"/>
        <bgColor indexed="64"/>
      </patternFill>
    </fill>
    <fill>
      <patternFill patternType="solid">
        <fgColor rgb="FF77B255"/>
        <bgColor indexed="64"/>
      </patternFill>
    </fill>
    <fill>
      <patternFill patternType="solid">
        <fgColor rgb="FF80B552"/>
        <bgColor indexed="64"/>
      </patternFill>
    </fill>
    <fill>
      <patternFill patternType="solid">
        <fgColor rgb="FF87BB54"/>
        <bgColor indexed="64"/>
      </patternFill>
    </fill>
    <fill>
      <patternFill patternType="solid">
        <fgColor rgb="FF85B251"/>
        <bgColor indexed="64"/>
      </patternFill>
    </fill>
    <fill>
      <patternFill patternType="solid">
        <fgColor rgb="FF82AF51"/>
        <bgColor indexed="64"/>
      </patternFill>
    </fill>
    <fill>
      <patternFill patternType="solid">
        <fgColor rgb="FF7BAA50"/>
        <bgColor indexed="64"/>
      </patternFill>
    </fill>
    <fill>
      <patternFill patternType="solid">
        <fgColor rgb="FF7DAC52"/>
        <bgColor indexed="64"/>
      </patternFill>
    </fill>
    <fill>
      <patternFill patternType="solid">
        <fgColor rgb="FF7DAB52"/>
        <bgColor indexed="64"/>
      </patternFill>
    </fill>
    <fill>
      <patternFill patternType="solid">
        <fgColor rgb="FF80B150"/>
        <bgColor indexed="64"/>
      </patternFill>
    </fill>
    <fill>
      <patternFill patternType="solid">
        <fgColor rgb="FF88B651"/>
        <bgColor indexed="64"/>
      </patternFill>
    </fill>
    <fill>
      <patternFill patternType="solid">
        <fgColor rgb="FF87B550"/>
        <bgColor indexed="64"/>
      </patternFill>
    </fill>
    <fill>
      <patternFill patternType="solid">
        <fgColor rgb="FF58753C"/>
        <bgColor indexed="64"/>
      </patternFill>
    </fill>
    <fill>
      <patternFill patternType="solid">
        <fgColor rgb="FF494119"/>
        <bgColor indexed="64"/>
      </patternFill>
    </fill>
    <fill>
      <patternFill patternType="solid">
        <fgColor rgb="FF867B24"/>
        <bgColor indexed="64"/>
      </patternFill>
    </fill>
    <fill>
      <patternFill patternType="solid">
        <fgColor rgb="FF6D903B"/>
        <bgColor indexed="64"/>
      </patternFill>
    </fill>
    <fill>
      <patternFill patternType="solid">
        <fgColor rgb="FF71A952"/>
        <bgColor indexed="64"/>
      </patternFill>
    </fill>
    <fill>
      <patternFill patternType="solid">
        <fgColor rgb="FF73AA50"/>
        <bgColor indexed="64"/>
      </patternFill>
    </fill>
    <fill>
      <patternFill patternType="solid">
        <fgColor rgb="FF83BA59"/>
        <bgColor indexed="64"/>
      </patternFill>
    </fill>
    <fill>
      <patternFill patternType="solid">
        <fgColor rgb="FF7FB257"/>
        <bgColor indexed="64"/>
      </patternFill>
    </fill>
    <fill>
      <patternFill patternType="solid">
        <fgColor rgb="FF7DAD59"/>
        <bgColor indexed="64"/>
      </patternFill>
    </fill>
    <fill>
      <patternFill patternType="solid">
        <fgColor rgb="FF82B059"/>
        <bgColor indexed="64"/>
      </patternFill>
    </fill>
    <fill>
      <patternFill patternType="solid">
        <fgColor rgb="FF78A950"/>
        <bgColor indexed="64"/>
      </patternFill>
    </fill>
    <fill>
      <patternFill patternType="solid">
        <fgColor rgb="FF71A54A"/>
        <bgColor indexed="64"/>
      </patternFill>
    </fill>
    <fill>
      <patternFill patternType="solid">
        <fgColor rgb="FF6FA14E"/>
        <bgColor indexed="64"/>
      </patternFill>
    </fill>
    <fill>
      <patternFill patternType="solid">
        <fgColor rgb="FF78A94D"/>
        <bgColor indexed="64"/>
      </patternFill>
    </fill>
    <fill>
      <patternFill patternType="solid">
        <fgColor rgb="FF6C9D49"/>
        <bgColor indexed="64"/>
      </patternFill>
    </fill>
    <fill>
      <patternFill patternType="solid">
        <fgColor rgb="FF718141"/>
        <bgColor indexed="64"/>
      </patternFill>
    </fill>
    <fill>
      <patternFill patternType="solid">
        <fgColor rgb="FFBD8440"/>
        <bgColor indexed="64"/>
      </patternFill>
    </fill>
    <fill>
      <patternFill patternType="solid">
        <fgColor rgb="FFE78E4A"/>
        <bgColor indexed="64"/>
      </patternFill>
    </fill>
    <fill>
      <patternFill patternType="solid">
        <fgColor rgb="FFDD8443"/>
        <bgColor indexed="64"/>
      </patternFill>
    </fill>
    <fill>
      <patternFill patternType="solid">
        <fgColor rgb="FFF08E46"/>
        <bgColor indexed="64"/>
      </patternFill>
    </fill>
    <fill>
      <patternFill patternType="solid">
        <fgColor rgb="FFF7954B"/>
        <bgColor indexed="64"/>
      </patternFill>
    </fill>
    <fill>
      <patternFill patternType="solid">
        <fgColor rgb="FFFA964C"/>
        <bgColor indexed="64"/>
      </patternFill>
    </fill>
    <fill>
      <patternFill patternType="solid">
        <fgColor rgb="FFFD984D"/>
        <bgColor indexed="64"/>
      </patternFill>
    </fill>
    <fill>
      <patternFill patternType="solid">
        <fgColor rgb="FFC78C64"/>
        <bgColor indexed="64"/>
      </patternFill>
    </fill>
    <fill>
      <patternFill patternType="solid">
        <fgColor rgb="FFE07B40"/>
        <bgColor indexed="64"/>
      </patternFill>
    </fill>
    <fill>
      <patternFill patternType="solid">
        <fgColor rgb="FFFF9855"/>
        <bgColor indexed="64"/>
      </patternFill>
    </fill>
    <fill>
      <patternFill patternType="solid">
        <fgColor rgb="FFF38D4C"/>
        <bgColor indexed="64"/>
      </patternFill>
    </fill>
    <fill>
      <patternFill patternType="solid">
        <fgColor rgb="FFEF9342"/>
        <bgColor indexed="64"/>
      </patternFill>
    </fill>
    <fill>
      <patternFill patternType="solid">
        <fgColor rgb="FFDC8743"/>
        <bgColor indexed="64"/>
      </patternFill>
    </fill>
    <fill>
      <patternFill patternType="solid">
        <fgColor rgb="FFD68449"/>
        <bgColor indexed="64"/>
      </patternFill>
    </fill>
    <fill>
      <patternFill patternType="solid">
        <fgColor rgb="FF517BAB"/>
        <bgColor indexed="64"/>
      </patternFill>
    </fill>
    <fill>
      <patternFill patternType="solid">
        <fgColor rgb="FF32A5FF"/>
        <bgColor indexed="64"/>
      </patternFill>
    </fill>
    <fill>
      <patternFill patternType="solid">
        <fgColor rgb="FF35A3F9"/>
        <bgColor indexed="64"/>
      </patternFill>
    </fill>
    <fill>
      <patternFill patternType="solid">
        <fgColor rgb="FF3AAAFF"/>
        <bgColor indexed="64"/>
      </patternFill>
    </fill>
    <fill>
      <patternFill patternType="solid">
        <fgColor rgb="FF318ED9"/>
        <bgColor indexed="64"/>
      </patternFill>
    </fill>
    <fill>
      <patternFill patternType="solid">
        <fgColor rgb="FFB3B63B"/>
        <bgColor indexed="64"/>
      </patternFill>
    </fill>
    <fill>
      <patternFill patternType="solid">
        <fgColor rgb="FFFFFC30"/>
        <bgColor indexed="64"/>
      </patternFill>
    </fill>
    <fill>
      <patternFill patternType="solid">
        <fgColor rgb="FF649E9B"/>
        <bgColor indexed="64"/>
      </patternFill>
    </fill>
    <fill>
      <patternFill patternType="solid">
        <fgColor rgb="FF38A9FF"/>
        <bgColor indexed="64"/>
      </patternFill>
    </fill>
    <fill>
      <patternFill patternType="solid">
        <fgColor rgb="FF3FACFC"/>
        <bgColor indexed="64"/>
      </patternFill>
    </fill>
    <fill>
      <patternFill patternType="solid">
        <fgColor rgb="FF42B2FF"/>
        <bgColor indexed="64"/>
      </patternFill>
    </fill>
    <fill>
      <patternFill patternType="solid">
        <fgColor rgb="FF3EB5FF"/>
        <bgColor indexed="64"/>
      </patternFill>
    </fill>
    <fill>
      <patternFill patternType="solid">
        <fgColor rgb="FF377CBC"/>
        <bgColor indexed="64"/>
      </patternFill>
    </fill>
    <fill>
      <patternFill patternType="solid">
        <fgColor rgb="FF6E64A3"/>
        <bgColor indexed="64"/>
      </patternFill>
    </fill>
    <fill>
      <patternFill patternType="solid">
        <fgColor rgb="FF57476F"/>
        <bgColor indexed="64"/>
      </patternFill>
    </fill>
    <fill>
      <patternFill patternType="solid">
        <fgColor rgb="FF82724D"/>
        <bgColor indexed="64"/>
      </patternFill>
    </fill>
    <fill>
      <patternFill patternType="solid">
        <fgColor rgb="FF766D28"/>
        <bgColor indexed="64"/>
      </patternFill>
    </fill>
    <fill>
      <patternFill patternType="solid">
        <fgColor rgb="FF815A77"/>
        <bgColor indexed="64"/>
      </patternFill>
    </fill>
    <fill>
      <patternFill patternType="solid">
        <fgColor rgb="FFA0689A"/>
        <bgColor indexed="64"/>
      </patternFill>
    </fill>
    <fill>
      <patternFill patternType="solid">
        <fgColor rgb="FF83587D"/>
        <bgColor indexed="64"/>
      </patternFill>
    </fill>
    <fill>
      <patternFill patternType="solid">
        <fgColor rgb="FF4272B0"/>
        <bgColor indexed="64"/>
      </patternFill>
    </fill>
    <fill>
      <patternFill patternType="solid">
        <fgColor rgb="FF3FA5EC"/>
        <bgColor indexed="64"/>
      </patternFill>
    </fill>
    <fill>
      <patternFill patternType="solid">
        <fgColor rgb="FF3EB2FE"/>
        <bgColor indexed="64"/>
      </patternFill>
    </fill>
    <fill>
      <patternFill patternType="solid">
        <fgColor rgb="FF4A8CD4"/>
        <bgColor indexed="64"/>
      </patternFill>
    </fill>
    <fill>
      <patternFill patternType="solid">
        <fgColor rgb="FF4E8ACC"/>
        <bgColor indexed="64"/>
      </patternFill>
    </fill>
    <fill>
      <patternFill patternType="solid">
        <fgColor rgb="FF3696E0"/>
        <bgColor indexed="64"/>
      </patternFill>
    </fill>
    <fill>
      <patternFill patternType="solid">
        <fgColor rgb="FF3D88CD"/>
        <bgColor indexed="64"/>
      </patternFill>
    </fill>
    <fill>
      <patternFill patternType="solid">
        <fgColor rgb="FF4188D4"/>
        <bgColor indexed="64"/>
      </patternFill>
    </fill>
    <fill>
      <patternFill patternType="solid">
        <fgColor rgb="FF399DEF"/>
        <bgColor indexed="64"/>
      </patternFill>
    </fill>
    <fill>
      <patternFill patternType="solid">
        <fgColor rgb="FF377FB1"/>
        <bgColor indexed="64"/>
      </patternFill>
    </fill>
    <fill>
      <patternFill patternType="solid">
        <fgColor rgb="FF4E8284"/>
        <bgColor indexed="64"/>
      </patternFill>
    </fill>
    <fill>
      <patternFill patternType="solid">
        <fgColor rgb="FF679361"/>
        <bgColor indexed="64"/>
      </patternFill>
    </fill>
    <fill>
      <patternFill patternType="solid">
        <fgColor rgb="FF779F4F"/>
        <bgColor indexed="64"/>
      </patternFill>
    </fill>
    <fill>
      <patternFill patternType="solid">
        <fgColor rgb="FF5A5E27"/>
        <bgColor indexed="64"/>
      </patternFill>
    </fill>
    <fill>
      <patternFill patternType="solid">
        <fgColor rgb="FF718436"/>
        <bgColor indexed="64"/>
      </patternFill>
    </fill>
    <fill>
      <patternFill patternType="solid">
        <fgColor rgb="FF7FB24C"/>
        <bgColor indexed="64"/>
      </patternFill>
    </fill>
    <fill>
      <patternFill patternType="solid">
        <fgColor rgb="FF7CAD46"/>
        <bgColor indexed="64"/>
      </patternFill>
    </fill>
    <fill>
      <patternFill patternType="solid">
        <fgColor rgb="FF7EAD4B"/>
        <bgColor indexed="64"/>
      </patternFill>
    </fill>
    <fill>
      <patternFill patternType="solid">
        <fgColor rgb="FF689640"/>
        <bgColor indexed="64"/>
      </patternFill>
    </fill>
    <fill>
      <patternFill patternType="solid">
        <fgColor rgb="FF60763D"/>
        <bgColor indexed="64"/>
      </patternFill>
    </fill>
    <fill>
      <patternFill patternType="solid">
        <fgColor rgb="FF6D8549"/>
        <bgColor indexed="64"/>
      </patternFill>
    </fill>
    <fill>
      <patternFill patternType="solid">
        <fgColor rgb="FF86B64F"/>
        <bgColor indexed="64"/>
      </patternFill>
    </fill>
    <fill>
      <patternFill patternType="solid">
        <fgColor rgb="FF7BAA4C"/>
        <bgColor indexed="64"/>
      </patternFill>
    </fill>
    <fill>
      <patternFill patternType="solid">
        <fgColor rgb="FF7AA950"/>
        <bgColor indexed="64"/>
      </patternFill>
    </fill>
    <fill>
      <patternFill patternType="solid">
        <fgColor rgb="FF81B051"/>
        <bgColor indexed="64"/>
      </patternFill>
    </fill>
    <fill>
      <patternFill patternType="solid">
        <fgColor rgb="FF7E9F4A"/>
        <bgColor indexed="64"/>
      </patternFill>
    </fill>
    <fill>
      <patternFill patternType="solid">
        <fgColor rgb="FF83A351"/>
        <bgColor indexed="64"/>
      </patternFill>
    </fill>
    <fill>
      <patternFill patternType="solid">
        <fgColor rgb="FF746844"/>
        <bgColor indexed="64"/>
      </patternFill>
    </fill>
    <fill>
      <patternFill patternType="solid">
        <fgColor rgb="FF697534"/>
        <bgColor indexed="64"/>
      </patternFill>
    </fill>
    <fill>
      <patternFill patternType="solid">
        <fgColor rgb="FF383115"/>
        <bgColor indexed="64"/>
      </patternFill>
    </fill>
    <fill>
      <patternFill patternType="solid">
        <fgColor rgb="FF4F4F1A"/>
        <bgColor indexed="64"/>
      </patternFill>
    </fill>
    <fill>
      <patternFill patternType="solid">
        <fgColor rgb="FF6A623C"/>
        <bgColor indexed="64"/>
      </patternFill>
    </fill>
    <fill>
      <patternFill patternType="solid">
        <fgColor rgb="FF513C31"/>
        <bgColor indexed="64"/>
      </patternFill>
    </fill>
    <fill>
      <patternFill patternType="solid">
        <fgColor rgb="FF787543"/>
        <bgColor indexed="64"/>
      </patternFill>
    </fill>
    <fill>
      <patternFill patternType="solid">
        <fgColor rgb="FF677640"/>
        <bgColor indexed="64"/>
      </patternFill>
    </fill>
    <fill>
      <patternFill patternType="solid">
        <fgColor rgb="FF61893D"/>
        <bgColor indexed="64"/>
      </patternFill>
    </fill>
    <fill>
      <patternFill patternType="solid">
        <fgColor rgb="FF7AAB55"/>
        <bgColor indexed="64"/>
      </patternFill>
    </fill>
    <fill>
      <patternFill patternType="solid">
        <fgColor rgb="FF7CAF57"/>
        <bgColor indexed="64"/>
      </patternFill>
    </fill>
    <fill>
      <patternFill patternType="solid">
        <fgColor rgb="FF78AB50"/>
        <bgColor indexed="64"/>
      </patternFill>
    </fill>
    <fill>
      <patternFill patternType="solid">
        <fgColor rgb="FF70A44D"/>
        <bgColor indexed="64"/>
      </patternFill>
    </fill>
    <fill>
      <patternFill patternType="solid">
        <fgColor rgb="FF6FA24C"/>
        <bgColor indexed="64"/>
      </patternFill>
    </fill>
    <fill>
      <patternFill patternType="solid">
        <fgColor rgb="FF73A549"/>
        <bgColor indexed="64"/>
      </patternFill>
    </fill>
    <fill>
      <patternFill patternType="solid">
        <fgColor rgb="FF799D49"/>
        <bgColor indexed="64"/>
      </patternFill>
    </fill>
    <fill>
      <patternFill patternType="solid">
        <fgColor rgb="FF8B9042"/>
        <bgColor indexed="64"/>
      </patternFill>
    </fill>
    <fill>
      <patternFill patternType="solid">
        <fgColor rgb="FF9D7336"/>
        <bgColor indexed="64"/>
      </patternFill>
    </fill>
    <fill>
      <patternFill patternType="solid">
        <fgColor rgb="FFD4743A"/>
        <bgColor indexed="64"/>
      </patternFill>
    </fill>
    <fill>
      <patternFill patternType="solid">
        <fgColor rgb="FFED8846"/>
        <bgColor indexed="64"/>
      </patternFill>
    </fill>
    <fill>
      <patternFill patternType="solid">
        <fgColor rgb="FFEF8A47"/>
        <bgColor indexed="64"/>
      </patternFill>
    </fill>
    <fill>
      <patternFill patternType="solid">
        <fgColor rgb="FFF7954C"/>
        <bgColor indexed="64"/>
      </patternFill>
    </fill>
    <fill>
      <patternFill patternType="solid">
        <fgColor rgb="FFFE9A4F"/>
        <bgColor indexed="64"/>
      </patternFill>
    </fill>
    <fill>
      <patternFill patternType="solid">
        <fgColor rgb="FFF79149"/>
        <bgColor indexed="64"/>
      </patternFill>
    </fill>
    <fill>
      <patternFill patternType="solid">
        <fgColor rgb="FFEB8742"/>
        <bgColor indexed="64"/>
      </patternFill>
    </fill>
    <fill>
      <patternFill patternType="solid">
        <fgColor rgb="FF996858"/>
        <bgColor indexed="64"/>
      </patternFill>
    </fill>
    <fill>
      <patternFill patternType="solid">
        <fgColor rgb="FFF58D4D"/>
        <bgColor indexed="64"/>
      </patternFill>
    </fill>
    <fill>
      <patternFill patternType="solid">
        <fgColor rgb="FFFB984D"/>
        <bgColor indexed="64"/>
      </patternFill>
    </fill>
    <fill>
      <patternFill patternType="solid">
        <fgColor rgb="FFE78D41"/>
        <bgColor indexed="64"/>
      </patternFill>
    </fill>
    <fill>
      <patternFill patternType="solid">
        <fgColor rgb="FF8D6F68"/>
        <bgColor indexed="64"/>
      </patternFill>
    </fill>
    <fill>
      <patternFill patternType="solid">
        <fgColor rgb="FF4F7BB4"/>
        <bgColor indexed="64"/>
      </patternFill>
    </fill>
    <fill>
      <patternFill patternType="solid">
        <fgColor rgb="FF4376AB"/>
        <bgColor indexed="64"/>
      </patternFill>
    </fill>
    <fill>
      <patternFill patternType="solid">
        <fgColor rgb="FF329CF7"/>
        <bgColor indexed="64"/>
      </patternFill>
    </fill>
    <fill>
      <patternFill patternType="solid">
        <fgColor rgb="FF33A0FB"/>
        <bgColor indexed="64"/>
      </patternFill>
    </fill>
    <fill>
      <patternFill patternType="solid">
        <fgColor rgb="FF36A2FA"/>
        <bgColor indexed="64"/>
      </patternFill>
    </fill>
    <fill>
      <patternFill patternType="solid">
        <fgColor rgb="FF39ABFF"/>
        <bgColor indexed="64"/>
      </patternFill>
    </fill>
    <fill>
      <patternFill patternType="solid">
        <fgColor rgb="FF348ACE"/>
        <bgColor indexed="64"/>
      </patternFill>
    </fill>
    <fill>
      <patternFill patternType="solid">
        <fgColor rgb="FFC7C536"/>
        <bgColor indexed="64"/>
      </patternFill>
    </fill>
    <fill>
      <patternFill patternType="solid">
        <fgColor rgb="FFFCF630"/>
        <bgColor indexed="64"/>
      </patternFill>
    </fill>
    <fill>
      <patternFill patternType="solid">
        <fgColor rgb="FF538F9E"/>
        <bgColor indexed="64"/>
      </patternFill>
    </fill>
    <fill>
      <patternFill patternType="solid">
        <fgColor rgb="FF3AACFF"/>
        <bgColor indexed="64"/>
      </patternFill>
    </fill>
    <fill>
      <patternFill patternType="solid">
        <fgColor rgb="FF3EAAFA"/>
        <bgColor indexed="64"/>
      </patternFill>
    </fill>
    <fill>
      <patternFill patternType="solid">
        <fgColor rgb="FF3B8DD0"/>
        <bgColor indexed="64"/>
      </patternFill>
    </fill>
    <fill>
      <patternFill patternType="solid">
        <fgColor rgb="FF5B649A"/>
        <bgColor indexed="64"/>
      </patternFill>
    </fill>
    <fill>
      <patternFill patternType="solid">
        <fgColor rgb="FF966598"/>
        <bgColor indexed="64"/>
      </patternFill>
    </fill>
    <fill>
      <patternFill patternType="solid">
        <fgColor rgb="FFA76798"/>
        <bgColor indexed="64"/>
      </patternFill>
    </fill>
    <fill>
      <patternFill patternType="solid">
        <fgColor rgb="FF784D69"/>
        <bgColor indexed="64"/>
      </patternFill>
    </fill>
    <fill>
      <patternFill patternType="solid">
        <fgColor rgb="FFB878A9"/>
        <bgColor indexed="64"/>
      </patternFill>
    </fill>
    <fill>
      <patternFill patternType="solid">
        <fgColor rgb="FF745F45"/>
        <bgColor indexed="64"/>
      </patternFill>
    </fill>
    <fill>
      <patternFill patternType="solid">
        <fgColor rgb="FF8E6377"/>
        <bgColor indexed="64"/>
      </patternFill>
    </fill>
    <fill>
      <patternFill patternType="solid">
        <fgColor rgb="FFC277BB"/>
        <bgColor indexed="64"/>
      </patternFill>
    </fill>
    <fill>
      <patternFill patternType="solid">
        <fgColor rgb="FFAB6DA7"/>
        <bgColor indexed="64"/>
      </patternFill>
    </fill>
    <fill>
      <patternFill patternType="solid">
        <fgColor rgb="FF573860"/>
        <bgColor indexed="64"/>
      </patternFill>
    </fill>
    <fill>
      <patternFill patternType="solid">
        <fgColor rgb="FF3A85C8"/>
        <bgColor indexed="64"/>
      </patternFill>
    </fill>
    <fill>
      <patternFill patternType="solid">
        <fgColor rgb="FF45A4EF"/>
        <bgColor indexed="64"/>
      </patternFill>
    </fill>
    <fill>
      <patternFill patternType="solid">
        <fgColor rgb="FFA26292"/>
        <bgColor indexed="64"/>
      </patternFill>
    </fill>
    <fill>
      <patternFill patternType="solid">
        <fgColor rgb="FF6F5688"/>
        <bgColor indexed="64"/>
      </patternFill>
    </fill>
    <fill>
      <patternFill patternType="solid">
        <fgColor rgb="FF675888"/>
        <bgColor indexed="64"/>
      </patternFill>
    </fill>
    <fill>
      <patternFill patternType="solid">
        <fgColor rgb="FF916699"/>
        <bgColor indexed="64"/>
      </patternFill>
    </fill>
    <fill>
      <patternFill patternType="solid">
        <fgColor rgb="FF565A6D"/>
        <bgColor indexed="64"/>
      </patternFill>
    </fill>
    <fill>
      <patternFill patternType="solid">
        <fgColor rgb="FF4F8161"/>
        <bgColor indexed="64"/>
      </patternFill>
    </fill>
    <fill>
      <patternFill patternType="solid">
        <fgColor rgb="FF63813A"/>
        <bgColor indexed="64"/>
      </patternFill>
    </fill>
    <fill>
      <patternFill patternType="solid">
        <fgColor rgb="FF82AA4D"/>
        <bgColor indexed="64"/>
      </patternFill>
    </fill>
    <fill>
      <patternFill patternType="solid">
        <fgColor rgb="FF89B952"/>
        <bgColor indexed="64"/>
      </patternFill>
    </fill>
    <fill>
      <patternFill patternType="solid">
        <fgColor rgb="FF86B85C"/>
        <bgColor indexed="64"/>
      </patternFill>
    </fill>
    <fill>
      <patternFill patternType="solid">
        <fgColor rgb="FF2F3B22"/>
        <bgColor indexed="64"/>
      </patternFill>
    </fill>
    <fill>
      <patternFill patternType="solid">
        <fgColor rgb="FF425526"/>
        <bgColor indexed="64"/>
      </patternFill>
    </fill>
    <fill>
      <patternFill patternType="solid">
        <fgColor rgb="FF80B24E"/>
        <bgColor indexed="64"/>
      </patternFill>
    </fill>
    <fill>
      <patternFill patternType="solid">
        <fgColor rgb="FF77AA43"/>
        <bgColor indexed="64"/>
      </patternFill>
    </fill>
    <fill>
      <patternFill patternType="solid">
        <fgColor rgb="FF5B8238"/>
        <bgColor indexed="64"/>
      </patternFill>
    </fill>
    <fill>
      <patternFill patternType="solid">
        <fgColor rgb="FF444039"/>
        <bgColor indexed="64"/>
      </patternFill>
    </fill>
    <fill>
      <patternFill patternType="solid">
        <fgColor rgb="FF6F4D6D"/>
        <bgColor indexed="64"/>
      </patternFill>
    </fill>
    <fill>
      <patternFill patternType="solid">
        <fgColor rgb="FF565C43"/>
        <bgColor indexed="64"/>
      </patternFill>
    </fill>
    <fill>
      <patternFill patternType="solid">
        <fgColor rgb="FF7EAB49"/>
        <bgColor indexed="64"/>
      </patternFill>
    </fill>
    <fill>
      <patternFill patternType="solid">
        <fgColor rgb="FF7DAE4C"/>
        <bgColor indexed="64"/>
      </patternFill>
    </fill>
    <fill>
      <patternFill patternType="solid">
        <fgColor rgb="FF7BA94E"/>
        <bgColor indexed="64"/>
      </patternFill>
    </fill>
    <fill>
      <patternFill patternType="solid">
        <fgColor rgb="FF7DAF49"/>
        <bgColor indexed="64"/>
      </patternFill>
    </fill>
    <fill>
      <patternFill patternType="solid">
        <fgColor rgb="FFB17462"/>
        <bgColor indexed="64"/>
      </patternFill>
    </fill>
    <fill>
      <patternFill patternType="solid">
        <fgColor rgb="FFAB6C62"/>
        <bgColor indexed="64"/>
      </patternFill>
    </fill>
    <fill>
      <patternFill patternType="solid">
        <fgColor rgb="FFBB666E"/>
        <bgColor indexed="64"/>
      </patternFill>
    </fill>
    <fill>
      <patternFill patternType="solid">
        <fgColor rgb="FF786731"/>
        <bgColor indexed="64"/>
      </patternFill>
    </fill>
    <fill>
      <patternFill patternType="solid">
        <fgColor rgb="FF2A2A11"/>
        <bgColor indexed="64"/>
      </patternFill>
    </fill>
    <fill>
      <patternFill patternType="solid">
        <fgColor rgb="FF693328"/>
        <bgColor indexed="64"/>
      </patternFill>
    </fill>
    <fill>
      <patternFill patternType="solid">
        <fgColor rgb="FFDD4E6C"/>
        <bgColor indexed="64"/>
      </patternFill>
    </fill>
    <fill>
      <patternFill patternType="solid">
        <fgColor rgb="FFBE425D"/>
        <bgColor indexed="64"/>
      </patternFill>
    </fill>
    <fill>
      <patternFill patternType="solid">
        <fgColor rgb="FF973E55"/>
        <bgColor indexed="64"/>
      </patternFill>
    </fill>
    <fill>
      <patternFill patternType="solid">
        <fgColor rgb="FF5B5A39"/>
        <bgColor indexed="64"/>
      </patternFill>
    </fill>
    <fill>
      <patternFill patternType="solid">
        <fgColor rgb="FF74A24B"/>
        <bgColor indexed="64"/>
      </patternFill>
    </fill>
    <fill>
      <patternFill patternType="solid">
        <fgColor rgb="FF7AAB54"/>
        <bgColor indexed="64"/>
      </patternFill>
    </fill>
    <fill>
      <patternFill patternType="solid">
        <fgColor rgb="FF79AA54"/>
        <bgColor indexed="64"/>
      </patternFill>
    </fill>
    <fill>
      <patternFill patternType="solid">
        <fgColor rgb="FF73A54C"/>
        <bgColor indexed="64"/>
      </patternFill>
    </fill>
    <fill>
      <patternFill patternType="solid">
        <fgColor rgb="FF6FA44A"/>
        <bgColor indexed="64"/>
      </patternFill>
    </fill>
    <fill>
      <patternFill patternType="solid">
        <fgColor rgb="FF70A348"/>
        <bgColor indexed="64"/>
      </patternFill>
    </fill>
    <fill>
      <patternFill patternType="solid">
        <fgColor rgb="FF577F3A"/>
        <bgColor indexed="64"/>
      </patternFill>
    </fill>
    <fill>
      <patternFill patternType="solid">
        <fgColor rgb="FF966934"/>
        <bgColor indexed="64"/>
      </patternFill>
    </fill>
    <fill>
      <patternFill patternType="solid">
        <fgColor rgb="FFE68946"/>
        <bgColor indexed="64"/>
      </patternFill>
    </fill>
    <fill>
      <patternFill patternType="solid">
        <fgColor rgb="FFB3733D"/>
        <bgColor indexed="64"/>
      </patternFill>
    </fill>
    <fill>
      <patternFill patternType="solid">
        <fgColor rgb="FFB36633"/>
        <bgColor indexed="64"/>
      </patternFill>
    </fill>
    <fill>
      <patternFill patternType="solid">
        <fgColor rgb="FFFF9A4E"/>
        <bgColor indexed="64"/>
      </patternFill>
    </fill>
    <fill>
      <patternFill patternType="solid">
        <fgColor rgb="FFFF9E54"/>
        <bgColor indexed="64"/>
      </patternFill>
    </fill>
    <fill>
      <patternFill patternType="solid">
        <fgColor rgb="FFCE7C3E"/>
        <bgColor indexed="64"/>
      </patternFill>
    </fill>
    <fill>
      <patternFill patternType="solid">
        <fgColor rgb="FFDD8540"/>
        <bgColor indexed="64"/>
      </patternFill>
    </fill>
    <fill>
      <patternFill patternType="solid">
        <fgColor rgb="FFC37640"/>
        <bgColor indexed="64"/>
      </patternFill>
    </fill>
    <fill>
      <patternFill patternType="solid">
        <fgColor rgb="FFE38A48"/>
        <bgColor indexed="64"/>
      </patternFill>
    </fill>
    <fill>
      <patternFill patternType="solid">
        <fgColor rgb="FFB66844"/>
        <bgColor indexed="64"/>
      </patternFill>
    </fill>
    <fill>
      <patternFill patternType="solid">
        <fgColor rgb="FFEF874B"/>
        <bgColor indexed="64"/>
      </patternFill>
    </fill>
    <fill>
      <patternFill patternType="solid">
        <fgColor rgb="FFFE9650"/>
        <bgColor indexed="64"/>
      </patternFill>
    </fill>
    <fill>
      <patternFill patternType="solid">
        <fgColor rgb="FFF58F4D"/>
        <bgColor indexed="64"/>
      </patternFill>
    </fill>
    <fill>
      <patternFill patternType="solid">
        <fgColor rgb="FFF6924B"/>
        <bgColor indexed="64"/>
      </patternFill>
    </fill>
    <fill>
      <patternFill patternType="solid">
        <fgColor rgb="FFFF9E50"/>
        <bgColor indexed="64"/>
      </patternFill>
    </fill>
    <fill>
      <patternFill patternType="solid">
        <fgColor rgb="FFD18144"/>
        <bgColor indexed="64"/>
      </patternFill>
    </fill>
    <fill>
      <patternFill patternType="solid">
        <fgColor rgb="FFCF7C41"/>
        <bgColor indexed="64"/>
      </patternFill>
    </fill>
    <fill>
      <patternFill patternType="solid">
        <fgColor rgb="FF7998B5"/>
        <bgColor indexed="64"/>
      </patternFill>
    </fill>
    <fill>
      <patternFill patternType="solid">
        <fgColor rgb="FF3CA8F8"/>
        <bgColor indexed="64"/>
      </patternFill>
    </fill>
    <fill>
      <patternFill patternType="solid">
        <fgColor rgb="FF33A2FA"/>
        <bgColor indexed="64"/>
      </patternFill>
    </fill>
    <fill>
      <patternFill patternType="solid">
        <fgColor rgb="FF38A8FF"/>
        <bgColor indexed="64"/>
      </patternFill>
    </fill>
    <fill>
      <patternFill patternType="solid">
        <fgColor rgb="FF3690D7"/>
        <bgColor indexed="64"/>
      </patternFill>
    </fill>
    <fill>
      <patternFill patternType="solid">
        <fgColor rgb="FFCACB3F"/>
        <bgColor indexed="64"/>
      </patternFill>
    </fill>
    <fill>
      <patternFill patternType="solid">
        <fgColor rgb="FFF0E72E"/>
        <bgColor indexed="64"/>
      </patternFill>
    </fill>
    <fill>
      <patternFill patternType="solid">
        <fgColor rgb="FF4085A8"/>
        <bgColor indexed="64"/>
      </patternFill>
    </fill>
    <fill>
      <patternFill patternType="solid">
        <fgColor rgb="FF3DAFFF"/>
        <bgColor indexed="64"/>
      </patternFill>
    </fill>
    <fill>
      <patternFill patternType="solid">
        <fgColor rgb="FF3585C3"/>
        <bgColor indexed="64"/>
      </patternFill>
    </fill>
    <fill>
      <patternFill patternType="solid">
        <fgColor rgb="FF72527F"/>
        <bgColor indexed="64"/>
      </patternFill>
    </fill>
    <fill>
      <patternFill patternType="solid">
        <fgColor rgb="FFBE78B4"/>
        <bgColor indexed="64"/>
      </patternFill>
    </fill>
    <fill>
      <patternFill patternType="solid">
        <fgColor rgb="FFAA6EA7"/>
        <bgColor indexed="64"/>
      </patternFill>
    </fill>
    <fill>
      <patternFill patternType="solid">
        <fgColor rgb="FFB672AE"/>
        <bgColor indexed="64"/>
      </patternFill>
    </fill>
    <fill>
      <patternFill patternType="solid">
        <fgColor rgb="FFBC76B1"/>
        <bgColor indexed="64"/>
      </patternFill>
    </fill>
    <fill>
      <patternFill patternType="solid">
        <fgColor rgb="FF514036"/>
        <bgColor indexed="64"/>
      </patternFill>
    </fill>
    <fill>
      <patternFill patternType="solid">
        <fgColor rgb="FF845A77"/>
        <bgColor indexed="64"/>
      </patternFill>
    </fill>
    <fill>
      <patternFill patternType="solid">
        <fgColor rgb="FFC578BB"/>
        <bgColor indexed="64"/>
      </patternFill>
    </fill>
    <fill>
      <patternFill patternType="solid">
        <fgColor rgb="FFB874B0"/>
        <bgColor indexed="64"/>
      </patternFill>
    </fill>
    <fill>
      <patternFill patternType="solid">
        <fgColor rgb="FF9C6192"/>
        <bgColor indexed="64"/>
      </patternFill>
    </fill>
    <fill>
      <patternFill patternType="solid">
        <fgColor rgb="FF4B5689"/>
        <bgColor indexed="64"/>
      </patternFill>
    </fill>
    <fill>
      <patternFill patternType="solid">
        <fgColor rgb="FF6E6BA4"/>
        <bgColor indexed="64"/>
      </patternFill>
    </fill>
    <fill>
      <patternFill patternType="solid">
        <fgColor rgb="FFD26892"/>
        <bgColor indexed="64"/>
      </patternFill>
    </fill>
    <fill>
      <patternFill patternType="solid">
        <fgColor rgb="FFBA6089"/>
        <bgColor indexed="64"/>
      </patternFill>
    </fill>
    <fill>
      <patternFill patternType="solid">
        <fgColor rgb="FFE777A0"/>
        <bgColor indexed="64"/>
      </patternFill>
    </fill>
    <fill>
      <patternFill patternType="solid">
        <fgColor rgb="FF9E5271"/>
        <bgColor indexed="64"/>
      </patternFill>
    </fill>
    <fill>
      <patternFill patternType="solid">
        <fgColor rgb="FF585232"/>
        <bgColor indexed="64"/>
      </patternFill>
    </fill>
    <fill>
      <patternFill patternType="solid">
        <fgColor rgb="FF98815E"/>
        <bgColor indexed="64"/>
      </patternFill>
    </fill>
    <fill>
      <patternFill patternType="solid">
        <fgColor rgb="FF72704A"/>
        <bgColor indexed="64"/>
      </patternFill>
    </fill>
    <fill>
      <patternFill patternType="solid">
        <fgColor rgb="FF85B259"/>
        <bgColor indexed="64"/>
      </patternFill>
    </fill>
    <fill>
      <patternFill patternType="solid">
        <fgColor rgb="FF88B852"/>
        <bgColor indexed="64"/>
      </patternFill>
    </fill>
    <fill>
      <patternFill patternType="solid">
        <fgColor rgb="FF82B255"/>
        <bgColor indexed="64"/>
      </patternFill>
    </fill>
    <fill>
      <patternFill patternType="solid">
        <fgColor rgb="FF6A7437"/>
        <bgColor indexed="64"/>
      </patternFill>
    </fill>
    <fill>
      <patternFill patternType="solid">
        <fgColor rgb="FF56632A"/>
        <bgColor indexed="64"/>
      </patternFill>
    </fill>
    <fill>
      <patternFill patternType="solid">
        <fgColor rgb="FF7EB34D"/>
        <bgColor indexed="64"/>
      </patternFill>
    </fill>
    <fill>
      <patternFill patternType="solid">
        <fgColor rgb="FF6B8448"/>
        <bgColor indexed="64"/>
      </patternFill>
    </fill>
    <fill>
      <patternFill patternType="solid">
        <fgColor rgb="FF614855"/>
        <bgColor indexed="64"/>
      </patternFill>
    </fill>
    <fill>
      <patternFill patternType="solid">
        <fgColor rgb="FFAF74A8"/>
        <bgColor indexed="64"/>
      </patternFill>
    </fill>
    <fill>
      <patternFill patternType="solid">
        <fgColor rgb="FFA16BA1"/>
        <bgColor indexed="64"/>
      </patternFill>
    </fill>
    <fill>
      <patternFill patternType="solid">
        <fgColor rgb="FF7D577A"/>
        <bgColor indexed="64"/>
      </patternFill>
    </fill>
    <fill>
      <patternFill patternType="solid">
        <fgColor rgb="FF788752"/>
        <bgColor indexed="64"/>
      </patternFill>
    </fill>
    <fill>
      <patternFill patternType="solid">
        <fgColor rgb="FF85B64D"/>
        <bgColor indexed="64"/>
      </patternFill>
    </fill>
    <fill>
      <patternFill patternType="solid">
        <fgColor rgb="FF7FB14B"/>
        <bgColor indexed="64"/>
      </patternFill>
    </fill>
    <fill>
      <patternFill patternType="solid">
        <fgColor rgb="FF6E9041"/>
        <bgColor indexed="64"/>
      </patternFill>
    </fill>
    <fill>
      <patternFill patternType="solid">
        <fgColor rgb="FF91554B"/>
        <bgColor indexed="64"/>
      </patternFill>
    </fill>
    <fill>
      <patternFill patternType="solid">
        <fgColor rgb="FFF3688C"/>
        <bgColor indexed="64"/>
      </patternFill>
    </fill>
    <fill>
      <patternFill patternType="solid">
        <fgColor rgb="FFDA5F74"/>
        <bgColor indexed="64"/>
      </patternFill>
    </fill>
    <fill>
      <patternFill patternType="solid">
        <fgColor rgb="FFBDA533"/>
        <bgColor indexed="64"/>
      </patternFill>
    </fill>
    <fill>
      <patternFill patternType="solid">
        <fgColor rgb="FF575212"/>
        <bgColor indexed="64"/>
      </patternFill>
    </fill>
    <fill>
      <patternFill patternType="solid">
        <fgColor rgb="FFAF3E47"/>
        <bgColor indexed="64"/>
      </patternFill>
    </fill>
    <fill>
      <patternFill patternType="solid">
        <fgColor rgb="FFFF6989"/>
        <bgColor indexed="64"/>
      </patternFill>
    </fill>
    <fill>
      <patternFill patternType="solid">
        <fgColor rgb="FFD55471"/>
        <bgColor indexed="64"/>
      </patternFill>
    </fill>
    <fill>
      <patternFill patternType="solid">
        <fgColor rgb="FFCA5071"/>
        <bgColor indexed="64"/>
      </patternFill>
    </fill>
    <fill>
      <patternFill patternType="solid">
        <fgColor rgb="FF8A5F50"/>
        <bgColor indexed="64"/>
      </patternFill>
    </fill>
    <fill>
      <patternFill patternType="solid">
        <fgColor rgb="FF78A64F"/>
        <bgColor indexed="64"/>
      </patternFill>
    </fill>
    <fill>
      <patternFill patternType="solid">
        <fgColor rgb="FF7CAD53"/>
        <bgColor indexed="64"/>
      </patternFill>
    </fill>
    <fill>
      <patternFill patternType="solid">
        <fgColor rgb="FF7AAA55"/>
        <bgColor indexed="64"/>
      </patternFill>
    </fill>
    <fill>
      <patternFill patternType="solid">
        <fgColor rgb="FF71A44E"/>
        <bgColor indexed="64"/>
      </patternFill>
    </fill>
    <fill>
      <patternFill patternType="solid">
        <fgColor rgb="FF73A84A"/>
        <bgColor indexed="64"/>
      </patternFill>
    </fill>
    <fill>
      <patternFill patternType="solid">
        <fgColor rgb="FF669242"/>
        <bgColor indexed="64"/>
      </patternFill>
    </fill>
    <fill>
      <patternFill patternType="solid">
        <fgColor rgb="FF778A40"/>
        <bgColor indexed="64"/>
      </patternFill>
    </fill>
    <fill>
      <patternFill patternType="solid">
        <fgColor rgb="FF819B47"/>
        <bgColor indexed="64"/>
      </patternFill>
    </fill>
    <fill>
      <patternFill patternType="solid">
        <fgColor rgb="FF817D3A"/>
        <bgColor indexed="64"/>
      </patternFill>
    </fill>
    <fill>
      <patternFill patternType="solid">
        <fgColor rgb="FFE19244"/>
        <bgColor indexed="64"/>
      </patternFill>
    </fill>
    <fill>
      <patternFill patternType="solid">
        <fgColor rgb="FFEC9B50"/>
        <bgColor indexed="64"/>
      </patternFill>
    </fill>
    <fill>
      <patternFill patternType="solid">
        <fgColor rgb="FF9B6D3D"/>
        <bgColor indexed="64"/>
      </patternFill>
    </fill>
    <fill>
      <patternFill patternType="solid">
        <fgColor rgb="FF846631"/>
        <bgColor indexed="64"/>
      </patternFill>
    </fill>
    <fill>
      <patternFill patternType="solid">
        <fgColor rgb="FF8F8445"/>
        <bgColor indexed="64"/>
      </patternFill>
    </fill>
    <fill>
      <patternFill patternType="solid">
        <fgColor rgb="FF7F6B3B"/>
        <bgColor indexed="64"/>
      </patternFill>
    </fill>
    <fill>
      <patternFill patternType="solid">
        <fgColor rgb="FFA38E49"/>
        <bgColor indexed="64"/>
      </patternFill>
    </fill>
    <fill>
      <patternFill patternType="solid">
        <fgColor rgb="FFBC8B70"/>
        <bgColor indexed="64"/>
      </patternFill>
    </fill>
    <fill>
      <patternFill patternType="solid">
        <fgColor rgb="FFE57A41"/>
        <bgColor indexed="64"/>
      </patternFill>
    </fill>
    <fill>
      <patternFill patternType="solid">
        <fgColor rgb="FFED8045"/>
        <bgColor indexed="64"/>
      </patternFill>
    </fill>
    <fill>
      <patternFill patternType="solid">
        <fgColor rgb="FFE88348"/>
        <bgColor indexed="64"/>
      </patternFill>
    </fill>
    <fill>
      <patternFill patternType="solid">
        <fgColor rgb="FFE38547"/>
        <bgColor indexed="64"/>
      </patternFill>
    </fill>
    <fill>
      <patternFill patternType="solid">
        <fgColor rgb="FFE88D41"/>
        <bgColor indexed="64"/>
      </patternFill>
    </fill>
    <fill>
      <patternFill patternType="solid">
        <fgColor rgb="FFC18453"/>
        <bgColor indexed="64"/>
      </patternFill>
    </fill>
    <fill>
      <patternFill patternType="solid">
        <fgColor rgb="FF546481"/>
        <bgColor indexed="64"/>
      </patternFill>
    </fill>
    <fill>
      <patternFill patternType="solid">
        <fgColor rgb="FF797B86"/>
        <bgColor indexed="64"/>
      </patternFill>
    </fill>
    <fill>
      <patternFill patternType="solid">
        <fgColor rgb="FF3CA4F5"/>
        <bgColor indexed="64"/>
      </patternFill>
    </fill>
    <fill>
      <patternFill patternType="solid">
        <fgColor rgb="FF34A2FB"/>
        <bgColor indexed="64"/>
      </patternFill>
    </fill>
    <fill>
      <patternFill patternType="solid">
        <fgColor rgb="FF38A6FF"/>
        <bgColor indexed="64"/>
      </patternFill>
    </fill>
    <fill>
      <patternFill patternType="solid">
        <fgColor rgb="FF3F95D2"/>
        <bgColor indexed="64"/>
      </patternFill>
    </fill>
    <fill>
      <patternFill patternType="solid">
        <fgColor rgb="FFE0DE3D"/>
        <bgColor indexed="64"/>
      </patternFill>
    </fill>
    <fill>
      <patternFill patternType="solid">
        <fgColor rgb="FFECE531"/>
        <bgColor indexed="64"/>
      </patternFill>
    </fill>
    <fill>
      <patternFill patternType="solid">
        <fgColor rgb="FF408BB7"/>
        <bgColor indexed="64"/>
      </patternFill>
    </fill>
    <fill>
      <patternFill patternType="solid">
        <fgColor rgb="FF3CA9F9"/>
        <bgColor indexed="64"/>
      </patternFill>
    </fill>
    <fill>
      <patternFill patternType="solid">
        <fgColor rgb="FF40ADF6"/>
        <bgColor indexed="64"/>
      </patternFill>
    </fill>
    <fill>
      <patternFill patternType="solid">
        <fgColor rgb="FF5074B4"/>
        <bgColor indexed="64"/>
      </patternFill>
    </fill>
    <fill>
      <patternFill patternType="solid">
        <fgColor rgb="FF8E6199"/>
        <bgColor indexed="64"/>
      </patternFill>
    </fill>
    <fill>
      <patternFill patternType="solid">
        <fgColor rgb="FFB374B1"/>
        <bgColor indexed="64"/>
      </patternFill>
    </fill>
    <fill>
      <patternFill patternType="solid">
        <fgColor rgb="FFBB75B3"/>
        <bgColor indexed="64"/>
      </patternFill>
    </fill>
    <fill>
      <patternFill patternType="solid">
        <fgColor rgb="FFC576B2"/>
        <bgColor indexed="64"/>
      </patternFill>
    </fill>
    <fill>
      <patternFill patternType="solid">
        <fgColor rgb="FFB56FA5"/>
        <bgColor indexed="64"/>
      </patternFill>
    </fill>
    <fill>
      <patternFill patternType="solid">
        <fgColor rgb="FF8A763D"/>
        <bgColor indexed="64"/>
      </patternFill>
    </fill>
    <fill>
      <patternFill patternType="solid">
        <fgColor rgb="FFA2757D"/>
        <bgColor indexed="64"/>
      </patternFill>
    </fill>
    <fill>
      <patternFill patternType="solid">
        <fgColor rgb="FFC878BD"/>
        <bgColor indexed="64"/>
      </patternFill>
    </fill>
    <fill>
      <patternFill patternType="solid">
        <fgColor rgb="FFC87BBF"/>
        <bgColor indexed="64"/>
      </patternFill>
    </fill>
    <fill>
      <patternFill patternType="solid">
        <fgColor rgb="FFA65993"/>
        <bgColor indexed="64"/>
      </patternFill>
    </fill>
    <fill>
      <patternFill patternType="solid">
        <fgColor rgb="FFBD5679"/>
        <bgColor indexed="64"/>
      </patternFill>
    </fill>
    <fill>
      <patternFill patternType="solid">
        <fgColor rgb="FFB35675"/>
        <bgColor indexed="64"/>
      </patternFill>
    </fill>
    <fill>
      <patternFill patternType="solid">
        <fgColor rgb="FFF379A5"/>
        <bgColor indexed="64"/>
      </patternFill>
    </fill>
    <fill>
      <patternFill patternType="solid">
        <fgColor rgb="FFF37BA4"/>
        <bgColor indexed="64"/>
      </patternFill>
    </fill>
    <fill>
      <patternFill patternType="solid">
        <fgColor rgb="FFFC86B3"/>
        <bgColor indexed="64"/>
      </patternFill>
    </fill>
    <fill>
      <patternFill patternType="solid">
        <fgColor rgb="FFC05F82"/>
        <bgColor indexed="64"/>
      </patternFill>
    </fill>
    <fill>
      <patternFill patternType="solid">
        <fgColor rgb="FFDF749E"/>
        <bgColor indexed="64"/>
      </patternFill>
    </fill>
    <fill>
      <patternFill patternType="solid">
        <fgColor rgb="FFBF6C8A"/>
        <bgColor indexed="64"/>
      </patternFill>
    </fill>
    <fill>
      <patternFill patternType="solid">
        <fgColor rgb="FF89A15D"/>
        <bgColor indexed="64"/>
      </patternFill>
    </fill>
    <fill>
      <patternFill patternType="solid">
        <fgColor rgb="FF88B556"/>
        <bgColor indexed="64"/>
      </patternFill>
    </fill>
    <fill>
      <patternFill patternType="solid">
        <fgColor rgb="FF85B252"/>
        <bgColor indexed="64"/>
      </patternFill>
    </fill>
    <fill>
      <patternFill patternType="solid">
        <fgColor rgb="FF74A84F"/>
        <bgColor indexed="64"/>
      </patternFill>
    </fill>
    <fill>
      <patternFill patternType="solid">
        <fgColor rgb="FF9BAA3C"/>
        <bgColor indexed="64"/>
      </patternFill>
    </fill>
    <fill>
      <patternFill patternType="solid">
        <fgColor rgb="FF99A537"/>
        <bgColor indexed="64"/>
      </patternFill>
    </fill>
    <fill>
      <patternFill patternType="solid">
        <fgColor rgb="FF73A747"/>
        <bgColor indexed="64"/>
      </patternFill>
    </fill>
    <fill>
      <patternFill patternType="solid">
        <fgColor rgb="FF729642"/>
        <bgColor indexed="64"/>
      </patternFill>
    </fill>
    <fill>
      <patternFill patternType="solid">
        <fgColor rgb="FF8A6972"/>
        <bgColor indexed="64"/>
      </patternFill>
    </fill>
    <fill>
      <patternFill patternType="solid">
        <fgColor rgb="FFCF85C8"/>
        <bgColor indexed="64"/>
      </patternFill>
    </fill>
    <fill>
      <patternFill patternType="solid">
        <fgColor rgb="FFBB7ABA"/>
        <bgColor indexed="64"/>
      </patternFill>
    </fill>
    <fill>
      <patternFill patternType="solid">
        <fgColor rgb="FF8B6387"/>
        <bgColor indexed="64"/>
      </patternFill>
    </fill>
    <fill>
      <patternFill patternType="solid">
        <fgColor rgb="FF789154"/>
        <bgColor indexed="64"/>
      </patternFill>
    </fill>
    <fill>
      <patternFill patternType="solid">
        <fgColor rgb="FF81B14A"/>
        <bgColor indexed="64"/>
      </patternFill>
    </fill>
    <fill>
      <patternFill patternType="solid">
        <fgColor rgb="FF7FB349"/>
        <bgColor indexed="64"/>
      </patternFill>
    </fill>
    <fill>
      <patternFill patternType="solid">
        <fgColor rgb="FF8A804B"/>
        <bgColor indexed="64"/>
      </patternFill>
    </fill>
    <fill>
      <patternFill patternType="solid">
        <fgColor rgb="FFCD5671"/>
        <bgColor indexed="64"/>
      </patternFill>
    </fill>
    <fill>
      <patternFill patternType="solid">
        <fgColor rgb="FFF8688D"/>
        <bgColor indexed="64"/>
      </patternFill>
    </fill>
    <fill>
      <patternFill patternType="solid">
        <fgColor rgb="FFC0565C"/>
        <bgColor indexed="64"/>
      </patternFill>
    </fill>
    <fill>
      <patternFill patternType="solid">
        <fgColor rgb="FFE5DF32"/>
        <bgColor indexed="64"/>
      </patternFill>
    </fill>
    <fill>
      <patternFill patternType="solid">
        <fgColor rgb="FF8D741F"/>
        <bgColor indexed="64"/>
      </patternFill>
    </fill>
    <fill>
      <patternFill patternType="solid">
        <fgColor rgb="FFD84F5F"/>
        <bgColor indexed="64"/>
      </patternFill>
    </fill>
    <fill>
      <patternFill patternType="solid">
        <fgColor rgb="FFFE6788"/>
        <bgColor indexed="64"/>
      </patternFill>
    </fill>
    <fill>
      <patternFill patternType="solid">
        <fgColor rgb="FFD65371"/>
        <bgColor indexed="64"/>
      </patternFill>
    </fill>
    <fill>
      <patternFill patternType="solid">
        <fgColor rgb="FF9B6054"/>
        <bgColor indexed="64"/>
      </patternFill>
    </fill>
    <fill>
      <patternFill patternType="solid">
        <fgColor rgb="FF817947"/>
        <bgColor indexed="64"/>
      </patternFill>
    </fill>
    <fill>
      <patternFill patternType="solid">
        <fgColor rgb="FF739E48"/>
        <bgColor indexed="64"/>
      </patternFill>
    </fill>
    <fill>
      <patternFill patternType="solid">
        <fgColor rgb="FF7EAD54"/>
        <bgColor indexed="64"/>
      </patternFill>
    </fill>
    <fill>
      <patternFill patternType="solid">
        <fgColor rgb="FF80AF57"/>
        <bgColor indexed="64"/>
      </patternFill>
    </fill>
    <fill>
      <patternFill patternType="solid">
        <fgColor rgb="FF7EAE55"/>
        <bgColor indexed="64"/>
      </patternFill>
    </fill>
    <fill>
      <patternFill patternType="solid">
        <fgColor rgb="FF74A64E"/>
        <bgColor indexed="64"/>
      </patternFill>
    </fill>
    <fill>
      <patternFill patternType="solid">
        <fgColor rgb="FF75A84F"/>
        <bgColor indexed="64"/>
      </patternFill>
    </fill>
    <fill>
      <patternFill patternType="solid">
        <fgColor rgb="FF74A84C"/>
        <bgColor indexed="64"/>
      </patternFill>
    </fill>
    <fill>
      <patternFill patternType="solid">
        <fgColor rgb="FF71A84C"/>
        <bgColor indexed="64"/>
      </patternFill>
    </fill>
    <fill>
      <patternFill patternType="solid">
        <fgColor rgb="FF7AAF4B"/>
        <bgColor indexed="64"/>
      </patternFill>
    </fill>
    <fill>
      <patternFill patternType="solid">
        <fgColor rgb="FF70AB4C"/>
        <bgColor indexed="64"/>
      </patternFill>
    </fill>
    <fill>
      <patternFill patternType="solid">
        <fgColor rgb="FF5A6E39"/>
        <bgColor indexed="64"/>
      </patternFill>
    </fill>
    <fill>
      <patternFill patternType="solid">
        <fgColor rgb="FF997545"/>
        <bgColor indexed="64"/>
      </patternFill>
    </fill>
    <fill>
      <patternFill patternType="solid">
        <fgColor rgb="FF6D4E2A"/>
        <bgColor indexed="64"/>
      </patternFill>
    </fill>
    <fill>
      <patternFill patternType="solid">
        <fgColor rgb="FF4D4C23"/>
        <bgColor indexed="64"/>
      </patternFill>
    </fill>
    <fill>
      <patternFill patternType="solid">
        <fgColor rgb="FF51703B"/>
        <bgColor indexed="64"/>
      </patternFill>
    </fill>
    <fill>
      <patternFill patternType="solid">
        <fgColor rgb="FF7D9151"/>
        <bgColor indexed="64"/>
      </patternFill>
    </fill>
    <fill>
      <patternFill patternType="solid">
        <fgColor rgb="FF7EAF66"/>
        <bgColor indexed="64"/>
      </patternFill>
    </fill>
    <fill>
      <patternFill patternType="solid">
        <fgColor rgb="FF6E9855"/>
        <bgColor indexed="64"/>
      </patternFill>
    </fill>
    <fill>
      <patternFill patternType="solid">
        <fgColor rgb="FF76AC5F"/>
        <bgColor indexed="64"/>
      </patternFill>
    </fill>
    <fill>
      <patternFill patternType="solid">
        <fgColor rgb="FF846D63"/>
        <bgColor indexed="64"/>
      </patternFill>
    </fill>
    <fill>
      <patternFill patternType="solid">
        <fgColor rgb="FFA57559"/>
        <bgColor indexed="64"/>
      </patternFill>
    </fill>
    <fill>
      <patternFill patternType="solid">
        <fgColor rgb="FF996553"/>
        <bgColor indexed="64"/>
      </patternFill>
    </fill>
    <fill>
      <patternFill patternType="solid">
        <fgColor rgb="FFDB8349"/>
        <bgColor indexed="64"/>
      </patternFill>
    </fill>
    <fill>
      <patternFill patternType="solid">
        <fgColor rgb="FFC57A42"/>
        <bgColor indexed="64"/>
      </patternFill>
    </fill>
    <fill>
      <patternFill patternType="solid">
        <fgColor rgb="FF9E7860"/>
        <bgColor indexed="64"/>
      </patternFill>
    </fill>
    <fill>
      <patternFill patternType="solid">
        <fgColor rgb="FF586B85"/>
        <bgColor indexed="64"/>
      </patternFill>
    </fill>
    <fill>
      <patternFill patternType="solid">
        <fgColor rgb="FF449CEA"/>
        <bgColor indexed="64"/>
      </patternFill>
    </fill>
    <fill>
      <patternFill patternType="solid">
        <fgColor rgb="FF2B80D1"/>
        <bgColor indexed="64"/>
      </patternFill>
    </fill>
    <fill>
      <patternFill patternType="solid">
        <fgColor rgb="FF369FF4"/>
        <bgColor indexed="64"/>
      </patternFill>
    </fill>
    <fill>
      <patternFill patternType="solid">
        <fgColor rgb="FF33A3FA"/>
        <bgColor indexed="64"/>
      </patternFill>
    </fill>
    <fill>
      <patternFill patternType="solid">
        <fgColor rgb="FF36A2F9"/>
        <bgColor indexed="64"/>
      </patternFill>
    </fill>
    <fill>
      <patternFill patternType="solid">
        <fgColor rgb="FF32A4FF"/>
        <bgColor indexed="64"/>
      </patternFill>
    </fill>
    <fill>
      <patternFill patternType="solid">
        <fgColor rgb="FF4F9CBA"/>
        <bgColor indexed="64"/>
      </patternFill>
    </fill>
    <fill>
      <patternFill patternType="solid">
        <fgColor rgb="FFDED231"/>
        <bgColor indexed="64"/>
      </patternFill>
    </fill>
    <fill>
      <patternFill patternType="solid">
        <fgColor rgb="FFD2CD32"/>
        <bgColor indexed="64"/>
      </patternFill>
    </fill>
    <fill>
      <patternFill patternType="solid">
        <fgColor rgb="FF3F8EBA"/>
        <bgColor indexed="64"/>
      </patternFill>
    </fill>
    <fill>
      <patternFill patternType="solid">
        <fgColor rgb="FF3FABF9"/>
        <bgColor indexed="64"/>
      </patternFill>
    </fill>
    <fill>
      <patternFill patternType="solid">
        <fgColor rgb="FF41B0FE"/>
        <bgColor indexed="64"/>
      </patternFill>
    </fill>
    <fill>
      <patternFill patternType="solid">
        <fgColor rgb="FF3D9DE3"/>
        <bgColor indexed="64"/>
      </patternFill>
    </fill>
    <fill>
      <patternFill patternType="solid">
        <fgColor rgb="FF443C65"/>
        <bgColor indexed="64"/>
      </patternFill>
    </fill>
    <fill>
      <patternFill patternType="solid">
        <fgColor rgb="FF8E5684"/>
        <bgColor indexed="64"/>
      </patternFill>
    </fill>
    <fill>
      <patternFill patternType="solid">
        <fgColor rgb="FFA069A0"/>
        <bgColor indexed="64"/>
      </patternFill>
    </fill>
    <fill>
      <patternFill patternType="solid">
        <fgColor rgb="FFA06498"/>
        <bgColor indexed="64"/>
      </patternFill>
    </fill>
    <fill>
      <patternFill patternType="solid">
        <fgColor rgb="FFA56599"/>
        <bgColor indexed="64"/>
      </patternFill>
    </fill>
    <fill>
      <patternFill patternType="solid">
        <fgColor rgb="FFB974A5"/>
        <bgColor indexed="64"/>
      </patternFill>
    </fill>
    <fill>
      <patternFill patternType="solid">
        <fgColor rgb="FFA28E39"/>
        <bgColor indexed="64"/>
      </patternFill>
    </fill>
    <fill>
      <patternFill patternType="solid">
        <fgColor rgb="FF916276"/>
        <bgColor indexed="64"/>
      </patternFill>
    </fill>
    <fill>
      <patternFill patternType="solid">
        <fgColor rgb="FFAA63A5"/>
        <bgColor indexed="64"/>
      </patternFill>
    </fill>
    <fill>
      <patternFill patternType="solid">
        <fgColor rgb="FF73556B"/>
        <bgColor indexed="64"/>
      </patternFill>
    </fill>
    <fill>
      <patternFill patternType="solid">
        <fgColor rgb="FF475239"/>
        <bgColor indexed="64"/>
      </patternFill>
    </fill>
    <fill>
      <patternFill patternType="solid">
        <fgColor rgb="FF9F5666"/>
        <bgColor indexed="64"/>
      </patternFill>
    </fill>
    <fill>
      <patternFill patternType="solid">
        <fgColor rgb="FFF878A6"/>
        <bgColor indexed="64"/>
      </patternFill>
    </fill>
    <fill>
      <patternFill patternType="solid">
        <fgColor rgb="FFFC7DAB"/>
        <bgColor indexed="64"/>
      </patternFill>
    </fill>
    <fill>
      <patternFill patternType="solid">
        <fgColor rgb="FFFC7EAC"/>
        <bgColor indexed="64"/>
      </patternFill>
    </fill>
    <fill>
      <patternFill patternType="solid">
        <fgColor rgb="FFFB80AD"/>
        <bgColor indexed="64"/>
      </patternFill>
    </fill>
    <fill>
      <patternFill patternType="solid">
        <fgColor rgb="FFFD81AE"/>
        <bgColor indexed="64"/>
      </patternFill>
    </fill>
    <fill>
      <patternFill patternType="solid">
        <fgColor rgb="FFE6739B"/>
        <bgColor indexed="64"/>
      </patternFill>
    </fill>
    <fill>
      <patternFill patternType="solid">
        <fgColor rgb="FFC4718C"/>
        <bgColor indexed="64"/>
      </patternFill>
    </fill>
    <fill>
      <patternFill patternType="solid">
        <fgColor rgb="FF8B805E"/>
        <bgColor indexed="64"/>
      </patternFill>
    </fill>
    <fill>
      <patternFill patternType="solid">
        <fgColor rgb="FF83B04F"/>
        <bgColor indexed="64"/>
      </patternFill>
    </fill>
    <fill>
      <patternFill patternType="solid">
        <fgColor rgb="FF96A23A"/>
        <bgColor indexed="64"/>
      </patternFill>
    </fill>
    <fill>
      <patternFill patternType="solid">
        <fgColor rgb="FF8C9533"/>
        <bgColor indexed="64"/>
      </patternFill>
    </fill>
    <fill>
      <patternFill patternType="solid">
        <fgColor rgb="FF74A64A"/>
        <bgColor indexed="64"/>
      </patternFill>
    </fill>
    <fill>
      <patternFill patternType="solid">
        <fgColor rgb="FF76A440"/>
        <bgColor indexed="64"/>
      </patternFill>
    </fill>
    <fill>
      <patternFill patternType="solid">
        <fgColor rgb="FF7C6D61"/>
        <bgColor indexed="64"/>
      </patternFill>
    </fill>
    <fill>
      <patternFill patternType="solid">
        <fgColor rgb="FF8F6C86"/>
        <bgColor indexed="64"/>
      </patternFill>
    </fill>
    <fill>
      <patternFill patternType="solid">
        <fgColor rgb="FF817471"/>
        <bgColor indexed="64"/>
      </patternFill>
    </fill>
    <fill>
      <patternFill patternType="solid">
        <fgColor rgb="FF7E7A69"/>
        <bgColor indexed="64"/>
      </patternFill>
    </fill>
    <fill>
      <patternFill patternType="solid">
        <fgColor rgb="FF80A059"/>
        <bgColor indexed="64"/>
      </patternFill>
    </fill>
    <fill>
      <patternFill patternType="solid">
        <fgColor rgb="FF7BB043"/>
        <bgColor indexed="64"/>
      </patternFill>
    </fill>
    <fill>
      <patternFill patternType="solid">
        <fgColor rgb="FF74AC49"/>
        <bgColor indexed="64"/>
      </patternFill>
    </fill>
    <fill>
      <patternFill patternType="solid">
        <fgColor rgb="FF4C6C2D"/>
        <bgColor indexed="64"/>
      </patternFill>
    </fill>
    <fill>
      <patternFill patternType="solid">
        <fgColor rgb="FFBE525B"/>
        <bgColor indexed="64"/>
      </patternFill>
    </fill>
    <fill>
      <patternFill patternType="solid">
        <fgColor rgb="FFFF6392"/>
        <bgColor indexed="64"/>
      </patternFill>
    </fill>
    <fill>
      <patternFill patternType="solid">
        <fgColor rgb="FFA96147"/>
        <bgColor indexed="64"/>
      </patternFill>
    </fill>
    <fill>
      <patternFill patternType="solid">
        <fgColor rgb="FFF5F833"/>
        <bgColor indexed="64"/>
      </patternFill>
    </fill>
    <fill>
      <patternFill patternType="solid">
        <fgColor rgb="FFCD9E34"/>
        <bgColor indexed="64"/>
      </patternFill>
    </fill>
    <fill>
      <patternFill patternType="solid">
        <fgColor rgb="FFE9526D"/>
        <bgColor indexed="64"/>
      </patternFill>
    </fill>
    <fill>
      <patternFill patternType="solid">
        <fgColor rgb="FFF66180"/>
        <bgColor indexed="64"/>
      </patternFill>
    </fill>
    <fill>
      <patternFill patternType="solid">
        <fgColor rgb="FFE55277"/>
        <bgColor indexed="64"/>
      </patternFill>
    </fill>
    <fill>
      <patternFill patternType="solid">
        <fgColor rgb="FF9D7059"/>
        <bgColor indexed="64"/>
      </patternFill>
    </fill>
    <fill>
      <patternFill patternType="solid">
        <fgColor rgb="FF6CAC43"/>
        <bgColor indexed="64"/>
      </patternFill>
    </fill>
    <fill>
      <patternFill patternType="solid">
        <fgColor rgb="FF7BAB50"/>
        <bgColor indexed="64"/>
      </patternFill>
    </fill>
    <fill>
      <patternFill patternType="solid">
        <fgColor rgb="FF7CAC52"/>
        <bgColor indexed="64"/>
      </patternFill>
    </fill>
    <fill>
      <patternFill patternType="solid">
        <fgColor rgb="FF7EAF54"/>
        <bgColor indexed="64"/>
      </patternFill>
    </fill>
    <fill>
      <patternFill patternType="solid">
        <fgColor rgb="FF7DAF52"/>
        <bgColor indexed="64"/>
      </patternFill>
    </fill>
    <fill>
      <patternFill patternType="solid">
        <fgColor rgb="FF78AA4F"/>
        <bgColor indexed="64"/>
      </patternFill>
    </fill>
    <fill>
      <patternFill patternType="solid">
        <fgColor rgb="FF74A94C"/>
        <bgColor indexed="64"/>
      </patternFill>
    </fill>
    <fill>
      <patternFill patternType="solid">
        <fgColor rgb="FF71A648"/>
        <bgColor indexed="64"/>
      </patternFill>
    </fill>
    <fill>
      <patternFill patternType="solid">
        <fgColor rgb="FF70A84A"/>
        <bgColor indexed="64"/>
      </patternFill>
    </fill>
    <fill>
      <patternFill patternType="solid">
        <fgColor rgb="FF73A849"/>
        <bgColor indexed="64"/>
      </patternFill>
    </fill>
    <fill>
      <patternFill patternType="solid">
        <fgColor rgb="FF6E9C47"/>
        <bgColor indexed="64"/>
      </patternFill>
    </fill>
    <fill>
      <patternFill patternType="solid">
        <fgColor rgb="FF5F853D"/>
        <bgColor indexed="64"/>
      </patternFill>
    </fill>
    <fill>
      <patternFill patternType="solid">
        <fgColor rgb="FF4F6A37"/>
        <bgColor indexed="64"/>
      </patternFill>
    </fill>
    <fill>
      <patternFill patternType="solid">
        <fgColor rgb="FF272C10"/>
        <bgColor indexed="64"/>
      </patternFill>
    </fill>
    <fill>
      <patternFill patternType="solid">
        <fgColor rgb="FF51702F"/>
        <bgColor indexed="64"/>
      </patternFill>
    </fill>
    <fill>
      <patternFill patternType="solid">
        <fgColor rgb="FF89BC69"/>
        <bgColor indexed="64"/>
      </patternFill>
    </fill>
    <fill>
      <patternFill patternType="solid">
        <fgColor rgb="FF86B86D"/>
        <bgColor indexed="64"/>
      </patternFill>
    </fill>
    <fill>
      <patternFill patternType="solid">
        <fgColor rgb="FF7CAD60"/>
        <bgColor indexed="64"/>
      </patternFill>
    </fill>
    <fill>
      <patternFill patternType="solid">
        <fgColor rgb="FF7AAE60"/>
        <bgColor indexed="64"/>
      </patternFill>
    </fill>
    <fill>
      <patternFill patternType="solid">
        <fgColor rgb="FF7DB263"/>
        <bgColor indexed="64"/>
      </patternFill>
    </fill>
    <fill>
      <patternFill patternType="solid">
        <fgColor rgb="FF319BF8"/>
        <bgColor indexed="64"/>
      </patternFill>
    </fill>
    <fill>
      <patternFill patternType="solid">
        <fgColor rgb="FF319CF3"/>
        <bgColor indexed="64"/>
      </patternFill>
    </fill>
    <fill>
      <patternFill patternType="solid">
        <fgColor rgb="FF4B6383"/>
        <bgColor indexed="64"/>
      </patternFill>
    </fill>
    <fill>
      <patternFill patternType="solid">
        <fgColor rgb="FF6F5862"/>
        <bgColor indexed="64"/>
      </patternFill>
    </fill>
    <fill>
      <patternFill patternType="solid">
        <fgColor rgb="FF806D64"/>
        <bgColor indexed="64"/>
      </patternFill>
    </fill>
    <fill>
      <patternFill patternType="solid">
        <fgColor rgb="FF6987A7"/>
        <bgColor indexed="64"/>
      </patternFill>
    </fill>
    <fill>
      <patternFill patternType="solid">
        <fgColor rgb="FF269EFF"/>
        <bgColor indexed="64"/>
      </patternFill>
    </fill>
    <fill>
      <patternFill patternType="solid">
        <fgColor rgb="FF35A0F7"/>
        <bgColor indexed="64"/>
      </patternFill>
    </fill>
    <fill>
      <patternFill patternType="solid">
        <fgColor rgb="FF36A5FD"/>
        <bgColor indexed="64"/>
      </patternFill>
    </fill>
    <fill>
      <patternFill patternType="solid">
        <fgColor rgb="FF32A1FA"/>
        <bgColor indexed="64"/>
      </patternFill>
    </fill>
    <fill>
      <patternFill patternType="solid">
        <fgColor rgb="FF33A4FA"/>
        <bgColor indexed="64"/>
      </patternFill>
    </fill>
    <fill>
      <patternFill patternType="solid">
        <fgColor rgb="FF37A3F9"/>
        <bgColor indexed="64"/>
      </patternFill>
    </fill>
    <fill>
      <patternFill patternType="solid">
        <fgColor rgb="FF31A4FF"/>
        <bgColor indexed="64"/>
      </patternFill>
    </fill>
    <fill>
      <patternFill patternType="solid">
        <fgColor rgb="FF5A979F"/>
        <bgColor indexed="64"/>
      </patternFill>
    </fill>
    <fill>
      <patternFill patternType="solid">
        <fgColor rgb="FFAA9720"/>
        <bgColor indexed="64"/>
      </patternFill>
    </fill>
    <fill>
      <patternFill patternType="solid">
        <fgColor rgb="FFBEBE38"/>
        <bgColor indexed="64"/>
      </patternFill>
    </fill>
    <fill>
      <patternFill patternType="solid">
        <fgColor rgb="FF378CCA"/>
        <bgColor indexed="64"/>
      </patternFill>
    </fill>
    <fill>
      <patternFill patternType="solid">
        <fgColor rgb="FF3DA8F9"/>
        <bgColor indexed="64"/>
      </patternFill>
    </fill>
    <fill>
      <patternFill patternType="solid">
        <fgColor rgb="FF3DA9FA"/>
        <bgColor indexed="64"/>
      </patternFill>
    </fill>
    <fill>
      <patternFill patternType="solid">
        <fgColor rgb="FF40ABFB"/>
        <bgColor indexed="64"/>
      </patternFill>
    </fill>
    <fill>
      <patternFill patternType="solid">
        <fgColor rgb="FF43AEFA"/>
        <bgColor indexed="64"/>
      </patternFill>
    </fill>
    <fill>
      <patternFill patternType="solid">
        <fgColor rgb="FF506BA4"/>
        <bgColor indexed="64"/>
      </patternFill>
    </fill>
    <fill>
      <patternFill patternType="solid">
        <fgColor rgb="FF5C4367"/>
        <bgColor indexed="64"/>
      </patternFill>
    </fill>
    <fill>
      <patternFill patternType="solid">
        <fgColor rgb="FF7D517A"/>
        <bgColor indexed="64"/>
      </patternFill>
    </fill>
    <fill>
      <patternFill patternType="solid">
        <fgColor rgb="FF945A8C"/>
        <bgColor indexed="64"/>
      </patternFill>
    </fill>
    <fill>
      <patternFill patternType="solid">
        <fgColor rgb="FF71416C"/>
        <bgColor indexed="64"/>
      </patternFill>
    </fill>
    <fill>
      <patternFill patternType="solid">
        <fgColor rgb="FF7A4A73"/>
        <bgColor indexed="64"/>
      </patternFill>
    </fill>
    <fill>
      <patternFill patternType="solid">
        <fgColor rgb="FF4C3C29"/>
        <bgColor indexed="64"/>
      </patternFill>
    </fill>
    <fill>
      <patternFill patternType="solid">
        <fgColor rgb="FF525138"/>
        <bgColor indexed="64"/>
      </patternFill>
    </fill>
    <fill>
      <patternFill patternType="solid">
        <fgColor rgb="FF5D7540"/>
        <bgColor indexed="64"/>
      </patternFill>
    </fill>
    <fill>
      <patternFill patternType="solid">
        <fgColor rgb="FF495128"/>
        <bgColor indexed="64"/>
      </patternFill>
    </fill>
    <fill>
      <patternFill patternType="solid">
        <fgColor rgb="FF9D6F63"/>
        <bgColor indexed="64"/>
      </patternFill>
    </fill>
    <fill>
      <patternFill patternType="solid">
        <fgColor rgb="FFBA6579"/>
        <bgColor indexed="64"/>
      </patternFill>
    </fill>
    <fill>
      <patternFill patternType="solid">
        <fgColor rgb="FFF983AD"/>
        <bgColor indexed="64"/>
      </patternFill>
    </fill>
    <fill>
      <patternFill patternType="solid">
        <fgColor rgb="FFFE83AF"/>
        <bgColor indexed="64"/>
      </patternFill>
    </fill>
    <fill>
      <patternFill patternType="solid">
        <fgColor rgb="FFFF88B7"/>
        <bgColor indexed="64"/>
      </patternFill>
    </fill>
    <fill>
      <patternFill patternType="solid">
        <fgColor rgb="FFD96C95"/>
        <bgColor indexed="64"/>
      </patternFill>
    </fill>
    <fill>
      <patternFill patternType="solid">
        <fgColor rgb="FFC46486"/>
        <bgColor indexed="64"/>
      </patternFill>
    </fill>
    <fill>
      <patternFill patternType="solid">
        <fgColor rgb="FF836D59"/>
        <bgColor indexed="64"/>
      </patternFill>
    </fill>
    <fill>
      <patternFill patternType="solid">
        <fgColor rgb="FF74A146"/>
        <bgColor indexed="64"/>
      </patternFill>
    </fill>
    <fill>
      <patternFill patternType="solid">
        <fgColor rgb="FF757F37"/>
        <bgColor indexed="64"/>
      </patternFill>
    </fill>
    <fill>
      <patternFill patternType="solid">
        <fgColor rgb="FF646A29"/>
        <bgColor indexed="64"/>
      </patternFill>
    </fill>
    <fill>
      <patternFill patternType="solid">
        <fgColor rgb="FF7AAB47"/>
        <bgColor indexed="64"/>
      </patternFill>
    </fill>
    <fill>
      <patternFill patternType="solid">
        <fgColor rgb="FF79A547"/>
        <bgColor indexed="64"/>
      </patternFill>
    </fill>
    <fill>
      <patternFill patternType="solid">
        <fgColor rgb="FF6E8B4A"/>
        <bgColor indexed="64"/>
      </patternFill>
    </fill>
    <fill>
      <patternFill patternType="solid">
        <fgColor rgb="FF739946"/>
        <bgColor indexed="64"/>
      </patternFill>
    </fill>
    <fill>
      <patternFill patternType="solid">
        <fgColor rgb="FF709546"/>
        <bgColor indexed="64"/>
      </patternFill>
    </fill>
    <fill>
      <patternFill patternType="solid">
        <fgColor rgb="FF6C9A40"/>
        <bgColor indexed="64"/>
      </patternFill>
    </fill>
    <fill>
      <patternFill patternType="solid">
        <fgColor rgb="FF77A444"/>
        <bgColor indexed="64"/>
      </patternFill>
    </fill>
    <fill>
      <patternFill patternType="solid">
        <fgColor rgb="FF78AE48"/>
        <bgColor indexed="64"/>
      </patternFill>
    </fill>
    <fill>
      <patternFill patternType="solid">
        <fgColor rgb="FF7F7845"/>
        <bgColor indexed="64"/>
      </patternFill>
    </fill>
    <fill>
      <patternFill patternType="solid">
        <fgColor rgb="FFAD3F4D"/>
        <bgColor indexed="64"/>
      </patternFill>
    </fill>
    <fill>
      <patternFill patternType="solid">
        <fgColor rgb="FFDE5265"/>
        <bgColor indexed="64"/>
      </patternFill>
    </fill>
    <fill>
      <patternFill patternType="solid">
        <fgColor rgb="FFE9547E"/>
        <bgColor indexed="64"/>
      </patternFill>
    </fill>
    <fill>
      <patternFill patternType="solid">
        <fgColor rgb="FFB58B36"/>
        <bgColor indexed="64"/>
      </patternFill>
    </fill>
    <fill>
      <patternFill patternType="solid">
        <fgColor rgb="FFFFFF35"/>
        <bgColor indexed="64"/>
      </patternFill>
    </fill>
    <fill>
      <patternFill patternType="solid">
        <fgColor rgb="FFC2743A"/>
        <bgColor indexed="64"/>
      </patternFill>
    </fill>
    <fill>
      <patternFill patternType="solid">
        <fgColor rgb="FFF05378"/>
        <bgColor indexed="64"/>
      </patternFill>
    </fill>
    <fill>
      <patternFill patternType="solid">
        <fgColor rgb="FFBC4E60"/>
        <bgColor indexed="64"/>
      </patternFill>
    </fill>
    <fill>
      <patternFill patternType="solid">
        <fgColor rgb="FF7A5444"/>
        <bgColor indexed="64"/>
      </patternFill>
    </fill>
    <fill>
      <patternFill patternType="solid">
        <fgColor rgb="FF7E7840"/>
        <bgColor indexed="64"/>
      </patternFill>
    </fill>
    <fill>
      <patternFill patternType="solid">
        <fgColor rgb="FF7BA747"/>
        <bgColor indexed="64"/>
      </patternFill>
    </fill>
    <fill>
      <patternFill patternType="solid">
        <fgColor rgb="FF7BAC4F"/>
        <bgColor indexed="64"/>
      </patternFill>
    </fill>
    <fill>
      <patternFill patternType="solid">
        <fgColor rgb="FF7EAF53"/>
        <bgColor indexed="64"/>
      </patternFill>
    </fill>
    <fill>
      <patternFill patternType="solid">
        <fgColor rgb="FF7DAF4F"/>
        <bgColor indexed="64"/>
      </patternFill>
    </fill>
    <fill>
      <patternFill patternType="solid">
        <fgColor rgb="FF7EAF4D"/>
        <bgColor indexed="64"/>
      </patternFill>
    </fill>
    <fill>
      <patternFill patternType="solid">
        <fgColor rgb="FF7BAE4E"/>
        <bgColor indexed="64"/>
      </patternFill>
    </fill>
    <fill>
      <patternFill patternType="solid">
        <fgColor rgb="FF77AB4C"/>
        <bgColor indexed="64"/>
      </patternFill>
    </fill>
    <fill>
      <patternFill patternType="solid">
        <fgColor rgb="FF72A849"/>
        <bgColor indexed="64"/>
      </patternFill>
    </fill>
    <fill>
      <patternFill patternType="solid">
        <fgColor rgb="FF70A548"/>
        <bgColor indexed="64"/>
      </patternFill>
    </fill>
    <fill>
      <patternFill patternType="solid">
        <fgColor rgb="FF76AA4B"/>
        <bgColor indexed="64"/>
      </patternFill>
    </fill>
    <fill>
      <patternFill patternType="solid">
        <fgColor rgb="FF6AA04B"/>
        <bgColor indexed="64"/>
      </patternFill>
    </fill>
    <fill>
      <patternFill patternType="solid">
        <fgColor rgb="FF89922D"/>
        <bgColor indexed="64"/>
      </patternFill>
    </fill>
    <fill>
      <patternFill patternType="solid">
        <fgColor rgb="FF848F2C"/>
        <bgColor indexed="64"/>
      </patternFill>
    </fill>
    <fill>
      <patternFill patternType="solid">
        <fgColor rgb="FF7DAE5C"/>
        <bgColor indexed="64"/>
      </patternFill>
    </fill>
    <fill>
      <patternFill patternType="solid">
        <fgColor rgb="FF84B668"/>
        <bgColor indexed="64"/>
      </patternFill>
    </fill>
    <fill>
      <patternFill patternType="solid">
        <fgColor rgb="FF7DAF63"/>
        <bgColor indexed="64"/>
      </patternFill>
    </fill>
    <fill>
      <patternFill patternType="solid">
        <fgColor rgb="FF79AD5E"/>
        <bgColor indexed="64"/>
      </patternFill>
    </fill>
    <fill>
      <patternFill patternType="solid">
        <fgColor rgb="FF7AAE61"/>
        <bgColor indexed="64"/>
      </patternFill>
    </fill>
    <fill>
      <patternFill patternType="solid">
        <fgColor rgb="FF7BB162"/>
        <bgColor indexed="64"/>
      </patternFill>
    </fill>
    <fill>
      <patternFill patternType="solid">
        <fgColor rgb="FF34A5FF"/>
        <bgColor indexed="64"/>
      </patternFill>
    </fill>
    <fill>
      <patternFill patternType="solid">
        <fgColor rgb="FF319BF6"/>
        <bgColor indexed="64"/>
      </patternFill>
    </fill>
    <fill>
      <patternFill patternType="solid">
        <fgColor rgb="FF3B5E76"/>
        <bgColor indexed="64"/>
      </patternFill>
    </fill>
    <fill>
      <patternFill patternType="solid">
        <fgColor rgb="FF385A75"/>
        <bgColor indexed="64"/>
      </patternFill>
    </fill>
    <fill>
      <patternFill patternType="solid">
        <fgColor rgb="FF416DA0"/>
        <bgColor indexed="64"/>
      </patternFill>
    </fill>
    <fill>
      <patternFill patternType="solid">
        <fgColor rgb="FF3D9BEB"/>
        <bgColor indexed="64"/>
      </patternFill>
    </fill>
    <fill>
      <patternFill patternType="solid">
        <fgColor rgb="FF37AAFF"/>
        <bgColor indexed="64"/>
      </patternFill>
    </fill>
    <fill>
      <patternFill patternType="solid">
        <fgColor rgb="FF37A6F9"/>
        <bgColor indexed="64"/>
      </patternFill>
    </fill>
    <fill>
      <patternFill patternType="solid">
        <fgColor rgb="FF34A1F8"/>
        <bgColor indexed="64"/>
      </patternFill>
    </fill>
    <fill>
      <patternFill patternType="solid">
        <fgColor rgb="FF34A2FA"/>
        <bgColor indexed="64"/>
      </patternFill>
    </fill>
    <fill>
      <patternFill patternType="solid">
        <fgColor rgb="FF38A7FF"/>
        <bgColor indexed="64"/>
      </patternFill>
    </fill>
    <fill>
      <patternFill patternType="solid">
        <fgColor rgb="FF446F7D"/>
        <bgColor indexed="64"/>
      </patternFill>
    </fill>
    <fill>
      <patternFill patternType="solid">
        <fgColor rgb="FF6F5F0F"/>
        <bgColor indexed="64"/>
      </patternFill>
    </fill>
    <fill>
      <patternFill patternType="solid">
        <fgColor rgb="FF7F8642"/>
        <bgColor indexed="64"/>
      </patternFill>
    </fill>
    <fill>
      <patternFill patternType="solid">
        <fgColor rgb="FF318FE2"/>
        <bgColor indexed="64"/>
      </patternFill>
    </fill>
    <fill>
      <patternFill patternType="solid">
        <fgColor rgb="FF39A6F8"/>
        <bgColor indexed="64"/>
      </patternFill>
    </fill>
    <fill>
      <patternFill patternType="solid">
        <fgColor rgb="FF45AFFA"/>
        <bgColor indexed="64"/>
      </patternFill>
    </fill>
    <fill>
      <patternFill patternType="solid">
        <fgColor rgb="FF3893E2"/>
        <bgColor indexed="64"/>
      </patternFill>
    </fill>
    <fill>
      <patternFill patternType="solid">
        <fgColor rgb="FF42406E"/>
        <bgColor indexed="64"/>
      </patternFill>
    </fill>
    <fill>
      <patternFill patternType="solid">
        <fgColor rgb="FF714865"/>
        <bgColor indexed="64"/>
      </patternFill>
    </fill>
    <fill>
      <patternFill patternType="solid">
        <fgColor rgb="FF8F6B82"/>
        <bgColor indexed="64"/>
      </patternFill>
    </fill>
    <fill>
      <patternFill patternType="solid">
        <fgColor rgb="FF605850"/>
        <bgColor indexed="64"/>
      </patternFill>
    </fill>
    <fill>
      <patternFill patternType="solid">
        <fgColor rgb="FF5A673A"/>
        <bgColor indexed="64"/>
      </patternFill>
    </fill>
    <fill>
      <patternFill patternType="solid">
        <fgColor rgb="FFA4A235"/>
        <bgColor indexed="64"/>
      </patternFill>
    </fill>
    <fill>
      <patternFill patternType="solid">
        <fgColor rgb="FF7FA23E"/>
        <bgColor indexed="64"/>
      </patternFill>
    </fill>
    <fill>
      <patternFill patternType="solid">
        <fgColor rgb="FF83B853"/>
        <bgColor indexed="64"/>
      </patternFill>
    </fill>
    <fill>
      <patternFill patternType="solid">
        <fgColor rgb="FF81A44F"/>
        <bgColor indexed="64"/>
      </patternFill>
    </fill>
    <fill>
      <patternFill patternType="solid">
        <fgColor rgb="FF6C5A44"/>
        <bgColor indexed="64"/>
      </patternFill>
    </fill>
    <fill>
      <patternFill patternType="solid">
        <fgColor rgb="FFD1698C"/>
        <bgColor indexed="64"/>
      </patternFill>
    </fill>
    <fill>
      <patternFill patternType="solid">
        <fgColor rgb="FFFF89B7"/>
        <bgColor indexed="64"/>
      </patternFill>
    </fill>
    <fill>
      <patternFill patternType="solid">
        <fgColor rgb="FFEB76A0"/>
        <bgColor indexed="64"/>
      </patternFill>
    </fill>
    <fill>
      <patternFill patternType="solid">
        <fgColor rgb="FFE6729E"/>
        <bgColor indexed="64"/>
      </patternFill>
    </fill>
    <fill>
      <patternFill patternType="solid">
        <fgColor rgb="FFC75E8B"/>
        <bgColor indexed="64"/>
      </patternFill>
    </fill>
    <fill>
      <patternFill patternType="solid">
        <fgColor rgb="FF6B6446"/>
        <bgColor indexed="64"/>
      </patternFill>
    </fill>
    <fill>
      <patternFill patternType="solid">
        <fgColor rgb="FF84A552"/>
        <bgColor indexed="64"/>
      </patternFill>
    </fill>
    <fill>
      <patternFill patternType="solid">
        <fgColor rgb="FF79A44B"/>
        <bgColor indexed="64"/>
      </patternFill>
    </fill>
    <fill>
      <patternFill patternType="solid">
        <fgColor rgb="FF80B151"/>
        <bgColor indexed="64"/>
      </patternFill>
    </fill>
    <fill>
      <patternFill patternType="solid">
        <fgColor rgb="FF405027"/>
        <bgColor indexed="64"/>
      </patternFill>
    </fill>
    <fill>
      <patternFill patternType="solid">
        <fgColor rgb="FF2F3615"/>
        <bgColor indexed="64"/>
      </patternFill>
    </fill>
    <fill>
      <patternFill patternType="solid">
        <fgColor rgb="FF7BA748"/>
        <bgColor indexed="64"/>
      </patternFill>
    </fill>
    <fill>
      <patternFill patternType="solid">
        <fgColor rgb="FF7BAC48"/>
        <bgColor indexed="64"/>
      </patternFill>
    </fill>
    <fill>
      <patternFill patternType="solid">
        <fgColor rgb="FF79AB49"/>
        <bgColor indexed="64"/>
      </patternFill>
    </fill>
    <fill>
      <patternFill patternType="solid">
        <fgColor rgb="FF78AB49"/>
        <bgColor indexed="64"/>
      </patternFill>
    </fill>
    <fill>
      <patternFill patternType="solid">
        <fgColor rgb="FF75A845"/>
        <bgColor indexed="64"/>
      </patternFill>
    </fill>
    <fill>
      <patternFill patternType="solid">
        <fgColor rgb="FF7AAA47"/>
        <bgColor indexed="64"/>
      </patternFill>
    </fill>
    <fill>
      <patternFill patternType="solid">
        <fgColor rgb="FF71A344"/>
        <bgColor indexed="64"/>
      </patternFill>
    </fill>
    <fill>
      <patternFill patternType="solid">
        <fgColor rgb="FF917147"/>
        <bgColor indexed="64"/>
      </patternFill>
    </fill>
    <fill>
      <patternFill patternType="solid">
        <fgColor rgb="FF926246"/>
        <bgColor indexed="64"/>
      </patternFill>
    </fill>
    <fill>
      <patternFill patternType="solid">
        <fgColor rgb="FFD15A63"/>
        <bgColor indexed="64"/>
      </patternFill>
    </fill>
    <fill>
      <patternFill patternType="solid">
        <fgColor rgb="FFD34E6C"/>
        <bgColor indexed="64"/>
      </patternFill>
    </fill>
    <fill>
      <patternFill patternType="solid">
        <fgColor rgb="FFD3C431"/>
        <bgColor indexed="64"/>
      </patternFill>
    </fill>
    <fill>
      <patternFill patternType="solid">
        <fgColor rgb="FFFCF836"/>
        <bgColor indexed="64"/>
      </patternFill>
    </fill>
    <fill>
      <patternFill patternType="solid">
        <fgColor rgb="FFC35C45"/>
        <bgColor indexed="64"/>
      </patternFill>
    </fill>
    <fill>
      <patternFill patternType="solid">
        <fgColor rgb="FFDA4E6D"/>
        <bgColor indexed="64"/>
      </patternFill>
    </fill>
    <fill>
      <patternFill patternType="solid">
        <fgColor rgb="FF8A7E4B"/>
        <bgColor indexed="64"/>
      </patternFill>
    </fill>
    <fill>
      <patternFill patternType="solid">
        <fgColor rgb="FF70A93E"/>
        <bgColor indexed="64"/>
      </patternFill>
    </fill>
    <fill>
      <patternFill patternType="solid">
        <fgColor rgb="FF74AC41"/>
        <bgColor indexed="64"/>
      </patternFill>
    </fill>
    <fill>
      <patternFill patternType="solid">
        <fgColor rgb="FF7AAB49"/>
        <bgColor indexed="64"/>
      </patternFill>
    </fill>
    <fill>
      <patternFill patternType="solid">
        <fgColor rgb="FF7EAF4E"/>
        <bgColor indexed="64"/>
      </patternFill>
    </fill>
    <fill>
      <patternFill patternType="solid">
        <fgColor rgb="FF7FAE4F"/>
        <bgColor indexed="64"/>
      </patternFill>
    </fill>
    <fill>
      <patternFill patternType="solid">
        <fgColor rgb="FF7CAE4E"/>
        <bgColor indexed="64"/>
      </patternFill>
    </fill>
    <fill>
      <patternFill patternType="solid">
        <fgColor rgb="FF78AA4C"/>
        <bgColor indexed="64"/>
      </patternFill>
    </fill>
    <fill>
      <patternFill patternType="solid">
        <fgColor rgb="FF79AB4F"/>
        <bgColor indexed="64"/>
      </patternFill>
    </fill>
    <fill>
      <patternFill patternType="solid">
        <fgColor rgb="FF77AA4E"/>
        <bgColor indexed="64"/>
      </patternFill>
    </fill>
    <fill>
      <patternFill patternType="solid">
        <fgColor rgb="FF72A649"/>
        <bgColor indexed="64"/>
      </patternFill>
    </fill>
    <fill>
      <patternFill patternType="solid">
        <fgColor rgb="FF70A449"/>
        <bgColor indexed="64"/>
      </patternFill>
    </fill>
    <fill>
      <patternFill patternType="solid">
        <fgColor rgb="FF73A949"/>
        <bgColor indexed="64"/>
      </patternFill>
    </fill>
    <fill>
      <patternFill patternType="solid">
        <fgColor rgb="FF73AA4B"/>
        <bgColor indexed="64"/>
      </patternFill>
    </fill>
    <fill>
      <patternFill patternType="solid">
        <fgColor rgb="FF678635"/>
        <bgColor indexed="64"/>
      </patternFill>
    </fill>
    <fill>
      <patternFill patternType="solid">
        <fgColor rgb="FFC1BE2D"/>
        <bgColor indexed="64"/>
      </patternFill>
    </fill>
    <fill>
      <patternFill patternType="solid">
        <fgColor rgb="FF719740"/>
        <bgColor indexed="64"/>
      </patternFill>
    </fill>
    <fill>
      <patternFill patternType="solid">
        <fgColor rgb="FF81B665"/>
        <bgColor indexed="64"/>
      </patternFill>
    </fill>
    <fill>
      <patternFill patternType="solid">
        <fgColor rgb="FF7EB161"/>
        <bgColor indexed="64"/>
      </patternFill>
    </fill>
    <fill>
      <patternFill patternType="solid">
        <fgColor rgb="FF7AAF60"/>
        <bgColor indexed="64"/>
      </patternFill>
    </fill>
    <fill>
      <patternFill patternType="solid">
        <fgColor rgb="FF77AD5E"/>
        <bgColor indexed="64"/>
      </patternFill>
    </fill>
    <fill>
      <patternFill patternType="solid">
        <fgColor rgb="FF5AA0B3"/>
        <bgColor indexed="64"/>
      </patternFill>
    </fill>
    <fill>
      <patternFill patternType="solid">
        <fgColor rgb="FF61928E"/>
        <bgColor indexed="64"/>
      </patternFill>
    </fill>
    <fill>
      <patternFill patternType="solid">
        <fgColor rgb="FF2C9AFC"/>
        <bgColor indexed="64"/>
      </patternFill>
    </fill>
    <fill>
      <patternFill patternType="solid">
        <fgColor rgb="FF318BD7"/>
        <bgColor indexed="64"/>
      </patternFill>
    </fill>
    <fill>
      <patternFill patternType="solid">
        <fgColor rgb="FF348BD7"/>
        <bgColor indexed="64"/>
      </patternFill>
    </fill>
    <fill>
      <patternFill patternType="solid">
        <fgColor rgb="FF37A7FF"/>
        <bgColor indexed="64"/>
      </patternFill>
    </fill>
    <fill>
      <patternFill patternType="solid">
        <fgColor rgb="FF33A8FF"/>
        <bgColor indexed="64"/>
      </patternFill>
    </fill>
    <fill>
      <patternFill patternType="solid">
        <fgColor rgb="FF34A4FB"/>
        <bgColor indexed="64"/>
      </patternFill>
    </fill>
    <fill>
      <patternFill patternType="solid">
        <fgColor rgb="FF3BA3FA"/>
        <bgColor indexed="64"/>
      </patternFill>
    </fill>
    <fill>
      <patternFill patternType="solid">
        <fgColor rgb="FF2D4552"/>
        <bgColor indexed="64"/>
      </patternFill>
    </fill>
    <fill>
      <patternFill patternType="solid">
        <fgColor rgb="FF362904"/>
        <bgColor indexed="64"/>
      </patternFill>
    </fill>
    <fill>
      <patternFill patternType="solid">
        <fgColor rgb="FF2B3E53"/>
        <bgColor indexed="64"/>
      </patternFill>
    </fill>
    <fill>
      <patternFill patternType="solid">
        <fgColor rgb="FF3CA0F4"/>
        <bgColor indexed="64"/>
      </patternFill>
    </fill>
    <fill>
      <patternFill patternType="solid">
        <fgColor rgb="FF3CA8F9"/>
        <bgColor indexed="64"/>
      </patternFill>
    </fill>
    <fill>
      <patternFill patternType="solid">
        <fgColor rgb="FF3BAEFF"/>
        <bgColor indexed="64"/>
      </patternFill>
    </fill>
    <fill>
      <patternFill patternType="solid">
        <fgColor rgb="FF38A4FC"/>
        <bgColor indexed="64"/>
      </patternFill>
    </fill>
    <fill>
      <patternFill patternType="solid">
        <fgColor rgb="FF3491E4"/>
        <bgColor indexed="64"/>
      </patternFill>
    </fill>
    <fill>
      <patternFill patternType="solid">
        <fgColor rgb="FF3D7AA2"/>
        <bgColor indexed="64"/>
      </patternFill>
    </fill>
    <fill>
      <patternFill patternType="solid">
        <fgColor rgb="FF576F4C"/>
        <bgColor indexed="64"/>
      </patternFill>
    </fill>
    <fill>
      <patternFill patternType="solid">
        <fgColor rgb="FF709145"/>
        <bgColor indexed="64"/>
      </patternFill>
    </fill>
    <fill>
      <patternFill patternType="solid">
        <fgColor rgb="FF76A343"/>
        <bgColor indexed="64"/>
      </patternFill>
    </fill>
    <fill>
      <patternFill patternType="solid">
        <fgColor rgb="FF76A743"/>
        <bgColor indexed="64"/>
      </patternFill>
    </fill>
    <fill>
      <patternFill patternType="solid">
        <fgColor rgb="FF86A946"/>
        <bgColor indexed="64"/>
      </patternFill>
    </fill>
    <fill>
      <patternFill patternType="solid">
        <fgColor rgb="FFB7BA41"/>
        <bgColor indexed="64"/>
      </patternFill>
    </fill>
    <fill>
      <patternFill patternType="solid">
        <fgColor rgb="FF7CA048"/>
        <bgColor indexed="64"/>
      </patternFill>
    </fill>
    <fill>
      <patternFill patternType="solid">
        <fgColor rgb="FF88B35B"/>
        <bgColor indexed="64"/>
      </patternFill>
    </fill>
    <fill>
      <patternFill patternType="solid">
        <fgColor rgb="FF6F9345"/>
        <bgColor indexed="64"/>
      </patternFill>
    </fill>
    <fill>
      <patternFill patternType="solid">
        <fgColor rgb="FF7B5C45"/>
        <bgColor indexed="64"/>
      </patternFill>
    </fill>
    <fill>
      <patternFill patternType="solid">
        <fgColor rgb="FFD3678D"/>
        <bgColor indexed="64"/>
      </patternFill>
    </fill>
    <fill>
      <patternFill patternType="solid">
        <fgColor rgb="FFA95571"/>
        <bgColor indexed="64"/>
      </patternFill>
    </fill>
    <fill>
      <patternFill patternType="solid">
        <fgColor rgb="FFBB5773"/>
        <bgColor indexed="64"/>
      </patternFill>
    </fill>
    <fill>
      <patternFill patternType="solid">
        <fgColor rgb="FFFF84B3"/>
        <bgColor indexed="64"/>
      </patternFill>
    </fill>
    <fill>
      <patternFill patternType="solid">
        <fgColor rgb="FFED77A2"/>
        <bgColor indexed="64"/>
      </patternFill>
    </fill>
    <fill>
      <patternFill patternType="solid">
        <fgColor rgb="FFFF87B5"/>
        <bgColor indexed="64"/>
      </patternFill>
    </fill>
    <fill>
      <patternFill patternType="solid">
        <fgColor rgb="FFD0748E"/>
        <bgColor indexed="64"/>
      </patternFill>
    </fill>
    <fill>
      <patternFill patternType="solid">
        <fgColor rgb="FF794F4E"/>
        <bgColor indexed="64"/>
      </patternFill>
    </fill>
    <fill>
      <patternFill patternType="solid">
        <fgColor rgb="FF6F744A"/>
        <bgColor indexed="64"/>
      </patternFill>
    </fill>
    <fill>
      <patternFill patternType="solid">
        <fgColor rgb="FF84B755"/>
        <bgColor indexed="64"/>
      </patternFill>
    </fill>
    <fill>
      <patternFill patternType="solid">
        <fgColor rgb="FF7EAB4D"/>
        <bgColor indexed="64"/>
      </patternFill>
    </fill>
    <fill>
      <patternFill patternType="solid">
        <fgColor rgb="FF77813B"/>
        <bgColor indexed="64"/>
      </patternFill>
    </fill>
    <fill>
      <patternFill patternType="solid">
        <fgColor rgb="FF606426"/>
        <bgColor indexed="64"/>
      </patternFill>
    </fill>
    <fill>
      <patternFill patternType="solid">
        <fgColor rgb="FF74A347"/>
        <bgColor indexed="64"/>
      </patternFill>
    </fill>
    <fill>
      <patternFill patternType="solid">
        <fgColor rgb="FF78A747"/>
        <bgColor indexed="64"/>
      </patternFill>
    </fill>
    <fill>
      <patternFill patternType="solid">
        <fgColor rgb="FF75A546"/>
        <bgColor indexed="64"/>
      </patternFill>
    </fill>
    <fill>
      <patternFill patternType="solid">
        <fgColor rgb="FF74A545"/>
        <bgColor indexed="64"/>
      </patternFill>
    </fill>
    <fill>
      <patternFill patternType="solid">
        <fgColor rgb="FF77A745"/>
        <bgColor indexed="64"/>
      </patternFill>
    </fill>
    <fill>
      <patternFill patternType="solid">
        <fgColor rgb="FF77A843"/>
        <bgColor indexed="64"/>
      </patternFill>
    </fill>
    <fill>
      <patternFill patternType="solid">
        <fgColor rgb="FF78A744"/>
        <bgColor indexed="64"/>
      </patternFill>
    </fill>
    <fill>
      <patternFill patternType="solid">
        <fgColor rgb="FF71AF44"/>
        <bgColor indexed="64"/>
      </patternFill>
    </fill>
    <fill>
      <patternFill patternType="solid">
        <fgColor rgb="FF719341"/>
        <bgColor indexed="64"/>
      </patternFill>
    </fill>
    <fill>
      <patternFill patternType="solid">
        <fgColor rgb="FFA34A50"/>
        <bgColor indexed="64"/>
      </patternFill>
    </fill>
    <fill>
      <patternFill patternType="solid">
        <fgColor rgb="FFB35B46"/>
        <bgColor indexed="64"/>
      </patternFill>
    </fill>
    <fill>
      <patternFill patternType="solid">
        <fgColor rgb="FFEDD534"/>
        <bgColor indexed="64"/>
      </patternFill>
    </fill>
    <fill>
      <patternFill patternType="solid">
        <fgColor rgb="FF8A4D3A"/>
        <bgColor indexed="64"/>
      </patternFill>
    </fill>
    <fill>
      <patternFill patternType="solid">
        <fgColor rgb="FF6D633A"/>
        <bgColor indexed="64"/>
      </patternFill>
    </fill>
    <fill>
      <patternFill patternType="solid">
        <fgColor rgb="FF819246"/>
        <bgColor indexed="64"/>
      </patternFill>
    </fill>
    <fill>
      <patternFill patternType="solid">
        <fgColor rgb="FF75AB43"/>
        <bgColor indexed="64"/>
      </patternFill>
    </fill>
    <fill>
      <patternFill patternType="solid">
        <fgColor rgb="FF7AAC4B"/>
        <bgColor indexed="64"/>
      </patternFill>
    </fill>
    <fill>
      <patternFill patternType="solid">
        <fgColor rgb="FF7EAD4F"/>
        <bgColor indexed="64"/>
      </patternFill>
    </fill>
    <fill>
      <patternFill patternType="solid">
        <fgColor rgb="FF79A94E"/>
        <bgColor indexed="64"/>
      </patternFill>
    </fill>
    <fill>
      <patternFill patternType="solid">
        <fgColor rgb="FF76A74C"/>
        <bgColor indexed="64"/>
      </patternFill>
    </fill>
    <fill>
      <patternFill patternType="solid">
        <fgColor rgb="FF78AB4D"/>
        <bgColor indexed="64"/>
      </patternFill>
    </fill>
    <fill>
      <patternFill patternType="solid">
        <fgColor rgb="FF6CA147"/>
        <bgColor indexed="64"/>
      </patternFill>
    </fill>
    <fill>
      <patternFill patternType="solid">
        <fgColor rgb="FF78AC4C"/>
        <bgColor indexed="64"/>
      </patternFill>
    </fill>
    <fill>
      <patternFill patternType="solid">
        <fgColor rgb="FF6B9F48"/>
        <bgColor indexed="64"/>
      </patternFill>
    </fill>
    <fill>
      <patternFill patternType="solid">
        <fgColor rgb="FF99A430"/>
        <bgColor indexed="64"/>
      </patternFill>
    </fill>
    <fill>
      <patternFill patternType="solid">
        <fgColor rgb="FFA9B12E"/>
        <bgColor indexed="64"/>
      </patternFill>
    </fill>
    <fill>
      <patternFill patternType="solid">
        <fgColor rgb="FF6FA24F"/>
        <bgColor indexed="64"/>
      </patternFill>
    </fill>
    <fill>
      <patternFill patternType="solid">
        <fgColor rgb="FF81B560"/>
        <bgColor indexed="64"/>
      </patternFill>
    </fill>
    <fill>
      <patternFill patternType="solid">
        <fgColor rgb="FF7EB261"/>
        <bgColor indexed="64"/>
      </patternFill>
    </fill>
    <fill>
      <patternFill patternType="solid">
        <fgColor rgb="FF7CB160"/>
        <bgColor indexed="64"/>
      </patternFill>
    </fill>
    <fill>
      <patternFill patternType="solid">
        <fgColor rgb="FF7CB260"/>
        <bgColor indexed="64"/>
      </patternFill>
    </fill>
    <fill>
      <patternFill patternType="solid">
        <fgColor rgb="FF78B25F"/>
        <bgColor indexed="64"/>
      </patternFill>
    </fill>
    <fill>
      <patternFill patternType="solid">
        <fgColor rgb="FF32A0FF"/>
        <bgColor indexed="64"/>
      </patternFill>
    </fill>
    <fill>
      <patternFill patternType="solid">
        <fgColor rgb="FF2DA9FF"/>
        <bgColor indexed="64"/>
      </patternFill>
    </fill>
    <fill>
      <patternFill patternType="solid">
        <fgColor rgb="FF3B85AB"/>
        <bgColor indexed="64"/>
      </patternFill>
    </fill>
    <fill>
      <patternFill patternType="solid">
        <fgColor rgb="FF31709D"/>
        <bgColor indexed="64"/>
      </patternFill>
    </fill>
    <fill>
      <patternFill patternType="solid">
        <fgColor rgb="FF2F91EA"/>
        <bgColor indexed="64"/>
      </patternFill>
    </fill>
    <fill>
      <patternFill patternType="solid">
        <fgColor rgb="FF3F7074"/>
        <bgColor indexed="64"/>
      </patternFill>
    </fill>
    <fill>
      <patternFill patternType="solid">
        <fgColor rgb="FF4C6849"/>
        <bgColor indexed="64"/>
      </patternFill>
    </fill>
    <fill>
      <patternFill patternType="solid">
        <fgColor rgb="FF3C7585"/>
        <bgColor indexed="64"/>
      </patternFill>
    </fill>
    <fill>
      <patternFill patternType="solid">
        <fgColor rgb="FF367FB8"/>
        <bgColor indexed="64"/>
      </patternFill>
    </fill>
    <fill>
      <patternFill patternType="solid">
        <fgColor rgb="FF4F7DB5"/>
        <bgColor indexed="64"/>
      </patternFill>
    </fill>
    <fill>
      <patternFill patternType="solid">
        <fgColor rgb="FF38A1F6"/>
        <bgColor indexed="64"/>
      </patternFill>
    </fill>
    <fill>
      <patternFill patternType="solid">
        <fgColor rgb="FF36A9FF"/>
        <bgColor indexed="64"/>
      </patternFill>
    </fill>
    <fill>
      <patternFill patternType="solid">
        <fgColor rgb="FF34A0F9"/>
        <bgColor indexed="64"/>
      </patternFill>
    </fill>
    <fill>
      <patternFill patternType="solid">
        <fgColor rgb="FF36A0F9"/>
        <bgColor indexed="64"/>
      </patternFill>
    </fill>
    <fill>
      <patternFill patternType="solid">
        <fgColor rgb="FF36A4FD"/>
        <bgColor indexed="64"/>
      </patternFill>
    </fill>
    <fill>
      <patternFill patternType="solid">
        <fgColor rgb="FF3C9CE7"/>
        <bgColor indexed="64"/>
      </patternFill>
    </fill>
    <fill>
      <patternFill patternType="solid">
        <fgColor rgb="FF47513A"/>
        <bgColor indexed="64"/>
      </patternFill>
    </fill>
    <fill>
      <patternFill patternType="solid">
        <fgColor rgb="FF4A3B0E"/>
        <bgColor indexed="64"/>
      </patternFill>
    </fill>
    <fill>
      <patternFill patternType="solid">
        <fgColor rgb="FF2D5575"/>
        <bgColor indexed="64"/>
      </patternFill>
    </fill>
    <fill>
      <patternFill patternType="solid">
        <fgColor rgb="FF38A5FF"/>
        <bgColor indexed="64"/>
      </patternFill>
    </fill>
    <fill>
      <patternFill patternType="solid">
        <fgColor rgb="FF3396ED"/>
        <bgColor indexed="64"/>
      </patternFill>
    </fill>
    <fill>
      <patternFill patternType="solid">
        <fgColor rgb="FF3683C4"/>
        <bgColor indexed="64"/>
      </patternFill>
    </fill>
    <fill>
      <patternFill patternType="solid">
        <fgColor rgb="FF417A94"/>
        <bgColor indexed="64"/>
      </patternFill>
    </fill>
    <fill>
      <patternFill patternType="solid">
        <fgColor rgb="FF507F76"/>
        <bgColor indexed="64"/>
      </patternFill>
    </fill>
    <fill>
      <patternFill patternType="solid">
        <fgColor rgb="FF5C8255"/>
        <bgColor indexed="64"/>
      </patternFill>
    </fill>
    <fill>
      <patternFill patternType="solid">
        <fgColor rgb="FF769B43"/>
        <bgColor indexed="64"/>
      </patternFill>
    </fill>
    <fill>
      <patternFill patternType="solid">
        <fgColor rgb="FF83B24B"/>
        <bgColor indexed="64"/>
      </patternFill>
    </fill>
    <fill>
      <patternFill patternType="solid">
        <fgColor rgb="FF80AF4D"/>
        <bgColor indexed="64"/>
      </patternFill>
    </fill>
    <fill>
      <patternFill patternType="solid">
        <fgColor rgb="FF81AE4D"/>
        <bgColor indexed="64"/>
      </patternFill>
    </fill>
    <fill>
      <patternFill patternType="solid">
        <fgColor rgb="FF627930"/>
        <bgColor indexed="64"/>
      </patternFill>
    </fill>
    <fill>
      <patternFill patternType="solid">
        <fgColor rgb="FF61632E"/>
        <bgColor indexed="64"/>
      </patternFill>
    </fill>
    <fill>
      <patternFill patternType="solid">
        <fgColor rgb="FF82A951"/>
        <bgColor indexed="64"/>
      </patternFill>
    </fill>
    <fill>
      <patternFill patternType="solid">
        <fgColor rgb="FF86B254"/>
        <bgColor indexed="64"/>
      </patternFill>
    </fill>
    <fill>
      <patternFill patternType="solid">
        <fgColor rgb="FF6E8644"/>
        <bgColor indexed="64"/>
      </patternFill>
    </fill>
    <fill>
      <patternFill patternType="solid">
        <fgColor rgb="FF846E55"/>
        <bgColor indexed="64"/>
      </patternFill>
    </fill>
    <fill>
      <patternFill patternType="solid">
        <fgColor rgb="FF868C5D"/>
        <bgColor indexed="64"/>
      </patternFill>
    </fill>
    <fill>
      <patternFill patternType="solid">
        <fgColor rgb="FF856F53"/>
        <bgColor indexed="64"/>
      </patternFill>
    </fill>
    <fill>
      <patternFill patternType="solid">
        <fgColor rgb="FFE87199"/>
        <bgColor indexed="64"/>
      </patternFill>
    </fill>
    <fill>
      <patternFill patternType="solid">
        <fgColor rgb="FF874459"/>
        <bgColor indexed="64"/>
      </patternFill>
    </fill>
    <fill>
      <patternFill patternType="solid">
        <fgColor rgb="FFC3617D"/>
        <bgColor indexed="64"/>
      </patternFill>
    </fill>
    <fill>
      <patternFill patternType="solid">
        <fgColor rgb="FFEF77A9"/>
        <bgColor indexed="64"/>
      </patternFill>
    </fill>
    <fill>
      <patternFill patternType="solid">
        <fgColor rgb="FFB76C78"/>
        <bgColor indexed="64"/>
      </patternFill>
    </fill>
    <fill>
      <patternFill patternType="solid">
        <fgColor rgb="FF749A4B"/>
        <bgColor indexed="64"/>
      </patternFill>
    </fill>
    <fill>
      <patternFill patternType="solid">
        <fgColor rgb="FF688D44"/>
        <bgColor indexed="64"/>
      </patternFill>
    </fill>
    <fill>
      <patternFill patternType="solid">
        <fgColor rgb="FF80AD52"/>
        <bgColor indexed="64"/>
      </patternFill>
    </fill>
    <fill>
      <patternFill patternType="solid">
        <fgColor rgb="FF7CAB4C"/>
        <bgColor indexed="64"/>
      </patternFill>
    </fill>
    <fill>
      <patternFill patternType="solid">
        <fgColor rgb="FF78AA4D"/>
        <bgColor indexed="64"/>
      </patternFill>
    </fill>
    <fill>
      <patternFill patternType="solid">
        <fgColor rgb="FF7C8838"/>
        <bgColor indexed="64"/>
      </patternFill>
    </fill>
    <fill>
      <patternFill patternType="solid">
        <fgColor rgb="FF898C31"/>
        <bgColor indexed="64"/>
      </patternFill>
    </fill>
    <fill>
      <patternFill patternType="solid">
        <fgColor rgb="FF6E9E45"/>
        <bgColor indexed="64"/>
      </patternFill>
    </fill>
    <fill>
      <patternFill patternType="solid">
        <fgColor rgb="FF7AAA48"/>
        <bgColor indexed="64"/>
      </patternFill>
    </fill>
    <fill>
      <patternFill patternType="solid">
        <fgColor rgb="FF76A845"/>
        <bgColor indexed="64"/>
      </patternFill>
    </fill>
    <fill>
      <patternFill patternType="solid">
        <fgColor rgb="FF74A745"/>
        <bgColor indexed="64"/>
      </patternFill>
    </fill>
    <fill>
      <patternFill patternType="solid">
        <fgColor rgb="FF74A646"/>
        <bgColor indexed="64"/>
      </patternFill>
    </fill>
    <fill>
      <patternFill patternType="solid">
        <fgColor rgb="FF74A743"/>
        <bgColor indexed="64"/>
      </patternFill>
    </fill>
    <fill>
      <patternFill patternType="solid">
        <fgColor rgb="FF75A444"/>
        <bgColor indexed="64"/>
      </patternFill>
    </fill>
    <fill>
      <patternFill patternType="solid">
        <fgColor rgb="FF76A644"/>
        <bgColor indexed="64"/>
      </patternFill>
    </fill>
    <fill>
      <patternFill patternType="solid">
        <fgColor rgb="FF7BAB44"/>
        <bgColor indexed="64"/>
      </patternFill>
    </fill>
    <fill>
      <patternFill patternType="solid">
        <fgColor rgb="FF7DAD47"/>
        <bgColor indexed="64"/>
      </patternFill>
    </fill>
    <fill>
      <patternFill patternType="solid">
        <fgColor rgb="FF719245"/>
        <bgColor indexed="64"/>
      </patternFill>
    </fill>
    <fill>
      <patternFill patternType="solid">
        <fgColor rgb="FF937C2E"/>
        <bgColor indexed="64"/>
      </patternFill>
    </fill>
    <fill>
      <patternFill patternType="solid">
        <fgColor rgb="FFEFE937"/>
        <bgColor indexed="64"/>
      </patternFill>
    </fill>
    <fill>
      <patternFill patternType="solid">
        <fgColor rgb="FFAAA52A"/>
        <bgColor indexed="64"/>
      </patternFill>
    </fill>
    <fill>
      <patternFill patternType="solid">
        <fgColor rgb="FF537329"/>
        <bgColor indexed="64"/>
      </patternFill>
    </fill>
    <fill>
      <patternFill patternType="solid">
        <fgColor rgb="FF79B342"/>
        <bgColor indexed="64"/>
      </patternFill>
    </fill>
    <fill>
      <patternFill patternType="solid">
        <fgColor rgb="FF72A640"/>
        <bgColor indexed="64"/>
      </patternFill>
    </fill>
    <fill>
      <patternFill patternType="solid">
        <fgColor rgb="FF75A544"/>
        <bgColor indexed="64"/>
      </patternFill>
    </fill>
    <fill>
      <patternFill patternType="solid">
        <fgColor rgb="FF77A948"/>
        <bgColor indexed="64"/>
      </patternFill>
    </fill>
    <fill>
      <patternFill patternType="solid">
        <fgColor rgb="FF7BAC4E"/>
        <bgColor indexed="64"/>
      </patternFill>
    </fill>
    <fill>
      <patternFill patternType="solid">
        <fgColor rgb="FF7BAE4C"/>
        <bgColor indexed="64"/>
      </patternFill>
    </fill>
    <fill>
      <patternFill patternType="solid">
        <fgColor rgb="FF74A747"/>
        <bgColor indexed="64"/>
      </patternFill>
    </fill>
    <fill>
      <patternFill patternType="solid">
        <fgColor rgb="FF75A84A"/>
        <bgColor indexed="64"/>
      </patternFill>
    </fill>
    <fill>
      <patternFill patternType="solid">
        <fgColor rgb="FF77AA4C"/>
        <bgColor indexed="64"/>
      </patternFill>
    </fill>
    <fill>
      <patternFill patternType="solid">
        <fgColor rgb="FF72A748"/>
        <bgColor indexed="64"/>
      </patternFill>
    </fill>
    <fill>
      <patternFill patternType="solid">
        <fgColor rgb="FF6EA646"/>
        <bgColor indexed="64"/>
      </patternFill>
    </fill>
    <fill>
      <patternFill patternType="solid">
        <fgColor rgb="FF6FA647"/>
        <bgColor indexed="64"/>
      </patternFill>
    </fill>
    <fill>
      <patternFill patternType="solid">
        <fgColor rgb="FF6CA148"/>
        <bgColor indexed="64"/>
      </patternFill>
    </fill>
    <fill>
      <patternFill patternType="solid">
        <fgColor rgb="FF79B04B"/>
        <bgColor indexed="64"/>
      </patternFill>
    </fill>
    <fill>
      <patternFill patternType="solid">
        <fgColor rgb="FF5B853D"/>
        <bgColor indexed="64"/>
      </patternFill>
    </fill>
    <fill>
      <patternFill patternType="solid">
        <fgColor rgb="FF5C5C18"/>
        <bgColor indexed="64"/>
      </patternFill>
    </fill>
    <fill>
      <patternFill patternType="solid">
        <fgColor rgb="FF7F9934"/>
        <bgColor indexed="64"/>
      </patternFill>
    </fill>
    <fill>
      <patternFill patternType="solid">
        <fgColor rgb="FF7DB359"/>
        <bgColor indexed="64"/>
      </patternFill>
    </fill>
    <fill>
      <patternFill patternType="solid">
        <fgColor rgb="FF7EB15F"/>
        <bgColor indexed="64"/>
      </patternFill>
    </fill>
    <fill>
      <patternFill patternType="solid">
        <fgColor rgb="FF7DB261"/>
        <bgColor indexed="64"/>
      </patternFill>
    </fill>
    <fill>
      <patternFill patternType="solid">
        <fgColor rgb="FF7DB161"/>
        <bgColor indexed="64"/>
      </patternFill>
    </fill>
    <fill>
      <patternFill patternType="solid">
        <fgColor rgb="FF7BAE62"/>
        <bgColor indexed="64"/>
      </patternFill>
    </fill>
    <fill>
      <patternFill patternType="solid">
        <fgColor rgb="FF639453"/>
        <bgColor indexed="64"/>
      </patternFill>
    </fill>
    <fill>
      <patternFill patternType="solid">
        <fgColor rgb="FF3A5339"/>
        <bgColor indexed="64"/>
      </patternFill>
    </fill>
    <fill>
      <patternFill patternType="solid">
        <fgColor rgb="FF2C9EFB"/>
        <bgColor indexed="64"/>
      </patternFill>
    </fill>
    <fill>
      <patternFill patternType="solid">
        <fgColor rgb="FF6371B1"/>
        <bgColor indexed="64"/>
      </patternFill>
    </fill>
    <fill>
      <patternFill patternType="solid">
        <fgColor rgb="FF816E7A"/>
        <bgColor indexed="64"/>
      </patternFill>
    </fill>
    <fill>
      <patternFill patternType="solid">
        <fgColor rgb="FF50556A"/>
        <bgColor indexed="64"/>
      </patternFill>
    </fill>
    <fill>
      <patternFill patternType="solid">
        <fgColor rgb="FF3B78C2"/>
        <bgColor indexed="64"/>
      </patternFill>
    </fill>
    <fill>
      <patternFill patternType="solid">
        <fgColor rgb="FF2E596D"/>
        <bgColor indexed="64"/>
      </patternFill>
    </fill>
    <fill>
      <patternFill patternType="solid">
        <fgColor rgb="FF6F9347"/>
        <bgColor indexed="64"/>
      </patternFill>
    </fill>
    <fill>
      <patternFill patternType="solid">
        <fgColor rgb="FF7EA841"/>
        <bgColor indexed="64"/>
      </patternFill>
    </fill>
    <fill>
      <patternFill patternType="solid">
        <fgColor rgb="FF646529"/>
        <bgColor indexed="64"/>
      </patternFill>
    </fill>
    <fill>
      <patternFill patternType="solid">
        <fgColor rgb="FFA36233"/>
        <bgColor indexed="64"/>
      </patternFill>
    </fill>
    <fill>
      <patternFill patternType="solid">
        <fgColor rgb="FFB16538"/>
        <bgColor indexed="64"/>
      </patternFill>
    </fill>
    <fill>
      <patternFill patternType="solid">
        <fgColor rgb="FF6F647C"/>
        <bgColor indexed="64"/>
      </patternFill>
    </fill>
    <fill>
      <patternFill patternType="solid">
        <fgColor rgb="FF5D6EAD"/>
        <bgColor indexed="64"/>
      </patternFill>
    </fill>
    <fill>
      <patternFill patternType="solid">
        <fgColor rgb="FF3486D9"/>
        <bgColor indexed="64"/>
      </patternFill>
    </fill>
    <fill>
      <patternFill patternType="solid">
        <fgColor rgb="FF3AADFF"/>
        <bgColor indexed="64"/>
      </patternFill>
    </fill>
    <fill>
      <patternFill patternType="solid">
        <fgColor rgb="FF3992D2"/>
        <bgColor indexed="64"/>
      </patternFill>
    </fill>
    <fill>
      <patternFill patternType="solid">
        <fgColor rgb="FF726E2F"/>
        <bgColor indexed="64"/>
      </patternFill>
    </fill>
    <fill>
      <patternFill patternType="solid">
        <fgColor rgb="FFAB9A22"/>
        <bgColor indexed="64"/>
      </patternFill>
    </fill>
    <fill>
      <patternFill patternType="solid">
        <fgColor rgb="FF375564"/>
        <bgColor indexed="64"/>
      </patternFill>
    </fill>
    <fill>
      <patternFill patternType="solid">
        <fgColor rgb="FF2C79C5"/>
        <bgColor indexed="64"/>
      </patternFill>
    </fill>
    <fill>
      <patternFill patternType="solid">
        <fgColor rgb="FF36719B"/>
        <bgColor indexed="64"/>
      </patternFill>
    </fill>
    <fill>
      <patternFill patternType="solid">
        <fgColor rgb="FF447077"/>
        <bgColor indexed="64"/>
      </patternFill>
    </fill>
    <fill>
      <patternFill patternType="solid">
        <fgColor rgb="FF577B5D"/>
        <bgColor indexed="64"/>
      </patternFill>
    </fill>
    <fill>
      <patternFill patternType="solid">
        <fgColor rgb="FF799C51"/>
        <bgColor indexed="64"/>
      </patternFill>
    </fill>
    <fill>
      <patternFill patternType="solid">
        <fgColor rgb="FF83A94C"/>
        <bgColor indexed="64"/>
      </patternFill>
    </fill>
    <fill>
      <patternFill patternType="solid">
        <fgColor rgb="FF82AE49"/>
        <bgColor indexed="64"/>
      </patternFill>
    </fill>
    <fill>
      <patternFill patternType="solid">
        <fgColor rgb="FF80AF49"/>
        <bgColor indexed="64"/>
      </patternFill>
    </fill>
    <fill>
      <patternFill patternType="solid">
        <fgColor rgb="FF7BAA4B"/>
        <bgColor indexed="64"/>
      </patternFill>
    </fill>
    <fill>
      <patternFill patternType="solid">
        <fgColor rgb="FF77A548"/>
        <bgColor indexed="64"/>
      </patternFill>
    </fill>
    <fill>
      <patternFill patternType="solid">
        <fgColor rgb="FF7AA747"/>
        <bgColor indexed="64"/>
      </patternFill>
    </fill>
    <fill>
      <patternFill patternType="solid">
        <fgColor rgb="FF77A643"/>
        <bgColor indexed="64"/>
      </patternFill>
    </fill>
    <fill>
      <patternFill patternType="solid">
        <fgColor rgb="FF78A748"/>
        <bgColor indexed="64"/>
      </patternFill>
    </fill>
    <fill>
      <patternFill patternType="solid">
        <fgColor rgb="FF8B9837"/>
        <bgColor indexed="64"/>
      </patternFill>
    </fill>
    <fill>
      <patternFill patternType="solid">
        <fgColor rgb="FF6B7730"/>
        <bgColor indexed="64"/>
      </patternFill>
    </fill>
    <fill>
      <patternFill patternType="solid">
        <fgColor rgb="FF81AD57"/>
        <bgColor indexed="64"/>
      </patternFill>
    </fill>
    <fill>
      <patternFill patternType="solid">
        <fgColor rgb="FF87AF55"/>
        <bgColor indexed="64"/>
      </patternFill>
    </fill>
    <fill>
      <patternFill patternType="solid">
        <fgColor rgb="FF8EB85E"/>
        <bgColor indexed="64"/>
      </patternFill>
    </fill>
    <fill>
      <patternFill patternType="solid">
        <fgColor rgb="FF8ABF5F"/>
        <bgColor indexed="64"/>
      </patternFill>
    </fill>
    <fill>
      <patternFill patternType="solid">
        <fgColor rgb="FF7EA258"/>
        <bgColor indexed="64"/>
      </patternFill>
    </fill>
    <fill>
      <patternFill patternType="solid">
        <fgColor rgb="FF9A5F62"/>
        <bgColor indexed="64"/>
      </patternFill>
    </fill>
    <fill>
      <patternFill patternType="solid">
        <fgColor rgb="FF8D7C5D"/>
        <bgColor indexed="64"/>
      </patternFill>
    </fill>
    <fill>
      <patternFill patternType="solid">
        <fgColor rgb="FF6F4D41"/>
        <bgColor indexed="64"/>
      </patternFill>
    </fill>
    <fill>
      <patternFill patternType="solid">
        <fgColor rgb="FFD57191"/>
        <bgColor indexed="64"/>
      </patternFill>
    </fill>
    <fill>
      <patternFill patternType="solid">
        <fgColor rgb="FF966863"/>
        <bgColor indexed="64"/>
      </patternFill>
    </fill>
    <fill>
      <patternFill patternType="solid">
        <fgColor rgb="FF9C6B61"/>
        <bgColor indexed="64"/>
      </patternFill>
    </fill>
    <fill>
      <patternFill patternType="solid">
        <fgColor rgb="FF89B557"/>
        <bgColor indexed="64"/>
      </patternFill>
    </fill>
    <fill>
      <patternFill patternType="solid">
        <fgColor rgb="FF83B155"/>
        <bgColor indexed="64"/>
      </patternFill>
    </fill>
    <fill>
      <patternFill patternType="solid">
        <fgColor rgb="FF7CA950"/>
        <bgColor indexed="64"/>
      </patternFill>
    </fill>
    <fill>
      <patternFill patternType="solid">
        <fgColor rgb="FF7DAC4C"/>
        <bgColor indexed="64"/>
      </patternFill>
    </fill>
    <fill>
      <patternFill patternType="solid">
        <fgColor rgb="FF829135"/>
        <bgColor indexed="64"/>
      </patternFill>
    </fill>
    <fill>
      <patternFill patternType="solid">
        <fgColor rgb="FFA6A932"/>
        <bgColor indexed="64"/>
      </patternFill>
    </fill>
    <fill>
      <patternFill patternType="solid">
        <fgColor rgb="FF699844"/>
        <bgColor indexed="64"/>
      </patternFill>
    </fill>
    <fill>
      <patternFill patternType="solid">
        <fgColor rgb="FF79AB48"/>
        <bgColor indexed="64"/>
      </patternFill>
    </fill>
    <fill>
      <patternFill patternType="solid">
        <fgColor rgb="FF76A645"/>
        <bgColor indexed="64"/>
      </patternFill>
    </fill>
    <fill>
      <patternFill patternType="solid">
        <fgColor rgb="FF76A643"/>
        <bgColor indexed="64"/>
      </patternFill>
    </fill>
    <fill>
      <patternFill patternType="solid">
        <fgColor rgb="FF76A744"/>
        <bgColor indexed="64"/>
      </patternFill>
    </fill>
    <fill>
      <patternFill patternType="solid">
        <fgColor rgb="FF78AA43"/>
        <bgColor indexed="64"/>
      </patternFill>
    </fill>
    <fill>
      <patternFill patternType="solid">
        <fgColor rgb="FF7BAD45"/>
        <bgColor indexed="64"/>
      </patternFill>
    </fill>
    <fill>
      <patternFill patternType="solid">
        <fgColor rgb="FF7AAC42"/>
        <bgColor indexed="64"/>
      </patternFill>
    </fill>
    <fill>
      <patternFill patternType="solid">
        <fgColor rgb="FF363E13"/>
        <bgColor indexed="64"/>
      </patternFill>
    </fill>
    <fill>
      <patternFill patternType="solid">
        <fgColor rgb="FFA79B2A"/>
        <bgColor indexed="64"/>
      </patternFill>
    </fill>
    <fill>
      <patternFill patternType="solid">
        <fgColor rgb="FF88962C"/>
        <bgColor indexed="64"/>
      </patternFill>
    </fill>
    <fill>
      <patternFill patternType="solid">
        <fgColor rgb="FF669B3C"/>
        <bgColor indexed="64"/>
      </patternFill>
    </fill>
    <fill>
      <patternFill patternType="solid">
        <fgColor rgb="FF7DAF46"/>
        <bgColor indexed="64"/>
      </patternFill>
    </fill>
    <fill>
      <patternFill patternType="solid">
        <fgColor rgb="FF76A946"/>
        <bgColor indexed="64"/>
      </patternFill>
    </fill>
    <fill>
      <patternFill patternType="solid">
        <fgColor rgb="FF76A944"/>
        <bgColor indexed="64"/>
      </patternFill>
    </fill>
    <fill>
      <patternFill patternType="solid">
        <fgColor rgb="FF77AA48"/>
        <bgColor indexed="64"/>
      </patternFill>
    </fill>
    <fill>
      <patternFill patternType="solid">
        <fgColor rgb="FF7AAB4A"/>
        <bgColor indexed="64"/>
      </patternFill>
    </fill>
    <fill>
      <patternFill patternType="solid">
        <fgColor rgb="FF79AC48"/>
        <bgColor indexed="64"/>
      </patternFill>
    </fill>
    <fill>
      <patternFill patternType="solid">
        <fgColor rgb="FF75A849"/>
        <bgColor indexed="64"/>
      </patternFill>
    </fill>
    <fill>
      <patternFill patternType="solid">
        <fgColor rgb="FF74A748"/>
        <bgColor indexed="64"/>
      </patternFill>
    </fill>
    <fill>
      <patternFill patternType="solid">
        <fgColor rgb="FF73A648"/>
        <bgColor indexed="64"/>
      </patternFill>
    </fill>
    <fill>
      <patternFill patternType="solid">
        <fgColor rgb="FF75A74B"/>
        <bgColor indexed="64"/>
      </patternFill>
    </fill>
    <fill>
      <patternFill patternType="solid">
        <fgColor rgb="FF70A645"/>
        <bgColor indexed="64"/>
      </patternFill>
    </fill>
    <fill>
      <patternFill patternType="solid">
        <fgColor rgb="FF70A547"/>
        <bgColor indexed="64"/>
      </patternFill>
    </fill>
    <fill>
      <patternFill patternType="solid">
        <fgColor rgb="FF71A748"/>
        <bgColor indexed="64"/>
      </patternFill>
    </fill>
    <fill>
      <patternFill patternType="solid">
        <fgColor rgb="FF6FA446"/>
        <bgColor indexed="64"/>
      </patternFill>
    </fill>
    <fill>
      <patternFill patternType="solid">
        <fgColor rgb="FF72AA4D"/>
        <bgColor indexed="64"/>
      </patternFill>
    </fill>
    <fill>
      <patternFill patternType="solid">
        <fgColor rgb="FF4D6730"/>
        <bgColor indexed="64"/>
      </patternFill>
    </fill>
    <fill>
      <patternFill patternType="solid">
        <fgColor rgb="FF424613"/>
        <bgColor indexed="64"/>
      </patternFill>
    </fill>
    <fill>
      <patternFill patternType="solid">
        <fgColor rgb="FF719F46"/>
        <bgColor indexed="64"/>
      </patternFill>
    </fill>
    <fill>
      <patternFill patternType="solid">
        <fgColor rgb="FF80B563"/>
        <bgColor indexed="64"/>
      </patternFill>
    </fill>
    <fill>
      <patternFill patternType="solid">
        <fgColor rgb="FF7DB162"/>
        <bgColor indexed="64"/>
      </patternFill>
    </fill>
    <fill>
      <patternFill patternType="solid">
        <fgColor rgb="FF4A7042"/>
        <bgColor indexed="64"/>
      </patternFill>
    </fill>
    <fill>
      <patternFill patternType="solid">
        <fgColor rgb="FF374633"/>
        <bgColor indexed="64"/>
      </patternFill>
    </fill>
    <fill>
      <patternFill patternType="solid">
        <fgColor rgb="FF67659E"/>
        <bgColor indexed="64"/>
      </patternFill>
    </fill>
    <fill>
      <patternFill patternType="solid">
        <fgColor rgb="FFE9698E"/>
        <bgColor indexed="64"/>
      </patternFill>
    </fill>
    <fill>
      <patternFill patternType="solid">
        <fgColor rgb="FFDE7669"/>
        <bgColor indexed="64"/>
      </patternFill>
    </fill>
    <fill>
      <patternFill patternType="solid">
        <fgColor rgb="FFC36A5A"/>
        <bgColor indexed="64"/>
      </patternFill>
    </fill>
    <fill>
      <patternFill patternType="solid">
        <fgColor rgb="FF7A455D"/>
        <bgColor indexed="64"/>
      </patternFill>
    </fill>
    <fill>
      <patternFill patternType="solid">
        <fgColor rgb="FF5A7E3D"/>
        <bgColor indexed="64"/>
      </patternFill>
    </fill>
    <fill>
      <patternFill patternType="solid">
        <fgColor rgb="FF8BBA4C"/>
        <bgColor indexed="64"/>
      </patternFill>
    </fill>
    <fill>
      <patternFill patternType="solid">
        <fgColor rgb="FF789842"/>
        <bgColor indexed="64"/>
      </patternFill>
    </fill>
    <fill>
      <patternFill patternType="solid">
        <fgColor rgb="FFAC6E3D"/>
        <bgColor indexed="64"/>
      </patternFill>
    </fill>
    <fill>
      <patternFill patternType="solid">
        <fgColor rgb="FFFD924E"/>
        <bgColor indexed="64"/>
      </patternFill>
    </fill>
    <fill>
      <patternFill patternType="solid">
        <fgColor rgb="FFC2633D"/>
        <bgColor indexed="64"/>
      </patternFill>
    </fill>
    <fill>
      <patternFill patternType="solid">
        <fgColor rgb="FFE1637D"/>
        <bgColor indexed="64"/>
      </patternFill>
    </fill>
    <fill>
      <patternFill patternType="solid">
        <fgColor rgb="FFFC6C96"/>
        <bgColor indexed="64"/>
      </patternFill>
    </fill>
    <fill>
      <patternFill patternType="solid">
        <fgColor rgb="FF9A4F7E"/>
        <bgColor indexed="64"/>
      </patternFill>
    </fill>
    <fill>
      <patternFill patternType="solid">
        <fgColor rgb="FF336CB4"/>
        <bgColor indexed="64"/>
      </patternFill>
    </fill>
    <fill>
      <patternFill patternType="solid">
        <fgColor rgb="FF2E8CD9"/>
        <bgColor indexed="64"/>
      </patternFill>
    </fill>
    <fill>
      <patternFill patternType="solid">
        <fgColor rgb="FF3288D5"/>
        <bgColor indexed="64"/>
      </patternFill>
    </fill>
    <fill>
      <patternFill patternType="solid">
        <fgColor rgb="FF366D8D"/>
        <bgColor indexed="64"/>
      </patternFill>
    </fill>
    <fill>
      <patternFill patternType="solid">
        <fgColor rgb="FFD8C92D"/>
        <bgColor indexed="64"/>
      </patternFill>
    </fill>
    <fill>
      <patternFill patternType="solid">
        <fgColor rgb="FFECDE34"/>
        <bgColor indexed="64"/>
      </patternFill>
    </fill>
    <fill>
      <patternFill patternType="solid">
        <fgColor rgb="FF525E2D"/>
        <bgColor indexed="64"/>
      </patternFill>
    </fill>
    <fill>
      <patternFill patternType="solid">
        <fgColor rgb="FF799752"/>
        <bgColor indexed="64"/>
      </patternFill>
    </fill>
    <fill>
      <patternFill patternType="solid">
        <fgColor rgb="FF89AA4E"/>
        <bgColor indexed="64"/>
      </patternFill>
    </fill>
    <fill>
      <patternFill patternType="solid">
        <fgColor rgb="FF88AC4A"/>
        <bgColor indexed="64"/>
      </patternFill>
    </fill>
    <fill>
      <patternFill patternType="solid">
        <fgColor rgb="FF8FBB53"/>
        <bgColor indexed="64"/>
      </patternFill>
    </fill>
    <fill>
      <patternFill patternType="solid">
        <fgColor rgb="FF85B453"/>
        <bgColor indexed="64"/>
      </patternFill>
    </fill>
    <fill>
      <patternFill patternType="solid">
        <fgColor rgb="FF7DAC4E"/>
        <bgColor indexed="64"/>
      </patternFill>
    </fill>
    <fill>
      <patternFill patternType="solid">
        <fgColor rgb="FF7AAA49"/>
        <bgColor indexed="64"/>
      </patternFill>
    </fill>
    <fill>
      <patternFill patternType="solid">
        <fgColor rgb="FF7CAA49"/>
        <bgColor indexed="64"/>
      </patternFill>
    </fill>
    <fill>
      <patternFill patternType="solid">
        <fgColor rgb="FF77A547"/>
        <bgColor indexed="64"/>
      </patternFill>
    </fill>
    <fill>
      <patternFill patternType="solid">
        <fgColor rgb="FF78A545"/>
        <bgColor indexed="64"/>
      </patternFill>
    </fill>
    <fill>
      <patternFill patternType="solid">
        <fgColor rgb="FF7AA748"/>
        <bgColor indexed="64"/>
      </patternFill>
    </fill>
    <fill>
      <patternFill patternType="solid">
        <fgColor rgb="FF7AA847"/>
        <bgColor indexed="64"/>
      </patternFill>
    </fill>
    <fill>
      <patternFill patternType="solid">
        <fgColor rgb="FF78A547"/>
        <bgColor indexed="64"/>
      </patternFill>
    </fill>
    <fill>
      <patternFill patternType="solid">
        <fgColor rgb="FFB5BE3D"/>
        <bgColor indexed="64"/>
      </patternFill>
    </fill>
    <fill>
      <patternFill patternType="solid">
        <fgColor rgb="FF839841"/>
        <bgColor indexed="64"/>
      </patternFill>
    </fill>
    <fill>
      <patternFill patternType="solid">
        <fgColor rgb="FF86B25A"/>
        <bgColor indexed="64"/>
      </patternFill>
    </fill>
    <fill>
      <patternFill patternType="solid">
        <fgColor rgb="FF8BB55A"/>
        <bgColor indexed="64"/>
      </patternFill>
    </fill>
    <fill>
      <patternFill patternType="solid">
        <fgColor rgb="FF8BB55F"/>
        <bgColor indexed="64"/>
      </patternFill>
    </fill>
    <fill>
      <patternFill patternType="solid">
        <fgColor rgb="FF89B25E"/>
        <bgColor indexed="64"/>
      </patternFill>
    </fill>
    <fill>
      <patternFill patternType="solid">
        <fgColor rgb="FF72914D"/>
        <bgColor indexed="64"/>
      </patternFill>
    </fill>
    <fill>
      <patternFill patternType="solid">
        <fgColor rgb="FF74984C"/>
        <bgColor indexed="64"/>
      </patternFill>
    </fill>
    <fill>
      <patternFill patternType="solid">
        <fgColor rgb="FF659040"/>
        <bgColor indexed="64"/>
      </patternFill>
    </fill>
    <fill>
      <patternFill patternType="solid">
        <fgColor rgb="FF6B4D46"/>
        <bgColor indexed="64"/>
      </patternFill>
    </fill>
    <fill>
      <patternFill patternType="solid">
        <fgColor rgb="FF453832"/>
        <bgColor indexed="64"/>
      </patternFill>
    </fill>
    <fill>
      <patternFill patternType="solid">
        <fgColor rgb="FF6A7646"/>
        <bgColor indexed="64"/>
      </patternFill>
    </fill>
    <fill>
      <patternFill patternType="solid">
        <fgColor rgb="FF86855A"/>
        <bgColor indexed="64"/>
      </patternFill>
    </fill>
    <fill>
      <patternFill patternType="solid">
        <fgColor rgb="FF8CBB58"/>
        <bgColor indexed="64"/>
      </patternFill>
    </fill>
    <fill>
      <patternFill patternType="solid">
        <fgColor rgb="FF88B455"/>
        <bgColor indexed="64"/>
      </patternFill>
    </fill>
    <fill>
      <patternFill patternType="solid">
        <fgColor rgb="FF84B053"/>
        <bgColor indexed="64"/>
      </patternFill>
    </fill>
    <fill>
      <patternFill patternType="solid">
        <fgColor rgb="FF7BAA4A"/>
        <bgColor indexed="64"/>
      </patternFill>
    </fill>
    <fill>
      <patternFill patternType="solid">
        <fgColor rgb="FF818B30"/>
        <bgColor indexed="64"/>
      </patternFill>
    </fill>
    <fill>
      <patternFill patternType="solid">
        <fgColor rgb="FFABAD33"/>
        <bgColor indexed="64"/>
      </patternFill>
    </fill>
    <fill>
      <patternFill patternType="solid">
        <fgColor rgb="FF669442"/>
        <bgColor indexed="64"/>
      </patternFill>
    </fill>
    <fill>
      <patternFill patternType="solid">
        <fgColor rgb="FF7AAB48"/>
        <bgColor indexed="64"/>
      </patternFill>
    </fill>
    <fill>
      <patternFill patternType="solid">
        <fgColor rgb="FF7AAB44"/>
        <bgColor indexed="64"/>
      </patternFill>
    </fill>
    <fill>
      <patternFill patternType="solid">
        <fgColor rgb="FF7CAD44"/>
        <bgColor indexed="64"/>
      </patternFill>
    </fill>
    <fill>
      <patternFill patternType="solid">
        <fgColor rgb="FF7CAE43"/>
        <bgColor indexed="64"/>
      </patternFill>
    </fill>
    <fill>
      <patternFill patternType="solid">
        <fgColor rgb="FF83B747"/>
        <bgColor indexed="64"/>
      </patternFill>
    </fill>
    <fill>
      <patternFill patternType="solid">
        <fgColor rgb="FF709D42"/>
        <bgColor indexed="64"/>
      </patternFill>
    </fill>
    <fill>
      <patternFill patternType="solid">
        <fgColor rgb="FF6D9740"/>
        <bgColor indexed="64"/>
      </patternFill>
    </fill>
    <fill>
      <patternFill patternType="solid">
        <fgColor rgb="FF80B444"/>
        <bgColor indexed="64"/>
      </patternFill>
    </fill>
    <fill>
      <patternFill patternType="solid">
        <fgColor rgb="FF638F3F"/>
        <bgColor indexed="64"/>
      </patternFill>
    </fill>
    <fill>
      <patternFill patternType="solid">
        <fgColor rgb="FF181B10"/>
        <bgColor indexed="64"/>
      </patternFill>
    </fill>
    <fill>
      <patternFill patternType="solid">
        <fgColor rgb="FF544D19"/>
        <bgColor indexed="64"/>
      </patternFill>
    </fill>
    <fill>
      <patternFill patternType="solid">
        <fgColor rgb="FF6D8430"/>
        <bgColor indexed="64"/>
      </patternFill>
    </fill>
    <fill>
      <patternFill patternType="solid">
        <fgColor rgb="FF72A745"/>
        <bgColor indexed="64"/>
      </patternFill>
    </fill>
    <fill>
      <patternFill patternType="solid">
        <fgColor rgb="FF77A946"/>
        <bgColor indexed="64"/>
      </patternFill>
    </fill>
    <fill>
      <patternFill patternType="solid">
        <fgColor rgb="FF77AB48"/>
        <bgColor indexed="64"/>
      </patternFill>
    </fill>
    <fill>
      <patternFill patternType="solid">
        <fgColor rgb="FF77AA4A"/>
        <bgColor indexed="64"/>
      </patternFill>
    </fill>
    <fill>
      <patternFill patternType="solid">
        <fgColor rgb="FF78A949"/>
        <bgColor indexed="64"/>
      </patternFill>
    </fill>
    <fill>
      <patternFill patternType="solid">
        <fgColor rgb="FF76A849"/>
        <bgColor indexed="64"/>
      </patternFill>
    </fill>
    <fill>
      <patternFill patternType="solid">
        <fgColor rgb="FF74A746"/>
        <bgColor indexed="64"/>
      </patternFill>
    </fill>
    <fill>
      <patternFill patternType="solid">
        <fgColor rgb="FF73A749"/>
        <bgColor indexed="64"/>
      </patternFill>
    </fill>
    <fill>
      <patternFill patternType="solid">
        <fgColor rgb="FF70A746"/>
        <bgColor indexed="64"/>
      </patternFill>
    </fill>
    <fill>
      <patternFill patternType="solid">
        <fgColor rgb="FF6FA546"/>
        <bgColor indexed="64"/>
      </patternFill>
    </fill>
    <fill>
      <patternFill patternType="solid">
        <fgColor rgb="FF73A946"/>
        <bgColor indexed="64"/>
      </patternFill>
    </fill>
    <fill>
      <patternFill patternType="solid">
        <fgColor rgb="FF689C49"/>
        <bgColor indexed="64"/>
      </patternFill>
    </fill>
    <fill>
      <patternFill patternType="solid">
        <fgColor rgb="FF959E33"/>
        <bgColor indexed="64"/>
      </patternFill>
    </fill>
    <fill>
      <patternFill patternType="solid">
        <fgColor rgb="FF98A430"/>
        <bgColor indexed="64"/>
      </patternFill>
    </fill>
    <fill>
      <patternFill patternType="solid">
        <fgColor rgb="FF74AA51"/>
        <bgColor indexed="64"/>
      </patternFill>
    </fill>
    <fill>
      <patternFill patternType="solid">
        <fgColor rgb="FF7EB363"/>
        <bgColor indexed="64"/>
      </patternFill>
    </fill>
    <fill>
      <patternFill patternType="solid">
        <fgColor rgb="FF7FB062"/>
        <bgColor indexed="64"/>
      </patternFill>
    </fill>
    <fill>
      <patternFill patternType="solid">
        <fgColor rgb="FF80B266"/>
        <bgColor indexed="64"/>
      </patternFill>
    </fill>
    <fill>
      <patternFill patternType="solid">
        <fgColor rgb="FF71A060"/>
        <bgColor indexed="64"/>
      </patternFill>
    </fill>
    <fill>
      <patternFill patternType="solid">
        <fgColor rgb="FF4A6141"/>
        <bgColor indexed="64"/>
      </patternFill>
    </fill>
    <fill>
      <patternFill patternType="solid">
        <fgColor rgb="FF594A5A"/>
        <bgColor indexed="64"/>
      </patternFill>
    </fill>
    <fill>
      <patternFill patternType="solid">
        <fgColor rgb="FFCC5277"/>
        <bgColor indexed="64"/>
      </patternFill>
    </fill>
    <fill>
      <patternFill patternType="solid">
        <fgColor rgb="FFF4719B"/>
        <bgColor indexed="64"/>
      </patternFill>
    </fill>
    <fill>
      <patternFill patternType="solid">
        <fgColor rgb="FFB65D61"/>
        <bgColor indexed="64"/>
      </patternFill>
    </fill>
    <fill>
      <patternFill patternType="solid">
        <fgColor rgb="FF6B3B3B"/>
        <bgColor indexed="64"/>
      </patternFill>
    </fill>
    <fill>
      <patternFill patternType="solid">
        <fgColor rgb="FF5A4736"/>
        <bgColor indexed="64"/>
      </patternFill>
    </fill>
    <fill>
      <patternFill patternType="solid">
        <fgColor rgb="FF658A3B"/>
        <bgColor indexed="64"/>
      </patternFill>
    </fill>
    <fill>
      <patternFill patternType="solid">
        <fgColor rgb="FF68923F"/>
        <bgColor indexed="64"/>
      </patternFill>
    </fill>
    <fill>
      <patternFill patternType="solid">
        <fgColor rgb="FF4A5528"/>
        <bgColor indexed="64"/>
      </patternFill>
    </fill>
    <fill>
      <patternFill patternType="solid">
        <fgColor rgb="FF69512F"/>
        <bgColor indexed="64"/>
      </patternFill>
    </fill>
    <fill>
      <patternFill patternType="solid">
        <fgColor rgb="FF85703C"/>
        <bgColor indexed="64"/>
      </patternFill>
    </fill>
    <fill>
      <patternFill patternType="solid">
        <fgColor rgb="FF8F6F4F"/>
        <bgColor indexed="64"/>
      </patternFill>
    </fill>
    <fill>
      <patternFill patternType="solid">
        <fgColor rgb="FF9C7D60"/>
        <bgColor indexed="64"/>
      </patternFill>
    </fill>
    <fill>
      <patternFill patternType="solid">
        <fgColor rgb="FF8C7658"/>
        <bgColor indexed="64"/>
      </patternFill>
    </fill>
    <fill>
      <patternFill patternType="solid">
        <fgColor rgb="FF72703E"/>
        <bgColor indexed="64"/>
      </patternFill>
    </fill>
    <fill>
      <patternFill patternType="solid">
        <fgColor rgb="FF607C3E"/>
        <bgColor indexed="64"/>
      </patternFill>
    </fill>
    <fill>
      <patternFill patternType="solid">
        <fgColor rgb="FF638644"/>
        <bgColor indexed="64"/>
      </patternFill>
    </fill>
    <fill>
      <patternFill patternType="solid">
        <fgColor rgb="FF678B43"/>
        <bgColor indexed="64"/>
      </patternFill>
    </fill>
    <fill>
      <patternFill patternType="solid">
        <fgColor rgb="FF58662A"/>
        <bgColor indexed="64"/>
      </patternFill>
    </fill>
    <fill>
      <patternFill patternType="solid">
        <fgColor rgb="FFFEF038"/>
        <bgColor indexed="64"/>
      </patternFill>
    </fill>
    <fill>
      <patternFill patternType="solid">
        <fgColor rgb="FFCCC232"/>
        <bgColor indexed="64"/>
      </patternFill>
    </fill>
    <fill>
      <patternFill patternType="solid">
        <fgColor rgb="FF5D7940"/>
        <bgColor indexed="64"/>
      </patternFill>
    </fill>
    <fill>
      <patternFill patternType="solid">
        <fgColor rgb="FF93C15A"/>
        <bgColor indexed="64"/>
      </patternFill>
    </fill>
    <fill>
      <patternFill patternType="solid">
        <fgColor rgb="FF8BB756"/>
        <bgColor indexed="64"/>
      </patternFill>
    </fill>
    <fill>
      <patternFill patternType="solid">
        <fgColor rgb="FF84B252"/>
        <bgColor indexed="64"/>
      </patternFill>
    </fill>
    <fill>
      <patternFill patternType="solid">
        <fgColor rgb="FF7EAB4C"/>
        <bgColor indexed="64"/>
      </patternFill>
    </fill>
    <fill>
      <patternFill patternType="solid">
        <fgColor rgb="FF7FAC4B"/>
        <bgColor indexed="64"/>
      </patternFill>
    </fill>
    <fill>
      <patternFill patternType="solid">
        <fgColor rgb="FF80AC49"/>
        <bgColor indexed="64"/>
      </patternFill>
    </fill>
    <fill>
      <patternFill patternType="solid">
        <fgColor rgb="FF7FAC4A"/>
        <bgColor indexed="64"/>
      </patternFill>
    </fill>
    <fill>
      <patternFill patternType="solid">
        <fgColor rgb="FF83AE4D"/>
        <bgColor indexed="64"/>
      </patternFill>
    </fill>
    <fill>
      <patternFill patternType="solid">
        <fgColor rgb="FF77A544"/>
        <bgColor indexed="64"/>
      </patternFill>
    </fill>
    <fill>
      <patternFill patternType="solid">
        <fgColor rgb="FF7AA946"/>
        <bgColor indexed="64"/>
      </patternFill>
    </fill>
    <fill>
      <patternFill patternType="solid">
        <fgColor rgb="FF84AE49"/>
        <bgColor indexed="64"/>
      </patternFill>
    </fill>
    <fill>
      <patternFill patternType="solid">
        <fgColor rgb="FF7D832C"/>
        <bgColor indexed="64"/>
      </patternFill>
    </fill>
    <fill>
      <patternFill patternType="solid">
        <fgColor rgb="FF7A9649"/>
        <bgColor indexed="64"/>
      </patternFill>
    </fill>
    <fill>
      <patternFill patternType="solid">
        <fgColor rgb="FF8CB95C"/>
        <bgColor indexed="64"/>
      </patternFill>
    </fill>
    <fill>
      <patternFill patternType="solid">
        <fgColor rgb="FF89B459"/>
        <bgColor indexed="64"/>
      </patternFill>
    </fill>
    <fill>
      <patternFill patternType="solid">
        <fgColor rgb="FF8BB660"/>
        <bgColor indexed="64"/>
      </patternFill>
    </fill>
    <fill>
      <patternFill patternType="solid">
        <fgColor rgb="FF89B45C"/>
        <bgColor indexed="64"/>
      </patternFill>
    </fill>
    <fill>
      <patternFill patternType="solid">
        <fgColor rgb="FF88B35A"/>
        <bgColor indexed="64"/>
      </patternFill>
    </fill>
    <fill>
      <patternFill patternType="solid">
        <fgColor rgb="FF83AE54"/>
        <bgColor indexed="64"/>
      </patternFill>
    </fill>
    <fill>
      <patternFill patternType="solid">
        <fgColor rgb="FF7DA650"/>
        <bgColor indexed="64"/>
      </patternFill>
    </fill>
    <fill>
      <patternFill patternType="solid">
        <fgColor rgb="FF699343"/>
        <bgColor indexed="64"/>
      </patternFill>
    </fill>
    <fill>
      <patternFill patternType="solid">
        <fgColor rgb="FF4E521A"/>
        <bgColor indexed="64"/>
      </patternFill>
    </fill>
    <fill>
      <patternFill patternType="solid">
        <fgColor rgb="FF698341"/>
        <bgColor indexed="64"/>
      </patternFill>
    </fill>
    <fill>
      <patternFill patternType="solid">
        <fgColor rgb="FF86B35E"/>
        <bgColor indexed="64"/>
      </patternFill>
    </fill>
    <fill>
      <patternFill patternType="solid">
        <fgColor rgb="FF87B156"/>
        <bgColor indexed="64"/>
      </patternFill>
    </fill>
    <fill>
      <patternFill patternType="solid">
        <fgColor rgb="FF87B554"/>
        <bgColor indexed="64"/>
      </patternFill>
    </fill>
    <fill>
      <patternFill patternType="solid">
        <fgColor rgb="FF84B452"/>
        <bgColor indexed="64"/>
      </patternFill>
    </fill>
    <fill>
      <patternFill patternType="solid">
        <fgColor rgb="FF7AA94A"/>
        <bgColor indexed="64"/>
      </patternFill>
    </fill>
    <fill>
      <patternFill patternType="solid">
        <fgColor rgb="FF74A54A"/>
        <bgColor indexed="64"/>
      </patternFill>
    </fill>
    <fill>
      <patternFill patternType="solid">
        <fgColor rgb="FF687029"/>
        <bgColor indexed="64"/>
      </patternFill>
    </fill>
    <fill>
      <patternFill patternType="solid">
        <fgColor rgb="FF9A9D31"/>
        <bgColor indexed="64"/>
      </patternFill>
    </fill>
    <fill>
      <patternFill patternType="solid">
        <fgColor rgb="FF6C9842"/>
        <bgColor indexed="64"/>
      </patternFill>
    </fill>
    <fill>
      <patternFill patternType="solid">
        <fgColor rgb="FF7CAC46"/>
        <bgColor indexed="64"/>
      </patternFill>
    </fill>
    <fill>
      <patternFill patternType="solid">
        <fgColor rgb="FF77A743"/>
        <bgColor indexed="64"/>
      </patternFill>
    </fill>
    <fill>
      <patternFill patternType="solid">
        <fgColor rgb="FF6D9E3D"/>
        <bgColor indexed="64"/>
      </patternFill>
    </fill>
    <fill>
      <patternFill patternType="solid">
        <fgColor rgb="FF78AB43"/>
        <bgColor indexed="64"/>
      </patternFill>
    </fill>
    <fill>
      <patternFill patternType="solid">
        <fgColor rgb="FF729F40"/>
        <bgColor indexed="64"/>
      </patternFill>
    </fill>
    <fill>
      <patternFill patternType="solid">
        <fgColor rgb="FF6F9A3B"/>
        <bgColor indexed="64"/>
      </patternFill>
    </fill>
    <fill>
      <patternFill patternType="solid">
        <fgColor rgb="FF6F8A35"/>
        <bgColor indexed="64"/>
      </patternFill>
    </fill>
    <fill>
      <patternFill patternType="solid">
        <fgColor rgb="FF708634"/>
        <bgColor indexed="64"/>
      </patternFill>
    </fill>
    <fill>
      <patternFill patternType="solid">
        <fgColor rgb="FF7DB448"/>
        <bgColor indexed="64"/>
      </patternFill>
    </fill>
    <fill>
      <patternFill patternType="solid">
        <fgColor rgb="FF587A38"/>
        <bgColor indexed="64"/>
      </patternFill>
    </fill>
    <fill>
      <patternFill patternType="solid">
        <fgColor rgb="FF1E1C0D"/>
        <bgColor indexed="64"/>
      </patternFill>
    </fill>
    <fill>
      <patternFill patternType="solid">
        <fgColor rgb="FF2F2A0E"/>
        <bgColor indexed="64"/>
      </patternFill>
    </fill>
    <fill>
      <patternFill patternType="solid">
        <fgColor rgb="FF55732C"/>
        <bgColor indexed="64"/>
      </patternFill>
    </fill>
    <fill>
      <patternFill patternType="solid">
        <fgColor rgb="FF7AB14A"/>
        <bgColor indexed="64"/>
      </patternFill>
    </fill>
    <fill>
      <patternFill patternType="solid">
        <fgColor rgb="FF73A846"/>
        <bgColor indexed="64"/>
      </patternFill>
    </fill>
    <fill>
      <patternFill patternType="solid">
        <fgColor rgb="FF78AB4A"/>
        <bgColor indexed="64"/>
      </patternFill>
    </fill>
    <fill>
      <patternFill patternType="solid">
        <fgColor rgb="FF78AA4B"/>
        <bgColor indexed="64"/>
      </patternFill>
    </fill>
    <fill>
      <patternFill patternType="solid">
        <fgColor rgb="FF77A846"/>
        <bgColor indexed="64"/>
      </patternFill>
    </fill>
    <fill>
      <patternFill patternType="solid">
        <fgColor rgb="FF74A647"/>
        <bgColor indexed="64"/>
      </patternFill>
    </fill>
    <fill>
      <patternFill patternType="solid">
        <fgColor rgb="FF75A842"/>
        <bgColor indexed="64"/>
      </patternFill>
    </fill>
    <fill>
      <patternFill patternType="solid">
        <fgColor rgb="FF72A546"/>
        <bgColor indexed="64"/>
      </patternFill>
    </fill>
    <fill>
      <patternFill patternType="solid">
        <fgColor rgb="FF6FA544"/>
        <bgColor indexed="64"/>
      </patternFill>
    </fill>
    <fill>
      <patternFill patternType="solid">
        <fgColor rgb="FF6FA445"/>
        <bgColor indexed="64"/>
      </patternFill>
    </fill>
    <fill>
      <patternFill patternType="solid">
        <fgColor rgb="FF73A944"/>
        <bgColor indexed="64"/>
      </patternFill>
    </fill>
    <fill>
      <patternFill patternType="solid">
        <fgColor rgb="FF6FA346"/>
        <bgColor indexed="64"/>
      </patternFill>
    </fill>
    <fill>
      <patternFill patternType="solid">
        <fgColor rgb="FF6EA649"/>
        <bgColor indexed="64"/>
      </patternFill>
    </fill>
    <fill>
      <patternFill patternType="solid">
        <fgColor rgb="FF5E8D3F"/>
        <bgColor indexed="64"/>
      </patternFill>
    </fill>
    <fill>
      <patternFill patternType="solid">
        <fgColor rgb="FFC0C131"/>
        <bgColor indexed="64"/>
      </patternFill>
    </fill>
    <fill>
      <patternFill patternType="solid">
        <fgColor rgb="FF8CA733"/>
        <bgColor indexed="64"/>
      </patternFill>
    </fill>
    <fill>
      <patternFill patternType="solid">
        <fgColor rgb="FF76AC5A"/>
        <bgColor indexed="64"/>
      </patternFill>
    </fill>
    <fill>
      <patternFill patternType="solid">
        <fgColor rgb="FF7DB160"/>
        <bgColor indexed="64"/>
      </patternFill>
    </fill>
    <fill>
      <patternFill patternType="solid">
        <fgColor rgb="FF7EB160"/>
        <bgColor indexed="64"/>
      </patternFill>
    </fill>
    <fill>
      <patternFill patternType="solid">
        <fgColor rgb="FF83B66D"/>
        <bgColor indexed="64"/>
      </patternFill>
    </fill>
    <fill>
      <patternFill patternType="solid">
        <fgColor rgb="FF4A6E41"/>
        <bgColor indexed="64"/>
      </patternFill>
    </fill>
    <fill>
      <patternFill patternType="solid">
        <fgColor rgb="FF464141"/>
        <bgColor indexed="64"/>
      </patternFill>
    </fill>
    <fill>
      <patternFill patternType="solid">
        <fgColor rgb="FF724F7D"/>
        <bgColor indexed="64"/>
      </patternFill>
    </fill>
    <fill>
      <patternFill patternType="solid">
        <fgColor rgb="FF707041"/>
        <bgColor indexed="64"/>
      </patternFill>
    </fill>
    <fill>
      <patternFill patternType="solid">
        <fgColor rgb="FF758248"/>
        <bgColor indexed="64"/>
      </patternFill>
    </fill>
    <fill>
      <patternFill patternType="solid">
        <fgColor rgb="FF898E3E"/>
        <bgColor indexed="64"/>
      </patternFill>
    </fill>
    <fill>
      <patternFill patternType="solid">
        <fgColor rgb="FF6C7B2D"/>
        <bgColor indexed="64"/>
      </patternFill>
    </fill>
    <fill>
      <patternFill patternType="solid">
        <fgColor rgb="FF507831"/>
        <bgColor indexed="64"/>
      </patternFill>
    </fill>
    <fill>
      <patternFill patternType="solid">
        <fgColor rgb="FF65873B"/>
        <bgColor indexed="64"/>
      </patternFill>
    </fill>
    <fill>
      <patternFill patternType="solid">
        <fgColor rgb="FF688D3B"/>
        <bgColor indexed="64"/>
      </patternFill>
    </fill>
    <fill>
      <patternFill patternType="solid">
        <fgColor rgb="FF6A923B"/>
        <bgColor indexed="64"/>
      </patternFill>
    </fill>
    <fill>
      <patternFill patternType="solid">
        <fgColor rgb="FF6D9A3D"/>
        <bgColor indexed="64"/>
      </patternFill>
    </fill>
    <fill>
      <patternFill patternType="solid">
        <fgColor rgb="FF73A541"/>
        <bgColor indexed="64"/>
      </patternFill>
    </fill>
    <fill>
      <patternFill patternType="solid">
        <fgColor rgb="FF77AA42"/>
        <bgColor indexed="64"/>
      </patternFill>
    </fill>
    <fill>
      <patternFill patternType="solid">
        <fgColor rgb="FF75AD3D"/>
        <bgColor indexed="64"/>
      </patternFill>
    </fill>
    <fill>
      <patternFill patternType="solid">
        <fgColor rgb="FF77AE41"/>
        <bgColor indexed="64"/>
      </patternFill>
    </fill>
    <fill>
      <patternFill patternType="solid">
        <fgColor rgb="FF7AB044"/>
        <bgColor indexed="64"/>
      </patternFill>
    </fill>
    <fill>
      <patternFill patternType="solid">
        <fgColor rgb="FF80B048"/>
        <bgColor indexed="64"/>
      </patternFill>
    </fill>
    <fill>
      <patternFill patternType="solid">
        <fgColor rgb="FF86B347"/>
        <bgColor indexed="64"/>
      </patternFill>
    </fill>
    <fill>
      <patternFill patternType="solid">
        <fgColor rgb="FF729F43"/>
        <bgColor indexed="64"/>
      </patternFill>
    </fill>
    <fill>
      <patternFill patternType="solid">
        <fgColor rgb="FF80832D"/>
        <bgColor indexed="64"/>
      </patternFill>
    </fill>
    <fill>
      <patternFill patternType="solid">
        <fgColor rgb="FFDED133"/>
        <bgColor indexed="64"/>
      </patternFill>
    </fill>
    <fill>
      <patternFill patternType="solid">
        <fgColor rgb="FFC0B934"/>
        <bgColor indexed="64"/>
      </patternFill>
    </fill>
    <fill>
      <patternFill patternType="solid">
        <fgColor rgb="FF5D7A3F"/>
        <bgColor indexed="64"/>
      </patternFill>
    </fill>
    <fill>
      <patternFill patternType="solid">
        <fgColor rgb="FF88B44E"/>
        <bgColor indexed="64"/>
      </patternFill>
    </fill>
    <fill>
      <patternFill patternType="solid">
        <fgColor rgb="FF7FA949"/>
        <bgColor indexed="64"/>
      </patternFill>
    </fill>
    <fill>
      <patternFill patternType="solid">
        <fgColor rgb="FF7FAA48"/>
        <bgColor indexed="64"/>
      </patternFill>
    </fill>
    <fill>
      <patternFill patternType="solid">
        <fgColor rgb="FF7DA949"/>
        <bgColor indexed="64"/>
      </patternFill>
    </fill>
    <fill>
      <patternFill patternType="solid">
        <fgColor rgb="FF7EAC47"/>
        <bgColor indexed="64"/>
      </patternFill>
    </fill>
    <fill>
      <patternFill patternType="solid">
        <fgColor rgb="FF80AC47"/>
        <bgColor indexed="64"/>
      </patternFill>
    </fill>
    <fill>
      <patternFill patternType="solid">
        <fgColor rgb="FF81AE4A"/>
        <bgColor indexed="64"/>
      </patternFill>
    </fill>
    <fill>
      <patternFill patternType="solid">
        <fgColor rgb="FF84B04C"/>
        <bgColor indexed="64"/>
      </patternFill>
    </fill>
    <fill>
      <patternFill patternType="solid">
        <fgColor rgb="FF7CA944"/>
        <bgColor indexed="64"/>
      </patternFill>
    </fill>
    <fill>
      <patternFill patternType="solid">
        <fgColor rgb="FF77A941"/>
        <bgColor indexed="64"/>
      </patternFill>
    </fill>
    <fill>
      <patternFill patternType="solid">
        <fgColor rgb="FF79A645"/>
        <bgColor indexed="64"/>
      </patternFill>
    </fill>
    <fill>
      <patternFill patternType="solid">
        <fgColor rgb="FF7EAC4A"/>
        <bgColor indexed="64"/>
      </patternFill>
    </fill>
    <fill>
      <patternFill patternType="solid">
        <fgColor rgb="FF86AE4A"/>
        <bgColor indexed="64"/>
      </patternFill>
    </fill>
    <fill>
      <patternFill patternType="solid">
        <fgColor rgb="FF5B6220"/>
        <bgColor indexed="64"/>
      </patternFill>
    </fill>
    <fill>
      <patternFill patternType="solid">
        <fgColor rgb="FF77984B"/>
        <bgColor indexed="64"/>
      </patternFill>
    </fill>
    <fill>
      <patternFill patternType="solid">
        <fgColor rgb="FF8CB95B"/>
        <bgColor indexed="64"/>
      </patternFill>
    </fill>
    <fill>
      <patternFill patternType="solid">
        <fgColor rgb="FF84AE54"/>
        <bgColor indexed="64"/>
      </patternFill>
    </fill>
    <fill>
      <patternFill patternType="solid">
        <fgColor rgb="FF88B15A"/>
        <bgColor indexed="64"/>
      </patternFill>
    </fill>
    <fill>
      <patternFill patternType="solid">
        <fgColor rgb="FF85B155"/>
        <bgColor indexed="64"/>
      </patternFill>
    </fill>
    <fill>
      <patternFill patternType="solid">
        <fgColor rgb="FF7FAB51"/>
        <bgColor indexed="64"/>
      </patternFill>
    </fill>
    <fill>
      <patternFill patternType="solid">
        <fgColor rgb="FF729D4A"/>
        <bgColor indexed="64"/>
      </patternFill>
    </fill>
    <fill>
      <patternFill patternType="solid">
        <fgColor rgb="FFA6A537"/>
        <bgColor indexed="64"/>
      </patternFill>
    </fill>
    <fill>
      <patternFill patternType="solid">
        <fgColor rgb="FF839944"/>
        <bgColor indexed="64"/>
      </patternFill>
    </fill>
    <fill>
      <patternFill patternType="solid">
        <fgColor rgb="FF87B358"/>
        <bgColor indexed="64"/>
      </patternFill>
    </fill>
    <fill>
      <patternFill patternType="solid">
        <fgColor rgb="FF8AB65A"/>
        <bgColor indexed="64"/>
      </patternFill>
    </fill>
    <fill>
      <patternFill patternType="solid">
        <fgColor rgb="FF84B253"/>
        <bgColor indexed="64"/>
      </patternFill>
    </fill>
    <fill>
      <patternFill patternType="solid">
        <fgColor rgb="FF79A946"/>
        <bgColor indexed="64"/>
      </patternFill>
    </fill>
    <fill>
      <patternFill patternType="solid">
        <fgColor rgb="FF75A648"/>
        <bgColor indexed="64"/>
      </patternFill>
    </fill>
    <fill>
      <patternFill patternType="solid">
        <fgColor rgb="FF475020"/>
        <bgColor indexed="64"/>
      </patternFill>
    </fill>
    <fill>
      <patternFill patternType="solid">
        <fgColor rgb="FF77782D"/>
        <bgColor indexed="64"/>
      </patternFill>
    </fill>
    <fill>
      <patternFill patternType="solid">
        <fgColor rgb="FF6D9842"/>
        <bgColor indexed="64"/>
      </patternFill>
    </fill>
    <fill>
      <patternFill patternType="solid">
        <fgColor rgb="FF75A847"/>
        <bgColor indexed="64"/>
      </patternFill>
    </fill>
    <fill>
      <patternFill patternType="solid">
        <fgColor rgb="FF5E742D"/>
        <bgColor indexed="64"/>
      </patternFill>
    </fill>
    <fill>
      <patternFill patternType="solid">
        <fgColor rgb="FF81902F"/>
        <bgColor indexed="64"/>
      </patternFill>
    </fill>
    <fill>
      <patternFill patternType="solid">
        <fgColor rgb="FF8B912F"/>
        <bgColor indexed="64"/>
      </patternFill>
    </fill>
    <fill>
      <patternFill patternType="solid">
        <fgColor rgb="FFC0BA2E"/>
        <bgColor indexed="64"/>
      </patternFill>
    </fill>
    <fill>
      <patternFill patternType="solid">
        <fgColor rgb="FFC8C830"/>
        <bgColor indexed="64"/>
      </patternFill>
    </fill>
    <fill>
      <patternFill patternType="solid">
        <fgColor rgb="FF769834"/>
        <bgColor indexed="64"/>
      </patternFill>
    </fill>
    <fill>
      <patternFill patternType="solid">
        <fgColor rgb="FF72A645"/>
        <bgColor indexed="64"/>
      </patternFill>
    </fill>
    <fill>
      <patternFill patternType="solid">
        <fgColor rgb="FF798A35"/>
        <bgColor indexed="64"/>
      </patternFill>
    </fill>
    <fill>
      <patternFill patternType="solid">
        <fgColor rgb="FF4D4518"/>
        <bgColor indexed="64"/>
      </patternFill>
    </fill>
    <fill>
      <patternFill patternType="solid">
        <fgColor rgb="FF282C0E"/>
        <bgColor indexed="64"/>
      </patternFill>
    </fill>
    <fill>
      <patternFill patternType="solid">
        <fgColor rgb="FF668E37"/>
        <bgColor indexed="64"/>
      </patternFill>
    </fill>
    <fill>
      <patternFill patternType="solid">
        <fgColor rgb="FF7AAF46"/>
        <bgColor indexed="64"/>
      </patternFill>
    </fill>
    <fill>
      <patternFill patternType="solid">
        <fgColor rgb="FF76A948"/>
        <bgColor indexed="64"/>
      </patternFill>
    </fill>
    <fill>
      <patternFill patternType="solid">
        <fgColor rgb="FF74A644"/>
        <bgColor indexed="64"/>
      </patternFill>
    </fill>
    <fill>
      <patternFill patternType="solid">
        <fgColor rgb="FF73A644"/>
        <bgColor indexed="64"/>
      </patternFill>
    </fill>
    <fill>
      <patternFill patternType="solid">
        <fgColor rgb="FF75A942"/>
        <bgColor indexed="64"/>
      </patternFill>
    </fill>
    <fill>
      <patternFill patternType="solid">
        <fgColor rgb="FF70A444"/>
        <bgColor indexed="64"/>
      </patternFill>
    </fill>
    <fill>
      <patternFill patternType="solid">
        <fgColor rgb="FF6EA246"/>
        <bgColor indexed="64"/>
      </patternFill>
    </fill>
    <fill>
      <patternFill patternType="solid">
        <fgColor rgb="FF6EA243"/>
        <bgColor indexed="64"/>
      </patternFill>
    </fill>
    <fill>
      <patternFill patternType="solid">
        <fgColor rgb="FF6FA545"/>
        <bgColor indexed="64"/>
      </patternFill>
    </fill>
    <fill>
      <patternFill patternType="solid">
        <fgColor rgb="FF6CA143"/>
        <bgColor indexed="64"/>
      </patternFill>
    </fill>
    <fill>
      <patternFill patternType="solid">
        <fgColor rgb="FF68A144"/>
        <bgColor indexed="64"/>
      </patternFill>
    </fill>
    <fill>
      <patternFill patternType="solid">
        <fgColor rgb="FF719839"/>
        <bgColor indexed="64"/>
      </patternFill>
    </fill>
    <fill>
      <patternFill patternType="solid">
        <fgColor rgb="FFC8C730"/>
        <bgColor indexed="64"/>
      </patternFill>
    </fill>
    <fill>
      <patternFill patternType="solid">
        <fgColor rgb="FF749B3F"/>
        <bgColor indexed="64"/>
      </patternFill>
    </fill>
    <fill>
      <patternFill patternType="solid">
        <fgColor rgb="FF7DB25E"/>
        <bgColor indexed="64"/>
      </patternFill>
    </fill>
    <fill>
      <patternFill patternType="solid">
        <fgColor rgb="FF7BAD62"/>
        <bgColor indexed="64"/>
      </patternFill>
    </fill>
    <fill>
      <patternFill patternType="solid">
        <fgColor rgb="FF82B46A"/>
        <bgColor indexed="64"/>
      </patternFill>
    </fill>
    <fill>
      <patternFill patternType="solid">
        <fgColor rgb="FF6A805D"/>
        <bgColor indexed="64"/>
      </patternFill>
    </fill>
    <fill>
      <patternFill patternType="solid">
        <fgColor rgb="FF80637C"/>
        <bgColor indexed="64"/>
      </patternFill>
    </fill>
    <fill>
      <patternFill patternType="solid">
        <fgColor rgb="FF9F6FAB"/>
        <bgColor indexed="64"/>
      </patternFill>
    </fill>
    <fill>
      <patternFill patternType="solid">
        <fgColor rgb="FF956AAB"/>
        <bgColor indexed="64"/>
      </patternFill>
    </fill>
    <fill>
      <patternFill patternType="solid">
        <fgColor rgb="FF78AB40"/>
        <bgColor indexed="64"/>
      </patternFill>
    </fill>
    <fill>
      <patternFill patternType="solid">
        <fgColor rgb="FF78AD45"/>
        <bgColor indexed="64"/>
      </patternFill>
    </fill>
    <fill>
      <patternFill patternType="solid">
        <fgColor rgb="FF65832F"/>
        <bgColor indexed="64"/>
      </patternFill>
    </fill>
    <fill>
      <patternFill patternType="solid">
        <fgColor rgb="FF63782F"/>
        <bgColor indexed="64"/>
      </patternFill>
    </fill>
    <fill>
      <patternFill patternType="solid">
        <fgColor rgb="FF82B247"/>
        <bgColor indexed="64"/>
      </patternFill>
    </fill>
    <fill>
      <patternFill patternType="solid">
        <fgColor rgb="FF7BA741"/>
        <bgColor indexed="64"/>
      </patternFill>
    </fill>
    <fill>
      <patternFill patternType="solid">
        <fgColor rgb="FF7BA844"/>
        <bgColor indexed="64"/>
      </patternFill>
    </fill>
    <fill>
      <patternFill patternType="solid">
        <fgColor rgb="FF7CA744"/>
        <bgColor indexed="64"/>
      </patternFill>
    </fill>
    <fill>
      <patternFill patternType="solid">
        <fgColor rgb="FF7AA541"/>
        <bgColor indexed="64"/>
      </patternFill>
    </fill>
    <fill>
      <patternFill patternType="solid">
        <fgColor rgb="FF78A340"/>
        <bgColor indexed="64"/>
      </patternFill>
    </fill>
    <fill>
      <patternFill patternType="solid">
        <fgColor rgb="FF7AA441"/>
        <bgColor indexed="64"/>
      </patternFill>
    </fill>
    <fill>
      <patternFill patternType="solid">
        <fgColor rgb="FF7AA442"/>
        <bgColor indexed="64"/>
      </patternFill>
    </fill>
    <fill>
      <patternFill patternType="solid">
        <fgColor rgb="FF7BA745"/>
        <bgColor indexed="64"/>
      </patternFill>
    </fill>
    <fill>
      <patternFill patternType="solid">
        <fgColor rgb="FF78A644"/>
        <bgColor indexed="64"/>
      </patternFill>
    </fill>
    <fill>
      <patternFill patternType="solid">
        <fgColor rgb="FF77A742"/>
        <bgColor indexed="64"/>
      </patternFill>
    </fill>
    <fill>
      <patternFill patternType="solid">
        <fgColor rgb="FF7DAE43"/>
        <bgColor indexed="64"/>
      </patternFill>
    </fill>
    <fill>
      <patternFill patternType="solid">
        <fgColor rgb="FF6D933C"/>
        <bgColor indexed="64"/>
      </patternFill>
    </fill>
    <fill>
      <patternFill patternType="solid">
        <fgColor rgb="FF9B9530"/>
        <bgColor indexed="64"/>
      </patternFill>
    </fill>
    <fill>
      <patternFill patternType="solid">
        <fgColor rgb="FFBBAC2E"/>
        <bgColor indexed="64"/>
      </patternFill>
    </fill>
    <fill>
      <patternFill patternType="solid">
        <fgColor rgb="FFB9B52F"/>
        <bgColor indexed="64"/>
      </patternFill>
    </fill>
    <fill>
      <patternFill patternType="solid">
        <fgColor rgb="FF5B7A3A"/>
        <bgColor indexed="64"/>
      </patternFill>
    </fill>
    <fill>
      <patternFill patternType="solid">
        <fgColor rgb="FF8EBB50"/>
        <bgColor indexed="64"/>
      </patternFill>
    </fill>
    <fill>
      <patternFill patternType="solid">
        <fgColor rgb="FF7FAB49"/>
        <bgColor indexed="64"/>
      </patternFill>
    </fill>
    <fill>
      <patternFill patternType="solid">
        <fgColor rgb="FF80AB48"/>
        <bgColor indexed="64"/>
      </patternFill>
    </fill>
    <fill>
      <patternFill patternType="solid">
        <fgColor rgb="FF82AF4A"/>
        <bgColor indexed="64"/>
      </patternFill>
    </fill>
    <fill>
      <patternFill patternType="solid">
        <fgColor rgb="FF80AD4C"/>
        <bgColor indexed="64"/>
      </patternFill>
    </fill>
    <fill>
      <patternFill patternType="solid">
        <fgColor rgb="FF81AD4E"/>
        <bgColor indexed="64"/>
      </patternFill>
    </fill>
    <fill>
      <patternFill patternType="solid">
        <fgColor rgb="FF85B44D"/>
        <bgColor indexed="64"/>
      </patternFill>
    </fill>
    <fill>
      <patternFill patternType="solid">
        <fgColor rgb="FF80AD4A"/>
        <bgColor indexed="64"/>
      </patternFill>
    </fill>
    <fill>
      <patternFill patternType="solid">
        <fgColor rgb="FF80AE46"/>
        <bgColor indexed="64"/>
      </patternFill>
    </fill>
    <fill>
      <patternFill patternType="solid">
        <fgColor rgb="FF78A643"/>
        <bgColor indexed="64"/>
      </patternFill>
    </fill>
    <fill>
      <patternFill patternType="solid">
        <fgColor rgb="FF7DA947"/>
        <bgColor indexed="64"/>
      </patternFill>
    </fill>
    <fill>
      <patternFill patternType="solid">
        <fgColor rgb="FF88AC47"/>
        <bgColor indexed="64"/>
      </patternFill>
    </fill>
    <fill>
      <patternFill patternType="solid">
        <fgColor rgb="FFB5BB39"/>
        <bgColor indexed="64"/>
      </patternFill>
    </fill>
    <fill>
      <patternFill patternType="solid">
        <fgColor rgb="FF81A34E"/>
        <bgColor indexed="64"/>
      </patternFill>
    </fill>
    <fill>
      <patternFill patternType="solid">
        <fgColor rgb="FF80AC50"/>
        <bgColor indexed="64"/>
      </patternFill>
    </fill>
    <fill>
      <patternFill patternType="solid">
        <fgColor rgb="FF81AE53"/>
        <bgColor indexed="64"/>
      </patternFill>
    </fill>
    <fill>
      <patternFill patternType="solid">
        <fgColor rgb="FF7DAA4C"/>
        <bgColor indexed="64"/>
      </patternFill>
    </fill>
    <fill>
      <patternFill patternType="solid">
        <fgColor rgb="FF7BA94B"/>
        <bgColor indexed="64"/>
      </patternFill>
    </fill>
    <fill>
      <patternFill patternType="solid">
        <fgColor rgb="FF7EAB4F"/>
        <bgColor indexed="64"/>
      </patternFill>
    </fill>
    <fill>
      <patternFill patternType="solid">
        <fgColor rgb="FF78A74C"/>
        <bgColor indexed="64"/>
      </patternFill>
    </fill>
    <fill>
      <patternFill patternType="solid">
        <fgColor rgb="FF5E6928"/>
        <bgColor indexed="64"/>
      </patternFill>
    </fill>
    <fill>
      <patternFill patternType="solid">
        <fgColor rgb="FF647737"/>
        <bgColor indexed="64"/>
      </patternFill>
    </fill>
    <fill>
      <patternFill patternType="solid">
        <fgColor rgb="FF8BBB56"/>
        <bgColor indexed="64"/>
      </patternFill>
    </fill>
    <fill>
      <patternFill patternType="solid">
        <fgColor rgb="FF86B452"/>
        <bgColor indexed="64"/>
      </patternFill>
    </fill>
    <fill>
      <patternFill patternType="solid">
        <fgColor rgb="FF89B657"/>
        <bgColor indexed="64"/>
      </patternFill>
    </fill>
    <fill>
      <patternFill patternType="solid">
        <fgColor rgb="FF82B04F"/>
        <bgColor indexed="64"/>
      </patternFill>
    </fill>
    <fill>
      <patternFill patternType="solid">
        <fgColor rgb="FF75A547"/>
        <bgColor indexed="64"/>
      </patternFill>
    </fill>
    <fill>
      <patternFill patternType="solid">
        <fgColor rgb="FF3B4620"/>
        <bgColor indexed="64"/>
      </patternFill>
    </fill>
    <fill>
      <patternFill patternType="solid">
        <fgColor rgb="FF2B2D0F"/>
        <bgColor indexed="64"/>
      </patternFill>
    </fill>
    <fill>
      <patternFill patternType="solid">
        <fgColor rgb="FF6B9441"/>
        <bgColor indexed="64"/>
      </patternFill>
    </fill>
    <fill>
      <patternFill patternType="solid">
        <fgColor rgb="FF79A845"/>
        <bgColor indexed="64"/>
      </patternFill>
    </fill>
    <fill>
      <patternFill patternType="solid">
        <fgColor rgb="FF78A745"/>
        <bgColor indexed="64"/>
      </patternFill>
    </fill>
    <fill>
      <patternFill patternType="solid">
        <fgColor rgb="FF779A3B"/>
        <bgColor indexed="64"/>
      </patternFill>
    </fill>
    <fill>
      <patternFill patternType="solid">
        <fgColor rgb="FFACAE33"/>
        <bgColor indexed="64"/>
      </patternFill>
    </fill>
    <fill>
      <patternFill patternType="solid">
        <fgColor rgb="FFBFB72F"/>
        <bgColor indexed="64"/>
      </patternFill>
    </fill>
    <fill>
      <patternFill patternType="solid">
        <fgColor rgb="FFFFFA3A"/>
        <bgColor indexed="64"/>
      </patternFill>
    </fill>
    <fill>
      <patternFill patternType="solid">
        <fgColor rgb="FFC9C932"/>
        <bgColor indexed="64"/>
      </patternFill>
    </fill>
    <fill>
      <patternFill patternType="solid">
        <fgColor rgb="FF749F38"/>
        <bgColor indexed="64"/>
      </patternFill>
    </fill>
    <fill>
      <patternFill patternType="solid">
        <fgColor rgb="FF6D9F43"/>
        <bgColor indexed="64"/>
      </patternFill>
    </fill>
    <fill>
      <patternFill patternType="solid">
        <fgColor rgb="FFAAAE33"/>
        <bgColor indexed="64"/>
      </patternFill>
    </fill>
    <fill>
      <patternFill patternType="solid">
        <fgColor rgb="FFA7982D"/>
        <bgColor indexed="64"/>
      </patternFill>
    </fill>
    <fill>
      <patternFill patternType="solid">
        <fgColor rgb="FF334116"/>
        <bgColor indexed="64"/>
      </patternFill>
    </fill>
    <fill>
      <patternFill patternType="solid">
        <fgColor rgb="FF7AAD42"/>
        <bgColor indexed="64"/>
      </patternFill>
    </fill>
    <fill>
      <patternFill patternType="solid">
        <fgColor rgb="FF76AA42"/>
        <bgColor indexed="64"/>
      </patternFill>
    </fill>
    <fill>
      <patternFill patternType="solid">
        <fgColor rgb="FF71A342"/>
        <bgColor indexed="64"/>
      </patternFill>
    </fill>
    <fill>
      <patternFill patternType="solid">
        <fgColor rgb="FF72A444"/>
        <bgColor indexed="64"/>
      </patternFill>
    </fill>
    <fill>
      <patternFill patternType="solid">
        <fgColor rgb="FF74A742"/>
        <bgColor indexed="64"/>
      </patternFill>
    </fill>
    <fill>
      <patternFill patternType="solid">
        <fgColor rgb="FF73A641"/>
        <bgColor indexed="64"/>
      </patternFill>
    </fill>
    <fill>
      <patternFill patternType="solid">
        <fgColor rgb="FF70A245"/>
        <bgColor indexed="64"/>
      </patternFill>
    </fill>
    <fill>
      <patternFill patternType="solid">
        <fgColor rgb="FF6FA343"/>
        <bgColor indexed="64"/>
      </patternFill>
    </fill>
    <fill>
      <patternFill patternType="solid">
        <fgColor rgb="FF6EA343"/>
        <bgColor indexed="64"/>
      </patternFill>
    </fill>
    <fill>
      <patternFill patternType="solid">
        <fgColor rgb="FF6CA242"/>
        <bgColor indexed="64"/>
      </patternFill>
    </fill>
    <fill>
      <patternFill patternType="solid">
        <fgColor rgb="FF6FA642"/>
        <bgColor indexed="64"/>
      </patternFill>
    </fill>
    <fill>
      <patternFill patternType="solid">
        <fgColor rgb="FF6AA040"/>
        <bgColor indexed="64"/>
      </patternFill>
    </fill>
    <fill>
      <patternFill patternType="solid">
        <fgColor rgb="FF68A248"/>
        <bgColor indexed="64"/>
      </patternFill>
    </fill>
    <fill>
      <patternFill patternType="solid">
        <fgColor rgb="FF6E8A31"/>
        <bgColor indexed="64"/>
      </patternFill>
    </fill>
    <fill>
      <patternFill patternType="solid">
        <fgColor rgb="FF929826"/>
        <bgColor indexed="64"/>
      </patternFill>
    </fill>
    <fill>
      <patternFill patternType="solid">
        <fgColor rgb="FF6B9C48"/>
        <bgColor indexed="64"/>
      </patternFill>
    </fill>
    <fill>
      <patternFill patternType="solid">
        <fgColor rgb="FF7DB25B"/>
        <bgColor indexed="64"/>
      </patternFill>
    </fill>
    <fill>
      <patternFill patternType="solid">
        <fgColor rgb="FF7BAE61"/>
        <bgColor indexed="64"/>
      </patternFill>
    </fill>
    <fill>
      <patternFill patternType="solid">
        <fgColor rgb="FF82B966"/>
        <bgColor indexed="64"/>
      </patternFill>
    </fill>
    <fill>
      <patternFill patternType="solid">
        <fgColor rgb="FF6E8F61"/>
        <bgColor indexed="64"/>
      </patternFill>
    </fill>
    <fill>
      <patternFill patternType="solid">
        <fgColor rgb="FF6E4874"/>
        <bgColor indexed="64"/>
      </patternFill>
    </fill>
    <fill>
      <patternFill patternType="solid">
        <fgColor rgb="FF9260A2"/>
        <bgColor indexed="64"/>
      </patternFill>
    </fill>
    <fill>
      <patternFill patternType="solid">
        <fgColor rgb="FF8D629D"/>
        <bgColor indexed="64"/>
      </patternFill>
    </fill>
    <fill>
      <patternFill patternType="solid">
        <fgColor rgb="FF8F69A4"/>
        <bgColor indexed="64"/>
      </patternFill>
    </fill>
    <fill>
      <patternFill patternType="solid">
        <fgColor rgb="FF76A342"/>
        <bgColor indexed="64"/>
      </patternFill>
    </fill>
    <fill>
      <patternFill patternType="solid">
        <fgColor rgb="FF74A045"/>
        <bgColor indexed="64"/>
      </patternFill>
    </fill>
    <fill>
      <patternFill patternType="solid">
        <fgColor rgb="FF7C9336"/>
        <bgColor indexed="64"/>
      </patternFill>
    </fill>
    <fill>
      <patternFill patternType="solid">
        <fgColor rgb="FF7E9237"/>
        <bgColor indexed="64"/>
      </patternFill>
    </fill>
    <fill>
      <patternFill patternType="solid">
        <fgColor rgb="FF75A440"/>
        <bgColor indexed="64"/>
      </patternFill>
    </fill>
    <fill>
      <patternFill patternType="solid">
        <fgColor rgb="FF7AA63D"/>
        <bgColor indexed="64"/>
      </patternFill>
    </fill>
    <fill>
      <patternFill patternType="solid">
        <fgColor rgb="FF74A03C"/>
        <bgColor indexed="64"/>
      </patternFill>
    </fill>
    <fill>
      <patternFill patternType="solid">
        <fgColor rgb="FF75A03E"/>
        <bgColor indexed="64"/>
      </patternFill>
    </fill>
    <fill>
      <patternFill patternType="solid">
        <fgColor rgb="FF76A43D"/>
        <bgColor indexed="64"/>
      </patternFill>
    </fill>
    <fill>
      <patternFill patternType="solid">
        <fgColor rgb="FF79A740"/>
        <bgColor indexed="64"/>
      </patternFill>
    </fill>
    <fill>
      <patternFill patternType="solid">
        <fgColor rgb="FF79A73F"/>
        <bgColor indexed="64"/>
      </patternFill>
    </fill>
    <fill>
      <patternFill patternType="solid">
        <fgColor rgb="FF76A43F"/>
        <bgColor indexed="64"/>
      </patternFill>
    </fill>
    <fill>
      <patternFill patternType="solid">
        <fgColor rgb="FF76A542"/>
        <bgColor indexed="64"/>
      </patternFill>
    </fill>
    <fill>
      <patternFill patternType="solid">
        <fgColor rgb="FF77A540"/>
        <bgColor indexed="64"/>
      </patternFill>
    </fill>
    <fill>
      <patternFill patternType="solid">
        <fgColor rgb="FF7AA943"/>
        <bgColor indexed="64"/>
      </patternFill>
    </fill>
    <fill>
      <patternFill patternType="solid">
        <fgColor rgb="FF77933C"/>
        <bgColor indexed="64"/>
      </patternFill>
    </fill>
    <fill>
      <patternFill patternType="solid">
        <fgColor rgb="FF8D852A"/>
        <bgColor indexed="64"/>
      </patternFill>
    </fill>
    <fill>
      <patternFill patternType="solid">
        <fgColor rgb="FFE1D434"/>
        <bgColor indexed="64"/>
      </patternFill>
    </fill>
    <fill>
      <patternFill patternType="solid">
        <fgColor rgb="FF9E9D2C"/>
        <bgColor indexed="64"/>
      </patternFill>
    </fill>
    <fill>
      <patternFill patternType="solid">
        <fgColor rgb="FF89B650"/>
        <bgColor indexed="64"/>
      </patternFill>
    </fill>
    <fill>
      <patternFill patternType="solid">
        <fgColor rgb="FF80AB4B"/>
        <bgColor indexed="64"/>
      </patternFill>
    </fill>
    <fill>
      <patternFill patternType="solid">
        <fgColor rgb="FF87B24B"/>
        <bgColor indexed="64"/>
      </patternFill>
    </fill>
    <fill>
      <patternFill patternType="solid">
        <fgColor rgb="FF6E9240"/>
        <bgColor indexed="64"/>
      </patternFill>
    </fill>
    <fill>
      <patternFill patternType="solid">
        <fgColor rgb="FF799D4C"/>
        <bgColor indexed="64"/>
      </patternFill>
    </fill>
    <fill>
      <patternFill patternType="solid">
        <fgColor rgb="FF5B6936"/>
        <bgColor indexed="64"/>
      </patternFill>
    </fill>
    <fill>
      <patternFill patternType="solid">
        <fgColor rgb="FF636A38"/>
        <bgColor indexed="64"/>
      </patternFill>
    </fill>
    <fill>
      <patternFill patternType="solid">
        <fgColor rgb="FF5D7B34"/>
        <bgColor indexed="64"/>
      </patternFill>
    </fill>
    <fill>
      <patternFill patternType="solid">
        <fgColor rgb="FF86AD4E"/>
        <bgColor indexed="64"/>
      </patternFill>
    </fill>
    <fill>
      <patternFill patternType="solid">
        <fgColor rgb="FF7DAA44"/>
        <bgColor indexed="64"/>
      </patternFill>
    </fill>
    <fill>
      <patternFill patternType="solid">
        <fgColor rgb="FF82B048"/>
        <bgColor indexed="64"/>
      </patternFill>
    </fill>
    <fill>
      <patternFill patternType="solid">
        <fgColor rgb="FF80B04E"/>
        <bgColor indexed="64"/>
      </patternFill>
    </fill>
    <fill>
      <patternFill patternType="solid">
        <fgColor rgb="FF7EA043"/>
        <bgColor indexed="64"/>
      </patternFill>
    </fill>
    <fill>
      <patternFill patternType="solid">
        <fgColor rgb="FFA8AA34"/>
        <bgColor indexed="64"/>
      </patternFill>
    </fill>
    <fill>
      <patternFill patternType="solid">
        <fgColor rgb="FF7D9F49"/>
        <bgColor indexed="64"/>
      </patternFill>
    </fill>
    <fill>
      <patternFill patternType="solid">
        <fgColor rgb="FF89B45B"/>
        <bgColor indexed="64"/>
      </patternFill>
    </fill>
    <fill>
      <patternFill patternType="solid">
        <fgColor rgb="FF7EAA4F"/>
        <bgColor indexed="64"/>
      </patternFill>
    </fill>
    <fill>
      <patternFill patternType="solid">
        <fgColor rgb="FF7BA84E"/>
        <bgColor indexed="64"/>
      </patternFill>
    </fill>
    <fill>
      <patternFill patternType="solid">
        <fgColor rgb="FF79A84B"/>
        <bgColor indexed="64"/>
      </patternFill>
    </fill>
    <fill>
      <patternFill patternType="solid">
        <fgColor rgb="FF77A546"/>
        <bgColor indexed="64"/>
      </patternFill>
    </fill>
    <fill>
      <patternFill patternType="solid">
        <fgColor rgb="FF7CAA4C"/>
        <bgColor indexed="64"/>
      </patternFill>
    </fill>
    <fill>
      <patternFill patternType="solid">
        <fgColor rgb="FF7CAA4E"/>
        <bgColor indexed="64"/>
      </patternFill>
    </fill>
    <fill>
      <patternFill patternType="solid">
        <fgColor rgb="FF7CAB4F"/>
        <bgColor indexed="64"/>
      </patternFill>
    </fill>
    <fill>
      <patternFill patternType="solid">
        <fgColor rgb="FF546227"/>
        <bgColor indexed="64"/>
      </patternFill>
    </fill>
    <fill>
      <patternFill patternType="solid">
        <fgColor rgb="FF5F6E2B"/>
        <bgColor indexed="64"/>
      </patternFill>
    </fill>
    <fill>
      <patternFill patternType="solid">
        <fgColor rgb="FF8DBC54"/>
        <bgColor indexed="64"/>
      </patternFill>
    </fill>
    <fill>
      <patternFill patternType="solid">
        <fgColor rgb="FF86B451"/>
        <bgColor indexed="64"/>
      </patternFill>
    </fill>
    <fill>
      <patternFill patternType="solid">
        <fgColor rgb="FF86B355"/>
        <bgColor indexed="64"/>
      </patternFill>
    </fill>
    <fill>
      <patternFill patternType="solid">
        <fgColor rgb="FF7EAB4E"/>
        <bgColor indexed="64"/>
      </patternFill>
    </fill>
    <fill>
      <patternFill patternType="solid">
        <fgColor rgb="FF7AAA46"/>
        <bgColor indexed="64"/>
      </patternFill>
    </fill>
    <fill>
      <patternFill patternType="solid">
        <fgColor rgb="FF74A247"/>
        <bgColor indexed="64"/>
      </patternFill>
    </fill>
    <fill>
      <patternFill patternType="solid">
        <fgColor rgb="FF65642D"/>
        <bgColor indexed="64"/>
      </patternFill>
    </fill>
    <fill>
      <patternFill patternType="solid">
        <fgColor rgb="FF4D4E1B"/>
        <bgColor indexed="64"/>
      </patternFill>
    </fill>
    <fill>
      <patternFill patternType="solid">
        <fgColor rgb="FF668F41"/>
        <bgColor indexed="64"/>
      </patternFill>
    </fill>
    <fill>
      <patternFill patternType="solid">
        <fgColor rgb="FF79AA45"/>
        <bgColor indexed="64"/>
      </patternFill>
    </fill>
    <fill>
      <patternFill patternType="solid">
        <fgColor rgb="FF75A442"/>
        <bgColor indexed="64"/>
      </patternFill>
    </fill>
    <fill>
      <patternFill patternType="solid">
        <fgColor rgb="FF79AC47"/>
        <bgColor indexed="64"/>
      </patternFill>
    </fill>
    <fill>
      <patternFill patternType="solid">
        <fgColor rgb="FF627328"/>
        <bgColor indexed="64"/>
      </patternFill>
    </fill>
    <fill>
      <patternFill patternType="solid">
        <fgColor rgb="FFC3BA2E"/>
        <bgColor indexed="64"/>
      </patternFill>
    </fill>
    <fill>
      <patternFill patternType="solid">
        <fgColor rgb="FFD1C934"/>
        <bgColor indexed="64"/>
      </patternFill>
    </fill>
    <fill>
      <patternFill patternType="solid">
        <fgColor rgb="FF627928"/>
        <bgColor indexed="64"/>
      </patternFill>
    </fill>
    <fill>
      <patternFill patternType="solid">
        <fgColor rgb="FF76A943"/>
        <bgColor indexed="64"/>
      </patternFill>
    </fill>
    <fill>
      <patternFill patternType="solid">
        <fgColor rgb="FF618E3B"/>
        <bgColor indexed="64"/>
      </patternFill>
    </fill>
    <fill>
      <patternFill patternType="solid">
        <fgColor rgb="FFC6BE30"/>
        <bgColor indexed="64"/>
      </patternFill>
    </fill>
    <fill>
      <patternFill patternType="solid">
        <fgColor rgb="FFE5D833"/>
        <bgColor indexed="64"/>
      </patternFill>
    </fill>
    <fill>
      <patternFill patternType="solid">
        <fgColor rgb="FF567427"/>
        <bgColor indexed="64"/>
      </patternFill>
    </fill>
    <fill>
      <patternFill patternType="solid">
        <fgColor rgb="FF83BD4A"/>
        <bgColor indexed="64"/>
      </patternFill>
    </fill>
    <fill>
      <patternFill patternType="solid">
        <fgColor rgb="FF7AB246"/>
        <bgColor indexed="64"/>
      </patternFill>
    </fill>
    <fill>
      <patternFill patternType="solid">
        <fgColor rgb="FF78B045"/>
        <bgColor indexed="64"/>
      </patternFill>
    </fill>
    <fill>
      <patternFill patternType="solid">
        <fgColor rgb="FF77AF44"/>
        <bgColor indexed="64"/>
      </patternFill>
    </fill>
    <fill>
      <patternFill patternType="solid">
        <fgColor rgb="FF79AE47"/>
        <bgColor indexed="64"/>
      </patternFill>
    </fill>
    <fill>
      <patternFill patternType="solid">
        <fgColor rgb="FF77AE46"/>
        <bgColor indexed="64"/>
      </patternFill>
    </fill>
    <fill>
      <patternFill patternType="solid">
        <fgColor rgb="FF77AC46"/>
        <bgColor indexed="64"/>
      </patternFill>
    </fill>
    <fill>
      <patternFill patternType="solid">
        <fgColor rgb="FF75AA45"/>
        <bgColor indexed="64"/>
      </patternFill>
    </fill>
    <fill>
      <patternFill patternType="solid">
        <fgColor rgb="FF75A944"/>
        <bgColor indexed="64"/>
      </patternFill>
    </fill>
    <fill>
      <patternFill patternType="solid">
        <fgColor rgb="FF76AB42"/>
        <bgColor indexed="64"/>
      </patternFill>
    </fill>
    <fill>
      <patternFill patternType="solid">
        <fgColor rgb="FF74AB40"/>
        <bgColor indexed="64"/>
      </patternFill>
    </fill>
    <fill>
      <patternFill patternType="solid">
        <fgColor rgb="FF72A93E"/>
        <bgColor indexed="64"/>
      </patternFill>
    </fill>
    <fill>
      <patternFill patternType="solid">
        <fgColor rgb="FF73AA45"/>
        <bgColor indexed="64"/>
      </patternFill>
    </fill>
    <fill>
      <patternFill patternType="solid">
        <fgColor rgb="FF71A745"/>
        <bgColor indexed="64"/>
      </patternFill>
    </fill>
    <fill>
      <patternFill patternType="solid">
        <fgColor rgb="FF2E3B18"/>
        <bgColor indexed="64"/>
      </patternFill>
    </fill>
    <fill>
      <patternFill patternType="solid">
        <fgColor rgb="FF3D4C19"/>
        <bgColor indexed="64"/>
      </patternFill>
    </fill>
    <fill>
      <patternFill patternType="solid">
        <fgColor rgb="FF73A950"/>
        <bgColor indexed="64"/>
      </patternFill>
    </fill>
    <fill>
      <patternFill patternType="solid">
        <fgColor rgb="FF77AC5B"/>
        <bgColor indexed="64"/>
      </patternFill>
    </fill>
    <fill>
      <patternFill patternType="solid">
        <fgColor rgb="FF79AF61"/>
        <bgColor indexed="64"/>
      </patternFill>
    </fill>
    <fill>
      <patternFill patternType="solid">
        <fgColor rgb="FF76A95E"/>
        <bgColor indexed="64"/>
      </patternFill>
    </fill>
    <fill>
      <patternFill patternType="solid">
        <fgColor rgb="FF618752"/>
        <bgColor indexed="64"/>
      </patternFill>
    </fill>
    <fill>
      <patternFill patternType="solid">
        <fgColor rgb="FF49474E"/>
        <bgColor indexed="64"/>
      </patternFill>
    </fill>
    <fill>
      <patternFill patternType="solid">
        <fgColor rgb="FF5B4066"/>
        <bgColor indexed="64"/>
      </patternFill>
    </fill>
    <fill>
      <patternFill patternType="solid">
        <fgColor rgb="FF785688"/>
        <bgColor indexed="64"/>
      </patternFill>
    </fill>
    <fill>
      <patternFill patternType="solid">
        <fgColor rgb="FF89639E"/>
        <bgColor indexed="64"/>
      </patternFill>
    </fill>
    <fill>
      <patternFill patternType="solid">
        <fgColor rgb="FF76A340"/>
        <bgColor indexed="64"/>
      </patternFill>
    </fill>
    <fill>
      <patternFill patternType="solid">
        <fgColor rgb="FF76A341"/>
        <bgColor indexed="64"/>
      </patternFill>
    </fill>
    <fill>
      <patternFill patternType="solid">
        <fgColor rgb="FF6E862C"/>
        <bgColor indexed="64"/>
      </patternFill>
    </fill>
    <fill>
      <patternFill patternType="solid">
        <fgColor rgb="FF556425"/>
        <bgColor indexed="64"/>
      </patternFill>
    </fill>
    <fill>
      <patternFill patternType="solid">
        <fgColor rgb="FF6A9338"/>
        <bgColor indexed="64"/>
      </patternFill>
    </fill>
    <fill>
      <patternFill patternType="solid">
        <fgColor rgb="FF709835"/>
        <bgColor indexed="64"/>
      </patternFill>
    </fill>
    <fill>
      <patternFill patternType="solid">
        <fgColor rgb="FF58772D"/>
        <bgColor indexed="64"/>
      </patternFill>
    </fill>
    <fill>
      <patternFill patternType="solid">
        <fgColor rgb="FF7FAD42"/>
        <bgColor indexed="64"/>
      </patternFill>
    </fill>
    <fill>
      <patternFill patternType="solid">
        <fgColor rgb="FF76A23B"/>
        <bgColor indexed="64"/>
      </patternFill>
    </fill>
    <fill>
      <patternFill patternType="solid">
        <fgColor rgb="FF6C8E33"/>
        <bgColor indexed="64"/>
      </patternFill>
    </fill>
    <fill>
      <patternFill patternType="solid">
        <fgColor rgb="FF698F37"/>
        <bgColor indexed="64"/>
      </patternFill>
    </fill>
    <fill>
      <patternFill patternType="solid">
        <fgColor rgb="FF7AA841"/>
        <bgColor indexed="64"/>
      </patternFill>
    </fill>
    <fill>
      <patternFill patternType="solid">
        <fgColor rgb="FF75A340"/>
        <bgColor indexed="64"/>
      </patternFill>
    </fill>
    <fill>
      <patternFill patternType="solid">
        <fgColor rgb="FF77A340"/>
        <bgColor indexed="64"/>
      </patternFill>
    </fill>
    <fill>
      <patternFill patternType="solid">
        <fgColor rgb="FF79AA42"/>
        <bgColor indexed="64"/>
      </patternFill>
    </fill>
    <fill>
      <patternFill patternType="solid">
        <fgColor rgb="FF678439"/>
        <bgColor indexed="64"/>
      </patternFill>
    </fill>
    <fill>
      <patternFill patternType="solid">
        <fgColor rgb="FF605922"/>
        <bgColor indexed="64"/>
      </patternFill>
    </fill>
    <fill>
      <patternFill patternType="solid">
        <fgColor rgb="FFBDB031"/>
        <bgColor indexed="64"/>
      </patternFill>
    </fill>
    <fill>
      <patternFill patternType="solid">
        <fgColor rgb="FF677028"/>
        <bgColor indexed="64"/>
      </patternFill>
    </fill>
    <fill>
      <patternFill patternType="solid">
        <fgColor rgb="FF7AA64D"/>
        <bgColor indexed="64"/>
      </patternFill>
    </fill>
    <fill>
      <patternFill patternType="solid">
        <fgColor rgb="FF81AD49"/>
        <bgColor indexed="64"/>
      </patternFill>
    </fill>
    <fill>
      <patternFill patternType="solid">
        <fgColor rgb="FF83AD4B"/>
        <bgColor indexed="64"/>
      </patternFill>
    </fill>
    <fill>
      <patternFill patternType="solid">
        <fgColor rgb="FF719F44"/>
        <bgColor indexed="64"/>
      </patternFill>
    </fill>
    <fill>
      <patternFill patternType="solid">
        <fgColor rgb="FF625436"/>
        <bgColor indexed="64"/>
      </patternFill>
    </fill>
    <fill>
      <patternFill patternType="solid">
        <fgColor rgb="FF8B4C45"/>
        <bgColor indexed="64"/>
      </patternFill>
    </fill>
    <fill>
      <patternFill patternType="solid">
        <fgColor rgb="FFB4434F"/>
        <bgColor indexed="64"/>
      </patternFill>
    </fill>
    <fill>
      <patternFill patternType="solid">
        <fgColor rgb="FF98393E"/>
        <bgColor indexed="64"/>
      </patternFill>
    </fill>
    <fill>
      <patternFill patternType="solid">
        <fgColor rgb="FFAD4A4D"/>
        <bgColor indexed="64"/>
      </patternFill>
    </fill>
    <fill>
      <patternFill patternType="solid">
        <fgColor rgb="FF734E35"/>
        <bgColor indexed="64"/>
      </patternFill>
    </fill>
    <fill>
      <patternFill patternType="solid">
        <fgColor rgb="FF86B04B"/>
        <bgColor indexed="64"/>
      </patternFill>
    </fill>
    <fill>
      <patternFill patternType="solid">
        <fgColor rgb="FF86B44A"/>
        <bgColor indexed="64"/>
      </patternFill>
    </fill>
    <fill>
      <patternFill patternType="solid">
        <fgColor rgb="FF83B24F"/>
        <bgColor indexed="64"/>
      </patternFill>
    </fill>
    <fill>
      <patternFill patternType="solid">
        <fgColor rgb="FF6E9144"/>
        <bgColor indexed="64"/>
      </patternFill>
    </fill>
    <fill>
      <patternFill patternType="solid">
        <fgColor rgb="FF4C4A14"/>
        <bgColor indexed="64"/>
      </patternFill>
    </fill>
    <fill>
      <patternFill patternType="solid">
        <fgColor rgb="FF708B42"/>
        <bgColor indexed="64"/>
      </patternFill>
    </fill>
    <fill>
      <patternFill patternType="solid">
        <fgColor rgb="FF89B55A"/>
        <bgColor indexed="64"/>
      </patternFill>
    </fill>
    <fill>
      <patternFill patternType="solid">
        <fgColor rgb="FF7DA94E"/>
        <bgColor indexed="64"/>
      </patternFill>
    </fill>
    <fill>
      <patternFill patternType="solid">
        <fgColor rgb="FF79A74B"/>
        <bgColor indexed="64"/>
      </patternFill>
    </fill>
    <fill>
      <patternFill patternType="solid">
        <fgColor rgb="FF7CA84D"/>
        <bgColor indexed="64"/>
      </patternFill>
    </fill>
    <fill>
      <patternFill patternType="solid">
        <fgColor rgb="FF78A646"/>
        <bgColor indexed="64"/>
      </patternFill>
    </fill>
    <fill>
      <patternFill patternType="solid">
        <fgColor rgb="FF7CAA4B"/>
        <bgColor indexed="64"/>
      </patternFill>
    </fill>
    <fill>
      <patternFill patternType="solid">
        <fgColor rgb="FF7DAA4D"/>
        <bgColor indexed="64"/>
      </patternFill>
    </fill>
    <fill>
      <patternFill patternType="solid">
        <fgColor rgb="FF71A249"/>
        <bgColor indexed="64"/>
      </patternFill>
    </fill>
    <fill>
      <patternFill patternType="solid">
        <fgColor rgb="FF9DAA3C"/>
        <bgColor indexed="64"/>
      </patternFill>
    </fill>
    <fill>
      <patternFill patternType="solid">
        <fgColor rgb="FF888F30"/>
        <bgColor indexed="64"/>
      </patternFill>
    </fill>
    <fill>
      <patternFill patternType="solid">
        <fgColor rgb="FF82AE4D"/>
        <bgColor indexed="64"/>
      </patternFill>
    </fill>
    <fill>
      <patternFill patternType="solid">
        <fgColor rgb="FF87B552"/>
        <bgColor indexed="64"/>
      </patternFill>
    </fill>
    <fill>
      <patternFill patternType="solid">
        <fgColor rgb="FF84B251"/>
        <bgColor indexed="64"/>
      </patternFill>
    </fill>
    <fill>
      <patternFill patternType="solid">
        <fgColor rgb="FF81AF50"/>
        <bgColor indexed="64"/>
      </patternFill>
    </fill>
    <fill>
      <patternFill patternType="solid">
        <fgColor rgb="FF83B24A"/>
        <bgColor indexed="64"/>
      </patternFill>
    </fill>
    <fill>
      <patternFill patternType="solid">
        <fgColor rgb="FF709B47"/>
        <bgColor indexed="64"/>
      </patternFill>
    </fill>
    <fill>
      <patternFill patternType="solid">
        <fgColor rgb="FF9A9935"/>
        <bgColor indexed="64"/>
      </patternFill>
    </fill>
    <fill>
      <patternFill patternType="solid">
        <fgColor rgb="FFA8A632"/>
        <bgColor indexed="64"/>
      </patternFill>
    </fill>
    <fill>
      <patternFill patternType="solid">
        <fgColor rgb="FF5D8638"/>
        <bgColor indexed="64"/>
      </patternFill>
    </fill>
    <fill>
      <patternFill patternType="solid">
        <fgColor rgb="FF78AA46"/>
        <bgColor indexed="64"/>
      </patternFill>
    </fill>
    <fill>
      <patternFill patternType="solid">
        <fgColor rgb="FF74A543"/>
        <bgColor indexed="64"/>
      </patternFill>
    </fill>
    <fill>
      <patternFill patternType="solid">
        <fgColor rgb="FF7AAB45"/>
        <bgColor indexed="64"/>
      </patternFill>
    </fill>
    <fill>
      <patternFill patternType="solid">
        <fgColor rgb="FF7AA237"/>
        <bgColor indexed="64"/>
      </patternFill>
    </fill>
    <fill>
      <patternFill patternType="solid">
        <fgColor rgb="FFBDBF35"/>
        <bgColor indexed="64"/>
      </patternFill>
    </fill>
    <fill>
      <patternFill patternType="solid">
        <fgColor rgb="FF91A12D"/>
        <bgColor indexed="64"/>
      </patternFill>
    </fill>
    <fill>
      <patternFill patternType="solid">
        <fgColor rgb="FF74A43C"/>
        <bgColor indexed="64"/>
      </patternFill>
    </fill>
    <fill>
      <patternFill patternType="solid">
        <fgColor rgb="FF7EAE3E"/>
        <bgColor indexed="64"/>
      </patternFill>
    </fill>
    <fill>
      <patternFill patternType="solid">
        <fgColor rgb="FF5C7B2D"/>
        <bgColor indexed="64"/>
      </patternFill>
    </fill>
    <fill>
      <patternFill patternType="solid">
        <fgColor rgb="FFE3D133"/>
        <bgColor indexed="64"/>
      </patternFill>
    </fill>
    <fill>
      <patternFill patternType="solid">
        <fgColor rgb="FFD5CC30"/>
        <bgColor indexed="64"/>
      </patternFill>
    </fill>
    <fill>
      <patternFill patternType="solid">
        <fgColor rgb="FF4E6A23"/>
        <bgColor indexed="64"/>
      </patternFill>
    </fill>
    <fill>
      <patternFill patternType="solid">
        <fgColor rgb="FF5E8731"/>
        <bgColor indexed="64"/>
      </patternFill>
    </fill>
    <fill>
      <patternFill patternType="solid">
        <fgColor rgb="FF547730"/>
        <bgColor indexed="64"/>
      </patternFill>
    </fill>
    <fill>
      <patternFill patternType="solid">
        <fgColor rgb="FF496C2E"/>
        <bgColor indexed="64"/>
      </patternFill>
    </fill>
    <fill>
      <patternFill patternType="solid">
        <fgColor rgb="FF4B7233"/>
        <bgColor indexed="64"/>
      </patternFill>
    </fill>
    <fill>
      <patternFill patternType="solid">
        <fgColor rgb="FF476C30"/>
        <bgColor indexed="64"/>
      </patternFill>
    </fill>
    <fill>
      <patternFill patternType="solid">
        <fgColor rgb="FF436631"/>
        <bgColor indexed="64"/>
      </patternFill>
    </fill>
    <fill>
      <patternFill patternType="solid">
        <fgColor rgb="FF466930"/>
        <bgColor indexed="64"/>
      </patternFill>
    </fill>
    <fill>
      <patternFill patternType="solid">
        <fgColor rgb="FF466F34"/>
        <bgColor indexed="64"/>
      </patternFill>
    </fill>
    <fill>
      <patternFill patternType="solid">
        <fgColor rgb="FF48753E"/>
        <bgColor indexed="64"/>
      </patternFill>
    </fill>
    <fill>
      <patternFill patternType="solid">
        <fgColor rgb="FF487A45"/>
        <bgColor indexed="64"/>
      </patternFill>
    </fill>
    <fill>
      <patternFill patternType="solid">
        <fgColor rgb="FF4A7F44"/>
        <bgColor indexed="64"/>
      </patternFill>
    </fill>
    <fill>
      <patternFill patternType="solid">
        <fgColor rgb="FF518848"/>
        <bgColor indexed="64"/>
      </patternFill>
    </fill>
    <fill>
      <patternFill patternType="solid">
        <fgColor rgb="FF548742"/>
        <bgColor indexed="64"/>
      </patternFill>
    </fill>
    <fill>
      <patternFill patternType="solid">
        <fgColor rgb="FF5A8738"/>
        <bgColor indexed="64"/>
      </patternFill>
    </fill>
    <fill>
      <patternFill patternType="solid">
        <fgColor rgb="FF6D9E3B"/>
        <bgColor indexed="64"/>
      </patternFill>
    </fill>
    <fill>
      <patternFill patternType="solid">
        <fgColor rgb="FF689638"/>
        <bgColor indexed="64"/>
      </patternFill>
    </fill>
    <fill>
      <patternFill patternType="solid">
        <fgColor rgb="FF7D7F20"/>
        <bgColor indexed="64"/>
      </patternFill>
    </fill>
    <fill>
      <patternFill patternType="solid">
        <fgColor rgb="FF7B9535"/>
        <bgColor indexed="64"/>
      </patternFill>
    </fill>
    <fill>
      <patternFill patternType="solid">
        <fgColor rgb="FF75AE52"/>
        <bgColor indexed="64"/>
      </patternFill>
    </fill>
    <fill>
      <patternFill patternType="solid">
        <fgColor rgb="FF7EB35D"/>
        <bgColor indexed="64"/>
      </patternFill>
    </fill>
    <fill>
      <patternFill patternType="solid">
        <fgColor rgb="FF81B763"/>
        <bgColor indexed="64"/>
      </patternFill>
    </fill>
    <fill>
      <patternFill patternType="solid">
        <fgColor rgb="FF7DB262"/>
        <bgColor indexed="64"/>
      </patternFill>
    </fill>
    <fill>
      <patternFill patternType="solid">
        <fgColor rgb="FF6C9C5E"/>
        <bgColor indexed="64"/>
      </patternFill>
    </fill>
    <fill>
      <patternFill patternType="solid">
        <fgColor rgb="FF2C382E"/>
        <bgColor indexed="64"/>
      </patternFill>
    </fill>
    <fill>
      <patternFill patternType="solid">
        <fgColor rgb="FF503858"/>
        <bgColor indexed="64"/>
      </patternFill>
    </fill>
    <fill>
      <patternFill patternType="solid">
        <fgColor rgb="FF725180"/>
        <bgColor indexed="64"/>
      </patternFill>
    </fill>
    <fill>
      <patternFill patternType="solid">
        <fgColor rgb="FF8D64A1"/>
        <bgColor indexed="64"/>
      </patternFill>
    </fill>
    <fill>
      <patternFill patternType="solid">
        <fgColor rgb="FF78A540"/>
        <bgColor indexed="64"/>
      </patternFill>
    </fill>
    <fill>
      <patternFill patternType="solid">
        <fgColor rgb="FF79A741"/>
        <bgColor indexed="64"/>
      </patternFill>
    </fill>
    <fill>
      <patternFill patternType="solid">
        <fgColor rgb="FF8AA234"/>
        <bgColor indexed="64"/>
      </patternFill>
    </fill>
    <fill>
      <patternFill patternType="solid">
        <fgColor rgb="FF7B7622"/>
        <bgColor indexed="64"/>
      </patternFill>
    </fill>
    <fill>
      <patternFill patternType="solid">
        <fgColor rgb="FF63842D"/>
        <bgColor indexed="64"/>
      </patternFill>
    </fill>
    <fill>
      <patternFill patternType="solid">
        <fgColor rgb="FF6C8830"/>
        <bgColor indexed="64"/>
      </patternFill>
    </fill>
    <fill>
      <patternFill patternType="solid">
        <fgColor rgb="FF63772B"/>
        <bgColor indexed="64"/>
      </patternFill>
    </fill>
    <fill>
      <patternFill patternType="solid">
        <fgColor rgb="FF6B9137"/>
        <bgColor indexed="64"/>
      </patternFill>
    </fill>
    <fill>
      <patternFill patternType="solid">
        <fgColor rgb="FF888D2E"/>
        <bgColor indexed="64"/>
      </patternFill>
    </fill>
    <fill>
      <patternFill patternType="solid">
        <fgColor rgb="FF7E7F25"/>
        <bgColor indexed="64"/>
      </patternFill>
    </fill>
    <fill>
      <patternFill patternType="solid">
        <fgColor rgb="FF6D963A"/>
        <bgColor indexed="64"/>
      </patternFill>
    </fill>
    <fill>
      <patternFill patternType="solid">
        <fgColor rgb="FF719D3B"/>
        <bgColor indexed="64"/>
      </patternFill>
    </fill>
    <fill>
      <patternFill patternType="solid">
        <fgColor rgb="FF77A63E"/>
        <bgColor indexed="64"/>
      </patternFill>
    </fill>
    <fill>
      <patternFill patternType="solid">
        <fgColor rgb="FF75A43F"/>
        <bgColor indexed="64"/>
      </patternFill>
    </fill>
    <fill>
      <patternFill patternType="solid">
        <fgColor rgb="FF74A33E"/>
        <bgColor indexed="64"/>
      </patternFill>
    </fill>
    <fill>
      <patternFill patternType="solid">
        <fgColor rgb="FF7DAE44"/>
        <bgColor indexed="64"/>
      </patternFill>
    </fill>
    <fill>
      <patternFill patternType="solid">
        <fgColor rgb="FF476529"/>
        <bgColor indexed="64"/>
      </patternFill>
    </fill>
    <fill>
      <patternFill patternType="solid">
        <fgColor rgb="FF26220C"/>
        <bgColor indexed="64"/>
      </patternFill>
    </fill>
    <fill>
      <patternFill patternType="solid">
        <fgColor rgb="FF4B4219"/>
        <bgColor indexed="64"/>
      </patternFill>
    </fill>
    <fill>
      <patternFill patternType="solid">
        <fgColor rgb="FF52632A"/>
        <bgColor indexed="64"/>
      </patternFill>
    </fill>
    <fill>
      <patternFill patternType="solid">
        <fgColor rgb="FF80AE4D"/>
        <bgColor indexed="64"/>
      </patternFill>
    </fill>
    <fill>
      <patternFill patternType="solid">
        <fgColor rgb="FF7AA745"/>
        <bgColor indexed="64"/>
      </patternFill>
    </fill>
    <fill>
      <patternFill patternType="solid">
        <fgColor rgb="FF87B44B"/>
        <bgColor indexed="64"/>
      </patternFill>
    </fill>
    <fill>
      <patternFill patternType="solid">
        <fgColor rgb="FF51672E"/>
        <bgColor indexed="64"/>
      </patternFill>
    </fill>
    <fill>
      <patternFill patternType="solid">
        <fgColor rgb="FF692A2F"/>
        <bgColor indexed="64"/>
      </patternFill>
    </fill>
    <fill>
      <patternFill patternType="solid">
        <fgColor rgb="FFE04661"/>
        <bgColor indexed="64"/>
      </patternFill>
    </fill>
    <fill>
      <patternFill patternType="solid">
        <fgColor rgb="FFFF5B74"/>
        <bgColor indexed="64"/>
      </patternFill>
    </fill>
    <fill>
      <patternFill patternType="solid">
        <fgColor rgb="FFE74E65"/>
        <bgColor indexed="64"/>
      </patternFill>
    </fill>
    <fill>
      <patternFill patternType="solid">
        <fgColor rgb="FFEA4D67"/>
        <bgColor indexed="64"/>
      </patternFill>
    </fill>
    <fill>
      <patternFill patternType="solid">
        <fgColor rgb="FFA9474D"/>
        <bgColor indexed="64"/>
      </patternFill>
    </fill>
    <fill>
      <patternFill patternType="solid">
        <fgColor rgb="FF76723C"/>
        <bgColor indexed="64"/>
      </patternFill>
    </fill>
    <fill>
      <patternFill patternType="solid">
        <fgColor rgb="FF84B449"/>
        <bgColor indexed="64"/>
      </patternFill>
    </fill>
    <fill>
      <patternFill patternType="solid">
        <fgColor rgb="FF7EAD4C"/>
        <bgColor indexed="64"/>
      </patternFill>
    </fill>
    <fill>
      <patternFill patternType="solid">
        <fgColor rgb="FF789A41"/>
        <bgColor indexed="64"/>
      </patternFill>
    </fill>
    <fill>
      <patternFill patternType="solid">
        <fgColor rgb="FFBCB82E"/>
        <bgColor indexed="64"/>
      </patternFill>
    </fill>
    <fill>
      <patternFill patternType="solid">
        <fgColor rgb="FF81983B"/>
        <bgColor indexed="64"/>
      </patternFill>
    </fill>
    <fill>
      <patternFill patternType="solid">
        <fgColor rgb="FF84B057"/>
        <bgColor indexed="64"/>
      </patternFill>
    </fill>
    <fill>
      <patternFill patternType="solid">
        <fgColor rgb="FF7EAA4A"/>
        <bgColor indexed="64"/>
      </patternFill>
    </fill>
    <fill>
      <patternFill patternType="solid">
        <fgColor rgb="FF7BA94C"/>
        <bgColor indexed="64"/>
      </patternFill>
    </fill>
    <fill>
      <patternFill patternType="solid">
        <fgColor rgb="FF7CA94D"/>
        <bgColor indexed="64"/>
      </patternFill>
    </fill>
    <fill>
      <patternFill patternType="solid">
        <fgColor rgb="FF79A74A"/>
        <bgColor indexed="64"/>
      </patternFill>
    </fill>
    <fill>
      <patternFill patternType="solid">
        <fgColor rgb="FF79AB4A"/>
        <bgColor indexed="64"/>
      </patternFill>
    </fill>
    <fill>
      <patternFill patternType="solid">
        <fgColor rgb="FF64782D"/>
        <bgColor indexed="64"/>
      </patternFill>
    </fill>
    <fill>
      <patternFill patternType="solid">
        <fgColor rgb="FF575D23"/>
        <bgColor indexed="64"/>
      </patternFill>
    </fill>
    <fill>
      <patternFill patternType="solid">
        <fgColor rgb="FF8AB552"/>
        <bgColor indexed="64"/>
      </patternFill>
    </fill>
    <fill>
      <patternFill patternType="solid">
        <fgColor rgb="FF85B452"/>
        <bgColor indexed="64"/>
      </patternFill>
    </fill>
    <fill>
      <patternFill patternType="solid">
        <fgColor rgb="FF82AF50"/>
        <bgColor indexed="64"/>
      </patternFill>
    </fill>
    <fill>
      <patternFill patternType="solid">
        <fgColor rgb="FF7CAB4B"/>
        <bgColor indexed="64"/>
      </patternFill>
    </fill>
    <fill>
      <patternFill patternType="solid">
        <fgColor rgb="FF699246"/>
        <bgColor indexed="64"/>
      </patternFill>
    </fill>
    <fill>
      <patternFill patternType="solid">
        <fgColor rgb="FFD6D435"/>
        <bgColor indexed="64"/>
      </patternFill>
    </fill>
    <fill>
      <patternFill patternType="solid">
        <fgColor rgb="FFBEB82D"/>
        <bgColor indexed="64"/>
      </patternFill>
    </fill>
    <fill>
      <patternFill patternType="solid">
        <fgColor rgb="FF608736"/>
        <bgColor indexed="64"/>
      </patternFill>
    </fill>
    <fill>
      <patternFill patternType="solid">
        <fgColor rgb="FF83B446"/>
        <bgColor indexed="64"/>
      </patternFill>
    </fill>
    <fill>
      <patternFill patternType="solid">
        <fgColor rgb="FF78A13C"/>
        <bgColor indexed="64"/>
      </patternFill>
    </fill>
    <fill>
      <patternFill patternType="solid">
        <fgColor rgb="FF709D3B"/>
        <bgColor indexed="64"/>
      </patternFill>
    </fill>
    <fill>
      <patternFill patternType="solid">
        <fgColor rgb="FF769832"/>
        <bgColor indexed="64"/>
      </patternFill>
    </fill>
    <fill>
      <patternFill patternType="solid">
        <fgColor rgb="FFB0AC30"/>
        <bgColor indexed="64"/>
      </patternFill>
    </fill>
    <fill>
      <patternFill patternType="solid">
        <fgColor rgb="FF456531"/>
        <bgColor indexed="64"/>
      </patternFill>
    </fill>
    <fill>
      <patternFill patternType="solid">
        <fgColor rgb="FF3A6946"/>
        <bgColor indexed="64"/>
      </patternFill>
    </fill>
    <fill>
      <patternFill patternType="solid">
        <fgColor rgb="FF2A6352"/>
        <bgColor indexed="64"/>
      </patternFill>
    </fill>
    <fill>
      <patternFill patternType="solid">
        <fgColor rgb="FF5C7036"/>
        <bgColor indexed="64"/>
      </patternFill>
    </fill>
    <fill>
      <patternFill patternType="solid">
        <fgColor rgb="FFFFF937"/>
        <bgColor indexed="64"/>
      </patternFill>
    </fill>
    <fill>
      <patternFill patternType="solid">
        <fgColor rgb="FFAFB530"/>
        <bgColor indexed="64"/>
      </patternFill>
    </fill>
    <fill>
      <patternFill patternType="solid">
        <fgColor rgb="FF114C5A"/>
        <bgColor indexed="64"/>
      </patternFill>
    </fill>
    <fill>
      <patternFill patternType="solid">
        <fgColor rgb="FF176077"/>
        <bgColor indexed="64"/>
      </patternFill>
    </fill>
    <fill>
      <patternFill patternType="solid">
        <fgColor rgb="FF146077"/>
        <bgColor indexed="64"/>
      </patternFill>
    </fill>
    <fill>
      <patternFill patternType="solid">
        <fgColor rgb="FF126682"/>
        <bgColor indexed="64"/>
      </patternFill>
    </fill>
    <fill>
      <patternFill patternType="solid">
        <fgColor rgb="FF116C8B"/>
        <bgColor indexed="64"/>
      </patternFill>
    </fill>
    <fill>
      <patternFill patternType="solid">
        <fgColor rgb="FF106887"/>
        <bgColor indexed="64"/>
      </patternFill>
    </fill>
    <fill>
      <patternFill patternType="solid">
        <fgColor rgb="FF126D8D"/>
        <bgColor indexed="64"/>
      </patternFill>
    </fill>
    <fill>
      <patternFill patternType="solid">
        <fgColor rgb="FF0F6689"/>
        <bgColor indexed="64"/>
      </patternFill>
    </fill>
    <fill>
      <patternFill patternType="solid">
        <fgColor rgb="FF0E668B"/>
        <bgColor indexed="64"/>
      </patternFill>
    </fill>
    <fill>
      <patternFill patternType="solid">
        <fgColor rgb="FF0F6891"/>
        <bgColor indexed="64"/>
      </patternFill>
    </fill>
    <fill>
      <patternFill patternType="solid">
        <fgColor rgb="FF0E5D83"/>
        <bgColor indexed="64"/>
      </patternFill>
    </fill>
    <fill>
      <patternFill patternType="solid">
        <fgColor rgb="FF1179A2"/>
        <bgColor indexed="64"/>
      </patternFill>
    </fill>
    <fill>
      <patternFill patternType="solid">
        <fgColor rgb="FF1279A3"/>
        <bgColor indexed="64"/>
      </patternFill>
    </fill>
    <fill>
      <patternFill patternType="solid">
        <fgColor rgb="FF137199"/>
        <bgColor indexed="64"/>
      </patternFill>
    </fill>
    <fill>
      <patternFill patternType="solid">
        <fgColor rgb="FF156884"/>
        <bgColor indexed="64"/>
      </patternFill>
    </fill>
    <fill>
      <patternFill patternType="solid">
        <fgColor rgb="FF125B71"/>
        <bgColor indexed="64"/>
      </patternFill>
    </fill>
    <fill>
      <patternFill patternType="solid">
        <fgColor rgb="FF496634"/>
        <bgColor indexed="64"/>
      </patternFill>
    </fill>
    <fill>
      <patternFill patternType="solid">
        <fgColor rgb="FFEBE435"/>
        <bgColor indexed="64"/>
      </patternFill>
    </fill>
    <fill>
      <patternFill patternType="solid">
        <fgColor rgb="FF4B6833"/>
        <bgColor indexed="64"/>
      </patternFill>
    </fill>
    <fill>
      <patternFill patternType="solid">
        <fgColor rgb="FF3B6842"/>
        <bgColor indexed="64"/>
      </patternFill>
    </fill>
    <fill>
      <patternFill patternType="solid">
        <fgColor rgb="FF588044"/>
        <bgColor indexed="64"/>
      </patternFill>
    </fill>
    <fill>
      <patternFill patternType="solid">
        <fgColor rgb="FF598344"/>
        <bgColor indexed="64"/>
      </patternFill>
    </fill>
    <fill>
      <patternFill patternType="solid">
        <fgColor rgb="FF669152"/>
        <bgColor indexed="64"/>
      </patternFill>
    </fill>
    <fill>
      <patternFill patternType="solid">
        <fgColor rgb="FF4A6E38"/>
        <bgColor indexed="64"/>
      </patternFill>
    </fill>
    <fill>
      <patternFill patternType="solid">
        <fgColor rgb="FF49623D"/>
        <bgColor indexed="64"/>
      </patternFill>
    </fill>
    <fill>
      <patternFill patternType="solid">
        <fgColor rgb="FF664B68"/>
        <bgColor indexed="64"/>
      </patternFill>
    </fill>
    <fill>
      <patternFill patternType="solid">
        <fgColor rgb="FF9A6DAC"/>
        <bgColor indexed="64"/>
      </patternFill>
    </fill>
    <fill>
      <patternFill patternType="solid">
        <fgColor rgb="FF8F62A5"/>
        <bgColor indexed="64"/>
      </patternFill>
    </fill>
    <fill>
      <patternFill patternType="solid">
        <fgColor rgb="FF7AA73F"/>
        <bgColor indexed="64"/>
      </patternFill>
    </fill>
    <fill>
      <patternFill patternType="solid">
        <fgColor rgb="FF5C8835"/>
        <bgColor indexed="64"/>
      </patternFill>
    </fill>
    <fill>
      <patternFill patternType="solid">
        <fgColor rgb="FF7E9430"/>
        <bgColor indexed="64"/>
      </patternFill>
    </fill>
    <fill>
      <patternFill patternType="solid">
        <fgColor rgb="FFBCAD37"/>
        <bgColor indexed="64"/>
      </patternFill>
    </fill>
    <fill>
      <patternFill patternType="solid">
        <fgColor rgb="FF6E852E"/>
        <bgColor indexed="64"/>
      </patternFill>
    </fill>
    <fill>
      <patternFill patternType="solid">
        <fgColor rgb="FF818E34"/>
        <bgColor indexed="64"/>
      </patternFill>
    </fill>
    <fill>
      <patternFill patternType="solid">
        <fgColor rgb="FF7C7C23"/>
        <bgColor indexed="64"/>
      </patternFill>
    </fill>
    <fill>
      <patternFill patternType="solid">
        <fgColor rgb="FFAFAD2E"/>
        <bgColor indexed="64"/>
      </patternFill>
    </fill>
    <fill>
      <patternFill patternType="solid">
        <fgColor rgb="FFD1C735"/>
        <bgColor indexed="64"/>
      </patternFill>
    </fill>
    <fill>
      <patternFill patternType="solid">
        <fgColor rgb="FF7E9336"/>
        <bgColor indexed="64"/>
      </patternFill>
    </fill>
    <fill>
      <patternFill patternType="solid">
        <fgColor rgb="FF6B8C38"/>
        <bgColor indexed="64"/>
      </patternFill>
    </fill>
    <fill>
      <patternFill patternType="solid">
        <fgColor rgb="FF6E8D39"/>
        <bgColor indexed="64"/>
      </patternFill>
    </fill>
    <fill>
      <patternFill patternType="solid">
        <fgColor rgb="FF7CAA42"/>
        <bgColor indexed="64"/>
      </patternFill>
    </fill>
    <fill>
      <patternFill patternType="solid">
        <fgColor rgb="FF75A43C"/>
        <bgColor indexed="64"/>
      </patternFill>
    </fill>
    <fill>
      <patternFill patternType="solid">
        <fgColor rgb="FF74A53D"/>
        <bgColor indexed="64"/>
      </patternFill>
    </fill>
    <fill>
      <patternFill patternType="solid">
        <fgColor rgb="FF76A541"/>
        <bgColor indexed="64"/>
      </patternFill>
    </fill>
    <fill>
      <patternFill patternType="solid">
        <fgColor rgb="FF687F36"/>
        <bgColor indexed="64"/>
      </patternFill>
    </fill>
    <fill>
      <patternFill patternType="solid">
        <fgColor rgb="FF4B4619"/>
        <bgColor indexed="64"/>
      </patternFill>
    </fill>
    <fill>
      <patternFill patternType="solid">
        <fgColor rgb="FF312708"/>
        <bgColor indexed="64"/>
      </patternFill>
    </fill>
    <fill>
      <patternFill patternType="solid">
        <fgColor rgb="FF637835"/>
        <bgColor indexed="64"/>
      </patternFill>
    </fill>
    <fill>
      <patternFill patternType="solid">
        <fgColor rgb="FF7DA944"/>
        <bgColor indexed="64"/>
      </patternFill>
    </fill>
    <fill>
      <patternFill patternType="solid">
        <fgColor rgb="FF7AA641"/>
        <bgColor indexed="64"/>
      </patternFill>
    </fill>
    <fill>
      <patternFill patternType="solid">
        <fgColor rgb="FF5D6B30"/>
        <bgColor indexed="64"/>
      </patternFill>
    </fill>
    <fill>
      <patternFill patternType="solid">
        <fgColor rgb="FF8E373C"/>
        <bgColor indexed="64"/>
      </patternFill>
    </fill>
    <fill>
      <patternFill patternType="solid">
        <fgColor rgb="FFF35371"/>
        <bgColor indexed="64"/>
      </patternFill>
    </fill>
    <fill>
      <patternFill patternType="solid">
        <fgColor rgb="FFF85770"/>
        <bgColor indexed="64"/>
      </patternFill>
    </fill>
    <fill>
      <patternFill patternType="solid">
        <fgColor rgb="FFF45870"/>
        <bgColor indexed="64"/>
      </patternFill>
    </fill>
    <fill>
      <patternFill patternType="solid">
        <fgColor rgb="FFE34E69"/>
        <bgColor indexed="64"/>
      </patternFill>
    </fill>
    <fill>
      <patternFill patternType="solid">
        <fgColor rgb="FF944240"/>
        <bgColor indexed="64"/>
      </patternFill>
    </fill>
    <fill>
      <patternFill patternType="solid">
        <fgColor rgb="FF6F893C"/>
        <bgColor indexed="64"/>
      </patternFill>
    </fill>
    <fill>
      <patternFill patternType="solid">
        <fgColor rgb="FF7CAA47"/>
        <bgColor indexed="64"/>
      </patternFill>
    </fill>
    <fill>
      <patternFill patternType="solid">
        <fgColor rgb="FF7FAE4A"/>
        <bgColor indexed="64"/>
      </patternFill>
    </fill>
    <fill>
      <patternFill patternType="solid">
        <fgColor rgb="FF789D44"/>
        <bgColor indexed="64"/>
      </patternFill>
    </fill>
    <fill>
      <patternFill patternType="solid">
        <fgColor rgb="FF837D24"/>
        <bgColor indexed="64"/>
      </patternFill>
    </fill>
    <fill>
      <patternFill patternType="solid">
        <fgColor rgb="FF7D933C"/>
        <bgColor indexed="64"/>
      </patternFill>
    </fill>
    <fill>
      <patternFill patternType="solid">
        <fgColor rgb="FF7DAA52"/>
        <bgColor indexed="64"/>
      </patternFill>
    </fill>
    <fill>
      <patternFill patternType="solid">
        <fgColor rgb="FF83B050"/>
        <bgColor indexed="64"/>
      </patternFill>
    </fill>
    <fill>
      <patternFill patternType="solid">
        <fgColor rgb="FF80AD4D"/>
        <bgColor indexed="64"/>
      </patternFill>
    </fill>
    <fill>
      <patternFill patternType="solid">
        <fgColor rgb="FF7AA74A"/>
        <bgColor indexed="64"/>
      </patternFill>
    </fill>
    <fill>
      <patternFill patternType="solid">
        <fgColor rgb="FF78A649"/>
        <bgColor indexed="64"/>
      </patternFill>
    </fill>
    <fill>
      <patternFill patternType="solid">
        <fgColor rgb="FF7AAC4D"/>
        <bgColor indexed="64"/>
      </patternFill>
    </fill>
    <fill>
      <patternFill patternType="solid">
        <fgColor rgb="FF576F2F"/>
        <bgColor indexed="64"/>
      </patternFill>
    </fill>
    <fill>
      <patternFill patternType="solid">
        <fgColor rgb="FF41491C"/>
        <bgColor indexed="64"/>
      </patternFill>
    </fill>
    <fill>
      <patternFill patternType="solid">
        <fgColor rgb="FF87B553"/>
        <bgColor indexed="64"/>
      </patternFill>
    </fill>
    <fill>
      <patternFill patternType="solid">
        <fgColor rgb="FF88B751"/>
        <bgColor indexed="64"/>
      </patternFill>
    </fill>
    <fill>
      <patternFill patternType="solid">
        <fgColor rgb="FF89B551"/>
        <bgColor indexed="64"/>
      </patternFill>
    </fill>
    <fill>
      <patternFill patternType="solid">
        <fgColor rgb="FF81AD47"/>
        <bgColor indexed="64"/>
      </patternFill>
    </fill>
    <fill>
      <patternFill patternType="solid">
        <fgColor rgb="FF6A8C39"/>
        <bgColor indexed="64"/>
      </patternFill>
    </fill>
    <fill>
      <patternFill patternType="solid">
        <fgColor rgb="FFD5CB32"/>
        <bgColor indexed="64"/>
      </patternFill>
    </fill>
    <fill>
      <patternFill patternType="solid">
        <fgColor rgb="FFBAB52E"/>
        <bgColor indexed="64"/>
      </patternFill>
    </fill>
    <fill>
      <patternFill patternType="solid">
        <fgColor rgb="FF3A562F"/>
        <bgColor indexed="64"/>
      </patternFill>
    </fill>
    <fill>
      <patternFill patternType="solid">
        <fgColor rgb="FF40663D"/>
        <bgColor indexed="64"/>
      </patternFill>
    </fill>
    <fill>
      <patternFill patternType="solid">
        <fgColor rgb="FF2B5D4E"/>
        <bgColor indexed="64"/>
      </patternFill>
    </fill>
    <fill>
      <patternFill patternType="solid">
        <fgColor rgb="FF2C554E"/>
        <bgColor indexed="64"/>
      </patternFill>
    </fill>
    <fill>
      <patternFill patternType="solid">
        <fgColor rgb="FFA46F30"/>
        <bgColor indexed="64"/>
      </patternFill>
    </fill>
    <fill>
      <patternFill patternType="solid">
        <fgColor rgb="FF696334"/>
        <bgColor indexed="64"/>
      </patternFill>
    </fill>
    <fill>
      <patternFill patternType="solid">
        <fgColor rgb="FF0F6387"/>
        <bgColor indexed="64"/>
      </patternFill>
    </fill>
    <fill>
      <patternFill patternType="solid">
        <fgColor rgb="FF146995"/>
        <bgColor indexed="64"/>
      </patternFill>
    </fill>
    <fill>
      <patternFill patternType="solid">
        <fgColor rgb="FF0469A5"/>
        <bgColor indexed="64"/>
      </patternFill>
    </fill>
    <fill>
      <patternFill patternType="solid">
        <fgColor rgb="FF799349"/>
        <bgColor indexed="64"/>
      </patternFill>
    </fill>
    <fill>
      <patternFill patternType="solid">
        <fgColor rgb="FF7B963B"/>
        <bgColor indexed="64"/>
      </patternFill>
    </fill>
    <fill>
      <patternFill patternType="solid">
        <fgColor rgb="FF0C78A7"/>
        <bgColor indexed="64"/>
      </patternFill>
    </fill>
    <fill>
      <patternFill patternType="solid">
        <fgColor rgb="FF1C8EBB"/>
        <bgColor indexed="64"/>
      </patternFill>
    </fill>
    <fill>
      <patternFill patternType="solid">
        <fgColor rgb="FF1889B4"/>
        <bgColor indexed="64"/>
      </patternFill>
    </fill>
    <fill>
      <patternFill patternType="solid">
        <fgColor rgb="FF188BB3"/>
        <bgColor indexed="64"/>
      </patternFill>
    </fill>
    <fill>
      <patternFill patternType="solid">
        <fgColor rgb="FF188DB5"/>
        <bgColor indexed="64"/>
      </patternFill>
    </fill>
    <fill>
      <patternFill patternType="solid">
        <fgColor rgb="FF198DB7"/>
        <bgColor indexed="64"/>
      </patternFill>
    </fill>
    <fill>
      <patternFill patternType="solid">
        <fgColor rgb="FF1687B2"/>
        <bgColor indexed="64"/>
      </patternFill>
    </fill>
    <fill>
      <patternFill patternType="solid">
        <fgColor rgb="FF1683B3"/>
        <bgColor indexed="64"/>
      </patternFill>
    </fill>
    <fill>
      <patternFill patternType="solid">
        <fgColor rgb="FF1684B1"/>
        <bgColor indexed="64"/>
      </patternFill>
    </fill>
    <fill>
      <patternFill patternType="solid">
        <fgColor rgb="FF157EAF"/>
        <bgColor indexed="64"/>
      </patternFill>
    </fill>
    <fill>
      <patternFill patternType="solid">
        <fgColor rgb="FF124766"/>
        <bgColor indexed="64"/>
      </patternFill>
    </fill>
    <fill>
      <patternFill patternType="solid">
        <fgColor rgb="FF1B82A7"/>
        <bgColor indexed="64"/>
      </patternFill>
    </fill>
    <fill>
      <patternFill patternType="solid">
        <fgColor rgb="FF1688B6"/>
        <bgColor indexed="64"/>
      </patternFill>
    </fill>
    <fill>
      <patternFill patternType="solid">
        <fgColor rgb="FF1788B8"/>
        <bgColor indexed="64"/>
      </patternFill>
    </fill>
    <fill>
      <patternFill patternType="solid">
        <fgColor rgb="FF1988BA"/>
        <bgColor indexed="64"/>
      </patternFill>
    </fill>
    <fill>
      <patternFill patternType="solid">
        <fgColor rgb="FF067ABB"/>
        <bgColor indexed="64"/>
      </patternFill>
    </fill>
    <fill>
      <patternFill patternType="solid">
        <fgColor rgb="FF6A9A64"/>
        <bgColor indexed="64"/>
      </patternFill>
    </fill>
    <fill>
      <patternFill patternType="solid">
        <fgColor rgb="FFB7B92A"/>
        <bgColor indexed="64"/>
      </patternFill>
    </fill>
    <fill>
      <patternFill patternType="solid">
        <fgColor rgb="FF0E6680"/>
        <bgColor indexed="64"/>
      </patternFill>
    </fill>
    <fill>
      <patternFill patternType="solid">
        <fgColor rgb="FF0C70A5"/>
        <bgColor indexed="64"/>
      </patternFill>
    </fill>
    <fill>
      <patternFill patternType="solid">
        <fgColor rgb="FF0D648D"/>
        <bgColor indexed="64"/>
      </patternFill>
    </fill>
    <fill>
      <patternFill patternType="solid">
        <fgColor rgb="FF0E638B"/>
        <bgColor indexed="64"/>
      </patternFill>
    </fill>
    <fill>
      <patternFill patternType="solid">
        <fgColor rgb="FF136382"/>
        <bgColor indexed="64"/>
      </patternFill>
    </fill>
    <fill>
      <patternFill patternType="solid">
        <fgColor rgb="FF10485A"/>
        <bgColor indexed="64"/>
      </patternFill>
    </fill>
    <fill>
      <patternFill patternType="solid">
        <fgColor rgb="FF634C65"/>
        <bgColor indexed="64"/>
      </patternFill>
    </fill>
    <fill>
      <patternFill patternType="solid">
        <fgColor rgb="FF9D6CB0"/>
        <bgColor indexed="64"/>
      </patternFill>
    </fill>
    <fill>
      <patternFill patternType="solid">
        <fgColor rgb="FF7B5593"/>
        <bgColor indexed="64"/>
      </patternFill>
    </fill>
    <fill>
      <patternFill patternType="solid">
        <fgColor rgb="FF9364A4"/>
        <bgColor indexed="64"/>
      </patternFill>
    </fill>
    <fill>
      <patternFill patternType="solid">
        <fgColor rgb="FF77A740"/>
        <bgColor indexed="64"/>
      </patternFill>
    </fill>
    <fill>
      <patternFill patternType="solid">
        <fgColor rgb="FF607B2C"/>
        <bgColor indexed="64"/>
      </patternFill>
    </fill>
    <fill>
      <patternFill patternType="solid">
        <fgColor rgb="FF717022"/>
        <bgColor indexed="64"/>
      </patternFill>
    </fill>
    <fill>
      <patternFill patternType="solid">
        <fgColor rgb="FF796B1E"/>
        <bgColor indexed="64"/>
      </patternFill>
    </fill>
    <fill>
      <patternFill patternType="solid">
        <fgColor rgb="FFA7A12E"/>
        <bgColor indexed="64"/>
      </patternFill>
    </fill>
    <fill>
      <patternFill patternType="solid">
        <fgColor rgb="FF979428"/>
        <bgColor indexed="64"/>
      </patternFill>
    </fill>
    <fill>
      <patternFill patternType="solid">
        <fgColor rgb="FFE7DE35"/>
        <bgColor indexed="64"/>
      </patternFill>
    </fill>
    <fill>
      <patternFill patternType="solid">
        <fgColor rgb="FFD6CC32"/>
        <bgColor indexed="64"/>
      </patternFill>
    </fill>
    <fill>
      <patternFill patternType="solid">
        <fgColor rgb="FFA49F26"/>
        <bgColor indexed="64"/>
      </patternFill>
    </fill>
    <fill>
      <patternFill patternType="solid">
        <fgColor rgb="FF919226"/>
        <bgColor indexed="64"/>
      </patternFill>
    </fill>
    <fill>
      <patternFill patternType="solid">
        <fgColor rgb="FF99A12D"/>
        <bgColor indexed="64"/>
      </patternFill>
    </fill>
    <fill>
      <patternFill patternType="solid">
        <fgColor rgb="FF83AA40"/>
        <bgColor indexed="64"/>
      </patternFill>
    </fill>
    <fill>
      <patternFill patternType="solid">
        <fgColor rgb="FF7AA63F"/>
        <bgColor indexed="64"/>
      </patternFill>
    </fill>
    <fill>
      <patternFill patternType="solid">
        <fgColor rgb="FF79A63C"/>
        <bgColor indexed="64"/>
      </patternFill>
    </fill>
    <fill>
      <patternFill patternType="solid">
        <fgColor rgb="FF76A63B"/>
        <bgColor indexed="64"/>
      </patternFill>
    </fill>
    <fill>
      <patternFill patternType="solid">
        <fgColor rgb="FF71A13E"/>
        <bgColor indexed="64"/>
      </patternFill>
    </fill>
    <fill>
      <patternFill patternType="solid">
        <fgColor rgb="FF728738"/>
        <bgColor indexed="64"/>
      </patternFill>
    </fill>
    <fill>
      <patternFill patternType="solid">
        <fgColor rgb="FF6D6525"/>
        <bgColor indexed="64"/>
      </patternFill>
    </fill>
    <fill>
      <patternFill patternType="solid">
        <fgColor rgb="FF574B16"/>
        <bgColor indexed="64"/>
      </patternFill>
    </fill>
    <fill>
      <patternFill patternType="solid">
        <fgColor rgb="FF697E35"/>
        <bgColor indexed="64"/>
      </patternFill>
    </fill>
    <fill>
      <patternFill patternType="solid">
        <fgColor rgb="FF7EAD49"/>
        <bgColor indexed="64"/>
      </patternFill>
    </fill>
    <fill>
      <patternFill patternType="solid">
        <fgColor rgb="FF85AF45"/>
        <bgColor indexed="64"/>
      </patternFill>
    </fill>
    <fill>
      <patternFill patternType="solid">
        <fgColor rgb="FF85B545"/>
        <bgColor indexed="64"/>
      </patternFill>
    </fill>
    <fill>
      <patternFill patternType="solid">
        <fgColor rgb="FF7B7E39"/>
        <bgColor indexed="64"/>
      </patternFill>
    </fill>
    <fill>
      <patternFill patternType="solid">
        <fgColor rgb="FF994240"/>
        <bgColor indexed="64"/>
      </patternFill>
    </fill>
    <fill>
      <patternFill patternType="solid">
        <fgColor rgb="FFE54B67"/>
        <bgColor indexed="64"/>
      </patternFill>
    </fill>
    <fill>
      <patternFill patternType="solid">
        <fgColor rgb="FFFA5373"/>
        <bgColor indexed="64"/>
      </patternFill>
    </fill>
    <fill>
      <patternFill patternType="solid">
        <fgColor rgb="FFAE494C"/>
        <bgColor indexed="64"/>
      </patternFill>
    </fill>
    <fill>
      <patternFill patternType="solid">
        <fgColor rgb="FF8E5041"/>
        <bgColor indexed="64"/>
      </patternFill>
    </fill>
    <fill>
      <patternFill patternType="solid">
        <fgColor rgb="FF7E7F41"/>
        <bgColor indexed="64"/>
      </patternFill>
    </fill>
    <fill>
      <patternFill patternType="solid">
        <fgColor rgb="FF7FB34C"/>
        <bgColor indexed="64"/>
      </patternFill>
    </fill>
    <fill>
      <patternFill patternType="solid">
        <fgColor rgb="FF76A049"/>
        <bgColor indexed="64"/>
      </patternFill>
    </fill>
    <fill>
      <patternFill patternType="solid">
        <fgColor rgb="FF567535"/>
        <bgColor indexed="64"/>
      </patternFill>
    </fill>
    <fill>
      <patternFill patternType="solid">
        <fgColor rgb="FF4C642C"/>
        <bgColor indexed="64"/>
      </patternFill>
    </fill>
    <fill>
      <patternFill patternType="solid">
        <fgColor rgb="FF66863E"/>
        <bgColor indexed="64"/>
      </patternFill>
    </fill>
    <fill>
      <patternFill patternType="solid">
        <fgColor rgb="FF6C9241"/>
        <bgColor indexed="64"/>
      </patternFill>
    </fill>
    <fill>
      <patternFill patternType="solid">
        <fgColor rgb="FF759C48"/>
        <bgColor indexed="64"/>
      </patternFill>
    </fill>
    <fill>
      <patternFill patternType="solid">
        <fgColor rgb="FF79A44A"/>
        <bgColor indexed="64"/>
      </patternFill>
    </fill>
    <fill>
      <patternFill patternType="solid">
        <fgColor rgb="FF7BA84A"/>
        <bgColor indexed="64"/>
      </patternFill>
    </fill>
    <fill>
      <patternFill patternType="solid">
        <fgColor rgb="FF7BA949"/>
        <bgColor indexed="64"/>
      </patternFill>
    </fill>
    <fill>
      <patternFill patternType="solid">
        <fgColor rgb="FF7BA94D"/>
        <bgColor indexed="64"/>
      </patternFill>
    </fill>
    <fill>
      <patternFill patternType="solid">
        <fgColor rgb="FF71A24B"/>
        <bgColor indexed="64"/>
      </patternFill>
    </fill>
    <fill>
      <patternFill patternType="solid">
        <fgColor rgb="FF899F3E"/>
        <bgColor indexed="64"/>
      </patternFill>
    </fill>
    <fill>
      <patternFill patternType="solid">
        <fgColor rgb="FF878E32"/>
        <bgColor indexed="64"/>
      </patternFill>
    </fill>
    <fill>
      <patternFill patternType="solid">
        <fgColor rgb="FF82AD4F"/>
        <bgColor indexed="64"/>
      </patternFill>
    </fill>
    <fill>
      <patternFill patternType="solid">
        <fgColor rgb="FF84AD48"/>
        <bgColor indexed="64"/>
      </patternFill>
    </fill>
    <fill>
      <patternFill patternType="solid">
        <fgColor rgb="FF628C3E"/>
        <bgColor indexed="64"/>
      </patternFill>
    </fill>
    <fill>
      <patternFill patternType="solid">
        <fgColor rgb="FF47703E"/>
        <bgColor indexed="64"/>
      </patternFill>
    </fill>
    <fill>
      <patternFill patternType="solid">
        <fgColor rgb="FF356A51"/>
        <bgColor indexed="64"/>
      </patternFill>
    </fill>
    <fill>
      <patternFill patternType="solid">
        <fgColor rgb="FF205956"/>
        <bgColor indexed="64"/>
      </patternFill>
    </fill>
    <fill>
      <patternFill patternType="solid">
        <fgColor rgb="FFC7C134"/>
        <bgColor indexed="64"/>
      </patternFill>
    </fill>
    <fill>
      <patternFill patternType="solid">
        <fgColor rgb="FFA7A62F"/>
        <bgColor indexed="64"/>
      </patternFill>
    </fill>
    <fill>
      <patternFill patternType="solid">
        <fgColor rgb="FF034165"/>
        <bgColor indexed="64"/>
      </patternFill>
    </fill>
    <fill>
      <patternFill patternType="solid">
        <fgColor rgb="FF146991"/>
        <bgColor indexed="64"/>
      </patternFill>
    </fill>
    <fill>
      <patternFill patternType="solid">
        <fgColor rgb="FF0472AC"/>
        <bgColor indexed="64"/>
      </patternFill>
    </fill>
    <fill>
      <patternFill patternType="solid">
        <fgColor rgb="FF776560"/>
        <bgColor indexed="64"/>
      </patternFill>
    </fill>
    <fill>
      <patternFill patternType="solid">
        <fgColor rgb="FFFF9149"/>
        <bgColor indexed="64"/>
      </patternFill>
    </fill>
    <fill>
      <patternFill patternType="solid">
        <fgColor rgb="FF3D6A74"/>
        <bgColor indexed="64"/>
      </patternFill>
    </fill>
    <fill>
      <patternFill patternType="solid">
        <fgColor rgb="FF1082B3"/>
        <bgColor indexed="64"/>
      </patternFill>
    </fill>
    <fill>
      <patternFill patternType="solid">
        <fgColor rgb="FF1E8DBA"/>
        <bgColor indexed="64"/>
      </patternFill>
    </fill>
    <fill>
      <patternFill patternType="solid">
        <fgColor rgb="FF086598"/>
        <bgColor indexed="64"/>
      </patternFill>
    </fill>
    <fill>
      <patternFill patternType="solid">
        <fgColor rgb="FF9EA230"/>
        <bgColor indexed="64"/>
      </patternFill>
    </fill>
    <fill>
      <patternFill patternType="solid">
        <fgColor rgb="FFFEFA38"/>
        <bgColor indexed="64"/>
      </patternFill>
    </fill>
    <fill>
      <patternFill patternType="solid">
        <fgColor rgb="FF3D6C4E"/>
        <bgColor indexed="64"/>
      </patternFill>
    </fill>
    <fill>
      <patternFill patternType="solid">
        <fgColor rgb="FF127FB1"/>
        <bgColor indexed="64"/>
      </patternFill>
    </fill>
    <fill>
      <patternFill patternType="solid">
        <fgColor rgb="FF1986AF"/>
        <bgColor indexed="64"/>
      </patternFill>
    </fill>
    <fill>
      <patternFill patternType="solid">
        <fgColor rgb="FF1787B0"/>
        <bgColor indexed="64"/>
      </patternFill>
    </fill>
    <fill>
      <patternFill patternType="solid">
        <fgColor rgb="FF1582AF"/>
        <bgColor indexed="64"/>
      </patternFill>
    </fill>
    <fill>
      <patternFill patternType="solid">
        <fgColor rgb="FF1681AA"/>
        <bgColor indexed="64"/>
      </patternFill>
    </fill>
    <fill>
      <patternFill patternType="solid">
        <fgColor rgb="FF147EAB"/>
        <bgColor indexed="64"/>
      </patternFill>
    </fill>
    <fill>
      <patternFill patternType="solid">
        <fgColor rgb="FF1580AF"/>
        <bgColor indexed="64"/>
      </patternFill>
    </fill>
    <fill>
      <patternFill patternType="solid">
        <fgColor rgb="FF157DAA"/>
        <bgColor indexed="64"/>
      </patternFill>
    </fill>
    <fill>
      <patternFill patternType="solid">
        <fgColor rgb="FF1184AF"/>
        <bgColor indexed="64"/>
      </patternFill>
    </fill>
    <fill>
      <patternFill patternType="solid">
        <fgColor rgb="FF216898"/>
        <bgColor indexed="64"/>
      </patternFill>
    </fill>
    <fill>
      <patternFill patternType="solid">
        <fgColor rgb="FF453C56"/>
        <bgColor indexed="64"/>
      </patternFill>
    </fill>
    <fill>
      <patternFill patternType="solid">
        <fgColor rgb="FF1582AA"/>
        <bgColor indexed="64"/>
      </patternFill>
    </fill>
    <fill>
      <patternFill patternType="solid">
        <fgColor rgb="FF1788B7"/>
        <bgColor indexed="64"/>
      </patternFill>
    </fill>
    <fill>
      <patternFill patternType="solid">
        <fgColor rgb="FF1982AF"/>
        <bgColor indexed="64"/>
      </patternFill>
    </fill>
    <fill>
      <patternFill patternType="solid">
        <fgColor rgb="FF1880AE"/>
        <bgColor indexed="64"/>
      </patternFill>
    </fill>
    <fill>
      <patternFill patternType="solid">
        <fgColor rgb="FF117EB1"/>
        <bgColor indexed="64"/>
      </patternFill>
    </fill>
    <fill>
      <patternFill patternType="solid">
        <fgColor rgb="FF365648"/>
        <bgColor indexed="64"/>
      </patternFill>
    </fill>
    <fill>
      <patternFill patternType="solid">
        <fgColor rgb="FF59692E"/>
        <bgColor indexed="64"/>
      </patternFill>
    </fill>
    <fill>
      <patternFill patternType="solid">
        <fgColor rgb="FF147CA0"/>
        <bgColor indexed="64"/>
      </patternFill>
    </fill>
    <fill>
      <patternFill patternType="solid">
        <fgColor rgb="FF1580B3"/>
        <bgColor indexed="64"/>
      </patternFill>
    </fill>
    <fill>
      <patternFill patternType="solid">
        <fgColor rgb="FF1581B4"/>
        <bgColor indexed="64"/>
      </patternFill>
    </fill>
    <fill>
      <patternFill patternType="solid">
        <fgColor rgb="FF147FB4"/>
        <bgColor indexed="64"/>
      </patternFill>
    </fill>
    <fill>
      <patternFill patternType="solid">
        <fgColor rgb="FF1080B8"/>
        <bgColor indexed="64"/>
      </patternFill>
    </fill>
    <fill>
      <patternFill patternType="solid">
        <fgColor rgb="FF1C4F7D"/>
        <bgColor indexed="64"/>
      </patternFill>
    </fill>
    <fill>
      <patternFill patternType="solid">
        <fgColor rgb="FF916199"/>
        <bgColor indexed="64"/>
      </patternFill>
    </fill>
    <fill>
      <patternFill patternType="solid">
        <fgColor rgb="FF755191"/>
        <bgColor indexed="64"/>
      </patternFill>
    </fill>
    <fill>
      <patternFill patternType="solid">
        <fgColor rgb="FF7C568C"/>
        <bgColor indexed="64"/>
      </patternFill>
    </fill>
    <fill>
      <patternFill patternType="solid">
        <fgColor rgb="FF835998"/>
        <bgColor indexed="64"/>
      </patternFill>
    </fill>
    <fill>
      <patternFill patternType="solid">
        <fgColor rgb="FF6A9033"/>
        <bgColor indexed="64"/>
      </patternFill>
    </fill>
    <fill>
      <patternFill patternType="solid">
        <fgColor rgb="FF697A25"/>
        <bgColor indexed="64"/>
      </patternFill>
    </fill>
    <fill>
      <patternFill patternType="solid">
        <fgColor rgb="FFAEA62C"/>
        <bgColor indexed="64"/>
      </patternFill>
    </fill>
    <fill>
      <patternFill patternType="solid">
        <fgColor rgb="FFA29622"/>
        <bgColor indexed="64"/>
      </patternFill>
    </fill>
    <fill>
      <patternFill patternType="solid">
        <fgColor rgb="FFE0CE2F"/>
        <bgColor indexed="64"/>
      </patternFill>
    </fill>
    <fill>
      <patternFill patternType="solid">
        <fgColor rgb="FFF8EA34"/>
        <bgColor indexed="64"/>
      </patternFill>
    </fill>
    <fill>
      <patternFill patternType="solid">
        <fgColor rgb="FFFFF738"/>
        <bgColor indexed="64"/>
      </patternFill>
    </fill>
    <fill>
      <patternFill patternType="solid">
        <fgColor rgb="FFD9CE32"/>
        <bgColor indexed="64"/>
      </patternFill>
    </fill>
    <fill>
      <patternFill patternType="solid">
        <fgColor rgb="FFFAF137"/>
        <bgColor indexed="64"/>
      </patternFill>
    </fill>
    <fill>
      <patternFill patternType="solid">
        <fgColor rgb="FFE9DF31"/>
        <bgColor indexed="64"/>
      </patternFill>
    </fill>
    <fill>
      <patternFill patternType="solid">
        <fgColor rgb="FF707A1B"/>
        <bgColor indexed="64"/>
      </patternFill>
    </fill>
    <fill>
      <patternFill patternType="solid">
        <fgColor rgb="FF76A13B"/>
        <bgColor indexed="64"/>
      </patternFill>
    </fill>
    <fill>
      <patternFill patternType="solid">
        <fgColor rgb="FF7BA740"/>
        <bgColor indexed="64"/>
      </patternFill>
    </fill>
    <fill>
      <patternFill patternType="solid">
        <fgColor rgb="FF78A639"/>
        <bgColor indexed="64"/>
      </patternFill>
    </fill>
    <fill>
      <patternFill patternType="solid">
        <fgColor rgb="FF74A33A"/>
        <bgColor indexed="64"/>
      </patternFill>
    </fill>
    <fill>
      <patternFill patternType="solid">
        <fgColor rgb="FF73A03E"/>
        <bgColor indexed="64"/>
      </patternFill>
    </fill>
    <fill>
      <patternFill patternType="solid">
        <fgColor rgb="FF6D8637"/>
        <bgColor indexed="64"/>
      </patternFill>
    </fill>
    <fill>
      <patternFill patternType="solid">
        <fgColor rgb="FF988D2E"/>
        <bgColor indexed="64"/>
      </patternFill>
    </fill>
    <fill>
      <patternFill patternType="solid">
        <fgColor rgb="FFD3C733"/>
        <bgColor indexed="64"/>
      </patternFill>
    </fill>
    <fill>
      <patternFill patternType="solid">
        <fgColor rgb="FF6F8331"/>
        <bgColor indexed="64"/>
      </patternFill>
    </fill>
    <fill>
      <patternFill patternType="solid">
        <fgColor rgb="FF7AA849"/>
        <bgColor indexed="64"/>
      </patternFill>
    </fill>
    <fill>
      <patternFill patternType="solid">
        <fgColor rgb="FF84AF46"/>
        <bgColor indexed="64"/>
      </patternFill>
    </fill>
    <fill>
      <patternFill patternType="solid">
        <fgColor rgb="FF84B046"/>
        <bgColor indexed="64"/>
      </patternFill>
    </fill>
    <fill>
      <patternFill patternType="solid">
        <fgColor rgb="FF87B649"/>
        <bgColor indexed="64"/>
      </patternFill>
    </fill>
    <fill>
      <patternFill patternType="solid">
        <fgColor rgb="FF6D6F37"/>
        <bgColor indexed="64"/>
      </patternFill>
    </fill>
    <fill>
      <patternFill patternType="solid">
        <fgColor rgb="FF9D384A"/>
        <bgColor indexed="64"/>
      </patternFill>
    </fill>
    <fill>
      <patternFill patternType="solid">
        <fgColor rgb="FFD75065"/>
        <bgColor indexed="64"/>
      </patternFill>
    </fill>
    <fill>
      <patternFill patternType="solid">
        <fgColor rgb="FFEC506D"/>
        <bgColor indexed="64"/>
      </patternFill>
    </fill>
    <fill>
      <patternFill patternType="solid">
        <fgColor rgb="FF9F4C4A"/>
        <bgColor indexed="64"/>
      </patternFill>
    </fill>
    <fill>
      <patternFill patternType="solid">
        <fgColor rgb="FF678F35"/>
        <bgColor indexed="64"/>
      </patternFill>
    </fill>
    <fill>
      <patternFill patternType="solid">
        <fgColor rgb="FF719741"/>
        <bgColor indexed="64"/>
      </patternFill>
    </fill>
    <fill>
      <patternFill patternType="solid">
        <fgColor rgb="FF80AA50"/>
        <bgColor indexed="64"/>
      </patternFill>
    </fill>
    <fill>
      <patternFill patternType="solid">
        <fgColor rgb="FF567435"/>
        <bgColor indexed="64"/>
      </patternFill>
    </fill>
    <fill>
      <patternFill patternType="solid">
        <fgColor rgb="FF6A8E3E"/>
        <bgColor indexed="64"/>
      </patternFill>
    </fill>
    <fill>
      <patternFill patternType="solid">
        <fgColor rgb="FF7FAB4D"/>
        <bgColor indexed="64"/>
      </patternFill>
    </fill>
    <fill>
      <patternFill patternType="solid">
        <fgColor rgb="FF739D44"/>
        <bgColor indexed="64"/>
      </patternFill>
    </fill>
    <fill>
      <patternFill patternType="solid">
        <fgColor rgb="FF5A7B36"/>
        <bgColor indexed="64"/>
      </patternFill>
    </fill>
    <fill>
      <patternFill patternType="solid">
        <fgColor rgb="FF719A45"/>
        <bgColor indexed="64"/>
      </patternFill>
    </fill>
    <fill>
      <patternFill patternType="solid">
        <fgColor rgb="FF80AE50"/>
        <bgColor indexed="64"/>
      </patternFill>
    </fill>
    <fill>
      <patternFill patternType="solid">
        <fgColor rgb="FF7CA84B"/>
        <bgColor indexed="64"/>
      </patternFill>
    </fill>
    <fill>
      <patternFill patternType="solid">
        <fgColor rgb="FF80AF51"/>
        <bgColor indexed="64"/>
      </patternFill>
    </fill>
    <fill>
      <patternFill patternType="solid">
        <fgColor rgb="FF809938"/>
        <bgColor indexed="64"/>
      </patternFill>
    </fill>
    <fill>
      <patternFill patternType="solid">
        <fgColor rgb="FF7F832D"/>
        <bgColor indexed="64"/>
      </patternFill>
    </fill>
    <fill>
      <patternFill patternType="solid">
        <fgColor rgb="FF456739"/>
        <bgColor indexed="64"/>
      </patternFill>
    </fill>
    <fill>
      <patternFill patternType="solid">
        <fgColor rgb="FF2E6455"/>
        <bgColor indexed="64"/>
      </patternFill>
    </fill>
    <fill>
      <patternFill patternType="solid">
        <fgColor rgb="FF165E74"/>
        <bgColor indexed="64"/>
      </patternFill>
    </fill>
    <fill>
      <patternFill patternType="solid">
        <fgColor rgb="FF0E5F84"/>
        <bgColor indexed="64"/>
      </patternFill>
    </fill>
    <fill>
      <patternFill patternType="solid">
        <fgColor rgb="FF136F9A"/>
        <bgColor indexed="64"/>
      </patternFill>
    </fill>
    <fill>
      <patternFill patternType="solid">
        <fgColor rgb="FF066691"/>
        <bgColor indexed="64"/>
      </patternFill>
    </fill>
    <fill>
      <patternFill patternType="solid">
        <fgColor rgb="FFC6C437"/>
        <bgColor indexed="64"/>
      </patternFill>
    </fill>
    <fill>
      <patternFill patternType="solid">
        <fgColor rgb="FFABAC31"/>
        <bgColor indexed="64"/>
      </patternFill>
    </fill>
    <fill>
      <patternFill patternType="solid">
        <fgColor rgb="FF0B658D"/>
        <bgColor indexed="64"/>
      </patternFill>
    </fill>
    <fill>
      <patternFill patternType="solid">
        <fgColor rgb="FF1387BB"/>
        <bgColor indexed="64"/>
      </patternFill>
    </fill>
    <fill>
      <patternFill patternType="solid">
        <fgColor rgb="FF486779"/>
        <bgColor indexed="64"/>
      </patternFill>
    </fill>
    <fill>
      <patternFill patternType="solid">
        <fgColor rgb="FFF99045"/>
        <bgColor indexed="64"/>
      </patternFill>
    </fill>
    <fill>
      <patternFill patternType="solid">
        <fgColor rgb="FFC9844B"/>
        <bgColor indexed="64"/>
      </patternFill>
    </fill>
    <fill>
      <patternFill patternType="solid">
        <fgColor rgb="FF1A7191"/>
        <bgColor indexed="64"/>
      </patternFill>
    </fill>
    <fill>
      <patternFill patternType="solid">
        <fgColor rgb="FF1783B4"/>
        <bgColor indexed="64"/>
      </patternFill>
    </fill>
    <fill>
      <patternFill patternType="solid">
        <fgColor rgb="FF1786B9"/>
        <bgColor indexed="64"/>
      </patternFill>
    </fill>
    <fill>
      <patternFill patternType="solid">
        <fgColor rgb="FF125B81"/>
        <bgColor indexed="64"/>
      </patternFill>
    </fill>
    <fill>
      <patternFill patternType="solid">
        <fgColor rgb="FFA79C29"/>
        <bgColor indexed="64"/>
      </patternFill>
    </fill>
    <fill>
      <patternFill patternType="solid">
        <fgColor rgb="FFDFD731"/>
        <bgColor indexed="64"/>
      </patternFill>
    </fill>
    <fill>
      <patternFill patternType="solid">
        <fgColor rgb="FF18606B"/>
        <bgColor indexed="64"/>
      </patternFill>
    </fill>
    <fill>
      <patternFill patternType="solid">
        <fgColor rgb="FF1687BC"/>
        <bgColor indexed="64"/>
      </patternFill>
    </fill>
    <fill>
      <patternFill patternType="solid">
        <fgColor rgb="FF14719D"/>
        <bgColor indexed="64"/>
      </patternFill>
    </fill>
    <fill>
      <patternFill patternType="solid">
        <fgColor rgb="FF12668C"/>
        <bgColor indexed="64"/>
      </patternFill>
    </fill>
    <fill>
      <patternFill patternType="solid">
        <fgColor rgb="FF115E86"/>
        <bgColor indexed="64"/>
      </patternFill>
    </fill>
    <fill>
      <patternFill patternType="solid">
        <fgColor rgb="FF105B7D"/>
        <bgColor indexed="64"/>
      </patternFill>
    </fill>
    <fill>
      <patternFill patternType="solid">
        <fgColor rgb="FF1681AF"/>
        <bgColor indexed="64"/>
      </patternFill>
    </fill>
    <fill>
      <patternFill patternType="solid">
        <fgColor rgb="FF116D9A"/>
        <bgColor indexed="64"/>
      </patternFill>
    </fill>
    <fill>
      <patternFill patternType="solid">
        <fgColor rgb="FF1780AA"/>
        <bgColor indexed="64"/>
      </patternFill>
    </fill>
    <fill>
      <patternFill patternType="solid">
        <fgColor rgb="FF0579AC"/>
        <bgColor indexed="64"/>
      </patternFill>
    </fill>
    <fill>
      <patternFill patternType="solid">
        <fgColor rgb="FF8D4E6B"/>
        <bgColor indexed="64"/>
      </patternFill>
    </fill>
    <fill>
      <patternFill patternType="solid">
        <fgColor rgb="FF83506E"/>
        <bgColor indexed="64"/>
      </patternFill>
    </fill>
    <fill>
      <patternFill patternType="solid">
        <fgColor rgb="FF136A96"/>
        <bgColor indexed="64"/>
      </patternFill>
    </fill>
    <fill>
      <patternFill patternType="solid">
        <fgColor rgb="FF1777A2"/>
        <bgColor indexed="64"/>
      </patternFill>
    </fill>
    <fill>
      <patternFill patternType="solid">
        <fgColor rgb="FF0988B8"/>
        <bgColor indexed="64"/>
      </patternFill>
    </fill>
    <fill>
      <patternFill patternType="solid">
        <fgColor rgb="FF0983B1"/>
        <bgColor indexed="64"/>
      </patternFill>
    </fill>
    <fill>
      <patternFill patternType="solid">
        <fgColor rgb="FF1B73A6"/>
        <bgColor indexed="64"/>
      </patternFill>
    </fill>
    <fill>
      <patternFill patternType="solid">
        <fgColor rgb="FF0E172E"/>
        <bgColor indexed="64"/>
      </patternFill>
    </fill>
    <fill>
      <patternFill patternType="solid">
        <fgColor rgb="FF173531"/>
        <bgColor indexed="64"/>
      </patternFill>
    </fill>
    <fill>
      <patternFill patternType="solid">
        <fgColor rgb="FF157CA7"/>
        <bgColor indexed="64"/>
      </patternFill>
    </fill>
    <fill>
      <patternFill patternType="solid">
        <fgColor rgb="FF127AAB"/>
        <bgColor indexed="64"/>
      </patternFill>
    </fill>
    <fill>
      <patternFill patternType="solid">
        <fgColor rgb="FF137AAB"/>
        <bgColor indexed="64"/>
      </patternFill>
    </fill>
    <fill>
      <patternFill patternType="solid">
        <fgColor rgb="FF147AAB"/>
        <bgColor indexed="64"/>
      </patternFill>
    </fill>
    <fill>
      <patternFill patternType="solid">
        <fgColor rgb="FF0B71A6"/>
        <bgColor indexed="64"/>
      </patternFill>
    </fill>
    <fill>
      <patternFill patternType="solid">
        <fgColor rgb="FF404A72"/>
        <bgColor indexed="64"/>
      </patternFill>
    </fill>
    <fill>
      <patternFill patternType="solid">
        <fgColor rgb="FF67477B"/>
        <bgColor indexed="64"/>
      </patternFill>
    </fill>
    <fill>
      <patternFill patternType="solid">
        <fgColor rgb="FF604573"/>
        <bgColor indexed="64"/>
      </patternFill>
    </fill>
    <fill>
      <patternFill patternType="solid">
        <fgColor rgb="FF9467A8"/>
        <bgColor indexed="64"/>
      </patternFill>
    </fill>
    <fill>
      <patternFill patternType="solid">
        <fgColor rgb="FF67457F"/>
        <bgColor indexed="64"/>
      </patternFill>
    </fill>
    <fill>
      <patternFill patternType="solid">
        <fgColor rgb="FF759F39"/>
        <bgColor indexed="64"/>
      </patternFill>
    </fill>
    <fill>
      <patternFill patternType="solid">
        <fgColor rgb="FF6C7D26"/>
        <bgColor indexed="64"/>
      </patternFill>
    </fill>
    <fill>
      <patternFill patternType="solid">
        <fgColor rgb="FFC0B82B"/>
        <bgColor indexed="64"/>
      </patternFill>
    </fill>
    <fill>
      <patternFill patternType="solid">
        <fgColor rgb="FFFFF939"/>
        <bgColor indexed="64"/>
      </patternFill>
    </fill>
    <fill>
      <patternFill patternType="solid">
        <fgColor rgb="FFFAEA34"/>
        <bgColor indexed="64"/>
      </patternFill>
    </fill>
    <fill>
      <patternFill patternType="solid">
        <fgColor rgb="FFFEEC35"/>
        <bgColor indexed="64"/>
      </patternFill>
    </fill>
    <fill>
      <patternFill patternType="solid">
        <fgColor rgb="FFFCF036"/>
        <bgColor indexed="64"/>
      </patternFill>
    </fill>
    <fill>
      <patternFill patternType="solid">
        <fgColor rgb="FFFFF737"/>
        <bgColor indexed="64"/>
      </patternFill>
    </fill>
    <fill>
      <patternFill patternType="solid">
        <fgColor rgb="FFFBF035"/>
        <bgColor indexed="64"/>
      </patternFill>
    </fill>
    <fill>
      <patternFill patternType="solid">
        <fgColor rgb="FFEEE535"/>
        <bgColor indexed="64"/>
      </patternFill>
    </fill>
    <fill>
      <patternFill patternType="solid">
        <fgColor rgb="FF959427"/>
        <bgColor indexed="64"/>
      </patternFill>
    </fill>
    <fill>
      <patternFill patternType="solid">
        <fgColor rgb="FF638634"/>
        <bgColor indexed="64"/>
      </patternFill>
    </fill>
    <fill>
      <patternFill patternType="solid">
        <fgColor rgb="FF77A53D"/>
        <bgColor indexed="64"/>
      </patternFill>
    </fill>
    <fill>
      <patternFill patternType="solid">
        <fgColor rgb="FF76A43B"/>
        <bgColor indexed="64"/>
      </patternFill>
    </fill>
    <fill>
      <patternFill patternType="solid">
        <fgColor rgb="FF74A43F"/>
        <bgColor indexed="64"/>
      </patternFill>
    </fill>
    <fill>
      <patternFill patternType="solid">
        <fgColor rgb="FF658132"/>
        <bgColor indexed="64"/>
      </patternFill>
    </fill>
    <fill>
      <patternFill patternType="solid">
        <fgColor rgb="FF9D912B"/>
        <bgColor indexed="64"/>
      </patternFill>
    </fill>
    <fill>
      <patternFill patternType="solid">
        <fgColor rgb="FFF9ED38"/>
        <bgColor indexed="64"/>
      </patternFill>
    </fill>
    <fill>
      <patternFill patternType="solid">
        <fgColor rgb="FF70822F"/>
        <bgColor indexed="64"/>
      </patternFill>
    </fill>
    <fill>
      <patternFill patternType="solid">
        <fgColor rgb="FF79A649"/>
        <bgColor indexed="64"/>
      </patternFill>
    </fill>
    <fill>
      <patternFill patternType="solid">
        <fgColor rgb="FF7FAC45"/>
        <bgColor indexed="64"/>
      </patternFill>
    </fill>
    <fill>
      <patternFill patternType="solid">
        <fgColor rgb="FF7EAD44"/>
        <bgColor indexed="64"/>
      </patternFill>
    </fill>
    <fill>
      <patternFill patternType="solid">
        <fgColor rgb="FF7EAB41"/>
        <bgColor indexed="64"/>
      </patternFill>
    </fill>
    <fill>
      <patternFill patternType="solid">
        <fgColor rgb="FF7FA943"/>
        <bgColor indexed="64"/>
      </patternFill>
    </fill>
    <fill>
      <patternFill patternType="solid">
        <fgColor rgb="FF668337"/>
        <bgColor indexed="64"/>
      </patternFill>
    </fill>
    <fill>
      <patternFill patternType="solid">
        <fgColor rgb="FF844B3C"/>
        <bgColor indexed="64"/>
      </patternFill>
    </fill>
    <fill>
      <patternFill patternType="solid">
        <fgColor rgb="FF762C3D"/>
        <bgColor indexed="64"/>
      </patternFill>
    </fill>
    <fill>
      <patternFill patternType="solid">
        <fgColor rgb="FF36481F"/>
        <bgColor indexed="64"/>
      </patternFill>
    </fill>
    <fill>
      <patternFill patternType="solid">
        <fgColor rgb="FF81AD46"/>
        <bgColor indexed="64"/>
      </patternFill>
    </fill>
    <fill>
      <patternFill patternType="solid">
        <fgColor rgb="FF7DAB4B"/>
        <bgColor indexed="64"/>
      </patternFill>
    </fill>
    <fill>
      <patternFill patternType="solid">
        <fgColor rgb="FF7AA649"/>
        <bgColor indexed="64"/>
      </patternFill>
    </fill>
    <fill>
      <patternFill patternType="solid">
        <fgColor rgb="FF80AA4F"/>
        <bgColor indexed="64"/>
      </patternFill>
    </fill>
    <fill>
      <patternFill patternType="solid">
        <fgColor rgb="FF7FAA4C"/>
        <bgColor indexed="64"/>
      </patternFill>
    </fill>
    <fill>
      <patternFill patternType="solid">
        <fgColor rgb="FF80AC4E"/>
        <bgColor indexed="64"/>
      </patternFill>
    </fill>
    <fill>
      <patternFill patternType="solid">
        <fgColor rgb="FF7EAA4B"/>
        <bgColor indexed="64"/>
      </patternFill>
    </fill>
    <fill>
      <patternFill patternType="solid">
        <fgColor rgb="FF7DAC4D"/>
        <bgColor indexed="64"/>
      </patternFill>
    </fill>
    <fill>
      <patternFill patternType="solid">
        <fgColor rgb="FF7DAD4E"/>
        <bgColor indexed="64"/>
      </patternFill>
    </fill>
    <fill>
      <patternFill patternType="solid">
        <fgColor rgb="FF85B551"/>
        <bgColor indexed="64"/>
      </patternFill>
    </fill>
    <fill>
      <patternFill patternType="solid">
        <fgColor rgb="FF67893A"/>
        <bgColor indexed="64"/>
      </patternFill>
    </fill>
    <fill>
      <patternFill patternType="solid">
        <fgColor rgb="FF4F7336"/>
        <bgColor indexed="64"/>
      </patternFill>
    </fill>
    <fill>
      <patternFill patternType="solid">
        <fgColor rgb="FF374C28"/>
        <bgColor indexed="64"/>
      </patternFill>
    </fill>
    <fill>
      <patternFill patternType="solid">
        <fgColor rgb="FF323C2B"/>
        <bgColor indexed="64"/>
      </patternFill>
    </fill>
    <fill>
      <patternFill patternType="solid">
        <fgColor rgb="FF146581"/>
        <bgColor indexed="64"/>
      </patternFill>
    </fill>
    <fill>
      <patternFill patternType="solid">
        <fgColor rgb="FF0F6088"/>
        <bgColor indexed="64"/>
      </patternFill>
    </fill>
    <fill>
      <patternFill patternType="solid">
        <fgColor rgb="FF177098"/>
        <bgColor indexed="64"/>
      </patternFill>
    </fill>
    <fill>
      <patternFill patternType="solid">
        <fgColor rgb="FF177298"/>
        <bgColor indexed="64"/>
      </patternFill>
    </fill>
    <fill>
      <patternFill patternType="solid">
        <fgColor rgb="FF106A8C"/>
        <bgColor indexed="64"/>
      </patternFill>
    </fill>
    <fill>
      <patternFill patternType="solid">
        <fgColor rgb="FFAEAA37"/>
        <bgColor indexed="64"/>
      </patternFill>
    </fill>
    <fill>
      <patternFill patternType="solid">
        <fgColor rgb="FFACAF32"/>
        <bgColor indexed="64"/>
      </patternFill>
    </fill>
    <fill>
      <patternFill patternType="solid">
        <fgColor rgb="FF0A6D97"/>
        <bgColor indexed="64"/>
      </patternFill>
    </fill>
    <fill>
      <patternFill patternType="solid">
        <fgColor rgb="FF216A93"/>
        <bgColor indexed="64"/>
      </patternFill>
    </fill>
    <fill>
      <patternFill patternType="solid">
        <fgColor rgb="FFA65B38"/>
        <bgColor indexed="64"/>
      </patternFill>
    </fill>
    <fill>
      <patternFill patternType="solid">
        <fgColor rgb="FFE0773D"/>
        <bgColor indexed="64"/>
      </patternFill>
    </fill>
    <fill>
      <patternFill patternType="solid">
        <fgColor rgb="FFA86632"/>
        <bgColor indexed="64"/>
      </patternFill>
    </fill>
    <fill>
      <patternFill patternType="solid">
        <fgColor rgb="FF12607F"/>
        <bgColor indexed="64"/>
      </patternFill>
    </fill>
    <fill>
      <patternFill patternType="solid">
        <fgColor rgb="FF1687BA"/>
        <bgColor indexed="64"/>
      </patternFill>
    </fill>
    <fill>
      <patternFill patternType="solid">
        <fgColor rgb="FF1984B9"/>
        <bgColor indexed="64"/>
      </patternFill>
    </fill>
    <fill>
      <patternFill patternType="solid">
        <fgColor rgb="FF15475F"/>
        <bgColor indexed="64"/>
      </patternFill>
    </fill>
    <fill>
      <patternFill patternType="solid">
        <fgColor rgb="FF8F7F1D"/>
        <bgColor indexed="64"/>
      </patternFill>
    </fill>
    <fill>
      <patternFill patternType="solid">
        <fgColor rgb="FF8C9333"/>
        <bgColor indexed="64"/>
      </patternFill>
    </fill>
    <fill>
      <patternFill patternType="solid">
        <fgColor rgb="FF116D8F"/>
        <bgColor indexed="64"/>
      </patternFill>
    </fill>
    <fill>
      <patternFill patternType="solid">
        <fgColor rgb="FF125C86"/>
        <bgColor indexed="64"/>
      </patternFill>
    </fill>
    <fill>
      <patternFill patternType="solid">
        <fgColor rgb="FF135D80"/>
        <bgColor indexed="64"/>
      </patternFill>
    </fill>
    <fill>
      <patternFill patternType="solid">
        <fgColor rgb="FF146F97"/>
        <bgColor indexed="64"/>
      </patternFill>
    </fill>
    <fill>
      <patternFill patternType="solid">
        <fgColor rgb="FF167EA7"/>
        <bgColor indexed="64"/>
      </patternFill>
    </fill>
    <fill>
      <patternFill patternType="solid">
        <fgColor rgb="FF137EA9"/>
        <bgColor indexed="64"/>
      </patternFill>
    </fill>
    <fill>
      <patternFill patternType="solid">
        <fgColor rgb="FF187CAD"/>
        <bgColor indexed="64"/>
      </patternFill>
    </fill>
    <fill>
      <patternFill patternType="solid">
        <fgColor rgb="FF1A3956"/>
        <bgColor indexed="64"/>
      </patternFill>
    </fill>
    <fill>
      <patternFill patternType="solid">
        <fgColor rgb="FF116C92"/>
        <bgColor indexed="64"/>
      </patternFill>
    </fill>
    <fill>
      <patternFill patternType="solid">
        <fgColor rgb="FF7A5377"/>
        <bgColor indexed="64"/>
      </patternFill>
    </fill>
    <fill>
      <patternFill patternType="solid">
        <fgColor rgb="FFF2506E"/>
        <bgColor indexed="64"/>
      </patternFill>
    </fill>
    <fill>
      <patternFill patternType="solid">
        <fgColor rgb="FF7D3450"/>
        <bgColor indexed="64"/>
      </patternFill>
    </fill>
    <fill>
      <patternFill patternType="solid">
        <fgColor rgb="FF563A54"/>
        <bgColor indexed="64"/>
      </patternFill>
    </fill>
    <fill>
      <patternFill patternType="solid">
        <fgColor rgb="FF295676"/>
        <bgColor indexed="64"/>
      </patternFill>
    </fill>
    <fill>
      <patternFill patternType="solid">
        <fgColor rgb="FF6C6187"/>
        <bgColor indexed="64"/>
      </patternFill>
    </fill>
    <fill>
      <patternFill patternType="solid">
        <fgColor rgb="FFB3567C"/>
        <bgColor indexed="64"/>
      </patternFill>
    </fill>
    <fill>
      <patternFill patternType="solid">
        <fgColor rgb="FF883A5C"/>
        <bgColor indexed="64"/>
      </patternFill>
    </fill>
    <fill>
      <patternFill patternType="solid">
        <fgColor rgb="FF2E1F1B"/>
        <bgColor indexed="64"/>
      </patternFill>
    </fill>
    <fill>
      <patternFill patternType="solid">
        <fgColor rgb="FF1E5048"/>
        <bgColor indexed="64"/>
      </patternFill>
    </fill>
    <fill>
      <patternFill patternType="solid">
        <fgColor rgb="FF127FB0"/>
        <bgColor indexed="64"/>
      </patternFill>
    </fill>
    <fill>
      <patternFill patternType="solid">
        <fgColor rgb="FF137CAC"/>
        <bgColor indexed="64"/>
      </patternFill>
    </fill>
    <fill>
      <patternFill patternType="solid">
        <fgColor rgb="FF127CAD"/>
        <bgColor indexed="64"/>
      </patternFill>
    </fill>
    <fill>
      <patternFill patternType="solid">
        <fgColor rgb="FF137BAC"/>
        <bgColor indexed="64"/>
      </patternFill>
    </fill>
    <fill>
      <patternFill patternType="solid">
        <fgColor rgb="FF0F6DA0"/>
        <bgColor indexed="64"/>
      </patternFill>
    </fill>
    <fill>
      <patternFill patternType="solid">
        <fgColor rgb="FF2B4A75"/>
        <bgColor indexed="64"/>
      </patternFill>
    </fill>
    <fill>
      <patternFill patternType="solid">
        <fgColor rgb="FF1A4776"/>
        <bgColor indexed="64"/>
      </patternFill>
    </fill>
    <fill>
      <patternFill patternType="solid">
        <fgColor rgb="FF674F7D"/>
        <bgColor indexed="64"/>
      </patternFill>
    </fill>
    <fill>
      <patternFill patternType="solid">
        <fgColor rgb="FF734E89"/>
        <bgColor indexed="64"/>
      </patternFill>
    </fill>
    <fill>
      <patternFill patternType="solid">
        <fgColor rgb="FF664777"/>
        <bgColor indexed="64"/>
      </patternFill>
    </fill>
    <fill>
      <patternFill patternType="solid">
        <fgColor rgb="FF74A23B"/>
        <bgColor indexed="64"/>
      </patternFill>
    </fill>
    <fill>
      <patternFill patternType="solid">
        <fgColor rgb="FF4F6823"/>
        <bgColor indexed="64"/>
      </patternFill>
    </fill>
    <fill>
      <patternFill patternType="solid">
        <fgColor rgb="FF9C9825"/>
        <bgColor indexed="64"/>
      </patternFill>
    </fill>
    <fill>
      <patternFill patternType="solid">
        <fgColor rgb="FFF6E735"/>
        <bgColor indexed="64"/>
      </patternFill>
    </fill>
    <fill>
      <patternFill patternType="solid">
        <fgColor rgb="FFF8E733"/>
        <bgColor indexed="64"/>
      </patternFill>
    </fill>
    <fill>
      <patternFill patternType="solid">
        <fgColor rgb="FFFBE834"/>
        <bgColor indexed="64"/>
      </patternFill>
    </fill>
    <fill>
      <patternFill patternType="solid">
        <fgColor rgb="FFFDEF36"/>
        <bgColor indexed="64"/>
      </patternFill>
    </fill>
    <fill>
      <patternFill patternType="solid">
        <fgColor rgb="FFFCEE36"/>
        <bgColor indexed="64"/>
      </patternFill>
    </fill>
    <fill>
      <patternFill patternType="solid">
        <fgColor rgb="FFF5EA35"/>
        <bgColor indexed="64"/>
      </patternFill>
    </fill>
    <fill>
      <patternFill patternType="solid">
        <fgColor rgb="FFC5B92B"/>
        <bgColor indexed="64"/>
      </patternFill>
    </fill>
    <fill>
      <patternFill patternType="solid">
        <fgColor rgb="FFBAAD2A"/>
        <bgColor indexed="64"/>
      </patternFill>
    </fill>
    <fill>
      <patternFill patternType="solid">
        <fgColor rgb="FFBEBC31"/>
        <bgColor indexed="64"/>
      </patternFill>
    </fill>
    <fill>
      <patternFill patternType="solid">
        <fgColor rgb="FF769C3E"/>
        <bgColor indexed="64"/>
      </patternFill>
    </fill>
    <fill>
      <patternFill patternType="solid">
        <fgColor rgb="FF7AA740"/>
        <bgColor indexed="64"/>
      </patternFill>
    </fill>
    <fill>
      <patternFill patternType="solid">
        <fgColor rgb="FF77A33B"/>
        <bgColor indexed="64"/>
      </patternFill>
    </fill>
    <fill>
      <patternFill patternType="solid">
        <fgColor rgb="FF78A63F"/>
        <bgColor indexed="64"/>
      </patternFill>
    </fill>
    <fill>
      <patternFill patternType="solid">
        <fgColor rgb="FF57732C"/>
        <bgColor indexed="64"/>
      </patternFill>
    </fill>
    <fill>
      <patternFill patternType="solid">
        <fgColor rgb="FFB7AA2C"/>
        <bgColor indexed="64"/>
      </patternFill>
    </fill>
    <fill>
      <patternFill patternType="solid">
        <fgColor rgb="FFFEF939"/>
        <bgColor indexed="64"/>
      </patternFill>
    </fill>
    <fill>
      <patternFill patternType="solid">
        <fgColor rgb="FF859533"/>
        <bgColor indexed="64"/>
      </patternFill>
    </fill>
    <fill>
      <patternFill patternType="solid">
        <fgColor rgb="FF74A344"/>
        <bgColor indexed="64"/>
      </patternFill>
    </fill>
    <fill>
      <patternFill patternType="solid">
        <fgColor rgb="FF7CAB43"/>
        <bgColor indexed="64"/>
      </patternFill>
    </fill>
    <fill>
      <patternFill patternType="solid">
        <fgColor rgb="FF7BAA43"/>
        <bgColor indexed="64"/>
      </patternFill>
    </fill>
    <fill>
      <patternFill patternType="solid">
        <fgColor rgb="FF7EAD43"/>
        <bgColor indexed="64"/>
      </patternFill>
    </fill>
    <fill>
      <patternFill patternType="solid">
        <fgColor rgb="FF788A3F"/>
        <bgColor indexed="64"/>
      </patternFill>
    </fill>
    <fill>
      <patternFill patternType="solid">
        <fgColor rgb="FF4E662A"/>
        <bgColor indexed="64"/>
      </patternFill>
    </fill>
    <fill>
      <patternFill patternType="solid">
        <fgColor rgb="FF4F6028"/>
        <bgColor indexed="64"/>
      </patternFill>
    </fill>
    <fill>
      <patternFill patternType="solid">
        <fgColor rgb="FF7AA84A"/>
        <bgColor indexed="64"/>
      </patternFill>
    </fill>
    <fill>
      <patternFill patternType="solid">
        <fgColor rgb="FF7CA74B"/>
        <bgColor indexed="64"/>
      </patternFill>
    </fill>
    <fill>
      <patternFill patternType="solid">
        <fgColor rgb="FF7BA74A"/>
        <bgColor indexed="64"/>
      </patternFill>
    </fill>
    <fill>
      <patternFill patternType="solid">
        <fgColor rgb="FF7DAA4E"/>
        <bgColor indexed="64"/>
      </patternFill>
    </fill>
    <fill>
      <patternFill patternType="solid">
        <fgColor rgb="FF80AB4E"/>
        <bgColor indexed="64"/>
      </patternFill>
    </fill>
    <fill>
      <patternFill patternType="solid">
        <fgColor rgb="FF80AC4C"/>
        <bgColor indexed="64"/>
      </patternFill>
    </fill>
    <fill>
      <patternFill patternType="solid">
        <fgColor rgb="FF7DA94D"/>
        <bgColor indexed="64"/>
      </patternFill>
    </fill>
    <fill>
      <patternFill patternType="solid">
        <fgColor rgb="FF80B050"/>
        <bgColor indexed="64"/>
      </patternFill>
    </fill>
    <fill>
      <patternFill patternType="solid">
        <fgColor rgb="FF60813A"/>
        <bgColor indexed="64"/>
      </patternFill>
    </fill>
    <fill>
      <patternFill patternType="solid">
        <fgColor rgb="FF3E5D33"/>
        <bgColor indexed="64"/>
      </patternFill>
    </fill>
    <fill>
      <patternFill patternType="solid">
        <fgColor rgb="FF1F4F4A"/>
        <bgColor indexed="64"/>
      </patternFill>
    </fill>
    <fill>
      <patternFill patternType="solid">
        <fgColor rgb="FF0E658A"/>
        <bgColor indexed="64"/>
      </patternFill>
    </fill>
    <fill>
      <patternFill patternType="solid">
        <fgColor rgb="FF2D6A65"/>
        <bgColor indexed="64"/>
      </patternFill>
    </fill>
    <fill>
      <patternFill patternType="solid">
        <fgColor rgb="FF677735"/>
        <bgColor indexed="64"/>
      </patternFill>
    </fill>
    <fill>
      <patternFill patternType="solid">
        <fgColor rgb="FF147197"/>
        <bgColor indexed="64"/>
      </patternFill>
    </fill>
    <fill>
      <patternFill patternType="solid">
        <fgColor rgb="FF135F80"/>
        <bgColor indexed="64"/>
      </patternFill>
    </fill>
    <fill>
      <patternFill patternType="solid">
        <fgColor rgb="FF17789E"/>
        <bgColor indexed="64"/>
      </patternFill>
    </fill>
    <fill>
      <patternFill patternType="solid">
        <fgColor rgb="FF1887B2"/>
        <bgColor indexed="64"/>
      </patternFill>
    </fill>
    <fill>
      <patternFill patternType="solid">
        <fgColor rgb="FF1889B0"/>
        <bgColor indexed="64"/>
      </patternFill>
    </fill>
    <fill>
      <patternFill patternType="solid">
        <fgColor rgb="FF0F6F97"/>
        <bgColor indexed="64"/>
      </patternFill>
    </fill>
    <fill>
      <patternFill patternType="solid">
        <fgColor rgb="FF858232"/>
        <bgColor indexed="64"/>
      </patternFill>
    </fill>
    <fill>
      <patternFill patternType="solid">
        <fgColor rgb="FF9BA436"/>
        <bgColor indexed="64"/>
      </patternFill>
    </fill>
    <fill>
      <patternFill patternType="solid">
        <fgColor rgb="FF07628F"/>
        <bgColor indexed="64"/>
      </patternFill>
    </fill>
    <fill>
      <patternFill patternType="solid">
        <fgColor rgb="FF23516C"/>
        <bgColor indexed="64"/>
      </patternFill>
    </fill>
    <fill>
      <patternFill patternType="solid">
        <fgColor rgb="FFCE7138"/>
        <bgColor indexed="64"/>
      </patternFill>
    </fill>
    <fill>
      <patternFill patternType="solid">
        <fgColor rgb="FFF58947"/>
        <bgColor indexed="64"/>
      </patternFill>
    </fill>
    <fill>
      <patternFill patternType="solid">
        <fgColor rgb="FFF48942"/>
        <bgColor indexed="64"/>
      </patternFill>
    </fill>
    <fill>
      <patternFill patternType="solid">
        <fgColor rgb="FF8A674F"/>
        <bgColor indexed="64"/>
      </patternFill>
    </fill>
    <fill>
      <patternFill patternType="solid">
        <fgColor rgb="FF1B749C"/>
        <bgColor indexed="64"/>
      </patternFill>
    </fill>
    <fill>
      <patternFill patternType="solid">
        <fgColor rgb="FF1081B5"/>
        <bgColor indexed="64"/>
      </patternFill>
    </fill>
    <fill>
      <patternFill patternType="solid">
        <fgColor rgb="FF183643"/>
        <bgColor indexed="64"/>
      </patternFill>
    </fill>
    <fill>
      <patternFill patternType="solid">
        <fgColor rgb="FF4E400A"/>
        <bgColor indexed="64"/>
      </patternFill>
    </fill>
    <fill>
      <patternFill patternType="solid">
        <fgColor rgb="FF4C6741"/>
        <bgColor indexed="64"/>
      </patternFill>
    </fill>
    <fill>
      <patternFill patternType="solid">
        <fgColor rgb="FF1179A7"/>
        <bgColor indexed="64"/>
      </patternFill>
    </fill>
    <fill>
      <patternFill patternType="solid">
        <fgColor rgb="FF146A92"/>
        <bgColor indexed="64"/>
      </patternFill>
    </fill>
    <fill>
      <patternFill patternType="solid">
        <fgColor rgb="FF12688C"/>
        <bgColor indexed="64"/>
      </patternFill>
    </fill>
    <fill>
      <patternFill patternType="solid">
        <fgColor rgb="FF126088"/>
        <bgColor indexed="64"/>
      </patternFill>
    </fill>
    <fill>
      <patternFill patternType="solid">
        <fgColor rgb="FF0E4A6A"/>
        <bgColor indexed="64"/>
      </patternFill>
    </fill>
    <fill>
      <patternFill patternType="solid">
        <fgColor rgb="FF0D79A0"/>
        <bgColor indexed="64"/>
      </patternFill>
    </fill>
    <fill>
      <patternFill patternType="solid">
        <fgColor rgb="FF436F99"/>
        <bgColor indexed="64"/>
      </patternFill>
    </fill>
    <fill>
      <patternFill patternType="solid">
        <fgColor rgb="FF7B334A"/>
        <bgColor indexed="64"/>
      </patternFill>
    </fill>
    <fill>
      <patternFill patternType="solid">
        <fgColor rgb="FF5A2F3E"/>
        <bgColor indexed="64"/>
      </patternFill>
    </fill>
    <fill>
      <patternFill patternType="solid">
        <fgColor rgb="FFFF5474"/>
        <bgColor indexed="64"/>
      </patternFill>
    </fill>
    <fill>
      <patternFill patternType="solid">
        <fgColor rgb="FFC23553"/>
        <bgColor indexed="64"/>
      </patternFill>
    </fill>
    <fill>
      <patternFill patternType="solid">
        <fgColor rgb="FFD24157"/>
        <bgColor indexed="64"/>
      </patternFill>
    </fill>
    <fill>
      <patternFill patternType="solid">
        <fgColor rgb="FF9B3248"/>
        <bgColor indexed="64"/>
      </patternFill>
    </fill>
    <fill>
      <patternFill patternType="solid">
        <fgColor rgb="FFE34E68"/>
        <bgColor indexed="64"/>
      </patternFill>
    </fill>
    <fill>
      <patternFill patternType="solid">
        <fgColor rgb="FFE8496B"/>
        <bgColor indexed="64"/>
      </patternFill>
    </fill>
    <fill>
      <patternFill patternType="solid">
        <fgColor rgb="FF5B416B"/>
        <bgColor indexed="64"/>
      </patternFill>
    </fill>
    <fill>
      <patternFill patternType="solid">
        <fgColor rgb="FF3B544C"/>
        <bgColor indexed="64"/>
      </patternFill>
    </fill>
    <fill>
      <patternFill patternType="solid">
        <fgColor rgb="FF8E701C"/>
        <bgColor indexed="64"/>
      </patternFill>
    </fill>
    <fill>
      <patternFill patternType="solid">
        <fgColor rgb="FF556648"/>
        <bgColor indexed="64"/>
      </patternFill>
    </fill>
    <fill>
      <patternFill patternType="solid">
        <fgColor rgb="FF1073A4"/>
        <bgColor indexed="64"/>
      </patternFill>
    </fill>
    <fill>
      <patternFill patternType="solid">
        <fgColor rgb="FF1378AC"/>
        <bgColor indexed="64"/>
      </patternFill>
    </fill>
    <fill>
      <patternFill patternType="solid">
        <fgColor rgb="FF1178AC"/>
        <bgColor indexed="64"/>
      </patternFill>
    </fill>
    <fill>
      <patternFill patternType="solid">
        <fgColor rgb="FF1172A4"/>
        <bgColor indexed="64"/>
      </patternFill>
    </fill>
    <fill>
      <patternFill patternType="solid">
        <fgColor rgb="FF0D6A9B"/>
        <bgColor indexed="64"/>
      </patternFill>
    </fill>
    <fill>
      <patternFill patternType="solid">
        <fgColor rgb="FF12588D"/>
        <bgColor indexed="64"/>
      </patternFill>
    </fill>
    <fill>
      <patternFill patternType="solid">
        <fgColor rgb="FF4D3B67"/>
        <bgColor indexed="64"/>
      </patternFill>
    </fill>
    <fill>
      <patternFill patternType="solid">
        <fgColor rgb="FF172C50"/>
        <bgColor indexed="64"/>
      </patternFill>
    </fill>
    <fill>
      <patternFill patternType="solid">
        <fgColor rgb="FF544368"/>
        <bgColor indexed="64"/>
      </patternFill>
    </fill>
    <fill>
      <patternFill patternType="solid">
        <fgColor rgb="FF67772A"/>
        <bgColor indexed="64"/>
      </patternFill>
    </fill>
    <fill>
      <patternFill patternType="solid">
        <fgColor rgb="FF91902A"/>
        <bgColor indexed="64"/>
      </patternFill>
    </fill>
    <fill>
      <patternFill patternType="solid">
        <fgColor rgb="FFDCCB30"/>
        <bgColor indexed="64"/>
      </patternFill>
    </fill>
    <fill>
      <patternFill patternType="solid">
        <fgColor rgb="FFF7E835"/>
        <bgColor indexed="64"/>
      </patternFill>
    </fill>
    <fill>
      <patternFill patternType="solid">
        <fgColor rgb="FFF8E833"/>
        <bgColor indexed="64"/>
      </patternFill>
    </fill>
    <fill>
      <patternFill patternType="solid">
        <fgColor rgb="FFFAE833"/>
        <bgColor indexed="64"/>
      </patternFill>
    </fill>
    <fill>
      <patternFill patternType="solid">
        <fgColor rgb="FFFCE934"/>
        <bgColor indexed="64"/>
      </patternFill>
    </fill>
    <fill>
      <patternFill patternType="solid">
        <fgColor rgb="FFFBE633"/>
        <bgColor indexed="64"/>
      </patternFill>
    </fill>
    <fill>
      <patternFill patternType="solid">
        <fgColor rgb="FFFCEC34"/>
        <bgColor indexed="64"/>
      </patternFill>
    </fill>
    <fill>
      <patternFill patternType="solid">
        <fgColor rgb="FFEDE237"/>
        <bgColor indexed="64"/>
      </patternFill>
    </fill>
    <fill>
      <patternFill patternType="solid">
        <fgColor rgb="FF6B6D1B"/>
        <bgColor indexed="64"/>
      </patternFill>
    </fill>
    <fill>
      <patternFill patternType="solid">
        <fgColor rgb="FF868A27"/>
        <bgColor indexed="64"/>
      </patternFill>
    </fill>
    <fill>
      <patternFill patternType="solid">
        <fgColor rgb="FF758E39"/>
        <bgColor indexed="64"/>
      </patternFill>
    </fill>
    <fill>
      <patternFill patternType="solid">
        <fgColor rgb="FF79A742"/>
        <bgColor indexed="64"/>
      </patternFill>
    </fill>
    <fill>
      <patternFill patternType="solid">
        <fgColor rgb="FF76A33B"/>
        <bgColor indexed="64"/>
      </patternFill>
    </fill>
    <fill>
      <patternFill patternType="solid">
        <fgColor rgb="FF78A73D"/>
        <bgColor indexed="64"/>
      </patternFill>
    </fill>
    <fill>
      <patternFill patternType="solid">
        <fgColor rgb="FF587A2E"/>
        <bgColor indexed="64"/>
      </patternFill>
    </fill>
    <fill>
      <patternFill patternType="solid">
        <fgColor rgb="FFC4BB31"/>
        <bgColor indexed="64"/>
      </patternFill>
    </fill>
    <fill>
      <patternFill patternType="solid">
        <fgColor rgb="FF899332"/>
        <bgColor indexed="64"/>
      </patternFill>
    </fill>
    <fill>
      <patternFill patternType="solid">
        <fgColor rgb="FF6E9C43"/>
        <bgColor indexed="64"/>
      </patternFill>
    </fill>
    <fill>
      <patternFill patternType="solid">
        <fgColor rgb="FF7BAC43"/>
        <bgColor indexed="64"/>
      </patternFill>
    </fill>
    <fill>
      <patternFill patternType="solid">
        <fgColor rgb="FF7BA943"/>
        <bgColor indexed="64"/>
      </patternFill>
    </fill>
    <fill>
      <patternFill patternType="solid">
        <fgColor rgb="FF7AA944"/>
        <bgColor indexed="64"/>
      </patternFill>
    </fill>
    <fill>
      <patternFill patternType="solid">
        <fgColor rgb="FF7AA644"/>
        <bgColor indexed="64"/>
      </patternFill>
    </fill>
    <fill>
      <patternFill patternType="solid">
        <fgColor rgb="FF7CA945"/>
        <bgColor indexed="64"/>
      </patternFill>
    </fill>
    <fill>
      <patternFill patternType="solid">
        <fgColor rgb="FF7BAE47"/>
        <bgColor indexed="64"/>
      </patternFill>
    </fill>
    <fill>
      <patternFill patternType="solid">
        <fgColor rgb="FF809D42"/>
        <bgColor indexed="64"/>
      </patternFill>
    </fill>
    <fill>
      <patternFill patternType="solid">
        <fgColor rgb="FF969A38"/>
        <bgColor indexed="64"/>
      </patternFill>
    </fill>
    <fill>
      <patternFill patternType="solid">
        <fgColor rgb="FF729D44"/>
        <bgColor indexed="64"/>
      </patternFill>
    </fill>
    <fill>
      <patternFill patternType="solid">
        <fgColor rgb="FF7EAB4B"/>
        <bgColor indexed="64"/>
      </patternFill>
    </fill>
    <fill>
      <patternFill patternType="solid">
        <fgColor rgb="FF7AA749"/>
        <bgColor indexed="64"/>
      </patternFill>
    </fill>
    <fill>
      <patternFill patternType="solid">
        <fgColor rgb="FF7BA74D"/>
        <bgColor indexed="64"/>
      </patternFill>
    </fill>
    <fill>
      <patternFill patternType="solid">
        <fgColor rgb="FF7FAA50"/>
        <bgColor indexed="64"/>
      </patternFill>
    </fill>
    <fill>
      <patternFill patternType="solid">
        <fgColor rgb="FF7AA94C"/>
        <bgColor indexed="64"/>
      </patternFill>
    </fill>
    <fill>
      <patternFill patternType="solid">
        <fgColor rgb="FF7EA948"/>
        <bgColor indexed="64"/>
      </patternFill>
    </fill>
    <fill>
      <patternFill patternType="solid">
        <fgColor rgb="FF668D3C"/>
        <bgColor indexed="64"/>
      </patternFill>
    </fill>
    <fill>
      <patternFill patternType="solid">
        <fgColor rgb="FF3C6946"/>
        <bgColor indexed="64"/>
      </patternFill>
    </fill>
    <fill>
      <patternFill patternType="solid">
        <fgColor rgb="FF185D6D"/>
        <bgColor indexed="64"/>
      </patternFill>
    </fill>
    <fill>
      <patternFill patternType="solid">
        <fgColor rgb="FF106C93"/>
        <bgColor indexed="64"/>
      </patternFill>
    </fill>
    <fill>
      <patternFill patternType="solid">
        <fgColor rgb="FF167BA6"/>
        <bgColor indexed="64"/>
      </patternFill>
    </fill>
    <fill>
      <patternFill patternType="solid">
        <fgColor rgb="FF0C7CB5"/>
        <bgColor indexed="64"/>
      </patternFill>
    </fill>
    <fill>
      <patternFill patternType="solid">
        <fgColor rgb="FF539875"/>
        <bgColor indexed="64"/>
      </patternFill>
    </fill>
    <fill>
      <patternFill patternType="solid">
        <fgColor rgb="FFA5B236"/>
        <bgColor indexed="64"/>
      </patternFill>
    </fill>
    <fill>
      <patternFill patternType="solid">
        <fgColor rgb="FF0A6A91"/>
        <bgColor indexed="64"/>
      </patternFill>
    </fill>
    <fill>
      <patternFill patternType="solid">
        <fgColor rgb="FF1882A9"/>
        <bgColor indexed="64"/>
      </patternFill>
    </fill>
    <fill>
      <patternFill patternType="solid">
        <fgColor rgb="FF1685B1"/>
        <bgColor indexed="64"/>
      </patternFill>
    </fill>
    <fill>
      <patternFill patternType="solid">
        <fgColor rgb="FF1478A3"/>
        <bgColor indexed="64"/>
      </patternFill>
    </fill>
    <fill>
      <patternFill patternType="solid">
        <fgColor rgb="FF15759C"/>
        <bgColor indexed="64"/>
      </patternFill>
    </fill>
    <fill>
      <patternFill patternType="solid">
        <fgColor rgb="FF116E93"/>
        <bgColor indexed="64"/>
      </patternFill>
    </fill>
    <fill>
      <patternFill patternType="solid">
        <fgColor rgb="FF4C4B1D"/>
        <bgColor indexed="64"/>
      </patternFill>
    </fill>
    <fill>
      <patternFill patternType="solid">
        <fgColor rgb="FF566C38"/>
        <bgColor indexed="64"/>
      </patternFill>
    </fill>
    <fill>
      <patternFill patternType="solid">
        <fgColor rgb="FF0B72A1"/>
        <bgColor indexed="64"/>
      </patternFill>
    </fill>
    <fill>
      <patternFill patternType="solid">
        <fgColor rgb="FF2D5A71"/>
        <bgColor indexed="64"/>
      </patternFill>
    </fill>
    <fill>
      <patternFill patternType="solid">
        <fgColor rgb="FFE17940"/>
        <bgColor indexed="64"/>
      </patternFill>
    </fill>
    <fill>
      <patternFill patternType="solid">
        <fgColor rgb="FFFF934F"/>
        <bgColor indexed="64"/>
      </patternFill>
    </fill>
    <fill>
      <patternFill patternType="solid">
        <fgColor rgb="FFFC914C"/>
        <bgColor indexed="64"/>
      </patternFill>
    </fill>
    <fill>
      <patternFill patternType="solid">
        <fgColor rgb="FFFF964C"/>
        <bgColor indexed="64"/>
      </patternFill>
    </fill>
    <fill>
      <patternFill patternType="solid">
        <fgColor rgb="FFB97D56"/>
        <bgColor indexed="64"/>
      </patternFill>
    </fill>
    <fill>
      <patternFill patternType="solid">
        <fgColor rgb="FF296D8B"/>
        <bgColor indexed="64"/>
      </patternFill>
    </fill>
    <fill>
      <patternFill patternType="solid">
        <fgColor rgb="FF162E32"/>
        <bgColor indexed="64"/>
      </patternFill>
    </fill>
    <fill>
      <patternFill patternType="solid">
        <fgColor rgb="FF1E1504"/>
        <bgColor indexed="64"/>
      </patternFill>
    </fill>
    <fill>
      <patternFill patternType="solid">
        <fgColor rgb="FF19434A"/>
        <bgColor indexed="64"/>
      </patternFill>
    </fill>
    <fill>
      <patternFill patternType="solid">
        <fgColor rgb="FF1786B3"/>
        <bgColor indexed="64"/>
      </patternFill>
    </fill>
    <fill>
      <patternFill patternType="solid">
        <fgColor rgb="FF147BAD"/>
        <bgColor indexed="64"/>
      </patternFill>
    </fill>
    <fill>
      <patternFill patternType="solid">
        <fgColor rgb="FF116894"/>
        <bgColor indexed="64"/>
      </patternFill>
    </fill>
    <fill>
      <patternFill patternType="solid">
        <fgColor rgb="FF13688F"/>
        <bgColor indexed="64"/>
      </patternFill>
    </fill>
    <fill>
      <patternFill patternType="solid">
        <fgColor rgb="FF135A7C"/>
        <bgColor indexed="64"/>
      </patternFill>
    </fill>
    <fill>
      <patternFill patternType="solid">
        <fgColor rgb="FF0A749D"/>
        <bgColor indexed="64"/>
      </patternFill>
    </fill>
    <fill>
      <patternFill patternType="solid">
        <fgColor rgb="FF65547B"/>
        <bgColor indexed="64"/>
      </patternFill>
    </fill>
    <fill>
      <patternFill patternType="solid">
        <fgColor rgb="FFD1425D"/>
        <bgColor indexed="64"/>
      </patternFill>
    </fill>
    <fill>
      <patternFill patternType="solid">
        <fgColor rgb="FFCA3B51"/>
        <bgColor indexed="64"/>
      </patternFill>
    </fill>
    <fill>
      <patternFill patternType="solid">
        <fgColor rgb="FFFE4D71"/>
        <bgColor indexed="64"/>
      </patternFill>
    </fill>
    <fill>
      <patternFill patternType="solid">
        <fgColor rgb="FFF34965"/>
        <bgColor indexed="64"/>
      </patternFill>
    </fill>
    <fill>
      <patternFill patternType="solid">
        <fgColor rgb="FFEF496A"/>
        <bgColor indexed="64"/>
      </patternFill>
    </fill>
    <fill>
      <patternFill patternType="solid">
        <fgColor rgb="FFF54864"/>
        <bgColor indexed="64"/>
      </patternFill>
    </fill>
    <fill>
      <patternFill patternType="solid">
        <fgColor rgb="FFEE496B"/>
        <bgColor indexed="64"/>
      </patternFill>
    </fill>
    <fill>
      <patternFill patternType="solid">
        <fgColor rgb="FF8C3049"/>
        <bgColor indexed="64"/>
      </patternFill>
    </fill>
    <fill>
      <patternFill patternType="solid">
        <fgColor rgb="FF894561"/>
        <bgColor indexed="64"/>
      </patternFill>
    </fill>
    <fill>
      <patternFill patternType="solid">
        <fgColor rgb="FFBF4B64"/>
        <bgColor indexed="64"/>
      </patternFill>
    </fill>
    <fill>
      <patternFill patternType="solid">
        <fgColor rgb="FFAF3F4F"/>
        <bgColor indexed="64"/>
      </patternFill>
    </fill>
    <fill>
      <patternFill patternType="solid">
        <fgColor rgb="FF8E425E"/>
        <bgColor indexed="64"/>
      </patternFill>
    </fill>
    <fill>
      <patternFill patternType="solid">
        <fgColor rgb="FF374D6C"/>
        <bgColor indexed="64"/>
      </patternFill>
    </fill>
    <fill>
      <patternFill patternType="solid">
        <fgColor rgb="FF0C6C92"/>
        <bgColor indexed="64"/>
      </patternFill>
    </fill>
    <fill>
      <patternFill patternType="solid">
        <fgColor rgb="FF137AAC"/>
        <bgColor indexed="64"/>
      </patternFill>
    </fill>
    <fill>
      <patternFill patternType="solid">
        <fgColor rgb="FF1378A9"/>
        <bgColor indexed="64"/>
      </patternFill>
    </fill>
    <fill>
      <patternFill patternType="solid">
        <fgColor rgb="FF1276A7"/>
        <bgColor indexed="64"/>
      </patternFill>
    </fill>
    <fill>
      <patternFill patternType="solid">
        <fgColor rgb="FF1277AF"/>
        <bgColor indexed="64"/>
      </patternFill>
    </fill>
    <fill>
      <patternFill patternType="solid">
        <fgColor rgb="FF115286"/>
        <bgColor indexed="64"/>
      </patternFill>
    </fill>
    <fill>
      <patternFill patternType="solid">
        <fgColor rgb="FF153C56"/>
        <bgColor indexed="64"/>
      </patternFill>
    </fill>
    <fill>
      <patternFill patternType="solid">
        <fgColor rgb="FF09547B"/>
        <bgColor indexed="64"/>
      </patternFill>
    </fill>
    <fill>
      <patternFill patternType="solid">
        <fgColor rgb="FF423E68"/>
        <bgColor indexed="64"/>
      </patternFill>
    </fill>
    <fill>
      <patternFill patternType="solid">
        <fgColor rgb="FF687B24"/>
        <bgColor indexed="64"/>
      </patternFill>
    </fill>
    <fill>
      <patternFill patternType="solid">
        <fgColor rgb="FF818221"/>
        <bgColor indexed="64"/>
      </patternFill>
    </fill>
    <fill>
      <patternFill patternType="solid">
        <fgColor rgb="FF7F8220"/>
        <bgColor indexed="64"/>
      </patternFill>
    </fill>
    <fill>
      <patternFill patternType="solid">
        <fgColor rgb="FFA69F26"/>
        <bgColor indexed="64"/>
      </patternFill>
    </fill>
    <fill>
      <patternFill patternType="solid">
        <fgColor rgb="FFFAEB35"/>
        <bgColor indexed="64"/>
      </patternFill>
    </fill>
    <fill>
      <patternFill patternType="solid">
        <fgColor rgb="FFF8E933"/>
        <bgColor indexed="64"/>
      </patternFill>
    </fill>
    <fill>
      <patternFill patternType="solid">
        <fgColor rgb="FFFCEA34"/>
        <bgColor indexed="64"/>
      </patternFill>
    </fill>
    <fill>
      <patternFill patternType="solid">
        <fgColor rgb="FFF9E534"/>
        <bgColor indexed="64"/>
      </patternFill>
    </fill>
    <fill>
      <patternFill patternType="solid">
        <fgColor rgb="FFE9D831"/>
        <bgColor indexed="64"/>
      </patternFill>
    </fill>
    <fill>
      <patternFill patternType="solid">
        <fgColor rgb="FFF0E437"/>
        <bgColor indexed="64"/>
      </patternFill>
    </fill>
    <fill>
      <patternFill patternType="solid">
        <fgColor rgb="FF758B2C"/>
        <bgColor indexed="64"/>
      </patternFill>
    </fill>
    <fill>
      <patternFill patternType="solid">
        <fgColor rgb="FF648C36"/>
        <bgColor indexed="64"/>
      </patternFill>
    </fill>
    <fill>
      <patternFill patternType="solid">
        <fgColor rgb="FF7AA640"/>
        <bgColor indexed="64"/>
      </patternFill>
    </fill>
    <fill>
      <patternFill patternType="solid">
        <fgColor rgb="FF75A23B"/>
        <bgColor indexed="64"/>
      </patternFill>
    </fill>
    <fill>
      <patternFill patternType="solid">
        <fgColor rgb="FF76A73A"/>
        <bgColor indexed="64"/>
      </patternFill>
    </fill>
    <fill>
      <patternFill patternType="solid">
        <fgColor rgb="FF608734"/>
        <bgColor indexed="64"/>
      </patternFill>
    </fill>
    <fill>
      <patternFill patternType="solid">
        <fgColor rgb="FF989431"/>
        <bgColor indexed="64"/>
      </patternFill>
    </fill>
    <fill>
      <patternFill patternType="solid">
        <fgColor rgb="FFF5ED3A"/>
        <bgColor indexed="64"/>
      </patternFill>
    </fill>
    <fill>
      <patternFill patternType="solid">
        <fgColor rgb="FF999F31"/>
        <bgColor indexed="64"/>
      </patternFill>
    </fill>
    <fill>
      <patternFill patternType="solid">
        <fgColor rgb="FF669342"/>
        <bgColor indexed="64"/>
      </patternFill>
    </fill>
    <fill>
      <patternFill patternType="solid">
        <fgColor rgb="FF7CAC42"/>
        <bgColor indexed="64"/>
      </patternFill>
    </fill>
    <fill>
      <patternFill patternType="solid">
        <fgColor rgb="FF78A642"/>
        <bgColor indexed="64"/>
      </patternFill>
    </fill>
    <fill>
      <patternFill patternType="solid">
        <fgColor rgb="FF79A944"/>
        <bgColor indexed="64"/>
      </patternFill>
    </fill>
    <fill>
      <patternFill patternType="solid">
        <fgColor rgb="FF79A745"/>
        <bgColor indexed="64"/>
      </patternFill>
    </fill>
    <fill>
      <patternFill patternType="solid">
        <fgColor rgb="FF77A345"/>
        <bgColor indexed="64"/>
      </patternFill>
    </fill>
    <fill>
      <patternFill patternType="solid">
        <fgColor rgb="FF7BA946"/>
        <bgColor indexed="64"/>
      </patternFill>
    </fill>
    <fill>
      <patternFill patternType="solid">
        <fgColor rgb="FF779C43"/>
        <bgColor indexed="64"/>
      </patternFill>
    </fill>
    <fill>
      <patternFill patternType="solid">
        <fgColor rgb="FF515820"/>
        <bgColor indexed="64"/>
      </patternFill>
    </fill>
    <fill>
      <patternFill patternType="solid">
        <fgColor rgb="FF6F9442"/>
        <bgColor indexed="64"/>
      </patternFill>
    </fill>
    <fill>
      <patternFill patternType="solid">
        <fgColor rgb="FF7FAC4F"/>
        <bgColor indexed="64"/>
      </patternFill>
    </fill>
    <fill>
      <patternFill patternType="solid">
        <fgColor rgb="FF7BA849"/>
        <bgColor indexed="64"/>
      </patternFill>
    </fill>
    <fill>
      <patternFill patternType="solid">
        <fgColor rgb="FF7DA84D"/>
        <bgColor indexed="64"/>
      </patternFill>
    </fill>
    <fill>
      <patternFill patternType="solid">
        <fgColor rgb="FF81AE4E"/>
        <bgColor indexed="64"/>
      </patternFill>
    </fill>
    <fill>
      <patternFill patternType="solid">
        <fgColor rgb="FF6B933E"/>
        <bgColor indexed="64"/>
      </patternFill>
    </fill>
    <fill>
      <patternFill patternType="solid">
        <fgColor rgb="FF366441"/>
        <bgColor indexed="64"/>
      </patternFill>
    </fill>
    <fill>
      <patternFill patternType="solid">
        <fgColor rgb="FF195E6A"/>
        <bgColor indexed="64"/>
      </patternFill>
    </fill>
    <fill>
      <patternFill patternType="solid">
        <fgColor rgb="FF11729E"/>
        <bgColor indexed="64"/>
      </patternFill>
    </fill>
    <fill>
      <patternFill patternType="solid">
        <fgColor rgb="FF1583B1"/>
        <bgColor indexed="64"/>
      </patternFill>
    </fill>
    <fill>
      <patternFill patternType="solid">
        <fgColor rgb="FF136E95"/>
        <bgColor indexed="64"/>
      </patternFill>
    </fill>
    <fill>
      <patternFill patternType="solid">
        <fgColor rgb="FF156080"/>
        <bgColor indexed="64"/>
      </patternFill>
    </fill>
    <fill>
      <patternFill patternType="solid">
        <fgColor rgb="FF0872A6"/>
        <bgColor indexed="64"/>
      </patternFill>
    </fill>
    <fill>
      <patternFill patternType="solid">
        <fgColor rgb="FF5E986B"/>
        <bgColor indexed="64"/>
      </patternFill>
    </fill>
    <fill>
      <patternFill patternType="solid">
        <fgColor rgb="FF92A539"/>
        <bgColor indexed="64"/>
      </patternFill>
    </fill>
    <fill>
      <patternFill patternType="solid">
        <fgColor rgb="FF09709D"/>
        <bgColor indexed="64"/>
      </patternFill>
    </fill>
    <fill>
      <patternFill patternType="solid">
        <fgColor rgb="FF1984B0"/>
        <bgColor indexed="64"/>
      </patternFill>
    </fill>
    <fill>
      <patternFill patternType="solid">
        <fgColor rgb="FF12648C"/>
        <bgColor indexed="64"/>
      </patternFill>
    </fill>
    <fill>
      <patternFill patternType="solid">
        <fgColor rgb="FF126181"/>
        <bgColor indexed="64"/>
      </patternFill>
    </fill>
    <fill>
      <patternFill patternType="solid">
        <fgColor rgb="FF167CA2"/>
        <bgColor indexed="64"/>
      </patternFill>
    </fill>
    <fill>
      <patternFill patternType="solid">
        <fgColor rgb="FF166B8D"/>
        <bgColor indexed="64"/>
      </patternFill>
    </fill>
    <fill>
      <patternFill patternType="solid">
        <fgColor rgb="FF25240E"/>
        <bgColor indexed="64"/>
      </patternFill>
    </fill>
    <fill>
      <patternFill patternType="solid">
        <fgColor rgb="FF1A312D"/>
        <bgColor indexed="64"/>
      </patternFill>
    </fill>
    <fill>
      <patternFill patternType="solid">
        <fgColor rgb="FF105C84"/>
        <bgColor indexed="64"/>
      </patternFill>
    </fill>
    <fill>
      <patternFill patternType="solid">
        <fgColor rgb="FF1C5779"/>
        <bgColor indexed="64"/>
      </patternFill>
    </fill>
    <fill>
      <patternFill patternType="solid">
        <fgColor rgb="FFBB6336"/>
        <bgColor indexed="64"/>
      </patternFill>
    </fill>
    <fill>
      <patternFill patternType="solid">
        <fgColor rgb="FFF38949"/>
        <bgColor indexed="64"/>
      </patternFill>
    </fill>
    <fill>
      <patternFill patternType="solid">
        <fgColor rgb="FFE88042"/>
        <bgColor indexed="64"/>
      </patternFill>
    </fill>
    <fill>
      <patternFill patternType="solid">
        <fgColor rgb="FFFA8847"/>
        <bgColor indexed="64"/>
      </patternFill>
    </fill>
    <fill>
      <patternFill patternType="solid">
        <fgColor rgb="FFB06643"/>
        <bgColor indexed="64"/>
      </patternFill>
    </fill>
    <fill>
      <patternFill patternType="solid">
        <fgColor rgb="FF595028"/>
        <bgColor indexed="64"/>
      </patternFill>
    </fill>
    <fill>
      <patternFill patternType="solid">
        <fgColor rgb="FF3B350B"/>
        <bgColor indexed="64"/>
      </patternFill>
    </fill>
    <fill>
      <patternFill patternType="solid">
        <fgColor rgb="FF1B555F"/>
        <bgColor indexed="64"/>
      </patternFill>
    </fill>
    <fill>
      <patternFill patternType="solid">
        <fgColor rgb="FF147AAC"/>
        <bgColor indexed="64"/>
      </patternFill>
    </fill>
    <fill>
      <patternFill patternType="solid">
        <fgColor rgb="FF12638D"/>
        <bgColor indexed="64"/>
      </patternFill>
    </fill>
    <fill>
      <patternFill patternType="solid">
        <fgColor rgb="FF136D90"/>
        <bgColor indexed="64"/>
      </patternFill>
    </fill>
    <fill>
      <patternFill patternType="solid">
        <fgColor rgb="FF167BA3"/>
        <bgColor indexed="64"/>
      </patternFill>
    </fill>
    <fill>
      <patternFill patternType="solid">
        <fgColor rgb="FF12648B"/>
        <bgColor indexed="64"/>
      </patternFill>
    </fill>
    <fill>
      <patternFill patternType="solid">
        <fgColor rgb="FF1083B4"/>
        <bgColor indexed="64"/>
      </patternFill>
    </fill>
    <fill>
      <patternFill patternType="solid">
        <fgColor rgb="FF623B5C"/>
        <bgColor indexed="64"/>
      </patternFill>
    </fill>
    <fill>
      <patternFill patternType="solid">
        <fgColor rgb="FFE9475F"/>
        <bgColor indexed="64"/>
      </patternFill>
    </fill>
    <fill>
      <patternFill patternType="solid">
        <fgColor rgb="FFF34969"/>
        <bgColor indexed="64"/>
      </patternFill>
    </fill>
    <fill>
      <patternFill patternType="solid">
        <fgColor rgb="FFFA4969"/>
        <bgColor indexed="64"/>
      </patternFill>
    </fill>
    <fill>
      <patternFill patternType="solid">
        <fgColor rgb="FFF74A6D"/>
        <bgColor indexed="64"/>
      </patternFill>
    </fill>
    <fill>
      <patternFill patternType="solid">
        <fgColor rgb="FFD33754"/>
        <bgColor indexed="64"/>
      </patternFill>
    </fill>
    <fill>
      <patternFill patternType="solid">
        <fgColor rgb="FFF64A67"/>
        <bgColor indexed="64"/>
      </patternFill>
    </fill>
    <fill>
      <patternFill patternType="solid">
        <fgColor rgb="FFDC3C59"/>
        <bgColor indexed="64"/>
      </patternFill>
    </fill>
    <fill>
      <patternFill patternType="solid">
        <fgColor rgb="FFF84864"/>
        <bgColor indexed="64"/>
      </patternFill>
    </fill>
    <fill>
      <patternFill patternType="solid">
        <fgColor rgb="FFFB476D"/>
        <bgColor indexed="64"/>
      </patternFill>
    </fill>
    <fill>
      <patternFill patternType="solid">
        <fgColor rgb="FF972742"/>
        <bgColor indexed="64"/>
      </patternFill>
    </fill>
    <fill>
      <patternFill patternType="solid">
        <fgColor rgb="FF4C202E"/>
        <bgColor indexed="64"/>
      </patternFill>
    </fill>
    <fill>
      <patternFill patternType="solid">
        <fgColor rgb="FF1F617E"/>
        <bgColor indexed="64"/>
      </patternFill>
    </fill>
    <fill>
      <patternFill patternType="solid">
        <fgColor rgb="FF1479A4"/>
        <bgColor indexed="64"/>
      </patternFill>
    </fill>
    <fill>
      <patternFill patternType="solid">
        <fgColor rgb="FF1375A2"/>
        <bgColor indexed="64"/>
      </patternFill>
    </fill>
    <fill>
      <patternFill patternType="solid">
        <fgColor rgb="FF1279A9"/>
        <bgColor indexed="64"/>
      </patternFill>
    </fill>
    <fill>
      <patternFill patternType="solid">
        <fgColor rgb="FF1482AF"/>
        <bgColor indexed="64"/>
      </patternFill>
    </fill>
    <fill>
      <patternFill patternType="solid">
        <fgColor rgb="FF1175A7"/>
        <bgColor indexed="64"/>
      </patternFill>
    </fill>
    <fill>
      <patternFill patternType="solid">
        <fgColor rgb="FF1072A4"/>
        <bgColor indexed="64"/>
      </patternFill>
    </fill>
    <fill>
      <patternFill patternType="solid">
        <fgColor rgb="FF0F6395"/>
        <bgColor indexed="64"/>
      </patternFill>
    </fill>
    <fill>
      <patternFill patternType="solid">
        <fgColor rgb="FF0F6B94"/>
        <bgColor indexed="64"/>
      </patternFill>
    </fill>
    <fill>
      <patternFill patternType="solid">
        <fgColor rgb="FF1272A6"/>
        <bgColor indexed="64"/>
      </patternFill>
    </fill>
    <fill>
      <patternFill patternType="solid">
        <fgColor rgb="FF0E2D4B"/>
        <bgColor indexed="64"/>
      </patternFill>
    </fill>
    <fill>
      <patternFill patternType="solid">
        <fgColor rgb="FF587E2A"/>
        <bgColor indexed="64"/>
      </patternFill>
    </fill>
    <fill>
      <patternFill patternType="solid">
        <fgColor rgb="FF51792C"/>
        <bgColor indexed="64"/>
      </patternFill>
    </fill>
    <fill>
      <patternFill patternType="solid">
        <fgColor rgb="FF697F29"/>
        <bgColor indexed="64"/>
      </patternFill>
    </fill>
    <fill>
      <patternFill patternType="solid">
        <fgColor rgb="FFD9CF32"/>
        <bgColor indexed="64"/>
      </patternFill>
    </fill>
    <fill>
      <patternFill patternType="solid">
        <fgColor rgb="FFFFF234"/>
        <bgColor indexed="64"/>
      </patternFill>
    </fill>
    <fill>
      <patternFill patternType="solid">
        <fgColor rgb="FFFDED34"/>
        <bgColor indexed="64"/>
      </patternFill>
    </fill>
    <fill>
      <patternFill patternType="solid">
        <fgColor rgb="FFF1E234"/>
        <bgColor indexed="64"/>
      </patternFill>
    </fill>
    <fill>
      <patternFill patternType="solid">
        <fgColor rgb="FFF3E033"/>
        <bgColor indexed="64"/>
      </patternFill>
    </fill>
    <fill>
      <patternFill patternType="solid">
        <fgColor rgb="FFF2DF33"/>
        <bgColor indexed="64"/>
      </patternFill>
    </fill>
    <fill>
      <patternFill patternType="solid">
        <fgColor rgb="FFE2D333"/>
        <bgColor indexed="64"/>
      </patternFill>
    </fill>
    <fill>
      <patternFill patternType="solid">
        <fgColor rgb="FF908D21"/>
        <bgColor indexed="64"/>
      </patternFill>
    </fill>
    <fill>
      <patternFill patternType="solid">
        <fgColor rgb="FFB4B432"/>
        <bgColor indexed="64"/>
      </patternFill>
    </fill>
    <fill>
      <patternFill patternType="solid">
        <fgColor rgb="FF7EA53C"/>
        <bgColor indexed="64"/>
      </patternFill>
    </fill>
    <fill>
      <patternFill patternType="solid">
        <fgColor rgb="FF74A13D"/>
        <bgColor indexed="64"/>
      </patternFill>
    </fill>
    <fill>
      <patternFill patternType="solid">
        <fgColor rgb="FF78A83B"/>
        <bgColor indexed="64"/>
      </patternFill>
    </fill>
    <fill>
      <patternFill patternType="solid">
        <fgColor rgb="FF638B36"/>
        <bgColor indexed="64"/>
      </patternFill>
    </fill>
    <fill>
      <patternFill patternType="solid">
        <fgColor rgb="FF948F2E"/>
        <bgColor indexed="64"/>
      </patternFill>
    </fill>
    <fill>
      <patternFill patternType="solid">
        <fgColor rgb="FFEBE238"/>
        <bgColor indexed="64"/>
      </patternFill>
    </fill>
    <fill>
      <patternFill patternType="solid">
        <fgColor rgb="FFBEBF33"/>
        <bgColor indexed="64"/>
      </patternFill>
    </fill>
    <fill>
      <patternFill patternType="solid">
        <fgColor rgb="FF648B41"/>
        <bgColor indexed="64"/>
      </patternFill>
    </fill>
    <fill>
      <patternFill patternType="solid">
        <fgColor rgb="FF76A540"/>
        <bgColor indexed="64"/>
      </patternFill>
    </fill>
    <fill>
      <patternFill patternType="solid">
        <fgColor rgb="FF78A743"/>
        <bgColor indexed="64"/>
      </patternFill>
    </fill>
    <fill>
      <patternFill patternType="solid">
        <fgColor rgb="FF76A445"/>
        <bgColor indexed="64"/>
      </patternFill>
    </fill>
    <fill>
      <patternFill patternType="solid">
        <fgColor rgb="FF75A443"/>
        <bgColor indexed="64"/>
      </patternFill>
    </fill>
    <fill>
      <patternFill patternType="solid">
        <fgColor rgb="FF79A642"/>
        <bgColor indexed="64"/>
      </patternFill>
    </fill>
    <fill>
      <patternFill patternType="solid">
        <fgColor rgb="FF78A246"/>
        <bgColor indexed="64"/>
      </patternFill>
    </fill>
    <fill>
      <patternFill patternType="solid">
        <fgColor rgb="FF3A441F"/>
        <bgColor indexed="64"/>
      </patternFill>
    </fill>
    <fill>
      <patternFill patternType="solid">
        <fgColor rgb="FF678836"/>
        <bgColor indexed="64"/>
      </patternFill>
    </fill>
    <fill>
      <patternFill patternType="solid">
        <fgColor rgb="FF78A548"/>
        <bgColor indexed="64"/>
      </patternFill>
    </fill>
    <fill>
      <patternFill patternType="solid">
        <fgColor rgb="FF7AAA4B"/>
        <bgColor indexed="64"/>
      </patternFill>
    </fill>
    <fill>
      <patternFill patternType="solid">
        <fgColor rgb="FF7FAD49"/>
        <bgColor indexed="64"/>
      </patternFill>
    </fill>
    <fill>
      <patternFill patternType="solid">
        <fgColor rgb="FF729A3E"/>
        <bgColor indexed="64"/>
      </patternFill>
    </fill>
    <fill>
      <patternFill patternType="solid">
        <fgColor rgb="FF487645"/>
        <bgColor indexed="64"/>
      </patternFill>
    </fill>
    <fill>
      <patternFill patternType="solid">
        <fgColor rgb="FF21696F"/>
        <bgColor indexed="64"/>
      </patternFill>
    </fill>
    <fill>
      <patternFill patternType="solid">
        <fgColor rgb="FF10729C"/>
        <bgColor indexed="64"/>
      </patternFill>
    </fill>
    <fill>
      <patternFill patternType="solid">
        <fgColor rgb="FF1685B3"/>
        <bgColor indexed="64"/>
      </patternFill>
    </fill>
    <fill>
      <patternFill patternType="solid">
        <fgColor rgb="FF15749D"/>
        <bgColor indexed="64"/>
      </patternFill>
    </fill>
    <fill>
      <patternFill patternType="solid">
        <fgColor rgb="FF125F7F"/>
        <bgColor indexed="64"/>
      </patternFill>
    </fill>
    <fill>
      <patternFill patternType="solid">
        <fgColor rgb="FF136D91"/>
        <bgColor indexed="64"/>
      </patternFill>
    </fill>
    <fill>
      <patternFill patternType="solid">
        <fgColor rgb="FF177EA2"/>
        <bgColor indexed="64"/>
      </patternFill>
    </fill>
    <fill>
      <patternFill patternType="solid">
        <fgColor rgb="FF107FAF"/>
        <bgColor indexed="64"/>
      </patternFill>
    </fill>
    <fill>
      <patternFill patternType="solid">
        <fgColor rgb="FF376051"/>
        <bgColor indexed="64"/>
      </patternFill>
    </fill>
    <fill>
      <patternFill patternType="solid">
        <fgColor rgb="FF4F6338"/>
        <bgColor indexed="64"/>
      </patternFill>
    </fill>
    <fill>
      <patternFill patternType="solid">
        <fgColor rgb="FF107EAC"/>
        <bgColor indexed="64"/>
      </patternFill>
    </fill>
    <fill>
      <patternFill patternType="solid">
        <fgColor rgb="FF146990"/>
        <bgColor indexed="64"/>
      </patternFill>
    </fill>
    <fill>
      <patternFill patternType="solid">
        <fgColor rgb="FF125B7A"/>
        <bgColor indexed="64"/>
      </patternFill>
    </fill>
    <fill>
      <patternFill patternType="solid">
        <fgColor rgb="FF1889B1"/>
        <bgColor indexed="64"/>
      </patternFill>
    </fill>
    <fill>
      <patternFill patternType="solid">
        <fgColor rgb="FF1181B0"/>
        <bgColor indexed="64"/>
      </patternFill>
    </fill>
    <fill>
      <patternFill patternType="solid">
        <fgColor rgb="FF28747D"/>
        <bgColor indexed="64"/>
      </patternFill>
    </fill>
    <fill>
      <patternFill patternType="solid">
        <fgColor rgb="FF70631A"/>
        <bgColor indexed="64"/>
      </patternFill>
    </fill>
    <fill>
      <patternFill patternType="solid">
        <fgColor rgb="FF29544B"/>
        <bgColor indexed="64"/>
      </patternFill>
    </fill>
    <fill>
      <patternFill patternType="solid">
        <fgColor rgb="FF126D94"/>
        <bgColor indexed="64"/>
      </patternFill>
    </fill>
    <fill>
      <patternFill patternType="solid">
        <fgColor rgb="FF0F658D"/>
        <bgColor indexed="64"/>
      </patternFill>
    </fill>
    <fill>
      <patternFill patternType="solid">
        <fgColor rgb="FF424A50"/>
        <bgColor indexed="64"/>
      </patternFill>
    </fill>
    <fill>
      <patternFill patternType="solid">
        <fgColor rgb="FFB95B32"/>
        <bgColor indexed="64"/>
      </patternFill>
    </fill>
    <fill>
      <patternFill patternType="solid">
        <fgColor rgb="FFD36937"/>
        <bgColor indexed="64"/>
      </patternFill>
    </fill>
    <fill>
      <patternFill patternType="solid">
        <fgColor rgb="FFC85F2F"/>
        <bgColor indexed="64"/>
      </patternFill>
    </fill>
    <fill>
      <patternFill patternType="solid">
        <fgColor rgb="FFD36936"/>
        <bgColor indexed="64"/>
      </patternFill>
    </fill>
    <fill>
      <patternFill patternType="solid">
        <fgColor rgb="FF9E5128"/>
        <bgColor indexed="64"/>
      </patternFill>
    </fill>
    <fill>
      <patternFill patternType="solid">
        <fgColor rgb="FFA89631"/>
        <bgColor indexed="64"/>
      </patternFill>
    </fill>
    <fill>
      <patternFill patternType="solid">
        <fgColor rgb="FF7B7728"/>
        <bgColor indexed="64"/>
      </patternFill>
    </fill>
    <fill>
      <patternFill patternType="solid">
        <fgColor rgb="FF236B74"/>
        <bgColor indexed="64"/>
      </patternFill>
    </fill>
    <fill>
      <patternFill patternType="solid">
        <fgColor rgb="FF10638E"/>
        <bgColor indexed="64"/>
      </patternFill>
    </fill>
    <fill>
      <patternFill patternType="solid">
        <fgColor rgb="FF13688D"/>
        <bgColor indexed="64"/>
      </patternFill>
    </fill>
    <fill>
      <patternFill patternType="solid">
        <fgColor rgb="FF1376A1"/>
        <bgColor indexed="64"/>
      </patternFill>
    </fill>
    <fill>
      <patternFill patternType="solid">
        <fgColor rgb="FF12719B"/>
        <bgColor indexed="64"/>
      </patternFill>
    </fill>
    <fill>
      <patternFill patternType="solid">
        <fgColor rgb="FF186F9A"/>
        <bgColor indexed="64"/>
      </patternFill>
    </fill>
    <fill>
      <patternFill patternType="solid">
        <fgColor rgb="FF0D6490"/>
        <bgColor indexed="64"/>
      </patternFill>
    </fill>
    <fill>
      <patternFill patternType="solid">
        <fgColor rgb="FF533D5A"/>
        <bgColor indexed="64"/>
      </patternFill>
    </fill>
    <fill>
      <patternFill patternType="solid">
        <fgColor rgb="FFF04964"/>
        <bgColor indexed="64"/>
      </patternFill>
    </fill>
    <fill>
      <patternFill patternType="solid">
        <fgColor rgb="FFFB4E70"/>
        <bgColor indexed="64"/>
      </patternFill>
    </fill>
    <fill>
      <patternFill patternType="solid">
        <fgColor rgb="FFF84868"/>
        <bgColor indexed="64"/>
      </patternFill>
    </fill>
    <fill>
      <patternFill patternType="solid">
        <fgColor rgb="FFF04569"/>
        <bgColor indexed="64"/>
      </patternFill>
    </fill>
    <fill>
      <patternFill patternType="solid">
        <fgColor rgb="FFE2405D"/>
        <bgColor indexed="64"/>
      </patternFill>
    </fill>
    <fill>
      <patternFill patternType="solid">
        <fgColor rgb="FFF44866"/>
        <bgColor indexed="64"/>
      </patternFill>
    </fill>
    <fill>
      <patternFill patternType="solid">
        <fgColor rgb="FFF64767"/>
        <bgColor indexed="64"/>
      </patternFill>
    </fill>
    <fill>
      <patternFill patternType="solid">
        <fgColor rgb="FFF7486C"/>
        <bgColor indexed="64"/>
      </patternFill>
    </fill>
    <fill>
      <patternFill patternType="solid">
        <fgColor rgb="FFED4567"/>
        <bgColor indexed="64"/>
      </patternFill>
    </fill>
    <fill>
      <patternFill patternType="solid">
        <fgColor rgb="FFF14664"/>
        <bgColor indexed="64"/>
      </patternFill>
    </fill>
    <fill>
      <patternFill patternType="solid">
        <fgColor rgb="FFF24867"/>
        <bgColor indexed="64"/>
      </patternFill>
    </fill>
    <fill>
      <patternFill patternType="solid">
        <fgColor rgb="FF8D3B57"/>
        <bgColor indexed="64"/>
      </patternFill>
    </fill>
    <fill>
      <patternFill patternType="solid">
        <fgColor rgb="FF1C4D69"/>
        <bgColor indexed="64"/>
      </patternFill>
    </fill>
    <fill>
      <patternFill patternType="solid">
        <fgColor rgb="FF12739A"/>
        <bgColor indexed="64"/>
      </patternFill>
    </fill>
    <fill>
      <patternFill patternType="solid">
        <fgColor rgb="FF1478A6"/>
        <bgColor indexed="64"/>
      </patternFill>
    </fill>
    <fill>
      <patternFill patternType="solid">
        <fgColor rgb="FF1073A6"/>
        <bgColor indexed="64"/>
      </patternFill>
    </fill>
    <fill>
      <patternFill patternType="solid">
        <fgColor rgb="FF1071A1"/>
        <bgColor indexed="64"/>
      </patternFill>
    </fill>
    <fill>
      <patternFill patternType="solid">
        <fgColor rgb="FF106E9F"/>
        <bgColor indexed="64"/>
      </patternFill>
    </fill>
    <fill>
      <patternFill patternType="solid">
        <fgColor rgb="FF106FA1"/>
        <bgColor indexed="64"/>
      </patternFill>
    </fill>
    <fill>
      <patternFill patternType="solid">
        <fgColor rgb="FF0E6894"/>
        <bgColor indexed="64"/>
      </patternFill>
    </fill>
    <fill>
      <patternFill patternType="solid">
        <fgColor rgb="FF5E812D"/>
        <bgColor indexed="64"/>
      </patternFill>
    </fill>
    <fill>
      <patternFill patternType="solid">
        <fgColor rgb="FF667527"/>
        <bgColor indexed="64"/>
      </patternFill>
    </fill>
    <fill>
      <patternFill patternType="solid">
        <fgColor rgb="FFBCB52B"/>
        <bgColor indexed="64"/>
      </patternFill>
    </fill>
    <fill>
      <patternFill patternType="solid">
        <fgColor rgb="FFBBB128"/>
        <bgColor indexed="64"/>
      </patternFill>
    </fill>
    <fill>
      <patternFill patternType="solid">
        <fgColor rgb="FFB8AA2D"/>
        <bgColor indexed="64"/>
      </patternFill>
    </fill>
    <fill>
      <patternFill patternType="solid">
        <fgColor rgb="FFEDDF35"/>
        <bgColor indexed="64"/>
      </patternFill>
    </fill>
    <fill>
      <patternFill patternType="solid">
        <fgColor rgb="FFD0C232"/>
        <bgColor indexed="64"/>
      </patternFill>
    </fill>
    <fill>
      <patternFill patternType="solid">
        <fgColor rgb="FFD4C634"/>
        <bgColor indexed="64"/>
      </patternFill>
    </fill>
    <fill>
      <patternFill patternType="solid">
        <fgColor rgb="FFCCBB30"/>
        <bgColor indexed="64"/>
      </patternFill>
    </fill>
    <fill>
      <patternFill patternType="solid">
        <fgColor rgb="FFB4A82C"/>
        <bgColor indexed="64"/>
      </patternFill>
    </fill>
    <fill>
      <patternFill patternType="solid">
        <fgColor rgb="FF7D902F"/>
        <bgColor indexed="64"/>
      </patternFill>
    </fill>
    <fill>
      <patternFill patternType="solid">
        <fgColor rgb="FF55671F"/>
        <bgColor indexed="64"/>
      </patternFill>
    </fill>
    <fill>
      <patternFill patternType="solid">
        <fgColor rgb="FF749135"/>
        <bgColor indexed="64"/>
      </patternFill>
    </fill>
    <fill>
      <patternFill patternType="solid">
        <fgColor rgb="FF75A23A"/>
        <bgColor indexed="64"/>
      </patternFill>
    </fill>
    <fill>
      <patternFill patternType="solid">
        <fgColor rgb="FF689537"/>
        <bgColor indexed="64"/>
      </patternFill>
    </fill>
    <fill>
      <patternFill patternType="solid">
        <fgColor rgb="FF7C7E2F"/>
        <bgColor indexed="64"/>
      </patternFill>
    </fill>
    <fill>
      <patternFill patternType="solid">
        <fgColor rgb="FFBDB434"/>
        <bgColor indexed="64"/>
      </patternFill>
    </fill>
    <fill>
      <patternFill patternType="solid">
        <fgColor rgb="FFDAD335"/>
        <bgColor indexed="64"/>
      </patternFill>
    </fill>
    <fill>
      <patternFill patternType="solid">
        <fgColor rgb="FF658539"/>
        <bgColor indexed="64"/>
      </patternFill>
    </fill>
    <fill>
      <patternFill patternType="solid">
        <fgColor rgb="FF7AAC45"/>
        <bgColor indexed="64"/>
      </patternFill>
    </fill>
    <fill>
      <patternFill patternType="solid">
        <fgColor rgb="FF74A440"/>
        <bgColor indexed="64"/>
      </patternFill>
    </fill>
    <fill>
      <patternFill patternType="solid">
        <fgColor rgb="FF76A641"/>
        <bgColor indexed="64"/>
      </patternFill>
    </fill>
    <fill>
      <patternFill patternType="solid">
        <fgColor rgb="FF74A241"/>
        <bgColor indexed="64"/>
      </patternFill>
    </fill>
    <fill>
      <patternFill patternType="solid">
        <fgColor rgb="FF929B37"/>
        <bgColor indexed="64"/>
      </patternFill>
    </fill>
    <fill>
      <patternFill patternType="solid">
        <fgColor rgb="FF769533"/>
        <bgColor indexed="64"/>
      </patternFill>
    </fill>
    <fill>
      <patternFill patternType="solid">
        <fgColor rgb="FF79AC49"/>
        <bgColor indexed="64"/>
      </patternFill>
    </fill>
    <fill>
      <patternFill patternType="solid">
        <fgColor rgb="FF7DAC49"/>
        <bgColor indexed="64"/>
      </patternFill>
    </fill>
    <fill>
      <patternFill patternType="solid">
        <fgColor rgb="FF70963F"/>
        <bgColor indexed="64"/>
      </patternFill>
    </fill>
    <fill>
      <patternFill patternType="solid">
        <fgColor rgb="FF548243"/>
        <bgColor indexed="64"/>
      </patternFill>
    </fill>
    <fill>
      <patternFill patternType="solid">
        <fgColor rgb="FF28665C"/>
        <bgColor indexed="64"/>
      </patternFill>
    </fill>
    <fill>
      <patternFill patternType="solid">
        <fgColor rgb="FF0C5575"/>
        <bgColor indexed="64"/>
      </patternFill>
    </fill>
    <fill>
      <patternFill patternType="solid">
        <fgColor rgb="FF106389"/>
        <bgColor indexed="64"/>
      </patternFill>
    </fill>
    <fill>
      <patternFill patternType="solid">
        <fgColor rgb="FF1781A6"/>
        <bgColor indexed="64"/>
      </patternFill>
    </fill>
    <fill>
      <patternFill patternType="solid">
        <fgColor rgb="FF15729A"/>
        <bgColor indexed="64"/>
      </patternFill>
    </fill>
    <fill>
      <patternFill patternType="solid">
        <fgColor rgb="FF135B7C"/>
        <bgColor indexed="64"/>
      </patternFill>
    </fill>
    <fill>
      <patternFill patternType="solid">
        <fgColor rgb="FF16799E"/>
        <bgColor indexed="64"/>
      </patternFill>
    </fill>
    <fill>
      <patternFill patternType="solid">
        <fgColor rgb="FF1482AD"/>
        <bgColor indexed="64"/>
      </patternFill>
    </fill>
    <fill>
      <patternFill patternType="solid">
        <fgColor rgb="FF1680A7"/>
        <bgColor indexed="64"/>
      </patternFill>
    </fill>
    <fill>
      <patternFill patternType="solid">
        <fgColor rgb="FF0972A3"/>
        <bgColor indexed="64"/>
      </patternFill>
    </fill>
    <fill>
      <patternFill patternType="solid">
        <fgColor rgb="FF70863E"/>
        <bgColor indexed="64"/>
      </patternFill>
    </fill>
    <fill>
      <patternFill patternType="solid">
        <fgColor rgb="FF4A6F46"/>
        <bgColor indexed="64"/>
      </patternFill>
    </fill>
    <fill>
      <patternFill patternType="solid">
        <fgColor rgb="FF0B7BAE"/>
        <bgColor indexed="64"/>
      </patternFill>
    </fill>
    <fill>
      <patternFill patternType="solid">
        <fgColor rgb="FF147395"/>
        <bgColor indexed="64"/>
      </patternFill>
    </fill>
    <fill>
      <patternFill patternType="solid">
        <fgColor rgb="FF105B7B"/>
        <bgColor indexed="64"/>
      </patternFill>
    </fill>
    <fill>
      <patternFill patternType="solid">
        <fgColor rgb="FF14688E"/>
        <bgColor indexed="64"/>
      </patternFill>
    </fill>
    <fill>
      <patternFill patternType="solid">
        <fgColor rgb="FF0F7CAC"/>
        <bgColor indexed="64"/>
      </patternFill>
    </fill>
    <fill>
      <patternFill patternType="solid">
        <fgColor rgb="FF327670"/>
        <bgColor indexed="64"/>
      </patternFill>
    </fill>
    <fill>
      <patternFill patternType="solid">
        <fgColor rgb="FFC8B92C"/>
        <bgColor indexed="64"/>
      </patternFill>
    </fill>
    <fill>
      <patternFill patternType="solid">
        <fgColor rgb="FF32533D"/>
        <bgColor indexed="64"/>
      </patternFill>
    </fill>
    <fill>
      <patternFill patternType="solid">
        <fgColor rgb="FF0B5E8A"/>
        <bgColor indexed="64"/>
      </patternFill>
    </fill>
    <fill>
      <patternFill patternType="solid">
        <fgColor rgb="FF166C93"/>
        <bgColor indexed="64"/>
      </patternFill>
    </fill>
    <fill>
      <patternFill patternType="solid">
        <fgColor rgb="FF0E658C"/>
        <bgColor indexed="64"/>
      </patternFill>
    </fill>
    <fill>
      <patternFill patternType="solid">
        <fgColor rgb="FF1F5165"/>
        <bgColor indexed="64"/>
      </patternFill>
    </fill>
    <fill>
      <patternFill patternType="solid">
        <fgColor rgb="FF344F53"/>
        <bgColor indexed="64"/>
      </patternFill>
    </fill>
    <fill>
      <patternFill patternType="solid">
        <fgColor rgb="FF39585D"/>
        <bgColor indexed="64"/>
      </patternFill>
    </fill>
    <fill>
      <patternFill patternType="solid">
        <fgColor rgb="FF3A6777"/>
        <bgColor indexed="64"/>
      </patternFill>
    </fill>
    <fill>
      <patternFill patternType="solid">
        <fgColor rgb="FF2B595A"/>
        <bgColor indexed="64"/>
      </patternFill>
    </fill>
    <fill>
      <patternFill patternType="solid">
        <fgColor rgb="FFBFB52F"/>
        <bgColor indexed="64"/>
      </patternFill>
    </fill>
    <fill>
      <patternFill patternType="solid">
        <fgColor rgb="FF918F2D"/>
        <bgColor indexed="64"/>
      </patternFill>
    </fill>
    <fill>
      <patternFill patternType="solid">
        <fgColor rgb="FF1B6F80"/>
        <bgColor indexed="64"/>
      </patternFill>
    </fill>
    <fill>
      <patternFill patternType="solid">
        <fgColor rgb="FF1582B4"/>
        <bgColor indexed="64"/>
      </patternFill>
    </fill>
    <fill>
      <patternFill patternType="solid">
        <fgColor rgb="FF13749D"/>
        <bgColor indexed="64"/>
      </patternFill>
    </fill>
    <fill>
      <patternFill patternType="solid">
        <fgColor rgb="FF15749C"/>
        <bgColor indexed="64"/>
      </patternFill>
    </fill>
    <fill>
      <patternFill patternType="solid">
        <fgColor rgb="FF106B92"/>
        <bgColor indexed="64"/>
      </patternFill>
    </fill>
    <fill>
      <patternFill patternType="solid">
        <fgColor rgb="FF23729E"/>
        <bgColor indexed="64"/>
      </patternFill>
    </fill>
    <fill>
      <patternFill patternType="solid">
        <fgColor rgb="FF5E2E49"/>
        <bgColor indexed="64"/>
      </patternFill>
    </fill>
    <fill>
      <patternFill patternType="solid">
        <fgColor rgb="FF8D3646"/>
        <bgColor indexed="64"/>
      </patternFill>
    </fill>
    <fill>
      <patternFill patternType="solid">
        <fgColor rgb="FFF24967"/>
        <bgColor indexed="64"/>
      </patternFill>
    </fill>
    <fill>
      <patternFill patternType="solid">
        <fgColor rgb="FFFB486A"/>
        <bgColor indexed="64"/>
      </patternFill>
    </fill>
    <fill>
      <patternFill patternType="solid">
        <fgColor rgb="FFF34565"/>
        <bgColor indexed="64"/>
      </patternFill>
    </fill>
    <fill>
      <patternFill patternType="solid">
        <fgColor rgb="FFF44665"/>
        <bgColor indexed="64"/>
      </patternFill>
    </fill>
    <fill>
      <patternFill patternType="solid">
        <fgColor rgb="FFF94767"/>
        <bgColor indexed="64"/>
      </patternFill>
    </fill>
    <fill>
      <patternFill patternType="solid">
        <fgColor rgb="FFF74767"/>
        <bgColor indexed="64"/>
      </patternFill>
    </fill>
    <fill>
      <patternFill patternType="solid">
        <fgColor rgb="FFF64766"/>
        <bgColor indexed="64"/>
      </patternFill>
    </fill>
    <fill>
      <patternFill patternType="solid">
        <fgColor rgb="FFFB4A66"/>
        <bgColor indexed="64"/>
      </patternFill>
    </fill>
    <fill>
      <patternFill patternType="solid">
        <fgColor rgb="FFF04466"/>
        <bgColor indexed="64"/>
      </patternFill>
    </fill>
    <fill>
      <patternFill patternType="solid">
        <fgColor rgb="FFC23350"/>
        <bgColor indexed="64"/>
      </patternFill>
    </fill>
    <fill>
      <patternFill patternType="solid">
        <fgColor rgb="FF96374F"/>
        <bgColor indexed="64"/>
      </patternFill>
    </fill>
    <fill>
      <patternFill patternType="solid">
        <fgColor rgb="FF3B4B66"/>
        <bgColor indexed="64"/>
      </patternFill>
    </fill>
    <fill>
      <patternFill patternType="solid">
        <fgColor rgb="FF047096"/>
        <bgColor indexed="64"/>
      </patternFill>
    </fill>
    <fill>
      <patternFill patternType="solid">
        <fgColor rgb="FF0D7BA8"/>
        <bgColor indexed="64"/>
      </patternFill>
    </fill>
    <fill>
      <patternFill patternType="solid">
        <fgColor rgb="FF1175A5"/>
        <bgColor indexed="64"/>
      </patternFill>
    </fill>
    <fill>
      <patternFill patternType="solid">
        <fgColor rgb="FF1176A4"/>
        <bgColor indexed="64"/>
      </patternFill>
    </fill>
    <fill>
      <patternFill patternType="solid">
        <fgColor rgb="FF1174A4"/>
        <bgColor indexed="64"/>
      </patternFill>
    </fill>
    <fill>
      <patternFill patternType="solid">
        <fgColor rgb="FF1070A3"/>
        <bgColor indexed="64"/>
      </patternFill>
    </fill>
    <fill>
      <patternFill patternType="solid">
        <fgColor rgb="FF106E9D"/>
        <bgColor indexed="64"/>
      </patternFill>
    </fill>
    <fill>
      <patternFill patternType="solid">
        <fgColor rgb="FF106EA0"/>
        <bgColor indexed="64"/>
      </patternFill>
    </fill>
    <fill>
      <patternFill patternType="solid">
        <fgColor rgb="FF1071A7"/>
        <bgColor indexed="64"/>
      </patternFill>
    </fill>
    <fill>
      <patternFill patternType="solid">
        <fgColor rgb="FF608426"/>
        <bgColor indexed="64"/>
      </patternFill>
    </fill>
    <fill>
      <patternFill patternType="solid">
        <fgColor rgb="FF6C8524"/>
        <bgColor indexed="64"/>
      </patternFill>
    </fill>
    <fill>
      <patternFill patternType="solid">
        <fgColor rgb="FF6E9132"/>
        <bgColor indexed="64"/>
      </patternFill>
    </fill>
    <fill>
      <patternFill patternType="solid">
        <fgColor rgb="FF486223"/>
        <bgColor indexed="64"/>
      </patternFill>
    </fill>
    <fill>
      <patternFill patternType="solid">
        <fgColor rgb="FF7D7621"/>
        <bgColor indexed="64"/>
      </patternFill>
    </fill>
    <fill>
      <patternFill patternType="solid">
        <fgColor rgb="FFD1C431"/>
        <bgColor indexed="64"/>
      </patternFill>
    </fill>
    <fill>
      <patternFill patternType="solid">
        <fgColor rgb="FFA39A29"/>
        <bgColor indexed="64"/>
      </patternFill>
    </fill>
    <fill>
      <patternFill patternType="solid">
        <fgColor rgb="FF8F8726"/>
        <bgColor indexed="64"/>
      </patternFill>
    </fill>
    <fill>
      <patternFill patternType="solid">
        <fgColor rgb="FF9B942B"/>
        <bgColor indexed="64"/>
      </patternFill>
    </fill>
    <fill>
      <patternFill patternType="solid">
        <fgColor rgb="FF6E7A26"/>
        <bgColor indexed="64"/>
      </patternFill>
    </fill>
    <fill>
      <patternFill patternType="solid">
        <fgColor rgb="FF909B39"/>
        <bgColor indexed="64"/>
      </patternFill>
    </fill>
    <fill>
      <patternFill patternType="solid">
        <fgColor rgb="FF5C852B"/>
        <bgColor indexed="64"/>
      </patternFill>
    </fill>
    <fill>
      <patternFill patternType="solid">
        <fgColor rgb="FF6C9337"/>
        <bgColor indexed="64"/>
      </patternFill>
    </fill>
    <fill>
      <patternFill patternType="solid">
        <fgColor rgb="FF78A43E"/>
        <bgColor indexed="64"/>
      </patternFill>
    </fill>
    <fill>
      <patternFill patternType="solid">
        <fgColor rgb="FF76A13D"/>
        <bgColor indexed="64"/>
      </patternFill>
    </fill>
    <fill>
      <patternFill patternType="solid">
        <fgColor rgb="FF79A73C"/>
        <bgColor indexed="64"/>
      </patternFill>
    </fill>
    <fill>
      <patternFill patternType="solid">
        <fgColor rgb="FF699736"/>
        <bgColor indexed="64"/>
      </patternFill>
    </fill>
    <fill>
      <patternFill patternType="solid">
        <fgColor rgb="FF6C7230"/>
        <bgColor indexed="64"/>
      </patternFill>
    </fill>
    <fill>
      <patternFill patternType="solid">
        <fgColor rgb="FF8F8832"/>
        <bgColor indexed="64"/>
      </patternFill>
    </fill>
    <fill>
      <patternFill patternType="solid">
        <fgColor rgb="FFADA637"/>
        <bgColor indexed="64"/>
      </patternFill>
    </fill>
    <fill>
      <patternFill patternType="solid">
        <fgColor rgb="FF708C3B"/>
        <bgColor indexed="64"/>
      </patternFill>
    </fill>
    <fill>
      <patternFill patternType="solid">
        <fgColor rgb="FF78A944"/>
        <bgColor indexed="64"/>
      </patternFill>
    </fill>
    <fill>
      <patternFill patternType="solid">
        <fgColor rgb="FF74A23F"/>
        <bgColor indexed="64"/>
      </patternFill>
    </fill>
    <fill>
      <patternFill patternType="solid">
        <fgColor rgb="FF73A142"/>
        <bgColor indexed="64"/>
      </patternFill>
    </fill>
    <fill>
      <patternFill patternType="solid">
        <fgColor rgb="FF74A342"/>
        <bgColor indexed="64"/>
      </patternFill>
    </fill>
    <fill>
      <patternFill patternType="solid">
        <fgColor rgb="FF74A141"/>
        <bgColor indexed="64"/>
      </patternFill>
    </fill>
    <fill>
      <patternFill patternType="solid">
        <fgColor rgb="FF74A442"/>
        <bgColor indexed="64"/>
      </patternFill>
    </fill>
    <fill>
      <patternFill patternType="solid">
        <fgColor rgb="FF778531"/>
        <bgColor indexed="64"/>
      </patternFill>
    </fill>
    <fill>
      <patternFill patternType="solid">
        <fgColor rgb="FF73912E"/>
        <bgColor indexed="64"/>
      </patternFill>
    </fill>
    <fill>
      <patternFill patternType="solid">
        <fgColor rgb="FF6B9439"/>
        <bgColor indexed="64"/>
      </patternFill>
    </fill>
    <fill>
      <patternFill patternType="solid">
        <fgColor rgb="FF4E7439"/>
        <bgColor indexed="64"/>
      </patternFill>
    </fill>
    <fill>
      <patternFill patternType="solid">
        <fgColor rgb="FF235C57"/>
        <bgColor indexed="64"/>
      </patternFill>
    </fill>
    <fill>
      <patternFill patternType="solid">
        <fgColor rgb="FF106083"/>
        <bgColor indexed="64"/>
      </patternFill>
    </fill>
    <fill>
      <patternFill patternType="solid">
        <fgColor rgb="FF0D577D"/>
        <bgColor indexed="64"/>
      </patternFill>
    </fill>
    <fill>
      <patternFill patternType="solid">
        <fgColor rgb="FF166E8E"/>
        <bgColor indexed="64"/>
      </patternFill>
    </fill>
    <fill>
      <patternFill patternType="solid">
        <fgColor rgb="FF167DA3"/>
        <bgColor indexed="64"/>
      </patternFill>
    </fill>
    <fill>
      <patternFill patternType="solid">
        <fgColor rgb="FF167BA5"/>
        <bgColor indexed="64"/>
      </patternFill>
    </fill>
    <fill>
      <patternFill patternType="solid">
        <fgColor rgb="FF13678E"/>
        <bgColor indexed="64"/>
      </patternFill>
    </fill>
    <fill>
      <patternFill patternType="solid">
        <fgColor rgb="FF177EA5"/>
        <bgColor indexed="64"/>
      </patternFill>
    </fill>
    <fill>
      <patternFill patternType="solid">
        <fgColor rgb="FF147FAC"/>
        <bgColor indexed="64"/>
      </patternFill>
    </fill>
    <fill>
      <patternFill patternType="solid">
        <fgColor rgb="FF147DA6"/>
        <bgColor indexed="64"/>
      </patternFill>
    </fill>
    <fill>
      <patternFill patternType="solid">
        <fgColor rgb="FF1581AD"/>
        <bgColor indexed="64"/>
      </patternFill>
    </fill>
    <fill>
      <patternFill patternType="solid">
        <fgColor rgb="FF126D8E"/>
        <bgColor indexed="64"/>
      </patternFill>
    </fill>
    <fill>
      <patternFill patternType="solid">
        <fgColor rgb="FFB5B730"/>
        <bgColor indexed="64"/>
      </patternFill>
    </fill>
    <fill>
      <patternFill patternType="solid">
        <fgColor rgb="FF3F7C64"/>
        <bgColor indexed="64"/>
      </patternFill>
    </fill>
    <fill>
      <patternFill patternType="solid">
        <fgColor rgb="FF0C7AAB"/>
        <bgColor indexed="64"/>
      </patternFill>
    </fill>
    <fill>
      <patternFill patternType="solid">
        <fgColor rgb="FF1580A7"/>
        <bgColor indexed="64"/>
      </patternFill>
    </fill>
    <fill>
      <patternFill patternType="solid">
        <fgColor rgb="FF157DA5"/>
        <bgColor indexed="64"/>
      </patternFill>
    </fill>
    <fill>
      <patternFill patternType="solid">
        <fgColor rgb="FF167A9E"/>
        <bgColor indexed="64"/>
      </patternFill>
    </fill>
    <fill>
      <patternFill patternType="solid">
        <fgColor rgb="FF0D7CAD"/>
        <bgColor indexed="64"/>
      </patternFill>
    </fill>
    <fill>
      <patternFill patternType="solid">
        <fgColor rgb="FF397567"/>
        <bgColor indexed="64"/>
      </patternFill>
    </fill>
    <fill>
      <patternFill patternType="solid">
        <fgColor rgb="FFF6E62F"/>
        <bgColor indexed="64"/>
      </patternFill>
    </fill>
    <fill>
      <patternFill patternType="solid">
        <fgColor rgb="FF3D6649"/>
        <bgColor indexed="64"/>
      </patternFill>
    </fill>
    <fill>
      <patternFill patternType="solid">
        <fgColor rgb="FF0C648B"/>
        <bgColor indexed="64"/>
      </patternFill>
    </fill>
    <fill>
      <patternFill patternType="solid">
        <fgColor rgb="FF13597A"/>
        <bgColor indexed="64"/>
      </patternFill>
    </fill>
    <fill>
      <patternFill patternType="solid">
        <fgColor rgb="FF166B91"/>
        <bgColor indexed="64"/>
      </patternFill>
    </fill>
    <fill>
      <patternFill patternType="solid">
        <fgColor rgb="FF137FB0"/>
        <bgColor indexed="64"/>
      </patternFill>
    </fill>
    <fill>
      <patternFill patternType="solid">
        <fgColor rgb="FF107CAC"/>
        <bgColor indexed="64"/>
      </patternFill>
    </fill>
    <fill>
      <patternFill patternType="solid">
        <fgColor rgb="FF0F78A4"/>
        <bgColor indexed="64"/>
      </patternFill>
    </fill>
    <fill>
      <patternFill patternType="solid">
        <fgColor rgb="FF097AB0"/>
        <bgColor indexed="64"/>
      </patternFill>
    </fill>
    <fill>
      <patternFill patternType="solid">
        <fgColor rgb="FF347F7F"/>
        <bgColor indexed="64"/>
      </patternFill>
    </fill>
    <fill>
      <patternFill patternType="solid">
        <fgColor rgb="FFA89929"/>
        <bgColor indexed="64"/>
      </patternFill>
    </fill>
    <fill>
      <patternFill patternType="solid">
        <fgColor rgb="FF878A2B"/>
        <bgColor indexed="64"/>
      </patternFill>
    </fill>
    <fill>
      <patternFill patternType="solid">
        <fgColor rgb="FF176D83"/>
        <bgColor indexed="64"/>
      </patternFill>
    </fill>
    <fill>
      <patternFill patternType="solid">
        <fgColor rgb="FF0F6390"/>
        <bgColor indexed="64"/>
      </patternFill>
    </fill>
    <fill>
      <patternFill patternType="solid">
        <fgColor rgb="FF116589"/>
        <bgColor indexed="64"/>
      </patternFill>
    </fill>
    <fill>
      <patternFill patternType="solid">
        <fgColor rgb="FF1881AB"/>
        <bgColor indexed="64"/>
      </patternFill>
    </fill>
    <fill>
      <patternFill patternType="solid">
        <fgColor rgb="FF1685B6"/>
        <bgColor indexed="64"/>
      </patternFill>
    </fill>
    <fill>
      <patternFill patternType="solid">
        <fgColor rgb="FF236F9F"/>
        <bgColor indexed="64"/>
      </patternFill>
    </fill>
    <fill>
      <patternFill patternType="solid">
        <fgColor rgb="FFBB3F5B"/>
        <bgColor indexed="64"/>
      </patternFill>
    </fill>
    <fill>
      <patternFill patternType="solid">
        <fgColor rgb="FFF0415D"/>
        <bgColor indexed="64"/>
      </patternFill>
    </fill>
    <fill>
      <patternFill patternType="solid">
        <fgColor rgb="FFF64768"/>
        <bgColor indexed="64"/>
      </patternFill>
    </fill>
    <fill>
      <patternFill patternType="solid">
        <fgColor rgb="FFF84766"/>
        <bgColor indexed="64"/>
      </patternFill>
    </fill>
    <fill>
      <patternFill patternType="solid">
        <fgColor rgb="FFF84769"/>
        <bgColor indexed="64"/>
      </patternFill>
    </fill>
    <fill>
      <patternFill patternType="solid">
        <fgColor rgb="FFF74764"/>
        <bgColor indexed="64"/>
      </patternFill>
    </fill>
    <fill>
      <patternFill patternType="solid">
        <fgColor rgb="FFF74766"/>
        <bgColor indexed="64"/>
      </patternFill>
    </fill>
    <fill>
      <patternFill patternType="solid">
        <fgColor rgb="FFF84665"/>
        <bgColor indexed="64"/>
      </patternFill>
    </fill>
    <fill>
      <patternFill patternType="solid">
        <fgColor rgb="FFF74665"/>
        <bgColor indexed="64"/>
      </patternFill>
    </fill>
    <fill>
      <patternFill patternType="solid">
        <fgColor rgb="FFF94A68"/>
        <bgColor indexed="64"/>
      </patternFill>
    </fill>
    <fill>
      <patternFill patternType="solid">
        <fgColor rgb="FFEE4363"/>
        <bgColor indexed="64"/>
      </patternFill>
    </fill>
    <fill>
      <patternFill patternType="solid">
        <fgColor rgb="FFE53F5D"/>
        <bgColor indexed="64"/>
      </patternFill>
    </fill>
    <fill>
      <patternFill patternType="solid">
        <fgColor rgb="FF854362"/>
        <bgColor indexed="64"/>
      </patternFill>
    </fill>
    <fill>
      <patternFill patternType="solid">
        <fgColor rgb="FF245E84"/>
        <bgColor indexed="64"/>
      </patternFill>
    </fill>
    <fill>
      <patternFill patternType="solid">
        <fgColor rgb="FF116792"/>
        <bgColor indexed="64"/>
      </patternFill>
    </fill>
    <fill>
      <patternFill patternType="solid">
        <fgColor rgb="FF11709F"/>
        <bgColor indexed="64"/>
      </patternFill>
    </fill>
    <fill>
      <patternFill patternType="solid">
        <fgColor rgb="FF106F9E"/>
        <bgColor indexed="64"/>
      </patternFill>
    </fill>
    <fill>
      <patternFill patternType="solid">
        <fgColor rgb="FF0F6E9E"/>
        <bgColor indexed="64"/>
      </patternFill>
    </fill>
    <fill>
      <patternFill patternType="solid">
        <fgColor rgb="FF0E6C9D"/>
        <bgColor indexed="64"/>
      </patternFill>
    </fill>
    <fill>
      <patternFill patternType="solid">
        <fgColor rgb="FF79A93A"/>
        <bgColor indexed="64"/>
      </patternFill>
    </fill>
    <fill>
      <patternFill patternType="solid">
        <fgColor rgb="FF76A538"/>
        <bgColor indexed="64"/>
      </patternFill>
    </fill>
    <fill>
      <patternFill patternType="solid">
        <fgColor rgb="FF7AAB3B"/>
        <bgColor indexed="64"/>
      </patternFill>
    </fill>
    <fill>
      <patternFill patternType="solid">
        <fgColor rgb="FF6E8626"/>
        <bgColor indexed="64"/>
      </patternFill>
    </fill>
    <fill>
      <patternFill patternType="solid">
        <fgColor rgb="FF9F9D28"/>
        <bgColor indexed="64"/>
      </patternFill>
    </fill>
    <fill>
      <patternFill patternType="solid">
        <fgColor rgb="FF4D5618"/>
        <bgColor indexed="64"/>
      </patternFill>
    </fill>
    <fill>
      <patternFill patternType="solid">
        <fgColor rgb="FF3E4214"/>
        <bgColor indexed="64"/>
      </patternFill>
    </fill>
    <fill>
      <patternFill patternType="solid">
        <fgColor rgb="FF688327"/>
        <bgColor indexed="64"/>
      </patternFill>
    </fill>
    <fill>
      <patternFill patternType="solid">
        <fgColor rgb="FF6E8B2B"/>
        <bgColor indexed="64"/>
      </patternFill>
    </fill>
    <fill>
      <patternFill patternType="solid">
        <fgColor rgb="FF648831"/>
        <bgColor indexed="64"/>
      </patternFill>
    </fill>
    <fill>
      <patternFill patternType="solid">
        <fgColor rgb="FF576A2A"/>
        <bgColor indexed="64"/>
      </patternFill>
    </fill>
    <fill>
      <patternFill patternType="solid">
        <fgColor rgb="FF7DAE3D"/>
        <bgColor indexed="64"/>
      </patternFill>
    </fill>
    <fill>
      <patternFill patternType="solid">
        <fgColor rgb="FF77A639"/>
        <bgColor indexed="64"/>
      </patternFill>
    </fill>
    <fill>
      <patternFill patternType="solid">
        <fgColor rgb="FF74A03B"/>
        <bgColor indexed="64"/>
      </patternFill>
    </fill>
    <fill>
      <patternFill patternType="solid">
        <fgColor rgb="FF76A03D"/>
        <bgColor indexed="64"/>
      </patternFill>
    </fill>
    <fill>
      <patternFill patternType="solid">
        <fgColor rgb="FF79A53E"/>
        <bgColor indexed="64"/>
      </patternFill>
    </fill>
    <fill>
      <patternFill patternType="solid">
        <fgColor rgb="FF729D3B"/>
        <bgColor indexed="64"/>
      </patternFill>
    </fill>
    <fill>
      <patternFill patternType="solid">
        <fgColor rgb="FF616830"/>
        <bgColor indexed="64"/>
      </patternFill>
    </fill>
    <fill>
      <patternFill patternType="solid">
        <fgColor rgb="FF413B17"/>
        <bgColor indexed="64"/>
      </patternFill>
    </fill>
    <fill>
      <patternFill patternType="solid">
        <fgColor rgb="FF736A2D"/>
        <bgColor indexed="64"/>
      </patternFill>
    </fill>
    <fill>
      <patternFill patternType="solid">
        <fgColor rgb="FF69853A"/>
        <bgColor indexed="64"/>
      </patternFill>
    </fill>
    <fill>
      <patternFill patternType="solid">
        <fgColor rgb="FF7CAB46"/>
        <bgColor indexed="64"/>
      </patternFill>
    </fill>
    <fill>
      <patternFill patternType="solid">
        <fgColor rgb="FF75A243"/>
        <bgColor indexed="64"/>
      </patternFill>
    </fill>
    <fill>
      <patternFill patternType="solid">
        <fgColor rgb="FF7AAB42"/>
        <bgColor indexed="64"/>
      </patternFill>
    </fill>
    <fill>
      <patternFill patternType="solid">
        <fgColor rgb="FF83B749"/>
        <bgColor indexed="64"/>
      </patternFill>
    </fill>
    <fill>
      <patternFill patternType="solid">
        <fgColor rgb="FF536524"/>
        <bgColor indexed="64"/>
      </patternFill>
    </fill>
    <fill>
      <patternFill patternType="solid">
        <fgColor rgb="FF3C4D1D"/>
        <bgColor indexed="64"/>
      </patternFill>
    </fill>
    <fill>
      <patternFill patternType="solid">
        <fgColor rgb="FF1B4943"/>
        <bgColor indexed="64"/>
      </patternFill>
    </fill>
    <fill>
      <patternFill patternType="solid">
        <fgColor rgb="FF106282"/>
        <bgColor indexed="64"/>
      </patternFill>
    </fill>
    <fill>
      <patternFill patternType="solid">
        <fgColor rgb="FF137AA7"/>
        <bgColor indexed="64"/>
      </patternFill>
    </fill>
    <fill>
      <patternFill patternType="solid">
        <fgColor rgb="FF135C7B"/>
        <bgColor indexed="64"/>
      </patternFill>
    </fill>
    <fill>
      <patternFill patternType="solid">
        <fgColor rgb="FF177192"/>
        <bgColor indexed="64"/>
      </patternFill>
    </fill>
    <fill>
      <patternFill patternType="solid">
        <fgColor rgb="FF1681AB"/>
        <bgColor indexed="64"/>
      </patternFill>
    </fill>
    <fill>
      <patternFill patternType="solid">
        <fgColor rgb="FF1480A9"/>
        <bgColor indexed="64"/>
      </patternFill>
    </fill>
    <fill>
      <patternFill patternType="solid">
        <fgColor rgb="FF14749A"/>
        <bgColor indexed="64"/>
      </patternFill>
    </fill>
    <fill>
      <patternFill patternType="solid">
        <fgColor rgb="FF136081"/>
        <bgColor indexed="64"/>
      </patternFill>
    </fill>
    <fill>
      <patternFill patternType="solid">
        <fgColor rgb="FF1580A9"/>
        <bgColor indexed="64"/>
      </patternFill>
    </fill>
    <fill>
      <patternFill patternType="solid">
        <fgColor rgb="FF147CA8"/>
        <bgColor indexed="64"/>
      </patternFill>
    </fill>
    <fill>
      <patternFill patternType="solid">
        <fgColor rgb="FF167EA6"/>
        <bgColor indexed="64"/>
      </patternFill>
    </fill>
    <fill>
      <patternFill patternType="solid">
        <fgColor rgb="FF0B7CAF"/>
        <bgColor indexed="64"/>
      </patternFill>
    </fill>
    <fill>
      <patternFill patternType="solid">
        <fgColor rgb="FF3C7B6C"/>
        <bgColor indexed="64"/>
      </patternFill>
    </fill>
    <fill>
      <patternFill patternType="solid">
        <fgColor rgb="FFB9B528"/>
        <bgColor indexed="64"/>
      </patternFill>
    </fill>
    <fill>
      <patternFill patternType="solid">
        <fgColor rgb="FF13697E"/>
        <bgColor indexed="64"/>
      </patternFill>
    </fill>
    <fill>
      <patternFill patternType="solid">
        <fgColor rgb="FF1584B1"/>
        <bgColor indexed="64"/>
      </patternFill>
    </fill>
    <fill>
      <patternFill patternType="solid">
        <fgColor rgb="FF157FA9"/>
        <bgColor indexed="64"/>
      </patternFill>
    </fill>
    <fill>
      <patternFill patternType="solid">
        <fgColor rgb="FF1682AD"/>
        <bgColor indexed="64"/>
      </patternFill>
    </fill>
    <fill>
      <patternFill patternType="solid">
        <fgColor rgb="FF1682AB"/>
        <bgColor indexed="64"/>
      </patternFill>
    </fill>
    <fill>
      <patternFill patternType="solid">
        <fgColor rgb="FF0F7DAD"/>
        <bgColor indexed="64"/>
      </patternFill>
    </fill>
    <fill>
      <patternFill patternType="solid">
        <fgColor rgb="FF336D65"/>
        <bgColor indexed="64"/>
      </patternFill>
    </fill>
    <fill>
      <patternFill patternType="solid">
        <fgColor rgb="FFF3E12B"/>
        <bgColor indexed="64"/>
      </patternFill>
    </fill>
    <fill>
      <patternFill patternType="solid">
        <fgColor rgb="FF447554"/>
        <bgColor indexed="64"/>
      </patternFill>
    </fill>
    <fill>
      <patternFill patternType="solid">
        <fgColor rgb="FF0E7DB3"/>
        <bgColor indexed="64"/>
      </patternFill>
    </fill>
    <fill>
      <patternFill patternType="solid">
        <fgColor rgb="FF156B8F"/>
        <bgColor indexed="64"/>
      </patternFill>
    </fill>
    <fill>
      <patternFill patternType="solid">
        <fgColor rgb="FF136789"/>
        <bgColor indexed="64"/>
      </patternFill>
    </fill>
    <fill>
      <patternFill patternType="solid">
        <fgColor rgb="FF146C90"/>
        <bgColor indexed="64"/>
      </patternFill>
    </fill>
    <fill>
      <patternFill patternType="solid">
        <fgColor rgb="FF13658B"/>
        <bgColor indexed="64"/>
      </patternFill>
    </fill>
    <fill>
      <patternFill patternType="solid">
        <fgColor rgb="FF146180"/>
        <bgColor indexed="64"/>
      </patternFill>
    </fill>
    <fill>
      <patternFill patternType="solid">
        <fgColor rgb="FF0E6C95"/>
        <bgColor indexed="64"/>
      </patternFill>
    </fill>
    <fill>
      <patternFill patternType="solid">
        <fgColor rgb="FF38756F"/>
        <bgColor indexed="64"/>
      </patternFill>
    </fill>
    <fill>
      <patternFill patternType="solid">
        <fgColor rgb="FFC9B72A"/>
        <bgColor indexed="64"/>
      </patternFill>
    </fill>
    <fill>
      <patternFill patternType="solid">
        <fgColor rgb="FF949A2D"/>
        <bgColor indexed="64"/>
      </patternFill>
    </fill>
    <fill>
      <patternFill patternType="solid">
        <fgColor rgb="FF10708C"/>
        <bgColor indexed="64"/>
      </patternFill>
    </fill>
    <fill>
      <patternFill patternType="solid">
        <fgColor rgb="FF1583AC"/>
        <bgColor indexed="64"/>
      </patternFill>
    </fill>
    <fill>
      <patternFill patternType="solid">
        <fgColor rgb="FF156C9B"/>
        <bgColor indexed="64"/>
      </patternFill>
    </fill>
    <fill>
      <patternFill patternType="solid">
        <fgColor rgb="FF0A6796"/>
        <bgColor indexed="64"/>
      </patternFill>
    </fill>
    <fill>
      <patternFill patternType="solid">
        <fgColor rgb="FF125787"/>
        <bgColor indexed="64"/>
      </patternFill>
    </fill>
    <fill>
      <patternFill patternType="solid">
        <fgColor rgb="FFCD4466"/>
        <bgColor indexed="64"/>
      </patternFill>
    </fill>
    <fill>
      <patternFill patternType="solid">
        <fgColor rgb="FFFB486D"/>
        <bgColor indexed="64"/>
      </patternFill>
    </fill>
    <fill>
      <patternFill patternType="solid">
        <fgColor rgb="FFF94768"/>
        <bgColor indexed="64"/>
      </patternFill>
    </fill>
    <fill>
      <patternFill patternType="solid">
        <fgColor rgb="FFF94666"/>
        <bgColor indexed="64"/>
      </patternFill>
    </fill>
    <fill>
      <patternFill patternType="solid">
        <fgColor rgb="FFF64665"/>
        <bgColor indexed="64"/>
      </patternFill>
    </fill>
    <fill>
      <patternFill patternType="solid">
        <fgColor rgb="FFF64668"/>
        <bgColor indexed="64"/>
      </patternFill>
    </fill>
    <fill>
      <patternFill patternType="solid">
        <fgColor rgb="FFF64667"/>
        <bgColor indexed="64"/>
      </patternFill>
    </fill>
    <fill>
      <patternFill patternType="solid">
        <fgColor rgb="FFF94764"/>
        <bgColor indexed="64"/>
      </patternFill>
    </fill>
    <fill>
      <patternFill patternType="solid">
        <fgColor rgb="FFF74666"/>
        <bgColor indexed="64"/>
      </patternFill>
    </fill>
    <fill>
      <patternFill patternType="solid">
        <fgColor rgb="FFF74969"/>
        <bgColor indexed="64"/>
      </patternFill>
    </fill>
    <fill>
      <patternFill patternType="solid">
        <fgColor rgb="FFDB3D5B"/>
        <bgColor indexed="64"/>
      </patternFill>
    </fill>
    <fill>
      <patternFill patternType="solid">
        <fgColor rgb="FFD33A58"/>
        <bgColor indexed="64"/>
      </patternFill>
    </fill>
    <fill>
      <patternFill patternType="solid">
        <fgColor rgb="FFBB3655"/>
        <bgColor indexed="64"/>
      </patternFill>
    </fill>
    <fill>
      <patternFill patternType="solid">
        <fgColor rgb="FF723652"/>
        <bgColor indexed="64"/>
      </patternFill>
    </fill>
    <fill>
      <patternFill patternType="solid">
        <fgColor rgb="FF1C5C79"/>
        <bgColor indexed="64"/>
      </patternFill>
    </fill>
    <fill>
      <patternFill patternType="solid">
        <fgColor rgb="FF0F6E9F"/>
        <bgColor indexed="64"/>
      </patternFill>
    </fill>
    <fill>
      <patternFill patternType="solid">
        <fgColor rgb="FF116E9E"/>
        <bgColor indexed="64"/>
      </patternFill>
    </fill>
    <fill>
      <patternFill patternType="solid">
        <fgColor rgb="FF106F9D"/>
        <bgColor indexed="64"/>
      </patternFill>
    </fill>
    <fill>
      <patternFill patternType="solid">
        <fgColor rgb="FF0F6E9D"/>
        <bgColor indexed="64"/>
      </patternFill>
    </fill>
    <fill>
      <patternFill patternType="solid">
        <fgColor rgb="FF1171A1"/>
        <bgColor indexed="64"/>
      </patternFill>
    </fill>
    <fill>
      <patternFill patternType="solid">
        <fgColor rgb="FF1070A2"/>
        <bgColor indexed="64"/>
      </patternFill>
    </fill>
    <fill>
      <patternFill patternType="solid">
        <fgColor rgb="FF71A036"/>
        <bgColor indexed="64"/>
      </patternFill>
    </fill>
    <fill>
      <patternFill patternType="solid">
        <fgColor rgb="FF77A437"/>
        <bgColor indexed="64"/>
      </patternFill>
    </fill>
    <fill>
      <patternFill patternType="solid">
        <fgColor rgb="FF5F852C"/>
        <bgColor indexed="64"/>
      </patternFill>
    </fill>
    <fill>
      <patternFill patternType="solid">
        <fgColor rgb="FF54601A"/>
        <bgColor indexed="64"/>
      </patternFill>
    </fill>
    <fill>
      <patternFill patternType="solid">
        <fgColor rgb="FF77992D"/>
        <bgColor indexed="64"/>
      </patternFill>
    </fill>
    <fill>
      <patternFill patternType="solid">
        <fgColor rgb="FF4D6926"/>
        <bgColor indexed="64"/>
      </patternFill>
    </fill>
    <fill>
      <patternFill patternType="solid">
        <fgColor rgb="FF3B461D"/>
        <bgColor indexed="64"/>
      </patternFill>
    </fill>
    <fill>
      <patternFill patternType="solid">
        <fgColor rgb="FF76A839"/>
        <bgColor indexed="64"/>
      </patternFill>
    </fill>
    <fill>
      <patternFill patternType="solid">
        <fgColor rgb="FF6B9735"/>
        <bgColor indexed="64"/>
      </patternFill>
    </fill>
    <fill>
      <patternFill patternType="solid">
        <fgColor rgb="FF658F34"/>
        <bgColor indexed="64"/>
      </patternFill>
    </fill>
    <fill>
      <patternFill patternType="solid">
        <fgColor rgb="FF77A83E"/>
        <bgColor indexed="64"/>
      </patternFill>
    </fill>
    <fill>
      <patternFill patternType="solid">
        <fgColor rgb="FF73A03B"/>
        <bgColor indexed="64"/>
      </patternFill>
    </fill>
    <fill>
      <patternFill patternType="solid">
        <fgColor rgb="FF74A23A"/>
        <bgColor indexed="64"/>
      </patternFill>
    </fill>
    <fill>
      <patternFill patternType="solid">
        <fgColor rgb="FF759D3E"/>
        <bgColor indexed="64"/>
      </patternFill>
    </fill>
    <fill>
      <patternFill patternType="solid">
        <fgColor rgb="FF739D40"/>
        <bgColor indexed="64"/>
      </patternFill>
    </fill>
    <fill>
      <patternFill patternType="solid">
        <fgColor rgb="FF333E1A"/>
        <bgColor indexed="64"/>
      </patternFill>
    </fill>
    <fill>
      <patternFill patternType="solid">
        <fgColor rgb="FF261F08"/>
        <bgColor indexed="64"/>
      </patternFill>
    </fill>
    <fill>
      <patternFill patternType="solid">
        <fgColor rgb="FF322C0B"/>
        <bgColor indexed="64"/>
      </patternFill>
    </fill>
    <fill>
      <patternFill patternType="solid">
        <fgColor rgb="FF567032"/>
        <bgColor indexed="64"/>
      </patternFill>
    </fill>
    <fill>
      <patternFill patternType="solid">
        <fgColor rgb="FF7DAB49"/>
        <bgColor indexed="64"/>
      </patternFill>
    </fill>
    <fill>
      <patternFill patternType="solid">
        <fgColor rgb="FF77A342"/>
        <bgColor indexed="64"/>
      </patternFill>
    </fill>
    <fill>
      <patternFill patternType="solid">
        <fgColor rgb="FF77A543"/>
        <bgColor indexed="64"/>
      </patternFill>
    </fill>
    <fill>
      <patternFill patternType="solid">
        <fgColor rgb="FF79AA41"/>
        <bgColor indexed="64"/>
      </patternFill>
    </fill>
    <fill>
      <patternFill patternType="solid">
        <fgColor rgb="FF77A744"/>
        <bgColor indexed="64"/>
      </patternFill>
    </fill>
    <fill>
      <patternFill patternType="solid">
        <fgColor rgb="FF6C923C"/>
        <bgColor indexed="64"/>
      </patternFill>
    </fill>
    <fill>
      <patternFill patternType="solid">
        <fgColor rgb="FF466931"/>
        <bgColor indexed="64"/>
      </patternFill>
    </fill>
    <fill>
      <patternFill patternType="solid">
        <fgColor rgb="FF6C7B32"/>
        <bgColor indexed="64"/>
      </patternFill>
    </fill>
    <fill>
      <patternFill patternType="solid">
        <fgColor rgb="FF4F7D5C"/>
        <bgColor indexed="64"/>
      </patternFill>
    </fill>
    <fill>
      <patternFill patternType="solid">
        <fgColor rgb="FF065B8A"/>
        <bgColor indexed="64"/>
      </patternFill>
    </fill>
    <fill>
      <patternFill patternType="solid">
        <fgColor rgb="FF177499"/>
        <bgColor indexed="64"/>
      </patternFill>
    </fill>
    <fill>
      <patternFill patternType="solid">
        <fgColor rgb="FF177195"/>
        <bgColor indexed="64"/>
      </patternFill>
    </fill>
    <fill>
      <patternFill patternType="solid">
        <fgColor rgb="FF115473"/>
        <bgColor indexed="64"/>
      </patternFill>
    </fill>
    <fill>
      <patternFill patternType="solid">
        <fgColor rgb="FF147CA9"/>
        <bgColor indexed="64"/>
      </patternFill>
    </fill>
    <fill>
      <patternFill patternType="solid">
        <fgColor rgb="FF157CA6"/>
        <bgColor indexed="64"/>
      </patternFill>
    </fill>
    <fill>
      <patternFill patternType="solid">
        <fgColor rgb="FF147DA5"/>
        <bgColor indexed="64"/>
      </patternFill>
    </fill>
    <fill>
      <patternFill patternType="solid">
        <fgColor rgb="FF157EA5"/>
        <bgColor indexed="64"/>
      </patternFill>
    </fill>
    <fill>
      <patternFill patternType="solid">
        <fgColor rgb="FF157A9F"/>
        <bgColor indexed="64"/>
      </patternFill>
    </fill>
    <fill>
      <patternFill patternType="solid">
        <fgColor rgb="FF147FA6"/>
        <bgColor indexed="64"/>
      </patternFill>
    </fill>
    <fill>
      <patternFill patternType="solid">
        <fgColor rgb="FF137EA7"/>
        <bgColor indexed="64"/>
      </patternFill>
    </fill>
    <fill>
      <patternFill patternType="solid">
        <fgColor rgb="FF1680A6"/>
        <bgColor indexed="64"/>
      </patternFill>
    </fill>
    <fill>
      <patternFill patternType="solid">
        <fgColor rgb="FF0573AA"/>
        <bgColor indexed="64"/>
      </patternFill>
    </fill>
    <fill>
      <patternFill patternType="solid">
        <fgColor rgb="FF6C8F53"/>
        <bgColor indexed="64"/>
      </patternFill>
    </fill>
    <fill>
      <patternFill patternType="solid">
        <fgColor rgb="FF99A134"/>
        <bgColor indexed="64"/>
      </patternFill>
    </fill>
    <fill>
      <patternFill patternType="solid">
        <fgColor rgb="FF065780"/>
        <bgColor indexed="64"/>
      </patternFill>
    </fill>
    <fill>
      <patternFill patternType="solid">
        <fgColor rgb="FF126185"/>
        <bgColor indexed="64"/>
      </patternFill>
    </fill>
    <fill>
      <patternFill patternType="solid">
        <fgColor rgb="FF11678F"/>
        <bgColor indexed="64"/>
      </patternFill>
    </fill>
    <fill>
      <patternFill patternType="solid">
        <fgColor rgb="FF13769D"/>
        <bgColor indexed="64"/>
      </patternFill>
    </fill>
    <fill>
      <patternFill patternType="solid">
        <fgColor rgb="FF1682A7"/>
        <bgColor indexed="64"/>
      </patternFill>
    </fill>
    <fill>
      <patternFill patternType="solid">
        <fgColor rgb="FF0C79AC"/>
        <bgColor indexed="64"/>
      </patternFill>
    </fill>
    <fill>
      <patternFill patternType="solid">
        <fgColor rgb="FF3B6D59"/>
        <bgColor indexed="64"/>
      </patternFill>
    </fill>
    <fill>
      <patternFill patternType="solid">
        <fgColor rgb="FFFAE92D"/>
        <bgColor indexed="64"/>
      </patternFill>
    </fill>
    <fill>
      <patternFill patternType="solid">
        <fgColor rgb="FF3F694C"/>
        <bgColor indexed="64"/>
      </patternFill>
    </fill>
    <fill>
      <patternFill patternType="solid">
        <fgColor rgb="FF0A6496"/>
        <bgColor indexed="64"/>
      </patternFill>
    </fill>
    <fill>
      <patternFill patternType="solid">
        <fgColor rgb="FF146E95"/>
        <bgColor indexed="64"/>
      </patternFill>
    </fill>
    <fill>
      <patternFill patternType="solid">
        <fgColor rgb="FF137099"/>
        <bgColor indexed="64"/>
      </patternFill>
    </fill>
    <fill>
      <patternFill patternType="solid">
        <fgColor rgb="FF1377A1"/>
        <bgColor indexed="64"/>
      </patternFill>
    </fill>
    <fill>
      <patternFill patternType="solid">
        <fgColor rgb="FF1480AB"/>
        <bgColor indexed="64"/>
      </patternFill>
    </fill>
    <fill>
      <patternFill patternType="solid">
        <fgColor rgb="FF1887AD"/>
        <bgColor indexed="64"/>
      </patternFill>
    </fill>
    <fill>
      <patternFill patternType="solid">
        <fgColor rgb="FF1086B6"/>
        <bgColor indexed="64"/>
      </patternFill>
    </fill>
    <fill>
      <patternFill patternType="solid">
        <fgColor rgb="FF327168"/>
        <bgColor indexed="64"/>
      </patternFill>
    </fill>
    <fill>
      <patternFill patternType="solid">
        <fgColor rgb="FFFFF130"/>
        <bgColor indexed="64"/>
      </patternFill>
    </fill>
    <fill>
      <patternFill patternType="solid">
        <fgColor rgb="FFA4AF36"/>
        <bgColor indexed="64"/>
      </patternFill>
    </fill>
    <fill>
      <patternFill patternType="solid">
        <fgColor rgb="FF0A7098"/>
        <bgColor indexed="64"/>
      </patternFill>
    </fill>
    <fill>
      <patternFill patternType="solid">
        <fgColor rgb="FF1786B1"/>
        <bgColor indexed="64"/>
      </patternFill>
    </fill>
    <fill>
      <patternFill patternType="solid">
        <fgColor rgb="FF1382AE"/>
        <bgColor indexed="64"/>
      </patternFill>
    </fill>
    <fill>
      <patternFill patternType="solid">
        <fgColor rgb="FF176695"/>
        <bgColor indexed="64"/>
      </patternFill>
    </fill>
    <fill>
      <patternFill patternType="solid">
        <fgColor rgb="FF753F5C"/>
        <bgColor indexed="64"/>
      </patternFill>
    </fill>
    <fill>
      <patternFill patternType="solid">
        <fgColor rgb="FF392F49"/>
        <bgColor indexed="64"/>
      </patternFill>
    </fill>
    <fill>
      <patternFill patternType="solid">
        <fgColor rgb="FF9B2F42"/>
        <bgColor indexed="64"/>
      </patternFill>
    </fill>
    <fill>
      <patternFill patternType="solid">
        <fgColor rgb="FFFF4D6F"/>
        <bgColor indexed="64"/>
      </patternFill>
    </fill>
    <fill>
      <patternFill patternType="solid">
        <fgColor rgb="FFF44666"/>
        <bgColor indexed="64"/>
      </patternFill>
    </fill>
    <fill>
      <patternFill patternType="solid">
        <fgColor rgb="FFF84667"/>
        <bgColor indexed="64"/>
      </patternFill>
    </fill>
    <fill>
      <patternFill patternType="solid">
        <fgColor rgb="FFF74667"/>
        <bgColor indexed="64"/>
      </patternFill>
    </fill>
    <fill>
      <patternFill patternType="solid">
        <fgColor rgb="FFF74664"/>
        <bgColor indexed="64"/>
      </patternFill>
    </fill>
    <fill>
      <patternFill patternType="solid">
        <fgColor rgb="FFF74663"/>
        <bgColor indexed="64"/>
      </patternFill>
    </fill>
    <fill>
      <patternFill patternType="solid">
        <fgColor rgb="FFF04462"/>
        <bgColor indexed="64"/>
      </patternFill>
    </fill>
    <fill>
      <patternFill patternType="solid">
        <fgColor rgb="FFF14565"/>
        <bgColor indexed="64"/>
      </patternFill>
    </fill>
    <fill>
      <patternFill patternType="solid">
        <fgColor rgb="FFF34567"/>
        <bgColor indexed="64"/>
      </patternFill>
    </fill>
    <fill>
      <patternFill patternType="solid">
        <fgColor rgb="FFEE4365"/>
        <bgColor indexed="64"/>
      </patternFill>
    </fill>
    <fill>
      <patternFill patternType="solid">
        <fgColor rgb="FF59344D"/>
        <bgColor indexed="64"/>
      </patternFill>
    </fill>
    <fill>
      <patternFill patternType="solid">
        <fgColor rgb="FF036C8A"/>
        <bgColor indexed="64"/>
      </patternFill>
    </fill>
    <fill>
      <patternFill patternType="solid">
        <fgColor rgb="FF137BA4"/>
        <bgColor indexed="64"/>
      </patternFill>
    </fill>
    <fill>
      <patternFill patternType="solid">
        <fgColor rgb="FF0F6EA0"/>
        <bgColor indexed="64"/>
      </patternFill>
    </fill>
    <fill>
      <patternFill patternType="solid">
        <fgColor rgb="FF106D9E"/>
        <bgColor indexed="64"/>
      </patternFill>
    </fill>
    <fill>
      <patternFill patternType="solid">
        <fgColor rgb="FF1070A0"/>
        <bgColor indexed="64"/>
      </patternFill>
    </fill>
    <fill>
      <patternFill patternType="solid">
        <fgColor rgb="FF116F9E"/>
        <bgColor indexed="64"/>
      </patternFill>
    </fill>
    <fill>
      <patternFill patternType="solid">
        <fgColor rgb="FF1172A0"/>
        <bgColor indexed="64"/>
      </patternFill>
    </fill>
    <fill>
      <patternFill patternType="solid">
        <fgColor rgb="FF709F36"/>
        <bgColor indexed="64"/>
      </patternFill>
    </fill>
    <fill>
      <patternFill patternType="solid">
        <fgColor rgb="FF72A036"/>
        <bgColor indexed="64"/>
      </patternFill>
    </fill>
    <fill>
      <patternFill patternType="solid">
        <fgColor rgb="FF658C2D"/>
        <bgColor indexed="64"/>
      </patternFill>
    </fill>
    <fill>
      <patternFill patternType="solid">
        <fgColor rgb="FF6F9B31"/>
        <bgColor indexed="64"/>
      </patternFill>
    </fill>
    <fill>
      <patternFill patternType="solid">
        <fgColor rgb="FF73A538"/>
        <bgColor indexed="64"/>
      </patternFill>
    </fill>
    <fill>
      <patternFill patternType="solid">
        <fgColor rgb="FF778A2E"/>
        <bgColor indexed="64"/>
      </patternFill>
    </fill>
    <fill>
      <patternFill patternType="solid">
        <fgColor rgb="FF8E9736"/>
        <bgColor indexed="64"/>
      </patternFill>
    </fill>
    <fill>
      <patternFill patternType="solid">
        <fgColor rgb="FF6C9B34"/>
        <bgColor indexed="64"/>
      </patternFill>
    </fill>
    <fill>
      <patternFill patternType="solid">
        <fgColor rgb="FF71A136"/>
        <bgColor indexed="64"/>
      </patternFill>
    </fill>
    <fill>
      <patternFill patternType="solid">
        <fgColor rgb="FF77A638"/>
        <bgColor indexed="64"/>
      </patternFill>
    </fill>
    <fill>
      <patternFill patternType="solid">
        <fgColor rgb="FF75A43A"/>
        <bgColor indexed="64"/>
      </patternFill>
    </fill>
    <fill>
      <patternFill patternType="solid">
        <fgColor rgb="FF74A339"/>
        <bgColor indexed="64"/>
      </patternFill>
    </fill>
    <fill>
      <patternFill patternType="solid">
        <fgColor rgb="FF6A9736"/>
        <bgColor indexed="64"/>
      </patternFill>
    </fill>
    <fill>
      <patternFill patternType="solid">
        <fgColor rgb="FF5B832E"/>
        <bgColor indexed="64"/>
      </patternFill>
    </fill>
    <fill>
      <patternFill patternType="solid">
        <fgColor rgb="FF679034"/>
        <bgColor indexed="64"/>
      </patternFill>
    </fill>
    <fill>
      <patternFill patternType="solid">
        <fgColor rgb="FF679038"/>
        <bgColor indexed="64"/>
      </patternFill>
    </fill>
    <fill>
      <patternFill patternType="solid">
        <fgColor rgb="FF1B220B"/>
        <bgColor indexed="64"/>
      </patternFill>
    </fill>
    <fill>
      <patternFill patternType="solid">
        <fgColor rgb="FF524B18"/>
        <bgColor indexed="64"/>
      </patternFill>
    </fill>
    <fill>
      <patternFill patternType="solid">
        <fgColor rgb="FF36310B"/>
        <bgColor indexed="64"/>
      </patternFill>
    </fill>
    <fill>
      <patternFill patternType="solid">
        <fgColor rgb="FF3E5527"/>
        <bgColor indexed="64"/>
      </patternFill>
    </fill>
    <fill>
      <patternFill patternType="solid">
        <fgColor rgb="FF658D37"/>
        <bgColor indexed="64"/>
      </patternFill>
    </fill>
    <fill>
      <patternFill patternType="solid">
        <fgColor rgb="FF6E973E"/>
        <bgColor indexed="64"/>
      </patternFill>
    </fill>
    <fill>
      <patternFill patternType="solid">
        <fgColor rgb="FF6E9B3D"/>
        <bgColor indexed="64"/>
      </patternFill>
    </fill>
    <fill>
      <patternFill patternType="solid">
        <fgColor rgb="FF6D993D"/>
        <bgColor indexed="64"/>
      </patternFill>
    </fill>
    <fill>
      <patternFill patternType="solid">
        <fgColor rgb="FF415A24"/>
        <bgColor indexed="64"/>
      </patternFill>
    </fill>
    <fill>
      <patternFill patternType="solid">
        <fgColor rgb="FF193125"/>
        <bgColor indexed="64"/>
      </patternFill>
    </fill>
    <fill>
      <patternFill patternType="solid">
        <fgColor rgb="FF07526E"/>
        <bgColor indexed="64"/>
      </patternFill>
    </fill>
    <fill>
      <patternFill patternType="solid">
        <fgColor rgb="FF497D60"/>
        <bgColor indexed="64"/>
      </patternFill>
    </fill>
    <fill>
      <patternFill patternType="solid">
        <fgColor rgb="FF557F5B"/>
        <bgColor indexed="64"/>
      </patternFill>
    </fill>
    <fill>
      <patternFill patternType="solid">
        <fgColor rgb="FF074E71"/>
        <bgColor indexed="64"/>
      </patternFill>
    </fill>
    <fill>
      <patternFill patternType="solid">
        <fgColor rgb="FF177AA2"/>
        <bgColor indexed="64"/>
      </patternFill>
    </fill>
    <fill>
      <patternFill patternType="solid">
        <fgColor rgb="FF167FA8"/>
        <bgColor indexed="64"/>
      </patternFill>
    </fill>
    <fill>
      <patternFill patternType="solid">
        <fgColor rgb="FF115E7B"/>
        <bgColor indexed="64"/>
      </patternFill>
    </fill>
    <fill>
      <patternFill patternType="solid">
        <fgColor rgb="FF137194"/>
        <bgColor indexed="64"/>
      </patternFill>
    </fill>
    <fill>
      <patternFill patternType="solid">
        <fgColor rgb="FF1580AA"/>
        <bgColor indexed="64"/>
      </patternFill>
    </fill>
    <fill>
      <patternFill patternType="solid">
        <fgColor rgb="FF147FA7"/>
        <bgColor indexed="64"/>
      </patternFill>
    </fill>
    <fill>
      <patternFill patternType="solid">
        <fgColor rgb="FF147EA6"/>
        <bgColor indexed="64"/>
      </patternFill>
    </fill>
    <fill>
      <patternFill patternType="solid">
        <fgColor rgb="FF147DA7"/>
        <bgColor indexed="64"/>
      </patternFill>
    </fill>
    <fill>
      <patternFill patternType="solid">
        <fgColor rgb="FF137FA7"/>
        <bgColor indexed="64"/>
      </patternFill>
    </fill>
    <fill>
      <patternFill patternType="solid">
        <fgColor rgb="FF167FA9"/>
        <bgColor indexed="64"/>
      </patternFill>
    </fill>
    <fill>
      <patternFill patternType="solid">
        <fgColor rgb="FF10739D"/>
        <bgColor indexed="64"/>
      </patternFill>
    </fill>
    <fill>
      <patternFill patternType="solid">
        <fgColor rgb="FF28321E"/>
        <bgColor indexed="64"/>
      </patternFill>
    </fill>
    <fill>
      <patternFill patternType="solid">
        <fgColor rgb="FF3B5A3B"/>
        <bgColor indexed="64"/>
      </patternFill>
    </fill>
    <fill>
      <patternFill patternType="solid">
        <fgColor rgb="FF14769A"/>
        <bgColor indexed="64"/>
      </patternFill>
    </fill>
    <fill>
      <patternFill patternType="solid">
        <fgColor rgb="FF14799F"/>
        <bgColor indexed="64"/>
      </patternFill>
    </fill>
    <fill>
      <patternFill patternType="solid">
        <fgColor rgb="FF1582A9"/>
        <bgColor indexed="64"/>
      </patternFill>
    </fill>
    <fill>
      <patternFill patternType="solid">
        <fgColor rgb="FF1886AF"/>
        <bgColor indexed="64"/>
      </patternFill>
    </fill>
    <fill>
      <patternFill patternType="solid">
        <fgColor rgb="FF0A7AAF"/>
        <bgColor indexed="64"/>
      </patternFill>
    </fill>
    <fill>
      <patternFill patternType="solid">
        <fgColor rgb="FF507F5A"/>
        <bgColor indexed="64"/>
      </patternFill>
    </fill>
    <fill>
      <patternFill patternType="solid">
        <fgColor rgb="FFF8E82E"/>
        <bgColor indexed="64"/>
      </patternFill>
    </fill>
    <fill>
      <patternFill patternType="solid">
        <fgColor rgb="FF3E7255"/>
        <bgColor indexed="64"/>
      </patternFill>
    </fill>
    <fill>
      <patternFill patternType="solid">
        <fgColor rgb="FF0D719D"/>
        <bgColor indexed="64"/>
      </patternFill>
    </fill>
    <fill>
      <patternFill patternType="solid">
        <fgColor rgb="FF156A8A"/>
        <bgColor indexed="64"/>
      </patternFill>
    </fill>
    <fill>
      <patternFill patternType="solid">
        <fgColor rgb="FF125F80"/>
        <bgColor indexed="64"/>
      </patternFill>
    </fill>
    <fill>
      <patternFill patternType="solid">
        <fgColor rgb="FF116386"/>
        <bgColor indexed="64"/>
      </patternFill>
    </fill>
    <fill>
      <patternFill patternType="solid">
        <fgColor rgb="FF147AA3"/>
        <bgColor indexed="64"/>
      </patternFill>
    </fill>
    <fill>
      <patternFill patternType="solid">
        <fgColor rgb="FF1682AA"/>
        <bgColor indexed="64"/>
      </patternFill>
    </fill>
    <fill>
      <patternFill patternType="solid">
        <fgColor rgb="FF0E7EB0"/>
        <bgColor indexed="64"/>
      </patternFill>
    </fill>
    <fill>
      <patternFill patternType="solid">
        <fgColor rgb="FF316A60"/>
        <bgColor indexed="64"/>
      </patternFill>
    </fill>
    <fill>
      <patternFill patternType="solid">
        <fgColor rgb="FFFAE82E"/>
        <bgColor indexed="64"/>
      </patternFill>
    </fill>
    <fill>
      <patternFill patternType="solid">
        <fgColor rgb="FF8E9C35"/>
        <bgColor indexed="64"/>
      </patternFill>
    </fill>
    <fill>
      <patternFill patternType="solid">
        <fgColor rgb="FF096D97"/>
        <bgColor indexed="64"/>
      </patternFill>
    </fill>
    <fill>
      <patternFill patternType="solid">
        <fgColor rgb="FF1683B1"/>
        <bgColor indexed="64"/>
      </patternFill>
    </fill>
    <fill>
      <patternFill patternType="solid">
        <fgColor rgb="FF1578A8"/>
        <bgColor indexed="64"/>
      </patternFill>
    </fill>
    <fill>
      <patternFill patternType="solid">
        <fgColor rgb="FF036A9C"/>
        <bgColor indexed="64"/>
      </patternFill>
    </fill>
    <fill>
      <patternFill patternType="solid">
        <fgColor rgb="FF734667"/>
        <bgColor indexed="64"/>
      </patternFill>
    </fill>
    <fill>
      <patternFill patternType="solid">
        <fgColor rgb="FFFC4965"/>
        <bgColor indexed="64"/>
      </patternFill>
    </fill>
    <fill>
      <patternFill patternType="solid">
        <fgColor rgb="FFE84764"/>
        <bgColor indexed="64"/>
      </patternFill>
    </fill>
    <fill>
      <patternFill patternType="solid">
        <fgColor rgb="FFF6486A"/>
        <bgColor indexed="64"/>
      </patternFill>
    </fill>
    <fill>
      <patternFill patternType="solid">
        <fgColor rgb="FFF64769"/>
        <bgColor indexed="64"/>
      </patternFill>
    </fill>
    <fill>
      <patternFill patternType="solid">
        <fgColor rgb="FFF64466"/>
        <bgColor indexed="64"/>
      </patternFill>
    </fill>
    <fill>
      <patternFill patternType="solid">
        <fgColor rgb="FFF94668"/>
        <bgColor indexed="64"/>
      </patternFill>
    </fill>
    <fill>
      <patternFill patternType="solid">
        <fgColor rgb="FFF74563"/>
        <bgColor indexed="64"/>
      </patternFill>
    </fill>
    <fill>
      <patternFill patternType="solid">
        <fgColor rgb="FFF64563"/>
        <bgColor indexed="64"/>
      </patternFill>
    </fill>
    <fill>
      <patternFill patternType="solid">
        <fgColor rgb="FFF64564"/>
        <bgColor indexed="64"/>
      </patternFill>
    </fill>
    <fill>
      <patternFill patternType="solid">
        <fgColor rgb="FFEC4262"/>
        <bgColor indexed="64"/>
      </patternFill>
    </fill>
    <fill>
      <patternFill patternType="solid">
        <fgColor rgb="FFEB4163"/>
        <bgColor indexed="64"/>
      </patternFill>
    </fill>
    <fill>
      <patternFill patternType="solid">
        <fgColor rgb="FF952844"/>
        <bgColor indexed="64"/>
      </patternFill>
    </fill>
    <fill>
      <patternFill patternType="solid">
        <fgColor rgb="FFC73752"/>
        <bgColor indexed="64"/>
      </patternFill>
    </fill>
    <fill>
      <patternFill patternType="solid">
        <fgColor rgb="FFBF385B"/>
        <bgColor indexed="64"/>
      </patternFill>
    </fill>
    <fill>
      <patternFill patternType="solid">
        <fgColor rgb="FF145773"/>
        <bgColor indexed="64"/>
      </patternFill>
    </fill>
    <fill>
      <patternFill patternType="solid">
        <fgColor rgb="FF1178A2"/>
        <bgColor indexed="64"/>
      </patternFill>
    </fill>
    <fill>
      <patternFill patternType="solid">
        <fgColor rgb="FF11709D"/>
        <bgColor indexed="64"/>
      </patternFill>
    </fill>
    <fill>
      <patternFill patternType="solid">
        <fgColor rgb="FF106C9F"/>
        <bgColor indexed="64"/>
      </patternFill>
    </fill>
    <fill>
      <patternFill patternType="solid">
        <fgColor rgb="FF106E9E"/>
        <bgColor indexed="64"/>
      </patternFill>
    </fill>
    <fill>
      <patternFill patternType="solid">
        <fgColor rgb="FF0F6D9D"/>
        <bgColor indexed="64"/>
      </patternFill>
    </fill>
    <fill>
      <patternFill patternType="solid">
        <fgColor rgb="FF6E9E34"/>
        <bgColor indexed="64"/>
      </patternFill>
    </fill>
    <fill>
      <patternFill patternType="solid">
        <fgColor rgb="FF6B9B33"/>
        <bgColor indexed="64"/>
      </patternFill>
    </fill>
    <fill>
      <patternFill patternType="solid">
        <fgColor rgb="FF72A133"/>
        <bgColor indexed="64"/>
      </patternFill>
    </fill>
    <fill>
      <patternFill patternType="solid">
        <fgColor rgb="FF72A035"/>
        <bgColor indexed="64"/>
      </patternFill>
    </fill>
    <fill>
      <patternFill patternType="solid">
        <fgColor rgb="FF70A136"/>
        <bgColor indexed="64"/>
      </patternFill>
    </fill>
    <fill>
      <patternFill patternType="solid">
        <fgColor rgb="FF5F7628"/>
        <bgColor indexed="64"/>
      </patternFill>
    </fill>
    <fill>
      <patternFill patternType="solid">
        <fgColor rgb="FF5A6321"/>
        <bgColor indexed="64"/>
      </patternFill>
    </fill>
    <fill>
      <patternFill patternType="solid">
        <fgColor rgb="FF6F9E37"/>
        <bgColor indexed="64"/>
      </patternFill>
    </fill>
    <fill>
      <patternFill patternType="solid">
        <fgColor rgb="FF6F9E36"/>
        <bgColor indexed="64"/>
      </patternFill>
    </fill>
    <fill>
      <patternFill patternType="solid">
        <fgColor rgb="FF71A037"/>
        <bgColor indexed="64"/>
      </patternFill>
    </fill>
    <fill>
      <patternFill patternType="solid">
        <fgColor rgb="FF72A039"/>
        <bgColor indexed="64"/>
      </patternFill>
    </fill>
    <fill>
      <patternFill patternType="solid">
        <fgColor rgb="FF72A33A"/>
        <bgColor indexed="64"/>
      </patternFill>
    </fill>
    <fill>
      <patternFill patternType="solid">
        <fgColor rgb="FF6A9A34"/>
        <bgColor indexed="64"/>
      </patternFill>
    </fill>
    <fill>
      <patternFill patternType="solid">
        <fgColor rgb="FF6A9635"/>
        <bgColor indexed="64"/>
      </patternFill>
    </fill>
    <fill>
      <patternFill patternType="solid">
        <fgColor rgb="FF6D9936"/>
        <bgColor indexed="64"/>
      </patternFill>
    </fill>
    <fill>
      <patternFill patternType="solid">
        <fgColor rgb="FF618A31"/>
        <bgColor indexed="64"/>
      </patternFill>
    </fill>
    <fill>
      <patternFill patternType="solid">
        <fgColor rgb="FF5F8334"/>
        <bgColor indexed="64"/>
      </patternFill>
    </fill>
    <fill>
      <patternFill patternType="solid">
        <fgColor rgb="FF4E4F20"/>
        <bgColor indexed="64"/>
      </patternFill>
    </fill>
    <fill>
      <patternFill patternType="solid">
        <fgColor rgb="FFA49931"/>
        <bgColor indexed="64"/>
      </patternFill>
    </fill>
    <fill>
      <patternFill patternType="solid">
        <fgColor rgb="FF8B8421"/>
        <bgColor indexed="64"/>
      </patternFill>
    </fill>
    <fill>
      <patternFill patternType="solid">
        <fgColor rgb="FF475D28"/>
        <bgColor indexed="64"/>
      </patternFill>
    </fill>
    <fill>
      <patternFill patternType="solid">
        <fgColor rgb="FF6E9C3E"/>
        <bgColor indexed="64"/>
      </patternFill>
    </fill>
    <fill>
      <patternFill patternType="solid">
        <fgColor rgb="FF658F37"/>
        <bgColor indexed="64"/>
      </patternFill>
    </fill>
    <fill>
      <patternFill patternType="solid">
        <fgColor rgb="FF608A35"/>
        <bgColor indexed="64"/>
      </patternFill>
    </fill>
    <fill>
      <patternFill patternType="solid">
        <fgColor rgb="FF2F431B"/>
        <bgColor indexed="64"/>
      </patternFill>
    </fill>
    <fill>
      <patternFill patternType="solid">
        <fgColor rgb="FF103E46"/>
        <bgColor indexed="64"/>
      </patternFill>
    </fill>
    <fill>
      <patternFill patternType="solid">
        <fgColor rgb="FF147398"/>
        <bgColor indexed="64"/>
      </patternFill>
    </fill>
    <fill>
      <patternFill patternType="solid">
        <fgColor rgb="FF127FAB"/>
        <bgColor indexed="64"/>
      </patternFill>
    </fill>
    <fill>
      <patternFill patternType="solid">
        <fgColor rgb="FF215B5E"/>
        <bgColor indexed="64"/>
      </patternFill>
    </fill>
    <fill>
      <patternFill patternType="solid">
        <fgColor rgb="FF294D44"/>
        <bgColor indexed="64"/>
      </patternFill>
    </fill>
    <fill>
      <patternFill patternType="solid">
        <fgColor rgb="FF147192"/>
        <bgColor indexed="64"/>
      </patternFill>
    </fill>
    <fill>
      <patternFill patternType="solid">
        <fgColor rgb="FF115A77"/>
        <bgColor indexed="64"/>
      </patternFill>
    </fill>
    <fill>
      <patternFill patternType="solid">
        <fgColor rgb="FF136F94"/>
        <bgColor indexed="64"/>
      </patternFill>
    </fill>
    <fill>
      <patternFill patternType="solid">
        <fgColor rgb="FF1687B0"/>
        <bgColor indexed="64"/>
      </patternFill>
    </fill>
    <fill>
      <patternFill patternType="solid">
        <fgColor rgb="FF147BA4"/>
        <bgColor indexed="64"/>
      </patternFill>
    </fill>
    <fill>
      <patternFill patternType="solid">
        <fgColor rgb="FF157BA7"/>
        <bgColor indexed="64"/>
      </patternFill>
    </fill>
    <fill>
      <patternFill patternType="solid">
        <fgColor rgb="FF157EA8"/>
        <bgColor indexed="64"/>
      </patternFill>
    </fill>
    <fill>
      <patternFill patternType="solid">
        <fgColor rgb="FF147FA8"/>
        <bgColor indexed="64"/>
      </patternFill>
    </fill>
    <fill>
      <patternFill patternType="solid">
        <fgColor rgb="FF1481AC"/>
        <bgColor indexed="64"/>
      </patternFill>
    </fill>
    <fill>
      <patternFill patternType="solid">
        <fgColor rgb="FF147FAB"/>
        <bgColor indexed="64"/>
      </patternFill>
    </fill>
    <fill>
      <patternFill patternType="solid">
        <fgColor rgb="FF156783"/>
        <bgColor indexed="64"/>
      </patternFill>
    </fill>
    <fill>
      <patternFill patternType="solid">
        <fgColor rgb="FF69641E"/>
        <bgColor indexed="64"/>
      </patternFill>
    </fill>
    <fill>
      <patternFill patternType="solid">
        <fgColor rgb="FF31695B"/>
        <bgColor indexed="64"/>
      </patternFill>
    </fill>
    <fill>
      <patternFill patternType="solid">
        <fgColor rgb="FF0E78A7"/>
        <bgColor indexed="64"/>
      </patternFill>
    </fill>
    <fill>
      <patternFill patternType="solid">
        <fgColor rgb="FF105F85"/>
        <bgColor indexed="64"/>
      </patternFill>
    </fill>
    <fill>
      <patternFill patternType="solid">
        <fgColor rgb="FF105E86"/>
        <bgColor indexed="64"/>
      </patternFill>
    </fill>
    <fill>
      <patternFill patternType="solid">
        <fgColor rgb="FF11658C"/>
        <bgColor indexed="64"/>
      </patternFill>
    </fill>
    <fill>
      <patternFill patternType="solid">
        <fgColor rgb="FF126286"/>
        <bgColor indexed="64"/>
      </patternFill>
    </fill>
    <fill>
      <patternFill patternType="solid">
        <fgColor rgb="FF0C6592"/>
        <bgColor indexed="64"/>
      </patternFill>
    </fill>
    <fill>
      <patternFill patternType="solid">
        <fgColor rgb="FF3A675A"/>
        <bgColor indexed="64"/>
      </patternFill>
    </fill>
    <fill>
      <patternFill patternType="solid">
        <fgColor rgb="FFAFA027"/>
        <bgColor indexed="64"/>
      </patternFill>
    </fill>
    <fill>
      <patternFill patternType="solid">
        <fgColor rgb="FF498866"/>
        <bgColor indexed="64"/>
      </patternFill>
    </fill>
    <fill>
      <patternFill patternType="solid">
        <fgColor rgb="FF0B73A7"/>
        <bgColor indexed="64"/>
      </patternFill>
    </fill>
    <fill>
      <patternFill patternType="solid">
        <fgColor rgb="FF136D97"/>
        <bgColor indexed="64"/>
      </patternFill>
    </fill>
    <fill>
      <patternFill patternType="solid">
        <fgColor rgb="FF147AA6"/>
        <bgColor indexed="64"/>
      </patternFill>
    </fill>
    <fill>
      <patternFill patternType="solid">
        <fgColor rgb="FF1685B0"/>
        <bgColor indexed="64"/>
      </patternFill>
    </fill>
    <fill>
      <patternFill patternType="solid">
        <fgColor rgb="FF11749F"/>
        <bgColor indexed="64"/>
      </patternFill>
    </fill>
    <fill>
      <patternFill patternType="solid">
        <fgColor rgb="FF137299"/>
        <bgColor indexed="64"/>
      </patternFill>
    </fill>
    <fill>
      <patternFill patternType="solid">
        <fgColor rgb="FF0B7AAD"/>
        <bgColor indexed="64"/>
      </patternFill>
    </fill>
    <fill>
      <patternFill patternType="solid">
        <fgColor rgb="FF487B5B"/>
        <bgColor indexed="64"/>
      </patternFill>
    </fill>
    <fill>
      <patternFill patternType="solid">
        <fgColor rgb="FFE6D02C"/>
        <bgColor indexed="64"/>
      </patternFill>
    </fill>
    <fill>
      <patternFill patternType="solid">
        <fgColor rgb="FF778635"/>
        <bgColor indexed="64"/>
      </patternFill>
    </fill>
    <fill>
      <patternFill patternType="solid">
        <fgColor rgb="FF0F7298"/>
        <bgColor indexed="64"/>
      </patternFill>
    </fill>
    <fill>
      <patternFill patternType="solid">
        <fgColor rgb="FF1681AD"/>
        <bgColor indexed="64"/>
      </patternFill>
    </fill>
    <fill>
      <patternFill patternType="solid">
        <fgColor rgb="FF253452"/>
        <bgColor indexed="64"/>
      </patternFill>
    </fill>
    <fill>
      <patternFill patternType="solid">
        <fgColor rgb="FF123B58"/>
        <bgColor indexed="64"/>
      </patternFill>
    </fill>
    <fill>
      <patternFill patternType="solid">
        <fgColor rgb="FF752840"/>
        <bgColor indexed="64"/>
      </patternFill>
    </fill>
    <fill>
      <patternFill patternType="solid">
        <fgColor rgb="FFF44766"/>
        <bgColor indexed="64"/>
      </patternFill>
    </fill>
    <fill>
      <patternFill patternType="solid">
        <fgColor rgb="FFF64969"/>
        <bgColor indexed="64"/>
      </patternFill>
    </fill>
    <fill>
      <patternFill patternType="solid">
        <fgColor rgb="FFF44767"/>
        <bgColor indexed="64"/>
      </patternFill>
    </fill>
    <fill>
      <patternFill patternType="solid">
        <fgColor rgb="FFF34462"/>
        <bgColor indexed="64"/>
      </patternFill>
    </fill>
    <fill>
      <patternFill patternType="solid">
        <fgColor rgb="FFFA4666"/>
        <bgColor indexed="64"/>
      </patternFill>
    </fill>
    <fill>
      <patternFill patternType="solid">
        <fgColor rgb="FFCE3959"/>
        <bgColor indexed="64"/>
      </patternFill>
    </fill>
    <fill>
      <patternFill patternType="solid">
        <fgColor rgb="FFA52B41"/>
        <bgColor indexed="64"/>
      </patternFill>
    </fill>
    <fill>
      <patternFill patternType="solid">
        <fgColor rgb="FFEC4261"/>
        <bgColor indexed="64"/>
      </patternFill>
    </fill>
    <fill>
      <patternFill patternType="solid">
        <fgColor rgb="FF6D263C"/>
        <bgColor indexed="64"/>
      </patternFill>
    </fill>
    <fill>
      <patternFill patternType="solid">
        <fgColor rgb="FF2F3C52"/>
        <bgColor indexed="64"/>
      </patternFill>
    </fill>
    <fill>
      <patternFill patternType="solid">
        <fgColor rgb="FFA73D5D"/>
        <bgColor indexed="64"/>
      </patternFill>
    </fill>
    <fill>
      <patternFill patternType="solid">
        <fgColor rgb="FF2C4C67"/>
        <bgColor indexed="64"/>
      </patternFill>
    </fill>
    <fill>
      <patternFill patternType="solid">
        <fgColor rgb="FF0B76A1"/>
        <bgColor indexed="64"/>
      </patternFill>
    </fill>
    <fill>
      <patternFill patternType="solid">
        <fgColor rgb="FF116F9A"/>
        <bgColor indexed="64"/>
      </patternFill>
    </fill>
    <fill>
      <patternFill patternType="solid">
        <fgColor rgb="FF106F9C"/>
        <bgColor indexed="64"/>
      </patternFill>
    </fill>
    <fill>
      <patternFill patternType="solid">
        <fgColor rgb="FF0F6B9C"/>
        <bgColor indexed="64"/>
      </patternFill>
    </fill>
    <fill>
      <patternFill patternType="solid">
        <fgColor rgb="FF106D9B"/>
        <bgColor indexed="64"/>
      </patternFill>
    </fill>
    <fill>
      <patternFill patternType="solid">
        <fgColor rgb="FF0F6C9E"/>
        <bgColor indexed="64"/>
      </patternFill>
    </fill>
    <fill>
      <patternFill patternType="solid">
        <fgColor rgb="FF6C9E37"/>
        <bgColor indexed="64"/>
      </patternFill>
    </fill>
    <fill>
      <patternFill patternType="solid">
        <fgColor rgb="FF6A9B33"/>
        <bgColor indexed="64"/>
      </patternFill>
    </fill>
    <fill>
      <patternFill patternType="solid">
        <fgColor rgb="FF6C9B31"/>
        <bgColor indexed="64"/>
      </patternFill>
    </fill>
    <fill>
      <patternFill patternType="solid">
        <fgColor rgb="FF6A9933"/>
        <bgColor indexed="64"/>
      </patternFill>
    </fill>
    <fill>
      <patternFill patternType="solid">
        <fgColor rgb="FF75A739"/>
        <bgColor indexed="64"/>
      </patternFill>
    </fill>
    <fill>
      <patternFill patternType="solid">
        <fgColor rgb="FF445E22"/>
        <bgColor indexed="64"/>
      </patternFill>
    </fill>
    <fill>
      <patternFill patternType="solid">
        <fgColor rgb="FF3B461B"/>
        <bgColor indexed="64"/>
      </patternFill>
    </fill>
    <fill>
      <patternFill patternType="solid">
        <fgColor rgb="FF73A23A"/>
        <bgColor indexed="64"/>
      </patternFill>
    </fill>
    <fill>
      <patternFill patternType="solid">
        <fgColor rgb="FF6E9D33"/>
        <bgColor indexed="64"/>
      </patternFill>
    </fill>
    <fill>
      <patternFill patternType="solid">
        <fgColor rgb="FF6F9E35"/>
        <bgColor indexed="64"/>
      </patternFill>
    </fill>
    <fill>
      <patternFill patternType="solid">
        <fgColor rgb="FF6F9D38"/>
        <bgColor indexed="64"/>
      </patternFill>
    </fill>
    <fill>
      <patternFill patternType="solid">
        <fgColor rgb="FF72A43A"/>
        <bgColor indexed="64"/>
      </patternFill>
    </fill>
    <fill>
      <patternFill patternType="solid">
        <fgColor rgb="FF669331"/>
        <bgColor indexed="64"/>
      </patternFill>
    </fill>
    <fill>
      <patternFill patternType="solid">
        <fgColor rgb="FF6A9634"/>
        <bgColor indexed="64"/>
      </patternFill>
    </fill>
    <fill>
      <patternFill patternType="solid">
        <fgColor rgb="FF6A9735"/>
        <bgColor indexed="64"/>
      </patternFill>
    </fill>
    <fill>
      <patternFill patternType="solid">
        <fgColor rgb="FF6E9A38"/>
        <bgColor indexed="64"/>
      </patternFill>
    </fill>
    <fill>
      <patternFill patternType="solid">
        <fgColor rgb="FF679036"/>
        <bgColor indexed="64"/>
      </patternFill>
    </fill>
    <fill>
      <patternFill patternType="solid">
        <fgColor rgb="FF938F2E"/>
        <bgColor indexed="64"/>
      </patternFill>
    </fill>
    <fill>
      <patternFill patternType="solid">
        <fgColor rgb="FFC8B72D"/>
        <bgColor indexed="64"/>
      </patternFill>
    </fill>
    <fill>
      <patternFill patternType="solid">
        <fgColor rgb="FFEEE636"/>
        <bgColor indexed="64"/>
      </patternFill>
    </fill>
    <fill>
      <patternFill patternType="solid">
        <fgColor rgb="FF586D28"/>
        <bgColor indexed="64"/>
      </patternFill>
    </fill>
    <fill>
      <patternFill patternType="solid">
        <fgColor rgb="FF6E9B3F"/>
        <bgColor indexed="64"/>
      </patternFill>
    </fill>
    <fill>
      <patternFill patternType="solid">
        <fgColor rgb="FF699336"/>
        <bgColor indexed="64"/>
      </patternFill>
    </fill>
    <fill>
      <patternFill patternType="solid">
        <fgColor rgb="FF6E983A"/>
        <bgColor indexed="64"/>
      </patternFill>
    </fill>
    <fill>
      <patternFill patternType="solid">
        <fgColor rgb="FF344F23"/>
        <bgColor indexed="64"/>
      </patternFill>
    </fill>
    <fill>
      <patternFill patternType="solid">
        <fgColor rgb="FF0B577D"/>
        <bgColor indexed="64"/>
      </patternFill>
    </fill>
    <fill>
      <patternFill patternType="solid">
        <fgColor rgb="FF0F709E"/>
        <bgColor indexed="64"/>
      </patternFill>
    </fill>
    <fill>
      <patternFill patternType="solid">
        <fgColor rgb="FF055078"/>
        <bgColor indexed="64"/>
      </patternFill>
    </fill>
    <fill>
      <patternFill patternType="solid">
        <fgColor rgb="FF42745E"/>
        <bgColor indexed="64"/>
      </patternFill>
    </fill>
    <fill>
      <patternFill patternType="solid">
        <fgColor rgb="FF768B40"/>
        <bgColor indexed="64"/>
      </patternFill>
    </fill>
    <fill>
      <patternFill patternType="solid">
        <fgColor rgb="FF0A6692"/>
        <bgColor indexed="64"/>
      </patternFill>
    </fill>
    <fill>
      <patternFill patternType="solid">
        <fgColor rgb="FF177497"/>
        <bgColor indexed="64"/>
      </patternFill>
    </fill>
    <fill>
      <patternFill patternType="solid">
        <fgColor rgb="FF187EA1"/>
        <bgColor indexed="64"/>
      </patternFill>
    </fill>
    <fill>
      <patternFill patternType="solid">
        <fgColor rgb="FF157EA4"/>
        <bgColor indexed="64"/>
      </patternFill>
    </fill>
    <fill>
      <patternFill patternType="solid">
        <fgColor rgb="FF157FA6"/>
        <bgColor indexed="64"/>
      </patternFill>
    </fill>
    <fill>
      <patternFill patternType="solid">
        <fgColor rgb="FF146F92"/>
        <bgColor indexed="64"/>
      </patternFill>
    </fill>
    <fill>
      <patternFill patternType="solid">
        <fgColor rgb="FF0F526F"/>
        <bgColor indexed="64"/>
      </patternFill>
    </fill>
    <fill>
      <patternFill patternType="solid">
        <fgColor rgb="FF105474"/>
        <bgColor indexed="64"/>
      </patternFill>
    </fill>
    <fill>
      <patternFill patternType="solid">
        <fgColor rgb="FF105D80"/>
        <bgColor indexed="64"/>
      </patternFill>
    </fill>
    <fill>
      <patternFill patternType="solid">
        <fgColor rgb="FF0F5E86"/>
        <bgColor indexed="64"/>
      </patternFill>
    </fill>
    <fill>
      <patternFill patternType="solid">
        <fgColor rgb="FF13759C"/>
        <bgColor indexed="64"/>
      </patternFill>
    </fill>
    <fill>
      <patternFill patternType="solid">
        <fgColor rgb="FF266267"/>
        <bgColor indexed="64"/>
      </patternFill>
    </fill>
    <fill>
      <patternFill patternType="solid">
        <fgColor rgb="FFB9AF29"/>
        <bgColor indexed="64"/>
      </patternFill>
    </fill>
    <fill>
      <patternFill patternType="solid">
        <fgColor rgb="FF246D6C"/>
        <bgColor indexed="64"/>
      </patternFill>
    </fill>
    <fill>
      <patternFill patternType="solid">
        <fgColor rgb="FF117AA7"/>
        <bgColor indexed="64"/>
      </patternFill>
    </fill>
    <fill>
      <patternFill patternType="solid">
        <fgColor rgb="FF146B8B"/>
        <bgColor indexed="64"/>
      </patternFill>
    </fill>
    <fill>
      <patternFill patternType="solid">
        <fgColor rgb="FF136B8A"/>
        <bgColor indexed="64"/>
      </patternFill>
    </fill>
    <fill>
      <patternFill patternType="solid">
        <fgColor rgb="FF136C8B"/>
        <bgColor indexed="64"/>
      </patternFill>
    </fill>
    <fill>
      <patternFill patternType="solid">
        <fgColor rgb="FF156F8D"/>
        <bgColor indexed="64"/>
      </patternFill>
    </fill>
    <fill>
      <patternFill patternType="solid">
        <fgColor rgb="FF12769D"/>
        <bgColor indexed="64"/>
      </patternFill>
    </fill>
    <fill>
      <patternFill patternType="solid">
        <fgColor rgb="FF2C5755"/>
        <bgColor indexed="64"/>
      </patternFill>
    </fill>
    <fill>
      <patternFill patternType="solid">
        <fgColor rgb="FFB09E20"/>
        <bgColor indexed="64"/>
      </patternFill>
    </fill>
    <fill>
      <patternFill patternType="solid">
        <fgColor rgb="FF387B66"/>
        <bgColor indexed="64"/>
      </patternFill>
    </fill>
    <fill>
      <patternFill patternType="solid">
        <fgColor rgb="FF0E76A3"/>
        <bgColor indexed="64"/>
      </patternFill>
    </fill>
    <fill>
      <patternFill patternType="solid">
        <fgColor rgb="FF136989"/>
        <bgColor indexed="64"/>
      </patternFill>
    </fill>
    <fill>
      <patternFill patternType="solid">
        <fgColor rgb="FF13759D"/>
        <bgColor indexed="64"/>
      </patternFill>
    </fill>
    <fill>
      <patternFill patternType="solid">
        <fgColor rgb="FF1484AD"/>
        <bgColor indexed="64"/>
      </patternFill>
    </fill>
    <fill>
      <patternFill patternType="solid">
        <fgColor rgb="FF137AA0"/>
        <bgColor indexed="64"/>
      </patternFill>
    </fill>
    <fill>
      <patternFill patternType="solid">
        <fgColor rgb="FF15799C"/>
        <bgColor indexed="64"/>
      </patternFill>
    </fill>
    <fill>
      <patternFill patternType="solid">
        <fgColor rgb="FF097BAD"/>
        <bgColor indexed="64"/>
      </patternFill>
    </fill>
    <fill>
      <patternFill patternType="solid">
        <fgColor rgb="FF588557"/>
        <bgColor indexed="64"/>
      </patternFill>
    </fill>
    <fill>
      <patternFill patternType="solid">
        <fgColor rgb="FFD5C02D"/>
        <bgColor indexed="64"/>
      </patternFill>
    </fill>
    <fill>
      <patternFill patternType="solid">
        <fgColor rgb="FF626A2E"/>
        <bgColor indexed="64"/>
      </patternFill>
    </fill>
    <fill>
      <patternFill patternType="solid">
        <fgColor rgb="FF117290"/>
        <bgColor indexed="64"/>
      </patternFill>
    </fill>
    <fill>
      <patternFill patternType="solid">
        <fgColor rgb="FF1782AF"/>
        <bgColor indexed="64"/>
      </patternFill>
    </fill>
    <fill>
      <patternFill patternType="solid">
        <fgColor rgb="FF0D7DAE"/>
        <bgColor indexed="64"/>
      </patternFill>
    </fill>
    <fill>
      <patternFill patternType="solid">
        <fgColor rgb="FF384B6C"/>
        <bgColor indexed="64"/>
      </patternFill>
    </fill>
    <fill>
      <patternFill patternType="solid">
        <fgColor rgb="FFB4384F"/>
        <bgColor indexed="64"/>
      </patternFill>
    </fill>
    <fill>
      <patternFill patternType="solid">
        <fgColor rgb="FFA43A53"/>
        <bgColor indexed="64"/>
      </patternFill>
    </fill>
    <fill>
      <patternFill patternType="solid">
        <fgColor rgb="FFE4415C"/>
        <bgColor indexed="64"/>
      </patternFill>
    </fill>
    <fill>
      <patternFill patternType="solid">
        <fgColor rgb="FFF54768"/>
        <bgColor indexed="64"/>
      </patternFill>
    </fill>
    <fill>
      <patternFill patternType="solid">
        <fgColor rgb="FFF44568"/>
        <bgColor indexed="64"/>
      </patternFill>
    </fill>
    <fill>
      <patternFill patternType="solid">
        <fgColor rgb="FFF54565"/>
        <bgColor indexed="64"/>
      </patternFill>
    </fill>
    <fill>
      <patternFill patternType="solid">
        <fgColor rgb="FFF84765"/>
        <bgColor indexed="64"/>
      </patternFill>
    </fill>
    <fill>
      <patternFill patternType="solid">
        <fgColor rgb="FFF94766"/>
        <bgColor indexed="64"/>
      </patternFill>
    </fill>
    <fill>
      <patternFill patternType="solid">
        <fgColor rgb="FFF74564"/>
        <bgColor indexed="64"/>
      </patternFill>
    </fill>
    <fill>
      <patternFill patternType="solid">
        <fgColor rgb="FFF64869"/>
        <bgColor indexed="64"/>
      </patternFill>
    </fill>
    <fill>
      <patternFill patternType="solid">
        <fgColor rgb="FF66263A"/>
        <bgColor indexed="64"/>
      </patternFill>
    </fill>
    <fill>
      <patternFill patternType="solid">
        <fgColor rgb="FFB2374F"/>
        <bgColor indexed="64"/>
      </patternFill>
    </fill>
    <fill>
      <patternFill patternType="solid">
        <fgColor rgb="FF992D45"/>
        <bgColor indexed="64"/>
      </patternFill>
    </fill>
    <fill>
      <patternFill patternType="solid">
        <fgColor rgb="FF095C74"/>
        <bgColor indexed="64"/>
      </patternFill>
    </fill>
    <fill>
      <patternFill patternType="solid">
        <fgColor rgb="FF3C4669"/>
        <bgColor indexed="64"/>
      </patternFill>
    </fill>
    <fill>
      <patternFill patternType="solid">
        <fgColor rgb="FF28435C"/>
        <bgColor indexed="64"/>
      </patternFill>
    </fill>
    <fill>
      <patternFill patternType="solid">
        <fgColor rgb="FF0C739E"/>
        <bgColor indexed="64"/>
      </patternFill>
    </fill>
    <fill>
      <patternFill patternType="solid">
        <fgColor rgb="FF106E99"/>
        <bgColor indexed="64"/>
      </patternFill>
    </fill>
    <fill>
      <patternFill patternType="solid">
        <fgColor rgb="FF0F6F9C"/>
        <bgColor indexed="64"/>
      </patternFill>
    </fill>
    <fill>
      <patternFill patternType="solid">
        <fgColor rgb="FF0E6B9A"/>
        <bgColor indexed="64"/>
      </patternFill>
    </fill>
    <fill>
      <patternFill patternType="solid">
        <fgColor rgb="FF0F6B9A"/>
        <bgColor indexed="64"/>
      </patternFill>
    </fill>
    <fill>
      <patternFill patternType="solid">
        <fgColor rgb="FF0F6C9B"/>
        <bgColor indexed="64"/>
      </patternFill>
    </fill>
    <fill>
      <patternFill patternType="solid">
        <fgColor rgb="FF6C9E35"/>
        <bgColor indexed="64"/>
      </patternFill>
    </fill>
    <fill>
      <patternFill patternType="solid">
        <fgColor rgb="FF699931"/>
        <bgColor indexed="64"/>
      </patternFill>
    </fill>
    <fill>
      <patternFill patternType="solid">
        <fgColor rgb="FF6B9A33"/>
        <bgColor indexed="64"/>
      </patternFill>
    </fill>
    <fill>
      <patternFill patternType="solid">
        <fgColor rgb="FF6C9F35"/>
        <bgColor indexed="64"/>
      </patternFill>
    </fill>
    <fill>
      <patternFill patternType="solid">
        <fgColor rgb="FF6F802D"/>
        <bgColor indexed="64"/>
      </patternFill>
    </fill>
    <fill>
      <patternFill patternType="solid">
        <fgColor rgb="FF788731"/>
        <bgColor indexed="64"/>
      </patternFill>
    </fill>
    <fill>
      <patternFill patternType="solid">
        <fgColor rgb="FF6A9A31"/>
        <bgColor indexed="64"/>
      </patternFill>
    </fill>
    <fill>
      <patternFill patternType="solid">
        <fgColor rgb="FF709E33"/>
        <bgColor indexed="64"/>
      </patternFill>
    </fill>
    <fill>
      <patternFill patternType="solid">
        <fgColor rgb="FF709F35"/>
        <bgColor indexed="64"/>
      </patternFill>
    </fill>
    <fill>
      <patternFill patternType="solid">
        <fgColor rgb="FF709E36"/>
        <bgColor indexed="64"/>
      </patternFill>
    </fill>
    <fill>
      <patternFill patternType="solid">
        <fgColor rgb="FF71A038"/>
        <bgColor indexed="64"/>
      </patternFill>
    </fill>
    <fill>
      <patternFill patternType="solid">
        <fgColor rgb="FF73A338"/>
        <bgColor indexed="64"/>
      </patternFill>
    </fill>
    <fill>
      <patternFill patternType="solid">
        <fgColor rgb="FF72A137"/>
        <bgColor indexed="64"/>
      </patternFill>
    </fill>
    <fill>
      <patternFill patternType="solid">
        <fgColor rgb="FF73A137"/>
        <bgColor indexed="64"/>
      </patternFill>
    </fill>
    <fill>
      <patternFill patternType="solid">
        <fgColor rgb="FF77A63D"/>
        <bgColor indexed="64"/>
      </patternFill>
    </fill>
    <fill>
      <patternFill patternType="solid">
        <fgColor rgb="FF689138"/>
        <bgColor indexed="64"/>
      </patternFill>
    </fill>
    <fill>
      <patternFill patternType="solid">
        <fgColor rgb="FFB3AC2E"/>
        <bgColor indexed="64"/>
      </patternFill>
    </fill>
    <fill>
      <patternFill patternType="solid">
        <fgColor rgb="FFF9F037"/>
        <bgColor indexed="64"/>
      </patternFill>
    </fill>
    <fill>
      <patternFill patternType="solid">
        <fgColor rgb="FFE5DC33"/>
        <bgColor indexed="64"/>
      </patternFill>
    </fill>
    <fill>
      <patternFill patternType="solid">
        <fgColor rgb="FF60772C"/>
        <bgColor indexed="64"/>
      </patternFill>
    </fill>
    <fill>
      <patternFill patternType="solid">
        <fgColor rgb="FF7EAD45"/>
        <bgColor indexed="64"/>
      </patternFill>
    </fill>
    <fill>
      <patternFill patternType="solid">
        <fgColor rgb="FF7AA83F"/>
        <bgColor indexed="64"/>
      </patternFill>
    </fill>
    <fill>
      <patternFill patternType="solid">
        <fgColor rgb="FF567D39"/>
        <bgColor indexed="64"/>
      </patternFill>
    </fill>
    <fill>
      <patternFill patternType="solid">
        <fgColor rgb="FF35684D"/>
        <bgColor indexed="64"/>
      </patternFill>
    </fill>
    <fill>
      <patternFill patternType="solid">
        <fgColor rgb="FF175059"/>
        <bgColor indexed="64"/>
      </patternFill>
    </fill>
    <fill>
      <patternFill patternType="solid">
        <fgColor rgb="FF365C47"/>
        <bgColor indexed="64"/>
      </patternFill>
    </fill>
    <fill>
      <patternFill patternType="solid">
        <fgColor rgb="FF8B9737"/>
        <bgColor indexed="64"/>
      </patternFill>
    </fill>
    <fill>
      <patternFill patternType="solid">
        <fgColor rgb="FF05577B"/>
        <bgColor indexed="64"/>
      </patternFill>
    </fill>
    <fill>
      <patternFill patternType="solid">
        <fgColor rgb="FF0C658F"/>
        <bgColor indexed="64"/>
      </patternFill>
    </fill>
    <fill>
      <patternFill patternType="solid">
        <fgColor rgb="FF0D77A7"/>
        <bgColor indexed="64"/>
      </patternFill>
    </fill>
    <fill>
      <patternFill patternType="solid">
        <fgColor rgb="FF137FAE"/>
        <bgColor indexed="64"/>
      </patternFill>
    </fill>
    <fill>
      <patternFill patternType="solid">
        <fgColor rgb="FF1580AC"/>
        <bgColor indexed="64"/>
      </patternFill>
    </fill>
    <fill>
      <patternFill patternType="solid">
        <fgColor rgb="FF1785AD"/>
        <bgColor indexed="64"/>
      </patternFill>
    </fill>
    <fill>
      <patternFill patternType="solid">
        <fgColor rgb="FF1680A2"/>
        <bgColor indexed="64"/>
      </patternFill>
    </fill>
    <fill>
      <patternFill patternType="solid">
        <fgColor rgb="FF157C9D"/>
        <bgColor indexed="64"/>
      </patternFill>
    </fill>
    <fill>
      <patternFill patternType="solid">
        <fgColor rgb="FF15799B"/>
        <bgColor indexed="64"/>
      </patternFill>
    </fill>
    <fill>
      <patternFill patternType="solid">
        <fgColor rgb="FF137697"/>
        <bgColor indexed="64"/>
      </patternFill>
    </fill>
    <fill>
      <patternFill patternType="solid">
        <fgColor rgb="FF167FA2"/>
        <bgColor indexed="64"/>
      </patternFill>
    </fill>
    <fill>
      <patternFill patternType="solid">
        <fgColor rgb="FF0673A9"/>
        <bgColor indexed="64"/>
      </patternFill>
    </fill>
    <fill>
      <patternFill patternType="solid">
        <fgColor rgb="FF64844C"/>
        <bgColor indexed="64"/>
      </patternFill>
    </fill>
    <fill>
      <patternFill patternType="solid">
        <fgColor rgb="FFC9C12C"/>
        <bgColor indexed="64"/>
      </patternFill>
    </fill>
    <fill>
      <patternFill patternType="solid">
        <fgColor rgb="FF0A5771"/>
        <bgColor indexed="64"/>
      </patternFill>
    </fill>
    <fill>
      <patternFill patternType="solid">
        <fgColor rgb="FF126588"/>
        <bgColor indexed="64"/>
      </patternFill>
    </fill>
    <fill>
      <patternFill patternType="solid">
        <fgColor rgb="FF116A8F"/>
        <bgColor indexed="64"/>
      </patternFill>
    </fill>
    <fill>
      <patternFill patternType="solid">
        <fgColor rgb="FF12749D"/>
        <bgColor indexed="64"/>
      </patternFill>
    </fill>
    <fill>
      <patternFill patternType="solid">
        <fgColor rgb="FF1585B0"/>
        <bgColor indexed="64"/>
      </patternFill>
    </fill>
    <fill>
      <patternFill patternType="solid">
        <fgColor rgb="FF1586AF"/>
        <bgColor indexed="64"/>
      </patternFill>
    </fill>
    <fill>
      <patternFill patternType="solid">
        <fgColor rgb="FF1383B0"/>
        <bgColor indexed="64"/>
      </patternFill>
    </fill>
    <fill>
      <patternFill patternType="solid">
        <fgColor rgb="FF174048"/>
        <bgColor indexed="64"/>
      </patternFill>
    </fill>
    <fill>
      <patternFill patternType="solid">
        <fgColor rgb="FF6D5F10"/>
        <bgColor indexed="64"/>
      </patternFill>
    </fill>
    <fill>
      <patternFill patternType="solid">
        <fgColor rgb="FF24676A"/>
        <bgColor indexed="64"/>
      </patternFill>
    </fill>
    <fill>
      <patternFill patternType="solid">
        <fgColor rgb="FF1387B7"/>
        <bgColor indexed="64"/>
      </patternFill>
    </fill>
    <fill>
      <patternFill patternType="solid">
        <fgColor rgb="FF1581AB"/>
        <bgColor indexed="64"/>
      </patternFill>
    </fill>
    <fill>
      <patternFill patternType="solid">
        <fgColor rgb="FF0F6991"/>
        <bgColor indexed="64"/>
      </patternFill>
    </fill>
    <fill>
      <patternFill patternType="solid">
        <fgColor rgb="FF116C94"/>
        <bgColor indexed="64"/>
      </patternFill>
    </fill>
    <fill>
      <patternFill patternType="solid">
        <fgColor rgb="FF126D92"/>
        <bgColor indexed="64"/>
      </patternFill>
    </fill>
    <fill>
      <patternFill patternType="solid">
        <fgColor rgb="FF096C9B"/>
        <bgColor indexed="64"/>
      </patternFill>
    </fill>
    <fill>
      <patternFill patternType="solid">
        <fgColor rgb="FF3B6754"/>
        <bgColor indexed="64"/>
      </patternFill>
    </fill>
    <fill>
      <patternFill patternType="solid">
        <fgColor rgb="FF958327"/>
        <bgColor indexed="64"/>
      </patternFill>
    </fill>
    <fill>
      <patternFill patternType="solid">
        <fgColor rgb="FF7A7E2D"/>
        <bgColor indexed="64"/>
      </patternFill>
    </fill>
    <fill>
      <patternFill patternType="solid">
        <fgColor rgb="FF0D5F7C"/>
        <bgColor indexed="64"/>
      </patternFill>
    </fill>
    <fill>
      <patternFill patternType="solid">
        <fgColor rgb="FF13709D"/>
        <bgColor indexed="64"/>
      </patternFill>
    </fill>
    <fill>
      <patternFill patternType="solid">
        <fgColor rgb="FF1479A9"/>
        <bgColor indexed="64"/>
      </patternFill>
    </fill>
    <fill>
      <patternFill patternType="solid">
        <fgColor rgb="FF0977A5"/>
        <bgColor indexed="64"/>
      </patternFill>
    </fill>
    <fill>
      <patternFill patternType="solid">
        <fgColor rgb="FF704361"/>
        <bgColor indexed="64"/>
      </patternFill>
    </fill>
    <fill>
      <patternFill patternType="solid">
        <fgColor rgb="FFFA4B69"/>
        <bgColor indexed="64"/>
      </patternFill>
    </fill>
    <fill>
      <patternFill patternType="solid">
        <fgColor rgb="FFF94D6D"/>
        <bgColor indexed="64"/>
      </patternFill>
    </fill>
    <fill>
      <patternFill patternType="solid">
        <fgColor rgb="FFF44667"/>
        <bgColor indexed="64"/>
      </patternFill>
    </fill>
    <fill>
      <patternFill patternType="solid">
        <fgColor rgb="FFF24466"/>
        <bgColor indexed="64"/>
      </patternFill>
    </fill>
    <fill>
      <patternFill patternType="solid">
        <fgColor rgb="FFF44865"/>
        <bgColor indexed="64"/>
      </patternFill>
    </fill>
    <fill>
      <patternFill patternType="solid">
        <fgColor rgb="FFF04464"/>
        <bgColor indexed="64"/>
      </patternFill>
    </fill>
    <fill>
      <patternFill patternType="solid">
        <fgColor rgb="FFC2324D"/>
        <bgColor indexed="64"/>
      </patternFill>
    </fill>
    <fill>
      <patternFill patternType="solid">
        <fgColor rgb="FFF04663"/>
        <bgColor indexed="64"/>
      </patternFill>
    </fill>
    <fill>
      <patternFill patternType="solid">
        <fgColor rgb="FFD83857"/>
        <bgColor indexed="64"/>
      </patternFill>
    </fill>
    <fill>
      <patternFill patternType="solid">
        <fgColor rgb="FF2D4766"/>
        <bgColor indexed="64"/>
      </patternFill>
    </fill>
    <fill>
      <patternFill patternType="solid">
        <fgColor rgb="FF6E3F5E"/>
        <bgColor indexed="64"/>
      </patternFill>
    </fill>
    <fill>
      <patternFill patternType="solid">
        <fgColor rgb="FFB2344E"/>
        <bgColor indexed="64"/>
      </patternFill>
    </fill>
    <fill>
      <patternFill patternType="solid">
        <fgColor rgb="FF115F7A"/>
        <bgColor indexed="64"/>
      </patternFill>
    </fill>
    <fill>
      <patternFill patternType="solid">
        <fgColor rgb="FF0B5878"/>
        <bgColor indexed="64"/>
      </patternFill>
    </fill>
    <fill>
      <patternFill patternType="solid">
        <fgColor rgb="FF0F6280"/>
        <bgColor indexed="64"/>
      </patternFill>
    </fill>
    <fill>
      <patternFill patternType="solid">
        <fgColor rgb="FF10709D"/>
        <bgColor indexed="64"/>
      </patternFill>
    </fill>
    <fill>
      <patternFill patternType="solid">
        <fgColor rgb="FF106E9B"/>
        <bgColor indexed="64"/>
      </patternFill>
    </fill>
    <fill>
      <patternFill patternType="solid">
        <fgColor rgb="FF1071A0"/>
        <bgColor indexed="64"/>
      </patternFill>
    </fill>
    <fill>
      <patternFill patternType="solid">
        <fgColor rgb="FF0F6B9B"/>
        <bgColor indexed="64"/>
      </patternFill>
    </fill>
    <fill>
      <patternFill patternType="solid">
        <fgColor rgb="FF6D9D35"/>
        <bgColor indexed="64"/>
      </patternFill>
    </fill>
    <fill>
      <patternFill patternType="solid">
        <fgColor rgb="FF699833"/>
        <bgColor indexed="64"/>
      </patternFill>
    </fill>
    <fill>
      <patternFill patternType="solid">
        <fgColor rgb="FF6A9A32"/>
        <bgColor indexed="64"/>
      </patternFill>
    </fill>
    <fill>
      <patternFill patternType="solid">
        <fgColor rgb="FF6A9C2F"/>
        <bgColor indexed="64"/>
      </patternFill>
    </fill>
    <fill>
      <patternFill patternType="solid">
        <fgColor rgb="FF6B9E31"/>
        <bgColor indexed="64"/>
      </patternFill>
    </fill>
    <fill>
      <patternFill patternType="solid">
        <fgColor rgb="FF758229"/>
        <bgColor indexed="64"/>
      </patternFill>
    </fill>
    <fill>
      <patternFill patternType="solid">
        <fgColor rgb="FF75872C"/>
        <bgColor indexed="64"/>
      </patternFill>
    </fill>
    <fill>
      <patternFill patternType="solid">
        <fgColor rgb="FF699E30"/>
        <bgColor indexed="64"/>
      </patternFill>
    </fill>
    <fill>
      <patternFill patternType="solid">
        <fgColor rgb="FF6D9D34"/>
        <bgColor indexed="64"/>
      </patternFill>
    </fill>
    <fill>
      <patternFill patternType="solid">
        <fgColor rgb="FF6D9D33"/>
        <bgColor indexed="64"/>
      </patternFill>
    </fill>
    <fill>
      <patternFill patternType="solid">
        <fgColor rgb="FF6F9F37"/>
        <bgColor indexed="64"/>
      </patternFill>
    </fill>
    <fill>
      <patternFill patternType="solid">
        <fgColor rgb="FF6F9D36"/>
        <bgColor indexed="64"/>
      </patternFill>
    </fill>
    <fill>
      <patternFill patternType="solid">
        <fgColor rgb="FF709F38"/>
        <bgColor indexed="64"/>
      </patternFill>
    </fill>
    <fill>
      <patternFill patternType="solid">
        <fgColor rgb="FF75A63A"/>
        <bgColor indexed="64"/>
      </patternFill>
    </fill>
    <fill>
      <patternFill patternType="solid">
        <fgColor rgb="FF658C34"/>
        <bgColor indexed="64"/>
      </patternFill>
    </fill>
    <fill>
      <patternFill patternType="solid">
        <fgColor rgb="FFB7AD2F"/>
        <bgColor indexed="64"/>
      </patternFill>
    </fill>
    <fill>
      <patternFill patternType="solid">
        <fgColor rgb="FFFCF839"/>
        <bgColor indexed="64"/>
      </patternFill>
    </fill>
    <fill>
      <patternFill patternType="solid">
        <fgColor rgb="FFC4BD2F"/>
        <bgColor indexed="64"/>
      </patternFill>
    </fill>
    <fill>
      <patternFill patternType="solid">
        <fgColor rgb="FF53722F"/>
        <bgColor indexed="64"/>
      </patternFill>
    </fill>
    <fill>
      <patternFill patternType="solid">
        <fgColor rgb="FF7DAE42"/>
        <bgColor indexed="64"/>
      </patternFill>
    </fill>
    <fill>
      <patternFill patternType="solid">
        <fgColor rgb="FF76A53F"/>
        <bgColor indexed="64"/>
      </patternFill>
    </fill>
    <fill>
      <patternFill patternType="solid">
        <fgColor rgb="FF77A53F"/>
        <bgColor indexed="64"/>
      </patternFill>
    </fill>
    <fill>
      <patternFill patternType="solid">
        <fgColor rgb="FF79A543"/>
        <bgColor indexed="64"/>
      </patternFill>
    </fill>
    <fill>
      <patternFill patternType="solid">
        <fgColor rgb="FF82AF44"/>
        <bgColor indexed="64"/>
      </patternFill>
    </fill>
    <fill>
      <patternFill patternType="solid">
        <fgColor rgb="FF81A93D"/>
        <bgColor indexed="64"/>
      </patternFill>
    </fill>
    <fill>
      <patternFill patternType="solid">
        <fgColor rgb="FF7AA439"/>
        <bgColor indexed="64"/>
      </patternFill>
    </fill>
    <fill>
      <patternFill patternType="solid">
        <fgColor rgb="FF557129"/>
        <bgColor indexed="64"/>
      </patternFill>
    </fill>
    <fill>
      <patternFill patternType="solid">
        <fgColor rgb="FF404215"/>
        <bgColor indexed="64"/>
      </patternFill>
    </fill>
    <fill>
      <patternFill patternType="solid">
        <fgColor rgb="FF608851"/>
        <bgColor indexed="64"/>
      </patternFill>
    </fill>
    <fill>
      <patternFill patternType="solid">
        <fgColor rgb="FF588C5D"/>
        <bgColor indexed="64"/>
      </patternFill>
    </fill>
    <fill>
      <patternFill patternType="solid">
        <fgColor rgb="FF3C7765"/>
        <bgColor indexed="64"/>
      </patternFill>
    </fill>
    <fill>
      <patternFill patternType="solid">
        <fgColor rgb="FF216C79"/>
        <bgColor indexed="64"/>
      </patternFill>
    </fill>
    <fill>
      <patternFill patternType="solid">
        <fgColor rgb="FF155B77"/>
        <bgColor indexed="64"/>
      </patternFill>
    </fill>
    <fill>
      <patternFill patternType="solid">
        <fgColor rgb="FF0D557D"/>
        <bgColor indexed="64"/>
      </patternFill>
    </fill>
    <fill>
      <patternFill patternType="solid">
        <fgColor rgb="FF1078A8"/>
        <bgColor indexed="64"/>
      </patternFill>
    </fill>
    <fill>
      <patternFill patternType="solid">
        <fgColor rgb="FF1581A9"/>
        <bgColor indexed="64"/>
      </patternFill>
    </fill>
    <fill>
      <patternFill patternType="solid">
        <fgColor rgb="FF1683A9"/>
        <bgColor indexed="64"/>
      </patternFill>
    </fill>
    <fill>
      <patternFill patternType="solid">
        <fgColor rgb="FF046A9C"/>
        <bgColor indexed="64"/>
      </patternFill>
    </fill>
    <fill>
      <patternFill patternType="solid">
        <fgColor rgb="FF6D7B36"/>
        <bgColor indexed="64"/>
      </patternFill>
    </fill>
    <fill>
      <patternFill patternType="solid">
        <fgColor rgb="FFA6A72F"/>
        <bgColor indexed="64"/>
      </patternFill>
    </fill>
    <fill>
      <patternFill patternType="solid">
        <fgColor rgb="FF076588"/>
        <bgColor indexed="64"/>
      </patternFill>
    </fill>
    <fill>
      <patternFill patternType="solid">
        <fgColor rgb="FF147597"/>
        <bgColor indexed="64"/>
      </patternFill>
    </fill>
    <fill>
      <patternFill patternType="solid">
        <fgColor rgb="FF13799B"/>
        <bgColor indexed="64"/>
      </patternFill>
    </fill>
    <fill>
      <patternFill patternType="solid">
        <fgColor rgb="FF1582A7"/>
        <bgColor indexed="64"/>
      </patternFill>
    </fill>
    <fill>
      <patternFill patternType="solid">
        <fgColor rgb="FF1583AB"/>
        <bgColor indexed="64"/>
      </patternFill>
    </fill>
    <fill>
      <patternFill patternType="solid">
        <fgColor rgb="FF1682A9"/>
        <bgColor indexed="64"/>
      </patternFill>
    </fill>
    <fill>
      <patternFill patternType="solid">
        <fgColor rgb="FF1B393A"/>
        <bgColor indexed="64"/>
      </patternFill>
    </fill>
    <fill>
      <patternFill patternType="solid">
        <fgColor rgb="FF2C2301"/>
        <bgColor indexed="64"/>
      </patternFill>
    </fill>
    <fill>
      <patternFill patternType="solid">
        <fgColor rgb="FF256B70"/>
        <bgColor indexed="64"/>
      </patternFill>
    </fill>
    <fill>
      <patternFill patternType="solid">
        <fgColor rgb="FF1283B1"/>
        <bgColor indexed="64"/>
      </patternFill>
    </fill>
    <fill>
      <patternFill patternType="solid">
        <fgColor rgb="FF137DA6"/>
        <bgColor indexed="64"/>
      </patternFill>
    </fill>
    <fill>
      <patternFill patternType="solid">
        <fgColor rgb="FF13779B"/>
        <bgColor indexed="64"/>
      </patternFill>
    </fill>
    <fill>
      <patternFill patternType="solid">
        <fgColor rgb="FF126F92"/>
        <bgColor indexed="64"/>
      </patternFill>
    </fill>
    <fill>
      <patternFill patternType="solid">
        <fgColor rgb="FF116887"/>
        <bgColor indexed="64"/>
      </patternFill>
    </fill>
    <fill>
      <patternFill patternType="solid">
        <fgColor rgb="FF0F688C"/>
        <bgColor indexed="64"/>
      </patternFill>
    </fill>
    <fill>
      <patternFill patternType="solid">
        <fgColor rgb="FF20555B"/>
        <bgColor indexed="64"/>
      </patternFill>
    </fill>
    <fill>
      <patternFill patternType="solid">
        <fgColor rgb="FF443B0D"/>
        <bgColor indexed="64"/>
      </patternFill>
    </fill>
    <fill>
      <patternFill patternType="solid">
        <fgColor rgb="FF686B23"/>
        <bgColor indexed="64"/>
      </patternFill>
    </fill>
    <fill>
      <patternFill patternType="solid">
        <fgColor rgb="FF146175"/>
        <bgColor indexed="64"/>
      </patternFill>
    </fill>
    <fill>
      <patternFill patternType="solid">
        <fgColor rgb="FF1379A3"/>
        <bgColor indexed="64"/>
      </patternFill>
    </fill>
    <fill>
      <patternFill patternType="solid">
        <fgColor rgb="FF127AA9"/>
        <bgColor indexed="64"/>
      </patternFill>
    </fill>
    <fill>
      <patternFill patternType="solid">
        <fgColor rgb="FF0A6390"/>
        <bgColor indexed="64"/>
      </patternFill>
    </fill>
    <fill>
      <patternFill patternType="solid">
        <fgColor rgb="FF52314D"/>
        <bgColor indexed="64"/>
      </patternFill>
    </fill>
    <fill>
      <patternFill patternType="solid">
        <fgColor rgb="FFDB3F5D"/>
        <bgColor indexed="64"/>
      </patternFill>
    </fill>
    <fill>
      <patternFill patternType="solid">
        <fgColor rgb="FFF44A6C"/>
        <bgColor indexed="64"/>
      </patternFill>
    </fill>
    <fill>
      <patternFill patternType="solid">
        <fgColor rgb="FFF64867"/>
        <bgColor indexed="64"/>
      </patternFill>
    </fill>
    <fill>
      <patternFill patternType="solid">
        <fgColor rgb="FFF44967"/>
        <bgColor indexed="64"/>
      </patternFill>
    </fill>
    <fill>
      <patternFill patternType="solid">
        <fgColor rgb="FFF84865"/>
        <bgColor indexed="64"/>
      </patternFill>
    </fill>
    <fill>
      <patternFill patternType="solid">
        <fgColor rgb="FFEA4463"/>
        <bgColor indexed="64"/>
      </patternFill>
    </fill>
    <fill>
      <patternFill patternType="solid">
        <fgColor rgb="FF932540"/>
        <bgColor indexed="64"/>
      </patternFill>
    </fill>
    <fill>
      <patternFill patternType="solid">
        <fgColor rgb="FF781F2B"/>
        <bgColor indexed="64"/>
      </patternFill>
    </fill>
    <fill>
      <patternFill patternType="solid">
        <fgColor rgb="FFE4405A"/>
        <bgColor indexed="64"/>
      </patternFill>
    </fill>
    <fill>
      <patternFill patternType="solid">
        <fgColor rgb="FF8C273E"/>
        <bgColor indexed="64"/>
      </patternFill>
    </fill>
    <fill>
      <patternFill patternType="solid">
        <fgColor rgb="FF0B5F85"/>
        <bgColor indexed="64"/>
      </patternFill>
    </fill>
    <fill>
      <patternFill patternType="solid">
        <fgColor rgb="FF49527C"/>
        <bgColor indexed="64"/>
      </patternFill>
    </fill>
    <fill>
      <patternFill patternType="solid">
        <fgColor rgb="FF823852"/>
        <bgColor indexed="64"/>
      </patternFill>
    </fill>
    <fill>
      <patternFill patternType="solid">
        <fgColor rgb="FF086889"/>
        <bgColor indexed="64"/>
      </patternFill>
    </fill>
    <fill>
      <patternFill patternType="solid">
        <fgColor rgb="FF12729C"/>
        <bgColor indexed="64"/>
      </patternFill>
    </fill>
    <fill>
      <patternFill patternType="solid">
        <fgColor rgb="FF10709C"/>
        <bgColor indexed="64"/>
      </patternFill>
    </fill>
    <fill>
      <patternFill patternType="solid">
        <fgColor rgb="FF11709E"/>
        <bgColor indexed="64"/>
      </patternFill>
    </fill>
    <fill>
      <patternFill patternType="solid">
        <fgColor rgb="FF106E9A"/>
        <bgColor indexed="64"/>
      </patternFill>
    </fill>
    <fill>
      <patternFill patternType="solid">
        <fgColor rgb="FF106D9C"/>
        <bgColor indexed="64"/>
      </patternFill>
    </fill>
    <fill>
      <patternFill patternType="solid">
        <fgColor rgb="FF0E6A9A"/>
        <bgColor indexed="64"/>
      </patternFill>
    </fill>
    <fill>
      <patternFill patternType="solid">
        <fgColor rgb="FF6C9D35"/>
        <bgColor indexed="64"/>
      </patternFill>
    </fill>
    <fill>
      <patternFill patternType="solid">
        <fgColor rgb="FF6A9836"/>
        <bgColor indexed="64"/>
      </patternFill>
    </fill>
    <fill>
      <patternFill patternType="solid">
        <fgColor rgb="FF699A30"/>
        <bgColor indexed="64"/>
      </patternFill>
    </fill>
    <fill>
      <patternFill patternType="solid">
        <fgColor rgb="FF70A336"/>
        <bgColor indexed="64"/>
      </patternFill>
    </fill>
    <fill>
      <patternFill patternType="solid">
        <fgColor rgb="FF2A3B11"/>
        <bgColor indexed="64"/>
      </patternFill>
    </fill>
    <fill>
      <patternFill patternType="solid">
        <fgColor rgb="FF547026"/>
        <bgColor indexed="64"/>
      </patternFill>
    </fill>
    <fill>
      <patternFill patternType="solid">
        <fgColor rgb="FF71A535"/>
        <bgColor indexed="64"/>
      </patternFill>
    </fill>
    <fill>
      <patternFill patternType="solid">
        <fgColor rgb="FF6C9B33"/>
        <bgColor indexed="64"/>
      </patternFill>
    </fill>
    <fill>
      <patternFill patternType="solid">
        <fgColor rgb="FF6E9C34"/>
        <bgColor indexed="64"/>
      </patternFill>
    </fill>
    <fill>
      <patternFill patternType="solid">
        <fgColor rgb="FF719F37"/>
        <bgColor indexed="64"/>
      </patternFill>
    </fill>
    <fill>
      <patternFill patternType="solid">
        <fgColor rgb="FF709D37"/>
        <bgColor indexed="64"/>
      </patternFill>
    </fill>
    <fill>
      <patternFill patternType="solid">
        <fgColor rgb="FF709E37"/>
        <bgColor indexed="64"/>
      </patternFill>
    </fill>
    <fill>
      <patternFill patternType="solid">
        <fgColor rgb="FF6D8E30"/>
        <bgColor indexed="64"/>
      </patternFill>
    </fill>
    <fill>
      <patternFill patternType="solid">
        <fgColor rgb="FF8C822C"/>
        <bgColor indexed="64"/>
      </patternFill>
    </fill>
    <fill>
      <patternFill patternType="solid">
        <fgColor rgb="FFE0D236"/>
        <bgColor indexed="64"/>
      </patternFill>
    </fill>
    <fill>
      <patternFill patternType="solid">
        <fgColor rgb="FFC0BF31"/>
        <bgColor indexed="64"/>
      </patternFill>
    </fill>
    <fill>
      <patternFill patternType="solid">
        <fgColor rgb="FF5D8337"/>
        <bgColor indexed="64"/>
      </patternFill>
    </fill>
    <fill>
      <patternFill patternType="solid">
        <fgColor rgb="FF75A63C"/>
        <bgColor indexed="64"/>
      </patternFill>
    </fill>
    <fill>
      <patternFill patternType="solid">
        <fgColor rgb="FF77A640"/>
        <bgColor indexed="64"/>
      </patternFill>
    </fill>
    <fill>
      <patternFill patternType="solid">
        <fgColor rgb="FF79A644"/>
        <bgColor indexed="64"/>
      </patternFill>
    </fill>
    <fill>
      <patternFill patternType="solid">
        <fgColor rgb="FF7AA744"/>
        <bgColor indexed="64"/>
      </patternFill>
    </fill>
    <fill>
      <patternFill patternType="solid">
        <fgColor rgb="FF7CAC48"/>
        <bgColor indexed="64"/>
      </patternFill>
    </fill>
    <fill>
      <patternFill patternType="solid">
        <fgColor rgb="FF799B39"/>
        <bgColor indexed="64"/>
      </patternFill>
    </fill>
    <fill>
      <patternFill patternType="solid">
        <fgColor rgb="FF9A982F"/>
        <bgColor indexed="64"/>
      </patternFill>
    </fill>
    <fill>
      <patternFill patternType="solid">
        <fgColor rgb="FF84A74D"/>
        <bgColor indexed="64"/>
      </patternFill>
    </fill>
    <fill>
      <patternFill patternType="solid">
        <fgColor rgb="FF92BB57"/>
        <bgColor indexed="64"/>
      </patternFill>
    </fill>
    <fill>
      <patternFill patternType="solid">
        <fgColor rgb="FF89B04F"/>
        <bgColor indexed="64"/>
      </patternFill>
    </fill>
    <fill>
      <patternFill patternType="solid">
        <fgColor rgb="FF79A142"/>
        <bgColor indexed="64"/>
      </patternFill>
    </fill>
    <fill>
      <patternFill patternType="solid">
        <fgColor rgb="FF6E933D"/>
        <bgColor indexed="64"/>
      </patternFill>
    </fill>
    <fill>
      <patternFill patternType="solid">
        <fgColor rgb="FF4F7037"/>
        <bgColor indexed="64"/>
      </patternFill>
    </fill>
    <fill>
      <patternFill patternType="solid">
        <fgColor rgb="FF2A5C51"/>
        <bgColor indexed="64"/>
      </patternFill>
    </fill>
    <fill>
      <patternFill patternType="solid">
        <fgColor rgb="FF165D75"/>
        <bgColor indexed="64"/>
      </patternFill>
    </fill>
    <fill>
      <patternFill patternType="solid">
        <fgColor rgb="FF11749D"/>
        <bgColor indexed="64"/>
      </patternFill>
    </fill>
    <fill>
      <patternFill patternType="solid">
        <fgColor rgb="FF0C1212"/>
        <bgColor indexed="64"/>
      </patternFill>
    </fill>
    <fill>
      <patternFill patternType="solid">
        <fgColor rgb="FF2C3C24"/>
        <bgColor indexed="64"/>
      </patternFill>
    </fill>
    <fill>
      <patternFill patternType="solid">
        <fgColor rgb="FF12779A"/>
        <bgColor indexed="64"/>
      </patternFill>
    </fill>
    <fill>
      <patternFill patternType="solid">
        <fgColor rgb="FF1480A7"/>
        <bgColor indexed="64"/>
      </patternFill>
    </fill>
    <fill>
      <patternFill patternType="solid">
        <fgColor rgb="FF137FA6"/>
        <bgColor indexed="64"/>
      </patternFill>
    </fill>
    <fill>
      <patternFill patternType="solid">
        <fgColor rgb="FF1483AB"/>
        <bgColor indexed="64"/>
      </patternFill>
    </fill>
    <fill>
      <patternFill patternType="solid">
        <fgColor rgb="FF1483A9"/>
        <bgColor indexed="64"/>
      </patternFill>
    </fill>
    <fill>
      <patternFill patternType="solid">
        <fgColor rgb="FF1482A8"/>
        <bgColor indexed="64"/>
      </patternFill>
    </fill>
    <fill>
      <patternFill patternType="solid">
        <fgColor rgb="FF11789E"/>
        <bgColor indexed="64"/>
      </patternFill>
    </fill>
    <fill>
      <patternFill patternType="solid">
        <fgColor rgb="FF3E5036"/>
        <bgColor indexed="64"/>
      </patternFill>
    </fill>
    <fill>
      <patternFill patternType="solid">
        <fgColor rgb="FF7F751B"/>
        <bgColor indexed="64"/>
      </patternFill>
    </fill>
    <fill>
      <patternFill patternType="solid">
        <fgColor rgb="FF267170"/>
        <bgColor indexed="64"/>
      </patternFill>
    </fill>
    <fill>
      <patternFill patternType="solid">
        <fgColor rgb="FF1182AF"/>
        <bgColor indexed="64"/>
      </patternFill>
    </fill>
    <fill>
      <patternFill patternType="solid">
        <fgColor rgb="FF157DA4"/>
        <bgColor indexed="64"/>
      </patternFill>
    </fill>
    <fill>
      <patternFill patternType="solid">
        <fgColor rgb="FF1383AA"/>
        <bgColor indexed="64"/>
      </patternFill>
    </fill>
    <fill>
      <patternFill patternType="solid">
        <fgColor rgb="FF137CA5"/>
        <bgColor indexed="64"/>
      </patternFill>
    </fill>
    <fill>
      <patternFill patternType="solid">
        <fgColor rgb="FF127198"/>
        <bgColor indexed="64"/>
      </patternFill>
    </fill>
    <fill>
      <patternFill patternType="solid">
        <fgColor rgb="FF10759E"/>
        <bgColor indexed="64"/>
      </patternFill>
    </fill>
    <fill>
      <patternFill patternType="solid">
        <fgColor rgb="FF1A5869"/>
        <bgColor indexed="64"/>
      </patternFill>
    </fill>
    <fill>
      <patternFill patternType="solid">
        <fgColor rgb="FF3C320A"/>
        <bgColor indexed="64"/>
      </patternFill>
    </fill>
    <fill>
      <patternFill patternType="solid">
        <fgColor rgb="FF565922"/>
        <bgColor indexed="64"/>
      </patternFill>
    </fill>
    <fill>
      <patternFill patternType="solid">
        <fgColor rgb="FF19748A"/>
        <bgColor indexed="64"/>
      </patternFill>
    </fill>
    <fill>
      <patternFill patternType="solid">
        <fgColor rgb="FF1382AF"/>
        <bgColor indexed="64"/>
      </patternFill>
    </fill>
    <fill>
      <patternFill patternType="solid">
        <fgColor rgb="FF0F79A6"/>
        <bgColor indexed="64"/>
      </patternFill>
    </fill>
    <fill>
      <patternFill patternType="solid">
        <fgColor rgb="FF2B5378"/>
        <bgColor indexed="64"/>
      </patternFill>
    </fill>
    <fill>
      <patternFill patternType="solid">
        <fgColor rgb="FF99354C"/>
        <bgColor indexed="64"/>
      </patternFill>
    </fill>
    <fill>
      <patternFill patternType="solid">
        <fgColor rgb="FFDA3750"/>
        <bgColor indexed="64"/>
      </patternFill>
    </fill>
    <fill>
      <patternFill patternType="solid">
        <fgColor rgb="FFFD4564"/>
        <bgColor indexed="64"/>
      </patternFill>
    </fill>
    <fill>
      <patternFill patternType="solid">
        <fgColor rgb="FFF3476A"/>
        <bgColor indexed="64"/>
      </patternFill>
    </fill>
    <fill>
      <patternFill patternType="solid">
        <fgColor rgb="FFC83856"/>
        <bgColor indexed="64"/>
      </patternFill>
    </fill>
    <fill>
      <patternFill patternType="solid">
        <fgColor rgb="FFF0435E"/>
        <bgColor indexed="64"/>
      </patternFill>
    </fill>
    <fill>
      <patternFill patternType="solid">
        <fgColor rgb="FFDB3C5A"/>
        <bgColor indexed="64"/>
      </patternFill>
    </fill>
    <fill>
      <patternFill patternType="solid">
        <fgColor rgb="FFB43148"/>
        <bgColor indexed="64"/>
      </patternFill>
    </fill>
    <fill>
      <patternFill patternType="solid">
        <fgColor rgb="FF401D2C"/>
        <bgColor indexed="64"/>
      </patternFill>
    </fill>
    <fill>
      <patternFill patternType="solid">
        <fgColor rgb="FF862D36"/>
        <bgColor indexed="64"/>
      </patternFill>
    </fill>
    <fill>
      <patternFill patternType="solid">
        <fgColor rgb="FFEB405E"/>
        <bgColor indexed="64"/>
      </patternFill>
    </fill>
    <fill>
      <patternFill patternType="solid">
        <fgColor rgb="FF4C1A29"/>
        <bgColor indexed="64"/>
      </patternFill>
    </fill>
    <fill>
      <patternFill patternType="solid">
        <fgColor rgb="FF085F80"/>
        <bgColor indexed="64"/>
      </patternFill>
    </fill>
    <fill>
      <patternFill patternType="solid">
        <fgColor rgb="FF184B77"/>
        <bgColor indexed="64"/>
      </patternFill>
    </fill>
    <fill>
      <patternFill patternType="solid">
        <fgColor rgb="FF1D3C53"/>
        <bgColor indexed="64"/>
      </patternFill>
    </fill>
    <fill>
      <patternFill patternType="solid">
        <fgColor rgb="FF0F74A1"/>
        <bgColor indexed="64"/>
      </patternFill>
    </fill>
    <fill>
      <patternFill patternType="solid">
        <fgColor rgb="FF0F6D9A"/>
        <bgColor indexed="64"/>
      </patternFill>
    </fill>
    <fill>
      <patternFill patternType="solid">
        <fgColor rgb="FF11739E"/>
        <bgColor indexed="64"/>
      </patternFill>
    </fill>
    <fill>
      <patternFill patternType="solid">
        <fgColor rgb="FF106D99"/>
        <bgColor indexed="64"/>
      </patternFill>
    </fill>
    <fill>
      <patternFill patternType="solid">
        <fgColor rgb="FF0E6C9A"/>
        <bgColor indexed="64"/>
      </patternFill>
    </fill>
    <fill>
      <patternFill patternType="solid">
        <fgColor rgb="FF0F6F9B"/>
        <bgColor indexed="64"/>
      </patternFill>
    </fill>
    <fill>
      <patternFill patternType="solid">
        <fgColor rgb="FF116E9C"/>
        <bgColor indexed="64"/>
      </patternFill>
    </fill>
    <fill>
      <patternFill patternType="solid">
        <fgColor rgb="FF0E6A9B"/>
        <bgColor indexed="64"/>
      </patternFill>
    </fill>
    <fill>
      <patternFill patternType="solid">
        <fgColor rgb="FF6C9D36"/>
        <bgColor indexed="64"/>
      </patternFill>
    </fill>
    <fill>
      <patternFill patternType="solid">
        <fgColor rgb="FF699834"/>
        <bgColor indexed="64"/>
      </patternFill>
    </fill>
    <fill>
      <patternFill patternType="solid">
        <fgColor rgb="FF699935"/>
        <bgColor indexed="64"/>
      </patternFill>
    </fill>
    <fill>
      <patternFill patternType="solid">
        <fgColor rgb="FF6A9C31"/>
        <bgColor indexed="64"/>
      </patternFill>
    </fill>
    <fill>
      <patternFill patternType="solid">
        <fgColor rgb="FF4C5B21"/>
        <bgColor indexed="64"/>
      </patternFill>
    </fill>
    <fill>
      <patternFill patternType="solid">
        <fgColor rgb="FF608329"/>
        <bgColor indexed="64"/>
      </patternFill>
    </fill>
    <fill>
      <patternFill patternType="solid">
        <fgColor rgb="FF6EA132"/>
        <bgColor indexed="64"/>
      </patternFill>
    </fill>
    <fill>
      <patternFill patternType="solid">
        <fgColor rgb="FF6B9B34"/>
        <bgColor indexed="64"/>
      </patternFill>
    </fill>
    <fill>
      <patternFill patternType="solid">
        <fgColor rgb="FF6E9D34"/>
        <bgColor indexed="64"/>
      </patternFill>
    </fill>
    <fill>
      <patternFill patternType="solid">
        <fgColor rgb="FF6E9D35"/>
        <bgColor indexed="64"/>
      </patternFill>
    </fill>
    <fill>
      <patternFill patternType="solid">
        <fgColor rgb="FF6F9F36"/>
        <bgColor indexed="64"/>
      </patternFill>
    </fill>
    <fill>
      <patternFill patternType="solid">
        <fgColor rgb="FF72A33B"/>
        <bgColor indexed="64"/>
      </patternFill>
    </fill>
    <fill>
      <patternFill patternType="solid">
        <fgColor rgb="FF5C7429"/>
        <bgColor indexed="64"/>
      </patternFill>
    </fill>
    <fill>
      <patternFill patternType="solid">
        <fgColor rgb="FF564D19"/>
        <bgColor indexed="64"/>
      </patternFill>
    </fill>
    <fill>
      <patternFill patternType="solid">
        <fgColor rgb="FFF2E537"/>
        <bgColor indexed="64"/>
      </patternFill>
    </fill>
    <fill>
      <patternFill patternType="solid">
        <fgColor rgb="FFBEBD32"/>
        <bgColor indexed="64"/>
      </patternFill>
    </fill>
    <fill>
      <patternFill patternType="solid">
        <fgColor rgb="FF638A39"/>
        <bgColor indexed="64"/>
      </patternFill>
    </fill>
    <fill>
      <patternFill patternType="solid">
        <fgColor rgb="FF77A43E"/>
        <bgColor indexed="64"/>
      </patternFill>
    </fill>
    <fill>
      <patternFill patternType="solid">
        <fgColor rgb="FF71A13B"/>
        <bgColor indexed="64"/>
      </patternFill>
    </fill>
    <fill>
      <patternFill patternType="solid">
        <fgColor rgb="FF73A53D"/>
        <bgColor indexed="64"/>
      </patternFill>
    </fill>
    <fill>
      <patternFill patternType="solid">
        <fgColor rgb="FF75A341"/>
        <bgColor indexed="64"/>
      </patternFill>
    </fill>
    <fill>
      <patternFill patternType="solid">
        <fgColor rgb="FF7AA947"/>
        <bgColor indexed="64"/>
      </patternFill>
    </fill>
    <fill>
      <patternFill patternType="solid">
        <fgColor rgb="FF79A744"/>
        <bgColor indexed="64"/>
      </patternFill>
    </fill>
    <fill>
      <patternFill patternType="solid">
        <fgColor rgb="FF78A942"/>
        <bgColor indexed="64"/>
      </patternFill>
    </fill>
    <fill>
      <patternFill patternType="solid">
        <fgColor rgb="FF729338"/>
        <bgColor indexed="64"/>
      </patternFill>
    </fill>
    <fill>
      <patternFill patternType="solid">
        <fgColor rgb="FF949130"/>
        <bgColor indexed="64"/>
      </patternFill>
    </fill>
    <fill>
      <patternFill patternType="solid">
        <fgColor rgb="FF779D43"/>
        <bgColor indexed="64"/>
      </patternFill>
    </fill>
    <fill>
      <patternFill patternType="solid">
        <fgColor rgb="FF7EAD4E"/>
        <bgColor indexed="64"/>
      </patternFill>
    </fill>
    <fill>
      <patternFill patternType="solid">
        <fgColor rgb="FF79A849"/>
        <bgColor indexed="64"/>
      </patternFill>
    </fill>
    <fill>
      <patternFill patternType="solid">
        <fgColor rgb="FF7FAE4D"/>
        <bgColor indexed="64"/>
      </patternFill>
    </fill>
    <fill>
      <patternFill patternType="solid">
        <fgColor rgb="FF7FAD4D"/>
        <bgColor indexed="64"/>
      </patternFill>
    </fill>
    <fill>
      <patternFill patternType="solid">
        <fgColor rgb="FF7FAF4B"/>
        <bgColor indexed="64"/>
      </patternFill>
    </fill>
    <fill>
      <patternFill patternType="solid">
        <fgColor rgb="FF7CA73C"/>
        <bgColor indexed="64"/>
      </patternFill>
    </fill>
    <fill>
      <patternFill patternType="solid">
        <fgColor rgb="FF749A43"/>
        <bgColor indexed="64"/>
      </patternFill>
    </fill>
    <fill>
      <patternFill patternType="solid">
        <fgColor rgb="FF296D70"/>
        <bgColor indexed="64"/>
      </patternFill>
    </fill>
    <fill>
      <patternFill patternType="solid">
        <fgColor rgb="FF117CA6"/>
        <bgColor indexed="64"/>
      </patternFill>
    </fill>
    <fill>
      <patternFill patternType="solid">
        <fgColor rgb="FF1382AC"/>
        <bgColor indexed="64"/>
      </patternFill>
    </fill>
    <fill>
      <patternFill patternType="solid">
        <fgColor rgb="FF1A6374"/>
        <bgColor indexed="64"/>
      </patternFill>
    </fill>
    <fill>
      <patternFill patternType="solid">
        <fgColor rgb="FF867B1D"/>
        <bgColor indexed="64"/>
      </patternFill>
    </fill>
    <fill>
      <patternFill patternType="solid">
        <fgColor rgb="FF3C5A39"/>
        <bgColor indexed="64"/>
      </patternFill>
    </fill>
    <fill>
      <patternFill patternType="solid">
        <fgColor rgb="FF107DA2"/>
        <bgColor indexed="64"/>
      </patternFill>
    </fill>
    <fill>
      <patternFill patternType="solid">
        <fgColor rgb="FF1582A6"/>
        <bgColor indexed="64"/>
      </patternFill>
    </fill>
    <fill>
      <patternFill patternType="solid">
        <fgColor rgb="FF1482A6"/>
        <bgColor indexed="64"/>
      </patternFill>
    </fill>
    <fill>
      <patternFill patternType="solid">
        <fgColor rgb="FF1583A8"/>
        <bgColor indexed="64"/>
      </patternFill>
    </fill>
    <fill>
      <patternFill patternType="solid">
        <fgColor rgb="FF1480A5"/>
        <bgColor indexed="64"/>
      </patternFill>
    </fill>
    <fill>
      <patternFill patternType="solid">
        <fgColor rgb="FF137C9F"/>
        <bgColor indexed="64"/>
      </patternFill>
    </fill>
    <fill>
      <patternFill patternType="solid">
        <fgColor rgb="FF0A6B8D"/>
        <bgColor indexed="64"/>
      </patternFill>
    </fill>
    <fill>
      <patternFill patternType="solid">
        <fgColor rgb="FF707E3A"/>
        <bgColor indexed="64"/>
      </patternFill>
    </fill>
    <fill>
      <patternFill patternType="solid">
        <fgColor rgb="FF267371"/>
        <bgColor indexed="64"/>
      </patternFill>
    </fill>
    <fill>
      <patternFill patternType="solid">
        <fgColor rgb="FF107FAE"/>
        <bgColor indexed="64"/>
      </patternFill>
    </fill>
    <fill>
      <patternFill patternType="solid">
        <fgColor rgb="FF1480A8"/>
        <bgColor indexed="64"/>
      </patternFill>
    </fill>
    <fill>
      <patternFill patternType="solid">
        <fgColor rgb="FF165162"/>
        <bgColor indexed="64"/>
      </patternFill>
    </fill>
    <fill>
      <patternFill patternType="solid">
        <fgColor rgb="FF695C13"/>
        <bgColor indexed="64"/>
      </patternFill>
    </fill>
    <fill>
      <patternFill patternType="solid">
        <fgColor rgb="FF6F6E21"/>
        <bgColor indexed="64"/>
      </patternFill>
    </fill>
    <fill>
      <patternFill patternType="solid">
        <fgColor rgb="FF196D80"/>
        <bgColor indexed="64"/>
      </patternFill>
    </fill>
    <fill>
      <patternFill patternType="solid">
        <fgColor rgb="FF117EAD"/>
        <bgColor indexed="64"/>
      </patternFill>
    </fill>
    <fill>
      <patternFill patternType="solid">
        <fgColor rgb="FF137DA7"/>
        <bgColor indexed="64"/>
      </patternFill>
    </fill>
    <fill>
      <patternFill patternType="solid">
        <fgColor rgb="FF137CA9"/>
        <bgColor indexed="64"/>
      </patternFill>
    </fill>
    <fill>
      <patternFill patternType="solid">
        <fgColor rgb="FF1178A3"/>
        <bgColor indexed="64"/>
      </patternFill>
    </fill>
    <fill>
      <patternFill patternType="solid">
        <fgColor rgb="FF1B638A"/>
        <bgColor indexed="64"/>
      </patternFill>
    </fill>
    <fill>
      <patternFill patternType="solid">
        <fgColor rgb="FF405579"/>
        <bgColor indexed="64"/>
      </patternFill>
    </fill>
    <fill>
      <patternFill patternType="solid">
        <fgColor rgb="FF484769"/>
        <bgColor indexed="64"/>
      </patternFill>
    </fill>
    <fill>
      <patternFill patternType="solid">
        <fgColor rgb="FF61334E"/>
        <bgColor indexed="64"/>
      </patternFill>
    </fill>
    <fill>
      <patternFill patternType="solid">
        <fgColor rgb="FFD73D52"/>
        <bgColor indexed="64"/>
      </patternFill>
    </fill>
    <fill>
      <patternFill patternType="solid">
        <fgColor rgb="FFCC3C57"/>
        <bgColor indexed="64"/>
      </patternFill>
    </fill>
    <fill>
      <patternFill patternType="solid">
        <fgColor rgb="FF972636"/>
        <bgColor indexed="64"/>
      </patternFill>
    </fill>
    <fill>
      <patternFill patternType="solid">
        <fgColor rgb="FFA83B51"/>
        <bgColor indexed="64"/>
      </patternFill>
    </fill>
    <fill>
      <patternFill patternType="solid">
        <fgColor rgb="FF32334F"/>
        <bgColor indexed="64"/>
      </patternFill>
    </fill>
    <fill>
      <patternFill patternType="solid">
        <fgColor rgb="FFBB3549"/>
        <bgColor indexed="64"/>
      </patternFill>
    </fill>
    <fill>
      <patternFill patternType="solid">
        <fgColor rgb="FF852940"/>
        <bgColor indexed="64"/>
      </patternFill>
    </fill>
    <fill>
      <patternFill patternType="solid">
        <fgColor rgb="FF0F120B"/>
        <bgColor indexed="64"/>
      </patternFill>
    </fill>
    <fill>
      <patternFill patternType="solid">
        <fgColor rgb="FF115C79"/>
        <bgColor indexed="64"/>
      </patternFill>
    </fill>
    <fill>
      <patternFill patternType="solid">
        <fgColor rgb="FF0C6589"/>
        <bgColor indexed="64"/>
      </patternFill>
    </fill>
    <fill>
      <patternFill patternType="solid">
        <fgColor rgb="FF11709B"/>
        <bgColor indexed="64"/>
      </patternFill>
    </fill>
    <fill>
      <patternFill patternType="solid">
        <fgColor rgb="FF0F6D9B"/>
        <bgColor indexed="64"/>
      </patternFill>
    </fill>
    <fill>
      <patternFill patternType="solid">
        <fgColor rgb="FF0F6A97"/>
        <bgColor indexed="64"/>
      </patternFill>
    </fill>
    <fill>
      <patternFill patternType="solid">
        <fgColor rgb="FF0F6B99"/>
        <bgColor indexed="64"/>
      </patternFill>
    </fill>
    <fill>
      <patternFill patternType="solid">
        <fgColor rgb="FF106C9B"/>
        <bgColor indexed="64"/>
      </patternFill>
    </fill>
    <fill>
      <patternFill patternType="solid">
        <fgColor rgb="FF6B9E37"/>
        <bgColor indexed="64"/>
      </patternFill>
    </fill>
    <fill>
      <patternFill patternType="solid">
        <fgColor rgb="FF669933"/>
        <bgColor indexed="64"/>
      </patternFill>
    </fill>
    <fill>
      <patternFill patternType="solid">
        <fgColor rgb="FF689933"/>
        <bgColor indexed="64"/>
      </patternFill>
    </fill>
    <fill>
      <patternFill patternType="solid">
        <fgColor rgb="FF6B9D30"/>
        <bgColor indexed="64"/>
      </patternFill>
    </fill>
    <fill>
      <patternFill patternType="solid">
        <fgColor rgb="FF63932F"/>
        <bgColor indexed="64"/>
      </patternFill>
    </fill>
    <fill>
      <patternFill patternType="solid">
        <fgColor rgb="FF8B9536"/>
        <bgColor indexed="64"/>
      </patternFill>
    </fill>
    <fill>
      <patternFill patternType="solid">
        <fgColor rgb="FF759731"/>
        <bgColor indexed="64"/>
      </patternFill>
    </fill>
    <fill>
      <patternFill patternType="solid">
        <fgColor rgb="FF689C2F"/>
        <bgColor indexed="64"/>
      </patternFill>
    </fill>
    <fill>
      <patternFill patternType="solid">
        <fgColor rgb="FF6A9C30"/>
        <bgColor indexed="64"/>
      </patternFill>
    </fill>
    <fill>
      <patternFill patternType="solid">
        <fgColor rgb="FF6C9C35"/>
        <bgColor indexed="64"/>
      </patternFill>
    </fill>
    <fill>
      <patternFill patternType="solid">
        <fgColor rgb="FF6E9F36"/>
        <bgColor indexed="64"/>
      </patternFill>
    </fill>
    <fill>
      <patternFill patternType="solid">
        <fgColor rgb="FF6E9E36"/>
        <bgColor indexed="64"/>
      </patternFill>
    </fill>
    <fill>
      <patternFill patternType="solid">
        <fgColor rgb="FF6E9D36"/>
        <bgColor indexed="64"/>
      </patternFill>
    </fill>
    <fill>
      <patternFill patternType="solid">
        <fgColor rgb="FF72A437"/>
        <bgColor indexed="64"/>
      </patternFill>
    </fill>
    <fill>
      <patternFill patternType="solid">
        <fgColor rgb="FF47591F"/>
        <bgColor indexed="64"/>
      </patternFill>
    </fill>
    <fill>
      <patternFill patternType="solid">
        <fgColor rgb="FF443C19"/>
        <bgColor indexed="64"/>
      </patternFill>
    </fill>
    <fill>
      <patternFill patternType="solid">
        <fgColor rgb="FFD4C434"/>
        <bgColor indexed="64"/>
      </patternFill>
    </fill>
    <fill>
      <patternFill patternType="solid">
        <fgColor rgb="FFB7B632"/>
        <bgColor indexed="64"/>
      </patternFill>
    </fill>
    <fill>
      <patternFill patternType="solid">
        <fgColor rgb="FF5E8839"/>
        <bgColor indexed="64"/>
      </patternFill>
    </fill>
    <fill>
      <patternFill patternType="solid">
        <fgColor rgb="FF75A43E"/>
        <bgColor indexed="64"/>
      </patternFill>
    </fill>
    <fill>
      <patternFill patternType="solid">
        <fgColor rgb="FF71A03E"/>
        <bgColor indexed="64"/>
      </patternFill>
    </fill>
    <fill>
      <patternFill patternType="solid">
        <fgColor rgb="FF72A33E"/>
        <bgColor indexed="64"/>
      </patternFill>
    </fill>
    <fill>
      <patternFill patternType="solid">
        <fgColor rgb="FF74A240"/>
        <bgColor indexed="64"/>
      </patternFill>
    </fill>
    <fill>
      <patternFill patternType="solid">
        <fgColor rgb="FF78A546"/>
        <bgColor indexed="64"/>
      </patternFill>
    </fill>
    <fill>
      <patternFill patternType="solid">
        <fgColor rgb="FF7CAD47"/>
        <bgColor indexed="64"/>
      </patternFill>
    </fill>
    <fill>
      <patternFill patternType="solid">
        <fgColor rgb="FF5E8032"/>
        <bgColor indexed="64"/>
      </patternFill>
    </fill>
    <fill>
      <patternFill patternType="solid">
        <fgColor rgb="FF3C3E12"/>
        <bgColor indexed="64"/>
      </patternFill>
    </fill>
    <fill>
      <patternFill patternType="solid">
        <fgColor rgb="FF7BA148"/>
        <bgColor indexed="64"/>
      </patternFill>
    </fill>
    <fill>
      <patternFill patternType="solid">
        <fgColor rgb="FF7FAE4C"/>
        <bgColor indexed="64"/>
      </patternFill>
    </fill>
    <fill>
      <patternFill patternType="solid">
        <fgColor rgb="FF7AA846"/>
        <bgColor indexed="64"/>
      </patternFill>
    </fill>
    <fill>
      <patternFill patternType="solid">
        <fgColor rgb="FF7DAB47"/>
        <bgColor indexed="64"/>
      </patternFill>
    </fill>
    <fill>
      <patternFill patternType="solid">
        <fgColor rgb="FF7DAD48"/>
        <bgColor indexed="64"/>
      </patternFill>
    </fill>
    <fill>
      <patternFill patternType="solid">
        <fgColor rgb="FF78A746"/>
        <bgColor indexed="64"/>
      </patternFill>
    </fill>
    <fill>
      <patternFill patternType="solid">
        <fgColor rgb="FF78A946"/>
        <bgColor indexed="64"/>
      </patternFill>
    </fill>
    <fill>
      <patternFill patternType="solid">
        <fgColor rgb="FF709940"/>
        <bgColor indexed="64"/>
      </patternFill>
    </fill>
    <fill>
      <patternFill patternType="solid">
        <fgColor rgb="FF4E7A4B"/>
        <bgColor indexed="64"/>
      </patternFill>
    </fill>
    <fill>
      <patternFill patternType="solid">
        <fgColor rgb="FF127395"/>
        <bgColor indexed="64"/>
      </patternFill>
    </fill>
    <fill>
      <patternFill patternType="solid">
        <fgColor rgb="FF1487B0"/>
        <bgColor indexed="64"/>
      </patternFill>
    </fill>
    <fill>
      <patternFill patternType="solid">
        <fgColor rgb="FF1E666C"/>
        <bgColor indexed="64"/>
      </patternFill>
    </fill>
    <fill>
      <patternFill patternType="solid">
        <fgColor rgb="FFEFDD2C"/>
        <bgColor indexed="64"/>
      </patternFill>
    </fill>
    <fill>
      <patternFill patternType="solid">
        <fgColor rgb="FF58814A"/>
        <bgColor indexed="64"/>
      </patternFill>
    </fill>
    <fill>
      <patternFill patternType="solid">
        <fgColor rgb="FF0B82AA"/>
        <bgColor indexed="64"/>
      </patternFill>
    </fill>
    <fill>
      <patternFill patternType="solid">
        <fgColor rgb="FF1889AB"/>
        <bgColor indexed="64"/>
      </patternFill>
    </fill>
    <fill>
      <patternFill patternType="solid">
        <fgColor rgb="FF1687AA"/>
        <bgColor indexed="64"/>
      </patternFill>
    </fill>
    <fill>
      <patternFill patternType="solid">
        <fgColor rgb="FF1788A8"/>
        <bgColor indexed="64"/>
      </patternFill>
    </fill>
    <fill>
      <patternFill patternType="solid">
        <fgColor rgb="FF1581A2"/>
        <bgColor indexed="64"/>
      </patternFill>
    </fill>
    <fill>
      <patternFill patternType="solid">
        <fgColor rgb="FF1781A3"/>
        <bgColor indexed="64"/>
      </patternFill>
    </fill>
    <fill>
      <patternFill patternType="solid">
        <fgColor rgb="FF056690"/>
        <bgColor indexed="64"/>
      </patternFill>
    </fill>
    <fill>
      <patternFill patternType="solid">
        <fgColor rgb="FF97A03C"/>
        <bgColor indexed="64"/>
      </patternFill>
    </fill>
    <fill>
      <patternFill patternType="solid">
        <fgColor rgb="FFEDE02F"/>
        <bgColor indexed="64"/>
      </patternFill>
    </fill>
    <fill>
      <patternFill patternType="solid">
        <fgColor rgb="FF1E6F71"/>
        <bgColor indexed="64"/>
      </patternFill>
    </fill>
    <fill>
      <patternFill patternType="solid">
        <fgColor rgb="FF107FAA"/>
        <bgColor indexed="64"/>
      </patternFill>
    </fill>
    <fill>
      <patternFill patternType="solid">
        <fgColor rgb="FF147DA2"/>
        <bgColor indexed="64"/>
      </patternFill>
    </fill>
    <fill>
      <patternFill patternType="solid">
        <fgColor rgb="FF147EA7"/>
        <bgColor indexed="64"/>
      </patternFill>
    </fill>
    <fill>
      <patternFill patternType="solid">
        <fgColor rgb="FF1180AC"/>
        <bgColor indexed="64"/>
      </patternFill>
    </fill>
    <fill>
      <patternFill patternType="solid">
        <fgColor rgb="FF205F64"/>
        <bgColor indexed="64"/>
      </patternFill>
    </fill>
    <fill>
      <patternFill patternType="solid">
        <fgColor rgb="FFB1A425"/>
        <bgColor indexed="64"/>
      </patternFill>
    </fill>
    <fill>
      <patternFill patternType="solid">
        <fgColor rgb="FFB0AC2A"/>
        <bgColor indexed="64"/>
      </patternFill>
    </fill>
    <fill>
      <patternFill patternType="solid">
        <fgColor rgb="FF1B6771"/>
        <bgColor indexed="64"/>
      </patternFill>
    </fill>
    <fill>
      <patternFill patternType="solid">
        <fgColor rgb="FF1279A4"/>
        <bgColor indexed="64"/>
      </patternFill>
    </fill>
    <fill>
      <patternFill patternType="solid">
        <fgColor rgb="FF127CA6"/>
        <bgColor indexed="64"/>
      </patternFill>
    </fill>
    <fill>
      <patternFill patternType="solid">
        <fgColor rgb="FF1279A5"/>
        <bgColor indexed="64"/>
      </patternFill>
    </fill>
    <fill>
      <patternFill patternType="solid">
        <fgColor rgb="FF0F79AB"/>
        <bgColor indexed="64"/>
      </patternFill>
    </fill>
    <fill>
      <patternFill patternType="solid">
        <fgColor rgb="FF066EA2"/>
        <bgColor indexed="64"/>
      </patternFill>
    </fill>
    <fill>
      <patternFill patternType="solid">
        <fgColor rgb="FF3B476B"/>
        <bgColor indexed="64"/>
      </patternFill>
    </fill>
    <fill>
      <patternFill patternType="solid">
        <fgColor rgb="FFB1384F"/>
        <bgColor indexed="64"/>
      </patternFill>
    </fill>
    <fill>
      <patternFill patternType="solid">
        <fgColor rgb="FF9F2D4A"/>
        <bgColor indexed="64"/>
      </patternFill>
    </fill>
    <fill>
      <patternFill patternType="solid">
        <fgColor rgb="FF3A1C19"/>
        <bgColor indexed="64"/>
      </patternFill>
    </fill>
    <fill>
      <patternFill patternType="solid">
        <fgColor rgb="FF6A322F"/>
        <bgColor indexed="64"/>
      </patternFill>
    </fill>
    <fill>
      <patternFill patternType="solid">
        <fgColor rgb="FF3D5D82"/>
        <bgColor indexed="64"/>
      </patternFill>
    </fill>
    <fill>
      <patternFill patternType="solid">
        <fgColor rgb="FF194868"/>
        <bgColor indexed="64"/>
      </patternFill>
    </fill>
    <fill>
      <patternFill patternType="solid">
        <fgColor rgb="FF34435F"/>
        <bgColor indexed="64"/>
      </patternFill>
    </fill>
    <fill>
      <patternFill patternType="solid">
        <fgColor rgb="FF0C1F22"/>
        <bgColor indexed="64"/>
      </patternFill>
    </fill>
    <fill>
      <patternFill patternType="solid">
        <fgColor rgb="FF31340D"/>
        <bgColor indexed="64"/>
      </patternFill>
    </fill>
    <fill>
      <patternFill patternType="solid">
        <fgColor rgb="FF105E79"/>
        <bgColor indexed="64"/>
      </patternFill>
    </fill>
    <fill>
      <patternFill patternType="solid">
        <fgColor rgb="FF1177A3"/>
        <bgColor indexed="64"/>
      </patternFill>
    </fill>
    <fill>
      <patternFill patternType="solid">
        <fgColor rgb="FF11719D"/>
        <bgColor indexed="64"/>
      </patternFill>
    </fill>
    <fill>
      <patternFill patternType="solid">
        <fgColor rgb="FF0F6E9A"/>
        <bgColor indexed="64"/>
      </patternFill>
    </fill>
    <fill>
      <patternFill patternType="solid">
        <fgColor rgb="FF0F6B97"/>
        <bgColor indexed="64"/>
      </patternFill>
    </fill>
    <fill>
      <patternFill patternType="solid">
        <fgColor rgb="FF0F6A98"/>
        <bgColor indexed="64"/>
      </patternFill>
    </fill>
    <fill>
      <patternFill patternType="solid">
        <fgColor rgb="FF0F6998"/>
        <bgColor indexed="64"/>
      </patternFill>
    </fill>
    <fill>
      <patternFill patternType="solid">
        <fgColor rgb="FF0E6A98"/>
        <bgColor indexed="64"/>
      </patternFill>
    </fill>
    <fill>
      <patternFill patternType="solid">
        <fgColor rgb="FF106C9A"/>
        <bgColor indexed="64"/>
      </patternFill>
    </fill>
    <fill>
      <patternFill patternType="solid">
        <fgColor rgb="FF0E6C9E"/>
        <bgColor indexed="64"/>
      </patternFill>
    </fill>
    <fill>
      <patternFill patternType="solid">
        <fgColor rgb="FF6B9E35"/>
        <bgColor indexed="64"/>
      </patternFill>
    </fill>
    <fill>
      <patternFill patternType="solid">
        <fgColor rgb="FF679834"/>
        <bgColor indexed="64"/>
      </patternFill>
    </fill>
    <fill>
      <patternFill patternType="solid">
        <fgColor rgb="FF689932"/>
        <bgColor indexed="64"/>
      </patternFill>
    </fill>
    <fill>
      <patternFill patternType="solid">
        <fgColor rgb="FF6A9B31"/>
        <bgColor indexed="64"/>
      </patternFill>
    </fill>
    <fill>
      <patternFill patternType="solid">
        <fgColor rgb="FF66992F"/>
        <bgColor indexed="64"/>
      </patternFill>
    </fill>
    <fill>
      <patternFill patternType="solid">
        <fgColor rgb="FF64722B"/>
        <bgColor indexed="64"/>
      </patternFill>
    </fill>
    <fill>
      <patternFill patternType="solid">
        <fgColor rgb="FF66882C"/>
        <bgColor indexed="64"/>
      </patternFill>
    </fill>
    <fill>
      <patternFill patternType="solid">
        <fgColor rgb="FF6A9E30"/>
        <bgColor indexed="64"/>
      </patternFill>
    </fill>
    <fill>
      <patternFill patternType="solid">
        <fgColor rgb="FF6A9B30"/>
        <bgColor indexed="64"/>
      </patternFill>
    </fill>
    <fill>
      <patternFill patternType="solid">
        <fgColor rgb="FF6C9C33"/>
        <bgColor indexed="64"/>
      </patternFill>
    </fill>
    <fill>
      <patternFill patternType="solid">
        <fgColor rgb="FF71A134"/>
        <bgColor indexed="64"/>
      </patternFill>
    </fill>
    <fill>
      <patternFill patternType="solid">
        <fgColor rgb="FF699C35"/>
        <bgColor indexed="64"/>
      </patternFill>
    </fill>
    <fill>
      <patternFill patternType="solid">
        <fgColor rgb="FF6E9E35"/>
        <bgColor indexed="64"/>
      </patternFill>
    </fill>
    <fill>
      <patternFill patternType="solid">
        <fgColor rgb="FF709C36"/>
        <bgColor indexed="64"/>
      </patternFill>
    </fill>
    <fill>
      <patternFill patternType="solid">
        <fgColor rgb="FF26320C"/>
        <bgColor indexed="64"/>
      </patternFill>
    </fill>
    <fill>
      <patternFill patternType="solid">
        <fgColor rgb="FF1E1B0A"/>
        <bgColor indexed="64"/>
      </patternFill>
    </fill>
    <fill>
      <patternFill patternType="solid">
        <fgColor rgb="FF897D23"/>
        <bgColor indexed="64"/>
      </patternFill>
    </fill>
    <fill>
      <patternFill patternType="solid">
        <fgColor rgb="FF9FA135"/>
        <bgColor indexed="64"/>
      </patternFill>
    </fill>
    <fill>
      <patternFill patternType="solid">
        <fgColor rgb="FF608B3B"/>
        <bgColor indexed="64"/>
      </patternFill>
    </fill>
    <fill>
      <patternFill patternType="solid">
        <fgColor rgb="FF74A33C"/>
        <bgColor indexed="64"/>
      </patternFill>
    </fill>
    <fill>
      <patternFill patternType="solid">
        <fgColor rgb="FF70A03D"/>
        <bgColor indexed="64"/>
      </patternFill>
    </fill>
    <fill>
      <patternFill patternType="solid">
        <fgColor rgb="FF70A23D"/>
        <bgColor indexed="64"/>
      </patternFill>
    </fill>
    <fill>
      <patternFill patternType="solid">
        <fgColor rgb="FF74A341"/>
        <bgColor indexed="64"/>
      </patternFill>
    </fill>
    <fill>
      <patternFill patternType="solid">
        <fgColor rgb="FF78A443"/>
        <bgColor indexed="64"/>
      </patternFill>
    </fill>
    <fill>
      <patternFill patternType="solid">
        <fgColor rgb="FF77A545"/>
        <bgColor indexed="64"/>
      </patternFill>
    </fill>
    <fill>
      <patternFill patternType="solid">
        <fgColor rgb="FF75A745"/>
        <bgColor indexed="64"/>
      </patternFill>
    </fill>
    <fill>
      <patternFill patternType="solid">
        <fgColor rgb="FF71892F"/>
        <bgColor indexed="64"/>
      </patternFill>
    </fill>
    <fill>
      <patternFill patternType="solid">
        <fgColor rgb="FF83852A"/>
        <bgColor indexed="64"/>
      </patternFill>
    </fill>
    <fill>
      <patternFill patternType="solid">
        <fgColor rgb="FF74A244"/>
        <bgColor indexed="64"/>
      </patternFill>
    </fill>
    <fill>
      <patternFill patternType="solid">
        <fgColor rgb="FF7CAC47"/>
        <bgColor indexed="64"/>
      </patternFill>
    </fill>
    <fill>
      <patternFill patternType="solid">
        <fgColor rgb="FF7BAA48"/>
        <bgColor indexed="64"/>
      </patternFill>
    </fill>
    <fill>
      <patternFill patternType="solid">
        <fgColor rgb="FF7BAB48"/>
        <bgColor indexed="64"/>
      </patternFill>
    </fill>
    <fill>
      <patternFill patternType="solid">
        <fgColor rgb="FF64923B"/>
        <bgColor indexed="64"/>
      </patternFill>
    </fill>
    <fill>
      <patternFill patternType="solid">
        <fgColor rgb="FF385521"/>
        <bgColor indexed="64"/>
      </patternFill>
    </fill>
    <fill>
      <patternFill patternType="solid">
        <fgColor rgb="FF344924"/>
        <bgColor indexed="64"/>
      </patternFill>
    </fill>
    <fill>
      <patternFill patternType="solid">
        <fgColor rgb="FF146177"/>
        <bgColor indexed="64"/>
      </patternFill>
    </fill>
    <fill>
      <patternFill patternType="solid">
        <fgColor rgb="FF0B7DB7"/>
        <bgColor indexed="64"/>
      </patternFill>
    </fill>
    <fill>
      <patternFill patternType="solid">
        <fgColor rgb="FF17586B"/>
        <bgColor indexed="64"/>
      </patternFill>
    </fill>
    <fill>
      <patternFill patternType="solid">
        <fgColor rgb="FFD4C427"/>
        <bgColor indexed="64"/>
      </patternFill>
    </fill>
    <fill>
      <patternFill patternType="solid">
        <fgColor rgb="FF3B6A56"/>
        <bgColor indexed="64"/>
      </patternFill>
    </fill>
    <fill>
      <patternFill patternType="solid">
        <fgColor rgb="FF066BA4"/>
        <bgColor indexed="64"/>
      </patternFill>
    </fill>
    <fill>
      <patternFill patternType="solid">
        <fgColor rgb="FF1182AE"/>
        <bgColor indexed="64"/>
      </patternFill>
    </fill>
    <fill>
      <patternFill patternType="solid">
        <fgColor rgb="FF1487B3"/>
        <bgColor indexed="64"/>
      </patternFill>
    </fill>
    <fill>
      <patternFill patternType="solid">
        <fgColor rgb="FF056D99"/>
        <bgColor indexed="64"/>
      </patternFill>
    </fill>
    <fill>
      <patternFill patternType="solid">
        <fgColor rgb="FF949B35"/>
        <bgColor indexed="64"/>
      </patternFill>
    </fill>
    <fill>
      <patternFill patternType="solid">
        <fgColor rgb="FFF0E22F"/>
        <bgColor indexed="64"/>
      </patternFill>
    </fill>
    <fill>
      <patternFill patternType="solid">
        <fgColor rgb="FF226E6B"/>
        <bgColor indexed="64"/>
      </patternFill>
    </fill>
    <fill>
      <patternFill patternType="solid">
        <fgColor rgb="FF1180A8"/>
        <bgColor indexed="64"/>
      </patternFill>
    </fill>
    <fill>
      <patternFill patternType="solid">
        <fgColor rgb="FF137EA3"/>
        <bgColor indexed="64"/>
      </patternFill>
    </fill>
    <fill>
      <patternFill patternType="solid">
        <fgColor rgb="FF147EA2"/>
        <bgColor indexed="64"/>
      </patternFill>
    </fill>
    <fill>
      <patternFill patternType="solid">
        <fgColor rgb="FF1181AF"/>
        <bgColor indexed="64"/>
      </patternFill>
    </fill>
    <fill>
      <patternFill patternType="solid">
        <fgColor rgb="FF246264"/>
        <bgColor indexed="64"/>
      </patternFill>
    </fill>
    <fill>
      <patternFill patternType="solid">
        <fgColor rgb="FFE1D42F"/>
        <bgColor indexed="64"/>
      </patternFill>
    </fill>
    <fill>
      <patternFill patternType="solid">
        <fgColor rgb="FFEEE331"/>
        <bgColor indexed="64"/>
      </patternFill>
    </fill>
    <fill>
      <patternFill patternType="solid">
        <fgColor rgb="FF2D685A"/>
        <bgColor indexed="64"/>
      </patternFill>
    </fill>
    <fill>
      <patternFill patternType="solid">
        <fgColor rgb="FF0F7DB1"/>
        <bgColor indexed="64"/>
      </patternFill>
    </fill>
    <fill>
      <patternFill patternType="solid">
        <fgColor rgb="FF1277A5"/>
        <bgColor indexed="64"/>
      </patternFill>
    </fill>
    <fill>
      <patternFill patternType="solid">
        <fgColor rgb="FF13537A"/>
        <bgColor indexed="64"/>
      </patternFill>
    </fill>
    <fill>
      <patternFill patternType="solid">
        <fgColor rgb="FF4E364C"/>
        <bgColor indexed="64"/>
      </patternFill>
    </fill>
    <fill>
      <patternFill patternType="solid">
        <fgColor rgb="FF3A4F6B"/>
        <bgColor indexed="64"/>
      </patternFill>
    </fill>
    <fill>
      <patternFill patternType="solid">
        <fgColor rgb="FF0E4453"/>
        <bgColor indexed="64"/>
      </patternFill>
    </fill>
    <fill>
      <patternFill patternType="solid">
        <fgColor rgb="FF252201"/>
        <bgColor indexed="64"/>
      </patternFill>
    </fill>
    <fill>
      <patternFill patternType="solid">
        <fgColor rgb="FF1B5A64"/>
        <bgColor indexed="64"/>
      </patternFill>
    </fill>
    <fill>
      <patternFill patternType="solid">
        <fgColor rgb="FF0B7AA9"/>
        <bgColor indexed="64"/>
      </patternFill>
    </fill>
    <fill>
      <patternFill patternType="solid">
        <fgColor rgb="FF10779F"/>
        <bgColor indexed="64"/>
      </patternFill>
    </fill>
    <fill>
      <patternFill patternType="solid">
        <fgColor rgb="FF036DA0"/>
        <bgColor indexed="64"/>
      </patternFill>
    </fill>
    <fill>
      <patternFill patternType="solid">
        <fgColor rgb="FF3B523B"/>
        <bgColor indexed="64"/>
      </patternFill>
    </fill>
    <fill>
      <patternFill patternType="solid">
        <fgColor rgb="FF716E1A"/>
        <bgColor indexed="64"/>
      </patternFill>
    </fill>
    <fill>
      <patternFill patternType="solid">
        <fgColor rgb="FF0D5D76"/>
        <bgColor indexed="64"/>
      </patternFill>
    </fill>
    <fill>
      <patternFill patternType="solid">
        <fgColor rgb="FF1174A3"/>
        <bgColor indexed="64"/>
      </patternFill>
    </fill>
    <fill>
      <patternFill patternType="solid">
        <fgColor rgb="FF0F6C97"/>
        <bgColor indexed="64"/>
      </patternFill>
    </fill>
    <fill>
      <patternFill patternType="solid">
        <fgColor rgb="FF0F6C99"/>
        <bgColor indexed="64"/>
      </patternFill>
    </fill>
    <fill>
      <patternFill patternType="solid">
        <fgColor rgb="FF0F6A96"/>
        <bgColor indexed="64"/>
      </patternFill>
    </fill>
    <fill>
      <patternFill patternType="solid">
        <fgColor rgb="FF106A97"/>
        <bgColor indexed="64"/>
      </patternFill>
    </fill>
    <fill>
      <patternFill patternType="solid">
        <fgColor rgb="FF0F6C98"/>
        <bgColor indexed="64"/>
      </patternFill>
    </fill>
    <fill>
      <patternFill patternType="solid">
        <fgColor rgb="FF0E6B9C"/>
        <bgColor indexed="64"/>
      </patternFill>
    </fill>
    <fill>
      <patternFill patternType="solid">
        <fgColor rgb="FF6C9B37"/>
        <bgColor indexed="64"/>
      </patternFill>
    </fill>
    <fill>
      <patternFill patternType="solid">
        <fgColor rgb="FF699734"/>
        <bgColor indexed="64"/>
      </patternFill>
    </fill>
    <fill>
      <patternFill patternType="solid">
        <fgColor rgb="FF699A32"/>
        <bgColor indexed="64"/>
      </patternFill>
    </fill>
    <fill>
      <patternFill patternType="solid">
        <fgColor rgb="FF699E33"/>
        <bgColor indexed="64"/>
      </patternFill>
    </fill>
    <fill>
      <patternFill patternType="solid">
        <fgColor rgb="FF40571E"/>
        <bgColor indexed="64"/>
      </patternFill>
    </fill>
    <fill>
      <patternFill patternType="solid">
        <fgColor rgb="FF5A7925"/>
        <bgColor indexed="64"/>
      </patternFill>
    </fill>
    <fill>
      <patternFill patternType="solid">
        <fgColor rgb="FF6CA232"/>
        <bgColor indexed="64"/>
      </patternFill>
    </fill>
    <fill>
      <patternFill patternType="solid">
        <fgColor rgb="FF6D9C33"/>
        <bgColor indexed="64"/>
      </patternFill>
    </fill>
    <fill>
      <patternFill patternType="solid">
        <fgColor rgb="FF74A232"/>
        <bgColor indexed="64"/>
      </patternFill>
    </fill>
    <fill>
      <patternFill patternType="solid">
        <fgColor rgb="FF6B9B31"/>
        <bgColor indexed="64"/>
      </patternFill>
    </fill>
    <fill>
      <patternFill patternType="solid">
        <fgColor rgb="FF689A34"/>
        <bgColor indexed="64"/>
      </patternFill>
    </fill>
    <fill>
      <patternFill patternType="solid">
        <fgColor rgb="FF72A338"/>
        <bgColor indexed="64"/>
      </patternFill>
    </fill>
    <fill>
      <patternFill patternType="solid">
        <fgColor rgb="FF5C8531"/>
        <bgColor indexed="64"/>
      </patternFill>
    </fill>
    <fill>
      <patternFill patternType="solid">
        <fgColor rgb="FF2F331A"/>
        <bgColor indexed="64"/>
      </patternFill>
    </fill>
    <fill>
      <patternFill patternType="solid">
        <fgColor rgb="FF28270F"/>
        <bgColor indexed="64"/>
      </patternFill>
    </fill>
    <fill>
      <patternFill patternType="solid">
        <fgColor rgb="FF312A09"/>
        <bgColor indexed="64"/>
      </patternFill>
    </fill>
    <fill>
      <patternFill patternType="solid">
        <fgColor rgb="FF353E17"/>
        <bgColor indexed="64"/>
      </patternFill>
    </fill>
    <fill>
      <patternFill patternType="solid">
        <fgColor rgb="FF6C9A3B"/>
        <bgColor indexed="64"/>
      </patternFill>
    </fill>
    <fill>
      <patternFill patternType="solid">
        <fgColor rgb="FF709F3A"/>
        <bgColor indexed="64"/>
      </patternFill>
    </fill>
    <fill>
      <patternFill patternType="solid">
        <fgColor rgb="FF709F3E"/>
        <bgColor indexed="64"/>
      </patternFill>
    </fill>
    <fill>
      <patternFill patternType="solid">
        <fgColor rgb="FF72A243"/>
        <bgColor indexed="64"/>
      </patternFill>
    </fill>
    <fill>
      <patternFill patternType="solid">
        <fgColor rgb="FF78A544"/>
        <bgColor indexed="64"/>
      </patternFill>
    </fill>
    <fill>
      <patternFill patternType="solid">
        <fgColor rgb="FF6DA03E"/>
        <bgColor indexed="64"/>
      </patternFill>
    </fill>
    <fill>
      <patternFill patternType="solid">
        <fgColor rgb="FF8B9C31"/>
        <bgColor indexed="64"/>
      </patternFill>
    </fill>
    <fill>
      <patternFill patternType="solid">
        <fgColor rgb="FFA2AD36"/>
        <bgColor indexed="64"/>
      </patternFill>
    </fill>
    <fill>
      <patternFill patternType="solid">
        <fgColor rgb="FF72A343"/>
        <bgColor indexed="64"/>
      </patternFill>
    </fill>
    <fill>
      <patternFill patternType="solid">
        <fgColor rgb="FF7CAB48"/>
        <bgColor indexed="64"/>
      </patternFill>
    </fill>
    <fill>
      <patternFill patternType="solid">
        <fgColor rgb="FF78A947"/>
        <bgColor indexed="64"/>
      </patternFill>
    </fill>
    <fill>
      <patternFill patternType="solid">
        <fgColor rgb="FF76A543"/>
        <bgColor indexed="64"/>
      </patternFill>
    </fill>
    <fill>
      <patternFill patternType="solid">
        <fgColor rgb="FF73A540"/>
        <bgColor indexed="64"/>
      </patternFill>
    </fill>
    <fill>
      <patternFill patternType="solid">
        <fgColor rgb="FF79A945"/>
        <bgColor indexed="64"/>
      </patternFill>
    </fill>
    <fill>
      <patternFill patternType="solid">
        <fgColor rgb="FF649034"/>
        <bgColor indexed="64"/>
      </patternFill>
    </fill>
    <fill>
      <patternFill patternType="solid">
        <fgColor rgb="FF597D2D"/>
        <bgColor indexed="64"/>
      </patternFill>
    </fill>
    <fill>
      <patternFill patternType="solid">
        <fgColor rgb="FF487540"/>
        <bgColor indexed="64"/>
      </patternFill>
    </fill>
    <fill>
      <patternFill patternType="solid">
        <fgColor rgb="FF3D7152"/>
        <bgColor indexed="64"/>
      </patternFill>
    </fill>
    <fill>
      <patternFill patternType="solid">
        <fgColor rgb="FF3F6037"/>
        <bgColor indexed="64"/>
      </patternFill>
    </fill>
    <fill>
      <patternFill patternType="solid">
        <fgColor rgb="FFBBB030"/>
        <bgColor indexed="64"/>
      </patternFill>
    </fill>
    <fill>
      <patternFill patternType="solid">
        <fgColor rgb="FF435F33"/>
        <bgColor indexed="64"/>
      </patternFill>
    </fill>
    <fill>
      <patternFill patternType="solid">
        <fgColor rgb="FF305A39"/>
        <bgColor indexed="64"/>
      </patternFill>
    </fill>
    <fill>
      <patternFill patternType="solid">
        <fgColor rgb="FF2B5437"/>
        <bgColor indexed="64"/>
      </patternFill>
    </fill>
    <fill>
      <patternFill patternType="solid">
        <fgColor rgb="FF26685D"/>
        <bgColor indexed="64"/>
      </patternFill>
    </fill>
    <fill>
      <patternFill patternType="solid">
        <fgColor rgb="FF1D5C60"/>
        <bgColor indexed="64"/>
      </patternFill>
    </fill>
    <fill>
      <patternFill patternType="solid">
        <fgColor rgb="FF175F72"/>
        <bgColor indexed="64"/>
      </patternFill>
    </fill>
    <fill>
      <patternFill patternType="solid">
        <fgColor rgb="FF1B687B"/>
        <bgColor indexed="64"/>
      </patternFill>
    </fill>
    <fill>
      <patternFill patternType="solid">
        <fgColor rgb="FF06547B"/>
        <bgColor indexed="64"/>
      </patternFill>
    </fill>
    <fill>
      <patternFill patternType="solid">
        <fgColor rgb="FF929937"/>
        <bgColor indexed="64"/>
      </patternFill>
    </fill>
    <fill>
      <patternFill patternType="solid">
        <fgColor rgb="FFE8DA2C"/>
        <bgColor indexed="64"/>
      </patternFill>
    </fill>
    <fill>
      <patternFill patternType="solid">
        <fgColor rgb="FF145E68"/>
        <bgColor indexed="64"/>
      </patternFill>
    </fill>
    <fill>
      <patternFill patternType="solid">
        <fgColor rgb="FF0E7EAE"/>
        <bgColor indexed="64"/>
      </patternFill>
    </fill>
    <fill>
      <patternFill patternType="solid">
        <fgColor rgb="FF117BA5"/>
        <bgColor indexed="64"/>
      </patternFill>
    </fill>
    <fill>
      <patternFill patternType="solid">
        <fgColor rgb="FF1078A4"/>
        <bgColor indexed="64"/>
      </patternFill>
    </fill>
    <fill>
      <patternFill patternType="solid">
        <fgColor rgb="FF1582A8"/>
        <bgColor indexed="64"/>
      </patternFill>
    </fill>
    <fill>
      <patternFill patternType="solid">
        <fgColor rgb="FF147DA1"/>
        <bgColor indexed="64"/>
      </patternFill>
    </fill>
    <fill>
      <patternFill patternType="solid">
        <fgColor rgb="FF107AA5"/>
        <bgColor indexed="64"/>
      </patternFill>
    </fill>
    <fill>
      <patternFill patternType="solid">
        <fgColor rgb="FF1A555B"/>
        <bgColor indexed="64"/>
      </patternFill>
    </fill>
    <fill>
      <patternFill patternType="solid">
        <fgColor rgb="FFDCCE2E"/>
        <bgColor indexed="64"/>
      </patternFill>
    </fill>
    <fill>
      <patternFill patternType="solid">
        <fgColor rgb="FFFFF334"/>
        <bgColor indexed="64"/>
      </patternFill>
    </fill>
    <fill>
      <patternFill patternType="solid">
        <fgColor rgb="FF44724B"/>
        <bgColor indexed="64"/>
      </patternFill>
    </fill>
    <fill>
      <patternFill patternType="solid">
        <fgColor rgb="FF0B7AAB"/>
        <bgColor indexed="64"/>
      </patternFill>
    </fill>
    <fill>
      <patternFill patternType="solid">
        <fgColor rgb="FF157DA9"/>
        <bgColor indexed="64"/>
      </patternFill>
    </fill>
    <fill>
      <patternFill patternType="solid">
        <fgColor rgb="FF127BA8"/>
        <bgColor indexed="64"/>
      </patternFill>
    </fill>
    <fill>
      <patternFill patternType="solid">
        <fgColor rgb="FF1279A7"/>
        <bgColor indexed="64"/>
      </patternFill>
    </fill>
    <fill>
      <patternFill patternType="solid">
        <fgColor rgb="FF1174A2"/>
        <bgColor indexed="64"/>
      </patternFill>
    </fill>
    <fill>
      <patternFill patternType="solid">
        <fgColor rgb="FF086A8F"/>
        <bgColor indexed="64"/>
      </patternFill>
    </fill>
    <fill>
      <patternFill patternType="solid">
        <fgColor rgb="FF0174A5"/>
        <bgColor indexed="64"/>
      </patternFill>
    </fill>
    <fill>
      <patternFill patternType="solid">
        <fgColor rgb="FF638C61"/>
        <bgColor indexed="64"/>
      </patternFill>
    </fill>
    <fill>
      <patternFill patternType="solid">
        <fgColor rgb="FF6F6919"/>
        <bgColor indexed="64"/>
      </patternFill>
    </fill>
    <fill>
      <patternFill patternType="solid">
        <fgColor rgb="FF166576"/>
        <bgColor indexed="64"/>
      </patternFill>
    </fill>
    <fill>
      <patternFill patternType="solid">
        <fgColor rgb="FF1579A2"/>
        <bgColor indexed="64"/>
      </patternFill>
    </fill>
    <fill>
      <patternFill patternType="solid">
        <fgColor rgb="FF04629A"/>
        <bgColor indexed="64"/>
      </patternFill>
    </fill>
    <fill>
      <patternFill patternType="solid">
        <fgColor rgb="FF647B3C"/>
        <bgColor indexed="64"/>
      </patternFill>
    </fill>
    <fill>
      <patternFill patternType="solid">
        <fgColor rgb="FFADAF26"/>
        <bgColor indexed="64"/>
      </patternFill>
    </fill>
    <fill>
      <patternFill patternType="solid">
        <fgColor rgb="FF095976"/>
        <bgColor indexed="64"/>
      </patternFill>
    </fill>
    <fill>
      <patternFill patternType="solid">
        <fgColor rgb="FF116F9B"/>
        <bgColor indexed="64"/>
      </patternFill>
    </fill>
    <fill>
      <patternFill patternType="solid">
        <fgColor rgb="FF0F6D99"/>
        <bgColor indexed="64"/>
      </patternFill>
    </fill>
    <fill>
      <patternFill patternType="solid">
        <fgColor rgb="FF0F6E99"/>
        <bgColor indexed="64"/>
      </patternFill>
    </fill>
    <fill>
      <patternFill patternType="solid">
        <fgColor rgb="FF0E6B96"/>
        <bgColor indexed="64"/>
      </patternFill>
    </fill>
    <fill>
      <patternFill patternType="solid">
        <fgColor rgb="FF107099"/>
        <bgColor indexed="64"/>
      </patternFill>
    </fill>
    <fill>
      <patternFill patternType="solid">
        <fgColor rgb="FF11709C"/>
        <bgColor indexed="64"/>
      </patternFill>
    </fill>
    <fill>
      <patternFill patternType="solid">
        <fgColor rgb="FF0E6A99"/>
        <bgColor indexed="64"/>
      </patternFill>
    </fill>
    <fill>
      <patternFill patternType="solid">
        <fgColor rgb="FF0F6A9A"/>
        <bgColor indexed="64"/>
      </patternFill>
    </fill>
    <fill>
      <patternFill patternType="solid">
        <fgColor rgb="FF0D689A"/>
        <bgColor indexed="64"/>
      </patternFill>
    </fill>
    <fill>
      <patternFill patternType="solid">
        <fgColor rgb="FF699A39"/>
        <bgColor indexed="64"/>
      </patternFill>
    </fill>
    <fill>
      <patternFill patternType="solid">
        <fgColor rgb="FF699638"/>
        <bgColor indexed="64"/>
      </patternFill>
    </fill>
    <fill>
      <patternFill patternType="solid">
        <fgColor rgb="FF679934"/>
        <bgColor indexed="64"/>
      </patternFill>
    </fill>
    <fill>
      <patternFill patternType="solid">
        <fgColor rgb="FF659834"/>
        <bgColor indexed="64"/>
      </patternFill>
    </fill>
    <fill>
      <patternFill patternType="solid">
        <fgColor rgb="FF70852B"/>
        <bgColor indexed="64"/>
      </patternFill>
    </fill>
    <fill>
      <patternFill patternType="solid">
        <fgColor rgb="FF7C912D"/>
        <bgColor indexed="64"/>
      </patternFill>
    </fill>
    <fill>
      <patternFill patternType="solid">
        <fgColor rgb="FF6C9F32"/>
        <bgColor indexed="64"/>
      </patternFill>
    </fill>
    <fill>
      <patternFill patternType="solid">
        <fgColor rgb="FF6A9C33"/>
        <bgColor indexed="64"/>
      </patternFill>
    </fill>
    <fill>
      <patternFill patternType="solid">
        <fgColor rgb="FF6B9C32"/>
        <bgColor indexed="64"/>
      </patternFill>
    </fill>
    <fill>
      <patternFill patternType="solid">
        <fgColor rgb="FF73A436"/>
        <bgColor indexed="64"/>
      </patternFill>
    </fill>
    <fill>
      <patternFill patternType="solid">
        <fgColor rgb="FF52732A"/>
        <bgColor indexed="64"/>
      </patternFill>
    </fill>
    <fill>
      <patternFill patternType="solid">
        <fgColor rgb="FF88832B"/>
        <bgColor indexed="64"/>
      </patternFill>
    </fill>
    <fill>
      <patternFill patternType="solid">
        <fgColor rgb="FF2D2C0B"/>
        <bgColor indexed="64"/>
      </patternFill>
    </fill>
    <fill>
      <patternFill patternType="solid">
        <fgColor rgb="FF1F1D06"/>
        <bgColor indexed="64"/>
      </patternFill>
    </fill>
    <fill>
      <patternFill patternType="solid">
        <fgColor rgb="FF2D3D13"/>
        <bgColor indexed="64"/>
      </patternFill>
    </fill>
    <fill>
      <patternFill patternType="solid">
        <fgColor rgb="FF6F9F39"/>
        <bgColor indexed="64"/>
      </patternFill>
    </fill>
    <fill>
      <patternFill patternType="solid">
        <fgColor rgb="FF6D9D39"/>
        <bgColor indexed="64"/>
      </patternFill>
    </fill>
    <fill>
      <patternFill patternType="solid">
        <fgColor rgb="FF6F9D3D"/>
        <bgColor indexed="64"/>
      </patternFill>
    </fill>
    <fill>
      <patternFill patternType="solid">
        <fgColor rgb="FF709E3B"/>
        <bgColor indexed="64"/>
      </patternFill>
    </fill>
    <fill>
      <patternFill patternType="solid">
        <fgColor rgb="FF75A342"/>
        <bgColor indexed="64"/>
      </patternFill>
    </fill>
    <fill>
      <patternFill patternType="solid">
        <fgColor rgb="FF75A343"/>
        <bgColor indexed="64"/>
      </patternFill>
    </fill>
    <fill>
      <patternFill patternType="solid">
        <fgColor rgb="FF70A440"/>
        <bgColor indexed="64"/>
      </patternFill>
    </fill>
    <fill>
      <patternFill patternType="solid">
        <fgColor rgb="FF7C8C2E"/>
        <bgColor indexed="64"/>
      </patternFill>
    </fill>
    <fill>
      <patternFill patternType="solid">
        <fgColor rgb="FF7B8930"/>
        <bgColor indexed="64"/>
      </patternFill>
    </fill>
    <fill>
      <patternFill patternType="solid">
        <fgColor rgb="FF78AA44"/>
        <bgColor indexed="64"/>
      </patternFill>
    </fill>
    <fill>
      <patternFill patternType="solid">
        <fgColor rgb="FF78AB44"/>
        <bgColor indexed="64"/>
      </patternFill>
    </fill>
    <fill>
      <patternFill patternType="solid">
        <fgColor rgb="FF75A641"/>
        <bgColor indexed="64"/>
      </patternFill>
    </fill>
    <fill>
      <patternFill patternType="solid">
        <fgColor rgb="FF72A23D"/>
        <bgColor indexed="64"/>
      </patternFill>
    </fill>
    <fill>
      <patternFill patternType="solid">
        <fgColor rgb="FF71A340"/>
        <bgColor indexed="64"/>
      </patternFill>
    </fill>
    <fill>
      <patternFill patternType="solid">
        <fgColor rgb="FF75A741"/>
        <bgColor indexed="64"/>
      </patternFill>
    </fill>
    <fill>
      <patternFill patternType="solid">
        <fgColor rgb="FF78AC43"/>
        <bgColor indexed="64"/>
      </patternFill>
    </fill>
    <fill>
      <patternFill patternType="solid">
        <fgColor rgb="FF7FB44B"/>
        <bgColor indexed="64"/>
      </patternFill>
    </fill>
    <fill>
      <patternFill patternType="solid">
        <fgColor rgb="FF7FAF43"/>
        <bgColor indexed="64"/>
      </patternFill>
    </fill>
    <fill>
      <patternFill patternType="solid">
        <fgColor rgb="FF89BA47"/>
        <bgColor indexed="64"/>
      </patternFill>
    </fill>
    <fill>
      <patternFill patternType="solid">
        <fgColor rgb="FF608437"/>
        <bgColor indexed="64"/>
      </patternFill>
    </fill>
    <fill>
      <patternFill patternType="solid">
        <fgColor rgb="FF363110"/>
        <bgColor indexed="64"/>
      </patternFill>
    </fill>
    <fill>
      <patternFill patternType="solid">
        <fgColor rgb="FF547027"/>
        <bgColor indexed="64"/>
      </patternFill>
    </fill>
    <fill>
      <patternFill patternType="solid">
        <fgColor rgb="FF75AB37"/>
        <bgColor indexed="64"/>
      </patternFill>
    </fill>
    <fill>
      <patternFill patternType="solid">
        <fgColor rgb="FF6DA130"/>
        <bgColor indexed="64"/>
      </patternFill>
    </fill>
    <fill>
      <patternFill patternType="solid">
        <fgColor rgb="FF6A9B29"/>
        <bgColor indexed="64"/>
      </patternFill>
    </fill>
    <fill>
      <patternFill patternType="solid">
        <fgColor rgb="FF66952A"/>
        <bgColor indexed="64"/>
      </patternFill>
    </fill>
    <fill>
      <patternFill patternType="solid">
        <fgColor rgb="FF5D8B29"/>
        <bgColor indexed="64"/>
      </patternFill>
    </fill>
    <fill>
      <patternFill patternType="solid">
        <fgColor rgb="FF659632"/>
        <bgColor indexed="64"/>
      </patternFill>
    </fill>
    <fill>
      <patternFill patternType="solid">
        <fgColor rgb="FF44722E"/>
        <bgColor indexed="64"/>
      </patternFill>
    </fill>
    <fill>
      <patternFill patternType="solid">
        <fgColor rgb="FF909828"/>
        <bgColor indexed="64"/>
      </patternFill>
    </fill>
    <fill>
      <patternFill patternType="solid">
        <fgColor rgb="FFE4DB31"/>
        <bgColor indexed="64"/>
      </patternFill>
    </fill>
    <fill>
      <patternFill patternType="solid">
        <fgColor rgb="FF325634"/>
        <bgColor indexed="64"/>
      </patternFill>
    </fill>
    <fill>
      <patternFill patternType="solid">
        <fgColor rgb="FF1E524C"/>
        <bgColor indexed="64"/>
      </patternFill>
    </fill>
    <fill>
      <patternFill patternType="solid">
        <fgColor rgb="FF1D6266"/>
        <bgColor indexed="64"/>
      </patternFill>
    </fill>
    <fill>
      <patternFill patternType="solid">
        <fgColor rgb="FF1C5B5B"/>
        <bgColor indexed="64"/>
      </patternFill>
    </fill>
    <fill>
      <patternFill patternType="solid">
        <fgColor rgb="FF10637A"/>
        <bgColor indexed="64"/>
      </patternFill>
    </fill>
    <fill>
      <patternFill patternType="solid">
        <fgColor rgb="FF10769E"/>
        <bgColor indexed="64"/>
      </patternFill>
    </fill>
    <fill>
      <patternFill patternType="solid">
        <fgColor rgb="FF1076A0"/>
        <bgColor indexed="64"/>
      </patternFill>
    </fill>
    <fill>
      <patternFill patternType="solid">
        <fgColor rgb="FF0F7199"/>
        <bgColor indexed="64"/>
      </patternFill>
    </fill>
    <fill>
      <patternFill patternType="solid">
        <fgColor rgb="FF0E4E60"/>
        <bgColor indexed="64"/>
      </patternFill>
    </fill>
    <fill>
      <patternFill patternType="solid">
        <fgColor rgb="FFBFB42B"/>
        <bgColor indexed="64"/>
      </patternFill>
    </fill>
    <fill>
      <patternFill patternType="solid">
        <fgColor rgb="FFFEF735"/>
        <bgColor indexed="64"/>
      </patternFill>
    </fill>
    <fill>
      <patternFill patternType="solid">
        <fgColor rgb="FF507542"/>
        <bgColor indexed="64"/>
      </patternFill>
    </fill>
    <fill>
      <patternFill patternType="solid">
        <fgColor rgb="FF0B79AC"/>
        <bgColor indexed="64"/>
      </patternFill>
    </fill>
    <fill>
      <patternFill patternType="solid">
        <fgColor rgb="FF167FAB"/>
        <bgColor indexed="64"/>
      </patternFill>
    </fill>
    <fill>
      <patternFill patternType="solid">
        <fgColor rgb="FF147DAA"/>
        <bgColor indexed="64"/>
      </patternFill>
    </fill>
    <fill>
      <patternFill patternType="solid">
        <fgColor rgb="FF137BAB"/>
        <bgColor indexed="64"/>
      </patternFill>
    </fill>
    <fill>
      <patternFill patternType="solid">
        <fgColor rgb="FF1073A2"/>
        <bgColor indexed="64"/>
      </patternFill>
    </fill>
    <fill>
      <patternFill patternType="solid">
        <fgColor rgb="FF10749F"/>
        <bgColor indexed="64"/>
      </patternFill>
    </fill>
    <fill>
      <patternFill patternType="solid">
        <fgColor rgb="FF086A96"/>
        <bgColor indexed="64"/>
      </patternFill>
    </fill>
    <fill>
      <patternFill patternType="solid">
        <fgColor rgb="FF919E3C"/>
        <bgColor indexed="64"/>
      </patternFill>
    </fill>
    <fill>
      <patternFill patternType="solid">
        <fgColor rgb="FF999B2E"/>
        <bgColor indexed="64"/>
      </patternFill>
    </fill>
    <fill>
      <patternFill patternType="solid">
        <fgColor rgb="FF0D6987"/>
        <bgColor indexed="64"/>
      </patternFill>
    </fill>
    <fill>
      <patternFill patternType="solid">
        <fgColor rgb="FF1074A2"/>
        <bgColor indexed="64"/>
      </patternFill>
    </fill>
    <fill>
      <patternFill patternType="solid">
        <fgColor rgb="FF14759E"/>
        <bgColor indexed="64"/>
      </patternFill>
    </fill>
    <fill>
      <patternFill patternType="solid">
        <fgColor rgb="FF015E95"/>
        <bgColor indexed="64"/>
      </patternFill>
    </fill>
    <fill>
      <patternFill patternType="solid">
        <fgColor rgb="FF6C7F36"/>
        <bgColor indexed="64"/>
      </patternFill>
    </fill>
    <fill>
      <patternFill patternType="solid">
        <fgColor rgb="FFD2CC29"/>
        <bgColor indexed="64"/>
      </patternFill>
    </fill>
    <fill>
      <patternFill patternType="solid">
        <fgColor rgb="FF11606F"/>
        <bgColor indexed="64"/>
      </patternFill>
    </fill>
    <fill>
      <patternFill patternType="solid">
        <fgColor rgb="FF0F72A1"/>
        <bgColor indexed="64"/>
      </patternFill>
    </fill>
    <fill>
      <patternFill patternType="solid">
        <fgColor rgb="FF106F99"/>
        <bgColor indexed="64"/>
      </patternFill>
    </fill>
    <fill>
      <patternFill patternType="solid">
        <fgColor rgb="FF0F6E9B"/>
        <bgColor indexed="64"/>
      </patternFill>
    </fill>
    <fill>
      <patternFill patternType="solid">
        <fgColor rgb="FF10709A"/>
        <bgColor indexed="64"/>
      </patternFill>
    </fill>
    <fill>
      <patternFill patternType="solid">
        <fgColor rgb="FF0F709C"/>
        <bgColor indexed="64"/>
      </patternFill>
    </fill>
    <fill>
      <patternFill patternType="solid">
        <fgColor rgb="FF0F6C9A"/>
        <bgColor indexed="64"/>
      </patternFill>
    </fill>
    <fill>
      <patternFill patternType="solid">
        <fgColor rgb="FF0E6997"/>
        <bgColor indexed="64"/>
      </patternFill>
    </fill>
    <fill>
      <patternFill patternType="solid">
        <fgColor rgb="FF0F6A99"/>
        <bgColor indexed="64"/>
      </patternFill>
    </fill>
    <fill>
      <patternFill patternType="solid">
        <fgColor rgb="FF0E689A"/>
        <bgColor indexed="64"/>
      </patternFill>
    </fill>
    <fill>
      <patternFill patternType="solid">
        <fgColor rgb="FF679A3A"/>
        <bgColor indexed="64"/>
      </patternFill>
    </fill>
    <fill>
      <patternFill patternType="solid">
        <fgColor rgb="FF689737"/>
        <bgColor indexed="64"/>
      </patternFill>
    </fill>
    <fill>
      <patternFill patternType="solid">
        <fgColor rgb="FF6B9734"/>
        <bgColor indexed="64"/>
      </patternFill>
    </fill>
    <fill>
      <patternFill patternType="solid">
        <fgColor rgb="FF649933"/>
        <bgColor indexed="64"/>
      </patternFill>
    </fill>
    <fill>
      <patternFill patternType="solid">
        <fgColor rgb="FF738C2C"/>
        <bgColor indexed="64"/>
      </patternFill>
    </fill>
    <fill>
      <patternFill patternType="solid">
        <fgColor rgb="FF8A9731"/>
        <bgColor indexed="64"/>
      </patternFill>
    </fill>
    <fill>
      <patternFill patternType="solid">
        <fgColor rgb="FF669A30"/>
        <bgColor indexed="64"/>
      </patternFill>
    </fill>
    <fill>
      <patternFill patternType="solid">
        <fgColor rgb="FF6B9C2F"/>
        <bgColor indexed="64"/>
      </patternFill>
    </fill>
    <fill>
      <patternFill patternType="solid">
        <fgColor rgb="FF689B31"/>
        <bgColor indexed="64"/>
      </patternFill>
    </fill>
    <fill>
      <patternFill patternType="solid">
        <fgColor rgb="FF689B30"/>
        <bgColor indexed="64"/>
      </patternFill>
    </fill>
    <fill>
      <patternFill patternType="solid">
        <fgColor rgb="FF6A9B32"/>
        <bgColor indexed="64"/>
      </patternFill>
    </fill>
    <fill>
      <patternFill patternType="solid">
        <fgColor rgb="FF6B9C33"/>
        <bgColor indexed="64"/>
      </patternFill>
    </fill>
    <fill>
      <patternFill patternType="solid">
        <fgColor rgb="FF72A439"/>
        <bgColor indexed="64"/>
      </patternFill>
    </fill>
    <fill>
      <patternFill patternType="solid">
        <fgColor rgb="FF4C6623"/>
        <bgColor indexed="64"/>
      </patternFill>
    </fill>
    <fill>
      <patternFill patternType="solid">
        <fgColor rgb="FF938725"/>
        <bgColor indexed="64"/>
      </patternFill>
    </fill>
    <fill>
      <patternFill patternType="solid">
        <fgColor rgb="FF7F7721"/>
        <bgColor indexed="64"/>
      </patternFill>
    </fill>
    <fill>
      <patternFill patternType="solid">
        <fgColor rgb="FF756C1C"/>
        <bgColor indexed="64"/>
      </patternFill>
    </fill>
    <fill>
      <patternFill patternType="solid">
        <fgColor rgb="FF384D1B"/>
        <bgColor indexed="64"/>
      </patternFill>
    </fill>
    <fill>
      <patternFill patternType="solid">
        <fgColor rgb="FF70A239"/>
        <bgColor indexed="64"/>
      </patternFill>
    </fill>
    <fill>
      <patternFill patternType="solid">
        <fgColor rgb="FF6D9D36"/>
        <bgColor indexed="64"/>
      </patternFill>
    </fill>
    <fill>
      <patternFill patternType="solid">
        <fgColor rgb="FF6F9D39"/>
        <bgColor indexed="64"/>
      </patternFill>
    </fill>
    <fill>
      <patternFill patternType="solid">
        <fgColor rgb="FF6F9E3B"/>
        <bgColor indexed="64"/>
      </patternFill>
    </fill>
    <fill>
      <patternFill patternType="solid">
        <fgColor rgb="FF74A242"/>
        <bgColor indexed="64"/>
      </patternFill>
    </fill>
    <fill>
      <patternFill patternType="solid">
        <fgColor rgb="FF74A53F"/>
        <bgColor indexed="64"/>
      </patternFill>
    </fill>
    <fill>
      <patternFill patternType="solid">
        <fgColor rgb="FF78A943"/>
        <bgColor indexed="64"/>
      </patternFill>
    </fill>
    <fill>
      <patternFill patternType="solid">
        <fgColor rgb="FF384A18"/>
        <bgColor indexed="64"/>
      </patternFill>
    </fill>
    <fill>
      <patternFill patternType="solid">
        <fgColor rgb="FF4C6121"/>
        <bgColor indexed="64"/>
      </patternFill>
    </fill>
    <fill>
      <patternFill patternType="solid">
        <fgColor rgb="FF76A842"/>
        <bgColor indexed="64"/>
      </patternFill>
    </fill>
    <fill>
      <patternFill patternType="solid">
        <fgColor rgb="FF75A740"/>
        <bgColor indexed="64"/>
      </patternFill>
    </fill>
    <fill>
      <patternFill patternType="solid">
        <fgColor rgb="FF70A33C"/>
        <bgColor indexed="64"/>
      </patternFill>
    </fill>
    <fill>
      <patternFill patternType="solid">
        <fgColor rgb="FF6FA13E"/>
        <bgColor indexed="64"/>
      </patternFill>
    </fill>
    <fill>
      <patternFill patternType="solid">
        <fgColor rgb="FF71A341"/>
        <bgColor indexed="64"/>
      </patternFill>
    </fill>
    <fill>
      <patternFill patternType="solid">
        <fgColor rgb="FF72A342"/>
        <bgColor indexed="64"/>
      </patternFill>
    </fill>
    <fill>
      <patternFill patternType="solid">
        <fgColor rgb="FF76A840"/>
        <bgColor indexed="64"/>
      </patternFill>
    </fill>
    <fill>
      <patternFill patternType="solid">
        <fgColor rgb="FF79AB42"/>
        <bgColor indexed="64"/>
      </patternFill>
    </fill>
    <fill>
      <patternFill patternType="solid">
        <fgColor rgb="FF78A842"/>
        <bgColor indexed="64"/>
      </patternFill>
    </fill>
    <fill>
      <patternFill patternType="solid">
        <fgColor rgb="FF7FB348"/>
        <bgColor indexed="64"/>
      </patternFill>
    </fill>
    <fill>
      <patternFill patternType="solid">
        <fgColor rgb="FF658940"/>
        <bgColor indexed="64"/>
      </patternFill>
    </fill>
    <fill>
      <patternFill patternType="solid">
        <fgColor rgb="FF4B471A"/>
        <bgColor indexed="64"/>
      </patternFill>
    </fill>
    <fill>
      <patternFill patternType="solid">
        <fgColor rgb="FF536F29"/>
        <bgColor indexed="64"/>
      </patternFill>
    </fill>
    <fill>
      <patternFill patternType="solid">
        <fgColor rgb="FF6CA23C"/>
        <bgColor indexed="64"/>
      </patternFill>
    </fill>
    <fill>
      <patternFill patternType="solid">
        <fgColor rgb="FF6EA23C"/>
        <bgColor indexed="64"/>
      </patternFill>
    </fill>
    <fill>
      <patternFill patternType="solid">
        <fgColor rgb="FF6DA23C"/>
        <bgColor indexed="64"/>
      </patternFill>
    </fill>
    <fill>
      <patternFill patternType="solid">
        <fgColor rgb="FF6DA13B"/>
        <bgColor indexed="64"/>
      </patternFill>
    </fill>
    <fill>
      <patternFill patternType="solid">
        <fgColor rgb="FF6EA43B"/>
        <bgColor indexed="64"/>
      </patternFill>
    </fill>
    <fill>
      <patternFill patternType="solid">
        <fgColor rgb="FF6EA539"/>
        <bgColor indexed="64"/>
      </patternFill>
    </fill>
    <fill>
      <patternFill patternType="solid">
        <fgColor rgb="FF588D33"/>
        <bgColor indexed="64"/>
      </patternFill>
    </fill>
    <fill>
      <patternFill patternType="solid">
        <fgColor rgb="FF959A2F"/>
        <bgColor indexed="64"/>
      </patternFill>
    </fill>
    <fill>
      <patternFill patternType="solid">
        <fgColor rgb="FFDACE31"/>
        <bgColor indexed="64"/>
      </patternFill>
    </fill>
    <fill>
      <patternFill patternType="solid">
        <fgColor rgb="FF61812A"/>
        <bgColor indexed="64"/>
      </patternFill>
    </fill>
    <fill>
      <patternFill patternType="solid">
        <fgColor rgb="FF6C9A2F"/>
        <bgColor indexed="64"/>
      </patternFill>
    </fill>
    <fill>
      <patternFill patternType="solid">
        <fgColor rgb="FF649230"/>
        <bgColor indexed="64"/>
      </patternFill>
    </fill>
    <fill>
      <patternFill patternType="solid">
        <fgColor rgb="FF679836"/>
        <bgColor indexed="64"/>
      </patternFill>
    </fill>
    <fill>
      <patternFill patternType="solid">
        <fgColor rgb="FF568534"/>
        <bgColor indexed="64"/>
      </patternFill>
    </fill>
    <fill>
      <patternFill patternType="solid">
        <fgColor rgb="FF417641"/>
        <bgColor indexed="64"/>
      </patternFill>
    </fill>
    <fill>
      <patternFill patternType="solid">
        <fgColor rgb="FF266452"/>
        <bgColor indexed="64"/>
      </patternFill>
    </fill>
    <fill>
      <patternFill patternType="solid">
        <fgColor rgb="FF146275"/>
        <bgColor indexed="64"/>
      </patternFill>
    </fill>
    <fill>
      <patternFill patternType="solid">
        <fgColor rgb="FF03526F"/>
        <bgColor indexed="64"/>
      </patternFill>
    </fill>
    <fill>
      <patternFill patternType="solid">
        <fgColor rgb="FF979B2B"/>
        <bgColor indexed="64"/>
      </patternFill>
    </fill>
    <fill>
      <patternFill patternType="solid">
        <fgColor rgb="FFFFFE34"/>
        <bgColor indexed="64"/>
      </patternFill>
    </fill>
    <fill>
      <patternFill patternType="solid">
        <fgColor rgb="FF648239"/>
        <bgColor indexed="64"/>
      </patternFill>
    </fill>
    <fill>
      <patternFill patternType="solid">
        <fgColor rgb="FF0874A3"/>
        <bgColor indexed="64"/>
      </patternFill>
    </fill>
    <fill>
      <patternFill patternType="solid">
        <fgColor rgb="FF167FAD"/>
        <bgColor indexed="64"/>
      </patternFill>
    </fill>
    <fill>
      <patternFill patternType="solid">
        <fgColor rgb="FF137AA8"/>
        <bgColor indexed="64"/>
      </patternFill>
    </fill>
    <fill>
      <patternFill patternType="solid">
        <fgColor rgb="FF1584AF"/>
        <bgColor indexed="64"/>
      </patternFill>
    </fill>
    <fill>
      <patternFill patternType="solid">
        <fgColor rgb="FF1277A1"/>
        <bgColor indexed="64"/>
      </patternFill>
    </fill>
    <fill>
      <patternFill patternType="solid">
        <fgColor rgb="FF137BA7"/>
        <bgColor indexed="64"/>
      </patternFill>
    </fill>
    <fill>
      <patternFill patternType="solid">
        <fgColor rgb="FF096589"/>
        <bgColor indexed="64"/>
      </patternFill>
    </fill>
    <fill>
      <patternFill patternType="solid">
        <fgColor rgb="FFBEBE34"/>
        <bgColor indexed="64"/>
      </patternFill>
    </fill>
    <fill>
      <patternFill patternType="solid">
        <fgColor rgb="FF79812A"/>
        <bgColor indexed="64"/>
      </patternFill>
    </fill>
    <fill>
      <patternFill patternType="solid">
        <fgColor rgb="FF02608C"/>
        <bgColor indexed="64"/>
      </patternFill>
    </fill>
    <fill>
      <patternFill patternType="solid">
        <fgColor rgb="FF12769F"/>
        <bgColor indexed="64"/>
      </patternFill>
    </fill>
    <fill>
      <patternFill patternType="solid">
        <fgColor rgb="FF11729B"/>
        <bgColor indexed="64"/>
      </patternFill>
    </fill>
    <fill>
      <patternFill patternType="solid">
        <fgColor rgb="FF096696"/>
        <bgColor indexed="64"/>
      </patternFill>
    </fill>
    <fill>
      <patternFill patternType="solid">
        <fgColor rgb="FF435736"/>
        <bgColor indexed="64"/>
      </patternFill>
    </fill>
    <fill>
      <patternFill patternType="solid">
        <fgColor rgb="FF998F1F"/>
        <bgColor indexed="64"/>
      </patternFill>
    </fill>
    <fill>
      <patternFill patternType="solid">
        <fgColor rgb="FF20686A"/>
        <bgColor indexed="64"/>
      </patternFill>
    </fill>
    <fill>
      <patternFill patternType="solid">
        <fgColor rgb="FF0D6FA2"/>
        <bgColor indexed="64"/>
      </patternFill>
    </fill>
    <fill>
      <patternFill patternType="solid">
        <fgColor rgb="FF106E98"/>
        <bgColor indexed="64"/>
      </patternFill>
    </fill>
    <fill>
      <patternFill patternType="solid">
        <fgColor rgb="FF106C98"/>
        <bgColor indexed="64"/>
      </patternFill>
    </fill>
    <fill>
      <patternFill patternType="solid">
        <fgColor rgb="FF0E6998"/>
        <bgColor indexed="64"/>
      </patternFill>
    </fill>
    <fill>
      <patternFill patternType="solid">
        <fgColor rgb="FF0E6896"/>
        <bgColor indexed="64"/>
      </patternFill>
    </fill>
    <fill>
      <patternFill patternType="solid">
        <fgColor rgb="FF0D6896"/>
        <bgColor indexed="64"/>
      </patternFill>
    </fill>
    <fill>
      <patternFill patternType="solid">
        <fgColor rgb="FF0F6999"/>
        <bgColor indexed="64"/>
      </patternFill>
    </fill>
    <fill>
      <patternFill patternType="solid">
        <fgColor rgb="FF0D6799"/>
        <bgColor indexed="64"/>
      </patternFill>
    </fill>
    <fill>
      <patternFill patternType="solid">
        <fgColor rgb="FF679937"/>
        <bgColor indexed="64"/>
      </patternFill>
    </fill>
    <fill>
      <patternFill patternType="solid">
        <fgColor rgb="FF689835"/>
        <bgColor indexed="64"/>
      </patternFill>
    </fill>
    <fill>
      <patternFill patternType="solid">
        <fgColor rgb="FF6A9A35"/>
        <bgColor indexed="64"/>
      </patternFill>
    </fill>
    <fill>
      <patternFill patternType="solid">
        <fgColor rgb="FF689734"/>
        <bgColor indexed="64"/>
      </patternFill>
    </fill>
    <fill>
      <patternFill patternType="solid">
        <fgColor rgb="FF699C34"/>
        <bgColor indexed="64"/>
      </patternFill>
    </fill>
    <fill>
      <patternFill patternType="solid">
        <fgColor rgb="FF61852A"/>
        <bgColor indexed="64"/>
      </patternFill>
    </fill>
    <fill>
      <patternFill patternType="solid">
        <fgColor rgb="FF5D6221"/>
        <bgColor indexed="64"/>
      </patternFill>
    </fill>
    <fill>
      <patternFill patternType="solid">
        <fgColor rgb="FF689531"/>
        <bgColor indexed="64"/>
      </patternFill>
    </fill>
    <fill>
      <patternFill patternType="solid">
        <fgColor rgb="FF6B9D31"/>
        <bgColor indexed="64"/>
      </patternFill>
    </fill>
    <fill>
      <patternFill patternType="solid">
        <fgColor rgb="FF679C30"/>
        <bgColor indexed="64"/>
      </patternFill>
    </fill>
    <fill>
      <patternFill patternType="solid">
        <fgColor rgb="FF6C9D34"/>
        <bgColor indexed="64"/>
      </patternFill>
    </fill>
    <fill>
      <patternFill patternType="solid">
        <fgColor rgb="FF6BA035"/>
        <bgColor indexed="64"/>
      </patternFill>
    </fill>
    <fill>
      <patternFill patternType="solid">
        <fgColor rgb="FF4E6422"/>
        <bgColor indexed="64"/>
      </patternFill>
    </fill>
    <fill>
      <patternFill patternType="solid">
        <fgColor rgb="FF998A27"/>
        <bgColor indexed="64"/>
      </patternFill>
    </fill>
    <fill>
      <patternFill patternType="solid">
        <fgColor rgb="FFDDCD32"/>
        <bgColor indexed="64"/>
      </patternFill>
    </fill>
    <fill>
      <patternFill patternType="solid">
        <fgColor rgb="FF436020"/>
        <bgColor indexed="64"/>
      </patternFill>
    </fill>
    <fill>
      <patternFill patternType="solid">
        <fgColor rgb="FF70A338"/>
        <bgColor indexed="64"/>
      </patternFill>
    </fill>
    <fill>
      <patternFill patternType="solid">
        <fgColor rgb="FF6D9B38"/>
        <bgColor indexed="64"/>
      </patternFill>
    </fill>
    <fill>
      <patternFill patternType="solid">
        <fgColor rgb="FF6E9F3B"/>
        <bgColor indexed="64"/>
      </patternFill>
    </fill>
    <fill>
      <patternFill patternType="solid">
        <fgColor rgb="FF76A442"/>
        <bgColor indexed="64"/>
      </patternFill>
    </fill>
    <fill>
      <patternFill patternType="solid">
        <fgColor rgb="FF5D8833"/>
        <bgColor indexed="64"/>
      </patternFill>
    </fill>
    <fill>
      <patternFill patternType="solid">
        <fgColor rgb="FF608930"/>
        <bgColor indexed="64"/>
      </patternFill>
    </fill>
    <fill>
      <patternFill patternType="solid">
        <fgColor rgb="FF679635"/>
        <bgColor indexed="64"/>
      </patternFill>
    </fill>
    <fill>
      <patternFill patternType="solid">
        <fgColor rgb="FF689838"/>
        <bgColor indexed="64"/>
      </patternFill>
    </fill>
    <fill>
      <patternFill patternType="solid">
        <fgColor rgb="FF6B993C"/>
        <bgColor indexed="64"/>
      </patternFill>
    </fill>
    <fill>
      <patternFill patternType="solid">
        <fgColor rgb="FF6A983C"/>
        <bgColor indexed="64"/>
      </patternFill>
    </fill>
    <fill>
      <patternFill patternType="solid">
        <fgColor rgb="FF70A23F"/>
        <bgColor indexed="64"/>
      </patternFill>
    </fill>
    <fill>
      <patternFill patternType="solid">
        <fgColor rgb="FF70A340"/>
        <bgColor indexed="64"/>
      </patternFill>
    </fill>
    <fill>
      <patternFill patternType="solid">
        <fgColor rgb="FF73A442"/>
        <bgColor indexed="64"/>
      </patternFill>
    </fill>
    <fill>
      <patternFill patternType="solid">
        <fgColor rgb="FF75A541"/>
        <bgColor indexed="64"/>
      </patternFill>
    </fill>
    <fill>
      <patternFill patternType="solid">
        <fgColor rgb="FF73A43F"/>
        <bgColor indexed="64"/>
      </patternFill>
    </fill>
    <fill>
      <patternFill patternType="solid">
        <fgColor rgb="FF7CAE46"/>
        <bgColor indexed="64"/>
      </patternFill>
    </fill>
    <fill>
      <patternFill patternType="solid">
        <fgColor rgb="FF6B9444"/>
        <bgColor indexed="64"/>
      </patternFill>
    </fill>
    <fill>
      <patternFill patternType="solid">
        <fgColor rgb="FFBFBA39"/>
        <bgColor indexed="64"/>
      </patternFill>
    </fill>
    <fill>
      <patternFill patternType="solid">
        <fgColor rgb="FF748528"/>
        <bgColor indexed="64"/>
      </patternFill>
    </fill>
    <fill>
      <patternFill patternType="solid">
        <fgColor rgb="FF609635"/>
        <bgColor indexed="64"/>
      </patternFill>
    </fill>
    <fill>
      <patternFill patternType="solid">
        <fgColor rgb="FF6CA237"/>
        <bgColor indexed="64"/>
      </patternFill>
    </fill>
    <fill>
      <patternFill patternType="solid">
        <fgColor rgb="FF6B9E39"/>
        <bgColor indexed="64"/>
      </patternFill>
    </fill>
    <fill>
      <patternFill patternType="solid">
        <fgColor rgb="FF6DA03B"/>
        <bgColor indexed="64"/>
      </patternFill>
    </fill>
    <fill>
      <patternFill patternType="solid">
        <fgColor rgb="FF6A9F37"/>
        <bgColor indexed="64"/>
      </patternFill>
    </fill>
    <fill>
      <patternFill patternType="solid">
        <fgColor rgb="FF6BA236"/>
        <bgColor indexed="64"/>
      </patternFill>
    </fill>
    <fill>
      <patternFill patternType="solid">
        <fgColor rgb="FF609234"/>
        <bgColor indexed="64"/>
      </patternFill>
    </fill>
    <fill>
      <patternFill patternType="solid">
        <fgColor rgb="FF6C7133"/>
        <bgColor indexed="64"/>
      </patternFill>
    </fill>
    <fill>
      <patternFill patternType="solid">
        <fgColor rgb="FFA59C2C"/>
        <bgColor indexed="64"/>
      </patternFill>
    </fill>
    <fill>
      <patternFill patternType="solid">
        <fgColor rgb="FF567C2C"/>
        <bgColor indexed="64"/>
      </patternFill>
    </fill>
    <fill>
      <patternFill patternType="solid">
        <fgColor rgb="FF6DA041"/>
        <bgColor indexed="64"/>
      </patternFill>
    </fill>
    <fill>
      <patternFill patternType="solid">
        <fgColor rgb="FF6AA043"/>
        <bgColor indexed="64"/>
      </patternFill>
    </fill>
    <fill>
      <patternFill patternType="solid">
        <fgColor rgb="FF6FA441"/>
        <bgColor indexed="64"/>
      </patternFill>
    </fill>
    <fill>
      <patternFill patternType="solid">
        <fgColor rgb="FF6D9F3C"/>
        <bgColor indexed="64"/>
      </patternFill>
    </fill>
    <fill>
      <patternFill patternType="solid">
        <fgColor rgb="FF3A6C34"/>
        <bgColor indexed="64"/>
      </patternFill>
    </fill>
    <fill>
      <patternFill patternType="solid">
        <fgColor rgb="FF035975"/>
        <bgColor indexed="64"/>
      </patternFill>
    </fill>
    <fill>
      <patternFill patternType="solid">
        <fgColor rgb="FF6C7F38"/>
        <bgColor indexed="64"/>
      </patternFill>
    </fill>
    <fill>
      <patternFill patternType="solid">
        <fgColor rgb="FFFBED31"/>
        <bgColor indexed="64"/>
      </patternFill>
    </fill>
    <fill>
      <patternFill patternType="solid">
        <fgColor rgb="FF6B8330"/>
        <bgColor indexed="64"/>
      </patternFill>
    </fill>
    <fill>
      <patternFill patternType="solid">
        <fgColor rgb="FF076F9E"/>
        <bgColor indexed="64"/>
      </patternFill>
    </fill>
    <fill>
      <patternFill patternType="solid">
        <fgColor rgb="FF1680AE"/>
        <bgColor indexed="64"/>
      </patternFill>
    </fill>
    <fill>
      <patternFill patternType="solid">
        <fgColor rgb="FF127AA7"/>
        <bgColor indexed="64"/>
      </patternFill>
    </fill>
    <fill>
      <patternFill patternType="solid">
        <fgColor rgb="FF137EAA"/>
        <bgColor indexed="64"/>
      </patternFill>
    </fill>
    <fill>
      <patternFill patternType="solid">
        <fgColor rgb="FF1276A1"/>
        <bgColor indexed="64"/>
      </patternFill>
    </fill>
    <fill>
      <patternFill patternType="solid">
        <fgColor rgb="FF0D76A7"/>
        <bgColor indexed="64"/>
      </patternFill>
    </fill>
    <fill>
      <patternFill patternType="solid">
        <fgColor rgb="FF1E6C77"/>
        <bgColor indexed="64"/>
      </patternFill>
    </fill>
    <fill>
      <patternFill patternType="solid">
        <fgColor rgb="FFD8CF2C"/>
        <bgColor indexed="64"/>
      </patternFill>
    </fill>
    <fill>
      <patternFill patternType="solid">
        <fgColor rgb="FF56763B"/>
        <bgColor indexed="64"/>
      </patternFill>
    </fill>
    <fill>
      <patternFill patternType="solid">
        <fgColor rgb="FF056999"/>
        <bgColor indexed="64"/>
      </patternFill>
    </fill>
    <fill>
      <patternFill patternType="solid">
        <fgColor rgb="FF12739D"/>
        <bgColor indexed="64"/>
      </patternFill>
    </fill>
    <fill>
      <patternFill patternType="solid">
        <fgColor rgb="FF11739C"/>
        <bgColor indexed="64"/>
      </patternFill>
    </fill>
    <fill>
      <patternFill patternType="solid">
        <fgColor rgb="FF136E9A"/>
        <bgColor indexed="64"/>
      </patternFill>
    </fill>
    <fill>
      <patternFill patternType="solid">
        <fgColor rgb="FF01192C"/>
        <bgColor indexed="64"/>
      </patternFill>
    </fill>
    <fill>
      <patternFill patternType="solid">
        <fgColor rgb="FF1F1C04"/>
        <bgColor indexed="64"/>
      </patternFill>
    </fill>
    <fill>
      <patternFill patternType="solid">
        <fgColor rgb="FF1E5F64"/>
        <bgColor indexed="64"/>
      </patternFill>
    </fill>
    <fill>
      <patternFill patternType="solid">
        <fgColor rgb="FF0D71A0"/>
        <bgColor indexed="64"/>
      </patternFill>
    </fill>
    <fill>
      <patternFill patternType="solid">
        <fgColor rgb="FF0E6995"/>
        <bgColor indexed="64"/>
      </patternFill>
    </fill>
    <fill>
      <patternFill patternType="solid">
        <fgColor rgb="FF0E6993"/>
        <bgColor indexed="64"/>
      </patternFill>
    </fill>
    <fill>
      <patternFill patternType="solid">
        <fgColor rgb="FF0F6997"/>
        <bgColor indexed="64"/>
      </patternFill>
    </fill>
    <fill>
      <patternFill patternType="solid">
        <fgColor rgb="FF0F6896"/>
        <bgColor indexed="64"/>
      </patternFill>
    </fill>
    <fill>
      <patternFill patternType="solid">
        <fgColor rgb="FF0F699B"/>
        <bgColor indexed="64"/>
      </patternFill>
    </fill>
    <fill>
      <patternFill patternType="solid">
        <fgColor rgb="FF679735"/>
        <bgColor indexed="64"/>
      </patternFill>
    </fill>
    <fill>
      <patternFill patternType="solid">
        <fgColor rgb="FF699933"/>
        <bgColor indexed="64"/>
      </patternFill>
    </fill>
    <fill>
      <patternFill patternType="solid">
        <fgColor rgb="FF669733"/>
        <bgColor indexed="64"/>
      </patternFill>
    </fill>
    <fill>
      <patternFill patternType="solid">
        <fgColor rgb="FF5C8A2A"/>
        <bgColor indexed="64"/>
      </patternFill>
    </fill>
    <fill>
      <patternFill patternType="solid">
        <fgColor rgb="FF444C14"/>
        <bgColor indexed="64"/>
      </patternFill>
    </fill>
    <fill>
      <patternFill patternType="solid">
        <fgColor rgb="FF72912A"/>
        <bgColor indexed="64"/>
      </patternFill>
    </fill>
    <fill>
      <patternFill patternType="solid">
        <fgColor rgb="FF6A9C32"/>
        <bgColor indexed="64"/>
      </patternFill>
    </fill>
    <fill>
      <patternFill patternType="solid">
        <fgColor rgb="FF699D30"/>
        <bgColor indexed="64"/>
      </patternFill>
    </fill>
    <fill>
      <patternFill patternType="solid">
        <fgColor rgb="FF699B32"/>
        <bgColor indexed="64"/>
      </patternFill>
    </fill>
    <fill>
      <patternFill patternType="solid">
        <fgColor rgb="FF6A9E34"/>
        <bgColor indexed="64"/>
      </patternFill>
    </fill>
    <fill>
      <patternFill patternType="solid">
        <fgColor rgb="FF6DA131"/>
        <bgColor indexed="64"/>
      </patternFill>
    </fill>
    <fill>
      <patternFill patternType="solid">
        <fgColor rgb="FF5D8E2E"/>
        <bgColor indexed="64"/>
      </patternFill>
    </fill>
    <fill>
      <patternFill patternType="solid">
        <fgColor rgb="FF646B21"/>
        <bgColor indexed="64"/>
      </patternFill>
    </fill>
    <fill>
      <patternFill patternType="solid">
        <fgColor rgb="FFC4B431"/>
        <bgColor indexed="64"/>
      </patternFill>
    </fill>
    <fill>
      <patternFill patternType="solid">
        <fgColor rgb="FFECDC34"/>
        <bgColor indexed="64"/>
      </patternFill>
    </fill>
    <fill>
      <patternFill patternType="solid">
        <fgColor rgb="FFA4A028"/>
        <bgColor indexed="64"/>
      </patternFill>
    </fill>
    <fill>
      <patternFill patternType="solid">
        <fgColor rgb="FF496D26"/>
        <bgColor indexed="64"/>
      </patternFill>
    </fill>
    <fill>
      <patternFill patternType="solid">
        <fgColor rgb="FF72A438"/>
        <bgColor indexed="64"/>
      </patternFill>
    </fill>
    <fill>
      <patternFill patternType="solid">
        <fgColor rgb="FF6B9A37"/>
        <bgColor indexed="64"/>
      </patternFill>
    </fill>
    <fill>
      <patternFill patternType="solid">
        <fgColor rgb="FF6C9C38"/>
        <bgColor indexed="64"/>
      </patternFill>
    </fill>
    <fill>
      <patternFill patternType="solid">
        <fgColor rgb="FF6E9E39"/>
        <bgColor indexed="64"/>
      </patternFill>
    </fill>
    <fill>
      <patternFill patternType="solid">
        <fgColor rgb="FF74A33D"/>
        <bgColor indexed="64"/>
      </patternFill>
    </fill>
    <fill>
      <patternFill patternType="solid">
        <fgColor rgb="FF74A43E"/>
        <bgColor indexed="64"/>
      </patternFill>
    </fill>
    <fill>
      <patternFill patternType="solid">
        <fgColor rgb="FF638E33"/>
        <bgColor indexed="64"/>
      </patternFill>
    </fill>
    <fill>
      <patternFill patternType="solid">
        <fgColor rgb="FF699837"/>
        <bgColor indexed="64"/>
      </patternFill>
    </fill>
    <fill>
      <patternFill patternType="solid">
        <fgColor rgb="FF79AB40"/>
        <bgColor indexed="64"/>
      </patternFill>
    </fill>
    <fill>
      <patternFill patternType="solid">
        <fgColor rgb="FF70A13B"/>
        <bgColor indexed="64"/>
      </patternFill>
    </fill>
    <fill>
      <patternFill patternType="solid">
        <fgColor rgb="FF71A33C"/>
        <bgColor indexed="64"/>
      </patternFill>
    </fill>
    <fill>
      <patternFill patternType="solid">
        <fgColor rgb="FF73A23D"/>
        <bgColor indexed="64"/>
      </patternFill>
    </fill>
    <fill>
      <patternFill patternType="solid">
        <fgColor rgb="FF639136"/>
        <bgColor indexed="64"/>
      </patternFill>
    </fill>
    <fill>
      <patternFill patternType="solid">
        <fgColor rgb="FF5E8A31"/>
        <bgColor indexed="64"/>
      </patternFill>
    </fill>
    <fill>
      <patternFill patternType="solid">
        <fgColor rgb="FF6C9E3C"/>
        <bgColor indexed="64"/>
      </patternFill>
    </fill>
    <fill>
      <patternFill patternType="solid">
        <fgColor rgb="FF70A240"/>
        <bgColor indexed="64"/>
      </patternFill>
    </fill>
    <fill>
      <patternFill patternType="solid">
        <fgColor rgb="FF71A141"/>
        <bgColor indexed="64"/>
      </patternFill>
    </fill>
    <fill>
      <patternFill patternType="solid">
        <fgColor rgb="FF70A03F"/>
        <bgColor indexed="64"/>
      </patternFill>
    </fill>
    <fill>
      <patternFill patternType="solid">
        <fgColor rgb="FF72A240"/>
        <bgColor indexed="64"/>
      </patternFill>
    </fill>
    <fill>
      <patternFill patternType="solid">
        <fgColor rgb="FF78A844"/>
        <bgColor indexed="64"/>
      </patternFill>
    </fill>
    <fill>
      <patternFill patternType="solid">
        <fgColor rgb="FF6C9B45"/>
        <bgColor indexed="64"/>
      </patternFill>
    </fill>
    <fill>
      <patternFill patternType="solid">
        <fgColor rgb="FFC6C233"/>
        <bgColor indexed="64"/>
      </patternFill>
    </fill>
    <fill>
      <patternFill patternType="solid">
        <fgColor rgb="FF8A9529"/>
        <bgColor indexed="64"/>
      </patternFill>
    </fill>
    <fill>
      <patternFill patternType="solid">
        <fgColor rgb="FF598D32"/>
        <bgColor indexed="64"/>
      </patternFill>
    </fill>
    <fill>
      <patternFill patternType="solid">
        <fgColor rgb="FF6FA337"/>
        <bgColor indexed="64"/>
      </patternFill>
    </fill>
    <fill>
      <patternFill patternType="solid">
        <fgColor rgb="FF6AA039"/>
        <bgColor indexed="64"/>
      </patternFill>
    </fill>
    <fill>
      <patternFill patternType="solid">
        <fgColor rgb="FF6B9D39"/>
        <bgColor indexed="64"/>
      </patternFill>
    </fill>
    <fill>
      <patternFill patternType="solid">
        <fgColor rgb="FF699D38"/>
        <bgColor indexed="64"/>
      </patternFill>
    </fill>
    <fill>
      <patternFill patternType="solid">
        <fgColor rgb="FF6AA038"/>
        <bgColor indexed="64"/>
      </patternFill>
    </fill>
    <fill>
      <patternFill patternType="solid">
        <fgColor rgb="FF659938"/>
        <bgColor indexed="64"/>
      </patternFill>
    </fill>
    <fill>
      <patternFill patternType="solid">
        <fgColor rgb="FF3A421A"/>
        <bgColor indexed="64"/>
      </patternFill>
    </fill>
    <fill>
      <patternFill patternType="solid">
        <fgColor rgb="FF5A5819"/>
        <bgColor indexed="64"/>
      </patternFill>
    </fill>
    <fill>
      <patternFill patternType="solid">
        <fgColor rgb="FF58802D"/>
        <bgColor indexed="64"/>
      </patternFill>
    </fill>
    <fill>
      <patternFill patternType="solid">
        <fgColor rgb="FF72A741"/>
        <bgColor indexed="64"/>
      </patternFill>
    </fill>
    <fill>
      <patternFill patternType="solid">
        <fgColor rgb="FF6B9E3D"/>
        <bgColor indexed="64"/>
      </patternFill>
    </fill>
    <fill>
      <patternFill patternType="solid">
        <fgColor rgb="FF6BA13C"/>
        <bgColor indexed="64"/>
      </patternFill>
    </fill>
    <fill>
      <patternFill patternType="solid">
        <fgColor rgb="FF70A43E"/>
        <bgColor indexed="64"/>
      </patternFill>
    </fill>
    <fill>
      <patternFill patternType="solid">
        <fgColor rgb="FF64943A"/>
        <bgColor indexed="64"/>
      </patternFill>
    </fill>
    <fill>
      <patternFill patternType="solid">
        <fgColor rgb="FF507A36"/>
        <bgColor indexed="64"/>
      </patternFill>
    </fill>
    <fill>
      <patternFill patternType="solid">
        <fgColor rgb="FF486727"/>
        <bgColor indexed="64"/>
      </patternFill>
    </fill>
    <fill>
      <patternFill patternType="solid">
        <fgColor rgb="FF114445"/>
        <bgColor indexed="64"/>
      </patternFill>
    </fill>
    <fill>
      <patternFill patternType="solid">
        <fgColor rgb="FF375A46"/>
        <bgColor indexed="64"/>
      </patternFill>
    </fill>
    <fill>
      <patternFill patternType="solid">
        <fgColor rgb="FFCFBA2D"/>
        <bgColor indexed="64"/>
      </patternFill>
    </fill>
    <fill>
      <patternFill patternType="solid">
        <fgColor rgb="FF59601E"/>
        <bgColor indexed="64"/>
      </patternFill>
    </fill>
    <fill>
      <patternFill patternType="solid">
        <fgColor rgb="FF096991"/>
        <bgColor indexed="64"/>
      </patternFill>
    </fill>
    <fill>
      <patternFill patternType="solid">
        <fgColor rgb="FF1785AF"/>
        <bgColor indexed="64"/>
      </patternFill>
    </fill>
    <fill>
      <patternFill patternType="solid">
        <fgColor rgb="FF137AA5"/>
        <bgColor indexed="64"/>
      </patternFill>
    </fill>
    <fill>
      <patternFill patternType="solid">
        <fgColor rgb="FF137BA6"/>
        <bgColor indexed="64"/>
      </patternFill>
    </fill>
    <fill>
      <patternFill patternType="solid">
        <fgColor rgb="FF0974A7"/>
        <bgColor indexed="64"/>
      </patternFill>
    </fill>
    <fill>
      <patternFill patternType="solid">
        <fgColor rgb="FF467B60"/>
        <bgColor indexed="64"/>
      </patternFill>
    </fill>
    <fill>
      <patternFill patternType="solid">
        <fgColor rgb="FFBDAD20"/>
        <bgColor indexed="64"/>
      </patternFill>
    </fill>
    <fill>
      <patternFill patternType="solid">
        <fgColor rgb="FF2C6A57"/>
        <bgColor indexed="64"/>
      </patternFill>
    </fill>
    <fill>
      <patternFill patternType="solid">
        <fgColor rgb="FF0B72A2"/>
        <bgColor indexed="64"/>
      </patternFill>
    </fill>
    <fill>
      <patternFill patternType="solid">
        <fgColor rgb="FF117297"/>
        <bgColor indexed="64"/>
      </patternFill>
    </fill>
    <fill>
      <patternFill patternType="solid">
        <fgColor rgb="FF0F6995"/>
        <bgColor indexed="64"/>
      </patternFill>
    </fill>
    <fill>
      <patternFill patternType="solid">
        <fgColor rgb="FF223E37"/>
        <bgColor indexed="64"/>
      </patternFill>
    </fill>
    <fill>
      <patternFill patternType="solid">
        <fgColor rgb="FF413D0A"/>
        <bgColor indexed="64"/>
      </patternFill>
    </fill>
    <fill>
      <patternFill patternType="solid">
        <fgColor rgb="FF205451"/>
        <bgColor indexed="64"/>
      </patternFill>
    </fill>
    <fill>
      <patternFill patternType="solid">
        <fgColor rgb="FF0C709C"/>
        <bgColor indexed="64"/>
      </patternFill>
    </fill>
    <fill>
      <patternFill patternType="solid">
        <fgColor rgb="FF0F6D97"/>
        <bgColor indexed="64"/>
      </patternFill>
    </fill>
    <fill>
      <patternFill patternType="solid">
        <fgColor rgb="FF0F6E98"/>
        <bgColor indexed="64"/>
      </patternFill>
    </fill>
    <fill>
      <patternFill patternType="solid">
        <fgColor rgb="FF0E6895"/>
        <bgColor indexed="64"/>
      </patternFill>
    </fill>
    <fill>
      <patternFill patternType="solid">
        <fgColor rgb="FF0E6695"/>
        <bgColor indexed="64"/>
      </patternFill>
    </fill>
    <fill>
      <patternFill patternType="solid">
        <fgColor rgb="FF0E6696"/>
        <bgColor indexed="64"/>
      </patternFill>
    </fill>
    <fill>
      <patternFill patternType="solid">
        <fgColor rgb="FF0F6899"/>
        <bgColor indexed="64"/>
      </patternFill>
    </fill>
    <fill>
      <patternFill patternType="solid">
        <fgColor rgb="FF0F689B"/>
        <bgColor indexed="64"/>
      </patternFill>
    </fill>
    <fill>
      <patternFill patternType="solid">
        <fgColor rgb="FF0E6898"/>
        <bgColor indexed="64"/>
      </patternFill>
    </fill>
    <fill>
      <patternFill patternType="solid">
        <fgColor rgb="FF659935"/>
        <bgColor indexed="64"/>
      </patternFill>
    </fill>
    <fill>
      <patternFill patternType="solid">
        <fgColor rgb="FF659532"/>
        <bgColor indexed="64"/>
      </patternFill>
    </fill>
    <fill>
      <patternFill patternType="solid">
        <fgColor rgb="FF679832"/>
        <bgColor indexed="64"/>
      </patternFill>
    </fill>
    <fill>
      <patternFill patternType="solid">
        <fgColor rgb="FF699B31"/>
        <bgColor indexed="64"/>
      </patternFill>
    </fill>
    <fill>
      <patternFill patternType="solid">
        <fgColor rgb="FF699A31"/>
        <bgColor indexed="64"/>
      </patternFill>
    </fill>
    <fill>
      <patternFill patternType="solid">
        <fgColor rgb="FF62972E"/>
        <bgColor indexed="64"/>
      </patternFill>
    </fill>
    <fill>
      <patternFill patternType="solid">
        <fgColor rgb="FF7B8829"/>
        <bgColor indexed="64"/>
      </patternFill>
    </fill>
    <fill>
      <patternFill patternType="solid">
        <fgColor rgb="FF798725"/>
        <bgColor indexed="64"/>
      </patternFill>
    </fill>
    <fill>
      <patternFill patternType="solid">
        <fgColor rgb="FF699C2F"/>
        <bgColor indexed="64"/>
      </patternFill>
    </fill>
    <fill>
      <patternFill patternType="solid">
        <fgColor rgb="FF6B9D32"/>
        <bgColor indexed="64"/>
      </patternFill>
    </fill>
    <fill>
      <patternFill patternType="solid">
        <fgColor rgb="FF6FA435"/>
        <bgColor indexed="64"/>
      </patternFill>
    </fill>
    <fill>
      <patternFill patternType="solid">
        <fgColor rgb="FF507B2B"/>
        <bgColor indexed="64"/>
      </patternFill>
    </fill>
    <fill>
      <patternFill patternType="solid">
        <fgColor rgb="FF807A21"/>
        <bgColor indexed="64"/>
      </patternFill>
    </fill>
    <fill>
      <patternFill patternType="solid">
        <fgColor rgb="FFF5E535"/>
        <bgColor indexed="64"/>
      </patternFill>
    </fill>
    <fill>
      <patternFill patternType="solid">
        <fgColor rgb="FFF9EB37"/>
        <bgColor indexed="64"/>
      </patternFill>
    </fill>
    <fill>
      <patternFill patternType="solid">
        <fgColor rgb="FF63681D"/>
        <bgColor indexed="64"/>
      </patternFill>
    </fill>
    <fill>
      <patternFill patternType="solid">
        <fgColor rgb="FF517E29"/>
        <bgColor indexed="64"/>
      </patternFill>
    </fill>
    <fill>
      <patternFill patternType="solid">
        <fgColor rgb="FF6EA034"/>
        <bgColor indexed="64"/>
      </patternFill>
    </fill>
    <fill>
      <patternFill patternType="solid">
        <fgColor rgb="FF6A9A36"/>
        <bgColor indexed="64"/>
      </patternFill>
    </fill>
    <fill>
      <patternFill patternType="solid">
        <fgColor rgb="FF6B9D35"/>
        <bgColor indexed="64"/>
      </patternFill>
    </fill>
    <fill>
      <patternFill patternType="solid">
        <fgColor rgb="FF6D9F37"/>
        <bgColor indexed="64"/>
      </patternFill>
    </fill>
    <fill>
      <patternFill patternType="solid">
        <fgColor rgb="FF72A13C"/>
        <bgColor indexed="64"/>
      </patternFill>
    </fill>
    <fill>
      <patternFill patternType="solid">
        <fgColor rgb="FF70A23C"/>
        <bgColor indexed="64"/>
      </patternFill>
    </fill>
    <fill>
      <patternFill patternType="solid">
        <fgColor rgb="FF72A43E"/>
        <bgColor indexed="64"/>
      </patternFill>
    </fill>
    <fill>
      <patternFill patternType="solid">
        <fgColor rgb="FF6E9E3D"/>
        <bgColor indexed="64"/>
      </patternFill>
    </fill>
    <fill>
      <patternFill patternType="solid">
        <fgColor rgb="FF6E9F3C"/>
        <bgColor indexed="64"/>
      </patternFill>
    </fill>
    <fill>
      <patternFill patternType="solid">
        <fgColor rgb="FF72A23C"/>
        <bgColor indexed="64"/>
      </patternFill>
    </fill>
    <fill>
      <patternFill patternType="solid">
        <fgColor rgb="FF70A33B"/>
        <bgColor indexed="64"/>
      </patternFill>
    </fill>
    <fill>
      <patternFill patternType="solid">
        <fgColor rgb="FF6EA03B"/>
        <bgColor indexed="64"/>
      </patternFill>
    </fill>
    <fill>
      <patternFill patternType="solid">
        <fgColor rgb="FF6FA040"/>
        <bgColor indexed="64"/>
      </patternFill>
    </fill>
    <fill>
      <patternFill patternType="solid">
        <fgColor rgb="FF6FA23F"/>
        <bgColor indexed="64"/>
      </patternFill>
    </fill>
    <fill>
      <patternFill patternType="solid">
        <fgColor rgb="FF6FA03E"/>
        <bgColor indexed="64"/>
      </patternFill>
    </fill>
    <fill>
      <patternFill patternType="solid">
        <fgColor rgb="FF71A240"/>
        <bgColor indexed="64"/>
      </patternFill>
    </fill>
    <fill>
      <patternFill patternType="solid">
        <fgColor rgb="FF73A149"/>
        <bgColor indexed="64"/>
      </patternFill>
    </fill>
    <fill>
      <patternFill patternType="solid">
        <fgColor rgb="FFA4A634"/>
        <bgColor indexed="64"/>
      </patternFill>
    </fill>
    <fill>
      <patternFill patternType="solid">
        <fgColor rgb="FFB2B52F"/>
        <bgColor indexed="64"/>
      </patternFill>
    </fill>
    <fill>
      <patternFill patternType="solid">
        <fgColor rgb="FF56892C"/>
        <bgColor indexed="64"/>
      </patternFill>
    </fill>
    <fill>
      <patternFill patternType="solid">
        <fgColor rgb="FF6DA237"/>
        <bgColor indexed="64"/>
      </patternFill>
    </fill>
    <fill>
      <patternFill patternType="solid">
        <fgColor rgb="FF689E38"/>
        <bgColor indexed="64"/>
      </patternFill>
    </fill>
    <fill>
      <patternFill patternType="solid">
        <fgColor rgb="FF679D38"/>
        <bgColor indexed="64"/>
      </patternFill>
    </fill>
    <fill>
      <patternFill patternType="solid">
        <fgColor rgb="FF6A9E37"/>
        <bgColor indexed="64"/>
      </patternFill>
    </fill>
    <fill>
      <patternFill patternType="solid">
        <fgColor rgb="FF68963B"/>
        <bgColor indexed="64"/>
      </patternFill>
    </fill>
    <fill>
      <patternFill patternType="solid">
        <fgColor rgb="FF1E280D"/>
        <bgColor indexed="64"/>
      </patternFill>
    </fill>
    <fill>
      <patternFill patternType="solid">
        <fgColor rgb="FF111502"/>
        <bgColor indexed="64"/>
      </patternFill>
    </fill>
    <fill>
      <patternFill patternType="solid">
        <fgColor rgb="FF618B34"/>
        <bgColor indexed="64"/>
      </patternFill>
    </fill>
    <fill>
      <patternFill patternType="solid">
        <fgColor rgb="FF6DA33E"/>
        <bgColor indexed="64"/>
      </patternFill>
    </fill>
    <fill>
      <patternFill patternType="solid">
        <fgColor rgb="FF699D3A"/>
        <bgColor indexed="64"/>
      </patternFill>
    </fill>
    <fill>
      <patternFill patternType="solid">
        <fgColor rgb="FF6B9F3A"/>
        <bgColor indexed="64"/>
      </patternFill>
    </fill>
    <fill>
      <patternFill patternType="solid">
        <fgColor rgb="FF6FA33C"/>
        <bgColor indexed="64"/>
      </patternFill>
    </fill>
    <fill>
      <patternFill patternType="solid">
        <fgColor rgb="FF6A9D39"/>
        <bgColor indexed="64"/>
      </patternFill>
    </fill>
    <fill>
      <patternFill patternType="solid">
        <fgColor rgb="FF477027"/>
        <bgColor indexed="64"/>
      </patternFill>
    </fill>
    <fill>
      <patternFill patternType="solid">
        <fgColor rgb="FF3C5C20"/>
        <bgColor indexed="64"/>
      </patternFill>
    </fill>
    <fill>
      <patternFill patternType="solid">
        <fgColor rgb="FF385D25"/>
        <bgColor indexed="64"/>
      </patternFill>
    </fill>
    <fill>
      <patternFill patternType="solid">
        <fgColor rgb="FF2C3D1D"/>
        <bgColor indexed="64"/>
      </patternFill>
    </fill>
    <fill>
      <patternFill patternType="solid">
        <fgColor rgb="FF685C1A"/>
        <bgColor indexed="64"/>
      </patternFill>
    </fill>
    <fill>
      <patternFill patternType="solid">
        <fgColor rgb="FF333C14"/>
        <bgColor indexed="64"/>
      </patternFill>
    </fill>
    <fill>
      <patternFill patternType="solid">
        <fgColor rgb="FF0A6185"/>
        <bgColor indexed="64"/>
      </patternFill>
    </fill>
    <fill>
      <patternFill patternType="solid">
        <fgColor rgb="FF0E77AC"/>
        <bgColor indexed="64"/>
      </patternFill>
    </fill>
    <fill>
      <patternFill patternType="solid">
        <fgColor rgb="FF0F76AA"/>
        <bgColor indexed="64"/>
      </patternFill>
    </fill>
    <fill>
      <patternFill patternType="solid">
        <fgColor rgb="FF137EAB"/>
        <bgColor indexed="64"/>
      </patternFill>
    </fill>
    <fill>
      <patternFill patternType="solid">
        <fgColor rgb="FF1380AD"/>
        <bgColor indexed="64"/>
      </patternFill>
    </fill>
    <fill>
      <patternFill patternType="solid">
        <fgColor rgb="FF137BA2"/>
        <bgColor indexed="64"/>
      </patternFill>
    </fill>
    <fill>
      <patternFill patternType="solid">
        <fgColor rgb="FF1077A5"/>
        <bgColor indexed="64"/>
      </patternFill>
    </fill>
    <fill>
      <patternFill patternType="solid">
        <fgColor rgb="FF17363F"/>
        <bgColor indexed="64"/>
      </patternFill>
    </fill>
    <fill>
      <patternFill patternType="solid">
        <fgColor rgb="FF656019"/>
        <bgColor indexed="64"/>
      </patternFill>
    </fill>
    <fill>
      <patternFill patternType="solid">
        <fgColor rgb="FF176774"/>
        <bgColor indexed="64"/>
      </patternFill>
    </fill>
    <fill>
      <patternFill patternType="solid">
        <fgColor rgb="FF0E75A3"/>
        <bgColor indexed="64"/>
      </patternFill>
    </fill>
    <fill>
      <patternFill patternType="solid">
        <fgColor rgb="FF107298"/>
        <bgColor indexed="64"/>
      </patternFill>
    </fill>
    <fill>
      <patternFill patternType="solid">
        <fgColor rgb="FF137499"/>
        <bgColor indexed="64"/>
      </patternFill>
    </fill>
    <fill>
      <patternFill patternType="solid">
        <fgColor rgb="FF416440"/>
        <bgColor indexed="64"/>
      </patternFill>
    </fill>
    <fill>
      <patternFill patternType="solid">
        <fgColor rgb="FFCFC126"/>
        <bgColor indexed="64"/>
      </patternFill>
    </fill>
    <fill>
      <patternFill patternType="solid">
        <fgColor rgb="FF3A5C41"/>
        <bgColor indexed="64"/>
      </patternFill>
    </fill>
    <fill>
      <patternFill patternType="solid">
        <fgColor rgb="FF066698"/>
        <bgColor indexed="64"/>
      </patternFill>
    </fill>
    <fill>
      <patternFill patternType="solid">
        <fgColor rgb="FF116D96"/>
        <bgColor indexed="64"/>
      </patternFill>
    </fill>
    <fill>
      <patternFill patternType="solid">
        <fgColor rgb="FF106D98"/>
        <bgColor indexed="64"/>
      </patternFill>
    </fill>
    <fill>
      <patternFill patternType="solid">
        <fgColor rgb="FF0E6A97"/>
        <bgColor indexed="64"/>
      </patternFill>
    </fill>
    <fill>
      <patternFill patternType="solid">
        <fgColor rgb="FF0E6994"/>
        <bgColor indexed="64"/>
      </patternFill>
    </fill>
    <fill>
      <patternFill patternType="solid">
        <fgColor rgb="FF0D6694"/>
        <bgColor indexed="64"/>
      </patternFill>
    </fill>
    <fill>
      <patternFill patternType="solid">
        <fgColor rgb="FF0D6595"/>
        <bgColor indexed="64"/>
      </patternFill>
    </fill>
    <fill>
      <patternFill patternType="solid">
        <fgColor rgb="FF0E6797"/>
        <bgColor indexed="64"/>
      </patternFill>
    </fill>
    <fill>
      <patternFill patternType="solid">
        <fgColor rgb="FF669834"/>
        <bgColor indexed="64"/>
      </patternFill>
    </fill>
    <fill>
      <patternFill patternType="solid">
        <fgColor rgb="FF649533"/>
        <bgColor indexed="64"/>
      </patternFill>
    </fill>
    <fill>
      <patternFill patternType="solid">
        <fgColor rgb="FF669833"/>
        <bgColor indexed="64"/>
      </patternFill>
    </fill>
    <fill>
      <patternFill patternType="solid">
        <fgColor rgb="FF679B30"/>
        <bgColor indexed="64"/>
      </patternFill>
    </fill>
    <fill>
      <patternFill patternType="solid">
        <fgColor rgb="FF6AA132"/>
        <bgColor indexed="64"/>
      </patternFill>
    </fill>
    <fill>
      <patternFill patternType="solid">
        <fgColor rgb="FF597828"/>
        <bgColor indexed="64"/>
      </patternFill>
    </fill>
    <fill>
      <patternFill patternType="solid">
        <fgColor rgb="FF686D24"/>
        <bgColor indexed="64"/>
      </patternFill>
    </fill>
    <fill>
      <patternFill patternType="solid">
        <fgColor rgb="FF6E9B2F"/>
        <bgColor indexed="64"/>
      </patternFill>
    </fill>
    <fill>
      <patternFill patternType="solid">
        <fgColor rgb="FF699932"/>
        <bgColor indexed="64"/>
      </patternFill>
    </fill>
    <fill>
      <patternFill patternType="solid">
        <fgColor rgb="FF71A436"/>
        <bgColor indexed="64"/>
      </patternFill>
    </fill>
    <fill>
      <patternFill patternType="solid">
        <fgColor rgb="FF476B24"/>
        <bgColor indexed="64"/>
      </patternFill>
    </fill>
    <fill>
      <patternFill patternType="solid">
        <fgColor rgb="FFAEA228"/>
        <bgColor indexed="64"/>
      </patternFill>
    </fill>
    <fill>
      <patternFill patternType="solid">
        <fgColor rgb="FFFFEF35"/>
        <bgColor indexed="64"/>
      </patternFill>
    </fill>
    <fill>
      <patternFill patternType="solid">
        <fgColor rgb="FFEEE036"/>
        <bgColor indexed="64"/>
      </patternFill>
    </fill>
    <fill>
      <patternFill patternType="solid">
        <fgColor rgb="FF505D1B"/>
        <bgColor indexed="64"/>
      </patternFill>
    </fill>
    <fill>
      <patternFill patternType="solid">
        <fgColor rgb="FF5D912C"/>
        <bgColor indexed="64"/>
      </patternFill>
    </fill>
    <fill>
      <patternFill patternType="solid">
        <fgColor rgb="FF689D30"/>
        <bgColor indexed="64"/>
      </patternFill>
    </fill>
    <fill>
      <patternFill patternType="solid">
        <fgColor rgb="FF679B32"/>
        <bgColor indexed="64"/>
      </patternFill>
    </fill>
    <fill>
      <patternFill patternType="solid">
        <fgColor rgb="FF6A9D35"/>
        <bgColor indexed="64"/>
      </patternFill>
    </fill>
    <fill>
      <patternFill patternType="solid">
        <fgColor rgb="FF6C9F37"/>
        <bgColor indexed="64"/>
      </patternFill>
    </fill>
    <fill>
      <patternFill patternType="solid">
        <fgColor rgb="FF6C9F39"/>
        <bgColor indexed="64"/>
      </patternFill>
    </fill>
    <fill>
      <patternFill patternType="solid">
        <fgColor rgb="FF6D9E39"/>
        <bgColor indexed="64"/>
      </patternFill>
    </fill>
    <fill>
      <patternFill patternType="solid">
        <fgColor rgb="FF719F3D"/>
        <bgColor indexed="64"/>
      </patternFill>
    </fill>
    <fill>
      <patternFill patternType="solid">
        <fgColor rgb="FF6E9E3B"/>
        <bgColor indexed="64"/>
      </patternFill>
    </fill>
    <fill>
      <patternFill patternType="solid">
        <fgColor rgb="FF6E9C3C"/>
        <bgColor indexed="64"/>
      </patternFill>
    </fill>
    <fill>
      <patternFill patternType="solid">
        <fgColor rgb="FF6D9D3B"/>
        <bgColor indexed="64"/>
      </patternFill>
    </fill>
    <fill>
      <patternFill patternType="solid">
        <fgColor rgb="FF6C9D3C"/>
        <bgColor indexed="64"/>
      </patternFill>
    </fill>
    <fill>
      <patternFill patternType="solid">
        <fgColor rgb="FF71A33E"/>
        <bgColor indexed="64"/>
      </patternFill>
    </fill>
    <fill>
      <patternFill patternType="solid">
        <fgColor rgb="FF6FA23D"/>
        <bgColor indexed="64"/>
      </patternFill>
    </fill>
    <fill>
      <patternFill patternType="solid">
        <fgColor rgb="FF70A13D"/>
        <bgColor indexed="64"/>
      </patternFill>
    </fill>
    <fill>
      <patternFill patternType="solid">
        <fgColor rgb="FF7EAC52"/>
        <bgColor indexed="64"/>
      </patternFill>
    </fill>
    <fill>
      <patternFill patternType="solid">
        <fgColor rgb="FF5B642B"/>
        <bgColor indexed="64"/>
      </patternFill>
    </fill>
    <fill>
      <patternFill patternType="solid">
        <fgColor rgb="FF7F7826"/>
        <bgColor indexed="64"/>
      </patternFill>
    </fill>
    <fill>
      <patternFill patternType="solid">
        <fgColor rgb="FF537C2B"/>
        <bgColor indexed="64"/>
      </patternFill>
    </fill>
    <fill>
      <patternFill patternType="solid">
        <fgColor rgb="FF6EA43A"/>
        <bgColor indexed="64"/>
      </patternFill>
    </fill>
    <fill>
      <patternFill patternType="solid">
        <fgColor rgb="FF689B39"/>
        <bgColor indexed="64"/>
      </patternFill>
    </fill>
    <fill>
      <patternFill patternType="solid">
        <fgColor rgb="FF689D35"/>
        <bgColor indexed="64"/>
      </patternFill>
    </fill>
    <fill>
      <patternFill patternType="solid">
        <fgColor rgb="FF679C35"/>
        <bgColor indexed="64"/>
      </patternFill>
    </fill>
    <fill>
      <patternFill patternType="solid">
        <fgColor rgb="FF699C38"/>
        <bgColor indexed="64"/>
      </patternFill>
    </fill>
    <fill>
      <patternFill patternType="solid">
        <fgColor rgb="FF6A9939"/>
        <bgColor indexed="64"/>
      </patternFill>
    </fill>
    <fill>
      <patternFill patternType="solid">
        <fgColor rgb="FF565C20"/>
        <bgColor indexed="64"/>
      </patternFill>
    </fill>
    <fill>
      <patternFill patternType="solid">
        <fgColor rgb="FF383C17"/>
        <bgColor indexed="64"/>
      </patternFill>
    </fill>
    <fill>
      <patternFill patternType="solid">
        <fgColor rgb="FF608B37"/>
        <bgColor indexed="64"/>
      </patternFill>
    </fill>
    <fill>
      <patternFill patternType="solid">
        <fgColor rgb="FF6EA23D"/>
        <bgColor indexed="64"/>
      </patternFill>
    </fill>
    <fill>
      <patternFill patternType="solid">
        <fgColor rgb="FF699E3A"/>
        <bgColor indexed="64"/>
      </patternFill>
    </fill>
    <fill>
      <patternFill patternType="solid">
        <fgColor rgb="FF689D3A"/>
        <bgColor indexed="64"/>
      </patternFill>
    </fill>
    <fill>
      <patternFill patternType="solid">
        <fgColor rgb="FF699D3C"/>
        <bgColor indexed="64"/>
      </patternFill>
    </fill>
    <fill>
      <patternFill patternType="solid">
        <fgColor rgb="FF699F38"/>
        <bgColor indexed="64"/>
      </patternFill>
    </fill>
    <fill>
      <patternFill patternType="solid">
        <fgColor rgb="FF6BA23C"/>
        <bgColor indexed="64"/>
      </patternFill>
    </fill>
    <fill>
      <patternFill patternType="solid">
        <fgColor rgb="FF6BA039"/>
        <bgColor indexed="64"/>
      </patternFill>
    </fill>
    <fill>
      <patternFill patternType="solid">
        <fgColor rgb="FF639D33"/>
        <bgColor indexed="64"/>
      </patternFill>
    </fill>
    <fill>
      <patternFill patternType="solid">
        <fgColor rgb="FF425B22"/>
        <bgColor indexed="64"/>
      </patternFill>
    </fill>
    <fill>
      <patternFill patternType="solid">
        <fgColor rgb="FF1F1C07"/>
        <bgColor indexed="64"/>
      </patternFill>
    </fill>
    <fill>
      <patternFill patternType="solid">
        <fgColor rgb="FF2B330F"/>
        <bgColor indexed="64"/>
      </patternFill>
    </fill>
    <fill>
      <patternFill patternType="solid">
        <fgColor rgb="FF447242"/>
        <bgColor indexed="64"/>
      </patternFill>
    </fill>
    <fill>
      <patternFill patternType="solid">
        <fgColor rgb="FF316A4C"/>
        <bgColor indexed="64"/>
      </patternFill>
    </fill>
    <fill>
      <patternFill patternType="solid">
        <fgColor rgb="FF19484B"/>
        <bgColor indexed="64"/>
      </patternFill>
    </fill>
    <fill>
      <patternFill patternType="solid">
        <fgColor rgb="FF093C58"/>
        <bgColor indexed="64"/>
      </patternFill>
    </fill>
    <fill>
      <patternFill patternType="solid">
        <fgColor rgb="FF094C77"/>
        <bgColor indexed="64"/>
      </patternFill>
    </fill>
    <fill>
      <patternFill patternType="solid">
        <fgColor rgb="FF0C5F8B"/>
        <bgColor indexed="64"/>
      </patternFill>
    </fill>
    <fill>
      <patternFill patternType="solid">
        <fgColor rgb="FF3F522D"/>
        <bgColor indexed="64"/>
      </patternFill>
    </fill>
    <fill>
      <patternFill patternType="solid">
        <fgColor rgb="FF2B3718"/>
        <bgColor indexed="64"/>
      </patternFill>
    </fill>
    <fill>
      <patternFill patternType="solid">
        <fgColor rgb="FF106D8C"/>
        <bgColor indexed="64"/>
      </patternFill>
    </fill>
    <fill>
      <patternFill patternType="solid">
        <fgColor rgb="FF10749E"/>
        <bgColor indexed="64"/>
      </patternFill>
    </fill>
    <fill>
      <patternFill patternType="solid">
        <fgColor rgb="FF10719A"/>
        <bgColor indexed="64"/>
      </patternFill>
    </fill>
    <fill>
      <patternFill patternType="solid">
        <fgColor rgb="FF12719A"/>
        <bgColor indexed="64"/>
      </patternFill>
    </fill>
    <fill>
      <patternFill patternType="solid">
        <fgColor rgb="FF07689C"/>
        <bgColor indexed="64"/>
      </patternFill>
    </fill>
    <fill>
      <patternFill patternType="solid">
        <fgColor rgb="FF396246"/>
        <bgColor indexed="64"/>
      </patternFill>
    </fill>
    <fill>
      <patternFill patternType="solid">
        <fgColor rgb="FFE7D727"/>
        <bgColor indexed="64"/>
      </patternFill>
    </fill>
    <fill>
      <patternFill patternType="solid">
        <fgColor rgb="FF476034"/>
        <bgColor indexed="64"/>
      </patternFill>
    </fill>
    <fill>
      <patternFill patternType="solid">
        <fgColor rgb="FF056393"/>
        <bgColor indexed="64"/>
      </patternFill>
    </fill>
    <fill>
      <patternFill patternType="solid">
        <fgColor rgb="FF126F99"/>
        <bgColor indexed="64"/>
      </patternFill>
    </fill>
    <fill>
      <patternFill patternType="solid">
        <fgColor rgb="FF116E97"/>
        <bgColor indexed="64"/>
      </patternFill>
    </fill>
    <fill>
      <patternFill patternType="solid">
        <fgColor rgb="FF0E6992"/>
        <bgColor indexed="64"/>
      </patternFill>
    </fill>
    <fill>
      <patternFill patternType="solid">
        <fgColor rgb="FF0E6692"/>
        <bgColor indexed="64"/>
      </patternFill>
    </fill>
    <fill>
      <patternFill patternType="solid">
        <fgColor rgb="FF0E6795"/>
        <bgColor indexed="64"/>
      </patternFill>
    </fill>
    <fill>
      <patternFill patternType="solid">
        <fgColor rgb="FF0E6495"/>
        <bgColor indexed="64"/>
      </patternFill>
    </fill>
    <fill>
      <patternFill patternType="solid">
        <fgColor rgb="FF679A36"/>
        <bgColor indexed="64"/>
      </patternFill>
    </fill>
    <fill>
      <patternFill patternType="solid">
        <fgColor rgb="FF649434"/>
        <bgColor indexed="64"/>
      </patternFill>
    </fill>
    <fill>
      <patternFill patternType="solid">
        <fgColor rgb="FF639631"/>
        <bgColor indexed="64"/>
      </patternFill>
    </fill>
    <fill>
      <patternFill patternType="solid">
        <fgColor rgb="FF689B32"/>
        <bgColor indexed="64"/>
      </patternFill>
    </fill>
    <fill>
      <patternFill patternType="solid">
        <fgColor rgb="FF6D9F35"/>
        <bgColor indexed="64"/>
      </patternFill>
    </fill>
    <fill>
      <patternFill patternType="solid">
        <fgColor rgb="FF527C28"/>
        <bgColor indexed="64"/>
      </patternFill>
    </fill>
    <fill>
      <patternFill patternType="solid">
        <fgColor rgb="FF787B25"/>
        <bgColor indexed="64"/>
      </patternFill>
    </fill>
    <fill>
      <patternFill patternType="solid">
        <fgColor rgb="FF769E32"/>
        <bgColor indexed="64"/>
      </patternFill>
    </fill>
    <fill>
      <patternFill patternType="solid">
        <fgColor rgb="FF649A32"/>
        <bgColor indexed="64"/>
      </patternFill>
    </fill>
    <fill>
      <patternFill patternType="solid">
        <fgColor rgb="FF689A32"/>
        <bgColor indexed="64"/>
      </patternFill>
    </fill>
    <fill>
      <patternFill patternType="solid">
        <fgColor rgb="FF6CA234"/>
        <bgColor indexed="64"/>
      </patternFill>
    </fill>
    <fill>
      <patternFill patternType="solid">
        <fgColor rgb="FF3D531B"/>
        <bgColor indexed="64"/>
      </patternFill>
    </fill>
    <fill>
      <patternFill patternType="solid">
        <fgColor rgb="FFCEBF2F"/>
        <bgColor indexed="64"/>
      </patternFill>
    </fill>
    <fill>
      <patternFill patternType="solid">
        <fgColor rgb="FFFFF836"/>
        <bgColor indexed="64"/>
      </patternFill>
    </fill>
    <fill>
      <patternFill patternType="solid">
        <fgColor rgb="FFD7CC31"/>
        <bgColor indexed="64"/>
      </patternFill>
    </fill>
    <fill>
      <patternFill patternType="solid">
        <fgColor rgb="FF4B671C"/>
        <bgColor indexed="64"/>
      </patternFill>
    </fill>
    <fill>
      <patternFill patternType="solid">
        <fgColor rgb="FF649D2E"/>
        <bgColor indexed="64"/>
      </patternFill>
    </fill>
    <fill>
      <patternFill patternType="solid">
        <fgColor rgb="FF669930"/>
        <bgColor indexed="64"/>
      </patternFill>
    </fill>
    <fill>
      <patternFill patternType="solid">
        <fgColor rgb="FF689B36"/>
        <bgColor indexed="64"/>
      </patternFill>
    </fill>
    <fill>
      <patternFill patternType="solid">
        <fgColor rgb="FF699B38"/>
        <bgColor indexed="64"/>
      </patternFill>
    </fill>
    <fill>
      <patternFill patternType="solid">
        <fgColor rgb="FF689B34"/>
        <bgColor indexed="64"/>
      </patternFill>
    </fill>
    <fill>
      <patternFill patternType="solid">
        <fgColor rgb="FF6A9C38"/>
        <bgColor indexed="64"/>
      </patternFill>
    </fill>
    <fill>
      <patternFill patternType="solid">
        <fgColor rgb="FF709E3E"/>
        <bgColor indexed="64"/>
      </patternFill>
    </fill>
    <fill>
      <patternFill patternType="solid">
        <fgColor rgb="FF6E9F3D"/>
        <bgColor indexed="64"/>
      </patternFill>
    </fill>
    <fill>
      <patternFill patternType="solid">
        <fgColor rgb="FF6D9C3C"/>
        <bgColor indexed="64"/>
      </patternFill>
    </fill>
    <fill>
      <patternFill patternType="solid">
        <fgColor rgb="FF6C9D3D"/>
        <bgColor indexed="64"/>
      </patternFill>
    </fill>
    <fill>
      <patternFill patternType="solid">
        <fgColor rgb="FF6A9D3A"/>
        <bgColor indexed="64"/>
      </patternFill>
    </fill>
    <fill>
      <patternFill patternType="solid">
        <fgColor rgb="FF6EA239"/>
        <bgColor indexed="64"/>
      </patternFill>
    </fill>
    <fill>
      <patternFill patternType="solid">
        <fgColor rgb="FF6FA13B"/>
        <bgColor indexed="64"/>
      </patternFill>
    </fill>
    <fill>
      <patternFill patternType="solid">
        <fgColor rgb="FF6EA03D"/>
        <bgColor indexed="64"/>
      </patternFill>
    </fill>
    <fill>
      <patternFill patternType="solid">
        <fgColor rgb="FF72A33F"/>
        <bgColor indexed="64"/>
      </patternFill>
    </fill>
    <fill>
      <patternFill patternType="solid">
        <fgColor rgb="FF79A94F"/>
        <bgColor indexed="64"/>
      </patternFill>
    </fill>
    <fill>
      <patternFill patternType="solid">
        <fgColor rgb="FF646F29"/>
        <bgColor indexed="64"/>
      </patternFill>
    </fill>
    <fill>
      <patternFill patternType="solid">
        <fgColor rgb="FF5E5616"/>
        <bgColor indexed="64"/>
      </patternFill>
    </fill>
    <fill>
      <patternFill patternType="solid">
        <fgColor rgb="FF4E742B"/>
        <bgColor indexed="64"/>
      </patternFill>
    </fill>
    <fill>
      <patternFill patternType="solid">
        <fgColor rgb="FF6FA43B"/>
        <bgColor indexed="64"/>
      </patternFill>
    </fill>
    <fill>
      <patternFill patternType="solid">
        <fgColor rgb="FF689C36"/>
        <bgColor indexed="64"/>
      </patternFill>
    </fill>
    <fill>
      <patternFill patternType="solid">
        <fgColor rgb="FF6C9F36"/>
        <bgColor indexed="64"/>
      </patternFill>
    </fill>
    <fill>
      <patternFill patternType="solid">
        <fgColor rgb="FF6C9F38"/>
        <bgColor indexed="64"/>
      </patternFill>
    </fill>
    <fill>
      <patternFill patternType="solid">
        <fgColor rgb="FF649335"/>
        <bgColor indexed="64"/>
      </patternFill>
    </fill>
    <fill>
      <patternFill patternType="solid">
        <fgColor rgb="FF96952B"/>
        <bgColor indexed="64"/>
      </patternFill>
    </fill>
    <fill>
      <patternFill patternType="solid">
        <fgColor rgb="FF86882B"/>
        <bgColor indexed="64"/>
      </patternFill>
    </fill>
    <fill>
      <patternFill patternType="solid">
        <fgColor rgb="FF5B8A35"/>
        <bgColor indexed="64"/>
      </patternFill>
    </fill>
    <fill>
      <patternFill patternType="solid">
        <fgColor rgb="FF70A43B"/>
        <bgColor indexed="64"/>
      </patternFill>
    </fill>
    <fill>
      <patternFill patternType="solid">
        <fgColor rgb="FF6B9F39"/>
        <bgColor indexed="64"/>
      </patternFill>
    </fill>
    <fill>
      <patternFill patternType="solid">
        <fgColor rgb="FF679C39"/>
        <bgColor indexed="64"/>
      </patternFill>
    </fill>
    <fill>
      <patternFill patternType="solid">
        <fgColor rgb="FF669E37"/>
        <bgColor indexed="64"/>
      </patternFill>
    </fill>
    <fill>
      <patternFill patternType="solid">
        <fgColor rgb="FF679D39"/>
        <bgColor indexed="64"/>
      </patternFill>
    </fill>
    <fill>
      <patternFill patternType="solid">
        <fgColor rgb="FF679B3A"/>
        <bgColor indexed="64"/>
      </patternFill>
    </fill>
    <fill>
      <patternFill patternType="solid">
        <fgColor rgb="FF639B36"/>
        <bgColor indexed="64"/>
      </patternFill>
    </fill>
    <fill>
      <patternFill patternType="solid">
        <fgColor rgb="FF203A16"/>
        <bgColor indexed="64"/>
      </patternFill>
    </fill>
    <fill>
      <patternFill patternType="solid">
        <fgColor rgb="FF262308"/>
        <bgColor indexed="64"/>
      </patternFill>
    </fill>
    <fill>
      <patternFill patternType="solid">
        <fgColor rgb="FF54571D"/>
        <bgColor indexed="64"/>
      </patternFill>
    </fill>
    <fill>
      <patternFill patternType="solid">
        <fgColor rgb="FF619039"/>
        <bgColor indexed="64"/>
      </patternFill>
    </fill>
    <fill>
      <patternFill patternType="solid">
        <fgColor rgb="FF6EA33F"/>
        <bgColor indexed="64"/>
      </patternFill>
    </fill>
    <fill>
      <patternFill patternType="solid">
        <fgColor rgb="FF659639"/>
        <bgColor indexed="64"/>
      </patternFill>
    </fill>
    <fill>
      <patternFill patternType="solid">
        <fgColor rgb="FF466E27"/>
        <bgColor indexed="64"/>
      </patternFill>
    </fill>
    <fill>
      <patternFill patternType="solid">
        <fgColor rgb="FF2B4719"/>
        <bgColor indexed="64"/>
      </patternFill>
    </fill>
    <fill>
      <patternFill patternType="solid">
        <fgColor rgb="FF254C33"/>
        <bgColor indexed="64"/>
      </patternFill>
    </fill>
    <fill>
      <patternFill patternType="solid">
        <fgColor rgb="FF204E42"/>
        <bgColor indexed="64"/>
      </patternFill>
    </fill>
    <fill>
      <patternFill patternType="solid">
        <fgColor rgb="FFA5A32C"/>
        <bgColor indexed="64"/>
      </patternFill>
    </fill>
    <fill>
      <patternFill patternType="solid">
        <fgColor rgb="FF53672C"/>
        <bgColor indexed="64"/>
      </patternFill>
    </fill>
    <fill>
      <patternFill patternType="solid">
        <fgColor rgb="FF086B99"/>
        <bgColor indexed="64"/>
      </patternFill>
    </fill>
    <fill>
      <patternFill patternType="solid">
        <fgColor rgb="FF137AA3"/>
        <bgColor indexed="64"/>
      </patternFill>
    </fill>
    <fill>
      <patternFill patternType="solid">
        <fgColor rgb="FF117298"/>
        <bgColor indexed="64"/>
      </patternFill>
    </fill>
    <fill>
      <patternFill patternType="solid">
        <fgColor rgb="FF116F95"/>
        <bgColor indexed="64"/>
      </patternFill>
    </fill>
    <fill>
      <patternFill patternType="solid">
        <fgColor rgb="FF0C6E9E"/>
        <bgColor indexed="64"/>
      </patternFill>
    </fill>
    <fill>
      <patternFill patternType="solid">
        <fgColor rgb="FF205052"/>
        <bgColor indexed="64"/>
      </patternFill>
    </fill>
    <fill>
      <patternFill patternType="solid">
        <fgColor rgb="FF82751A"/>
        <bgColor indexed="64"/>
      </patternFill>
    </fill>
    <fill>
      <patternFill patternType="solid">
        <fgColor rgb="FF2B4026"/>
        <bgColor indexed="64"/>
      </patternFill>
    </fill>
    <fill>
      <patternFill patternType="solid">
        <fgColor rgb="FF096289"/>
        <bgColor indexed="64"/>
      </patternFill>
    </fill>
    <fill>
      <patternFill patternType="solid">
        <fgColor rgb="FF106B98"/>
        <bgColor indexed="64"/>
      </patternFill>
    </fill>
    <fill>
      <patternFill patternType="solid">
        <fgColor rgb="FF0E6A93"/>
        <bgColor indexed="64"/>
      </patternFill>
    </fill>
    <fill>
      <patternFill patternType="solid">
        <fgColor rgb="FF0E6897"/>
        <bgColor indexed="64"/>
      </patternFill>
    </fill>
    <fill>
      <patternFill patternType="solid">
        <fgColor rgb="FF0D6495"/>
        <bgColor indexed="64"/>
      </patternFill>
    </fill>
    <fill>
      <patternFill patternType="solid">
        <fgColor rgb="FF0D6494"/>
        <bgColor indexed="64"/>
      </patternFill>
    </fill>
    <fill>
      <patternFill patternType="solid">
        <fgColor rgb="FF689C32"/>
        <bgColor indexed="64"/>
      </patternFill>
    </fill>
    <fill>
      <patternFill patternType="solid">
        <fgColor rgb="FF659732"/>
        <bgColor indexed="64"/>
      </patternFill>
    </fill>
    <fill>
      <patternFill patternType="solid">
        <fgColor rgb="FF699C32"/>
        <bgColor indexed="64"/>
      </patternFill>
    </fill>
    <fill>
      <patternFill patternType="solid">
        <fgColor rgb="FF679B31"/>
        <bgColor indexed="64"/>
      </patternFill>
    </fill>
    <fill>
      <patternFill patternType="solid">
        <fgColor rgb="FF609030"/>
        <bgColor indexed="64"/>
      </patternFill>
    </fill>
    <fill>
      <patternFill patternType="solid">
        <fgColor rgb="FF5B5E21"/>
        <bgColor indexed="64"/>
      </patternFill>
    </fill>
    <fill>
      <patternFill patternType="solid">
        <fgColor rgb="FF658427"/>
        <bgColor indexed="64"/>
      </patternFill>
    </fill>
    <fill>
      <patternFill patternType="solid">
        <fgColor rgb="FF689F34"/>
        <bgColor indexed="64"/>
      </patternFill>
    </fill>
    <fill>
      <patternFill patternType="solid">
        <fgColor rgb="FF659832"/>
        <bgColor indexed="64"/>
      </patternFill>
    </fill>
    <fill>
      <patternFill patternType="solid">
        <fgColor rgb="FF689934"/>
        <bgColor indexed="64"/>
      </patternFill>
    </fill>
    <fill>
      <patternFill patternType="solid">
        <fgColor rgb="FF6C9C34"/>
        <bgColor indexed="64"/>
      </patternFill>
    </fill>
    <fill>
      <patternFill patternType="solid">
        <fgColor rgb="FF619133"/>
        <bgColor indexed="64"/>
      </patternFill>
    </fill>
    <fill>
      <patternFill patternType="solid">
        <fgColor rgb="FF4B5419"/>
        <bgColor indexed="64"/>
      </patternFill>
    </fill>
    <fill>
      <patternFill patternType="solid">
        <fgColor rgb="FFE4D434"/>
        <bgColor indexed="64"/>
      </patternFill>
    </fill>
    <fill>
      <patternFill patternType="solid">
        <fgColor rgb="FFFEF637"/>
        <bgColor indexed="64"/>
      </patternFill>
    </fill>
    <fill>
      <patternFill patternType="solid">
        <fgColor rgb="FFB4AF2D"/>
        <bgColor indexed="64"/>
      </patternFill>
    </fill>
    <fill>
      <patternFill patternType="solid">
        <fgColor rgb="FF486F22"/>
        <bgColor indexed="64"/>
      </patternFill>
    </fill>
    <fill>
      <patternFill patternType="solid">
        <fgColor rgb="FF689E2E"/>
        <bgColor indexed="64"/>
      </patternFill>
    </fill>
    <fill>
      <patternFill patternType="solid">
        <fgColor rgb="FF64982F"/>
        <bgColor indexed="64"/>
      </patternFill>
    </fill>
    <fill>
      <patternFill patternType="solid">
        <fgColor rgb="FF679A33"/>
        <bgColor indexed="64"/>
      </patternFill>
    </fill>
    <fill>
      <patternFill patternType="solid">
        <fgColor rgb="FF659A32"/>
        <bgColor indexed="64"/>
      </patternFill>
    </fill>
    <fill>
      <patternFill patternType="solid">
        <fgColor rgb="FF659B31"/>
        <bgColor indexed="64"/>
      </patternFill>
    </fill>
    <fill>
      <patternFill patternType="solid">
        <fgColor rgb="FF6A9C35"/>
        <bgColor indexed="64"/>
      </patternFill>
    </fill>
    <fill>
      <patternFill patternType="solid">
        <fgColor rgb="FF6B9E38"/>
        <bgColor indexed="64"/>
      </patternFill>
    </fill>
    <fill>
      <patternFill patternType="solid">
        <fgColor rgb="FF6C9F3A"/>
        <bgColor indexed="64"/>
      </patternFill>
    </fill>
    <fill>
      <patternFill patternType="solid">
        <fgColor rgb="FF6C9E3B"/>
        <bgColor indexed="64"/>
      </patternFill>
    </fill>
    <fill>
      <patternFill patternType="solid">
        <fgColor rgb="FF6C9D3B"/>
        <bgColor indexed="64"/>
      </patternFill>
    </fill>
    <fill>
      <patternFill patternType="solid">
        <fgColor rgb="FF699D37"/>
        <bgColor indexed="64"/>
      </patternFill>
    </fill>
    <fill>
      <patternFill patternType="solid">
        <fgColor rgb="FF6D9F3B"/>
        <bgColor indexed="64"/>
      </patternFill>
    </fill>
    <fill>
      <patternFill patternType="solid">
        <fgColor rgb="FF6DA03A"/>
        <bgColor indexed="64"/>
      </patternFill>
    </fill>
    <fill>
      <patternFill patternType="solid">
        <fgColor rgb="FF6D9F3A"/>
        <bgColor indexed="64"/>
      </patternFill>
    </fill>
    <fill>
      <patternFill patternType="solid">
        <fgColor rgb="FF71A53A"/>
        <bgColor indexed="64"/>
      </patternFill>
    </fill>
    <fill>
      <patternFill patternType="solid">
        <fgColor rgb="FF71A347"/>
        <bgColor indexed="64"/>
      </patternFill>
    </fill>
    <fill>
      <patternFill patternType="solid">
        <fgColor rgb="FF8A9B33"/>
        <bgColor indexed="64"/>
      </patternFill>
    </fill>
    <fill>
      <patternFill patternType="solid">
        <fgColor rgb="FFD4CB33"/>
        <bgColor indexed="64"/>
      </patternFill>
    </fill>
    <fill>
      <patternFill patternType="solid">
        <fgColor rgb="FF4E7328"/>
        <bgColor indexed="64"/>
      </patternFill>
    </fill>
    <fill>
      <patternFill patternType="solid">
        <fgColor rgb="FF6DA339"/>
        <bgColor indexed="64"/>
      </patternFill>
    </fill>
    <fill>
      <patternFill patternType="solid">
        <fgColor rgb="FF689B37"/>
        <bgColor indexed="64"/>
      </patternFill>
    </fill>
    <fill>
      <patternFill patternType="solid">
        <fgColor rgb="FF6CA135"/>
        <bgColor indexed="64"/>
      </patternFill>
    </fill>
    <fill>
      <patternFill patternType="solid">
        <fgColor rgb="FF5C8A34"/>
        <bgColor indexed="64"/>
      </patternFill>
    </fill>
    <fill>
      <patternFill patternType="solid">
        <fgColor rgb="FFCBCA32"/>
        <bgColor indexed="64"/>
      </patternFill>
    </fill>
    <fill>
      <patternFill patternType="solid">
        <fgColor rgb="FFA09F29"/>
        <bgColor indexed="64"/>
      </patternFill>
    </fill>
    <fill>
      <patternFill patternType="solid">
        <fgColor rgb="FF4D7B2E"/>
        <bgColor indexed="64"/>
      </patternFill>
    </fill>
    <fill>
      <patternFill patternType="solid">
        <fgColor rgb="FF73A93B"/>
        <bgColor indexed="64"/>
      </patternFill>
    </fill>
    <fill>
      <patternFill patternType="solid">
        <fgColor rgb="FF699F3A"/>
        <bgColor indexed="64"/>
      </patternFill>
    </fill>
    <fill>
      <patternFill patternType="solid">
        <fgColor rgb="FF689E37"/>
        <bgColor indexed="64"/>
      </patternFill>
    </fill>
    <fill>
      <patternFill patternType="solid">
        <fgColor rgb="FF669C36"/>
        <bgColor indexed="64"/>
      </patternFill>
    </fill>
    <fill>
      <patternFill patternType="solid">
        <fgColor rgb="FF659B37"/>
        <bgColor indexed="64"/>
      </patternFill>
    </fill>
    <fill>
      <patternFill patternType="solid">
        <fgColor rgb="FF679D3A"/>
        <bgColor indexed="64"/>
      </patternFill>
    </fill>
    <fill>
      <patternFill patternType="solid">
        <fgColor rgb="FF6BA03A"/>
        <bgColor indexed="64"/>
      </patternFill>
    </fill>
    <fill>
      <patternFill patternType="solid">
        <fgColor rgb="FF619937"/>
        <bgColor indexed="64"/>
      </patternFill>
    </fill>
    <fill>
      <patternFill patternType="solid">
        <fgColor rgb="FF4B601F"/>
        <bgColor indexed="64"/>
      </patternFill>
    </fill>
    <fill>
      <patternFill patternType="solid">
        <fgColor rgb="FF635B1C"/>
        <bgColor indexed="64"/>
      </patternFill>
    </fill>
    <fill>
      <patternFill patternType="solid">
        <fgColor rgb="FF353C13"/>
        <bgColor indexed="64"/>
      </patternFill>
    </fill>
    <fill>
      <patternFill patternType="solid">
        <fgColor rgb="FF568635"/>
        <bgColor indexed="64"/>
      </patternFill>
    </fill>
    <fill>
      <patternFill patternType="solid">
        <fgColor rgb="FF689F44"/>
        <bgColor indexed="64"/>
      </patternFill>
    </fill>
    <fill>
      <patternFill patternType="solid">
        <fgColor rgb="FF669C44"/>
        <bgColor indexed="64"/>
      </patternFill>
    </fill>
    <fill>
      <patternFill patternType="solid">
        <fgColor rgb="FF6BA247"/>
        <bgColor indexed="64"/>
      </patternFill>
    </fill>
    <fill>
      <patternFill patternType="solid">
        <fgColor rgb="FF69A143"/>
        <bgColor indexed="64"/>
      </patternFill>
    </fill>
    <fill>
      <patternFill patternType="solid">
        <fgColor rgb="FF68A03E"/>
        <bgColor indexed="64"/>
      </patternFill>
    </fill>
    <fill>
      <patternFill patternType="solid">
        <fgColor rgb="FF507224"/>
        <bgColor indexed="64"/>
      </patternFill>
    </fill>
    <fill>
      <patternFill patternType="solid">
        <fgColor rgb="FFCCC42D"/>
        <bgColor indexed="64"/>
      </patternFill>
    </fill>
    <fill>
      <patternFill patternType="solid">
        <fgColor rgb="FF7B8425"/>
        <bgColor indexed="64"/>
      </patternFill>
    </fill>
    <fill>
      <patternFill patternType="solid">
        <fgColor rgb="FF084859"/>
        <bgColor indexed="64"/>
      </patternFill>
    </fill>
    <fill>
      <patternFill patternType="solid">
        <fgColor rgb="FF0A5C87"/>
        <bgColor indexed="64"/>
      </patternFill>
    </fill>
    <fill>
      <patternFill patternType="solid">
        <fgColor rgb="FF0D6C97"/>
        <bgColor indexed="64"/>
      </patternFill>
    </fill>
    <fill>
      <patternFill patternType="solid">
        <fgColor rgb="FF0E6A94"/>
        <bgColor indexed="64"/>
      </patternFill>
    </fill>
    <fill>
      <patternFill patternType="solid">
        <fgColor rgb="FF0F75A4"/>
        <bgColor indexed="64"/>
      </patternFill>
    </fill>
    <fill>
      <patternFill patternType="solid">
        <fgColor rgb="FF0C4768"/>
        <bgColor indexed="64"/>
      </patternFill>
    </fill>
    <fill>
      <patternFill patternType="solid">
        <fgColor rgb="FF111005"/>
        <bgColor indexed="64"/>
      </patternFill>
    </fill>
    <fill>
      <patternFill patternType="solid">
        <fgColor rgb="FF182816"/>
        <bgColor indexed="64"/>
      </patternFill>
    </fill>
    <fill>
      <patternFill patternType="solid">
        <fgColor rgb="FF126683"/>
        <bgColor indexed="64"/>
      </patternFill>
    </fill>
    <fill>
      <patternFill patternType="solid">
        <fgColor rgb="FF0E6F9E"/>
        <bgColor indexed="64"/>
      </patternFill>
    </fill>
    <fill>
      <patternFill patternType="solid">
        <fgColor rgb="FF0F6F9D"/>
        <bgColor indexed="64"/>
      </patternFill>
    </fill>
    <fill>
      <patternFill patternType="solid">
        <fgColor rgb="FF10709E"/>
        <bgColor indexed="64"/>
      </patternFill>
    </fill>
    <fill>
      <patternFill patternType="solid">
        <fgColor rgb="FF0E6794"/>
        <bgColor indexed="64"/>
      </patternFill>
    </fill>
    <fill>
      <patternFill patternType="solid">
        <fgColor rgb="FF659630"/>
        <bgColor indexed="64"/>
      </patternFill>
    </fill>
    <fill>
      <patternFill patternType="solid">
        <fgColor rgb="FF669931"/>
        <bgColor indexed="64"/>
      </patternFill>
    </fill>
    <fill>
      <patternFill patternType="solid">
        <fgColor rgb="FF65982F"/>
        <bgColor indexed="64"/>
      </patternFill>
    </fill>
    <fill>
      <patternFill patternType="solid">
        <fgColor rgb="FF636A1E"/>
        <bgColor indexed="64"/>
      </patternFill>
    </fill>
    <fill>
      <patternFill patternType="solid">
        <fgColor rgb="FF5D7A26"/>
        <bgColor indexed="64"/>
      </patternFill>
    </fill>
    <fill>
      <patternFill patternType="solid">
        <fgColor rgb="FF659734"/>
        <bgColor indexed="64"/>
      </patternFill>
    </fill>
    <fill>
      <patternFill patternType="solid">
        <fgColor rgb="FF55802C"/>
        <bgColor indexed="64"/>
      </patternFill>
    </fill>
    <fill>
      <patternFill patternType="solid">
        <fgColor rgb="FF7C7B24"/>
        <bgColor indexed="64"/>
      </patternFill>
    </fill>
    <fill>
      <patternFill patternType="solid">
        <fgColor rgb="FFB6AA32"/>
        <bgColor indexed="64"/>
      </patternFill>
    </fill>
    <fill>
      <patternFill patternType="solid">
        <fgColor rgb="FF909128"/>
        <bgColor indexed="64"/>
      </patternFill>
    </fill>
    <fill>
      <patternFill patternType="solid">
        <fgColor rgb="FF477624"/>
        <bgColor indexed="64"/>
      </patternFill>
    </fill>
    <fill>
      <patternFill patternType="solid">
        <fgColor rgb="FF669D2B"/>
        <bgColor indexed="64"/>
      </patternFill>
    </fill>
    <fill>
      <patternFill patternType="solid">
        <fgColor rgb="FF649830"/>
        <bgColor indexed="64"/>
      </patternFill>
    </fill>
    <fill>
      <patternFill patternType="solid">
        <fgColor rgb="FF669932"/>
        <bgColor indexed="64"/>
      </patternFill>
    </fill>
    <fill>
      <patternFill patternType="solid">
        <fgColor rgb="FF649831"/>
        <bgColor indexed="64"/>
      </patternFill>
    </fill>
    <fill>
      <patternFill patternType="solid">
        <fgColor rgb="FF659A33"/>
        <bgColor indexed="64"/>
      </patternFill>
    </fill>
    <fill>
      <patternFill patternType="solid">
        <fgColor rgb="FF699C37"/>
        <bgColor indexed="64"/>
      </patternFill>
    </fill>
    <fill>
      <patternFill patternType="solid">
        <fgColor rgb="FF699C36"/>
        <bgColor indexed="64"/>
      </patternFill>
    </fill>
    <fill>
      <patternFill patternType="solid">
        <fgColor rgb="FF6A9D34"/>
        <bgColor indexed="64"/>
      </patternFill>
    </fill>
    <fill>
      <patternFill patternType="solid">
        <fgColor rgb="FF6B9D3A"/>
        <bgColor indexed="64"/>
      </patternFill>
    </fill>
    <fill>
      <patternFill patternType="solid">
        <fgColor rgb="FF6C9E3A"/>
        <bgColor indexed="64"/>
      </patternFill>
    </fill>
    <fill>
      <patternFill patternType="solid">
        <fgColor rgb="FF689D37"/>
        <bgColor indexed="64"/>
      </patternFill>
    </fill>
    <fill>
      <patternFill patternType="solid">
        <fgColor rgb="FF699D39"/>
        <bgColor indexed="64"/>
      </patternFill>
    </fill>
    <fill>
      <patternFill patternType="solid">
        <fgColor rgb="FF6F9F3B"/>
        <bgColor indexed="64"/>
      </patternFill>
    </fill>
    <fill>
      <patternFill patternType="solid">
        <fgColor rgb="FF6D9F39"/>
        <bgColor indexed="64"/>
      </patternFill>
    </fill>
    <fill>
      <patternFill patternType="solid">
        <fgColor rgb="FF70A43A"/>
        <bgColor indexed="64"/>
      </patternFill>
    </fill>
    <fill>
      <patternFill patternType="solid">
        <fgColor rgb="FF6FA23C"/>
        <bgColor indexed="64"/>
      </patternFill>
    </fill>
    <fill>
      <patternFill patternType="solid">
        <fgColor rgb="FF7AAB4D"/>
        <bgColor indexed="64"/>
      </patternFill>
    </fill>
    <fill>
      <patternFill patternType="solid">
        <fgColor rgb="FF6A7C33"/>
        <bgColor indexed="64"/>
      </patternFill>
    </fill>
    <fill>
      <patternFill patternType="solid">
        <fgColor rgb="FFBFB333"/>
        <bgColor indexed="64"/>
      </patternFill>
    </fill>
    <fill>
      <patternFill patternType="solid">
        <fgColor rgb="FF62842F"/>
        <bgColor indexed="64"/>
      </patternFill>
    </fill>
    <fill>
      <patternFill patternType="solid">
        <fgColor rgb="FF6A9C37"/>
        <bgColor indexed="64"/>
      </patternFill>
    </fill>
    <fill>
      <patternFill patternType="solid">
        <fgColor rgb="FF6A9E36"/>
        <bgColor indexed="64"/>
      </patternFill>
    </fill>
    <fill>
      <patternFill patternType="solid">
        <fgColor rgb="FF679D35"/>
        <bgColor indexed="64"/>
      </patternFill>
    </fill>
    <fill>
      <patternFill patternType="solid">
        <fgColor rgb="FF6A9F35"/>
        <bgColor indexed="64"/>
      </patternFill>
    </fill>
    <fill>
      <patternFill patternType="solid">
        <fgColor rgb="FF5E8E33"/>
        <bgColor indexed="64"/>
      </patternFill>
    </fill>
    <fill>
      <patternFill patternType="solid">
        <fgColor rgb="FFC5C731"/>
        <bgColor indexed="64"/>
      </patternFill>
    </fill>
    <fill>
      <patternFill patternType="solid">
        <fgColor rgb="FFB6B630"/>
        <bgColor indexed="64"/>
      </patternFill>
    </fill>
    <fill>
      <patternFill patternType="solid">
        <fgColor rgb="FF53822F"/>
        <bgColor indexed="64"/>
      </patternFill>
    </fill>
    <fill>
      <patternFill patternType="solid">
        <fgColor rgb="FF6EA538"/>
        <bgColor indexed="64"/>
      </patternFill>
    </fill>
    <fill>
      <patternFill patternType="solid">
        <fgColor rgb="FF679C36"/>
        <bgColor indexed="64"/>
      </patternFill>
    </fill>
    <fill>
      <patternFill patternType="solid">
        <fgColor rgb="FF659A36"/>
        <bgColor indexed="64"/>
      </patternFill>
    </fill>
    <fill>
      <patternFill patternType="solid">
        <fgColor rgb="FF649A36"/>
        <bgColor indexed="64"/>
      </patternFill>
    </fill>
    <fill>
      <patternFill patternType="solid">
        <fgColor rgb="FF659C36"/>
        <bgColor indexed="64"/>
      </patternFill>
    </fill>
    <fill>
      <patternFill patternType="solid">
        <fgColor rgb="FF699F37"/>
        <bgColor indexed="64"/>
      </patternFill>
    </fill>
    <fill>
      <patternFill patternType="solid">
        <fgColor rgb="FF578E33"/>
        <bgColor indexed="64"/>
      </patternFill>
    </fill>
    <fill>
      <patternFill patternType="solid">
        <fgColor rgb="FF657724"/>
        <bgColor indexed="64"/>
      </patternFill>
    </fill>
    <fill>
      <patternFill patternType="solid">
        <fgColor rgb="FF9E932A"/>
        <bgColor indexed="64"/>
      </patternFill>
    </fill>
    <fill>
      <patternFill patternType="solid">
        <fgColor rgb="FF586019"/>
        <bgColor indexed="64"/>
      </patternFill>
    </fill>
    <fill>
      <patternFill patternType="solid">
        <fgColor rgb="FF558333"/>
        <bgColor indexed="64"/>
      </patternFill>
    </fill>
    <fill>
      <patternFill patternType="solid">
        <fgColor rgb="FF6CA144"/>
        <bgColor indexed="64"/>
      </patternFill>
    </fill>
    <fill>
      <patternFill patternType="solid">
        <fgColor rgb="FF659A41"/>
        <bgColor indexed="64"/>
      </patternFill>
    </fill>
    <fill>
      <patternFill patternType="solid">
        <fgColor rgb="FF659A42"/>
        <bgColor indexed="64"/>
      </patternFill>
    </fill>
    <fill>
      <patternFill patternType="solid">
        <fgColor rgb="FF659A40"/>
        <bgColor indexed="64"/>
      </patternFill>
    </fill>
    <fill>
      <patternFill patternType="solid">
        <fgColor rgb="FF679F45"/>
        <bgColor indexed="64"/>
      </patternFill>
    </fill>
    <fill>
      <patternFill patternType="solid">
        <fgColor rgb="FF597E33"/>
        <bgColor indexed="64"/>
      </patternFill>
    </fill>
    <fill>
      <patternFill patternType="solid">
        <fgColor rgb="FFCCC32D"/>
        <bgColor indexed="64"/>
      </patternFill>
    </fill>
    <fill>
      <patternFill patternType="solid">
        <fgColor rgb="FF6E7F1F"/>
        <bgColor indexed="64"/>
      </patternFill>
    </fill>
    <fill>
      <patternFill patternType="solid">
        <fgColor rgb="FF447829"/>
        <bgColor indexed="64"/>
      </patternFill>
    </fill>
    <fill>
      <patternFill patternType="solid">
        <fgColor rgb="FF2A542B"/>
        <bgColor indexed="64"/>
      </patternFill>
    </fill>
    <fill>
      <patternFill patternType="solid">
        <fgColor rgb="FF21625C"/>
        <bgColor indexed="64"/>
      </patternFill>
    </fill>
    <fill>
      <patternFill patternType="solid">
        <fgColor rgb="FF144F5A"/>
        <bgColor indexed="64"/>
      </patternFill>
    </fill>
    <fill>
      <patternFill patternType="solid">
        <fgColor rgb="FF125465"/>
        <bgColor indexed="64"/>
      </patternFill>
    </fill>
    <fill>
      <patternFill patternType="solid">
        <fgColor rgb="FF103944"/>
        <bgColor indexed="64"/>
      </patternFill>
    </fill>
    <fill>
      <patternFill patternType="solid">
        <fgColor rgb="FF2E3616"/>
        <bgColor indexed="64"/>
      </patternFill>
    </fill>
    <fill>
      <patternFill patternType="solid">
        <fgColor rgb="FF46511A"/>
        <bgColor indexed="64"/>
      </patternFill>
    </fill>
    <fill>
      <patternFill patternType="solid">
        <fgColor rgb="FF1C5356"/>
        <bgColor indexed="64"/>
      </patternFill>
    </fill>
    <fill>
      <patternFill patternType="solid">
        <fgColor rgb="FF06466A"/>
        <bgColor indexed="64"/>
      </patternFill>
    </fill>
    <fill>
      <patternFill patternType="solid">
        <fgColor rgb="FF0D5A7D"/>
        <bgColor indexed="64"/>
      </patternFill>
    </fill>
    <fill>
      <patternFill patternType="solid">
        <fgColor rgb="FF0A4A6F"/>
        <bgColor indexed="64"/>
      </patternFill>
    </fill>
    <fill>
      <patternFill patternType="solid">
        <fgColor rgb="FF09496B"/>
        <bgColor indexed="64"/>
      </patternFill>
    </fill>
    <fill>
      <patternFill patternType="solid">
        <fgColor rgb="FF0C5F8F"/>
        <bgColor indexed="64"/>
      </patternFill>
    </fill>
    <fill>
      <patternFill patternType="solid">
        <fgColor rgb="FF084D79"/>
        <bgColor indexed="64"/>
      </patternFill>
    </fill>
    <fill>
      <patternFill patternType="solid">
        <fgColor rgb="FF0A5A8B"/>
        <bgColor indexed="64"/>
      </patternFill>
    </fill>
    <fill>
      <patternFill patternType="solid">
        <fgColor rgb="FF0B5F95"/>
        <bgColor indexed="64"/>
      </patternFill>
    </fill>
    <fill>
      <patternFill patternType="solid">
        <fgColor rgb="FF0A5A8D"/>
        <bgColor indexed="64"/>
      </patternFill>
    </fill>
    <fill>
      <patternFill patternType="solid">
        <fgColor rgb="FF0B6197"/>
        <bgColor indexed="64"/>
      </patternFill>
    </fill>
    <fill>
      <patternFill patternType="solid">
        <fgColor rgb="FF0A5F97"/>
        <bgColor indexed="64"/>
      </patternFill>
    </fill>
    <fill>
      <patternFill patternType="solid">
        <fgColor rgb="FF689A2F"/>
        <bgColor indexed="64"/>
      </patternFill>
    </fill>
    <fill>
      <patternFill patternType="solid">
        <fgColor rgb="FF699B2F"/>
        <bgColor indexed="64"/>
      </patternFill>
    </fill>
    <fill>
      <patternFill patternType="solid">
        <fgColor rgb="FF5E902C"/>
        <bgColor indexed="64"/>
      </patternFill>
    </fill>
    <fill>
      <patternFill patternType="solid">
        <fgColor rgb="FF639630"/>
        <bgColor indexed="64"/>
      </patternFill>
    </fill>
    <fill>
      <patternFill patternType="solid">
        <fgColor rgb="FF62932F"/>
        <bgColor indexed="64"/>
      </patternFill>
    </fill>
    <fill>
      <patternFill patternType="solid">
        <fgColor rgb="FF878B2E"/>
        <bgColor indexed="64"/>
      </patternFill>
    </fill>
    <fill>
      <patternFill patternType="solid">
        <fgColor rgb="FF6D882D"/>
        <bgColor indexed="64"/>
      </patternFill>
    </fill>
    <fill>
      <patternFill patternType="solid">
        <fgColor rgb="FF659A30"/>
        <bgColor indexed="64"/>
      </patternFill>
    </fill>
    <fill>
      <patternFill patternType="solid">
        <fgColor rgb="FF669732"/>
        <bgColor indexed="64"/>
      </patternFill>
    </fill>
    <fill>
      <patternFill patternType="solid">
        <fgColor rgb="FF679831"/>
        <bgColor indexed="64"/>
      </patternFill>
    </fill>
    <fill>
      <patternFill patternType="solid">
        <fgColor rgb="FF6B9E33"/>
        <bgColor indexed="64"/>
      </patternFill>
    </fill>
    <fill>
      <patternFill patternType="solid">
        <fgColor rgb="FF58812C"/>
        <bgColor indexed="64"/>
      </patternFill>
    </fill>
    <fill>
      <patternFill patternType="solid">
        <fgColor rgb="FF696525"/>
        <bgColor indexed="64"/>
      </patternFill>
    </fill>
    <fill>
      <patternFill patternType="solid">
        <fgColor rgb="FFA39A2A"/>
        <bgColor indexed="64"/>
      </patternFill>
    </fill>
    <fill>
      <patternFill patternType="solid">
        <fgColor rgb="FFE5DD34"/>
        <bgColor indexed="64"/>
      </patternFill>
    </fill>
    <fill>
      <patternFill patternType="solid">
        <fgColor rgb="FF6E7323"/>
        <bgColor indexed="64"/>
      </patternFill>
    </fill>
    <fill>
      <patternFill patternType="solid">
        <fgColor rgb="FF4C8125"/>
        <bgColor indexed="64"/>
      </patternFill>
    </fill>
    <fill>
      <patternFill patternType="solid">
        <fgColor rgb="FF649C2B"/>
        <bgColor indexed="64"/>
      </patternFill>
    </fill>
    <fill>
      <patternFill patternType="solid">
        <fgColor rgb="FF63992E"/>
        <bgColor indexed="64"/>
      </patternFill>
    </fill>
    <fill>
      <patternFill patternType="solid">
        <fgColor rgb="FF62982E"/>
        <bgColor indexed="64"/>
      </patternFill>
    </fill>
    <fill>
      <patternFill patternType="solid">
        <fgColor rgb="FF60982F"/>
        <bgColor indexed="64"/>
      </patternFill>
    </fill>
    <fill>
      <patternFill patternType="solid">
        <fgColor rgb="FF639A2E"/>
        <bgColor indexed="64"/>
      </patternFill>
    </fill>
    <fill>
      <patternFill patternType="solid">
        <fgColor rgb="FF689C34"/>
        <bgColor indexed="64"/>
      </patternFill>
    </fill>
    <fill>
      <patternFill patternType="solid">
        <fgColor rgb="FF679B35"/>
        <bgColor indexed="64"/>
      </patternFill>
    </fill>
    <fill>
      <patternFill patternType="solid">
        <fgColor rgb="FF699C33"/>
        <bgColor indexed="64"/>
      </patternFill>
    </fill>
    <fill>
      <patternFill patternType="solid">
        <fgColor rgb="FF6B9C39"/>
        <bgColor indexed="64"/>
      </patternFill>
    </fill>
    <fill>
      <patternFill patternType="solid">
        <fgColor rgb="FF6B9C3C"/>
        <bgColor indexed="64"/>
      </patternFill>
    </fill>
    <fill>
      <patternFill patternType="solid">
        <fgColor rgb="FF6B9E3B"/>
        <bgColor indexed="64"/>
      </patternFill>
    </fill>
    <fill>
      <patternFill patternType="solid">
        <fgColor rgb="FF6A9C39"/>
        <bgColor indexed="64"/>
      </patternFill>
    </fill>
    <fill>
      <patternFill patternType="solid">
        <fgColor rgb="FF6F9F3A"/>
        <bgColor indexed="64"/>
      </patternFill>
    </fill>
    <fill>
      <patternFill patternType="solid">
        <fgColor rgb="FF6EA03A"/>
        <bgColor indexed="64"/>
      </patternFill>
    </fill>
    <fill>
      <patternFill patternType="solid">
        <fgColor rgb="FF6A9D36"/>
        <bgColor indexed="64"/>
      </patternFill>
    </fill>
    <fill>
      <patternFill patternType="solid">
        <fgColor rgb="FF71A33A"/>
        <bgColor indexed="64"/>
      </patternFill>
    </fill>
    <fill>
      <patternFill patternType="solid">
        <fgColor rgb="FF6D9F38"/>
        <bgColor indexed="64"/>
      </patternFill>
    </fill>
    <fill>
      <patternFill patternType="solid">
        <fgColor rgb="FF81B14F"/>
        <bgColor indexed="64"/>
      </patternFill>
    </fill>
    <fill>
      <patternFill patternType="solid">
        <fgColor rgb="FF48602D"/>
        <bgColor indexed="64"/>
      </patternFill>
    </fill>
    <fill>
      <patternFill patternType="solid">
        <fgColor rgb="FF342C0B"/>
        <bgColor indexed="64"/>
      </patternFill>
    </fill>
    <fill>
      <patternFill patternType="solid">
        <fgColor rgb="FF577125"/>
        <bgColor indexed="64"/>
      </patternFill>
    </fill>
    <fill>
      <patternFill patternType="solid">
        <fgColor rgb="FF689F36"/>
        <bgColor indexed="64"/>
      </patternFill>
    </fill>
    <fill>
      <patternFill patternType="solid">
        <fgColor rgb="FF699B35"/>
        <bgColor indexed="64"/>
      </patternFill>
    </fill>
    <fill>
      <patternFill patternType="solid">
        <fgColor rgb="FF6BA037"/>
        <bgColor indexed="64"/>
      </patternFill>
    </fill>
    <fill>
      <patternFill patternType="solid">
        <fgColor rgb="FF588932"/>
        <bgColor indexed="64"/>
      </patternFill>
    </fill>
    <fill>
      <patternFill patternType="solid">
        <fgColor rgb="FFBEC030"/>
        <bgColor indexed="64"/>
      </patternFill>
    </fill>
    <fill>
      <patternFill patternType="solid">
        <fgColor rgb="FFBAB930"/>
        <bgColor indexed="64"/>
      </patternFill>
    </fill>
    <fill>
      <patternFill patternType="solid">
        <fgColor rgb="FF578431"/>
        <bgColor indexed="64"/>
      </patternFill>
    </fill>
    <fill>
      <patternFill patternType="solid">
        <fgColor rgb="FF6CA239"/>
        <bgColor indexed="64"/>
      </patternFill>
    </fill>
    <fill>
      <patternFill patternType="solid">
        <fgColor rgb="FF679B36"/>
        <bgColor indexed="64"/>
      </patternFill>
    </fill>
    <fill>
      <patternFill patternType="solid">
        <fgColor rgb="FF659A38"/>
        <bgColor indexed="64"/>
      </patternFill>
    </fill>
    <fill>
      <patternFill patternType="solid">
        <fgColor rgb="FF639A38"/>
        <bgColor indexed="64"/>
      </patternFill>
    </fill>
    <fill>
      <patternFill patternType="solid">
        <fgColor rgb="FF548C32"/>
        <bgColor indexed="64"/>
      </patternFill>
    </fill>
    <fill>
      <patternFill patternType="solid">
        <fgColor rgb="FF677420"/>
        <bgColor indexed="64"/>
      </patternFill>
    </fill>
    <fill>
      <patternFill patternType="solid">
        <fgColor rgb="FFE4D530"/>
        <bgColor indexed="64"/>
      </patternFill>
    </fill>
    <fill>
      <patternFill patternType="solid">
        <fgColor rgb="FF929C26"/>
        <bgColor indexed="64"/>
      </patternFill>
    </fill>
    <fill>
      <patternFill patternType="solid">
        <fgColor rgb="FF558736"/>
        <bgColor indexed="64"/>
      </patternFill>
    </fill>
    <fill>
      <patternFill patternType="solid">
        <fgColor rgb="FF6CA142"/>
        <bgColor indexed="64"/>
      </patternFill>
    </fill>
    <fill>
      <patternFill patternType="solid">
        <fgColor rgb="FF659941"/>
        <bgColor indexed="64"/>
      </patternFill>
    </fill>
    <fill>
      <patternFill patternType="solid">
        <fgColor rgb="FF689C41"/>
        <bgColor indexed="64"/>
      </patternFill>
    </fill>
    <fill>
      <patternFill patternType="solid">
        <fgColor rgb="FF699D40"/>
        <bgColor indexed="64"/>
      </patternFill>
    </fill>
    <fill>
      <patternFill patternType="solid">
        <fgColor rgb="FF5E963F"/>
        <bgColor indexed="64"/>
      </patternFill>
    </fill>
    <fill>
      <patternFill patternType="solid">
        <fgColor rgb="FF6F892B"/>
        <bgColor indexed="64"/>
      </patternFill>
    </fill>
    <fill>
      <patternFill patternType="solid">
        <fgColor rgb="FFE2D630"/>
        <bgColor indexed="64"/>
      </patternFill>
    </fill>
    <fill>
      <patternFill patternType="solid">
        <fgColor rgb="FF607520"/>
        <bgColor indexed="64"/>
      </patternFill>
    </fill>
    <fill>
      <patternFill patternType="solid">
        <fgColor rgb="FF58923A"/>
        <bgColor indexed="64"/>
      </patternFill>
    </fill>
    <fill>
      <patternFill patternType="solid">
        <fgColor rgb="FF5F9835"/>
        <bgColor indexed="64"/>
      </patternFill>
    </fill>
    <fill>
      <patternFill patternType="solid">
        <fgColor rgb="FF588D30"/>
        <bgColor indexed="64"/>
      </patternFill>
    </fill>
    <fill>
      <patternFill patternType="solid">
        <fgColor rgb="FF4F852C"/>
        <bgColor indexed="64"/>
      </patternFill>
    </fill>
    <fill>
      <patternFill patternType="solid">
        <fgColor rgb="FF4F8629"/>
        <bgColor indexed="64"/>
      </patternFill>
    </fill>
    <fill>
      <patternFill patternType="solid">
        <fgColor rgb="FF3C6E24"/>
        <bgColor indexed="64"/>
      </patternFill>
    </fill>
    <fill>
      <patternFill patternType="solid">
        <fgColor rgb="FF6A7925"/>
        <bgColor indexed="64"/>
      </patternFill>
    </fill>
    <fill>
      <patternFill patternType="solid">
        <fgColor rgb="FF94952B"/>
        <bgColor indexed="64"/>
      </patternFill>
    </fill>
    <fill>
      <patternFill patternType="solid">
        <fgColor rgb="FF45611F"/>
        <bgColor indexed="64"/>
      </patternFill>
    </fill>
    <fill>
      <patternFill patternType="solid">
        <fgColor rgb="FF386A22"/>
        <bgColor indexed="64"/>
      </patternFill>
    </fill>
    <fill>
      <patternFill patternType="solid">
        <fgColor rgb="FF366D29"/>
        <bgColor indexed="64"/>
      </patternFill>
    </fill>
    <fill>
      <patternFill patternType="solid">
        <fgColor rgb="FF326622"/>
        <bgColor indexed="64"/>
      </patternFill>
    </fill>
    <fill>
      <patternFill patternType="solid">
        <fgColor rgb="FF316726"/>
        <bgColor indexed="64"/>
      </patternFill>
    </fill>
    <fill>
      <patternFill patternType="solid">
        <fgColor rgb="FF2D6434"/>
        <bgColor indexed="64"/>
      </patternFill>
    </fill>
    <fill>
      <patternFill patternType="solid">
        <fgColor rgb="FF265423"/>
        <bgColor indexed="64"/>
      </patternFill>
    </fill>
    <fill>
      <patternFill patternType="solid">
        <fgColor rgb="FF22592E"/>
        <bgColor indexed="64"/>
      </patternFill>
    </fill>
    <fill>
      <patternFill patternType="solid">
        <fgColor rgb="FF205C3E"/>
        <bgColor indexed="64"/>
      </patternFill>
    </fill>
    <fill>
      <patternFill patternType="solid">
        <fgColor rgb="FF1B4E33"/>
        <bgColor indexed="64"/>
      </patternFill>
    </fill>
    <fill>
      <patternFill patternType="solid">
        <fgColor rgb="FF1A594A"/>
        <bgColor indexed="64"/>
      </patternFill>
    </fill>
    <fill>
      <patternFill patternType="solid">
        <fgColor rgb="FF1A5A49"/>
        <bgColor indexed="64"/>
      </patternFill>
    </fill>
    <fill>
      <patternFill patternType="solid">
        <fgColor rgb="FF6C9D31"/>
        <bgColor indexed="64"/>
      </patternFill>
    </fill>
    <fill>
      <patternFill patternType="solid">
        <fgColor rgb="FF5E9130"/>
        <bgColor indexed="64"/>
      </patternFill>
    </fill>
    <fill>
      <patternFill patternType="solid">
        <fgColor rgb="FF5A8429"/>
        <bgColor indexed="64"/>
      </patternFill>
    </fill>
    <fill>
      <patternFill patternType="solid">
        <fgColor rgb="FF669A2E"/>
        <bgColor indexed="64"/>
      </patternFill>
    </fill>
    <fill>
      <patternFill patternType="solid">
        <fgColor rgb="FF5E8C2F"/>
        <bgColor indexed="64"/>
      </patternFill>
    </fill>
    <fill>
      <patternFill patternType="solid">
        <fgColor rgb="FF4B4D21"/>
        <bgColor indexed="64"/>
      </patternFill>
    </fill>
    <fill>
      <patternFill patternType="solid">
        <fgColor rgb="FF68862A"/>
        <bgColor indexed="64"/>
      </patternFill>
    </fill>
    <fill>
      <patternFill patternType="solid">
        <fgColor rgb="FF6A9E2D"/>
        <bgColor indexed="64"/>
      </patternFill>
    </fill>
    <fill>
      <patternFill patternType="solid">
        <fgColor rgb="FF629831"/>
        <bgColor indexed="64"/>
      </patternFill>
    </fill>
    <fill>
      <patternFill patternType="solid">
        <fgColor rgb="FF649731"/>
        <bgColor indexed="64"/>
      </patternFill>
    </fill>
    <fill>
      <patternFill patternType="solid">
        <fgColor rgb="FF6C9F34"/>
        <bgColor indexed="64"/>
      </patternFill>
    </fill>
    <fill>
      <patternFill patternType="solid">
        <fgColor rgb="FF4A7129"/>
        <bgColor indexed="64"/>
      </patternFill>
    </fill>
    <fill>
      <patternFill patternType="solid">
        <fgColor rgb="FF1C1A0A"/>
        <bgColor indexed="64"/>
      </patternFill>
    </fill>
    <fill>
      <patternFill patternType="solid">
        <fgColor rgb="FFA19829"/>
        <bgColor indexed="64"/>
      </patternFill>
    </fill>
    <fill>
      <patternFill patternType="solid">
        <fgColor rgb="FFA49A2B"/>
        <bgColor indexed="64"/>
      </patternFill>
    </fill>
    <fill>
      <patternFill patternType="solid">
        <fgColor rgb="FF596123"/>
        <bgColor indexed="64"/>
      </patternFill>
    </fill>
    <fill>
      <patternFill patternType="solid">
        <fgColor rgb="FF568A29"/>
        <bgColor indexed="64"/>
      </patternFill>
    </fill>
    <fill>
      <patternFill patternType="solid">
        <fgColor rgb="FF63992D"/>
        <bgColor indexed="64"/>
      </patternFill>
    </fill>
    <fill>
      <patternFill patternType="solid">
        <fgColor rgb="FF62982F"/>
        <bgColor indexed="64"/>
      </patternFill>
    </fill>
    <fill>
      <patternFill patternType="solid">
        <fgColor rgb="FF5F952F"/>
        <bgColor indexed="64"/>
      </patternFill>
    </fill>
    <fill>
      <patternFill patternType="solid">
        <fgColor rgb="FF60962C"/>
        <bgColor indexed="64"/>
      </patternFill>
    </fill>
    <fill>
      <patternFill patternType="solid">
        <fgColor rgb="FF649C30"/>
        <bgColor indexed="64"/>
      </patternFill>
    </fill>
    <fill>
      <patternFill patternType="solid">
        <fgColor rgb="FF669C35"/>
        <bgColor indexed="64"/>
      </patternFill>
    </fill>
    <fill>
      <patternFill patternType="solid">
        <fgColor rgb="FF679C34"/>
        <bgColor indexed="64"/>
      </patternFill>
    </fill>
    <fill>
      <patternFill patternType="solid">
        <fgColor rgb="FF689E33"/>
        <bgColor indexed="64"/>
      </patternFill>
    </fill>
    <fill>
      <patternFill patternType="solid">
        <fgColor rgb="FF6A9D38"/>
        <bgColor indexed="64"/>
      </patternFill>
    </fill>
    <fill>
      <patternFill patternType="solid">
        <fgColor rgb="FF6A9E38"/>
        <bgColor indexed="64"/>
      </patternFill>
    </fill>
    <fill>
      <patternFill patternType="solid">
        <fgColor rgb="FF6B9D36"/>
        <bgColor indexed="64"/>
      </patternFill>
    </fill>
    <fill>
      <patternFill patternType="solid">
        <fgColor rgb="FF70A03B"/>
        <bgColor indexed="64"/>
      </patternFill>
    </fill>
    <fill>
      <patternFill patternType="solid">
        <fgColor rgb="FF567234"/>
        <bgColor indexed="64"/>
      </patternFill>
    </fill>
    <fill>
      <patternFill patternType="solid">
        <fgColor rgb="FF3E3912"/>
        <bgColor indexed="64"/>
      </patternFill>
    </fill>
    <fill>
      <patternFill patternType="solid">
        <fgColor rgb="FF4F6520"/>
        <bgColor indexed="64"/>
      </patternFill>
    </fill>
    <fill>
      <patternFill patternType="solid">
        <fgColor rgb="FF679F35"/>
        <bgColor indexed="64"/>
      </patternFill>
    </fill>
    <fill>
      <patternFill patternType="solid">
        <fgColor rgb="FF669B33"/>
        <bgColor indexed="64"/>
      </patternFill>
    </fill>
    <fill>
      <patternFill patternType="solid">
        <fgColor rgb="FF669C33"/>
        <bgColor indexed="64"/>
      </patternFill>
    </fill>
    <fill>
      <patternFill patternType="solid">
        <fgColor rgb="FF6CA136"/>
        <bgColor indexed="64"/>
      </patternFill>
    </fill>
    <fill>
      <patternFill patternType="solid">
        <fgColor rgb="FF54822F"/>
        <bgColor indexed="64"/>
      </patternFill>
    </fill>
    <fill>
      <patternFill patternType="solid">
        <fgColor rgb="FFBDBC2F"/>
        <bgColor indexed="64"/>
      </patternFill>
    </fill>
    <fill>
      <patternFill patternType="solid">
        <fgColor rgb="FFBBBC30"/>
        <bgColor indexed="64"/>
      </patternFill>
    </fill>
    <fill>
      <patternFill patternType="solid">
        <fgColor rgb="FF558431"/>
        <bgColor indexed="64"/>
      </patternFill>
    </fill>
    <fill>
      <patternFill patternType="solid">
        <fgColor rgb="FF6EA537"/>
        <bgColor indexed="64"/>
      </patternFill>
    </fill>
    <fill>
      <patternFill patternType="solid">
        <fgColor rgb="FF679D34"/>
        <bgColor indexed="64"/>
      </patternFill>
    </fill>
    <fill>
      <patternFill patternType="solid">
        <fgColor rgb="FF669B35"/>
        <bgColor indexed="64"/>
      </patternFill>
    </fill>
    <fill>
      <patternFill patternType="solid">
        <fgColor rgb="FF649A33"/>
        <bgColor indexed="64"/>
      </patternFill>
    </fill>
    <fill>
      <patternFill patternType="solid">
        <fgColor rgb="FF649B36"/>
        <bgColor indexed="64"/>
      </patternFill>
    </fill>
    <fill>
      <patternFill patternType="solid">
        <fgColor rgb="FF649A37"/>
        <bgColor indexed="64"/>
      </patternFill>
    </fill>
    <fill>
      <patternFill patternType="solid">
        <fgColor rgb="FF669D37"/>
        <bgColor indexed="64"/>
      </patternFill>
    </fill>
    <fill>
      <patternFill patternType="solid">
        <fgColor rgb="FF528832"/>
        <bgColor indexed="64"/>
      </patternFill>
    </fill>
    <fill>
      <patternFill patternType="solid">
        <fgColor rgb="FF767F23"/>
        <bgColor indexed="64"/>
      </patternFill>
    </fill>
    <fill>
      <patternFill patternType="solid">
        <fgColor rgb="FFFFEF36"/>
        <bgColor indexed="64"/>
      </patternFill>
    </fill>
    <fill>
      <patternFill patternType="solid">
        <fgColor rgb="FF95A029"/>
        <bgColor indexed="64"/>
      </patternFill>
    </fill>
    <fill>
      <patternFill patternType="solid">
        <fgColor rgb="FF5C8F39"/>
        <bgColor indexed="64"/>
      </patternFill>
    </fill>
    <fill>
      <patternFill patternType="solid">
        <fgColor rgb="FF6BA140"/>
        <bgColor indexed="64"/>
      </patternFill>
    </fill>
    <fill>
      <patternFill patternType="solid">
        <fgColor rgb="FF63983F"/>
        <bgColor indexed="64"/>
      </patternFill>
    </fill>
    <fill>
      <patternFill patternType="solid">
        <fgColor rgb="FF659A3E"/>
        <bgColor indexed="64"/>
      </patternFill>
    </fill>
    <fill>
      <patternFill patternType="solid">
        <fgColor rgb="FF679C3E"/>
        <bgColor indexed="64"/>
      </patternFill>
    </fill>
    <fill>
      <patternFill patternType="solid">
        <fgColor rgb="FF5C9039"/>
        <bgColor indexed="64"/>
      </patternFill>
    </fill>
    <fill>
      <patternFill patternType="solid">
        <fgColor rgb="FF7F8B29"/>
        <bgColor indexed="64"/>
      </patternFill>
    </fill>
    <fill>
      <patternFill patternType="solid">
        <fgColor rgb="FFCEC130"/>
        <bgColor indexed="64"/>
      </patternFill>
    </fill>
    <fill>
      <patternFill patternType="solid">
        <fgColor rgb="FF5B7824"/>
        <bgColor indexed="64"/>
      </patternFill>
    </fill>
    <fill>
      <patternFill patternType="solid">
        <fgColor rgb="FF589036"/>
        <bgColor indexed="64"/>
      </patternFill>
    </fill>
    <fill>
      <patternFill patternType="solid">
        <fgColor rgb="FF558E33"/>
        <bgColor indexed="64"/>
      </patternFill>
    </fill>
    <fill>
      <patternFill patternType="solid">
        <fgColor rgb="FF538E34"/>
        <bgColor indexed="64"/>
      </patternFill>
    </fill>
    <fill>
      <patternFill patternType="solid">
        <fgColor rgb="FF558F34"/>
        <bgColor indexed="64"/>
      </patternFill>
    </fill>
    <fill>
      <patternFill patternType="solid">
        <fgColor rgb="FF559032"/>
        <bgColor indexed="64"/>
      </patternFill>
    </fill>
    <fill>
      <patternFill patternType="solid">
        <fgColor rgb="FF4F8E31"/>
        <bgColor indexed="64"/>
      </patternFill>
    </fill>
    <fill>
      <patternFill patternType="solid">
        <fgColor rgb="FF4F6C20"/>
        <bgColor indexed="64"/>
      </patternFill>
    </fill>
    <fill>
      <patternFill patternType="solid">
        <fgColor rgb="FFC6C52E"/>
        <bgColor indexed="64"/>
      </patternFill>
    </fill>
    <fill>
      <patternFill patternType="solid">
        <fgColor rgb="FF6F8224"/>
        <bgColor indexed="64"/>
      </patternFill>
    </fill>
    <fill>
      <patternFill patternType="solid">
        <fgColor rgb="FF428130"/>
        <bgColor indexed="64"/>
      </patternFill>
    </fill>
    <fill>
      <patternFill patternType="solid">
        <fgColor rgb="FF4C8A2D"/>
        <bgColor indexed="64"/>
      </patternFill>
    </fill>
    <fill>
      <patternFill patternType="solid">
        <fgColor rgb="FF48882F"/>
        <bgColor indexed="64"/>
      </patternFill>
    </fill>
    <fill>
      <patternFill patternType="solid">
        <fgColor rgb="FF47872F"/>
        <bgColor indexed="64"/>
      </patternFill>
    </fill>
    <fill>
      <patternFill patternType="solid">
        <fgColor rgb="FF47862A"/>
        <bgColor indexed="64"/>
      </patternFill>
    </fill>
    <fill>
      <patternFill patternType="solid">
        <fgColor rgb="FF44882D"/>
        <bgColor indexed="64"/>
      </patternFill>
    </fill>
    <fill>
      <patternFill patternType="solid">
        <fgColor rgb="FF438429"/>
        <bgColor indexed="64"/>
      </patternFill>
    </fill>
    <fill>
      <patternFill patternType="solid">
        <fgColor rgb="FF448329"/>
        <bgColor indexed="64"/>
      </patternFill>
    </fill>
    <fill>
      <patternFill patternType="solid">
        <fgColor rgb="FF458429"/>
        <bgColor indexed="64"/>
      </patternFill>
    </fill>
    <fill>
      <patternFill patternType="solid">
        <fgColor rgb="FF448128"/>
        <bgColor indexed="64"/>
      </patternFill>
    </fill>
    <fill>
      <patternFill patternType="solid">
        <fgColor rgb="FF418025"/>
        <bgColor indexed="64"/>
      </patternFill>
    </fill>
    <fill>
      <patternFill patternType="solid">
        <fgColor rgb="FF69A334"/>
        <bgColor indexed="64"/>
      </patternFill>
    </fill>
    <fill>
      <patternFill patternType="solid">
        <fgColor rgb="FF4D822A"/>
        <bgColor indexed="64"/>
      </patternFill>
    </fill>
    <fill>
      <patternFill patternType="solid">
        <fgColor rgb="FF686327"/>
        <bgColor indexed="64"/>
      </patternFill>
    </fill>
    <fill>
      <patternFill patternType="solid">
        <fgColor rgb="FF79782B"/>
        <bgColor indexed="64"/>
      </patternFill>
    </fill>
    <fill>
      <patternFill patternType="solid">
        <fgColor rgb="FF679A31"/>
        <bgColor indexed="64"/>
      </patternFill>
    </fill>
    <fill>
      <patternFill patternType="solid">
        <fgColor rgb="FF567F2B"/>
        <bgColor indexed="64"/>
      </patternFill>
    </fill>
    <fill>
      <patternFill patternType="solid">
        <fgColor rgb="FF2F310C"/>
        <bgColor indexed="64"/>
      </patternFill>
    </fill>
    <fill>
      <patternFill patternType="solid">
        <fgColor rgb="FF668C29"/>
        <bgColor indexed="64"/>
      </patternFill>
    </fill>
    <fill>
      <patternFill patternType="solid">
        <fgColor rgb="FF669C2F"/>
        <bgColor indexed="64"/>
      </patternFill>
    </fill>
    <fill>
      <patternFill patternType="solid">
        <fgColor rgb="FF649634"/>
        <bgColor indexed="64"/>
      </patternFill>
    </fill>
    <fill>
      <patternFill patternType="solid">
        <fgColor rgb="FF3B5D21"/>
        <bgColor indexed="64"/>
      </patternFill>
    </fill>
    <fill>
      <patternFill patternType="solid">
        <fgColor rgb="FF2C280C"/>
        <bgColor indexed="64"/>
      </patternFill>
    </fill>
    <fill>
      <patternFill patternType="solid">
        <fgColor rgb="FF595220"/>
        <bgColor indexed="64"/>
      </patternFill>
    </fill>
    <fill>
      <patternFill patternType="solid">
        <fgColor rgb="FF5F551C"/>
        <bgColor indexed="64"/>
      </patternFill>
    </fill>
    <fill>
      <patternFill patternType="solid">
        <fgColor rgb="FF526221"/>
        <bgColor indexed="64"/>
      </patternFill>
    </fill>
    <fill>
      <patternFill patternType="solid">
        <fgColor rgb="FF588E2B"/>
        <bgColor indexed="64"/>
      </patternFill>
    </fill>
    <fill>
      <patternFill patternType="solid">
        <fgColor rgb="FF64992E"/>
        <bgColor indexed="64"/>
      </patternFill>
    </fill>
    <fill>
      <patternFill patternType="solid">
        <fgColor rgb="FF629830"/>
        <bgColor indexed="64"/>
      </patternFill>
    </fill>
    <fill>
      <patternFill patternType="solid">
        <fgColor rgb="FF5C942B"/>
        <bgColor indexed="64"/>
      </patternFill>
    </fill>
    <fill>
      <patternFill patternType="solid">
        <fgColor rgb="FF5D952D"/>
        <bgColor indexed="64"/>
      </patternFill>
    </fill>
    <fill>
      <patternFill patternType="solid">
        <fgColor rgb="FF649B32"/>
        <bgColor indexed="64"/>
      </patternFill>
    </fill>
    <fill>
      <patternFill patternType="solid">
        <fgColor rgb="FF659B34"/>
        <bgColor indexed="64"/>
      </patternFill>
    </fill>
    <fill>
      <patternFill patternType="solid">
        <fgColor rgb="FF669B34"/>
        <bgColor indexed="64"/>
      </patternFill>
    </fill>
    <fill>
      <patternFill patternType="solid">
        <fgColor rgb="FF689C35"/>
        <bgColor indexed="64"/>
      </patternFill>
    </fill>
    <fill>
      <patternFill patternType="solid">
        <fgColor rgb="FF6B9F38"/>
        <bgColor indexed="64"/>
      </patternFill>
    </fill>
    <fill>
      <patternFill patternType="solid">
        <fgColor rgb="FF689D38"/>
        <bgColor indexed="64"/>
      </patternFill>
    </fill>
    <fill>
      <patternFill patternType="solid">
        <fgColor rgb="FF6A9F36"/>
        <bgColor indexed="64"/>
      </patternFill>
    </fill>
    <fill>
      <patternFill patternType="solid">
        <fgColor rgb="FF689D36"/>
        <bgColor indexed="64"/>
      </patternFill>
    </fill>
    <fill>
      <patternFill patternType="solid">
        <fgColor rgb="FF699C39"/>
        <bgColor indexed="64"/>
      </patternFill>
    </fill>
    <fill>
      <patternFill patternType="solid">
        <fgColor rgb="FF6A9E39"/>
        <bgColor indexed="64"/>
      </patternFill>
    </fill>
    <fill>
      <patternFill patternType="solid">
        <fgColor rgb="FF6B9C38"/>
        <bgColor indexed="64"/>
      </patternFill>
    </fill>
    <fill>
      <patternFill patternType="solid">
        <fgColor rgb="FF6F9F3D"/>
        <bgColor indexed="64"/>
      </patternFill>
    </fill>
    <fill>
      <patternFill patternType="solid">
        <fgColor rgb="FF73A542"/>
        <bgColor indexed="64"/>
      </patternFill>
    </fill>
    <fill>
      <patternFill patternType="solid">
        <fgColor rgb="FF597533"/>
        <bgColor indexed="64"/>
      </patternFill>
    </fill>
    <fill>
      <patternFill patternType="solid">
        <fgColor rgb="FFCABE35"/>
        <bgColor indexed="64"/>
      </patternFill>
    </fill>
    <fill>
      <patternFill patternType="solid">
        <fgColor rgb="FF8F9D2C"/>
        <bgColor indexed="64"/>
      </patternFill>
    </fill>
    <fill>
      <patternFill patternType="solid">
        <fgColor rgb="FF598D30"/>
        <bgColor indexed="64"/>
      </patternFill>
    </fill>
    <fill>
      <patternFill patternType="solid">
        <fgColor rgb="FF669C31"/>
        <bgColor indexed="64"/>
      </patternFill>
    </fill>
    <fill>
      <patternFill patternType="solid">
        <fgColor rgb="FF6CA139"/>
        <bgColor indexed="64"/>
      </patternFill>
    </fill>
    <fill>
      <patternFill patternType="solid">
        <fgColor rgb="FF54802E"/>
        <bgColor indexed="64"/>
      </patternFill>
    </fill>
    <fill>
      <patternFill patternType="solid">
        <fgColor rgb="FFC5C22E"/>
        <bgColor indexed="64"/>
      </patternFill>
    </fill>
    <fill>
      <patternFill patternType="solid">
        <fgColor rgb="FFBEBF30"/>
        <bgColor indexed="64"/>
      </patternFill>
    </fill>
    <fill>
      <patternFill patternType="solid">
        <fgColor rgb="FF568431"/>
        <bgColor indexed="64"/>
      </patternFill>
    </fill>
    <fill>
      <patternFill patternType="solid">
        <fgColor rgb="FF669C34"/>
        <bgColor indexed="64"/>
      </patternFill>
    </fill>
    <fill>
      <patternFill patternType="solid">
        <fgColor rgb="FF659B35"/>
        <bgColor indexed="64"/>
      </patternFill>
    </fill>
    <fill>
      <patternFill patternType="solid">
        <fgColor rgb="FF639936"/>
        <bgColor indexed="64"/>
      </patternFill>
    </fill>
    <fill>
      <patternFill patternType="solid">
        <fgColor rgb="FF64983A"/>
        <bgColor indexed="64"/>
      </patternFill>
    </fill>
    <fill>
      <patternFill patternType="solid">
        <fgColor rgb="FF528930"/>
        <bgColor indexed="64"/>
      </patternFill>
    </fill>
    <fill>
      <patternFill patternType="solid">
        <fgColor rgb="FF6D7525"/>
        <bgColor indexed="64"/>
      </patternFill>
    </fill>
    <fill>
      <patternFill patternType="solid">
        <fgColor rgb="FFEADD33"/>
        <bgColor indexed="64"/>
      </patternFill>
    </fill>
    <fill>
      <patternFill patternType="solid">
        <fgColor rgb="FF899527"/>
        <bgColor indexed="64"/>
      </patternFill>
    </fill>
    <fill>
      <patternFill patternType="solid">
        <fgColor rgb="FF699E3F"/>
        <bgColor indexed="64"/>
      </patternFill>
    </fill>
    <fill>
      <patternFill patternType="solid">
        <fgColor rgb="FF62973D"/>
        <bgColor indexed="64"/>
      </patternFill>
    </fill>
    <fill>
      <patternFill patternType="solid">
        <fgColor rgb="FF64993E"/>
        <bgColor indexed="64"/>
      </patternFill>
    </fill>
    <fill>
      <patternFill patternType="solid">
        <fgColor rgb="FF639A3D"/>
        <bgColor indexed="64"/>
      </patternFill>
    </fill>
    <fill>
      <patternFill patternType="solid">
        <fgColor rgb="FF5D903A"/>
        <bgColor indexed="64"/>
      </patternFill>
    </fill>
    <fill>
      <patternFill patternType="solid">
        <fgColor rgb="FF4A501D"/>
        <bgColor indexed="64"/>
      </patternFill>
    </fill>
    <fill>
      <patternFill patternType="solid">
        <fgColor rgb="FF635F1C"/>
        <bgColor indexed="64"/>
      </patternFill>
    </fill>
    <fill>
      <patternFill patternType="solid">
        <fgColor rgb="FF598327"/>
        <bgColor indexed="64"/>
      </patternFill>
    </fill>
    <fill>
      <patternFill patternType="solid">
        <fgColor rgb="FF579135"/>
        <bgColor indexed="64"/>
      </patternFill>
    </fill>
    <fill>
      <patternFill patternType="solid">
        <fgColor rgb="FF558D32"/>
        <bgColor indexed="64"/>
      </patternFill>
    </fill>
    <fill>
      <patternFill patternType="solid">
        <fgColor rgb="FF528C30"/>
        <bgColor indexed="64"/>
      </patternFill>
    </fill>
    <fill>
      <patternFill patternType="solid">
        <fgColor rgb="FF518B32"/>
        <bgColor indexed="64"/>
      </patternFill>
    </fill>
    <fill>
      <patternFill patternType="solid">
        <fgColor rgb="FF518A31"/>
        <bgColor indexed="64"/>
      </patternFill>
    </fill>
    <fill>
      <patternFill patternType="solid">
        <fgColor rgb="FF508F30"/>
        <bgColor indexed="64"/>
      </patternFill>
    </fill>
    <fill>
      <patternFill patternType="solid">
        <fgColor rgb="FF406A22"/>
        <bgColor indexed="64"/>
      </patternFill>
    </fill>
    <fill>
      <patternFill patternType="solid">
        <fgColor rgb="FFC9CC2F"/>
        <bgColor indexed="64"/>
      </patternFill>
    </fill>
    <fill>
      <patternFill patternType="solid">
        <fgColor rgb="FF7E8721"/>
        <bgColor indexed="64"/>
      </patternFill>
    </fill>
    <fill>
      <patternFill patternType="solid">
        <fgColor rgb="FF326A25"/>
        <bgColor indexed="64"/>
      </patternFill>
    </fill>
    <fill>
      <patternFill patternType="solid">
        <fgColor rgb="FF49862B"/>
        <bgColor indexed="64"/>
      </patternFill>
    </fill>
    <fill>
      <patternFill patternType="solid">
        <fgColor rgb="FF437F2A"/>
        <bgColor indexed="64"/>
      </patternFill>
    </fill>
    <fill>
      <patternFill patternType="solid">
        <fgColor rgb="FF44832B"/>
        <bgColor indexed="64"/>
      </patternFill>
    </fill>
    <fill>
      <patternFill patternType="solid">
        <fgColor rgb="FF42822C"/>
        <bgColor indexed="64"/>
      </patternFill>
    </fill>
    <fill>
      <patternFill patternType="solid">
        <fgColor rgb="FF42812C"/>
        <bgColor indexed="64"/>
      </patternFill>
    </fill>
    <fill>
      <patternFill patternType="solid">
        <fgColor rgb="FF43812D"/>
        <bgColor indexed="64"/>
      </patternFill>
    </fill>
    <fill>
      <patternFill patternType="solid">
        <fgColor rgb="FF438031"/>
        <bgColor indexed="64"/>
      </patternFill>
    </fill>
    <fill>
      <patternFill patternType="solid">
        <fgColor rgb="FF417F2D"/>
        <bgColor indexed="64"/>
      </patternFill>
    </fill>
    <fill>
      <patternFill patternType="solid">
        <fgColor rgb="FF427F2E"/>
        <bgColor indexed="64"/>
      </patternFill>
    </fill>
    <fill>
      <patternFill patternType="solid">
        <fgColor rgb="FF407E2F"/>
        <bgColor indexed="64"/>
      </patternFill>
    </fill>
    <fill>
      <patternFill patternType="solid">
        <fgColor rgb="FF546923"/>
        <bgColor indexed="64"/>
      </patternFill>
    </fill>
    <fill>
      <patternFill patternType="solid">
        <fgColor rgb="FF9A6124"/>
        <bgColor indexed="64"/>
      </patternFill>
    </fill>
    <fill>
      <patternFill patternType="solid">
        <fgColor rgb="FF975922"/>
        <bgColor indexed="64"/>
      </patternFill>
    </fill>
    <fill>
      <patternFill patternType="solid">
        <fgColor rgb="FF67882D"/>
        <bgColor indexed="64"/>
      </patternFill>
    </fill>
    <fill>
      <patternFill patternType="solid">
        <fgColor rgb="FF669730"/>
        <bgColor indexed="64"/>
      </patternFill>
    </fill>
    <fill>
      <patternFill patternType="solid">
        <fgColor rgb="FF5E7F28"/>
        <bgColor indexed="64"/>
      </patternFill>
    </fill>
    <fill>
      <patternFill patternType="solid">
        <fgColor rgb="FF646820"/>
        <bgColor indexed="64"/>
      </patternFill>
    </fill>
    <fill>
      <patternFill patternType="solid">
        <fgColor rgb="FF648E2E"/>
        <bgColor indexed="64"/>
      </patternFill>
    </fill>
    <fill>
      <patternFill patternType="solid">
        <fgColor rgb="FF689C30"/>
        <bgColor indexed="64"/>
      </patternFill>
    </fill>
    <fill>
      <patternFill patternType="solid">
        <fgColor rgb="FF639632"/>
        <bgColor indexed="64"/>
      </patternFill>
    </fill>
    <fill>
      <patternFill patternType="solid">
        <fgColor rgb="FF629632"/>
        <bgColor indexed="64"/>
      </patternFill>
    </fill>
    <fill>
      <patternFill patternType="solid">
        <fgColor rgb="FF486A25"/>
        <bgColor indexed="64"/>
      </patternFill>
    </fill>
    <fill>
      <patternFill patternType="solid">
        <fgColor rgb="FF5E5822"/>
        <bgColor indexed="64"/>
      </patternFill>
    </fill>
    <fill>
      <patternFill patternType="solid">
        <fgColor rgb="FF25240A"/>
        <bgColor indexed="64"/>
      </patternFill>
    </fill>
    <fill>
      <patternFill patternType="solid">
        <fgColor rgb="FF1B1705"/>
        <bgColor indexed="64"/>
      </patternFill>
    </fill>
    <fill>
      <patternFill patternType="solid">
        <fgColor rgb="FF354819"/>
        <bgColor indexed="64"/>
      </patternFill>
    </fill>
    <fill>
      <patternFill patternType="solid">
        <fgColor rgb="FF649832"/>
        <bgColor indexed="64"/>
      </patternFill>
    </fill>
    <fill>
      <patternFill patternType="solid">
        <fgColor rgb="FF63972E"/>
        <bgColor indexed="64"/>
      </patternFill>
    </fill>
    <fill>
      <patternFill patternType="solid">
        <fgColor rgb="FF62992C"/>
        <bgColor indexed="64"/>
      </patternFill>
    </fill>
    <fill>
      <patternFill patternType="solid">
        <fgColor rgb="FF5C9428"/>
        <bgColor indexed="64"/>
      </patternFill>
    </fill>
    <fill>
      <patternFill patternType="solid">
        <fgColor rgb="FF5C932B"/>
        <bgColor indexed="64"/>
      </patternFill>
    </fill>
    <fill>
      <patternFill patternType="solid">
        <fgColor rgb="FF619731"/>
        <bgColor indexed="64"/>
      </patternFill>
    </fill>
    <fill>
      <patternFill patternType="solid">
        <fgColor rgb="FF659A34"/>
        <bgColor indexed="64"/>
      </patternFill>
    </fill>
    <fill>
      <patternFill patternType="solid">
        <fgColor rgb="FF679B37"/>
        <bgColor indexed="64"/>
      </patternFill>
    </fill>
    <fill>
      <patternFill patternType="solid">
        <fgColor rgb="FF689C39"/>
        <bgColor indexed="64"/>
      </patternFill>
    </fill>
    <fill>
      <patternFill patternType="solid">
        <fgColor rgb="FF6A9D37"/>
        <bgColor indexed="64"/>
      </patternFill>
    </fill>
    <fill>
      <patternFill patternType="solid">
        <fgColor rgb="FF5F9033"/>
        <bgColor indexed="64"/>
      </patternFill>
    </fill>
    <fill>
      <patternFill patternType="solid">
        <fgColor rgb="FF699C3A"/>
        <bgColor indexed="64"/>
      </patternFill>
    </fill>
    <fill>
      <patternFill patternType="solid">
        <fgColor rgb="FF6CA038"/>
        <bgColor indexed="64"/>
      </patternFill>
    </fill>
    <fill>
      <patternFill patternType="solid">
        <fgColor rgb="FF6B9E3A"/>
        <bgColor indexed="64"/>
      </patternFill>
    </fill>
    <fill>
      <patternFill patternType="solid">
        <fgColor rgb="FF6CA039"/>
        <bgColor indexed="64"/>
      </patternFill>
    </fill>
    <fill>
      <patternFill patternType="solid">
        <fgColor rgb="FF5A7735"/>
        <bgColor indexed="64"/>
      </patternFill>
    </fill>
    <fill>
      <patternFill patternType="solid">
        <fgColor rgb="FFA69827"/>
        <bgColor indexed="64"/>
      </patternFill>
    </fill>
    <fill>
      <patternFill patternType="solid">
        <fgColor rgb="FF989A2C"/>
        <bgColor indexed="64"/>
      </patternFill>
    </fill>
    <fill>
      <patternFill patternType="solid">
        <fgColor rgb="FF609232"/>
        <bgColor indexed="64"/>
      </patternFill>
    </fill>
    <fill>
      <patternFill patternType="solid">
        <fgColor rgb="FF69A035"/>
        <bgColor indexed="64"/>
      </patternFill>
    </fill>
    <fill>
      <patternFill patternType="solid">
        <fgColor rgb="FF689D34"/>
        <bgColor indexed="64"/>
      </patternFill>
    </fill>
    <fill>
      <patternFill patternType="solid">
        <fgColor rgb="FF6CA033"/>
        <bgColor indexed="64"/>
      </patternFill>
    </fill>
    <fill>
      <patternFill patternType="solid">
        <fgColor rgb="FF6AA135"/>
        <bgColor indexed="64"/>
      </patternFill>
    </fill>
    <fill>
      <patternFill patternType="solid">
        <fgColor rgb="FF5D852B"/>
        <bgColor indexed="64"/>
      </patternFill>
    </fill>
    <fill>
      <patternFill patternType="solid">
        <fgColor rgb="FFDDD734"/>
        <bgColor indexed="64"/>
      </patternFill>
    </fill>
    <fill>
      <patternFill patternType="solid">
        <fgColor rgb="FFBDBD2E"/>
        <bgColor indexed="64"/>
      </patternFill>
    </fill>
    <fill>
      <patternFill patternType="solid">
        <fgColor rgb="FF56842F"/>
        <bgColor indexed="64"/>
      </patternFill>
    </fill>
    <fill>
      <patternFill patternType="solid">
        <fgColor rgb="FF6DA239"/>
        <bgColor indexed="64"/>
      </patternFill>
    </fill>
    <fill>
      <patternFill patternType="solid">
        <fgColor rgb="FF659B39"/>
        <bgColor indexed="64"/>
      </patternFill>
    </fill>
    <fill>
      <patternFill patternType="solid">
        <fgColor rgb="FF629737"/>
        <bgColor indexed="64"/>
      </patternFill>
    </fill>
    <fill>
      <patternFill patternType="solid">
        <fgColor rgb="FF619739"/>
        <bgColor indexed="64"/>
      </patternFill>
    </fill>
    <fill>
      <patternFill patternType="solid">
        <fgColor rgb="FF679C37"/>
        <bgColor indexed="64"/>
      </patternFill>
    </fill>
    <fill>
      <patternFill patternType="solid">
        <fgColor rgb="FF548A31"/>
        <bgColor indexed="64"/>
      </patternFill>
    </fill>
    <fill>
      <patternFill patternType="solid">
        <fgColor rgb="FF48541B"/>
        <bgColor indexed="64"/>
      </patternFill>
    </fill>
    <fill>
      <patternFill patternType="solid">
        <fgColor rgb="FFD4CB31"/>
        <bgColor indexed="64"/>
      </patternFill>
    </fill>
    <fill>
      <patternFill patternType="solid">
        <fgColor rgb="FF798B23"/>
        <bgColor indexed="64"/>
      </patternFill>
    </fill>
    <fill>
      <patternFill patternType="solid">
        <fgColor rgb="FF59913B"/>
        <bgColor indexed="64"/>
      </patternFill>
    </fill>
    <fill>
      <patternFill patternType="solid">
        <fgColor rgb="FF659C3C"/>
        <bgColor indexed="64"/>
      </patternFill>
    </fill>
    <fill>
      <patternFill patternType="solid">
        <fgColor rgb="FF63983D"/>
        <bgColor indexed="64"/>
      </patternFill>
    </fill>
    <fill>
      <patternFill patternType="solid">
        <fgColor rgb="FF659F40"/>
        <bgColor indexed="64"/>
      </patternFill>
    </fill>
    <fill>
      <patternFill patternType="solid">
        <fgColor rgb="FF537E37"/>
        <bgColor indexed="64"/>
      </patternFill>
    </fill>
    <fill>
      <patternFill patternType="solid">
        <fgColor rgb="FF121608"/>
        <bgColor indexed="64"/>
      </patternFill>
    </fill>
    <fill>
      <patternFill patternType="solid">
        <fgColor rgb="FF202C09"/>
        <bgColor indexed="64"/>
      </patternFill>
    </fill>
    <fill>
      <patternFill patternType="solid">
        <fgColor rgb="FF568B2E"/>
        <bgColor indexed="64"/>
      </patternFill>
    </fill>
    <fill>
      <patternFill patternType="solid">
        <fgColor rgb="FF578F35"/>
        <bgColor indexed="64"/>
      </patternFill>
    </fill>
    <fill>
      <patternFill patternType="solid">
        <fgColor rgb="FF578D33"/>
        <bgColor indexed="64"/>
      </patternFill>
    </fill>
    <fill>
      <patternFill patternType="solid">
        <fgColor rgb="FF538C32"/>
        <bgColor indexed="64"/>
      </patternFill>
    </fill>
    <fill>
      <patternFill patternType="solid">
        <fgColor rgb="FF528C31"/>
        <bgColor indexed="64"/>
      </patternFill>
    </fill>
    <fill>
      <patternFill patternType="solid">
        <fgColor rgb="FF518B31"/>
        <bgColor indexed="64"/>
      </patternFill>
    </fill>
    <fill>
      <patternFill patternType="solid">
        <fgColor rgb="FF549132"/>
        <bgColor indexed="64"/>
      </patternFill>
    </fill>
    <fill>
      <patternFill patternType="solid">
        <fgColor rgb="FF3F6C24"/>
        <bgColor indexed="64"/>
      </patternFill>
    </fill>
    <fill>
      <patternFill patternType="solid">
        <fgColor rgb="FF979D2B"/>
        <bgColor indexed="64"/>
      </patternFill>
    </fill>
    <fill>
      <patternFill patternType="solid">
        <fgColor rgb="FF777C1E"/>
        <bgColor indexed="64"/>
      </patternFill>
    </fill>
    <fill>
      <patternFill patternType="solid">
        <fgColor rgb="FF316620"/>
        <bgColor indexed="64"/>
      </patternFill>
    </fill>
    <fill>
      <patternFill patternType="solid">
        <fgColor rgb="FF49892C"/>
        <bgColor indexed="64"/>
      </patternFill>
    </fill>
    <fill>
      <patternFill patternType="solid">
        <fgColor rgb="FF3F7D29"/>
        <bgColor indexed="64"/>
      </patternFill>
    </fill>
    <fill>
      <patternFill patternType="solid">
        <fgColor rgb="FF418029"/>
        <bgColor indexed="64"/>
      </patternFill>
    </fill>
    <fill>
      <patternFill patternType="solid">
        <fgColor rgb="FF43812B"/>
        <bgColor indexed="64"/>
      </patternFill>
    </fill>
    <fill>
      <patternFill patternType="solid">
        <fgColor rgb="FF45822C"/>
        <bgColor indexed="64"/>
      </patternFill>
    </fill>
    <fill>
      <patternFill patternType="solid">
        <fgColor rgb="FF43832D"/>
        <bgColor indexed="64"/>
      </patternFill>
    </fill>
    <fill>
      <patternFill patternType="solid">
        <fgColor rgb="FF41822E"/>
        <bgColor indexed="64"/>
      </patternFill>
    </fill>
    <fill>
      <patternFill patternType="solid">
        <fgColor rgb="FF41822B"/>
        <bgColor indexed="64"/>
      </patternFill>
    </fill>
    <fill>
      <patternFill patternType="solid">
        <fgColor rgb="FF40812D"/>
        <bgColor indexed="64"/>
      </patternFill>
    </fill>
    <fill>
      <patternFill patternType="solid">
        <fgColor rgb="FF3E7F2D"/>
        <bgColor indexed="64"/>
      </patternFill>
    </fill>
    <fill>
      <patternFill patternType="solid">
        <fgColor rgb="FFCB6529"/>
        <bgColor indexed="64"/>
      </patternFill>
    </fill>
    <fill>
      <patternFill patternType="solid">
        <fgColor rgb="FFA96A2B"/>
        <bgColor indexed="64"/>
      </patternFill>
    </fill>
    <fill>
      <patternFill patternType="solid">
        <fgColor rgb="FF577E28"/>
        <bgColor indexed="64"/>
      </patternFill>
    </fill>
    <fill>
      <patternFill patternType="solid">
        <fgColor rgb="FF629C33"/>
        <bgColor indexed="64"/>
      </patternFill>
    </fill>
    <fill>
      <patternFill patternType="solid">
        <fgColor rgb="FF679A30"/>
        <bgColor indexed="64"/>
      </patternFill>
    </fill>
    <fill>
      <patternFill patternType="solid">
        <fgColor rgb="FF758629"/>
        <bgColor indexed="64"/>
      </patternFill>
    </fill>
    <fill>
      <patternFill patternType="solid">
        <fgColor rgb="FF8D922F"/>
        <bgColor indexed="64"/>
      </patternFill>
    </fill>
    <fill>
      <patternFill patternType="solid">
        <fgColor rgb="FF62922E"/>
        <bgColor indexed="64"/>
      </patternFill>
    </fill>
    <fill>
      <patternFill patternType="solid">
        <fgColor rgb="FF639532"/>
        <bgColor indexed="64"/>
      </patternFill>
    </fill>
    <fill>
      <patternFill patternType="solid">
        <fgColor rgb="FF639633"/>
        <bgColor indexed="64"/>
      </patternFill>
    </fill>
    <fill>
      <patternFill patternType="solid">
        <fgColor rgb="FF587A29"/>
        <bgColor indexed="64"/>
      </patternFill>
    </fill>
    <fill>
      <patternFill patternType="solid">
        <fgColor rgb="FF7B742D"/>
        <bgColor indexed="64"/>
      </patternFill>
    </fill>
    <fill>
      <patternFill patternType="solid">
        <fgColor rgb="FF424018"/>
        <bgColor indexed="64"/>
      </patternFill>
    </fill>
    <fill>
      <patternFill patternType="solid">
        <fgColor rgb="FF38370F"/>
        <bgColor indexed="64"/>
      </patternFill>
    </fill>
    <fill>
      <patternFill patternType="solid">
        <fgColor rgb="FF304818"/>
        <bgColor indexed="64"/>
      </patternFill>
    </fill>
    <fill>
      <patternFill patternType="solid">
        <fgColor rgb="FF60962F"/>
        <bgColor indexed="64"/>
      </patternFill>
    </fill>
    <fill>
      <patternFill patternType="solid">
        <fgColor rgb="FF5E932F"/>
        <bgColor indexed="64"/>
      </patternFill>
    </fill>
    <fill>
      <patternFill patternType="solid">
        <fgColor rgb="FF639533"/>
        <bgColor indexed="64"/>
      </patternFill>
    </fill>
    <fill>
      <patternFill patternType="solid">
        <fgColor rgb="FF629535"/>
        <bgColor indexed="64"/>
      </patternFill>
    </fill>
    <fill>
      <patternFill patternType="solid">
        <fgColor rgb="FF629732"/>
        <bgColor indexed="64"/>
      </patternFill>
    </fill>
    <fill>
      <patternFill patternType="solid">
        <fgColor rgb="FF649834"/>
        <bgColor indexed="64"/>
      </patternFill>
    </fill>
    <fill>
      <patternFill patternType="solid">
        <fgColor rgb="FF649936"/>
        <bgColor indexed="64"/>
      </patternFill>
    </fill>
    <fill>
      <patternFill patternType="solid">
        <fgColor rgb="FF669A37"/>
        <bgColor indexed="64"/>
      </patternFill>
    </fill>
    <fill>
      <patternFill patternType="solid">
        <fgColor rgb="FF669A36"/>
        <bgColor indexed="64"/>
      </patternFill>
    </fill>
    <fill>
      <patternFill patternType="solid">
        <fgColor rgb="FF6B9E36"/>
        <bgColor indexed="64"/>
      </patternFill>
    </fill>
    <fill>
      <patternFill patternType="solid">
        <fgColor rgb="FF669736"/>
        <bgColor indexed="64"/>
      </patternFill>
    </fill>
    <fill>
      <patternFill patternType="solid">
        <fgColor rgb="FF6B9F3C"/>
        <bgColor indexed="64"/>
      </patternFill>
    </fill>
    <fill>
      <patternFill patternType="solid">
        <fgColor rgb="FF6EA13A"/>
        <bgColor indexed="64"/>
      </patternFill>
    </fill>
    <fill>
      <patternFill patternType="solid">
        <fgColor rgb="FF6FA23A"/>
        <bgColor indexed="64"/>
      </patternFill>
    </fill>
    <fill>
      <patternFill patternType="solid">
        <fgColor rgb="FF7BAD44"/>
        <bgColor indexed="64"/>
      </patternFill>
    </fill>
    <fill>
      <patternFill patternType="solid">
        <fgColor rgb="FF598337"/>
        <bgColor indexed="64"/>
      </patternFill>
    </fill>
    <fill>
      <patternFill patternType="solid">
        <fgColor rgb="FF0F0F00"/>
        <bgColor indexed="64"/>
      </patternFill>
    </fill>
    <fill>
      <patternFill patternType="solid">
        <fgColor rgb="FF414414"/>
        <bgColor indexed="64"/>
      </patternFill>
    </fill>
    <fill>
      <patternFill patternType="solid">
        <fgColor rgb="FF5E8932"/>
        <bgColor indexed="64"/>
      </patternFill>
    </fill>
    <fill>
      <patternFill patternType="solid">
        <fgColor rgb="FF5F9133"/>
        <bgColor indexed="64"/>
      </patternFill>
    </fill>
    <fill>
      <patternFill patternType="solid">
        <fgColor rgb="FF5E9132"/>
        <bgColor indexed="64"/>
      </patternFill>
    </fill>
    <fill>
      <patternFill patternType="solid">
        <fgColor rgb="FF6EA135"/>
        <bgColor indexed="64"/>
      </patternFill>
    </fill>
    <fill>
      <patternFill patternType="solid">
        <fgColor rgb="FF6BA138"/>
        <bgColor indexed="64"/>
      </patternFill>
    </fill>
    <fill>
      <patternFill patternType="solid">
        <fgColor rgb="FF61822E"/>
        <bgColor indexed="64"/>
      </patternFill>
    </fill>
    <fill>
      <patternFill patternType="solid">
        <fgColor rgb="FFE5DA33"/>
        <bgColor indexed="64"/>
      </patternFill>
    </fill>
    <fill>
      <patternFill patternType="solid">
        <fgColor rgb="FFB0B12C"/>
        <bgColor indexed="64"/>
      </patternFill>
    </fill>
    <fill>
      <patternFill patternType="solid">
        <fgColor rgb="FF54812F"/>
        <bgColor indexed="64"/>
      </patternFill>
    </fill>
    <fill>
      <patternFill patternType="solid">
        <fgColor rgb="FF659937"/>
        <bgColor indexed="64"/>
      </patternFill>
    </fill>
    <fill>
      <patternFill patternType="solid">
        <fgColor rgb="FF629836"/>
        <bgColor indexed="64"/>
      </patternFill>
    </fill>
    <fill>
      <patternFill patternType="solid">
        <fgColor rgb="FF639839"/>
        <bgColor indexed="64"/>
      </patternFill>
    </fill>
    <fill>
      <patternFill patternType="solid">
        <fgColor rgb="FF619738"/>
        <bgColor indexed="64"/>
      </patternFill>
    </fill>
    <fill>
      <patternFill patternType="solid">
        <fgColor rgb="FF649A39"/>
        <bgColor indexed="64"/>
      </patternFill>
    </fill>
    <fill>
      <patternFill patternType="solid">
        <fgColor rgb="FF588A33"/>
        <bgColor indexed="64"/>
      </patternFill>
    </fill>
    <fill>
      <patternFill patternType="solid">
        <fgColor rgb="FF354015"/>
        <bgColor indexed="64"/>
      </patternFill>
    </fill>
    <fill>
      <patternFill patternType="solid">
        <fgColor rgb="FFB2AA2C"/>
        <bgColor indexed="64"/>
      </patternFill>
    </fill>
    <fill>
      <patternFill patternType="solid">
        <fgColor rgb="FF687F25"/>
        <bgColor indexed="64"/>
      </patternFill>
    </fill>
    <fill>
      <patternFill patternType="solid">
        <fgColor rgb="FF5F963C"/>
        <bgColor indexed="64"/>
      </patternFill>
    </fill>
    <fill>
      <patternFill patternType="solid">
        <fgColor rgb="FF649A3C"/>
        <bgColor indexed="64"/>
      </patternFill>
    </fill>
    <fill>
      <patternFill patternType="solid">
        <fgColor rgb="FF62993C"/>
        <bgColor indexed="64"/>
      </patternFill>
    </fill>
    <fill>
      <patternFill patternType="solid">
        <fgColor rgb="FF60973D"/>
        <bgColor indexed="64"/>
      </patternFill>
    </fill>
    <fill>
      <patternFill patternType="solid">
        <fgColor rgb="FF629B40"/>
        <bgColor indexed="64"/>
      </patternFill>
    </fill>
    <fill>
      <patternFill patternType="solid">
        <fgColor rgb="FF577A33"/>
        <bgColor indexed="64"/>
      </patternFill>
    </fill>
    <fill>
      <patternFill patternType="solid">
        <fgColor rgb="FF595B1E"/>
        <bgColor indexed="64"/>
      </patternFill>
    </fill>
    <fill>
      <patternFill patternType="solid">
        <fgColor rgb="FF617422"/>
        <bgColor indexed="64"/>
      </patternFill>
    </fill>
    <fill>
      <patternFill patternType="solid">
        <fgColor rgb="FF4D852A"/>
        <bgColor indexed="64"/>
      </patternFill>
    </fill>
    <fill>
      <patternFill patternType="solid">
        <fgColor rgb="FF588F34"/>
        <bgColor indexed="64"/>
      </patternFill>
    </fill>
    <fill>
      <patternFill patternType="solid">
        <fgColor rgb="FF508C32"/>
        <bgColor indexed="64"/>
      </patternFill>
    </fill>
    <fill>
      <patternFill patternType="solid">
        <fgColor rgb="FF528B32"/>
        <bgColor indexed="64"/>
      </patternFill>
    </fill>
    <fill>
      <patternFill patternType="solid">
        <fgColor rgb="FF4F8A31"/>
        <bgColor indexed="64"/>
      </patternFill>
    </fill>
    <fill>
      <patternFill patternType="solid">
        <fgColor rgb="FF518E31"/>
        <bgColor indexed="64"/>
      </patternFill>
    </fill>
    <fill>
      <patternFill patternType="solid">
        <fgColor rgb="FF407226"/>
        <bgColor indexed="64"/>
      </patternFill>
    </fill>
    <fill>
      <patternFill patternType="solid">
        <fgColor rgb="FF585F20"/>
        <bgColor indexed="64"/>
      </patternFill>
    </fill>
    <fill>
      <patternFill patternType="solid">
        <fgColor rgb="FF575C1C"/>
        <bgColor indexed="64"/>
      </patternFill>
    </fill>
    <fill>
      <patternFill patternType="solid">
        <fgColor rgb="FF2F611E"/>
        <bgColor indexed="64"/>
      </patternFill>
    </fill>
    <fill>
      <patternFill patternType="solid">
        <fgColor rgb="FF48852A"/>
        <bgColor indexed="64"/>
      </patternFill>
    </fill>
    <fill>
      <patternFill patternType="solid">
        <fgColor rgb="FF427E26"/>
        <bgColor indexed="64"/>
      </patternFill>
    </fill>
    <fill>
      <patternFill patternType="solid">
        <fgColor rgb="FF437F29"/>
        <bgColor indexed="64"/>
      </patternFill>
    </fill>
    <fill>
      <patternFill patternType="solid">
        <fgColor rgb="FF45802D"/>
        <bgColor indexed="64"/>
      </patternFill>
    </fill>
    <fill>
      <patternFill patternType="solid">
        <fgColor rgb="FF44812D"/>
        <bgColor indexed="64"/>
      </patternFill>
    </fill>
    <fill>
      <patternFill patternType="solid">
        <fgColor rgb="FF448029"/>
        <bgColor indexed="64"/>
      </patternFill>
    </fill>
    <fill>
      <patternFill patternType="solid">
        <fgColor rgb="FF428029"/>
        <bgColor indexed="64"/>
      </patternFill>
    </fill>
    <fill>
      <patternFill patternType="solid">
        <fgColor rgb="FF417F2C"/>
        <bgColor indexed="64"/>
      </patternFill>
    </fill>
    <fill>
      <patternFill patternType="solid">
        <fgColor rgb="FF3F7D2C"/>
        <bgColor indexed="64"/>
      </patternFill>
    </fill>
    <fill>
      <patternFill patternType="solid">
        <fgColor rgb="FFA5611F"/>
        <bgColor indexed="64"/>
      </patternFill>
    </fill>
    <fill>
      <patternFill patternType="solid">
        <fgColor rgb="FF756A21"/>
        <bgColor indexed="64"/>
      </patternFill>
    </fill>
    <fill>
      <patternFill patternType="solid">
        <fgColor rgb="FF867B26"/>
        <bgColor indexed="64"/>
      </patternFill>
    </fill>
    <fill>
      <patternFill patternType="solid">
        <fgColor rgb="FF6C7021"/>
        <bgColor indexed="64"/>
      </patternFill>
    </fill>
    <fill>
      <patternFill patternType="solid">
        <fgColor rgb="FF557D26"/>
        <bgColor indexed="64"/>
      </patternFill>
    </fill>
    <fill>
      <patternFill patternType="solid">
        <fgColor rgb="FF599531"/>
        <bgColor indexed="64"/>
      </patternFill>
    </fill>
    <fill>
      <patternFill patternType="solid">
        <fgColor rgb="FF505E1F"/>
        <bgColor indexed="64"/>
      </patternFill>
    </fill>
    <fill>
      <patternFill patternType="solid">
        <fgColor rgb="FF6D772A"/>
        <bgColor indexed="64"/>
      </patternFill>
    </fill>
    <fill>
      <patternFill patternType="solid">
        <fgColor rgb="FF679A2F"/>
        <bgColor indexed="64"/>
      </patternFill>
    </fill>
    <fill>
      <patternFill patternType="solid">
        <fgColor rgb="FF6A9D30"/>
        <bgColor indexed="64"/>
      </patternFill>
    </fill>
    <fill>
      <patternFill patternType="solid">
        <fgColor rgb="FF649A2E"/>
        <bgColor indexed="64"/>
      </patternFill>
    </fill>
    <fill>
      <patternFill patternType="solid">
        <fgColor rgb="FF669B31"/>
        <bgColor indexed="64"/>
      </patternFill>
    </fill>
    <fill>
      <patternFill patternType="solid">
        <fgColor rgb="FF557929"/>
        <bgColor indexed="64"/>
      </patternFill>
    </fill>
    <fill>
      <patternFill patternType="solid">
        <fgColor rgb="FF887F2C"/>
        <bgColor indexed="64"/>
      </patternFill>
    </fill>
    <fill>
      <patternFill patternType="solid">
        <fgColor rgb="FF9B9727"/>
        <bgColor indexed="64"/>
      </patternFill>
    </fill>
    <fill>
      <patternFill patternType="solid">
        <fgColor rgb="FFB2AE2C"/>
        <bgColor indexed="64"/>
      </patternFill>
    </fill>
    <fill>
      <patternFill patternType="solid">
        <fgColor rgb="FF425A1E"/>
        <bgColor indexed="64"/>
      </patternFill>
    </fill>
    <fill>
      <patternFill patternType="solid">
        <fgColor rgb="FF669A35"/>
        <bgColor indexed="64"/>
      </patternFill>
    </fill>
    <fill>
      <patternFill patternType="solid">
        <fgColor rgb="FF629730"/>
        <bgColor indexed="64"/>
      </patternFill>
    </fill>
    <fill>
      <patternFill patternType="solid">
        <fgColor rgb="FF609532"/>
        <bgColor indexed="64"/>
      </patternFill>
    </fill>
    <fill>
      <patternFill patternType="solid">
        <fgColor rgb="FF639733"/>
        <bgColor indexed="64"/>
      </patternFill>
    </fill>
    <fill>
      <patternFill patternType="solid">
        <fgColor rgb="FF639634"/>
        <bgColor indexed="64"/>
      </patternFill>
    </fill>
    <fill>
      <patternFill patternType="solid">
        <fgColor rgb="FF639731"/>
        <bgColor indexed="64"/>
      </patternFill>
    </fill>
    <fill>
      <patternFill patternType="solid">
        <fgColor rgb="FF669836"/>
        <bgColor indexed="64"/>
      </patternFill>
    </fill>
    <fill>
      <patternFill patternType="solid">
        <fgColor rgb="FF679A39"/>
        <bgColor indexed="64"/>
      </patternFill>
    </fill>
    <fill>
      <patternFill patternType="solid">
        <fgColor rgb="FF679939"/>
        <bgColor indexed="64"/>
      </patternFill>
    </fill>
    <fill>
      <patternFill patternType="solid">
        <fgColor rgb="FF6A9A3B"/>
        <bgColor indexed="64"/>
      </patternFill>
    </fill>
    <fill>
      <patternFill patternType="solid">
        <fgColor rgb="FF4F672F"/>
        <bgColor indexed="64"/>
      </patternFill>
    </fill>
    <fill>
      <patternFill patternType="solid">
        <fgColor rgb="FF6A963F"/>
        <bgColor indexed="64"/>
      </patternFill>
    </fill>
    <fill>
      <patternFill patternType="solid">
        <fgColor rgb="FF6A9D3C"/>
        <bgColor indexed="64"/>
      </patternFill>
    </fill>
    <fill>
      <patternFill patternType="solid">
        <fgColor rgb="FF6B9D3C"/>
        <bgColor indexed="64"/>
      </patternFill>
    </fill>
    <fill>
      <patternFill patternType="solid">
        <fgColor rgb="FF719F3C"/>
        <bgColor indexed="64"/>
      </patternFill>
    </fill>
    <fill>
      <patternFill patternType="solid">
        <fgColor rgb="FF5D8C35"/>
        <bgColor indexed="64"/>
      </patternFill>
    </fill>
    <fill>
      <patternFill patternType="solid">
        <fgColor rgb="FF5E633E"/>
        <bgColor indexed="64"/>
      </patternFill>
    </fill>
    <fill>
      <patternFill patternType="solid">
        <fgColor rgb="FF563A44"/>
        <bgColor indexed="64"/>
      </patternFill>
    </fill>
    <fill>
      <patternFill patternType="solid">
        <fgColor rgb="FF3E273B"/>
        <bgColor indexed="64"/>
      </patternFill>
    </fill>
    <fill>
      <patternFill patternType="solid">
        <fgColor rgb="FF353B22"/>
        <bgColor indexed="64"/>
      </patternFill>
    </fill>
    <fill>
      <patternFill patternType="solid">
        <fgColor rgb="FF3B631B"/>
        <bgColor indexed="64"/>
      </patternFill>
    </fill>
    <fill>
      <patternFill patternType="solid">
        <fgColor rgb="FF58892D"/>
        <bgColor indexed="64"/>
      </patternFill>
    </fill>
    <fill>
      <patternFill patternType="solid">
        <fgColor rgb="FF6CA43C"/>
        <bgColor indexed="64"/>
      </patternFill>
    </fill>
    <fill>
      <patternFill patternType="solid">
        <fgColor rgb="FF4A6C29"/>
        <bgColor indexed="64"/>
      </patternFill>
    </fill>
    <fill>
      <patternFill patternType="solid">
        <fgColor rgb="FF847C1F"/>
        <bgColor indexed="64"/>
      </patternFill>
    </fill>
    <fill>
      <patternFill patternType="solid">
        <fgColor rgb="FFA5A82D"/>
        <bgColor indexed="64"/>
      </patternFill>
    </fill>
    <fill>
      <patternFill patternType="solid">
        <fgColor rgb="FF527F31"/>
        <bgColor indexed="64"/>
      </patternFill>
    </fill>
    <fill>
      <patternFill patternType="solid">
        <fgColor rgb="FF6A9F39"/>
        <bgColor indexed="64"/>
      </patternFill>
    </fill>
    <fill>
      <patternFill patternType="solid">
        <fgColor rgb="FF639A36"/>
        <bgColor indexed="64"/>
      </patternFill>
    </fill>
    <fill>
      <patternFill patternType="solid">
        <fgColor rgb="FF639739"/>
        <bgColor indexed="64"/>
      </patternFill>
    </fill>
    <fill>
      <patternFill patternType="solid">
        <fgColor rgb="FF619837"/>
        <bgColor indexed="64"/>
      </patternFill>
    </fill>
    <fill>
      <patternFill patternType="solid">
        <fgColor rgb="FF629739"/>
        <bgColor indexed="64"/>
      </patternFill>
    </fill>
    <fill>
      <patternFill patternType="solid">
        <fgColor rgb="FF588B32"/>
        <bgColor indexed="64"/>
      </patternFill>
    </fill>
    <fill>
      <patternFill patternType="solid">
        <fgColor rgb="FF202D0D"/>
        <bgColor indexed="64"/>
      </patternFill>
    </fill>
    <fill>
      <patternFill patternType="solid">
        <fgColor rgb="FF72701F"/>
        <bgColor indexed="64"/>
      </patternFill>
    </fill>
    <fill>
      <patternFill patternType="solid">
        <fgColor rgb="FF69842C"/>
        <bgColor indexed="64"/>
      </patternFill>
    </fill>
    <fill>
      <patternFill patternType="solid">
        <fgColor rgb="FF5E973A"/>
        <bgColor indexed="64"/>
      </patternFill>
    </fill>
    <fill>
      <patternFill patternType="solid">
        <fgColor rgb="FF63993C"/>
        <bgColor indexed="64"/>
      </patternFill>
    </fill>
    <fill>
      <patternFill patternType="solid">
        <fgColor rgb="FF61983D"/>
        <bgColor indexed="64"/>
      </patternFill>
    </fill>
    <fill>
      <patternFill patternType="solid">
        <fgColor rgb="FF60973E"/>
        <bgColor indexed="64"/>
      </patternFill>
    </fill>
    <fill>
      <patternFill patternType="solid">
        <fgColor rgb="FF66842E"/>
        <bgColor indexed="64"/>
      </patternFill>
    </fill>
    <fill>
      <patternFill patternType="solid">
        <fgColor rgb="FFC5C330"/>
        <bgColor indexed="64"/>
      </patternFill>
    </fill>
    <fill>
      <patternFill patternType="solid">
        <fgColor rgb="FF7D9126"/>
        <bgColor indexed="64"/>
      </patternFill>
    </fill>
    <fill>
      <patternFill patternType="solid">
        <fgColor rgb="FF48842C"/>
        <bgColor indexed="64"/>
      </patternFill>
    </fill>
    <fill>
      <patternFill patternType="solid">
        <fgColor rgb="FF568F34"/>
        <bgColor indexed="64"/>
      </patternFill>
    </fill>
    <fill>
      <patternFill patternType="solid">
        <fgColor rgb="FF538D32"/>
        <bgColor indexed="64"/>
      </patternFill>
    </fill>
    <fill>
      <patternFill patternType="solid">
        <fgColor rgb="FF518930"/>
        <bgColor indexed="64"/>
      </patternFill>
    </fill>
    <fill>
      <patternFill patternType="solid">
        <fgColor rgb="FF4F892E"/>
        <bgColor indexed="64"/>
      </patternFill>
    </fill>
    <fill>
      <patternFill patternType="solid">
        <fgColor rgb="FF508E2C"/>
        <bgColor indexed="64"/>
      </patternFill>
    </fill>
    <fill>
      <patternFill patternType="solid">
        <fgColor rgb="FF3E7126"/>
        <bgColor indexed="64"/>
      </patternFill>
    </fill>
    <fill>
      <patternFill patternType="solid">
        <fgColor rgb="FF232A0E"/>
        <bgColor indexed="64"/>
      </patternFill>
    </fill>
    <fill>
      <patternFill patternType="solid">
        <fgColor rgb="FF3A3B12"/>
        <bgColor indexed="64"/>
      </patternFill>
    </fill>
    <fill>
      <patternFill patternType="solid">
        <fgColor rgb="FF30601D"/>
        <bgColor indexed="64"/>
      </patternFill>
    </fill>
    <fill>
      <patternFill patternType="solid">
        <fgColor rgb="FF468227"/>
        <bgColor indexed="64"/>
      </patternFill>
    </fill>
    <fill>
      <patternFill patternType="solid">
        <fgColor rgb="FF437E26"/>
        <bgColor indexed="64"/>
      </patternFill>
    </fill>
    <fill>
      <patternFill patternType="solid">
        <fgColor rgb="FF437D26"/>
        <bgColor indexed="64"/>
      </patternFill>
    </fill>
    <fill>
      <patternFill patternType="solid">
        <fgColor rgb="FF417E26"/>
        <bgColor indexed="64"/>
      </patternFill>
    </fill>
    <fill>
      <patternFill patternType="solid">
        <fgColor rgb="FF437E2A"/>
        <bgColor indexed="64"/>
      </patternFill>
    </fill>
    <fill>
      <patternFill patternType="solid">
        <fgColor rgb="FF427D28"/>
        <bgColor indexed="64"/>
      </patternFill>
    </fill>
    <fill>
      <patternFill patternType="solid">
        <fgColor rgb="FF407D27"/>
        <bgColor indexed="64"/>
      </patternFill>
    </fill>
    <fill>
      <patternFill patternType="solid">
        <fgColor rgb="FF407D29"/>
        <bgColor indexed="64"/>
      </patternFill>
    </fill>
    <fill>
      <patternFill patternType="solid">
        <fgColor rgb="FF3D7B28"/>
        <bgColor indexed="64"/>
      </patternFill>
    </fill>
    <fill>
      <patternFill patternType="solid">
        <fgColor rgb="FFF7842B"/>
        <bgColor indexed="64"/>
      </patternFill>
    </fill>
    <fill>
      <patternFill patternType="solid">
        <fgColor rgb="FFFC802C"/>
        <bgColor indexed="64"/>
      </patternFill>
    </fill>
    <fill>
      <patternFill patternType="solid">
        <fgColor rgb="FFFD7C2B"/>
        <bgColor indexed="64"/>
      </patternFill>
    </fill>
    <fill>
      <patternFill patternType="solid">
        <fgColor rgb="FFF07828"/>
        <bgColor indexed="64"/>
      </patternFill>
    </fill>
    <fill>
      <patternFill patternType="solid">
        <fgColor rgb="FFC46C23"/>
        <bgColor indexed="64"/>
      </patternFill>
    </fill>
    <fill>
      <patternFill patternType="solid">
        <fgColor rgb="FF896821"/>
        <bgColor indexed="64"/>
      </patternFill>
    </fill>
    <fill>
      <patternFill patternType="solid">
        <fgColor rgb="FF745C20"/>
        <bgColor indexed="64"/>
      </patternFill>
    </fill>
    <fill>
      <patternFill patternType="solid">
        <fgColor rgb="FF54581C"/>
        <bgColor indexed="64"/>
      </patternFill>
    </fill>
    <fill>
      <patternFill patternType="solid">
        <fgColor rgb="FF5B8E2C"/>
        <bgColor indexed="64"/>
      </patternFill>
    </fill>
    <fill>
      <patternFill patternType="solid">
        <fgColor rgb="FF5C932C"/>
        <bgColor indexed="64"/>
      </patternFill>
    </fill>
    <fill>
      <patternFill patternType="solid">
        <fgColor rgb="FF5E8D2C"/>
        <bgColor indexed="64"/>
      </patternFill>
    </fill>
    <fill>
      <patternFill patternType="solid">
        <fgColor rgb="FF5C8B2A"/>
        <bgColor indexed="64"/>
      </patternFill>
    </fill>
    <fill>
      <patternFill patternType="solid">
        <fgColor rgb="FF6B9E34"/>
        <bgColor indexed="64"/>
      </patternFill>
    </fill>
    <fill>
      <patternFill patternType="solid">
        <fgColor rgb="FFA29828"/>
        <bgColor indexed="64"/>
      </patternFill>
    </fill>
    <fill>
      <patternFill patternType="solid">
        <fgColor rgb="FFFCF536"/>
        <bgColor indexed="64"/>
      </patternFill>
    </fill>
    <fill>
      <patternFill patternType="solid">
        <fgColor rgb="FFD9D130"/>
        <bgColor indexed="64"/>
      </patternFill>
    </fill>
    <fill>
      <patternFill patternType="solid">
        <fgColor rgb="FF475D20"/>
        <bgColor indexed="64"/>
      </patternFill>
    </fill>
    <fill>
      <patternFill patternType="solid">
        <fgColor rgb="FF649733"/>
        <bgColor indexed="64"/>
      </patternFill>
    </fill>
    <fill>
      <patternFill patternType="solid">
        <fgColor rgb="FF619533"/>
        <bgColor indexed="64"/>
      </patternFill>
    </fill>
    <fill>
      <patternFill patternType="solid">
        <fgColor rgb="FF629634"/>
        <bgColor indexed="64"/>
      </patternFill>
    </fill>
    <fill>
      <patternFill patternType="solid">
        <fgColor rgb="FF629533"/>
        <bgColor indexed="64"/>
      </patternFill>
    </fill>
    <fill>
      <patternFill patternType="solid">
        <fgColor rgb="FF619534"/>
        <bgColor indexed="64"/>
      </patternFill>
    </fill>
    <fill>
      <patternFill patternType="solid">
        <fgColor rgb="FF629736"/>
        <bgColor indexed="64"/>
      </patternFill>
    </fill>
    <fill>
      <patternFill patternType="solid">
        <fgColor rgb="FF659839"/>
        <bgColor indexed="64"/>
      </patternFill>
    </fill>
    <fill>
      <patternFill patternType="solid">
        <fgColor rgb="FF659838"/>
        <bgColor indexed="64"/>
      </patternFill>
    </fill>
    <fill>
      <patternFill patternType="solid">
        <fgColor rgb="FF649838"/>
        <bgColor indexed="64"/>
      </patternFill>
    </fill>
    <fill>
      <patternFill patternType="solid">
        <fgColor rgb="FF659A37"/>
        <bgColor indexed="64"/>
      </patternFill>
    </fill>
    <fill>
      <patternFill patternType="solid">
        <fgColor rgb="FF639637"/>
        <bgColor indexed="64"/>
      </patternFill>
    </fill>
    <fill>
      <patternFill patternType="solid">
        <fgColor rgb="FF689E3A"/>
        <bgColor indexed="64"/>
      </patternFill>
    </fill>
    <fill>
      <patternFill patternType="solid">
        <fgColor rgb="FF668D40"/>
        <bgColor indexed="64"/>
      </patternFill>
    </fill>
    <fill>
      <patternFill patternType="solid">
        <fgColor rgb="FF3E362E"/>
        <bgColor indexed="64"/>
      </patternFill>
    </fill>
    <fill>
      <patternFill patternType="solid">
        <fgColor rgb="FF64873B"/>
        <bgColor indexed="64"/>
      </patternFill>
    </fill>
    <fill>
      <patternFill patternType="solid">
        <fgColor rgb="FF6DA33B"/>
        <bgColor indexed="64"/>
      </patternFill>
    </fill>
    <fill>
      <patternFill patternType="solid">
        <fgColor rgb="FF6C9F3F"/>
        <bgColor indexed="64"/>
      </patternFill>
    </fill>
    <fill>
      <patternFill patternType="solid">
        <fgColor rgb="FF699F3E"/>
        <bgColor indexed="64"/>
      </patternFill>
    </fill>
    <fill>
      <patternFill patternType="solid">
        <fgColor rgb="FF5F743E"/>
        <bgColor indexed="64"/>
      </patternFill>
    </fill>
    <fill>
      <patternFill patternType="solid">
        <fgColor rgb="FF725261"/>
        <bgColor indexed="64"/>
      </patternFill>
    </fill>
    <fill>
      <patternFill patternType="solid">
        <fgColor rgb="FF996093"/>
        <bgColor indexed="64"/>
      </patternFill>
    </fill>
    <fill>
      <patternFill patternType="solid">
        <fgColor rgb="FF714C78"/>
        <bgColor indexed="64"/>
      </patternFill>
    </fill>
    <fill>
      <patternFill patternType="solid">
        <fgColor rgb="FF2B2023"/>
        <bgColor indexed="64"/>
      </patternFill>
    </fill>
    <fill>
      <patternFill patternType="solid">
        <fgColor rgb="FF4B5026"/>
        <bgColor indexed="64"/>
      </patternFill>
    </fill>
    <fill>
      <patternFill patternType="solid">
        <fgColor rgb="FF4D5934"/>
        <bgColor indexed="64"/>
      </patternFill>
    </fill>
    <fill>
      <patternFill patternType="solid">
        <fgColor rgb="FF405F24"/>
        <bgColor indexed="64"/>
      </patternFill>
    </fill>
    <fill>
      <patternFill patternType="solid">
        <fgColor rgb="FF588A2E"/>
        <bgColor indexed="64"/>
      </patternFill>
    </fill>
    <fill>
      <patternFill patternType="solid">
        <fgColor rgb="FF6BA23B"/>
        <bgColor indexed="64"/>
      </patternFill>
    </fill>
    <fill>
      <patternFill patternType="solid">
        <fgColor rgb="FF416224"/>
        <bgColor indexed="64"/>
      </patternFill>
    </fill>
    <fill>
      <patternFill patternType="solid">
        <fgColor rgb="FF5E5715"/>
        <bgColor indexed="64"/>
      </patternFill>
    </fill>
    <fill>
      <patternFill patternType="solid">
        <fgColor rgb="FF929428"/>
        <bgColor indexed="64"/>
      </patternFill>
    </fill>
    <fill>
      <patternFill patternType="solid">
        <fgColor rgb="FF53812F"/>
        <bgColor indexed="64"/>
      </patternFill>
    </fill>
    <fill>
      <patternFill patternType="solid">
        <fgColor rgb="FF629838"/>
        <bgColor indexed="64"/>
      </patternFill>
    </fill>
    <fill>
      <patternFill patternType="solid">
        <fgColor rgb="FF619638"/>
        <bgColor indexed="64"/>
      </patternFill>
    </fill>
    <fill>
      <patternFill patternType="solid">
        <fgColor rgb="FF5F9537"/>
        <bgColor indexed="64"/>
      </patternFill>
    </fill>
    <fill>
      <patternFill patternType="solid">
        <fgColor rgb="FF61993A"/>
        <bgColor indexed="64"/>
      </patternFill>
    </fill>
    <fill>
      <patternFill patternType="solid">
        <fgColor rgb="FF50802E"/>
        <bgColor indexed="64"/>
      </patternFill>
    </fill>
    <fill>
      <patternFill patternType="solid">
        <fgColor rgb="FF071001"/>
        <bgColor indexed="64"/>
      </patternFill>
    </fill>
    <fill>
      <patternFill patternType="solid">
        <fgColor rgb="FF777420"/>
        <bgColor indexed="64"/>
      </patternFill>
    </fill>
    <fill>
      <patternFill patternType="solid">
        <fgColor rgb="FF6E892C"/>
        <bgColor indexed="64"/>
      </patternFill>
    </fill>
    <fill>
      <patternFill patternType="solid">
        <fgColor rgb="FF5F983B"/>
        <bgColor indexed="64"/>
      </patternFill>
    </fill>
    <fill>
      <patternFill patternType="solid">
        <fgColor rgb="FF5F973C"/>
        <bgColor indexed="64"/>
      </patternFill>
    </fill>
    <fill>
      <patternFill patternType="solid">
        <fgColor rgb="FF62983A"/>
        <bgColor indexed="64"/>
      </patternFill>
    </fill>
    <fill>
      <patternFill patternType="solid">
        <fgColor rgb="FF5C923B"/>
        <bgColor indexed="64"/>
      </patternFill>
    </fill>
    <fill>
      <patternFill patternType="solid">
        <fgColor rgb="FF708927"/>
        <bgColor indexed="64"/>
      </patternFill>
    </fill>
    <fill>
      <patternFill patternType="solid">
        <fgColor rgb="FFECE634"/>
        <bgColor indexed="64"/>
      </patternFill>
    </fill>
    <fill>
      <patternFill patternType="solid">
        <fgColor rgb="FF627921"/>
        <bgColor indexed="64"/>
      </patternFill>
    </fill>
    <fill>
      <patternFill patternType="solid">
        <fgColor rgb="FF49872E"/>
        <bgColor indexed="64"/>
      </patternFill>
    </fill>
    <fill>
      <patternFill patternType="solid">
        <fgColor rgb="FF558D33"/>
        <bgColor indexed="64"/>
      </patternFill>
    </fill>
    <fill>
      <patternFill patternType="solid">
        <fgColor rgb="FF548A33"/>
        <bgColor indexed="64"/>
      </patternFill>
    </fill>
    <fill>
      <patternFill patternType="solid">
        <fgColor rgb="FF508A31"/>
        <bgColor indexed="64"/>
      </patternFill>
    </fill>
    <fill>
      <patternFill patternType="solid">
        <fgColor rgb="FF4F8B2F"/>
        <bgColor indexed="64"/>
      </patternFill>
    </fill>
    <fill>
      <patternFill patternType="solid">
        <fgColor rgb="FF4E8A2F"/>
        <bgColor indexed="64"/>
      </patternFill>
    </fill>
    <fill>
      <patternFill patternType="solid">
        <fgColor rgb="FF4D8C2B"/>
        <bgColor indexed="64"/>
      </patternFill>
    </fill>
    <fill>
      <patternFill patternType="solid">
        <fgColor rgb="FF457B28"/>
        <bgColor indexed="64"/>
      </patternFill>
    </fill>
    <fill>
      <patternFill patternType="solid">
        <fgColor rgb="FF18240E"/>
        <bgColor indexed="64"/>
      </patternFill>
    </fill>
    <fill>
      <patternFill patternType="solid">
        <fgColor rgb="FF0D1204"/>
        <bgColor indexed="64"/>
      </patternFill>
    </fill>
    <fill>
      <patternFill patternType="solid">
        <fgColor rgb="FF2E591C"/>
        <bgColor indexed="64"/>
      </patternFill>
    </fill>
    <fill>
      <patternFill patternType="solid">
        <fgColor rgb="FF458225"/>
        <bgColor indexed="64"/>
      </patternFill>
    </fill>
    <fill>
      <patternFill patternType="solid">
        <fgColor rgb="FF417C25"/>
        <bgColor indexed="64"/>
      </patternFill>
    </fill>
    <fill>
      <patternFill patternType="solid">
        <fgColor rgb="FF437D27"/>
        <bgColor indexed="64"/>
      </patternFill>
    </fill>
    <fill>
      <patternFill patternType="solid">
        <fgColor rgb="FF437E27"/>
        <bgColor indexed="64"/>
      </patternFill>
    </fill>
    <fill>
      <patternFill patternType="solid">
        <fgColor rgb="FF417E28"/>
        <bgColor indexed="64"/>
      </patternFill>
    </fill>
    <fill>
      <patternFill patternType="solid">
        <fgColor rgb="FF417C27"/>
        <bgColor indexed="64"/>
      </patternFill>
    </fill>
    <fill>
      <patternFill patternType="solid">
        <fgColor rgb="FF407C25"/>
        <bgColor indexed="64"/>
      </patternFill>
    </fill>
    <fill>
      <patternFill patternType="solid">
        <fgColor rgb="FF3F7B29"/>
        <bgColor indexed="64"/>
      </patternFill>
    </fill>
    <fill>
      <patternFill patternType="solid">
        <fgColor rgb="FF3C792A"/>
        <bgColor indexed="64"/>
      </patternFill>
    </fill>
    <fill>
      <patternFill patternType="solid">
        <fgColor rgb="FFFC852E"/>
        <bgColor indexed="64"/>
      </patternFill>
    </fill>
    <fill>
      <patternFill patternType="solid">
        <fgColor rgb="FFF4812D"/>
        <bgColor indexed="64"/>
      </patternFill>
    </fill>
    <fill>
      <patternFill patternType="solid">
        <fgColor rgb="FFF77F2E"/>
        <bgColor indexed="64"/>
      </patternFill>
    </fill>
    <fill>
      <patternFill patternType="solid">
        <fgColor rgb="FFF9812E"/>
        <bgColor indexed="64"/>
      </patternFill>
    </fill>
    <fill>
      <patternFill patternType="solid">
        <fgColor rgb="FFFF842D"/>
        <bgColor indexed="64"/>
      </patternFill>
    </fill>
    <fill>
      <patternFill patternType="solid">
        <fgColor rgb="FFFF832F"/>
        <bgColor indexed="64"/>
      </patternFill>
    </fill>
    <fill>
      <patternFill patternType="solid">
        <fgColor rgb="FFFF852F"/>
        <bgColor indexed="64"/>
      </patternFill>
    </fill>
    <fill>
      <patternFill patternType="solid">
        <fgColor rgb="FFD17125"/>
        <bgColor indexed="64"/>
      </patternFill>
    </fill>
    <fill>
      <patternFill patternType="solid">
        <fgColor rgb="FFA5601F"/>
        <bgColor indexed="64"/>
      </patternFill>
    </fill>
    <fill>
      <patternFill patternType="solid">
        <fgColor rgb="FF7E531A"/>
        <bgColor indexed="64"/>
      </patternFill>
    </fill>
    <fill>
      <patternFill patternType="solid">
        <fgColor rgb="FF576C22"/>
        <bgColor indexed="64"/>
      </patternFill>
    </fill>
    <fill>
      <patternFill patternType="solid">
        <fgColor rgb="FF5F9131"/>
        <bgColor indexed="64"/>
      </patternFill>
    </fill>
    <fill>
      <patternFill patternType="solid">
        <fgColor rgb="FF4B7929"/>
        <bgColor indexed="64"/>
      </patternFill>
    </fill>
    <fill>
      <patternFill patternType="solid">
        <fgColor rgb="FF928E27"/>
        <bgColor indexed="64"/>
      </patternFill>
    </fill>
    <fill>
      <patternFill patternType="solid">
        <fgColor rgb="FFFEF636"/>
        <bgColor indexed="64"/>
      </patternFill>
    </fill>
    <fill>
      <patternFill patternType="solid">
        <fgColor rgb="FFD8D330"/>
        <bgColor indexed="64"/>
      </patternFill>
    </fill>
    <fill>
      <patternFill patternType="solid">
        <fgColor rgb="FF46581D"/>
        <bgColor indexed="64"/>
      </patternFill>
    </fill>
    <fill>
      <patternFill patternType="solid">
        <fgColor rgb="FF609531"/>
        <bgColor indexed="64"/>
      </patternFill>
    </fill>
    <fill>
      <patternFill patternType="solid">
        <fgColor rgb="FF609432"/>
        <bgColor indexed="64"/>
      </patternFill>
    </fill>
    <fill>
      <patternFill patternType="solid">
        <fgColor rgb="FF629534"/>
        <bgColor indexed="64"/>
      </patternFill>
    </fill>
    <fill>
      <patternFill patternType="solid">
        <fgColor rgb="FF609434"/>
        <bgColor indexed="64"/>
      </patternFill>
    </fill>
    <fill>
      <patternFill patternType="solid">
        <fgColor rgb="FF609534"/>
        <bgColor indexed="64"/>
      </patternFill>
    </fill>
    <fill>
      <patternFill patternType="solid">
        <fgColor rgb="FF619536"/>
        <bgColor indexed="64"/>
      </patternFill>
    </fill>
    <fill>
      <patternFill patternType="solid">
        <fgColor rgb="FF659638"/>
        <bgColor indexed="64"/>
      </patternFill>
    </fill>
    <fill>
      <patternFill patternType="solid">
        <fgColor rgb="FF659837"/>
        <bgColor indexed="64"/>
      </patternFill>
    </fill>
    <fill>
      <patternFill patternType="solid">
        <fgColor rgb="FF679A37"/>
        <bgColor indexed="64"/>
      </patternFill>
    </fill>
    <fill>
      <patternFill patternType="solid">
        <fgColor rgb="FF629536"/>
        <bgColor indexed="64"/>
      </patternFill>
    </fill>
    <fill>
      <patternFill patternType="solid">
        <fgColor rgb="FF69A138"/>
        <bgColor indexed="64"/>
      </patternFill>
    </fill>
    <fill>
      <patternFill patternType="solid">
        <fgColor rgb="FF5C7738"/>
        <bgColor indexed="64"/>
      </patternFill>
    </fill>
    <fill>
      <patternFill patternType="solid">
        <fgColor rgb="FF693F62"/>
        <bgColor indexed="64"/>
      </patternFill>
    </fill>
    <fill>
      <patternFill patternType="solid">
        <fgColor rgb="FF6F7850"/>
        <bgColor indexed="64"/>
      </patternFill>
    </fill>
    <fill>
      <patternFill patternType="solid">
        <fgColor rgb="FF65983A"/>
        <bgColor indexed="64"/>
      </patternFill>
    </fill>
    <fill>
      <patternFill patternType="solid">
        <fgColor rgb="FF626447"/>
        <bgColor indexed="64"/>
      </patternFill>
    </fill>
    <fill>
      <patternFill patternType="solid">
        <fgColor rgb="FF8C5B84"/>
        <bgColor indexed="64"/>
      </patternFill>
    </fill>
    <fill>
      <patternFill patternType="solid">
        <fgColor rgb="FFA0679F"/>
        <bgColor indexed="64"/>
      </patternFill>
    </fill>
    <fill>
      <patternFill patternType="solid">
        <fgColor rgb="FF895B8B"/>
        <bgColor indexed="64"/>
      </patternFill>
    </fill>
    <fill>
      <patternFill patternType="solid">
        <fgColor rgb="FF603E59"/>
        <bgColor indexed="64"/>
      </patternFill>
    </fill>
    <fill>
      <patternFill patternType="solid">
        <fgColor rgb="FF855875"/>
        <bgColor indexed="64"/>
      </patternFill>
    </fill>
    <fill>
      <patternFill patternType="solid">
        <fgColor rgb="FF684367"/>
        <bgColor indexed="64"/>
      </patternFill>
    </fill>
    <fill>
      <patternFill patternType="solid">
        <fgColor rgb="FF313526"/>
        <bgColor indexed="64"/>
      </patternFill>
    </fill>
    <fill>
      <patternFill patternType="solid">
        <fgColor rgb="FF446F21"/>
        <bgColor indexed="64"/>
      </patternFill>
    </fill>
    <fill>
      <patternFill patternType="solid">
        <fgColor rgb="FF639933"/>
        <bgColor indexed="64"/>
      </patternFill>
    </fill>
    <fill>
      <patternFill patternType="solid">
        <fgColor rgb="FF6CA23B"/>
        <bgColor indexed="64"/>
      </patternFill>
    </fill>
    <fill>
      <patternFill patternType="solid">
        <fgColor rgb="FF59762A"/>
        <bgColor indexed="64"/>
      </patternFill>
    </fill>
    <fill>
      <patternFill patternType="solid">
        <fgColor rgb="FF5B5015"/>
        <bgColor indexed="64"/>
      </patternFill>
    </fill>
    <fill>
      <patternFill patternType="solid">
        <fgColor rgb="FF5A581C"/>
        <bgColor indexed="64"/>
      </patternFill>
    </fill>
    <fill>
      <patternFill patternType="solid">
        <fgColor rgb="FF58832E"/>
        <bgColor indexed="64"/>
      </patternFill>
    </fill>
    <fill>
      <patternFill patternType="solid">
        <fgColor rgb="FF609637"/>
        <bgColor indexed="64"/>
      </patternFill>
    </fill>
    <fill>
      <patternFill patternType="solid">
        <fgColor rgb="FF609538"/>
        <bgColor indexed="64"/>
      </patternFill>
    </fill>
    <fill>
      <patternFill patternType="solid">
        <fgColor rgb="FF5E9438"/>
        <bgColor indexed="64"/>
      </patternFill>
    </fill>
    <fill>
      <patternFill patternType="solid">
        <fgColor rgb="FF619839"/>
        <bgColor indexed="64"/>
      </patternFill>
    </fill>
    <fill>
      <patternFill patternType="solid">
        <fgColor rgb="FF4D7A2B"/>
        <bgColor indexed="64"/>
      </patternFill>
    </fill>
    <fill>
      <patternFill patternType="solid">
        <fgColor rgb="FF131A06"/>
        <bgColor indexed="64"/>
      </patternFill>
    </fill>
    <fill>
      <patternFill patternType="solid">
        <fgColor rgb="FF423F10"/>
        <bgColor indexed="64"/>
      </patternFill>
    </fill>
    <fill>
      <patternFill patternType="solid">
        <fgColor rgb="FF446020"/>
        <bgColor indexed="64"/>
      </patternFill>
    </fill>
    <fill>
      <patternFill patternType="solid">
        <fgColor rgb="FF659D3F"/>
        <bgColor indexed="64"/>
      </patternFill>
    </fill>
    <fill>
      <patternFill patternType="solid">
        <fgColor rgb="FF60953E"/>
        <bgColor indexed="64"/>
      </patternFill>
    </fill>
    <fill>
      <patternFill patternType="solid">
        <fgColor rgb="FF60963B"/>
        <bgColor indexed="64"/>
      </patternFill>
    </fill>
    <fill>
      <patternFill patternType="solid">
        <fgColor rgb="FF649C3A"/>
        <bgColor indexed="64"/>
      </patternFill>
    </fill>
    <fill>
      <patternFill patternType="solid">
        <fgColor rgb="FF558A3B"/>
        <bgColor indexed="64"/>
      </patternFill>
    </fill>
    <fill>
      <patternFill patternType="solid">
        <fgColor rgb="FF788727"/>
        <bgColor indexed="64"/>
      </patternFill>
    </fill>
    <fill>
      <patternFill patternType="solid">
        <fgColor rgb="FFCCC630"/>
        <bgColor indexed="64"/>
      </patternFill>
    </fill>
    <fill>
      <patternFill patternType="solid">
        <fgColor rgb="FF4D661F"/>
        <bgColor indexed="64"/>
      </patternFill>
    </fill>
    <fill>
      <patternFill patternType="solid">
        <fgColor rgb="FF4D892F"/>
        <bgColor indexed="64"/>
      </patternFill>
    </fill>
    <fill>
      <patternFill patternType="solid">
        <fgColor rgb="FF528A30"/>
        <bgColor indexed="64"/>
      </patternFill>
    </fill>
    <fill>
      <patternFill patternType="solid">
        <fgColor rgb="FF508930"/>
        <bgColor indexed="64"/>
      </patternFill>
    </fill>
    <fill>
      <patternFill patternType="solid">
        <fgColor rgb="FF4E8A31"/>
        <bgColor indexed="64"/>
      </patternFill>
    </fill>
    <fill>
      <patternFill patternType="solid">
        <fgColor rgb="FF4E8A32"/>
        <bgColor indexed="64"/>
      </patternFill>
    </fill>
    <fill>
      <patternFill patternType="solid">
        <fgColor rgb="FF4E8A30"/>
        <bgColor indexed="64"/>
      </patternFill>
    </fill>
    <fill>
      <patternFill patternType="solid">
        <fgColor rgb="FF4F8B2B"/>
        <bgColor indexed="64"/>
      </patternFill>
    </fill>
    <fill>
      <patternFill patternType="solid">
        <fgColor rgb="FF477D29"/>
        <bgColor indexed="64"/>
      </patternFill>
    </fill>
    <fill>
      <patternFill patternType="solid">
        <fgColor rgb="FF41531D"/>
        <bgColor indexed="64"/>
      </patternFill>
    </fill>
    <fill>
      <patternFill patternType="solid">
        <fgColor rgb="FF5F621F"/>
        <bgColor indexed="64"/>
      </patternFill>
    </fill>
    <fill>
      <patternFill patternType="solid">
        <fgColor rgb="FF264E16"/>
        <bgColor indexed="64"/>
      </patternFill>
    </fill>
    <fill>
      <patternFill patternType="solid">
        <fgColor rgb="FF448223"/>
        <bgColor indexed="64"/>
      </patternFill>
    </fill>
    <fill>
      <patternFill patternType="solid">
        <fgColor rgb="FF407A22"/>
        <bgColor indexed="64"/>
      </patternFill>
    </fill>
    <fill>
      <patternFill patternType="solid">
        <fgColor rgb="FF427C24"/>
        <bgColor indexed="64"/>
      </patternFill>
    </fill>
    <fill>
      <patternFill patternType="solid">
        <fgColor rgb="FF437B25"/>
        <bgColor indexed="64"/>
      </patternFill>
    </fill>
    <fill>
      <patternFill patternType="solid">
        <fgColor rgb="FF427D25"/>
        <bgColor indexed="64"/>
      </patternFill>
    </fill>
    <fill>
      <patternFill patternType="solid">
        <fgColor rgb="FF407A26"/>
        <bgColor indexed="64"/>
      </patternFill>
    </fill>
    <fill>
      <patternFill patternType="solid">
        <fgColor rgb="FF407B26"/>
        <bgColor indexed="64"/>
      </patternFill>
    </fill>
    <fill>
      <patternFill patternType="solid">
        <fgColor rgb="FF3E7829"/>
        <bgColor indexed="64"/>
      </patternFill>
    </fill>
    <fill>
      <patternFill patternType="solid">
        <fgColor rgb="FF3A7528"/>
        <bgColor indexed="64"/>
      </patternFill>
    </fill>
    <fill>
      <patternFill patternType="solid">
        <fgColor rgb="FFFB7F2E"/>
        <bgColor indexed="64"/>
      </patternFill>
    </fill>
    <fill>
      <patternFill patternType="solid">
        <fgColor rgb="FFF37D2D"/>
        <bgColor indexed="64"/>
      </patternFill>
    </fill>
    <fill>
      <patternFill patternType="solid">
        <fgColor rgb="FFF87E2F"/>
        <bgColor indexed="64"/>
      </patternFill>
    </fill>
    <fill>
      <patternFill patternType="solid">
        <fgColor rgb="FFEC782A"/>
        <bgColor indexed="64"/>
      </patternFill>
    </fill>
    <fill>
      <patternFill patternType="solid">
        <fgColor rgb="FFD96E25"/>
        <bgColor indexed="64"/>
      </patternFill>
    </fill>
    <fill>
      <patternFill patternType="solid">
        <fgColor rgb="FFCD6725"/>
        <bgColor indexed="64"/>
      </patternFill>
    </fill>
    <fill>
      <patternFill patternType="solid">
        <fgColor rgb="FFBF5F22"/>
        <bgColor indexed="64"/>
      </patternFill>
    </fill>
    <fill>
      <patternFill patternType="solid">
        <fgColor rgb="FF9D511B"/>
        <bgColor indexed="64"/>
      </patternFill>
    </fill>
    <fill>
      <patternFill patternType="solid">
        <fgColor rgb="FF966421"/>
        <bgColor indexed="64"/>
      </patternFill>
    </fill>
    <fill>
      <patternFill patternType="solid">
        <fgColor rgb="FF887F28"/>
        <bgColor indexed="64"/>
      </patternFill>
    </fill>
    <fill>
      <patternFill patternType="solid">
        <fgColor rgb="FF67952F"/>
        <bgColor indexed="64"/>
      </patternFill>
    </fill>
    <fill>
      <patternFill patternType="solid">
        <fgColor rgb="FF639732"/>
        <bgColor indexed="64"/>
      </patternFill>
    </fill>
    <fill>
      <patternFill patternType="solid">
        <fgColor rgb="FF57872C"/>
        <bgColor indexed="64"/>
      </patternFill>
    </fill>
    <fill>
      <patternFill patternType="solid">
        <fgColor rgb="FF7F8028"/>
        <bgColor indexed="64"/>
      </patternFill>
    </fill>
    <fill>
      <patternFill patternType="solid">
        <fgColor rgb="FFDDD132"/>
        <bgColor indexed="64"/>
      </patternFill>
    </fill>
    <fill>
      <patternFill patternType="solid">
        <fgColor rgb="FFEFE935"/>
        <bgColor indexed="64"/>
      </patternFill>
    </fill>
    <fill>
      <patternFill patternType="solid">
        <fgColor rgb="FF637123"/>
        <bgColor indexed="64"/>
      </patternFill>
    </fill>
    <fill>
      <patternFill patternType="solid">
        <fgColor rgb="FF578A2E"/>
        <bgColor indexed="64"/>
      </patternFill>
    </fill>
    <fill>
      <patternFill patternType="solid">
        <fgColor rgb="FF639830"/>
        <bgColor indexed="64"/>
      </patternFill>
    </fill>
    <fill>
      <patternFill patternType="solid">
        <fgColor rgb="FF5F9231"/>
        <bgColor indexed="64"/>
      </patternFill>
    </fill>
    <fill>
      <patternFill patternType="solid">
        <fgColor rgb="FF609431"/>
        <bgColor indexed="64"/>
      </patternFill>
    </fill>
    <fill>
      <patternFill patternType="solid">
        <fgColor rgb="FF619532"/>
        <bgColor indexed="64"/>
      </patternFill>
    </fill>
    <fill>
      <patternFill patternType="solid">
        <fgColor rgb="FF619433"/>
        <bgColor indexed="64"/>
      </patternFill>
    </fill>
    <fill>
      <patternFill patternType="solid">
        <fgColor rgb="FF639737"/>
        <bgColor indexed="64"/>
      </patternFill>
    </fill>
    <fill>
      <patternFill patternType="solid">
        <fgColor rgb="FF689B3A"/>
        <bgColor indexed="64"/>
      </patternFill>
    </fill>
    <fill>
      <patternFill patternType="solid">
        <fgColor rgb="FF598632"/>
        <bgColor indexed="64"/>
      </patternFill>
    </fill>
    <fill>
      <patternFill patternType="solid">
        <fgColor rgb="FF5C8A33"/>
        <bgColor indexed="64"/>
      </patternFill>
    </fill>
    <fill>
      <patternFill patternType="solid">
        <fgColor rgb="FF6AA238"/>
        <bgColor indexed="64"/>
      </patternFill>
    </fill>
    <fill>
      <patternFill patternType="solid">
        <fgColor rgb="FF61713F"/>
        <bgColor indexed="64"/>
      </patternFill>
    </fill>
    <fill>
      <patternFill patternType="solid">
        <fgColor rgb="FF764774"/>
        <bgColor indexed="64"/>
      </patternFill>
    </fill>
    <fill>
      <patternFill patternType="solid">
        <fgColor rgb="FF84657A"/>
        <bgColor indexed="64"/>
      </patternFill>
    </fill>
    <fill>
      <patternFill patternType="solid">
        <fgColor rgb="FF547333"/>
        <bgColor indexed="64"/>
      </patternFill>
    </fill>
    <fill>
      <patternFill patternType="solid">
        <fgColor rgb="FF5B8735"/>
        <bgColor indexed="64"/>
      </patternFill>
    </fill>
    <fill>
      <patternFill patternType="solid">
        <fgColor rgb="FF5D5947"/>
        <bgColor indexed="64"/>
      </patternFill>
    </fill>
    <fill>
      <patternFill patternType="solid">
        <fgColor rgb="FF955D90"/>
        <bgColor indexed="64"/>
      </patternFill>
    </fill>
    <fill>
      <patternFill patternType="solid">
        <fgColor rgb="FF9B649B"/>
        <bgColor indexed="64"/>
      </patternFill>
    </fill>
    <fill>
      <patternFill patternType="solid">
        <fgColor rgb="FF966295"/>
        <bgColor indexed="64"/>
      </patternFill>
    </fill>
    <fill>
      <patternFill patternType="solid">
        <fgColor rgb="FF926191"/>
        <bgColor indexed="64"/>
      </patternFill>
    </fill>
    <fill>
      <patternFill patternType="solid">
        <fgColor rgb="FFA26AA2"/>
        <bgColor indexed="64"/>
      </patternFill>
    </fill>
    <fill>
      <patternFill patternType="solid">
        <fgColor rgb="FF644272"/>
        <bgColor indexed="64"/>
      </patternFill>
    </fill>
    <fill>
      <patternFill patternType="solid">
        <fgColor rgb="FF192013"/>
        <bgColor indexed="64"/>
      </patternFill>
    </fill>
    <fill>
      <patternFill patternType="solid">
        <fgColor rgb="FF3B561A"/>
        <bgColor indexed="64"/>
      </patternFill>
    </fill>
    <fill>
      <patternFill patternType="solid">
        <fgColor rgb="FF486725"/>
        <bgColor indexed="64"/>
      </patternFill>
    </fill>
    <fill>
      <patternFill patternType="solid">
        <fgColor rgb="FF51702B"/>
        <bgColor indexed="64"/>
      </patternFill>
    </fill>
    <fill>
      <patternFill patternType="solid">
        <fgColor rgb="FF537E2D"/>
        <bgColor indexed="64"/>
      </patternFill>
    </fill>
    <fill>
      <patternFill patternType="solid">
        <fgColor rgb="FF516A22"/>
        <bgColor indexed="64"/>
      </patternFill>
    </fill>
    <fill>
      <patternFill patternType="solid">
        <fgColor rgb="FF726A1C"/>
        <bgColor indexed="64"/>
      </patternFill>
    </fill>
    <fill>
      <patternFill patternType="solid">
        <fgColor rgb="FF32350A"/>
        <bgColor indexed="64"/>
      </patternFill>
    </fill>
    <fill>
      <patternFill patternType="solid">
        <fgColor rgb="FF5E8D2E"/>
        <bgColor indexed="64"/>
      </patternFill>
    </fill>
    <fill>
      <patternFill patternType="solid">
        <fgColor rgb="FF6CA437"/>
        <bgColor indexed="64"/>
      </patternFill>
    </fill>
    <fill>
      <patternFill patternType="solid">
        <fgColor rgb="FF649737"/>
        <bgColor indexed="64"/>
      </patternFill>
    </fill>
    <fill>
      <patternFill patternType="solid">
        <fgColor rgb="FF619539"/>
        <bgColor indexed="64"/>
      </patternFill>
    </fill>
    <fill>
      <patternFill patternType="solid">
        <fgColor rgb="FF609736"/>
        <bgColor indexed="64"/>
      </patternFill>
    </fill>
    <fill>
      <patternFill patternType="solid">
        <fgColor rgb="FF5F9436"/>
        <bgColor indexed="64"/>
      </patternFill>
    </fill>
    <fill>
      <patternFill patternType="solid">
        <fgColor rgb="FF609636"/>
        <bgColor indexed="64"/>
      </patternFill>
    </fill>
    <fill>
      <patternFill patternType="solid">
        <fgColor rgb="FF5F9836"/>
        <bgColor indexed="64"/>
      </patternFill>
    </fill>
    <fill>
      <patternFill patternType="solid">
        <fgColor rgb="FF4B792C"/>
        <bgColor indexed="64"/>
      </patternFill>
    </fill>
    <fill>
      <patternFill patternType="solid">
        <fgColor rgb="FF5B611F"/>
        <bgColor indexed="64"/>
      </patternFill>
    </fill>
    <fill>
      <patternFill patternType="solid">
        <fgColor rgb="FF414011"/>
        <bgColor indexed="64"/>
      </patternFill>
    </fill>
    <fill>
      <patternFill patternType="solid">
        <fgColor rgb="FF365620"/>
        <bgColor indexed="64"/>
      </patternFill>
    </fill>
    <fill>
      <patternFill patternType="solid">
        <fgColor rgb="FF659F3F"/>
        <bgColor indexed="64"/>
      </patternFill>
    </fill>
    <fill>
      <patternFill patternType="solid">
        <fgColor rgb="FF60953D"/>
        <bgColor indexed="64"/>
      </patternFill>
    </fill>
    <fill>
      <patternFill patternType="solid">
        <fgColor rgb="FF61983B"/>
        <bgColor indexed="64"/>
      </patternFill>
    </fill>
    <fill>
      <patternFill patternType="solid">
        <fgColor rgb="FF629A39"/>
        <bgColor indexed="64"/>
      </patternFill>
    </fill>
    <fill>
      <patternFill patternType="solid">
        <fgColor rgb="FF578936"/>
        <bgColor indexed="64"/>
      </patternFill>
    </fill>
    <fill>
      <patternFill patternType="solid">
        <fgColor rgb="FF6E7422"/>
        <bgColor indexed="64"/>
      </patternFill>
    </fill>
    <fill>
      <patternFill patternType="solid">
        <fgColor rgb="FF6F671F"/>
        <bgColor indexed="64"/>
      </patternFill>
    </fill>
    <fill>
      <patternFill patternType="solid">
        <fgColor rgb="FF405E23"/>
        <bgColor indexed="64"/>
      </patternFill>
    </fill>
    <fill>
      <patternFill patternType="solid">
        <fgColor rgb="FF518830"/>
        <bgColor indexed="64"/>
      </patternFill>
    </fill>
    <fill>
      <patternFill patternType="solid">
        <fgColor rgb="FF508730"/>
        <bgColor indexed="64"/>
      </patternFill>
    </fill>
    <fill>
      <patternFill patternType="solid">
        <fgColor rgb="FF4D882E"/>
        <bgColor indexed="64"/>
      </patternFill>
    </fill>
    <fill>
      <patternFill patternType="solid">
        <fgColor rgb="FF4B872E"/>
        <bgColor indexed="64"/>
      </patternFill>
    </fill>
    <fill>
      <patternFill patternType="solid">
        <fgColor rgb="FF4E8C2F"/>
        <bgColor indexed="64"/>
      </patternFill>
    </fill>
    <fill>
      <patternFill patternType="solid">
        <fgColor rgb="FF528E2C"/>
        <bgColor indexed="64"/>
      </patternFill>
    </fill>
    <fill>
      <patternFill patternType="solid">
        <fgColor rgb="FF437827"/>
        <bgColor indexed="64"/>
      </patternFill>
    </fill>
    <fill>
      <patternFill patternType="solid">
        <fgColor rgb="FF5D711C"/>
        <bgColor indexed="64"/>
      </patternFill>
    </fill>
    <fill>
      <patternFill patternType="solid">
        <fgColor rgb="FFA9A928"/>
        <bgColor indexed="64"/>
      </patternFill>
    </fill>
    <fill>
      <patternFill patternType="solid">
        <fgColor rgb="FF2F5118"/>
        <bgColor indexed="64"/>
      </patternFill>
    </fill>
    <fill>
      <patternFill patternType="solid">
        <fgColor rgb="FF3F7723"/>
        <bgColor indexed="64"/>
      </patternFill>
    </fill>
    <fill>
      <patternFill patternType="solid">
        <fgColor rgb="FF3F7820"/>
        <bgColor indexed="64"/>
      </patternFill>
    </fill>
    <fill>
      <patternFill patternType="solid">
        <fgColor rgb="FF3F7C22"/>
        <bgColor indexed="64"/>
      </patternFill>
    </fill>
    <fill>
      <patternFill patternType="solid">
        <fgColor rgb="FF417B25"/>
        <bgColor indexed="64"/>
      </patternFill>
    </fill>
    <fill>
      <patternFill patternType="solid">
        <fgColor rgb="FF3F7826"/>
        <bgColor indexed="64"/>
      </patternFill>
    </fill>
    <fill>
      <patternFill patternType="solid">
        <fgColor rgb="FF3D7827"/>
        <bgColor indexed="64"/>
      </patternFill>
    </fill>
    <fill>
      <patternFill patternType="solid">
        <fgColor rgb="FF3C7927"/>
        <bgColor indexed="64"/>
      </patternFill>
    </fill>
    <fill>
      <patternFill patternType="solid">
        <fgColor rgb="FF3B7726"/>
        <bgColor indexed="64"/>
      </patternFill>
    </fill>
    <fill>
      <patternFill patternType="solid">
        <fgColor rgb="FF367224"/>
        <bgColor indexed="64"/>
      </patternFill>
    </fill>
    <fill>
      <patternFill patternType="solid">
        <fgColor rgb="FFF97D2C"/>
        <bgColor indexed="64"/>
      </patternFill>
    </fill>
    <fill>
      <patternFill patternType="solid">
        <fgColor rgb="FFF37B2B"/>
        <bgColor indexed="64"/>
      </patternFill>
    </fill>
    <fill>
      <patternFill patternType="solid">
        <fgColor rgb="FFF4792E"/>
        <bgColor indexed="64"/>
      </patternFill>
    </fill>
    <fill>
      <patternFill patternType="solid">
        <fgColor rgb="FFF67E2C"/>
        <bgColor indexed="64"/>
      </patternFill>
    </fill>
    <fill>
      <patternFill patternType="solid">
        <fgColor rgb="FFF77F2C"/>
        <bgColor indexed="64"/>
      </patternFill>
    </fill>
    <fill>
      <patternFill patternType="solid">
        <fgColor rgb="FFED7C29"/>
        <bgColor indexed="64"/>
      </patternFill>
    </fill>
    <fill>
      <patternFill patternType="solid">
        <fgColor rgb="FFDE7927"/>
        <bgColor indexed="64"/>
      </patternFill>
    </fill>
    <fill>
      <patternFill patternType="solid">
        <fgColor rgb="FFC16B22"/>
        <bgColor indexed="64"/>
      </patternFill>
    </fill>
    <fill>
      <patternFill patternType="solid">
        <fgColor rgb="FF6F6820"/>
        <bgColor indexed="64"/>
      </patternFill>
    </fill>
    <fill>
      <patternFill patternType="solid">
        <fgColor rgb="FF5B9833"/>
        <bgColor indexed="64"/>
      </patternFill>
    </fill>
    <fill>
      <patternFill patternType="solid">
        <fgColor rgb="FF669C32"/>
        <bgColor indexed="64"/>
      </patternFill>
    </fill>
    <fill>
      <patternFill patternType="solid">
        <fgColor rgb="FF66982E"/>
        <bgColor indexed="64"/>
      </patternFill>
    </fill>
    <fill>
      <patternFill patternType="solid">
        <fgColor rgb="FF669B30"/>
        <bgColor indexed="64"/>
      </patternFill>
    </fill>
    <fill>
      <patternFill patternType="solid">
        <fgColor rgb="FF5B8B2D"/>
        <bgColor indexed="64"/>
      </patternFill>
    </fill>
    <fill>
      <patternFill patternType="solid">
        <fgColor rgb="FF6F7228"/>
        <bgColor indexed="64"/>
      </patternFill>
    </fill>
    <fill>
      <patternFill patternType="solid">
        <fgColor rgb="FFB0A02C"/>
        <bgColor indexed="64"/>
      </patternFill>
    </fill>
    <fill>
      <patternFill patternType="solid">
        <fgColor rgb="FF848B26"/>
        <bgColor indexed="64"/>
      </patternFill>
    </fill>
    <fill>
      <patternFill patternType="solid">
        <fgColor rgb="FF497728"/>
        <bgColor indexed="64"/>
      </patternFill>
    </fill>
    <fill>
      <patternFill patternType="solid">
        <fgColor rgb="FF5D9131"/>
        <bgColor indexed="64"/>
      </patternFill>
    </fill>
    <fill>
      <patternFill patternType="solid">
        <fgColor rgb="FF5D9230"/>
        <bgColor indexed="64"/>
      </patternFill>
    </fill>
    <fill>
      <patternFill patternType="solid">
        <fgColor rgb="FF5E9431"/>
        <bgColor indexed="64"/>
      </patternFill>
    </fill>
    <fill>
      <patternFill patternType="solid">
        <fgColor rgb="FF5E9531"/>
        <bgColor indexed="64"/>
      </patternFill>
    </fill>
    <fill>
      <patternFill patternType="solid">
        <fgColor rgb="FF609433"/>
        <bgColor indexed="64"/>
      </patternFill>
    </fill>
    <fill>
      <patternFill patternType="solid">
        <fgColor rgb="FF609435"/>
        <bgColor indexed="64"/>
      </patternFill>
    </fill>
    <fill>
      <patternFill patternType="solid">
        <fgColor rgb="FF609734"/>
        <bgColor indexed="64"/>
      </patternFill>
    </fill>
    <fill>
      <patternFill patternType="solid">
        <fgColor rgb="FF629633"/>
        <bgColor indexed="64"/>
      </patternFill>
    </fill>
    <fill>
      <patternFill patternType="solid">
        <fgColor rgb="FF609536"/>
        <bgColor indexed="64"/>
      </patternFill>
    </fill>
    <fill>
      <patternFill patternType="solid">
        <fgColor rgb="FF649A38"/>
        <bgColor indexed="64"/>
      </patternFill>
    </fill>
    <fill>
      <patternFill patternType="solid">
        <fgColor rgb="FF598931"/>
        <bgColor indexed="64"/>
      </patternFill>
    </fill>
    <fill>
      <patternFill patternType="solid">
        <fgColor rgb="FF4C722C"/>
        <bgColor indexed="64"/>
      </patternFill>
    </fill>
    <fill>
      <patternFill patternType="solid">
        <fgColor rgb="FF6DA539"/>
        <bgColor indexed="64"/>
      </patternFill>
    </fill>
    <fill>
      <patternFill patternType="solid">
        <fgColor rgb="FF5F6A3F"/>
        <bgColor indexed="64"/>
      </patternFill>
    </fill>
    <fill>
      <patternFill patternType="solid">
        <fgColor rgb="FF8F5A8B"/>
        <bgColor indexed="64"/>
      </patternFill>
    </fill>
    <fill>
      <patternFill patternType="solid">
        <fgColor rgb="FF986496"/>
        <bgColor indexed="64"/>
      </patternFill>
    </fill>
    <fill>
      <patternFill patternType="solid">
        <fgColor rgb="FF58494F"/>
        <bgColor indexed="64"/>
      </patternFill>
    </fill>
    <fill>
      <patternFill patternType="solid">
        <fgColor rgb="FF403C2E"/>
        <bgColor indexed="64"/>
      </patternFill>
    </fill>
    <fill>
      <patternFill patternType="solid">
        <fgColor rgb="FF945C8B"/>
        <bgColor indexed="64"/>
      </patternFill>
    </fill>
    <fill>
      <patternFill patternType="solid">
        <fgColor rgb="FF986499"/>
        <bgColor indexed="64"/>
      </patternFill>
    </fill>
    <fill>
      <patternFill patternType="solid">
        <fgColor rgb="FF925F94"/>
        <bgColor indexed="64"/>
      </patternFill>
    </fill>
    <fill>
      <patternFill patternType="solid">
        <fgColor rgb="FF956097"/>
        <bgColor indexed="64"/>
      </patternFill>
    </fill>
    <fill>
      <patternFill patternType="solid">
        <fgColor rgb="FF946196"/>
        <bgColor indexed="64"/>
      </patternFill>
    </fill>
    <fill>
      <patternFill patternType="solid">
        <fgColor rgb="FF966297"/>
        <bgColor indexed="64"/>
      </patternFill>
    </fill>
    <fill>
      <patternFill patternType="solid">
        <fgColor rgb="FF6C4768"/>
        <bgColor indexed="64"/>
      </patternFill>
    </fill>
    <fill>
      <patternFill patternType="solid">
        <fgColor rgb="FF6D4B60"/>
        <bgColor indexed="64"/>
      </patternFill>
    </fill>
    <fill>
      <patternFill patternType="solid">
        <fgColor rgb="FF85597C"/>
        <bgColor indexed="64"/>
      </patternFill>
    </fill>
    <fill>
      <patternFill patternType="solid">
        <fgColor rgb="FF84577B"/>
        <bgColor indexed="64"/>
      </patternFill>
    </fill>
    <fill>
      <patternFill patternType="solid">
        <fgColor rgb="FF825676"/>
        <bgColor indexed="64"/>
      </patternFill>
    </fill>
    <fill>
      <patternFill patternType="solid">
        <fgColor rgb="FF7B5372"/>
        <bgColor indexed="64"/>
      </patternFill>
    </fill>
    <fill>
      <patternFill patternType="solid">
        <fgColor rgb="FF604C40"/>
        <bgColor indexed="64"/>
      </patternFill>
    </fill>
    <fill>
      <patternFill patternType="solid">
        <fgColor rgb="FF918D23"/>
        <bgColor indexed="64"/>
      </patternFill>
    </fill>
    <fill>
      <patternFill patternType="solid">
        <fgColor rgb="FF5D6018"/>
        <bgColor indexed="64"/>
      </patternFill>
    </fill>
    <fill>
      <patternFill patternType="solid">
        <fgColor rgb="FF52612D"/>
        <bgColor indexed="64"/>
      </patternFill>
    </fill>
    <fill>
      <patternFill patternType="solid">
        <fgColor rgb="FF689039"/>
        <bgColor indexed="64"/>
      </patternFill>
    </fill>
    <fill>
      <patternFill patternType="solid">
        <fgColor rgb="FF649D37"/>
        <bgColor indexed="64"/>
      </patternFill>
    </fill>
    <fill>
      <patternFill patternType="solid">
        <fgColor rgb="FF5F9634"/>
        <bgColor indexed="64"/>
      </patternFill>
    </fill>
    <fill>
      <patternFill patternType="solid">
        <fgColor rgb="FF5E9435"/>
        <bgColor indexed="64"/>
      </patternFill>
    </fill>
    <fill>
      <patternFill patternType="solid">
        <fgColor rgb="FF5E9436"/>
        <bgColor indexed="64"/>
      </patternFill>
    </fill>
    <fill>
      <patternFill patternType="solid">
        <fgColor rgb="FF497128"/>
        <bgColor indexed="64"/>
      </patternFill>
    </fill>
    <fill>
      <patternFill patternType="solid">
        <fgColor rgb="FF989A2B"/>
        <bgColor indexed="64"/>
      </patternFill>
    </fill>
    <fill>
      <patternFill patternType="solid">
        <fgColor rgb="FF929128"/>
        <bgColor indexed="64"/>
      </patternFill>
    </fill>
    <fill>
      <patternFill patternType="solid">
        <fgColor rgb="FF436124"/>
        <bgColor indexed="64"/>
      </patternFill>
    </fill>
    <fill>
      <patternFill patternType="solid">
        <fgColor rgb="FF629A3C"/>
        <bgColor indexed="64"/>
      </patternFill>
    </fill>
    <fill>
      <patternFill patternType="solid">
        <fgColor rgb="FF60953C"/>
        <bgColor indexed="64"/>
      </patternFill>
    </fill>
    <fill>
      <patternFill patternType="solid">
        <fgColor rgb="FF619639"/>
        <bgColor indexed="64"/>
      </patternFill>
    </fill>
    <fill>
      <patternFill patternType="solid">
        <fgColor rgb="FF60993A"/>
        <bgColor indexed="64"/>
      </patternFill>
    </fill>
    <fill>
      <patternFill patternType="solid">
        <fgColor rgb="FF578637"/>
        <bgColor indexed="64"/>
      </patternFill>
    </fill>
    <fill>
      <patternFill patternType="solid">
        <fgColor rgb="FF262E0D"/>
        <bgColor indexed="64"/>
      </patternFill>
    </fill>
    <fill>
      <patternFill patternType="solid">
        <fgColor rgb="FF111403"/>
        <bgColor indexed="64"/>
      </patternFill>
    </fill>
    <fill>
      <patternFill patternType="solid">
        <fgColor rgb="FF355A1F"/>
        <bgColor indexed="64"/>
      </patternFill>
    </fill>
    <fill>
      <patternFill patternType="solid">
        <fgColor rgb="FF548E33"/>
        <bgColor indexed="64"/>
      </patternFill>
    </fill>
    <fill>
      <patternFill patternType="solid">
        <fgColor rgb="FF4C872E"/>
        <bgColor indexed="64"/>
      </patternFill>
    </fill>
    <fill>
      <patternFill patternType="solid">
        <fgColor rgb="FF4D892E"/>
        <bgColor indexed="64"/>
      </patternFill>
    </fill>
    <fill>
      <patternFill patternType="solid">
        <fgColor rgb="FF4C8630"/>
        <bgColor indexed="64"/>
      </patternFill>
    </fill>
    <fill>
      <patternFill patternType="solid">
        <fgColor rgb="FF4C862F"/>
        <bgColor indexed="64"/>
      </patternFill>
    </fill>
    <fill>
      <patternFill patternType="solid">
        <fgColor rgb="FF4D8A2F"/>
        <bgColor indexed="64"/>
      </patternFill>
    </fill>
    <fill>
      <patternFill patternType="solid">
        <fgColor rgb="FF4D882D"/>
        <bgColor indexed="64"/>
      </patternFill>
    </fill>
    <fill>
      <patternFill patternType="solid">
        <fgColor rgb="FF437B28"/>
        <bgColor indexed="64"/>
      </patternFill>
    </fill>
    <fill>
      <patternFill patternType="solid">
        <fgColor rgb="FF4C6218"/>
        <bgColor indexed="64"/>
      </patternFill>
    </fill>
    <fill>
      <patternFill patternType="solid">
        <fgColor rgb="FFC1C02C"/>
        <bgColor indexed="64"/>
      </patternFill>
    </fill>
    <fill>
      <patternFill patternType="solid">
        <fgColor rgb="FF4E671B"/>
        <bgColor indexed="64"/>
      </patternFill>
    </fill>
    <fill>
      <patternFill patternType="solid">
        <fgColor rgb="FF377322"/>
        <bgColor indexed="64"/>
      </patternFill>
    </fill>
    <fill>
      <patternFill patternType="solid">
        <fgColor rgb="FF3A7320"/>
        <bgColor indexed="64"/>
      </patternFill>
    </fill>
    <fill>
      <patternFill patternType="solid">
        <fgColor rgb="FF31651B"/>
        <bgColor indexed="64"/>
      </patternFill>
    </fill>
    <fill>
      <patternFill patternType="solid">
        <fgColor rgb="FF3E7522"/>
        <bgColor indexed="64"/>
      </patternFill>
    </fill>
    <fill>
      <patternFill patternType="solid">
        <fgColor rgb="FF3E7926"/>
        <bgColor indexed="64"/>
      </patternFill>
    </fill>
    <fill>
      <patternFill patternType="solid">
        <fgColor rgb="FF387025"/>
        <bgColor indexed="64"/>
      </patternFill>
    </fill>
    <fill>
      <patternFill patternType="solid">
        <fgColor rgb="FF387227"/>
        <bgColor indexed="64"/>
      </patternFill>
    </fill>
    <fill>
      <patternFill patternType="solid">
        <fgColor rgb="FF356F27"/>
        <bgColor indexed="64"/>
      </patternFill>
    </fill>
    <fill>
      <patternFill patternType="solid">
        <fgColor rgb="FFF67E2A"/>
        <bgColor indexed="64"/>
      </patternFill>
    </fill>
    <fill>
      <patternFill patternType="solid">
        <fgColor rgb="FFEF7829"/>
        <bgColor indexed="64"/>
      </patternFill>
    </fill>
    <fill>
      <patternFill patternType="solid">
        <fgColor rgb="FFF2782D"/>
        <bgColor indexed="64"/>
      </patternFill>
    </fill>
    <fill>
      <patternFill patternType="solid">
        <fgColor rgb="FFF27B2B"/>
        <bgColor indexed="64"/>
      </patternFill>
    </fill>
    <fill>
      <patternFill patternType="solid">
        <fgColor rgb="FFF37C2B"/>
        <bgColor indexed="64"/>
      </patternFill>
    </fill>
    <fill>
      <patternFill patternType="solid">
        <fgColor rgb="FFF77D2B"/>
        <bgColor indexed="64"/>
      </patternFill>
    </fill>
    <fill>
      <patternFill patternType="solid">
        <fgColor rgb="FFF7802D"/>
        <bgColor indexed="64"/>
      </patternFill>
    </fill>
    <fill>
      <patternFill patternType="solid">
        <fgColor rgb="FFE8722B"/>
        <bgColor indexed="64"/>
      </patternFill>
    </fill>
    <fill>
      <patternFill patternType="solid">
        <fgColor rgb="FFEC782B"/>
        <bgColor indexed="64"/>
      </patternFill>
    </fill>
    <fill>
      <patternFill patternType="solid">
        <fgColor rgb="FF8A6C24"/>
        <bgColor indexed="64"/>
      </patternFill>
    </fill>
    <fill>
      <patternFill patternType="solid">
        <fgColor rgb="FF5D812B"/>
        <bgColor indexed="64"/>
      </patternFill>
    </fill>
    <fill>
      <patternFill patternType="solid">
        <fgColor rgb="FF699831"/>
        <bgColor indexed="64"/>
      </patternFill>
    </fill>
    <fill>
      <patternFill patternType="solid">
        <fgColor rgb="FF64962D"/>
        <bgColor indexed="64"/>
      </patternFill>
    </fill>
    <fill>
      <patternFill patternType="solid">
        <fgColor rgb="FF5E902F"/>
        <bgColor indexed="64"/>
      </patternFill>
    </fill>
    <fill>
      <patternFill patternType="solid">
        <fgColor rgb="FF45501A"/>
        <bgColor indexed="64"/>
      </patternFill>
    </fill>
    <fill>
      <patternFill patternType="solid">
        <fgColor rgb="FF42360D"/>
        <bgColor indexed="64"/>
      </patternFill>
    </fill>
    <fill>
      <patternFill patternType="solid">
        <fgColor rgb="FFD7C831"/>
        <bgColor indexed="64"/>
      </patternFill>
    </fill>
    <fill>
      <patternFill patternType="solid">
        <fgColor rgb="FF848121"/>
        <bgColor indexed="64"/>
      </patternFill>
    </fill>
    <fill>
      <patternFill patternType="solid">
        <fgColor rgb="FF416724"/>
        <bgColor indexed="64"/>
      </patternFill>
    </fill>
    <fill>
      <patternFill patternType="solid">
        <fgColor rgb="FF5E9031"/>
        <bgColor indexed="64"/>
      </patternFill>
    </fill>
    <fill>
      <patternFill patternType="solid">
        <fgColor rgb="FF5D9031"/>
        <bgColor indexed="64"/>
      </patternFill>
    </fill>
    <fill>
      <patternFill patternType="solid">
        <fgColor rgb="FF5F932F"/>
        <bgColor indexed="64"/>
      </patternFill>
    </fill>
    <fill>
      <patternFill patternType="solid">
        <fgColor rgb="FF5F9430"/>
        <bgColor indexed="64"/>
      </patternFill>
    </fill>
    <fill>
      <patternFill patternType="solid">
        <fgColor rgb="FF619535"/>
        <bgColor indexed="64"/>
      </patternFill>
    </fill>
    <fill>
      <patternFill patternType="solid">
        <fgColor rgb="FF639835"/>
        <bgColor indexed="64"/>
      </patternFill>
    </fill>
    <fill>
      <patternFill patternType="solid">
        <fgColor rgb="FF5E9035"/>
        <bgColor indexed="64"/>
      </patternFill>
    </fill>
    <fill>
      <patternFill patternType="solid">
        <fgColor rgb="FF2B321D"/>
        <bgColor indexed="64"/>
      </patternFill>
    </fill>
    <fill>
      <patternFill patternType="solid">
        <fgColor rgb="FF618239"/>
        <bgColor indexed="64"/>
      </patternFill>
    </fill>
    <fill>
      <patternFill patternType="solid">
        <fgColor rgb="FF5E6E40"/>
        <bgColor indexed="64"/>
      </patternFill>
    </fill>
    <fill>
      <patternFill patternType="solid">
        <fgColor rgb="FF905A8E"/>
        <bgColor indexed="64"/>
      </patternFill>
    </fill>
    <fill>
      <patternFill patternType="solid">
        <fgColor rgb="FF81557E"/>
        <bgColor indexed="64"/>
      </patternFill>
    </fill>
    <fill>
      <patternFill patternType="solid">
        <fgColor rgb="FF7C4E73"/>
        <bgColor indexed="64"/>
      </patternFill>
    </fill>
    <fill>
      <patternFill patternType="solid">
        <fgColor rgb="FF986398"/>
        <bgColor indexed="64"/>
      </patternFill>
    </fill>
    <fill>
      <patternFill patternType="solid">
        <fgColor rgb="FF8F6090"/>
        <bgColor indexed="64"/>
      </patternFill>
    </fill>
    <fill>
      <patternFill patternType="solid">
        <fgColor rgb="FF906092"/>
        <bgColor indexed="64"/>
      </patternFill>
    </fill>
    <fill>
      <patternFill patternType="solid">
        <fgColor rgb="FF916094"/>
        <bgColor indexed="64"/>
      </patternFill>
    </fill>
    <fill>
      <patternFill patternType="solid">
        <fgColor rgb="FF926092"/>
        <bgColor indexed="64"/>
      </patternFill>
    </fill>
    <fill>
      <patternFill patternType="solid">
        <fgColor rgb="FF97649A"/>
        <bgColor indexed="64"/>
      </patternFill>
    </fill>
    <fill>
      <patternFill patternType="solid">
        <fgColor rgb="FF9B669E"/>
        <bgColor indexed="64"/>
      </patternFill>
    </fill>
    <fill>
      <patternFill patternType="solid">
        <fgColor rgb="FF99649B"/>
        <bgColor indexed="64"/>
      </patternFill>
    </fill>
    <fill>
      <patternFill patternType="solid">
        <fgColor rgb="FF976598"/>
        <bgColor indexed="64"/>
      </patternFill>
    </fill>
    <fill>
      <patternFill patternType="solid">
        <fgColor rgb="FF986595"/>
        <bgColor indexed="64"/>
      </patternFill>
    </fill>
    <fill>
      <patternFill patternType="solid">
        <fgColor rgb="FFA46AA1"/>
        <bgColor indexed="64"/>
      </patternFill>
    </fill>
    <fill>
      <patternFill patternType="solid">
        <fgColor rgb="FF734E69"/>
        <bgColor indexed="64"/>
      </patternFill>
    </fill>
    <fill>
      <patternFill patternType="solid">
        <fgColor rgb="FFBCB528"/>
        <bgColor indexed="64"/>
      </patternFill>
    </fill>
    <fill>
      <patternFill patternType="solid">
        <fgColor rgb="FFB9B42B"/>
        <bgColor indexed="64"/>
      </patternFill>
    </fill>
    <fill>
      <patternFill patternType="solid">
        <fgColor rgb="FF734A64"/>
        <bgColor indexed="64"/>
      </patternFill>
    </fill>
    <fill>
      <patternFill patternType="solid">
        <fgColor rgb="FF8D6584"/>
        <bgColor indexed="64"/>
      </patternFill>
    </fill>
    <fill>
      <patternFill patternType="solid">
        <fgColor rgb="FF5E6642"/>
        <bgColor indexed="64"/>
      </patternFill>
    </fill>
    <fill>
      <patternFill patternType="solid">
        <fgColor rgb="FF5C8933"/>
        <bgColor indexed="64"/>
      </patternFill>
    </fill>
    <fill>
      <patternFill patternType="solid">
        <fgColor rgb="FF639A37"/>
        <bgColor indexed="64"/>
      </patternFill>
    </fill>
    <fill>
      <patternFill patternType="solid">
        <fgColor rgb="FF5D9334"/>
        <bgColor indexed="64"/>
      </patternFill>
    </fill>
    <fill>
      <patternFill patternType="solid">
        <fgColor rgb="FF5B9133"/>
        <bgColor indexed="64"/>
      </patternFill>
    </fill>
    <fill>
      <patternFill patternType="solid">
        <fgColor rgb="FF609836"/>
        <bgColor indexed="64"/>
      </patternFill>
    </fill>
    <fill>
      <patternFill patternType="solid">
        <fgColor rgb="FF3E6825"/>
        <bgColor indexed="64"/>
      </patternFill>
    </fill>
    <fill>
      <patternFill patternType="solid">
        <fgColor rgb="FFA4A527"/>
        <bgColor indexed="64"/>
      </patternFill>
    </fill>
    <fill>
      <patternFill patternType="solid">
        <fgColor rgb="FFD2CE2F"/>
        <bgColor indexed="64"/>
      </patternFill>
    </fill>
    <fill>
      <patternFill patternType="solid">
        <fgColor rgb="FF4B6823"/>
        <bgColor indexed="64"/>
      </patternFill>
    </fill>
    <fill>
      <patternFill patternType="solid">
        <fgColor rgb="FF60983A"/>
        <bgColor indexed="64"/>
      </patternFill>
    </fill>
    <fill>
      <patternFill patternType="solid">
        <fgColor rgb="FF5E9439"/>
        <bgColor indexed="64"/>
      </patternFill>
    </fill>
    <fill>
      <patternFill patternType="solid">
        <fgColor rgb="FF5F9636"/>
        <bgColor indexed="64"/>
      </patternFill>
    </fill>
    <fill>
      <patternFill patternType="solid">
        <fgColor rgb="FF5F9839"/>
        <bgColor indexed="64"/>
      </patternFill>
    </fill>
    <fill>
      <patternFill patternType="solid">
        <fgColor rgb="FF4B772F"/>
        <bgColor indexed="64"/>
      </patternFill>
    </fill>
    <fill>
      <patternFill patternType="solid">
        <fgColor rgb="FF6C7621"/>
        <bgColor indexed="64"/>
      </patternFill>
    </fill>
    <fill>
      <patternFill patternType="solid">
        <fgColor rgb="FF6B6F1B"/>
        <bgColor indexed="64"/>
      </patternFill>
    </fill>
    <fill>
      <patternFill patternType="solid">
        <fgColor rgb="FF355C1D"/>
        <bgColor indexed="64"/>
      </patternFill>
    </fill>
    <fill>
      <patternFill patternType="solid">
        <fgColor rgb="FF4F8C2D"/>
        <bgColor indexed="64"/>
      </patternFill>
    </fill>
    <fill>
      <patternFill patternType="solid">
        <fgColor rgb="FF4B872C"/>
        <bgColor indexed="64"/>
      </patternFill>
    </fill>
    <fill>
      <patternFill patternType="solid">
        <fgColor rgb="FF4D872E"/>
        <bgColor indexed="64"/>
      </patternFill>
    </fill>
    <fill>
      <patternFill patternType="solid">
        <fgColor rgb="FF4C852F"/>
        <bgColor indexed="64"/>
      </patternFill>
    </fill>
    <fill>
      <patternFill patternType="solid">
        <fgColor rgb="FF4B842D"/>
        <bgColor indexed="64"/>
      </patternFill>
    </fill>
    <fill>
      <patternFill patternType="solid">
        <fgColor rgb="FF49822E"/>
        <bgColor indexed="64"/>
      </patternFill>
    </fill>
    <fill>
      <patternFill patternType="solid">
        <fgColor rgb="FF46802A"/>
        <bgColor indexed="64"/>
      </patternFill>
    </fill>
    <fill>
      <patternFill patternType="solid">
        <fgColor rgb="FF45802A"/>
        <bgColor indexed="64"/>
      </patternFill>
    </fill>
    <fill>
      <patternFill patternType="solid">
        <fgColor rgb="FF3C5919"/>
        <bgColor indexed="64"/>
      </patternFill>
    </fill>
    <fill>
      <patternFill patternType="solid">
        <fgColor rgb="FFBBBB2B"/>
        <bgColor indexed="64"/>
      </patternFill>
    </fill>
    <fill>
      <patternFill patternType="solid">
        <fgColor rgb="FF606F1B"/>
        <bgColor indexed="64"/>
      </patternFill>
    </fill>
    <fill>
      <patternFill patternType="solid">
        <fgColor rgb="FF32671E"/>
        <bgColor indexed="64"/>
      </patternFill>
    </fill>
    <fill>
      <patternFill patternType="solid">
        <fgColor rgb="FF377020"/>
        <bgColor indexed="64"/>
      </patternFill>
    </fill>
    <fill>
      <patternFill patternType="solid">
        <fgColor rgb="FF416D19"/>
        <bgColor indexed="64"/>
      </patternFill>
    </fill>
    <fill>
      <patternFill patternType="solid">
        <fgColor rgb="FF5E7019"/>
        <bgColor indexed="64"/>
      </patternFill>
    </fill>
    <fill>
      <patternFill patternType="solid">
        <fgColor rgb="FF32631B"/>
        <bgColor indexed="64"/>
      </patternFill>
    </fill>
    <fill>
      <patternFill patternType="solid">
        <fgColor rgb="FF2E651C"/>
        <bgColor indexed="64"/>
      </patternFill>
    </fill>
    <fill>
      <patternFill patternType="solid">
        <fgColor rgb="FF234B14"/>
        <bgColor indexed="64"/>
      </patternFill>
    </fill>
    <fill>
      <patternFill patternType="solid">
        <fgColor rgb="FF27571B"/>
        <bgColor indexed="64"/>
      </patternFill>
    </fill>
    <fill>
      <patternFill patternType="solid">
        <fgColor rgb="FF326B23"/>
        <bgColor indexed="64"/>
      </patternFill>
    </fill>
    <fill>
      <patternFill patternType="solid">
        <fgColor rgb="FFF37A27"/>
        <bgColor indexed="64"/>
      </patternFill>
    </fill>
    <fill>
      <patternFill patternType="solid">
        <fgColor rgb="FFEE7429"/>
        <bgColor indexed="64"/>
      </patternFill>
    </fill>
    <fill>
      <patternFill patternType="solid">
        <fgColor rgb="FFF0762A"/>
        <bgColor indexed="64"/>
      </patternFill>
    </fill>
    <fill>
      <patternFill patternType="solid">
        <fgColor rgb="FFF1792A"/>
        <bgColor indexed="64"/>
      </patternFill>
    </fill>
    <fill>
      <patternFill patternType="solid">
        <fgColor rgb="FFF37D2B"/>
        <bgColor indexed="64"/>
      </patternFill>
    </fill>
    <fill>
      <patternFill patternType="solid">
        <fgColor rgb="FFEE7C2A"/>
        <bgColor indexed="64"/>
      </patternFill>
    </fill>
    <fill>
      <patternFill patternType="solid">
        <fgColor rgb="FFF47E2B"/>
        <bgColor indexed="64"/>
      </patternFill>
    </fill>
    <fill>
      <patternFill patternType="solid">
        <fgColor rgb="FFC46424"/>
        <bgColor indexed="64"/>
      </patternFill>
    </fill>
    <fill>
      <patternFill patternType="solid">
        <fgColor rgb="FFA6521E"/>
        <bgColor indexed="64"/>
      </patternFill>
    </fill>
    <fill>
      <patternFill patternType="solid">
        <fgColor rgb="FFB45F1F"/>
        <bgColor indexed="64"/>
      </patternFill>
    </fill>
    <fill>
      <patternFill patternType="solid">
        <fgColor rgb="FF784814"/>
        <bgColor indexed="64"/>
      </patternFill>
    </fill>
    <fill>
      <patternFill patternType="solid">
        <fgColor rgb="FF475217"/>
        <bgColor indexed="64"/>
      </patternFill>
    </fill>
    <fill>
      <patternFill patternType="solid">
        <fgColor rgb="FF487020"/>
        <bgColor indexed="64"/>
      </patternFill>
    </fill>
    <fill>
      <patternFill patternType="solid">
        <fgColor rgb="FF619330"/>
        <bgColor indexed="64"/>
      </patternFill>
    </fill>
    <fill>
      <patternFill patternType="solid">
        <fgColor rgb="FF243912"/>
        <bgColor indexed="64"/>
      </patternFill>
    </fill>
    <fill>
      <patternFill patternType="solid">
        <fgColor rgb="FF100D00"/>
        <bgColor indexed="64"/>
      </patternFill>
    </fill>
    <fill>
      <patternFill patternType="solid">
        <fgColor rgb="FF645A1D"/>
        <bgColor indexed="64"/>
      </patternFill>
    </fill>
    <fill>
      <patternFill patternType="solid">
        <fgColor rgb="FF35320B"/>
        <bgColor indexed="64"/>
      </patternFill>
    </fill>
    <fill>
      <patternFill patternType="solid">
        <fgColor rgb="FF3D5C1F"/>
        <bgColor indexed="64"/>
      </patternFill>
    </fill>
    <fill>
      <patternFill patternType="solid">
        <fgColor rgb="FF619733"/>
        <bgColor indexed="64"/>
      </patternFill>
    </fill>
    <fill>
      <patternFill patternType="solid">
        <fgColor rgb="FF5C8F2F"/>
        <bgColor indexed="64"/>
      </patternFill>
    </fill>
    <fill>
      <patternFill patternType="solid">
        <fgColor rgb="FF5C902F"/>
        <bgColor indexed="64"/>
      </patternFill>
    </fill>
    <fill>
      <patternFill patternType="solid">
        <fgColor rgb="FF5D932D"/>
        <bgColor indexed="64"/>
      </patternFill>
    </fill>
    <fill>
      <patternFill patternType="solid">
        <fgColor rgb="FF5F942F"/>
        <bgColor indexed="64"/>
      </patternFill>
    </fill>
    <fill>
      <patternFill patternType="solid">
        <fgColor rgb="FF609430"/>
        <bgColor indexed="64"/>
      </patternFill>
    </fill>
    <fill>
      <patternFill patternType="solid">
        <fgColor rgb="FF5F9432"/>
        <bgColor indexed="64"/>
      </patternFill>
    </fill>
    <fill>
      <patternFill patternType="solid">
        <fgColor rgb="FF609334"/>
        <bgColor indexed="64"/>
      </patternFill>
    </fill>
    <fill>
      <patternFill patternType="solid">
        <fgColor rgb="FF619434"/>
        <bgColor indexed="64"/>
      </patternFill>
    </fill>
    <fill>
      <patternFill patternType="solid">
        <fgColor rgb="FF5E9235"/>
        <bgColor indexed="64"/>
      </patternFill>
    </fill>
    <fill>
      <patternFill patternType="solid">
        <fgColor rgb="FF4D463F"/>
        <bgColor indexed="64"/>
      </patternFill>
    </fill>
    <fill>
      <patternFill patternType="solid">
        <fgColor rgb="FF644D54"/>
        <bgColor indexed="64"/>
      </patternFill>
    </fill>
    <fill>
      <patternFill patternType="solid">
        <fgColor rgb="FF4B5139"/>
        <bgColor indexed="64"/>
      </patternFill>
    </fill>
    <fill>
      <patternFill patternType="solid">
        <fgColor rgb="FF81547F"/>
        <bgColor indexed="64"/>
      </patternFill>
    </fill>
    <fill>
      <patternFill patternType="solid">
        <fgColor rgb="FF956296"/>
        <bgColor indexed="64"/>
      </patternFill>
    </fill>
    <fill>
      <patternFill patternType="solid">
        <fgColor rgb="FF916092"/>
        <bgColor indexed="64"/>
      </patternFill>
    </fill>
    <fill>
      <patternFill patternType="solid">
        <fgColor rgb="FF946194"/>
        <bgColor indexed="64"/>
      </patternFill>
    </fill>
    <fill>
      <patternFill patternType="solid">
        <fgColor rgb="FF925E92"/>
        <bgColor indexed="64"/>
      </patternFill>
    </fill>
    <fill>
      <patternFill patternType="solid">
        <fgColor rgb="FF8E5F92"/>
        <bgColor indexed="64"/>
      </patternFill>
    </fill>
    <fill>
      <patternFill patternType="solid">
        <fgColor rgb="FF8E6091"/>
        <bgColor indexed="64"/>
      </patternFill>
    </fill>
    <fill>
      <patternFill patternType="solid">
        <fgColor rgb="FF8F5E92"/>
        <bgColor indexed="64"/>
      </patternFill>
    </fill>
    <fill>
      <patternFill patternType="solid">
        <fgColor rgb="FF905E93"/>
        <bgColor indexed="64"/>
      </patternFill>
    </fill>
    <fill>
      <patternFill patternType="solid">
        <fgColor rgb="FF8E5E90"/>
        <bgColor indexed="64"/>
      </patternFill>
    </fill>
    <fill>
      <patternFill patternType="solid">
        <fgColor rgb="FF925F92"/>
        <bgColor indexed="64"/>
      </patternFill>
    </fill>
    <fill>
      <patternFill patternType="solid">
        <fgColor rgb="FF915F92"/>
        <bgColor indexed="64"/>
      </patternFill>
    </fill>
    <fill>
      <patternFill patternType="solid">
        <fgColor rgb="FF8D6092"/>
        <bgColor indexed="64"/>
      </patternFill>
    </fill>
    <fill>
      <patternFill patternType="solid">
        <fgColor rgb="FF91608F"/>
        <bgColor indexed="64"/>
      </patternFill>
    </fill>
    <fill>
      <patternFill patternType="solid">
        <fgColor rgb="FF996497"/>
        <bgColor indexed="64"/>
      </patternFill>
    </fill>
    <fill>
      <patternFill patternType="solid">
        <fgColor rgb="FF714D6A"/>
        <bgColor indexed="64"/>
      </patternFill>
    </fill>
    <fill>
      <patternFill patternType="solid">
        <fgColor rgb="FFBFB328"/>
        <bgColor indexed="64"/>
      </patternFill>
    </fill>
    <fill>
      <patternFill patternType="solid">
        <fgColor rgb="FFCBC82B"/>
        <bgColor indexed="64"/>
      </patternFill>
    </fill>
    <fill>
      <patternFill patternType="solid">
        <fgColor rgb="FF6D515D"/>
        <bgColor indexed="64"/>
      </patternFill>
    </fill>
    <fill>
      <patternFill patternType="solid">
        <fgColor rgb="FF906194"/>
        <bgColor indexed="64"/>
      </patternFill>
    </fill>
    <fill>
      <patternFill patternType="solid">
        <fgColor rgb="FF5C405C"/>
        <bgColor indexed="64"/>
      </patternFill>
    </fill>
    <fill>
      <patternFill patternType="solid">
        <fgColor rgb="FF2E3820"/>
        <bgColor indexed="64"/>
      </patternFill>
    </fill>
    <fill>
      <patternFill patternType="solid">
        <fgColor rgb="FF497427"/>
        <bgColor indexed="64"/>
      </patternFill>
    </fill>
    <fill>
      <patternFill patternType="solid">
        <fgColor rgb="FF5C9236"/>
        <bgColor indexed="64"/>
      </patternFill>
    </fill>
    <fill>
      <patternFill patternType="solid">
        <fgColor rgb="FF5A9033"/>
        <bgColor indexed="64"/>
      </patternFill>
    </fill>
    <fill>
      <patternFill patternType="solid">
        <fgColor rgb="FF436E27"/>
        <bgColor indexed="64"/>
      </patternFill>
    </fill>
    <fill>
      <patternFill patternType="solid">
        <fgColor rgb="FF9E9F26"/>
        <bgColor indexed="64"/>
      </patternFill>
    </fill>
    <fill>
      <patternFill patternType="solid">
        <fgColor rgb="FFDFDB32"/>
        <bgColor indexed="64"/>
      </patternFill>
    </fill>
    <fill>
      <patternFill patternType="solid">
        <fgColor rgb="FF5A7524"/>
        <bgColor indexed="64"/>
      </patternFill>
    </fill>
    <fill>
      <patternFill patternType="solid">
        <fgColor rgb="FF679B42"/>
        <bgColor indexed="64"/>
      </patternFill>
    </fill>
    <fill>
      <patternFill patternType="solid">
        <fgColor rgb="FF5D963A"/>
        <bgColor indexed="64"/>
      </patternFill>
    </fill>
    <fill>
      <patternFill patternType="solid">
        <fgColor rgb="FF446E2D"/>
        <bgColor indexed="64"/>
      </patternFill>
    </fill>
    <fill>
      <patternFill patternType="solid">
        <fgColor rgb="FFA2AB28"/>
        <bgColor indexed="64"/>
      </patternFill>
    </fill>
    <fill>
      <patternFill patternType="solid">
        <fgColor rgb="FFBCBC2D"/>
        <bgColor indexed="64"/>
      </patternFill>
    </fill>
    <fill>
      <patternFill patternType="solid">
        <fgColor rgb="FF3E6622"/>
        <bgColor indexed="64"/>
      </patternFill>
    </fill>
    <fill>
      <patternFill patternType="solid">
        <fgColor rgb="FF4A892D"/>
        <bgColor indexed="64"/>
      </patternFill>
    </fill>
    <fill>
      <patternFill patternType="solid">
        <fgColor rgb="FF4B852D"/>
        <bgColor indexed="64"/>
      </patternFill>
    </fill>
    <fill>
      <patternFill patternType="solid">
        <fgColor rgb="FF4C852D"/>
        <bgColor indexed="64"/>
      </patternFill>
    </fill>
    <fill>
      <patternFill patternType="solid">
        <fgColor rgb="FF49832C"/>
        <bgColor indexed="64"/>
      </patternFill>
    </fill>
    <fill>
      <patternFill patternType="solid">
        <fgColor rgb="FF47812C"/>
        <bgColor indexed="64"/>
      </patternFill>
    </fill>
    <fill>
      <patternFill patternType="solid">
        <fgColor rgb="FF447F2C"/>
        <bgColor indexed="64"/>
      </patternFill>
    </fill>
    <fill>
      <patternFill patternType="solid">
        <fgColor rgb="FF447E2A"/>
        <bgColor indexed="64"/>
      </patternFill>
    </fill>
    <fill>
      <patternFill patternType="solid">
        <fgColor rgb="FF46812B"/>
        <bgColor indexed="64"/>
      </patternFill>
    </fill>
    <fill>
      <patternFill patternType="solid">
        <fgColor rgb="FF32561A"/>
        <bgColor indexed="64"/>
      </patternFill>
    </fill>
    <fill>
      <patternFill patternType="solid">
        <fgColor rgb="FFA6A926"/>
        <bgColor indexed="64"/>
      </patternFill>
    </fill>
    <fill>
      <patternFill patternType="solid">
        <fgColor rgb="FF838F20"/>
        <bgColor indexed="64"/>
      </patternFill>
    </fill>
    <fill>
      <patternFill patternType="solid">
        <fgColor rgb="FF2B5C19"/>
        <bgColor indexed="64"/>
      </patternFill>
    </fill>
    <fill>
      <patternFill patternType="solid">
        <fgColor rgb="FF386516"/>
        <bgColor indexed="64"/>
      </patternFill>
    </fill>
    <fill>
      <patternFill patternType="solid">
        <fgColor rgb="FF949F22"/>
        <bgColor indexed="64"/>
      </patternFill>
    </fill>
    <fill>
      <patternFill patternType="solid">
        <fgColor rgb="FF68711B"/>
        <bgColor indexed="64"/>
      </patternFill>
    </fill>
    <fill>
      <patternFill patternType="solid">
        <fgColor rgb="FF244E14"/>
        <bgColor indexed="64"/>
      </patternFill>
    </fill>
    <fill>
      <patternFill patternType="solid">
        <fgColor rgb="FF536715"/>
        <bgColor indexed="64"/>
      </patternFill>
    </fill>
    <fill>
      <patternFill patternType="solid">
        <fgColor rgb="FF505915"/>
        <bgColor indexed="64"/>
      </patternFill>
    </fill>
    <fill>
      <patternFill patternType="solid">
        <fgColor rgb="FF295A1D"/>
        <bgColor indexed="64"/>
      </patternFill>
    </fill>
    <fill>
      <patternFill patternType="solid">
        <fgColor rgb="FF316B23"/>
        <bgColor indexed="64"/>
      </patternFill>
    </fill>
    <fill>
      <patternFill patternType="solid">
        <fgColor rgb="FFF07627"/>
        <bgColor indexed="64"/>
      </patternFill>
    </fill>
    <fill>
      <patternFill patternType="solid">
        <fgColor rgb="FFE9752A"/>
        <bgColor indexed="64"/>
      </patternFill>
    </fill>
    <fill>
      <patternFill patternType="solid">
        <fgColor rgb="FFEF762A"/>
        <bgColor indexed="64"/>
      </patternFill>
    </fill>
    <fill>
      <patternFill patternType="solid">
        <fgColor rgb="FFE47627"/>
        <bgColor indexed="64"/>
      </patternFill>
    </fill>
    <fill>
      <patternFill patternType="solid">
        <fgColor rgb="FFD96927"/>
        <bgColor indexed="64"/>
      </patternFill>
    </fill>
    <fill>
      <patternFill patternType="solid">
        <fgColor rgb="FFF67E2E"/>
        <bgColor indexed="64"/>
      </patternFill>
    </fill>
    <fill>
      <patternFill patternType="solid">
        <fgColor rgb="FFEC7C29"/>
        <bgColor indexed="64"/>
      </patternFill>
    </fill>
    <fill>
      <patternFill patternType="solid">
        <fgColor rgb="FFF6822D"/>
        <bgColor indexed="64"/>
      </patternFill>
    </fill>
    <fill>
      <patternFill patternType="solid">
        <fgColor rgb="FFAC5F20"/>
        <bgColor indexed="64"/>
      </patternFill>
    </fill>
    <fill>
      <patternFill patternType="solid">
        <fgColor rgb="FF52611E"/>
        <bgColor indexed="64"/>
      </patternFill>
    </fill>
    <fill>
      <patternFill patternType="solid">
        <fgColor rgb="FF62872A"/>
        <bgColor indexed="64"/>
      </patternFill>
    </fill>
    <fill>
      <patternFill patternType="solid">
        <fgColor rgb="FF5B8727"/>
        <bgColor indexed="64"/>
      </patternFill>
    </fill>
    <fill>
      <patternFill patternType="solid">
        <fgColor rgb="FF5C8E2A"/>
        <bgColor indexed="64"/>
      </patternFill>
    </fill>
    <fill>
      <patternFill patternType="solid">
        <fgColor rgb="FF61962E"/>
        <bgColor indexed="64"/>
      </patternFill>
    </fill>
    <fill>
      <patternFill patternType="solid">
        <fgColor rgb="FF314A1C"/>
        <bgColor indexed="64"/>
      </patternFill>
    </fill>
    <fill>
      <patternFill patternType="solid">
        <fgColor rgb="FF1B1905"/>
        <bgColor indexed="64"/>
      </patternFill>
    </fill>
    <fill>
      <patternFill patternType="solid">
        <fgColor rgb="FF222208"/>
        <bgColor indexed="64"/>
      </patternFill>
    </fill>
    <fill>
      <patternFill patternType="solid">
        <fgColor rgb="FF181804"/>
        <bgColor indexed="64"/>
      </patternFill>
    </fill>
    <fill>
      <patternFill patternType="solid">
        <fgColor rgb="FF324B18"/>
        <bgColor indexed="64"/>
      </patternFill>
    </fill>
    <fill>
      <patternFill patternType="solid">
        <fgColor rgb="FF5F9532"/>
        <bgColor indexed="64"/>
      </patternFill>
    </fill>
    <fill>
      <patternFill patternType="solid">
        <fgColor rgb="FF5A8E2C"/>
        <bgColor indexed="64"/>
      </patternFill>
    </fill>
    <fill>
      <patternFill patternType="solid">
        <fgColor rgb="FF5B8F2D"/>
        <bgColor indexed="64"/>
      </patternFill>
    </fill>
    <fill>
      <patternFill patternType="solid">
        <fgColor rgb="FF5D912E"/>
        <bgColor indexed="64"/>
      </patternFill>
    </fill>
    <fill>
      <patternFill patternType="solid">
        <fgColor rgb="FF609331"/>
        <bgColor indexed="64"/>
      </patternFill>
    </fill>
    <fill>
      <patternFill patternType="solid">
        <fgColor rgb="FF5F932E"/>
        <bgColor indexed="64"/>
      </patternFill>
    </fill>
    <fill>
      <patternFill patternType="solid">
        <fgColor rgb="FF609231"/>
        <bgColor indexed="64"/>
      </patternFill>
    </fill>
    <fill>
      <patternFill patternType="solid">
        <fgColor rgb="FF5F9132"/>
        <bgColor indexed="64"/>
      </patternFill>
    </fill>
    <fill>
      <patternFill patternType="solid">
        <fgColor rgb="FF609332"/>
        <bgColor indexed="64"/>
      </patternFill>
    </fill>
    <fill>
      <patternFill patternType="solid">
        <fgColor rgb="FF5C9430"/>
        <bgColor indexed="64"/>
      </patternFill>
    </fill>
    <fill>
      <patternFill patternType="solid">
        <fgColor rgb="FF555C44"/>
        <bgColor indexed="64"/>
      </patternFill>
    </fill>
    <fill>
      <patternFill patternType="solid">
        <fgColor rgb="FF885788"/>
        <bgColor indexed="64"/>
      </patternFill>
    </fill>
    <fill>
      <patternFill patternType="solid">
        <fgColor rgb="FF613F5B"/>
        <bgColor indexed="64"/>
      </patternFill>
    </fill>
    <fill>
      <patternFill patternType="solid">
        <fgColor rgb="FF7D537A"/>
        <bgColor indexed="64"/>
      </patternFill>
    </fill>
    <fill>
      <patternFill patternType="solid">
        <fgColor rgb="FF906093"/>
        <bgColor indexed="64"/>
      </patternFill>
    </fill>
    <fill>
      <patternFill patternType="solid">
        <fgColor rgb="FF8E5E8F"/>
        <bgColor indexed="64"/>
      </patternFill>
    </fill>
    <fill>
      <patternFill patternType="solid">
        <fgColor rgb="FF915E8F"/>
        <bgColor indexed="64"/>
      </patternFill>
    </fill>
    <fill>
      <patternFill patternType="solid">
        <fgColor rgb="FF8D5D8F"/>
        <bgColor indexed="64"/>
      </patternFill>
    </fill>
    <fill>
      <patternFill patternType="solid">
        <fgColor rgb="FF8B5F90"/>
        <bgColor indexed="64"/>
      </patternFill>
    </fill>
    <fill>
      <patternFill patternType="solid">
        <fgColor rgb="FF8F5F8F"/>
        <bgColor indexed="64"/>
      </patternFill>
    </fill>
    <fill>
      <patternFill patternType="solid">
        <fgColor rgb="FF976394"/>
        <bgColor indexed="64"/>
      </patternFill>
    </fill>
    <fill>
      <patternFill patternType="solid">
        <fgColor rgb="FF714D6C"/>
        <bgColor indexed="64"/>
      </patternFill>
    </fill>
    <fill>
      <patternFill patternType="solid">
        <fgColor rgb="FFB5AC27"/>
        <bgColor indexed="64"/>
      </patternFill>
    </fill>
    <fill>
      <patternFill patternType="solid">
        <fgColor rgb="FFD6D32C"/>
        <bgColor indexed="64"/>
      </patternFill>
    </fill>
    <fill>
      <patternFill patternType="solid">
        <fgColor rgb="FF5F4C42"/>
        <bgColor indexed="64"/>
      </patternFill>
    </fill>
    <fill>
      <patternFill patternType="solid">
        <fgColor rgb="FF533C55"/>
        <bgColor indexed="64"/>
      </patternFill>
    </fill>
    <fill>
      <patternFill patternType="solid">
        <fgColor rgb="FF2F471D"/>
        <bgColor indexed="64"/>
      </patternFill>
    </fill>
    <fill>
      <patternFill patternType="solid">
        <fgColor rgb="FF548B29"/>
        <bgColor indexed="64"/>
      </patternFill>
    </fill>
    <fill>
      <patternFill patternType="solid">
        <fgColor rgb="FF508526"/>
        <bgColor indexed="64"/>
      </patternFill>
    </fill>
    <fill>
      <patternFill patternType="solid">
        <fgColor rgb="FF56892F"/>
        <bgColor indexed="64"/>
      </patternFill>
    </fill>
    <fill>
      <patternFill patternType="solid">
        <fgColor rgb="FF598F32"/>
        <bgColor indexed="64"/>
      </patternFill>
    </fill>
    <fill>
      <patternFill patternType="solid">
        <fgColor rgb="FF5D9533"/>
        <bgColor indexed="64"/>
      </patternFill>
    </fill>
    <fill>
      <patternFill patternType="solid">
        <fgColor rgb="FF426D28"/>
        <bgColor indexed="64"/>
      </patternFill>
    </fill>
    <fill>
      <patternFill patternType="solid">
        <fgColor rgb="FF9B9F25"/>
        <bgColor indexed="64"/>
      </patternFill>
    </fill>
    <fill>
      <patternFill patternType="solid">
        <fgColor rgb="FFDFDF34"/>
        <bgColor indexed="64"/>
      </patternFill>
    </fill>
    <fill>
      <patternFill patternType="solid">
        <fgColor rgb="FF5C7324"/>
        <bgColor indexed="64"/>
      </patternFill>
    </fill>
    <fill>
      <patternFill patternType="solid">
        <fgColor rgb="FF5B9136"/>
        <bgColor indexed="64"/>
      </patternFill>
    </fill>
    <fill>
      <patternFill patternType="solid">
        <fgColor rgb="FF5C9233"/>
        <bgColor indexed="64"/>
      </patternFill>
    </fill>
    <fill>
      <patternFill patternType="solid">
        <fgColor rgb="FF5A9338"/>
        <bgColor indexed="64"/>
      </patternFill>
    </fill>
    <fill>
      <patternFill patternType="solid">
        <fgColor rgb="FF47702C"/>
        <bgColor indexed="64"/>
      </patternFill>
    </fill>
    <fill>
      <patternFill patternType="solid">
        <fgColor rgb="FF989B26"/>
        <bgColor indexed="64"/>
      </patternFill>
    </fill>
    <fill>
      <patternFill patternType="solid">
        <fgColor rgb="FFA9AB29"/>
        <bgColor indexed="64"/>
      </patternFill>
    </fill>
    <fill>
      <patternFill patternType="solid">
        <fgColor rgb="FF3F6D24"/>
        <bgColor indexed="64"/>
      </patternFill>
    </fill>
    <fill>
      <patternFill patternType="solid">
        <fgColor rgb="FF4B8830"/>
        <bgColor indexed="64"/>
      </patternFill>
    </fill>
    <fill>
      <patternFill patternType="solid">
        <fgColor rgb="FF4B832C"/>
        <bgColor indexed="64"/>
      </patternFill>
    </fill>
    <fill>
      <patternFill patternType="solid">
        <fgColor rgb="FF48832D"/>
        <bgColor indexed="64"/>
      </patternFill>
    </fill>
    <fill>
      <patternFill patternType="solid">
        <fgColor rgb="FF47832D"/>
        <bgColor indexed="64"/>
      </patternFill>
    </fill>
    <fill>
      <patternFill patternType="solid">
        <fgColor rgb="FF46822B"/>
        <bgColor indexed="64"/>
      </patternFill>
    </fill>
    <fill>
      <patternFill patternType="solid">
        <fgColor rgb="FF3B7126"/>
        <bgColor indexed="64"/>
      </patternFill>
    </fill>
    <fill>
      <patternFill patternType="solid">
        <fgColor rgb="FF437F27"/>
        <bgColor indexed="64"/>
      </patternFill>
    </fill>
    <fill>
      <patternFill patternType="solid">
        <fgColor rgb="FF32621E"/>
        <bgColor indexed="64"/>
      </patternFill>
    </fill>
    <fill>
      <patternFill patternType="solid">
        <fgColor rgb="FF6B6E1F"/>
        <bgColor indexed="64"/>
      </patternFill>
    </fill>
    <fill>
      <patternFill patternType="solid">
        <fgColor rgb="FF737223"/>
        <bgColor indexed="64"/>
      </patternFill>
    </fill>
    <fill>
      <patternFill patternType="solid">
        <fgColor rgb="FF284913"/>
        <bgColor indexed="64"/>
      </patternFill>
    </fill>
    <fill>
      <patternFill patternType="solid">
        <fgColor rgb="FF87961E"/>
        <bgColor indexed="64"/>
      </patternFill>
    </fill>
    <fill>
      <patternFill patternType="solid">
        <fgColor rgb="FF988E20"/>
        <bgColor indexed="64"/>
      </patternFill>
    </fill>
    <fill>
      <patternFill patternType="solid">
        <fgColor rgb="FF344B0E"/>
        <bgColor indexed="64"/>
      </patternFill>
    </fill>
    <fill>
      <patternFill patternType="solid">
        <fgColor rgb="FF849B1F"/>
        <bgColor indexed="64"/>
      </patternFill>
    </fill>
    <fill>
      <patternFill patternType="solid">
        <fgColor rgb="FFA6AB24"/>
        <bgColor indexed="64"/>
      </patternFill>
    </fill>
    <fill>
      <patternFill patternType="solid">
        <fgColor rgb="FF656D19"/>
        <bgColor indexed="64"/>
      </patternFill>
    </fill>
    <fill>
      <patternFill patternType="solid">
        <fgColor rgb="FF23551A"/>
        <bgColor indexed="64"/>
      </patternFill>
    </fill>
    <fill>
      <patternFill patternType="solid">
        <fgColor rgb="FF285A1E"/>
        <bgColor indexed="64"/>
      </patternFill>
    </fill>
    <fill>
      <patternFill patternType="solid">
        <fgColor rgb="FF1B4616"/>
        <bgColor indexed="64"/>
      </patternFill>
    </fill>
    <fill>
      <patternFill patternType="solid">
        <fgColor rgb="FFEB7228"/>
        <bgColor indexed="64"/>
      </patternFill>
    </fill>
    <fill>
      <patternFill patternType="solid">
        <fgColor rgb="FFE67326"/>
        <bgColor indexed="64"/>
      </patternFill>
    </fill>
    <fill>
      <patternFill patternType="solid">
        <fgColor rgb="FFE87427"/>
        <bgColor indexed="64"/>
      </patternFill>
    </fill>
    <fill>
      <patternFill patternType="solid">
        <fgColor rgb="FFE57828"/>
        <bgColor indexed="64"/>
      </patternFill>
    </fill>
    <fill>
      <patternFill patternType="solid">
        <fgColor rgb="FFC56A21"/>
        <bgColor indexed="64"/>
      </patternFill>
    </fill>
    <fill>
      <patternFill patternType="solid">
        <fgColor rgb="FFB7571F"/>
        <bgColor indexed="64"/>
      </patternFill>
    </fill>
    <fill>
      <patternFill patternType="solid">
        <fgColor rgb="FFEC742B"/>
        <bgColor indexed="64"/>
      </patternFill>
    </fill>
    <fill>
      <patternFill patternType="solid">
        <fgColor rgb="FFEC7A2B"/>
        <bgColor indexed="64"/>
      </patternFill>
    </fill>
    <fill>
      <patternFill patternType="solid">
        <fgColor rgb="FFD66A24"/>
        <bgColor indexed="64"/>
      </patternFill>
    </fill>
    <fill>
      <patternFill patternType="solid">
        <fgColor rgb="FF806823"/>
        <bgColor indexed="64"/>
      </patternFill>
    </fill>
    <fill>
      <patternFill patternType="solid">
        <fgColor rgb="FF588F2E"/>
        <bgColor indexed="64"/>
      </patternFill>
    </fill>
    <fill>
      <patternFill patternType="solid">
        <fgColor rgb="FF5F902D"/>
        <bgColor indexed="64"/>
      </patternFill>
    </fill>
    <fill>
      <patternFill patternType="solid">
        <fgColor rgb="FF598C29"/>
        <bgColor indexed="64"/>
      </patternFill>
    </fill>
    <fill>
      <patternFill patternType="solid">
        <fgColor rgb="FF5B922A"/>
        <bgColor indexed="64"/>
      </patternFill>
    </fill>
    <fill>
      <patternFill patternType="solid">
        <fgColor rgb="FF4A451A"/>
        <bgColor indexed="64"/>
      </patternFill>
    </fill>
    <fill>
      <patternFill patternType="solid">
        <fgColor rgb="FF292B08"/>
        <bgColor indexed="64"/>
      </patternFill>
    </fill>
    <fill>
      <patternFill patternType="solid">
        <fgColor rgb="FF141402"/>
        <bgColor indexed="64"/>
      </patternFill>
    </fill>
    <fill>
      <patternFill patternType="solid">
        <fgColor rgb="FF2A3C13"/>
        <bgColor indexed="64"/>
      </patternFill>
    </fill>
    <fill>
      <patternFill patternType="solid">
        <fgColor rgb="FF5D8F2F"/>
        <bgColor indexed="64"/>
      </patternFill>
    </fill>
    <fill>
      <patternFill patternType="solid">
        <fgColor rgb="FF578A2B"/>
        <bgColor indexed="64"/>
      </patternFill>
    </fill>
    <fill>
      <patternFill patternType="solid">
        <fgColor rgb="FF588C2D"/>
        <bgColor indexed="64"/>
      </patternFill>
    </fill>
    <fill>
      <patternFill patternType="solid">
        <fgColor rgb="FF5D912F"/>
        <bgColor indexed="64"/>
      </patternFill>
    </fill>
    <fill>
      <patternFill patternType="solid">
        <fgColor rgb="FF5B9030"/>
        <bgColor indexed="64"/>
      </patternFill>
    </fill>
    <fill>
      <patternFill patternType="solid">
        <fgColor rgb="FF5D8F30"/>
        <bgColor indexed="64"/>
      </patternFill>
    </fill>
    <fill>
      <patternFill patternType="solid">
        <fgColor rgb="FF5D8F32"/>
        <bgColor indexed="64"/>
      </patternFill>
    </fill>
    <fill>
      <patternFill patternType="solid">
        <fgColor rgb="FF619932"/>
        <bgColor indexed="64"/>
      </patternFill>
    </fill>
    <fill>
      <patternFill patternType="solid">
        <fgColor rgb="FF4A6631"/>
        <bgColor indexed="64"/>
      </patternFill>
    </fill>
    <fill>
      <patternFill patternType="solid">
        <fgColor rgb="FF7D507F"/>
        <bgColor indexed="64"/>
      </patternFill>
    </fill>
    <fill>
      <patternFill patternType="solid">
        <fgColor rgb="FF946394"/>
        <bgColor indexed="64"/>
      </patternFill>
    </fill>
    <fill>
      <patternFill patternType="solid">
        <fgColor rgb="FF855784"/>
        <bgColor indexed="64"/>
      </patternFill>
    </fill>
    <fill>
      <patternFill patternType="solid">
        <fgColor rgb="FF875886"/>
        <bgColor indexed="64"/>
      </patternFill>
    </fill>
    <fill>
      <patternFill patternType="solid">
        <fgColor rgb="FF8E5D8F"/>
        <bgColor indexed="64"/>
      </patternFill>
    </fill>
    <fill>
      <patternFill patternType="solid">
        <fgColor rgb="FF905C8D"/>
        <bgColor indexed="64"/>
      </patternFill>
    </fill>
    <fill>
      <patternFill patternType="solid">
        <fgColor rgb="FF8B5D8D"/>
        <bgColor indexed="64"/>
      </patternFill>
    </fill>
    <fill>
      <patternFill patternType="solid">
        <fgColor rgb="FF8A5C8C"/>
        <bgColor indexed="64"/>
      </patternFill>
    </fill>
    <fill>
      <patternFill patternType="solid">
        <fgColor rgb="FF906192"/>
        <bgColor indexed="64"/>
      </patternFill>
    </fill>
    <fill>
      <patternFill patternType="solid">
        <fgColor rgb="FF6D4968"/>
        <bgColor indexed="64"/>
      </patternFill>
    </fill>
    <fill>
      <patternFill patternType="solid">
        <fgColor rgb="FFACA125"/>
        <bgColor indexed="64"/>
      </patternFill>
    </fill>
    <fill>
      <patternFill patternType="solid">
        <fgColor rgb="FFE2E12F"/>
        <bgColor indexed="64"/>
      </patternFill>
    </fill>
    <fill>
      <patternFill patternType="solid">
        <fgColor rgb="FF706037"/>
        <bgColor indexed="64"/>
      </patternFill>
    </fill>
    <fill>
      <patternFill patternType="solid">
        <fgColor rgb="FF684A67"/>
        <bgColor indexed="64"/>
      </patternFill>
    </fill>
    <fill>
      <patternFill patternType="solid">
        <fgColor rgb="FF5D4854"/>
        <bgColor indexed="64"/>
      </patternFill>
    </fill>
    <fill>
      <patternFill patternType="solid">
        <fgColor rgb="FF526638"/>
        <bgColor indexed="64"/>
      </patternFill>
    </fill>
    <fill>
      <patternFill patternType="solid">
        <fgColor rgb="FF5A8E31"/>
        <bgColor indexed="64"/>
      </patternFill>
    </fill>
    <fill>
      <patternFill patternType="solid">
        <fgColor rgb="FF598E31"/>
        <bgColor indexed="64"/>
      </patternFill>
    </fill>
    <fill>
      <patternFill patternType="solid">
        <fgColor rgb="FF598E2F"/>
        <bgColor indexed="64"/>
      </patternFill>
    </fill>
    <fill>
      <patternFill patternType="solid">
        <fgColor rgb="FF406E26"/>
        <bgColor indexed="64"/>
      </patternFill>
    </fill>
    <fill>
      <patternFill patternType="solid">
        <fgColor rgb="FF8E9324"/>
        <bgColor indexed="64"/>
      </patternFill>
    </fill>
    <fill>
      <patternFill patternType="solid">
        <fgColor rgb="FFE9E633"/>
        <bgColor indexed="64"/>
      </patternFill>
    </fill>
    <fill>
      <patternFill patternType="solid">
        <fgColor rgb="FF5A6F21"/>
        <bgColor indexed="64"/>
      </patternFill>
    </fill>
    <fill>
      <patternFill patternType="solid">
        <fgColor rgb="FF518834"/>
        <bgColor indexed="64"/>
      </patternFill>
    </fill>
    <fill>
      <patternFill patternType="solid">
        <fgColor rgb="FF5C9136"/>
        <bgColor indexed="64"/>
      </patternFill>
    </fill>
    <fill>
      <patternFill patternType="solid">
        <fgColor rgb="FF568F35"/>
        <bgColor indexed="64"/>
      </patternFill>
    </fill>
    <fill>
      <patternFill patternType="solid">
        <fgColor rgb="FF476E2A"/>
        <bgColor indexed="64"/>
      </patternFill>
    </fill>
    <fill>
      <patternFill patternType="solid">
        <fgColor rgb="FF818324"/>
        <bgColor indexed="64"/>
      </patternFill>
    </fill>
    <fill>
      <patternFill patternType="solid">
        <fgColor rgb="FF99A128"/>
        <bgColor indexed="64"/>
      </patternFill>
    </fill>
    <fill>
      <patternFill patternType="solid">
        <fgColor rgb="FF3D6C21"/>
        <bgColor indexed="64"/>
      </patternFill>
    </fill>
    <fill>
      <patternFill patternType="solid">
        <fgColor rgb="FF498529"/>
        <bgColor indexed="64"/>
      </patternFill>
    </fill>
    <fill>
      <patternFill patternType="solid">
        <fgColor rgb="FF47812B"/>
        <bgColor indexed="64"/>
      </patternFill>
    </fill>
    <fill>
      <patternFill patternType="solid">
        <fgColor rgb="FF457F2A"/>
        <bgColor indexed="64"/>
      </patternFill>
    </fill>
    <fill>
      <patternFill patternType="solid">
        <fgColor rgb="FF43802A"/>
        <bgColor indexed="64"/>
      </patternFill>
    </fill>
    <fill>
      <patternFill patternType="solid">
        <fgColor rgb="FF43812A"/>
        <bgColor indexed="64"/>
      </patternFill>
    </fill>
    <fill>
      <patternFill patternType="solid">
        <fgColor rgb="FF46832A"/>
        <bgColor indexed="64"/>
      </patternFill>
    </fill>
    <fill>
      <patternFill patternType="solid">
        <fgColor rgb="FF34581B"/>
        <bgColor indexed="64"/>
      </patternFill>
    </fill>
    <fill>
      <patternFill patternType="solid">
        <fgColor rgb="FF3B5F1A"/>
        <bgColor indexed="64"/>
      </patternFill>
    </fill>
    <fill>
      <patternFill patternType="solid">
        <fgColor rgb="FF386D20"/>
        <bgColor indexed="64"/>
      </patternFill>
    </fill>
    <fill>
      <patternFill patternType="solid">
        <fgColor rgb="FF273511"/>
        <bgColor indexed="64"/>
      </patternFill>
    </fill>
    <fill>
      <patternFill patternType="solid">
        <fgColor rgb="FF24200E"/>
        <bgColor indexed="64"/>
      </patternFill>
    </fill>
    <fill>
      <patternFill patternType="solid">
        <fgColor rgb="FF5B661A"/>
        <bgColor indexed="64"/>
      </patternFill>
    </fill>
    <fill>
      <patternFill patternType="solid">
        <fgColor rgb="FFADA924"/>
        <bgColor indexed="64"/>
      </patternFill>
    </fill>
    <fill>
      <patternFill patternType="solid">
        <fgColor rgb="FF82821A"/>
        <bgColor indexed="64"/>
      </patternFill>
    </fill>
    <fill>
      <patternFill patternType="solid">
        <fgColor rgb="FF95A322"/>
        <bgColor indexed="64"/>
      </patternFill>
    </fill>
    <fill>
      <patternFill patternType="solid">
        <fgColor rgb="FFB4B725"/>
        <bgColor indexed="64"/>
      </patternFill>
    </fill>
    <fill>
      <patternFill patternType="solid">
        <fgColor rgb="FF938A1F"/>
        <bgColor indexed="64"/>
      </patternFill>
    </fill>
    <fill>
      <patternFill patternType="solid">
        <fgColor rgb="FF1A2709"/>
        <bgColor indexed="64"/>
      </patternFill>
    </fill>
    <fill>
      <patternFill patternType="solid">
        <fgColor rgb="FF244A10"/>
        <bgColor indexed="64"/>
      </patternFill>
    </fill>
    <fill>
      <patternFill patternType="solid">
        <fgColor rgb="FF4D6915"/>
        <bgColor indexed="64"/>
      </patternFill>
    </fill>
    <fill>
      <patternFill patternType="solid">
        <fgColor rgb="FF647917"/>
        <bgColor indexed="64"/>
      </patternFill>
    </fill>
    <fill>
      <patternFill patternType="solid">
        <fgColor rgb="FFF37628"/>
        <bgColor indexed="64"/>
      </patternFill>
    </fill>
    <fill>
      <patternFill patternType="solid">
        <fgColor rgb="FFED7527"/>
        <bgColor indexed="64"/>
      </patternFill>
    </fill>
    <fill>
      <patternFill patternType="solid">
        <fgColor rgb="FFEE7627"/>
        <bgColor indexed="64"/>
      </patternFill>
    </fill>
    <fill>
      <patternFill patternType="solid">
        <fgColor rgb="FFEE7728"/>
        <bgColor indexed="64"/>
      </patternFill>
    </fill>
    <fill>
      <patternFill patternType="solid">
        <fgColor rgb="FFF78229"/>
        <bgColor indexed="64"/>
      </patternFill>
    </fill>
    <fill>
      <patternFill patternType="solid">
        <fgColor rgb="FFB46620"/>
        <bgColor indexed="64"/>
      </patternFill>
    </fill>
    <fill>
      <patternFill patternType="solid">
        <fgColor rgb="FF6F4214"/>
        <bgColor indexed="64"/>
      </patternFill>
    </fill>
    <fill>
      <patternFill patternType="solid">
        <fgColor rgb="FFCD6F26"/>
        <bgColor indexed="64"/>
      </patternFill>
    </fill>
    <fill>
      <patternFill patternType="solid">
        <fgColor rgb="FFD87027"/>
        <bgColor indexed="64"/>
      </patternFill>
    </fill>
    <fill>
      <patternFill patternType="solid">
        <fgColor rgb="FF86551C"/>
        <bgColor indexed="64"/>
      </patternFill>
    </fill>
    <fill>
      <patternFill patternType="solid">
        <fgColor rgb="FF5A862A"/>
        <bgColor indexed="64"/>
      </patternFill>
    </fill>
    <fill>
      <patternFill patternType="solid">
        <fgColor rgb="FF5D912D"/>
        <bgColor indexed="64"/>
      </patternFill>
    </fill>
    <fill>
      <patternFill patternType="solid">
        <fgColor rgb="FF5B8F29"/>
        <bgColor indexed="64"/>
      </patternFill>
    </fill>
    <fill>
      <patternFill patternType="solid">
        <fgColor rgb="FF3F6924"/>
        <bgColor indexed="64"/>
      </patternFill>
    </fill>
    <fill>
      <patternFill patternType="solid">
        <fgColor rgb="FF807A27"/>
        <bgColor indexed="64"/>
      </patternFill>
    </fill>
    <fill>
      <patternFill patternType="solid">
        <fgColor rgb="FF3D3D0E"/>
        <bgColor indexed="64"/>
      </patternFill>
    </fill>
    <fill>
      <patternFill patternType="solid">
        <fgColor rgb="FF3C4F1A"/>
        <bgColor indexed="64"/>
      </patternFill>
    </fill>
    <fill>
      <patternFill patternType="solid">
        <fgColor rgb="FF5A8F2C"/>
        <bgColor indexed="64"/>
      </patternFill>
    </fill>
    <fill>
      <patternFill patternType="solid">
        <fgColor rgb="FF5A8E2D"/>
        <bgColor indexed="64"/>
      </patternFill>
    </fill>
    <fill>
      <patternFill patternType="solid">
        <fgColor rgb="FF5B902E"/>
        <bgColor indexed="64"/>
      </patternFill>
    </fill>
    <fill>
      <patternFill patternType="solid">
        <fgColor rgb="FF5D952C"/>
        <bgColor indexed="64"/>
      </patternFill>
    </fill>
    <fill>
      <patternFill patternType="solid">
        <fgColor rgb="FF5F962D"/>
        <bgColor indexed="64"/>
      </patternFill>
    </fill>
    <fill>
      <patternFill patternType="solid">
        <fgColor rgb="FF5E942D"/>
        <bgColor indexed="64"/>
      </patternFill>
    </fill>
    <fill>
      <patternFill patternType="solid">
        <fgColor rgb="FF5E942F"/>
        <bgColor indexed="64"/>
      </patternFill>
    </fill>
    <fill>
      <patternFill patternType="solid">
        <fgColor rgb="FF5C922E"/>
        <bgColor indexed="64"/>
      </patternFill>
    </fill>
    <fill>
      <patternFill patternType="solid">
        <fgColor rgb="FF5D922E"/>
        <bgColor indexed="64"/>
      </patternFill>
    </fill>
    <fill>
      <patternFill patternType="solid">
        <fgColor rgb="FF5C8F2E"/>
        <bgColor indexed="64"/>
      </patternFill>
    </fill>
    <fill>
      <patternFill patternType="solid">
        <fgColor rgb="FF5B8A2F"/>
        <bgColor indexed="64"/>
      </patternFill>
    </fill>
    <fill>
      <patternFill patternType="solid">
        <fgColor rgb="FF51812D"/>
        <bgColor indexed="64"/>
      </patternFill>
    </fill>
    <fill>
      <patternFill patternType="solid">
        <fgColor rgb="FF624D5C"/>
        <bgColor indexed="64"/>
      </patternFill>
    </fill>
    <fill>
      <patternFill patternType="solid">
        <fgColor rgb="FF905F94"/>
        <bgColor indexed="64"/>
      </patternFill>
    </fill>
    <fill>
      <patternFill patternType="solid">
        <fgColor rgb="FF8B5D8E"/>
        <bgColor indexed="64"/>
      </patternFill>
    </fill>
    <fill>
      <patternFill patternType="solid">
        <fgColor rgb="FF905E8F"/>
        <bgColor indexed="64"/>
      </patternFill>
    </fill>
    <fill>
      <patternFill patternType="solid">
        <fgColor rgb="FF915E91"/>
        <bgColor indexed="64"/>
      </patternFill>
    </fill>
    <fill>
      <patternFill patternType="solid">
        <fgColor rgb="FF8C5D8F"/>
        <bgColor indexed="64"/>
      </patternFill>
    </fill>
    <fill>
      <patternFill patternType="solid">
        <fgColor rgb="FF8C5C90"/>
        <bgColor indexed="64"/>
      </patternFill>
    </fill>
    <fill>
      <patternFill patternType="solid">
        <fgColor rgb="FF8B5D8F"/>
        <bgColor indexed="64"/>
      </patternFill>
    </fill>
    <fill>
      <patternFill patternType="solid">
        <fgColor rgb="FF8D5D91"/>
        <bgColor indexed="64"/>
      </patternFill>
    </fill>
    <fill>
      <patternFill patternType="solid">
        <fgColor rgb="FF8B5E8F"/>
        <bgColor indexed="64"/>
      </patternFill>
    </fill>
    <fill>
      <patternFill patternType="solid">
        <fgColor rgb="FF926496"/>
        <bgColor indexed="64"/>
      </patternFill>
    </fill>
    <fill>
      <patternFill patternType="solid">
        <fgColor rgb="FF6C486B"/>
        <bgColor indexed="64"/>
      </patternFill>
    </fill>
    <fill>
      <patternFill patternType="solid">
        <fgColor rgb="FFA29623"/>
        <bgColor indexed="64"/>
      </patternFill>
    </fill>
    <fill>
      <patternFill patternType="solid">
        <fgColor rgb="FF877045"/>
        <bgColor indexed="64"/>
      </patternFill>
    </fill>
    <fill>
      <patternFill patternType="solid">
        <fgColor rgb="FF916198"/>
        <bgColor indexed="64"/>
      </patternFill>
    </fill>
    <fill>
      <patternFill patternType="solid">
        <fgColor rgb="FF885D86"/>
        <bgColor indexed="64"/>
      </patternFill>
    </fill>
    <fill>
      <patternFill patternType="solid">
        <fgColor rgb="FF493649"/>
        <bgColor indexed="64"/>
      </patternFill>
    </fill>
    <fill>
      <patternFill patternType="solid">
        <fgColor rgb="FF324B1D"/>
        <bgColor indexed="64"/>
      </patternFill>
    </fill>
    <fill>
      <patternFill patternType="solid">
        <fgColor rgb="FF5D952F"/>
        <bgColor indexed="64"/>
      </patternFill>
    </fill>
    <fill>
      <patternFill patternType="solid">
        <fgColor rgb="FF4D842D"/>
        <bgColor indexed="64"/>
      </patternFill>
    </fill>
    <fill>
      <patternFill patternType="solid">
        <fgColor rgb="FF707C22"/>
        <bgColor indexed="64"/>
      </patternFill>
    </fill>
    <fill>
      <patternFill patternType="solid">
        <fgColor rgb="FFB4A528"/>
        <bgColor indexed="64"/>
      </patternFill>
    </fill>
    <fill>
      <patternFill patternType="solid">
        <fgColor rgb="FF657625"/>
        <bgColor indexed="64"/>
      </patternFill>
    </fill>
    <fill>
      <patternFill patternType="solid">
        <fgColor rgb="FF528B30"/>
        <bgColor indexed="64"/>
      </patternFill>
    </fill>
    <fill>
      <patternFill patternType="solid">
        <fgColor rgb="FF5C9434"/>
        <bgColor indexed="64"/>
      </patternFill>
    </fill>
    <fill>
      <patternFill patternType="solid">
        <fgColor rgb="FF599130"/>
        <bgColor indexed="64"/>
      </patternFill>
    </fill>
    <fill>
      <patternFill patternType="solid">
        <fgColor rgb="FF5B9534"/>
        <bgColor indexed="64"/>
      </patternFill>
    </fill>
    <fill>
      <patternFill patternType="solid">
        <fgColor rgb="FF385E26"/>
        <bgColor indexed="64"/>
      </patternFill>
    </fill>
    <fill>
      <patternFill patternType="solid">
        <fgColor rgb="FF5D5D14"/>
        <bgColor indexed="64"/>
      </patternFill>
    </fill>
    <fill>
      <patternFill patternType="solid">
        <fgColor rgb="FF9BA028"/>
        <bgColor indexed="64"/>
      </patternFill>
    </fill>
    <fill>
      <patternFill patternType="solid">
        <fgColor rgb="FF3A6D21"/>
        <bgColor indexed="64"/>
      </patternFill>
    </fill>
    <fill>
      <patternFill patternType="solid">
        <fgColor rgb="FF49862A"/>
        <bgColor indexed="64"/>
      </patternFill>
    </fill>
    <fill>
      <patternFill patternType="solid">
        <fgColor rgb="FF47822B"/>
        <bgColor indexed="64"/>
      </patternFill>
    </fill>
    <fill>
      <patternFill patternType="solid">
        <fgColor rgb="FF47832A"/>
        <bgColor indexed="64"/>
      </patternFill>
    </fill>
    <fill>
      <patternFill patternType="solid">
        <fgColor rgb="FF48842A"/>
        <bgColor indexed="64"/>
      </patternFill>
    </fill>
    <fill>
      <patternFill patternType="solid">
        <fgColor rgb="FF488629"/>
        <bgColor indexed="64"/>
      </patternFill>
    </fill>
    <fill>
      <patternFill patternType="solid">
        <fgColor rgb="FF438129"/>
        <bgColor indexed="64"/>
      </patternFill>
    </fill>
    <fill>
      <patternFill patternType="solid">
        <fgColor rgb="FF4B6A20"/>
        <bgColor indexed="64"/>
      </patternFill>
    </fill>
    <fill>
      <patternFill patternType="solid">
        <fgColor rgb="FFA1A725"/>
        <bgColor indexed="64"/>
      </patternFill>
    </fill>
    <fill>
      <patternFill patternType="solid">
        <fgColor rgb="FF6B7E1C"/>
        <bgColor indexed="64"/>
      </patternFill>
    </fill>
    <fill>
      <patternFill patternType="solid">
        <fgColor rgb="FF1E2E0D"/>
        <bgColor indexed="64"/>
      </patternFill>
    </fill>
    <fill>
      <patternFill patternType="solid">
        <fgColor rgb="FF070E02"/>
        <bgColor indexed="64"/>
      </patternFill>
    </fill>
    <fill>
      <patternFill patternType="solid">
        <fgColor rgb="FF445013"/>
        <bgColor indexed="64"/>
      </patternFill>
    </fill>
    <fill>
      <patternFill patternType="solid">
        <fgColor rgb="FFA2A523"/>
        <bgColor indexed="64"/>
      </patternFill>
    </fill>
    <fill>
      <patternFill patternType="solid">
        <fgColor rgb="FF949B1E"/>
        <bgColor indexed="64"/>
      </patternFill>
    </fill>
    <fill>
      <patternFill patternType="solid">
        <fgColor rgb="FFAEB223"/>
        <bgColor indexed="64"/>
      </patternFill>
    </fill>
    <fill>
      <patternFill patternType="solid">
        <fgColor rgb="FFABAC24"/>
        <bgColor indexed="64"/>
      </patternFill>
    </fill>
    <fill>
      <patternFill patternType="solid">
        <fgColor rgb="FF595B10"/>
        <bgColor indexed="64"/>
      </patternFill>
    </fill>
    <fill>
      <patternFill patternType="solid">
        <fgColor rgb="FF536E12"/>
        <bgColor indexed="64"/>
      </patternFill>
    </fill>
    <fill>
      <patternFill patternType="solid">
        <fgColor rgb="FF9BAA21"/>
        <bgColor indexed="64"/>
      </patternFill>
    </fill>
    <fill>
      <patternFill patternType="solid">
        <fgColor rgb="FFACB322"/>
        <bgColor indexed="64"/>
      </patternFill>
    </fill>
    <fill>
      <patternFill patternType="solid">
        <fgColor rgb="FF99961E"/>
        <bgColor indexed="64"/>
      </patternFill>
    </fill>
    <fill>
      <patternFill patternType="solid">
        <fgColor rgb="FFBF1F36"/>
        <bgColor indexed="64"/>
      </patternFill>
    </fill>
    <fill>
      <patternFill patternType="solid">
        <fgColor theme="0"/>
        <bgColor indexed="64"/>
      </patternFill>
    </fill>
  </fills>
  <borders count="3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1">
    <xf numFmtId="0" fontId="0" fillId="0" borderId="0"/>
    <xf numFmtId="0" fontId="3" fillId="0" borderId="0" applyNumberFormat="0" applyFill="0" applyBorder="0" applyAlignment="0" applyProtection="0"/>
    <xf numFmtId="0" fontId="12" fillId="0" borderId="0"/>
    <xf numFmtId="0" fontId="15" fillId="0" borderId="0"/>
    <xf numFmtId="0" fontId="1" fillId="0" borderId="0"/>
    <xf numFmtId="0" fontId="23" fillId="0" borderId="0" applyNumberFormat="0" applyFill="0" applyBorder="0" applyAlignment="0" applyProtection="0"/>
    <xf numFmtId="0" fontId="15" fillId="0" borderId="0"/>
    <xf numFmtId="0" fontId="12" fillId="0" borderId="0"/>
    <xf numFmtId="0" fontId="12" fillId="0" borderId="0"/>
    <xf numFmtId="0" fontId="1" fillId="0" borderId="0"/>
    <xf numFmtId="0" fontId="15" fillId="0" borderId="0"/>
  </cellStyleXfs>
  <cellXfs count="10648">
    <xf numFmtId="0" fontId="0" fillId="0" borderId="0" xfId="0"/>
    <xf numFmtId="0" fontId="2" fillId="3" borderId="3" xfId="0" applyFont="1" applyFill="1" applyBorder="1" applyAlignment="1" applyProtection="1">
      <alignment horizontal="center"/>
      <protection locked="0"/>
    </xf>
    <xf numFmtId="0" fontId="0" fillId="0" borderId="0" xfId="0" applyAlignment="1" applyProtection="1">
      <alignment horizontal="center"/>
      <protection locked="0"/>
    </xf>
    <xf numFmtId="0" fontId="2" fillId="3" borderId="3" xfId="0" applyFont="1" applyFill="1" applyBorder="1"/>
    <xf numFmtId="0" fontId="2" fillId="3" borderId="3" xfId="0" applyFont="1" applyFill="1" applyBorder="1" applyAlignment="1">
      <alignment horizontal="center"/>
    </xf>
    <xf numFmtId="0" fontId="2" fillId="3" borderId="0" xfId="0" applyFont="1" applyFill="1" applyAlignment="1" applyProtection="1">
      <alignment horizontal="center"/>
      <protection locked="0"/>
    </xf>
    <xf numFmtId="0" fontId="2" fillId="0" borderId="0" xfId="0" applyFont="1" applyAlignment="1" applyProtection="1">
      <alignment horizontal="center"/>
      <protection locked="0"/>
    </xf>
    <xf numFmtId="22" fontId="0" fillId="0" borderId="0" xfId="0" applyNumberFormat="1" applyAlignment="1" applyProtection="1">
      <alignment horizontal="center"/>
      <protection locked="0"/>
    </xf>
    <xf numFmtId="22" fontId="0" fillId="0" borderId="3" xfId="0" applyNumberFormat="1" applyBorder="1" applyAlignment="1" applyProtection="1">
      <alignment horizontal="center"/>
      <protection locked="0"/>
    </xf>
    <xf numFmtId="0" fontId="0" fillId="0" borderId="3" xfId="0" applyBorder="1"/>
    <xf numFmtId="0" fontId="0" fillId="0" borderId="3" xfId="0" applyBorder="1" applyAlignment="1">
      <alignment horizontal="center"/>
    </xf>
    <xf numFmtId="0" fontId="0" fillId="0" borderId="0" xfId="0" applyAlignment="1" applyProtection="1">
      <alignment horizontal="left"/>
      <protection locked="0"/>
    </xf>
    <xf numFmtId="0" fontId="4" fillId="0" borderId="0" xfId="0" applyFont="1" applyAlignment="1" applyProtection="1">
      <alignment horizontal="center"/>
      <protection locked="0"/>
    </xf>
    <xf numFmtId="4" fontId="0" fillId="0" borderId="0" xfId="0" applyNumberFormat="1" applyAlignment="1" applyProtection="1">
      <alignment horizontal="center"/>
      <protection locked="0"/>
    </xf>
    <xf numFmtId="0" fontId="0" fillId="0" borderId="4" xfId="0" applyBorder="1"/>
    <xf numFmtId="0" fontId="0" fillId="0" borderId="0" xfId="0" applyProtection="1">
      <protection locked="0"/>
    </xf>
    <xf numFmtId="19" fontId="0" fillId="0" borderId="0" xfId="0" applyNumberFormat="1" applyAlignment="1" applyProtection="1">
      <alignment horizontal="center"/>
      <protection locked="0"/>
    </xf>
    <xf numFmtId="0" fontId="0" fillId="0" borderId="0" xfId="0" quotePrefix="1"/>
    <xf numFmtId="0" fontId="5" fillId="0" borderId="0" xfId="0" applyFont="1" applyAlignment="1">
      <alignment horizontal="left" vertical="center"/>
    </xf>
    <xf numFmtId="0" fontId="3" fillId="0" borderId="0" xfId="1" applyAlignment="1">
      <alignment horizontal="left" vertical="center"/>
    </xf>
    <xf numFmtId="0" fontId="3" fillId="0" borderId="0" xfId="1" applyAlignment="1" applyProtection="1">
      <alignment horizontal="left"/>
      <protection locked="0"/>
    </xf>
    <xf numFmtId="0" fontId="3" fillId="0" borderId="3" xfId="1" applyBorder="1"/>
    <xf numFmtId="0" fontId="0" fillId="4" borderId="0" xfId="0" applyFill="1" applyProtection="1">
      <protection locked="0"/>
    </xf>
    <xf numFmtId="0" fontId="0" fillId="3" borderId="0" xfId="0" applyFill="1" applyProtection="1">
      <protection hidden="1"/>
    </xf>
    <xf numFmtId="0" fontId="6" fillId="3" borderId="0" xfId="0" applyFont="1" applyFill="1" applyAlignment="1" applyProtection="1">
      <alignment horizontal="left"/>
      <protection hidden="1"/>
    </xf>
    <xf numFmtId="0" fontId="0" fillId="3" borderId="0" xfId="0" applyFill="1" applyAlignment="1" applyProtection="1">
      <alignment horizontal="left"/>
      <protection hidden="1"/>
    </xf>
    <xf numFmtId="0" fontId="7" fillId="3" borderId="0" xfId="0" applyFont="1" applyFill="1" applyProtection="1">
      <protection hidden="1"/>
    </xf>
    <xf numFmtId="0" fontId="2" fillId="5" borderId="5" xfId="0" applyFont="1" applyFill="1" applyBorder="1" applyAlignment="1" applyProtection="1">
      <alignment horizontal="centerContinuous" vertical="center" wrapText="1"/>
      <protection hidden="1"/>
    </xf>
    <xf numFmtId="0" fontId="0" fillId="5" borderId="6" xfId="0" applyFill="1" applyBorder="1" applyAlignment="1" applyProtection="1">
      <alignment horizontal="centerContinuous"/>
      <protection hidden="1"/>
    </xf>
    <xf numFmtId="0" fontId="0" fillId="5" borderId="7" xfId="0" applyFill="1" applyBorder="1" applyAlignment="1" applyProtection="1">
      <alignment horizontal="centerContinuous"/>
      <protection hidden="1"/>
    </xf>
    <xf numFmtId="0" fontId="2" fillId="3" borderId="0" xfId="0" applyFont="1" applyFill="1" applyAlignment="1" applyProtection="1">
      <alignment horizontal="left"/>
      <protection hidden="1"/>
    </xf>
    <xf numFmtId="0" fontId="0" fillId="3" borderId="10" xfId="0" applyFill="1" applyBorder="1" applyAlignment="1" applyProtection="1">
      <alignment horizontal="center"/>
      <protection hidden="1"/>
    </xf>
    <xf numFmtId="0" fontId="0" fillId="2" borderId="0" xfId="0" applyFill="1" applyProtection="1">
      <protection locked="0"/>
    </xf>
    <xf numFmtId="164" fontId="0" fillId="3" borderId="0" xfId="0" applyNumberFormat="1" applyFill="1" applyAlignment="1" applyProtection="1">
      <alignment horizontal="center"/>
      <protection hidden="1"/>
    </xf>
    <xf numFmtId="0" fontId="0" fillId="3" borderId="0" xfId="0" applyFill="1" applyAlignment="1" applyProtection="1">
      <alignment horizontal="center"/>
      <protection hidden="1"/>
    </xf>
    <xf numFmtId="3" fontId="0" fillId="3" borderId="0" xfId="0" applyNumberFormat="1" applyFill="1" applyAlignment="1" applyProtection="1">
      <alignment horizontal="center"/>
      <protection hidden="1"/>
    </xf>
    <xf numFmtId="4" fontId="0" fillId="2" borderId="0" xfId="0" applyNumberFormat="1" applyFill="1" applyProtection="1">
      <protection locked="0"/>
    </xf>
    <xf numFmtId="0" fontId="0" fillId="2" borderId="1" xfId="0" applyFill="1" applyBorder="1" applyProtection="1">
      <protection locked="0"/>
    </xf>
    <xf numFmtId="3" fontId="0" fillId="0" borderId="0" xfId="0" applyNumberFormat="1" applyAlignment="1" applyProtection="1">
      <alignment horizontal="center"/>
      <protection locked="0"/>
    </xf>
    <xf numFmtId="0" fontId="9" fillId="0" borderId="0" xfId="0" applyFont="1" applyProtection="1">
      <protection locked="0"/>
    </xf>
    <xf numFmtId="0" fontId="10" fillId="0" borderId="0" xfId="0" applyFont="1" applyProtection="1">
      <protection locked="0"/>
    </xf>
    <xf numFmtId="0" fontId="11" fillId="0" borderId="0" xfId="0" applyFont="1" applyProtection="1">
      <protection locked="0"/>
    </xf>
    <xf numFmtId="0" fontId="0" fillId="0" borderId="0" xfId="0" applyAlignment="1" applyProtection="1">
      <alignment horizontal="right"/>
      <protection locked="0"/>
    </xf>
    <xf numFmtId="0" fontId="0" fillId="0" borderId="0" xfId="0" applyAlignment="1">
      <alignment horizontal="center"/>
    </xf>
    <xf numFmtId="0" fontId="2" fillId="0" borderId="0" xfId="0" applyFont="1"/>
    <xf numFmtId="0" fontId="13" fillId="6" borderId="0" xfId="0" applyFont="1" applyFill="1" applyProtection="1">
      <protection hidden="1"/>
    </xf>
    <xf numFmtId="3" fontId="0" fillId="0" borderId="0" xfId="0" applyNumberFormat="1"/>
    <xf numFmtId="0" fontId="16" fillId="0" borderId="0" xfId="4" applyFont="1"/>
    <xf numFmtId="0" fontId="17" fillId="7" borderId="2" xfId="4" applyFont="1" applyFill="1" applyBorder="1" applyAlignment="1">
      <alignment horizontal="centerContinuous" vertical="center"/>
    </xf>
    <xf numFmtId="0" fontId="18" fillId="0" borderId="0" xfId="4" applyFont="1"/>
    <xf numFmtId="3" fontId="18" fillId="0" borderId="0" xfId="4" applyNumberFormat="1" applyFont="1"/>
    <xf numFmtId="0" fontId="19" fillId="8" borderId="0" xfId="4" applyFont="1" applyFill="1" applyAlignment="1">
      <alignment horizontal="centerContinuous" vertical="center" wrapText="1"/>
    </xf>
    <xf numFmtId="0" fontId="1" fillId="0" borderId="0" xfId="4"/>
    <xf numFmtId="0" fontId="20" fillId="9" borderId="2" xfId="4" applyFont="1" applyFill="1" applyBorder="1" applyAlignment="1">
      <alignment horizontal="centerContinuous" vertical="center"/>
    </xf>
    <xf numFmtId="0" fontId="20" fillId="9" borderId="2" xfId="4" applyFont="1" applyFill="1" applyBorder="1" applyAlignment="1">
      <alignment horizontal="centerContinuous" vertical="center" wrapText="1"/>
    </xf>
    <xf numFmtId="3" fontId="16" fillId="0" borderId="0" xfId="4" applyNumberFormat="1" applyFont="1"/>
    <xf numFmtId="0" fontId="21" fillId="0" borderId="2" xfId="4" applyFont="1" applyBorder="1" applyAlignment="1">
      <alignment horizontal="centerContinuous"/>
    </xf>
    <xf numFmtId="0" fontId="22" fillId="0" borderId="2" xfId="4" applyFont="1" applyBorder="1" applyAlignment="1">
      <alignment horizontal="centerContinuous" wrapText="1"/>
    </xf>
    <xf numFmtId="0" fontId="22" fillId="0" borderId="0" xfId="4" applyFont="1" applyAlignment="1">
      <alignment wrapText="1"/>
    </xf>
    <xf numFmtId="0" fontId="24" fillId="0" borderId="0" xfId="5" applyFont="1" applyFill="1" applyBorder="1" applyAlignment="1">
      <alignment vertical="top"/>
    </xf>
    <xf numFmtId="0" fontId="20" fillId="9" borderId="13" xfId="4" applyFont="1" applyFill="1" applyBorder="1" applyAlignment="1">
      <alignment horizontal="centerContinuous" vertical="center"/>
    </xf>
    <xf numFmtId="0" fontId="25" fillId="0" borderId="14" xfId="4" applyFont="1" applyBorder="1" applyAlignment="1">
      <alignment horizontal="left" vertical="top"/>
    </xf>
    <xf numFmtId="0" fontId="26" fillId="0" borderId="15" xfId="4" applyFont="1" applyBorder="1" applyAlignment="1">
      <alignment vertical="top" wrapText="1"/>
    </xf>
    <xf numFmtId="0" fontId="26" fillId="0" borderId="16" xfId="4" applyFont="1" applyBorder="1" applyAlignment="1">
      <alignment vertical="top" wrapText="1"/>
    </xf>
    <xf numFmtId="0" fontId="25" fillId="0" borderId="17" xfId="4" applyFont="1" applyBorder="1" applyAlignment="1">
      <alignment horizontal="left" vertical="top"/>
    </xf>
    <xf numFmtId="0" fontId="26" fillId="0" borderId="0" xfId="4" applyFont="1" applyAlignment="1">
      <alignment vertical="top" wrapText="1"/>
    </xf>
    <xf numFmtId="0" fontId="26" fillId="0" borderId="18" xfId="4" applyFont="1" applyBorder="1" applyAlignment="1">
      <alignment vertical="top" wrapText="1"/>
    </xf>
    <xf numFmtId="0" fontId="26" fillId="0" borderId="20" xfId="4" applyFont="1" applyBorder="1" applyAlignment="1">
      <alignment vertical="top" wrapText="1"/>
    </xf>
    <xf numFmtId="0" fontId="26" fillId="0" borderId="21" xfId="4" applyFont="1" applyBorder="1" applyAlignment="1">
      <alignment vertical="top" wrapText="1"/>
    </xf>
    <xf numFmtId="0" fontId="1" fillId="0" borderId="0" xfId="4" applyAlignment="1">
      <alignment horizontal="center"/>
    </xf>
    <xf numFmtId="0" fontId="1" fillId="10" borderId="0" xfId="4" applyFill="1" applyAlignment="1">
      <alignment horizontal="center"/>
    </xf>
    <xf numFmtId="0" fontId="1" fillId="11" borderId="0" xfId="4" applyFill="1"/>
    <xf numFmtId="0" fontId="1" fillId="12" borderId="0" xfId="4" applyFill="1"/>
    <xf numFmtId="0" fontId="1" fillId="13" borderId="0" xfId="4" applyFill="1"/>
    <xf numFmtId="0" fontId="1" fillId="14" borderId="0" xfId="4" applyFill="1"/>
    <xf numFmtId="0" fontId="1" fillId="15" borderId="0" xfId="4" applyFill="1"/>
    <xf numFmtId="0" fontId="1" fillId="16" borderId="0" xfId="4" applyFill="1"/>
    <xf numFmtId="0" fontId="1" fillId="17" borderId="0" xfId="4" applyFill="1"/>
    <xf numFmtId="0" fontId="1" fillId="18" borderId="0" xfId="4" applyFill="1"/>
    <xf numFmtId="0" fontId="1" fillId="19" borderId="0" xfId="4" applyFill="1"/>
    <xf numFmtId="0" fontId="1" fillId="20" borderId="0" xfId="4" applyFill="1"/>
    <xf numFmtId="0" fontId="1" fillId="21" borderId="0" xfId="4" applyFill="1"/>
    <xf numFmtId="0" fontId="1" fillId="22" borderId="0" xfId="4" applyFill="1"/>
    <xf numFmtId="0" fontId="1" fillId="23" borderId="0" xfId="4" applyFill="1"/>
    <xf numFmtId="0" fontId="1" fillId="24" borderId="0" xfId="4" applyFill="1"/>
    <xf numFmtId="0" fontId="1" fillId="25" borderId="0" xfId="4" applyFill="1"/>
    <xf numFmtId="0" fontId="1" fillId="26" borderId="0" xfId="4" applyFill="1"/>
    <xf numFmtId="0" fontId="1" fillId="27" borderId="0" xfId="4" applyFill="1"/>
    <xf numFmtId="0" fontId="1" fillId="28" borderId="0" xfId="4" applyFill="1"/>
    <xf numFmtId="0" fontId="1" fillId="29" borderId="0" xfId="4" applyFill="1"/>
    <xf numFmtId="0" fontId="1" fillId="30" borderId="0" xfId="4" applyFill="1"/>
    <xf numFmtId="0" fontId="1" fillId="31" borderId="0" xfId="4" applyFill="1"/>
    <xf numFmtId="0" fontId="1" fillId="32" borderId="0" xfId="4" applyFill="1"/>
    <xf numFmtId="0" fontId="1" fillId="33" borderId="0" xfId="4" applyFill="1"/>
    <xf numFmtId="0" fontId="1" fillId="34" borderId="0" xfId="4" applyFill="1"/>
    <xf numFmtId="0" fontId="1" fillId="35" borderId="0" xfId="4" applyFill="1"/>
    <xf numFmtId="0" fontId="1" fillId="36" borderId="0" xfId="4" applyFill="1"/>
    <xf numFmtId="0" fontId="1" fillId="37" borderId="0" xfId="4" applyFill="1"/>
    <xf numFmtId="0" fontId="1" fillId="38" borderId="0" xfId="4" applyFill="1"/>
    <xf numFmtId="0" fontId="1" fillId="39" borderId="0" xfId="4" applyFill="1"/>
    <xf numFmtId="0" fontId="1" fillId="40" borderId="0" xfId="4" applyFill="1"/>
    <xf numFmtId="0" fontId="1" fillId="41" borderId="0" xfId="4" applyFill="1"/>
    <xf numFmtId="0" fontId="1" fillId="42" borderId="0" xfId="4" applyFill="1"/>
    <xf numFmtId="0" fontId="1" fillId="43" borderId="0" xfId="4" applyFill="1"/>
    <xf numFmtId="0" fontId="1" fillId="44" borderId="0" xfId="4" applyFill="1"/>
    <xf numFmtId="0" fontId="1" fillId="10" borderId="0" xfId="4" applyFill="1" applyAlignment="1">
      <alignment horizontal="left" vertical="center"/>
    </xf>
    <xf numFmtId="0" fontId="1" fillId="45" borderId="0" xfId="4" applyFill="1"/>
    <xf numFmtId="0" fontId="1" fillId="46" borderId="0" xfId="4" applyFill="1"/>
    <xf numFmtId="0" fontId="1" fillId="47" borderId="0" xfId="4" applyFill="1"/>
    <xf numFmtId="0" fontId="1" fillId="48" borderId="0" xfId="4" applyFill="1"/>
    <xf numFmtId="0" fontId="1" fillId="49" borderId="0" xfId="4" applyFill="1"/>
    <xf numFmtId="0" fontId="1" fillId="50" borderId="0" xfId="4" applyFill="1"/>
    <xf numFmtId="0" fontId="1" fillId="51" borderId="0" xfId="4" applyFill="1"/>
    <xf numFmtId="0" fontId="1" fillId="52" borderId="0" xfId="4" applyFill="1"/>
    <xf numFmtId="0" fontId="1" fillId="53" borderId="0" xfId="4" applyFill="1"/>
    <xf numFmtId="0" fontId="1" fillId="54" borderId="0" xfId="4" applyFill="1"/>
    <xf numFmtId="0" fontId="1" fillId="55" borderId="0" xfId="4" applyFill="1"/>
    <xf numFmtId="0" fontId="1" fillId="56" borderId="0" xfId="4" applyFill="1"/>
    <xf numFmtId="0" fontId="1" fillId="57" borderId="0" xfId="4" applyFill="1"/>
    <xf numFmtId="0" fontId="1" fillId="58" borderId="0" xfId="4" applyFill="1"/>
    <xf numFmtId="0" fontId="1" fillId="59" borderId="0" xfId="4" applyFill="1"/>
    <xf numFmtId="0" fontId="1" fillId="60" borderId="0" xfId="4" applyFill="1"/>
    <xf numFmtId="0" fontId="1" fillId="61" borderId="0" xfId="4" applyFill="1"/>
    <xf numFmtId="0" fontId="1" fillId="62" borderId="0" xfId="4" applyFill="1"/>
    <xf numFmtId="0" fontId="1" fillId="63" borderId="0" xfId="4" applyFill="1"/>
    <xf numFmtId="0" fontId="1" fillId="64" borderId="0" xfId="4" applyFill="1"/>
    <xf numFmtId="0" fontId="1" fillId="65" borderId="0" xfId="4" applyFill="1"/>
    <xf numFmtId="0" fontId="1" fillId="66" borderId="0" xfId="4" applyFill="1"/>
    <xf numFmtId="0" fontId="1" fillId="67" borderId="0" xfId="4" applyFill="1"/>
    <xf numFmtId="0" fontId="1" fillId="68" borderId="0" xfId="4" applyFill="1"/>
    <xf numFmtId="0" fontId="1" fillId="69" borderId="0" xfId="4" applyFill="1"/>
    <xf numFmtId="0" fontId="1" fillId="70" borderId="0" xfId="4" applyFill="1"/>
    <xf numFmtId="0" fontId="1" fillId="71" borderId="0" xfId="4" applyFill="1"/>
    <xf numFmtId="0" fontId="1" fillId="72" borderId="0" xfId="4" applyFill="1"/>
    <xf numFmtId="0" fontId="1" fillId="73" borderId="0" xfId="4" applyFill="1"/>
    <xf numFmtId="0" fontId="1" fillId="74" borderId="0" xfId="4" applyFill="1"/>
    <xf numFmtId="0" fontId="1" fillId="75" borderId="0" xfId="4" applyFill="1"/>
    <xf numFmtId="0" fontId="1" fillId="76" borderId="0" xfId="4" applyFill="1"/>
    <xf numFmtId="0" fontId="1" fillId="77" borderId="0" xfId="4" applyFill="1" applyAlignment="1">
      <alignment horizontal="left" vertical="center"/>
    </xf>
    <xf numFmtId="0" fontId="1" fillId="78" borderId="0" xfId="4" applyFill="1"/>
    <xf numFmtId="0" fontId="1" fillId="79" borderId="0" xfId="4" applyFill="1"/>
    <xf numFmtId="0" fontId="1" fillId="80" borderId="0" xfId="4" applyFill="1"/>
    <xf numFmtId="0" fontId="1" fillId="81" borderId="0" xfId="4" applyFill="1"/>
    <xf numFmtId="0" fontId="1" fillId="82" borderId="0" xfId="4" applyFill="1"/>
    <xf numFmtId="0" fontId="1" fillId="84" borderId="0" xfId="4" applyFill="1"/>
    <xf numFmtId="0" fontId="1" fillId="85" borderId="0" xfId="4" applyFill="1"/>
    <xf numFmtId="0" fontId="1" fillId="86" borderId="0" xfId="4" applyFill="1"/>
    <xf numFmtId="0" fontId="1" fillId="87" borderId="0" xfId="4" applyFill="1"/>
    <xf numFmtId="0" fontId="1" fillId="88" borderId="0" xfId="4" applyFill="1"/>
    <xf numFmtId="0" fontId="1" fillId="89" borderId="0" xfId="4" applyFill="1"/>
    <xf numFmtId="0" fontId="1" fillId="90" borderId="0" xfId="4" applyFill="1"/>
    <xf numFmtId="0" fontId="1" fillId="91" borderId="0" xfId="4" applyFill="1"/>
    <xf numFmtId="0" fontId="1" fillId="92" borderId="0" xfId="4" applyFill="1"/>
    <xf numFmtId="0" fontId="1" fillId="93" borderId="0" xfId="4" applyFill="1"/>
    <xf numFmtId="0" fontId="1" fillId="94" borderId="0" xfId="4" applyFill="1"/>
    <xf numFmtId="0" fontId="1" fillId="95" borderId="0" xfId="4" applyFill="1"/>
    <xf numFmtId="0" fontId="1" fillId="96" borderId="0" xfId="4" applyFill="1"/>
    <xf numFmtId="0" fontId="1" fillId="97" borderId="0" xfId="4" applyFill="1"/>
    <xf numFmtId="0" fontId="1" fillId="98" borderId="0" xfId="4" applyFill="1"/>
    <xf numFmtId="0" fontId="1" fillId="99" borderId="0" xfId="4" applyFill="1"/>
    <xf numFmtId="0" fontId="1" fillId="100" borderId="0" xfId="4" applyFill="1"/>
    <xf numFmtId="0" fontId="1" fillId="101" borderId="0" xfId="4" applyFill="1"/>
    <xf numFmtId="0" fontId="1" fillId="102" borderId="0" xfId="4" applyFill="1"/>
    <xf numFmtId="0" fontId="1" fillId="103" borderId="0" xfId="4" applyFill="1"/>
    <xf numFmtId="0" fontId="1" fillId="104" borderId="0" xfId="4" applyFill="1"/>
    <xf numFmtId="0" fontId="1" fillId="105" borderId="0" xfId="4" applyFill="1"/>
    <xf numFmtId="0" fontId="1" fillId="106" borderId="0" xfId="4" applyFill="1"/>
    <xf numFmtId="0" fontId="1" fillId="107" borderId="0" xfId="4" applyFill="1"/>
    <xf numFmtId="0" fontId="1" fillId="108" borderId="0" xfId="4" applyFill="1"/>
    <xf numFmtId="0" fontId="1" fillId="109" borderId="0" xfId="4" applyFill="1"/>
    <xf numFmtId="0" fontId="1" fillId="110" borderId="0" xfId="4" applyFill="1"/>
    <xf numFmtId="0" fontId="1" fillId="111" borderId="0" xfId="4" applyFill="1"/>
    <xf numFmtId="0" fontId="1" fillId="112" borderId="0" xfId="4" applyFill="1"/>
    <xf numFmtId="0" fontId="1" fillId="113" borderId="0" xfId="4" applyFill="1"/>
    <xf numFmtId="0" fontId="1" fillId="114" borderId="0" xfId="4" applyFill="1"/>
    <xf numFmtId="0" fontId="1" fillId="115" borderId="0" xfId="4" applyFill="1"/>
    <xf numFmtId="0" fontId="1" fillId="116" borderId="0" xfId="4" applyFill="1"/>
    <xf numFmtId="0" fontId="1" fillId="117" borderId="0" xfId="4" applyFill="1"/>
    <xf numFmtId="0" fontId="1" fillId="118" borderId="0" xfId="4" applyFill="1"/>
    <xf numFmtId="0" fontId="1" fillId="119" borderId="0" xfId="4" applyFill="1"/>
    <xf numFmtId="0" fontId="1" fillId="120" borderId="0" xfId="4" applyFill="1"/>
    <xf numFmtId="0" fontId="1" fillId="121" borderId="0" xfId="4" applyFill="1"/>
    <xf numFmtId="0" fontId="1" fillId="122" borderId="0" xfId="4" applyFill="1"/>
    <xf numFmtId="0" fontId="1" fillId="123" borderId="0" xfId="4" applyFill="1"/>
    <xf numFmtId="0" fontId="1" fillId="124" borderId="0" xfId="4" applyFill="1"/>
    <xf numFmtId="0" fontId="1" fillId="125" borderId="0" xfId="4" applyFill="1"/>
    <xf numFmtId="0" fontId="1" fillId="126" borderId="0" xfId="4" applyFill="1"/>
    <xf numFmtId="0" fontId="1" fillId="127" borderId="0" xfId="4" applyFill="1"/>
    <xf numFmtId="0" fontId="1" fillId="128" borderId="0" xfId="4" applyFill="1"/>
    <xf numFmtId="0" fontId="1" fillId="129" borderId="0" xfId="4" applyFill="1"/>
    <xf numFmtId="0" fontId="1" fillId="130" borderId="0" xfId="4" applyFill="1"/>
    <xf numFmtId="0" fontId="1" fillId="131" borderId="0" xfId="4" applyFill="1"/>
    <xf numFmtId="0" fontId="1" fillId="132" borderId="0" xfId="4" applyFill="1"/>
    <xf numFmtId="0" fontId="1" fillId="133" borderId="0" xfId="4" applyFill="1"/>
    <xf numFmtId="0" fontId="1" fillId="134" borderId="0" xfId="4" applyFill="1"/>
    <xf numFmtId="0" fontId="1" fillId="135" borderId="0" xfId="4" applyFill="1"/>
    <xf numFmtId="0" fontId="1" fillId="136" borderId="0" xfId="4" applyFill="1"/>
    <xf numFmtId="0" fontId="1" fillId="137" borderId="0" xfId="4" applyFill="1"/>
    <xf numFmtId="0" fontId="1" fillId="138" borderId="0" xfId="4" applyFill="1"/>
    <xf numFmtId="0" fontId="1" fillId="139" borderId="0" xfId="4" applyFill="1"/>
    <xf numFmtId="0" fontId="1" fillId="140" borderId="0" xfId="4" applyFill="1"/>
    <xf numFmtId="0" fontId="1" fillId="141" borderId="0" xfId="4" applyFill="1"/>
    <xf numFmtId="0" fontId="1" fillId="142" borderId="0" xfId="4" applyFill="1"/>
    <xf numFmtId="0" fontId="1" fillId="143" borderId="0" xfId="4" applyFill="1"/>
    <xf numFmtId="0" fontId="1" fillId="144" borderId="0" xfId="4" applyFill="1"/>
    <xf numFmtId="0" fontId="1" fillId="145" borderId="0" xfId="4" applyFill="1"/>
    <xf numFmtId="0" fontId="1" fillId="146" borderId="0" xfId="4" applyFill="1"/>
    <xf numFmtId="0" fontId="1" fillId="147" borderId="0" xfId="4" applyFill="1"/>
    <xf numFmtId="0" fontId="1" fillId="148" borderId="0" xfId="4" applyFill="1"/>
    <xf numFmtId="0" fontId="1" fillId="149" borderId="0" xfId="4" applyFill="1"/>
    <xf numFmtId="0" fontId="1" fillId="150" borderId="0" xfId="4" applyFill="1"/>
    <xf numFmtId="0" fontId="1" fillId="151" borderId="0" xfId="4" applyFill="1"/>
    <xf numFmtId="0" fontId="1" fillId="152" borderId="0" xfId="4" applyFill="1"/>
    <xf numFmtId="0" fontId="1" fillId="153" borderId="0" xfId="4" applyFill="1"/>
    <xf numFmtId="0" fontId="1" fillId="154" borderId="0" xfId="4" applyFill="1"/>
    <xf numFmtId="0" fontId="1" fillId="155" borderId="0" xfId="4" applyFill="1"/>
    <xf numFmtId="0" fontId="1" fillId="156" borderId="0" xfId="4" applyFill="1"/>
    <xf numFmtId="0" fontId="1" fillId="157" borderId="0" xfId="4" applyFill="1"/>
    <xf numFmtId="0" fontId="1" fillId="158" borderId="0" xfId="4" applyFill="1"/>
    <xf numFmtId="0" fontId="1" fillId="159" borderId="0" xfId="4" applyFill="1"/>
    <xf numFmtId="0" fontId="1" fillId="160" borderId="0" xfId="4" applyFill="1"/>
    <xf numFmtId="0" fontId="1" fillId="161" borderId="0" xfId="4" applyFill="1"/>
    <xf numFmtId="0" fontId="1" fillId="162" borderId="0" xfId="4" applyFill="1"/>
    <xf numFmtId="0" fontId="1" fillId="163" borderId="0" xfId="4" applyFill="1"/>
    <xf numFmtId="0" fontId="1" fillId="164" borderId="0" xfId="4" applyFill="1"/>
    <xf numFmtId="0" fontId="1" fillId="165" borderId="0" xfId="4" applyFill="1"/>
    <xf numFmtId="0" fontId="1" fillId="166" borderId="0" xfId="4" applyFill="1"/>
    <xf numFmtId="0" fontId="1" fillId="167" borderId="0" xfId="4" applyFill="1"/>
    <xf numFmtId="0" fontId="1" fillId="168" borderId="0" xfId="4" applyFill="1"/>
    <xf numFmtId="0" fontId="1" fillId="169" borderId="0" xfId="4" applyFill="1"/>
    <xf numFmtId="0" fontId="1" fillId="170" borderId="0" xfId="4" applyFill="1"/>
    <xf numFmtId="0" fontId="1" fillId="171" borderId="0" xfId="4" applyFill="1"/>
    <xf numFmtId="0" fontId="1" fillId="172" borderId="0" xfId="4" applyFill="1"/>
    <xf numFmtId="0" fontId="1" fillId="173" borderId="0" xfId="4" applyFill="1"/>
    <xf numFmtId="0" fontId="1" fillId="174" borderId="0" xfId="4" applyFill="1"/>
    <xf numFmtId="0" fontId="1" fillId="175" borderId="0" xfId="4" applyFill="1"/>
    <xf numFmtId="0" fontId="1" fillId="176" borderId="0" xfId="4" applyFill="1"/>
    <xf numFmtId="0" fontId="1" fillId="177" borderId="0" xfId="4" applyFill="1"/>
    <xf numFmtId="0" fontId="1" fillId="178" borderId="0" xfId="4" applyFill="1"/>
    <xf numFmtId="0" fontId="1" fillId="179" borderId="0" xfId="4" applyFill="1"/>
    <xf numFmtId="0" fontId="1" fillId="180" borderId="0" xfId="4" applyFill="1"/>
    <xf numFmtId="0" fontId="1" fillId="181" borderId="0" xfId="4" applyFill="1"/>
    <xf numFmtId="0" fontId="1" fillId="182" borderId="0" xfId="4" applyFill="1"/>
    <xf numFmtId="0" fontId="1" fillId="183" borderId="0" xfId="4" applyFill="1"/>
    <xf numFmtId="0" fontId="1" fillId="184" borderId="0" xfId="4" applyFill="1"/>
    <xf numFmtId="0" fontId="1" fillId="185" borderId="0" xfId="4" applyFill="1"/>
    <xf numFmtId="0" fontId="1" fillId="186" borderId="0" xfId="4" applyFill="1"/>
    <xf numFmtId="0" fontId="1" fillId="187" borderId="0" xfId="4" applyFill="1"/>
    <xf numFmtId="0" fontId="1" fillId="188" borderId="0" xfId="4" applyFill="1"/>
    <xf numFmtId="0" fontId="1" fillId="189" borderId="0" xfId="4" applyFill="1"/>
    <xf numFmtId="0" fontId="1" fillId="190" borderId="0" xfId="4" applyFill="1"/>
    <xf numFmtId="0" fontId="1" fillId="191" borderId="0" xfId="4" applyFill="1"/>
    <xf numFmtId="0" fontId="1" fillId="192" borderId="0" xfId="4" applyFill="1"/>
    <xf numFmtId="0" fontId="1" fillId="193" borderId="0" xfId="4" applyFill="1"/>
    <xf numFmtId="0" fontId="1" fillId="194" borderId="0" xfId="4" applyFill="1"/>
    <xf numFmtId="0" fontId="1" fillId="195" borderId="0" xfId="4" applyFill="1"/>
    <xf numFmtId="0" fontId="1" fillId="196" borderId="0" xfId="4" applyFill="1"/>
    <xf numFmtId="0" fontId="1" fillId="197" borderId="0" xfId="4" applyFill="1"/>
    <xf numFmtId="0" fontId="1" fillId="198" borderId="0" xfId="4" applyFill="1"/>
    <xf numFmtId="0" fontId="1" fillId="199" borderId="0" xfId="4" applyFill="1"/>
    <xf numFmtId="0" fontId="1" fillId="77" borderId="0" xfId="4" applyFill="1" applyAlignment="1">
      <alignment horizontal="center"/>
    </xf>
    <xf numFmtId="0" fontId="1" fillId="200" borderId="0" xfId="4" applyFill="1"/>
    <xf numFmtId="0" fontId="1" fillId="201" borderId="0" xfId="4" applyFill="1"/>
    <xf numFmtId="0" fontId="1" fillId="202" borderId="0" xfId="4" applyFill="1"/>
    <xf numFmtId="0" fontId="1" fillId="203" borderId="0" xfId="4" applyFill="1"/>
    <xf numFmtId="0" fontId="1" fillId="204" borderId="0" xfId="4" applyFill="1"/>
    <xf numFmtId="0" fontId="1" fillId="205" borderId="0" xfId="4" applyFill="1"/>
    <xf numFmtId="0" fontId="1" fillId="206" borderId="0" xfId="4" applyFill="1"/>
    <xf numFmtId="0" fontId="1" fillId="207" borderId="0" xfId="4" applyFill="1"/>
    <xf numFmtId="0" fontId="1" fillId="208" borderId="0" xfId="4" applyFill="1"/>
    <xf numFmtId="0" fontId="1" fillId="209" borderId="0" xfId="4" applyFill="1"/>
    <xf numFmtId="0" fontId="1" fillId="210" borderId="0" xfId="4" applyFill="1"/>
    <xf numFmtId="0" fontId="1" fillId="211" borderId="0" xfId="4" applyFill="1"/>
    <xf numFmtId="0" fontId="1" fillId="212" borderId="0" xfId="4" applyFill="1"/>
    <xf numFmtId="0" fontId="1" fillId="213" borderId="0" xfId="4" applyFill="1"/>
    <xf numFmtId="0" fontId="1" fillId="214" borderId="0" xfId="4" applyFill="1"/>
    <xf numFmtId="0" fontId="1" fillId="215" borderId="0" xfId="4" applyFill="1"/>
    <xf numFmtId="0" fontId="1" fillId="216" borderId="0" xfId="4" applyFill="1"/>
    <xf numFmtId="0" fontId="1" fillId="217" borderId="0" xfId="4" applyFill="1"/>
    <xf numFmtId="0" fontId="1" fillId="218" borderId="0" xfId="4" applyFill="1"/>
    <xf numFmtId="0" fontId="1" fillId="219" borderId="0" xfId="4" applyFill="1"/>
    <xf numFmtId="0" fontId="1" fillId="220" borderId="0" xfId="4" applyFill="1"/>
    <xf numFmtId="0" fontId="1" fillId="221" borderId="0" xfId="4" applyFill="1"/>
    <xf numFmtId="0" fontId="1" fillId="222" borderId="0" xfId="4" applyFill="1"/>
    <xf numFmtId="0" fontId="1" fillId="223" borderId="0" xfId="4" applyFill="1"/>
    <xf numFmtId="0" fontId="1" fillId="224" borderId="0" xfId="4" applyFill="1"/>
    <xf numFmtId="0" fontId="1" fillId="225" borderId="0" xfId="4" applyFill="1"/>
    <xf numFmtId="0" fontId="1" fillId="226" borderId="0" xfId="4" applyFill="1"/>
    <xf numFmtId="0" fontId="1" fillId="227" borderId="0" xfId="4" applyFill="1"/>
    <xf numFmtId="0" fontId="1" fillId="228" borderId="0" xfId="4" applyFill="1"/>
    <xf numFmtId="0" fontId="1" fillId="229" borderId="0" xfId="4" applyFill="1"/>
    <xf numFmtId="0" fontId="1" fillId="230" borderId="0" xfId="4" applyFill="1"/>
    <xf numFmtId="0" fontId="1" fillId="231" borderId="0" xfId="4" applyFill="1"/>
    <xf numFmtId="0" fontId="1" fillId="232" borderId="0" xfId="4" applyFill="1"/>
    <xf numFmtId="0" fontId="1" fillId="233" borderId="0" xfId="4" applyFill="1"/>
    <xf numFmtId="0" fontId="1" fillId="234" borderId="0" xfId="4" applyFill="1"/>
    <xf numFmtId="0" fontId="1" fillId="235" borderId="0" xfId="4" applyFill="1"/>
    <xf numFmtId="0" fontId="1" fillId="236" borderId="0" xfId="4" applyFill="1"/>
    <xf numFmtId="0" fontId="1" fillId="237" borderId="0" xfId="4" applyFill="1"/>
    <xf numFmtId="0" fontId="1" fillId="238" borderId="0" xfId="4" applyFill="1"/>
    <xf numFmtId="0" fontId="1" fillId="239" borderId="0" xfId="4" applyFill="1"/>
    <xf numFmtId="0" fontId="1" fillId="240" borderId="0" xfId="4" applyFill="1"/>
    <xf numFmtId="0" fontId="1" fillId="241" borderId="0" xfId="4" applyFill="1"/>
    <xf numFmtId="0" fontId="1" fillId="242" borderId="0" xfId="4" applyFill="1"/>
    <xf numFmtId="0" fontId="1" fillId="243" borderId="0" xfId="4" applyFill="1"/>
    <xf numFmtId="0" fontId="1" fillId="244" borderId="0" xfId="4" applyFill="1"/>
    <xf numFmtId="0" fontId="1" fillId="245" borderId="0" xfId="4" applyFill="1"/>
    <xf numFmtId="0" fontId="1" fillId="246" borderId="0" xfId="4" applyFill="1"/>
    <xf numFmtId="0" fontId="1" fillId="247" borderId="0" xfId="4" applyFill="1"/>
    <xf numFmtId="0" fontId="1" fillId="248" borderId="0" xfId="4" applyFill="1"/>
    <xf numFmtId="0" fontId="1" fillId="249" borderId="0" xfId="4" applyFill="1"/>
    <xf numFmtId="0" fontId="1" fillId="250" borderId="0" xfId="4" applyFill="1"/>
    <xf numFmtId="0" fontId="1" fillId="251" borderId="0" xfId="4" applyFill="1"/>
    <xf numFmtId="0" fontId="1" fillId="252" borderId="0" xfId="4" applyFill="1"/>
    <xf numFmtId="0" fontId="1" fillId="253" borderId="0" xfId="4" applyFill="1"/>
    <xf numFmtId="0" fontId="1" fillId="254" borderId="0" xfId="4" applyFill="1"/>
    <xf numFmtId="0" fontId="1" fillId="255" borderId="0" xfId="4" applyFill="1"/>
    <xf numFmtId="0" fontId="1" fillId="256" borderId="0" xfId="4" applyFill="1"/>
    <xf numFmtId="0" fontId="1" fillId="257" borderId="0" xfId="4" applyFill="1"/>
    <xf numFmtId="0" fontId="1" fillId="258" borderId="0" xfId="4" applyFill="1"/>
    <xf numFmtId="0" fontId="1" fillId="259" borderId="0" xfId="4" applyFill="1"/>
    <xf numFmtId="0" fontId="1" fillId="260" borderId="0" xfId="4" applyFill="1"/>
    <xf numFmtId="0" fontId="1" fillId="261" borderId="0" xfId="4" applyFill="1"/>
    <xf numFmtId="0" fontId="1" fillId="262" borderId="0" xfId="4" applyFill="1"/>
    <xf numFmtId="0" fontId="1" fillId="263" borderId="0" xfId="4" applyFill="1"/>
    <xf numFmtId="0" fontId="1" fillId="264" borderId="0" xfId="4" applyFill="1"/>
    <xf numFmtId="0" fontId="1" fillId="265" borderId="0" xfId="4" applyFill="1"/>
    <xf numFmtId="0" fontId="1" fillId="266" borderId="0" xfId="4" applyFill="1"/>
    <xf numFmtId="0" fontId="1" fillId="267" borderId="0" xfId="4" applyFill="1"/>
    <xf numFmtId="0" fontId="1" fillId="268" borderId="0" xfId="4" applyFill="1"/>
    <xf numFmtId="0" fontId="1" fillId="269" borderId="0" xfId="4" applyFill="1"/>
    <xf numFmtId="0" fontId="1" fillId="270" borderId="0" xfId="4" applyFill="1"/>
    <xf numFmtId="0" fontId="1" fillId="271" borderId="0" xfId="4" applyFill="1"/>
    <xf numFmtId="0" fontId="1" fillId="272" borderId="0" xfId="4" applyFill="1"/>
    <xf numFmtId="0" fontId="1" fillId="273" borderId="0" xfId="4" applyFill="1"/>
    <xf numFmtId="0" fontId="1" fillId="274" borderId="0" xfId="4" applyFill="1"/>
    <xf numFmtId="0" fontId="1" fillId="275" borderId="0" xfId="4" applyFill="1"/>
    <xf numFmtId="0" fontId="1" fillId="276" borderId="0" xfId="4" applyFill="1"/>
    <xf numFmtId="0" fontId="1" fillId="277" borderId="0" xfId="4" applyFill="1"/>
    <xf numFmtId="0" fontId="1" fillId="278" borderId="0" xfId="4" applyFill="1"/>
    <xf numFmtId="0" fontId="1" fillId="279" borderId="0" xfId="4" applyFill="1"/>
    <xf numFmtId="0" fontId="1" fillId="280" borderId="0" xfId="4" applyFill="1"/>
    <xf numFmtId="0" fontId="1" fillId="281" borderId="0" xfId="4" applyFill="1"/>
    <xf numFmtId="0" fontId="1" fillId="282" borderId="0" xfId="4" applyFill="1"/>
    <xf numFmtId="0" fontId="1" fillId="283" borderId="0" xfId="4" applyFill="1"/>
    <xf numFmtId="0" fontId="1" fillId="284" borderId="0" xfId="4" applyFill="1"/>
    <xf numFmtId="0" fontId="1" fillId="285" borderId="0" xfId="4" applyFill="1"/>
    <xf numFmtId="0" fontId="1" fillId="286" borderId="0" xfId="4" applyFill="1"/>
    <xf numFmtId="0" fontId="1" fillId="287" borderId="0" xfId="4" applyFill="1"/>
    <xf numFmtId="0" fontId="1" fillId="288" borderId="0" xfId="4" applyFill="1"/>
    <xf numFmtId="0" fontId="1" fillId="289" borderId="0" xfId="4" applyFill="1"/>
    <xf numFmtId="0" fontId="1" fillId="290" borderId="0" xfId="4" applyFill="1"/>
    <xf numFmtId="0" fontId="1" fillId="291" borderId="0" xfId="4" applyFill="1"/>
    <xf numFmtId="0" fontId="1" fillId="292" borderId="0" xfId="4" applyFill="1"/>
    <xf numFmtId="0" fontId="1" fillId="293" borderId="0" xfId="4" applyFill="1"/>
    <xf numFmtId="0" fontId="1" fillId="294" borderId="0" xfId="4" applyFill="1"/>
    <xf numFmtId="0" fontId="1" fillId="295" borderId="0" xfId="4" applyFill="1"/>
    <xf numFmtId="0" fontId="1" fillId="296" borderId="0" xfId="4" applyFill="1"/>
    <xf numFmtId="0" fontId="1" fillId="297" borderId="0" xfId="4" applyFill="1"/>
    <xf numFmtId="0" fontId="1" fillId="298" borderId="0" xfId="4" applyFill="1"/>
    <xf numFmtId="0" fontId="1" fillId="299" borderId="0" xfId="4" applyFill="1"/>
    <xf numFmtId="0" fontId="1" fillId="300" borderId="0" xfId="4" applyFill="1"/>
    <xf numFmtId="0" fontId="1" fillId="301" borderId="0" xfId="4" applyFill="1"/>
    <xf numFmtId="0" fontId="1" fillId="302" borderId="0" xfId="4" applyFill="1"/>
    <xf numFmtId="0" fontId="1" fillId="303" borderId="0" xfId="4" applyFill="1"/>
    <xf numFmtId="0" fontId="1" fillId="304" borderId="0" xfId="4" applyFill="1"/>
    <xf numFmtId="0" fontId="1" fillId="305" borderId="0" xfId="4" applyFill="1"/>
    <xf numFmtId="0" fontId="1" fillId="306" borderId="0" xfId="4" applyFill="1"/>
    <xf numFmtId="0" fontId="1" fillId="307" borderId="0" xfId="4" applyFill="1"/>
    <xf numFmtId="0" fontId="1" fillId="308" borderId="0" xfId="4" applyFill="1"/>
    <xf numFmtId="0" fontId="1" fillId="309" borderId="0" xfId="4" applyFill="1"/>
    <xf numFmtId="0" fontId="1" fillId="310" borderId="0" xfId="4" applyFill="1"/>
    <xf numFmtId="0" fontId="1" fillId="311" borderId="0" xfId="4" applyFill="1"/>
    <xf numFmtId="0" fontId="1" fillId="312" borderId="0" xfId="4" applyFill="1"/>
    <xf numFmtId="0" fontId="1" fillId="313" borderId="0" xfId="4" applyFill="1"/>
    <xf numFmtId="0" fontId="1" fillId="314" borderId="0" xfId="4" applyFill="1"/>
    <xf numFmtId="0" fontId="1" fillId="315" borderId="0" xfId="4" applyFill="1"/>
    <xf numFmtId="0" fontId="1" fillId="316" borderId="0" xfId="4" applyFill="1"/>
    <xf numFmtId="0" fontId="1" fillId="317" borderId="0" xfId="4" applyFill="1"/>
    <xf numFmtId="0" fontId="1" fillId="318" borderId="0" xfId="4" applyFill="1"/>
    <xf numFmtId="0" fontId="1" fillId="319" borderId="0" xfId="4" applyFill="1"/>
    <xf numFmtId="0" fontId="1" fillId="320" borderId="0" xfId="4" applyFill="1"/>
    <xf numFmtId="0" fontId="1" fillId="321" borderId="0" xfId="4" applyFill="1"/>
    <xf numFmtId="0" fontId="1" fillId="322" borderId="0" xfId="4" applyFill="1"/>
    <xf numFmtId="0" fontId="1" fillId="323" borderId="0" xfId="4" applyFill="1"/>
    <xf numFmtId="0" fontId="1" fillId="324" borderId="0" xfId="4" applyFill="1"/>
    <xf numFmtId="0" fontId="1" fillId="325" borderId="0" xfId="4" applyFill="1"/>
    <xf numFmtId="0" fontId="1" fillId="326" borderId="0" xfId="4" applyFill="1"/>
    <xf numFmtId="0" fontId="1" fillId="327" borderId="0" xfId="4" applyFill="1"/>
    <xf numFmtId="0" fontId="1" fillId="328" borderId="0" xfId="4" applyFill="1"/>
    <xf numFmtId="0" fontId="1" fillId="329" borderId="0" xfId="4" applyFill="1"/>
    <xf numFmtId="0" fontId="1" fillId="330" borderId="0" xfId="4" applyFill="1"/>
    <xf numFmtId="0" fontId="1" fillId="331" borderId="0" xfId="4" applyFill="1"/>
    <xf numFmtId="0" fontId="1" fillId="332" borderId="0" xfId="4" applyFill="1"/>
    <xf numFmtId="0" fontId="1" fillId="333" borderId="0" xfId="4" applyFill="1"/>
    <xf numFmtId="0" fontId="1" fillId="334" borderId="0" xfId="4" applyFill="1"/>
    <xf numFmtId="0" fontId="1" fillId="335" borderId="0" xfId="4" applyFill="1"/>
    <xf numFmtId="0" fontId="1" fillId="336" borderId="0" xfId="4" applyFill="1"/>
    <xf numFmtId="0" fontId="1" fillId="337" borderId="0" xfId="4" applyFill="1"/>
    <xf numFmtId="0" fontId="1" fillId="338" borderId="0" xfId="4" applyFill="1"/>
    <xf numFmtId="0" fontId="1" fillId="339" borderId="0" xfId="4" applyFill="1"/>
    <xf numFmtId="0" fontId="1" fillId="340" borderId="0" xfId="4" applyFill="1"/>
    <xf numFmtId="0" fontId="1" fillId="341" borderId="0" xfId="4" applyFill="1"/>
    <xf numFmtId="0" fontId="1" fillId="342" borderId="0" xfId="4" applyFill="1"/>
    <xf numFmtId="0" fontId="1" fillId="343" borderId="0" xfId="4" applyFill="1"/>
    <xf numFmtId="0" fontId="1" fillId="344" borderId="0" xfId="4" applyFill="1"/>
    <xf numFmtId="0" fontId="1" fillId="345" borderId="0" xfId="4" applyFill="1"/>
    <xf numFmtId="0" fontId="1" fillId="346" borderId="0" xfId="4" applyFill="1"/>
    <xf numFmtId="0" fontId="1" fillId="347" borderId="0" xfId="4" applyFill="1"/>
    <xf numFmtId="0" fontId="1" fillId="348" borderId="0" xfId="4" applyFill="1"/>
    <xf numFmtId="0" fontId="1" fillId="349" borderId="0" xfId="4" applyFill="1"/>
    <xf numFmtId="0" fontId="1" fillId="350" borderId="0" xfId="4" applyFill="1"/>
    <xf numFmtId="0" fontId="1" fillId="351" borderId="0" xfId="4" applyFill="1"/>
    <xf numFmtId="0" fontId="1" fillId="352" borderId="0" xfId="4" applyFill="1"/>
    <xf numFmtId="0" fontId="1" fillId="353" borderId="0" xfId="4" applyFill="1"/>
    <xf numFmtId="0" fontId="1" fillId="354" borderId="0" xfId="4" applyFill="1"/>
    <xf numFmtId="0" fontId="1" fillId="355" borderId="0" xfId="4" applyFill="1"/>
    <xf numFmtId="0" fontId="1" fillId="356" borderId="0" xfId="4" applyFill="1"/>
    <xf numFmtId="0" fontId="1" fillId="357" borderId="0" xfId="4" applyFill="1"/>
    <xf numFmtId="0" fontId="1" fillId="358" borderId="0" xfId="4" applyFill="1"/>
    <xf numFmtId="0" fontId="1" fillId="359" borderId="0" xfId="4" applyFill="1"/>
    <xf numFmtId="0" fontId="1" fillId="360" borderId="0" xfId="4" applyFill="1"/>
    <xf numFmtId="0" fontId="1" fillId="361" borderId="0" xfId="4" applyFill="1"/>
    <xf numFmtId="0" fontId="1" fillId="362" borderId="0" xfId="4" applyFill="1"/>
    <xf numFmtId="0" fontId="1" fillId="363" borderId="0" xfId="4" applyFill="1"/>
    <xf numFmtId="0" fontId="1" fillId="364" borderId="0" xfId="4" applyFill="1"/>
    <xf numFmtId="0" fontId="1" fillId="365" borderId="0" xfId="4" applyFill="1"/>
    <xf numFmtId="0" fontId="1" fillId="366" borderId="0" xfId="4" applyFill="1"/>
    <xf numFmtId="0" fontId="1" fillId="367" borderId="0" xfId="4" applyFill="1"/>
    <xf numFmtId="0" fontId="1" fillId="368" borderId="0" xfId="4" applyFill="1"/>
    <xf numFmtId="0" fontId="1" fillId="369" borderId="0" xfId="4" applyFill="1"/>
    <xf numFmtId="0" fontId="1" fillId="370" borderId="0" xfId="4" applyFill="1"/>
    <xf numFmtId="0" fontId="1" fillId="371" borderId="0" xfId="4" applyFill="1"/>
    <xf numFmtId="0" fontId="1" fillId="372" borderId="0" xfId="4" applyFill="1"/>
    <xf numFmtId="0" fontId="1" fillId="373" borderId="0" xfId="4" applyFill="1"/>
    <xf numFmtId="0" fontId="1" fillId="374" borderId="0" xfId="4" applyFill="1"/>
    <xf numFmtId="0" fontId="1" fillId="375" borderId="0" xfId="4" applyFill="1"/>
    <xf numFmtId="0" fontId="1" fillId="376" borderId="0" xfId="4" applyFill="1"/>
    <xf numFmtId="0" fontId="1" fillId="377" borderId="0" xfId="4" applyFill="1"/>
    <xf numFmtId="0" fontId="1" fillId="378" borderId="0" xfId="4" applyFill="1"/>
    <xf numFmtId="0" fontId="1" fillId="379" borderId="0" xfId="4" applyFill="1"/>
    <xf numFmtId="0" fontId="1" fillId="380" borderId="0" xfId="4" applyFill="1"/>
    <xf numFmtId="0" fontId="1" fillId="381" borderId="0" xfId="4" applyFill="1"/>
    <xf numFmtId="0" fontId="1" fillId="382" borderId="0" xfId="4" applyFill="1"/>
    <xf numFmtId="0" fontId="1" fillId="383" borderId="0" xfId="4" applyFill="1"/>
    <xf numFmtId="0" fontId="1" fillId="384" borderId="0" xfId="4" applyFill="1"/>
    <xf numFmtId="0" fontId="1" fillId="385" borderId="0" xfId="4" applyFill="1"/>
    <xf numFmtId="0" fontId="1" fillId="386" borderId="0" xfId="4" applyFill="1"/>
    <xf numFmtId="0" fontId="1" fillId="387" borderId="0" xfId="4" applyFill="1"/>
    <xf numFmtId="0" fontId="1" fillId="388" borderId="0" xfId="4" applyFill="1"/>
    <xf numFmtId="0" fontId="1" fillId="389" borderId="0" xfId="4" applyFill="1"/>
    <xf numFmtId="0" fontId="1" fillId="390" borderId="0" xfId="4" applyFill="1"/>
    <xf numFmtId="0" fontId="1" fillId="391" borderId="0" xfId="4" applyFill="1"/>
    <xf numFmtId="0" fontId="1" fillId="392" borderId="0" xfId="4" applyFill="1"/>
    <xf numFmtId="0" fontId="1" fillId="393" borderId="0" xfId="4" applyFill="1"/>
    <xf numFmtId="0" fontId="1" fillId="394" borderId="0" xfId="4" applyFill="1"/>
    <xf numFmtId="0" fontId="1" fillId="395" borderId="0" xfId="4" applyFill="1"/>
    <xf numFmtId="0" fontId="1" fillId="396" borderId="0" xfId="4" applyFill="1"/>
    <xf numFmtId="0" fontId="1" fillId="397" borderId="0" xfId="4" applyFill="1"/>
    <xf numFmtId="0" fontId="1" fillId="398" borderId="0" xfId="4" applyFill="1"/>
    <xf numFmtId="0" fontId="1" fillId="399" borderId="0" xfId="4" applyFill="1"/>
    <xf numFmtId="0" fontId="1" fillId="400" borderId="0" xfId="4" applyFill="1"/>
    <xf numFmtId="0" fontId="1" fillId="401" borderId="0" xfId="4" applyFill="1"/>
    <xf numFmtId="0" fontId="1" fillId="402" borderId="0" xfId="4" applyFill="1"/>
    <xf numFmtId="0" fontId="1" fillId="403" borderId="0" xfId="4" applyFill="1"/>
    <xf numFmtId="0" fontId="1" fillId="404" borderId="0" xfId="4" applyFill="1"/>
    <xf numFmtId="0" fontId="1" fillId="405" borderId="0" xfId="4" applyFill="1"/>
    <xf numFmtId="0" fontId="1" fillId="406" borderId="0" xfId="4" applyFill="1"/>
    <xf numFmtId="0" fontId="1" fillId="407" borderId="0" xfId="4" applyFill="1"/>
    <xf numFmtId="0" fontId="1" fillId="408" borderId="0" xfId="4" applyFill="1"/>
    <xf numFmtId="0" fontId="1" fillId="409" borderId="0" xfId="4" applyFill="1"/>
    <xf numFmtId="0" fontId="1" fillId="410" borderId="0" xfId="4" applyFill="1"/>
    <xf numFmtId="0" fontId="1" fillId="411" borderId="0" xfId="4" applyFill="1"/>
    <xf numFmtId="0" fontId="1" fillId="412" borderId="0" xfId="4" applyFill="1"/>
    <xf numFmtId="0" fontId="1" fillId="413" borderId="0" xfId="4" applyFill="1"/>
    <xf numFmtId="0" fontId="1" fillId="414" borderId="0" xfId="4" applyFill="1"/>
    <xf numFmtId="0" fontId="1" fillId="415" borderId="0" xfId="4" applyFill="1"/>
    <xf numFmtId="0" fontId="1" fillId="416" borderId="0" xfId="4" applyFill="1"/>
    <xf numFmtId="0" fontId="1" fillId="417" borderId="0" xfId="4" applyFill="1"/>
    <xf numFmtId="0" fontId="1" fillId="418" borderId="0" xfId="4" applyFill="1"/>
    <xf numFmtId="0" fontId="1" fillId="419" borderId="0" xfId="4" applyFill="1"/>
    <xf numFmtId="0" fontId="1" fillId="420" borderId="0" xfId="4" applyFill="1"/>
    <xf numFmtId="0" fontId="1" fillId="421" borderId="0" xfId="4" applyFill="1"/>
    <xf numFmtId="0" fontId="1" fillId="422" borderId="0" xfId="4" applyFill="1"/>
    <xf numFmtId="0" fontId="1" fillId="423" borderId="0" xfId="4" applyFill="1"/>
    <xf numFmtId="0" fontId="1" fillId="424" borderId="0" xfId="4" applyFill="1"/>
    <xf numFmtId="0" fontId="1" fillId="425" borderId="0" xfId="4" applyFill="1"/>
    <xf numFmtId="0" fontId="1" fillId="426" borderId="0" xfId="4" applyFill="1"/>
    <xf numFmtId="0" fontId="1" fillId="427" borderId="0" xfId="4" applyFill="1"/>
    <xf numFmtId="0" fontId="1" fillId="428" borderId="0" xfId="4" applyFill="1"/>
    <xf numFmtId="0" fontId="1" fillId="429" borderId="0" xfId="4" applyFill="1"/>
    <xf numFmtId="0" fontId="1" fillId="430" borderId="0" xfId="4" applyFill="1"/>
    <xf numFmtId="0" fontId="1" fillId="431" borderId="0" xfId="4" applyFill="1"/>
    <xf numFmtId="0" fontId="1" fillId="432" borderId="0" xfId="4" applyFill="1"/>
    <xf numFmtId="0" fontId="1" fillId="433" borderId="0" xfId="4" applyFill="1"/>
    <xf numFmtId="0" fontId="1" fillId="434" borderId="0" xfId="4" applyFill="1"/>
    <xf numFmtId="0" fontId="1" fillId="435" borderId="0" xfId="4" applyFill="1"/>
    <xf numFmtId="0" fontId="1" fillId="436" borderId="0" xfId="4" applyFill="1"/>
    <xf numFmtId="0" fontId="1" fillId="437" borderId="0" xfId="4" applyFill="1"/>
    <xf numFmtId="0" fontId="1" fillId="438" borderId="0" xfId="4" applyFill="1"/>
    <xf numFmtId="0" fontId="1" fillId="439" borderId="0" xfId="4" applyFill="1"/>
    <xf numFmtId="0" fontId="1" fillId="440" borderId="0" xfId="4" applyFill="1"/>
    <xf numFmtId="0" fontId="1" fillId="441" borderId="0" xfId="4" applyFill="1"/>
    <xf numFmtId="0" fontId="1" fillId="442" borderId="0" xfId="4" applyFill="1"/>
    <xf numFmtId="0" fontId="1" fillId="443" borderId="0" xfId="4" applyFill="1"/>
    <xf numFmtId="0" fontId="1" fillId="444" borderId="0" xfId="4" applyFill="1"/>
    <xf numFmtId="0" fontId="1" fillId="445" borderId="0" xfId="4" applyFill="1"/>
    <xf numFmtId="0" fontId="1" fillId="446" borderId="0" xfId="4" applyFill="1"/>
    <xf numFmtId="0" fontId="1" fillId="447" borderId="0" xfId="4" applyFill="1"/>
    <xf numFmtId="0" fontId="1" fillId="448" borderId="0" xfId="4" applyFill="1"/>
    <xf numFmtId="0" fontId="1" fillId="449" borderId="0" xfId="4" applyFill="1"/>
    <xf numFmtId="0" fontId="1" fillId="450" borderId="0" xfId="4" applyFill="1"/>
    <xf numFmtId="0" fontId="1" fillId="451" borderId="0" xfId="4" applyFill="1"/>
    <xf numFmtId="0" fontId="1" fillId="452" borderId="0" xfId="4" applyFill="1"/>
    <xf numFmtId="0" fontId="1" fillId="453" borderId="0" xfId="4" applyFill="1"/>
    <xf numFmtId="0" fontId="1" fillId="454" borderId="0" xfId="4" applyFill="1"/>
    <xf numFmtId="0" fontId="1" fillId="455" borderId="0" xfId="4" applyFill="1"/>
    <xf numFmtId="0" fontId="1" fillId="456" borderId="0" xfId="4" applyFill="1"/>
    <xf numFmtId="0" fontId="1" fillId="457" borderId="0" xfId="4" applyFill="1"/>
    <xf numFmtId="0" fontId="1" fillId="458" borderId="0" xfId="4" applyFill="1"/>
    <xf numFmtId="0" fontId="1" fillId="459" borderId="0" xfId="4" applyFill="1"/>
    <xf numFmtId="0" fontId="1" fillId="460" borderId="0" xfId="4" applyFill="1"/>
    <xf numFmtId="0" fontId="1" fillId="461" borderId="0" xfId="4" applyFill="1"/>
    <xf numFmtId="0" fontId="1" fillId="462" borderId="0" xfId="4" applyFill="1"/>
    <xf numFmtId="0" fontId="1" fillId="463" borderId="0" xfId="4" applyFill="1"/>
    <xf numFmtId="0" fontId="1" fillId="464" borderId="0" xfId="4" applyFill="1"/>
    <xf numFmtId="0" fontId="1" fillId="465" borderId="0" xfId="4" applyFill="1"/>
    <xf numFmtId="0" fontId="1" fillId="466" borderId="0" xfId="4" applyFill="1"/>
    <xf numFmtId="0" fontId="1" fillId="467" borderId="0" xfId="4" applyFill="1"/>
    <xf numFmtId="0" fontId="1" fillId="468" borderId="0" xfId="4" applyFill="1"/>
    <xf numFmtId="0" fontId="1" fillId="469" borderId="0" xfId="4" applyFill="1"/>
    <xf numFmtId="0" fontId="1" fillId="470" borderId="0" xfId="4" applyFill="1"/>
    <xf numFmtId="0" fontId="1" fillId="471" borderId="0" xfId="4" applyFill="1"/>
    <xf numFmtId="0" fontId="1" fillId="472" borderId="0" xfId="4" applyFill="1"/>
    <xf numFmtId="0" fontId="1" fillId="473" borderId="0" xfId="4" applyFill="1"/>
    <xf numFmtId="0" fontId="1" fillId="474" borderId="0" xfId="4" applyFill="1"/>
    <xf numFmtId="0" fontId="1" fillId="475" borderId="0" xfId="4" applyFill="1"/>
    <xf numFmtId="0" fontId="1" fillId="476" borderId="0" xfId="4" applyFill="1"/>
    <xf numFmtId="0" fontId="1" fillId="477" borderId="0" xfId="4" applyFill="1"/>
    <xf numFmtId="0" fontId="1" fillId="478" borderId="0" xfId="4" applyFill="1"/>
    <xf numFmtId="0" fontId="1" fillId="479" borderId="0" xfId="4" applyFill="1"/>
    <xf numFmtId="0" fontId="1" fillId="480" borderId="0" xfId="4" applyFill="1"/>
    <xf numFmtId="0" fontId="1" fillId="481" borderId="0" xfId="4" applyFill="1"/>
    <xf numFmtId="0" fontId="1" fillId="482" borderId="0" xfId="4" applyFill="1"/>
    <xf numFmtId="0" fontId="1" fillId="483" borderId="0" xfId="4" applyFill="1"/>
    <xf numFmtId="0" fontId="1" fillId="484" borderId="0" xfId="4" applyFill="1"/>
    <xf numFmtId="0" fontId="1" fillId="485" borderId="0" xfId="4" applyFill="1"/>
    <xf numFmtId="0" fontId="1" fillId="486" borderId="0" xfId="4" applyFill="1"/>
    <xf numFmtId="0" fontId="1" fillId="487" borderId="0" xfId="4" applyFill="1"/>
    <xf numFmtId="0" fontId="1" fillId="488" borderId="0" xfId="4" applyFill="1"/>
    <xf numFmtId="0" fontId="1" fillId="489" borderId="0" xfId="4" applyFill="1"/>
    <xf numFmtId="0" fontId="1" fillId="490" borderId="0" xfId="4" applyFill="1"/>
    <xf numFmtId="0" fontId="1" fillId="491" borderId="0" xfId="4" applyFill="1"/>
    <xf numFmtId="0" fontId="1" fillId="492" borderId="0" xfId="4" applyFill="1"/>
    <xf numFmtId="0" fontId="1" fillId="493" borderId="0" xfId="4" applyFill="1"/>
    <xf numFmtId="0" fontId="1" fillId="494" borderId="0" xfId="4" applyFill="1"/>
    <xf numFmtId="0" fontId="1" fillId="495" borderId="0" xfId="4" applyFill="1"/>
    <xf numFmtId="0" fontId="1" fillId="496" borderId="0" xfId="4" applyFill="1"/>
    <xf numFmtId="0" fontId="1" fillId="497" borderId="0" xfId="4" applyFill="1"/>
    <xf numFmtId="0" fontId="1" fillId="498" borderId="0" xfId="4" applyFill="1"/>
    <xf numFmtId="0" fontId="1" fillId="499" borderId="0" xfId="4" applyFill="1"/>
    <xf numFmtId="0" fontId="1" fillId="500" borderId="0" xfId="4" applyFill="1"/>
    <xf numFmtId="0" fontId="1" fillId="501" borderId="0" xfId="4" applyFill="1"/>
    <xf numFmtId="0" fontId="1" fillId="502" borderId="0" xfId="4" applyFill="1"/>
    <xf numFmtId="0" fontId="1" fillId="503" borderId="0" xfId="4" applyFill="1"/>
    <xf numFmtId="0" fontId="1" fillId="504" borderId="0" xfId="4" applyFill="1"/>
    <xf numFmtId="0" fontId="1" fillId="505" borderId="0" xfId="4" applyFill="1"/>
    <xf numFmtId="0" fontId="1" fillId="506" borderId="0" xfId="4" applyFill="1"/>
    <xf numFmtId="0" fontId="1" fillId="507" borderId="0" xfId="4" applyFill="1"/>
    <xf numFmtId="0" fontId="1" fillId="508" borderId="0" xfId="4" applyFill="1"/>
    <xf numFmtId="0" fontId="1" fillId="509" borderId="0" xfId="4" applyFill="1"/>
    <xf numFmtId="0" fontId="1" fillId="510" borderId="0" xfId="4" applyFill="1"/>
    <xf numFmtId="0" fontId="1" fillId="511" borderId="0" xfId="4" applyFill="1"/>
    <xf numFmtId="0" fontId="1" fillId="512" borderId="0" xfId="4" applyFill="1"/>
    <xf numFmtId="0" fontId="1" fillId="513" borderId="0" xfId="4" applyFill="1"/>
    <xf numFmtId="0" fontId="1" fillId="514" borderId="0" xfId="4" applyFill="1"/>
    <xf numFmtId="0" fontId="1" fillId="515" borderId="0" xfId="4" applyFill="1"/>
    <xf numFmtId="0" fontId="1" fillId="516" borderId="0" xfId="4" applyFill="1"/>
    <xf numFmtId="0" fontId="1" fillId="517" borderId="0" xfId="4" applyFill="1"/>
    <xf numFmtId="0" fontId="1" fillId="518" borderId="0" xfId="4" applyFill="1"/>
    <xf numFmtId="0" fontId="1" fillId="519" borderId="0" xfId="4" applyFill="1"/>
    <xf numFmtId="0" fontId="1" fillId="520" borderId="0" xfId="4" applyFill="1"/>
    <xf numFmtId="0" fontId="1" fillId="521" borderId="0" xfId="4" applyFill="1"/>
    <xf numFmtId="0" fontId="1" fillId="522" borderId="0" xfId="4" applyFill="1"/>
    <xf numFmtId="0" fontId="1" fillId="523" borderId="0" xfId="4" applyFill="1"/>
    <xf numFmtId="0" fontId="1" fillId="524" borderId="0" xfId="4" applyFill="1"/>
    <xf numFmtId="0" fontId="1" fillId="525" borderId="0" xfId="4" applyFill="1"/>
    <xf numFmtId="0" fontId="1" fillId="526" borderId="0" xfId="4" applyFill="1"/>
    <xf numFmtId="0" fontId="1" fillId="527" borderId="0" xfId="4" applyFill="1"/>
    <xf numFmtId="0" fontId="1" fillId="528" borderId="0" xfId="4" applyFill="1"/>
    <xf numFmtId="0" fontId="1" fillId="529" borderId="0" xfId="4" applyFill="1"/>
    <xf numFmtId="0" fontId="1" fillId="530" borderId="0" xfId="4" applyFill="1"/>
    <xf numFmtId="0" fontId="1" fillId="531" borderId="0" xfId="4" applyFill="1"/>
    <xf numFmtId="0" fontId="1" fillId="532" borderId="0" xfId="4" applyFill="1"/>
    <xf numFmtId="0" fontId="1" fillId="533" borderId="0" xfId="4" applyFill="1"/>
    <xf numFmtId="0" fontId="1" fillId="534" borderId="0" xfId="4" applyFill="1"/>
    <xf numFmtId="0" fontId="1" fillId="535" borderId="0" xfId="4" applyFill="1"/>
    <xf numFmtId="0" fontId="1" fillId="536" borderId="0" xfId="4" applyFill="1"/>
    <xf numFmtId="0" fontId="1" fillId="537" borderId="0" xfId="4" applyFill="1"/>
    <xf numFmtId="0" fontId="1" fillId="538" borderId="0" xfId="4" applyFill="1"/>
    <xf numFmtId="0" fontId="1" fillId="539" borderId="0" xfId="4" applyFill="1"/>
    <xf numFmtId="0" fontId="1" fillId="540" borderId="0" xfId="4" applyFill="1"/>
    <xf numFmtId="0" fontId="1" fillId="541" borderId="0" xfId="4" applyFill="1"/>
    <xf numFmtId="0" fontId="1" fillId="542" borderId="0" xfId="4" applyFill="1"/>
    <xf numFmtId="0" fontId="1" fillId="543" borderId="0" xfId="4" applyFill="1"/>
    <xf numFmtId="0" fontId="1" fillId="544" borderId="0" xfId="4" applyFill="1"/>
    <xf numFmtId="0" fontId="1" fillId="545" borderId="0" xfId="4" applyFill="1"/>
    <xf numFmtId="0" fontId="1" fillId="546" borderId="0" xfId="4" applyFill="1"/>
    <xf numFmtId="0" fontId="1" fillId="547" borderId="0" xfId="4" applyFill="1"/>
    <xf numFmtId="0" fontId="1" fillId="548" borderId="0" xfId="4" applyFill="1"/>
    <xf numFmtId="0" fontId="1" fillId="549" borderId="0" xfId="4" applyFill="1"/>
    <xf numFmtId="0" fontId="1" fillId="550" borderId="0" xfId="4" applyFill="1"/>
    <xf numFmtId="0" fontId="1" fillId="551" borderId="0" xfId="4" applyFill="1"/>
    <xf numFmtId="0" fontId="1" fillId="552" borderId="0" xfId="4" applyFill="1"/>
    <xf numFmtId="0" fontId="1" fillId="553" borderId="0" xfId="4" applyFill="1"/>
    <xf numFmtId="0" fontId="1" fillId="554" borderId="0" xfId="4" applyFill="1"/>
    <xf numFmtId="0" fontId="1" fillId="555" borderId="0" xfId="4" applyFill="1"/>
    <xf numFmtId="0" fontId="1" fillId="556" borderId="0" xfId="4" applyFill="1"/>
    <xf numFmtId="0" fontId="1" fillId="557" borderId="0" xfId="4" applyFill="1"/>
    <xf numFmtId="0" fontId="1" fillId="558" borderId="0" xfId="4" applyFill="1"/>
    <xf numFmtId="0" fontId="1" fillId="559" borderId="0" xfId="4" applyFill="1"/>
    <xf numFmtId="0" fontId="1" fillId="560" borderId="0" xfId="4" applyFill="1"/>
    <xf numFmtId="0" fontId="1" fillId="561" borderId="0" xfId="4" applyFill="1"/>
    <xf numFmtId="0" fontId="1" fillId="562" borderId="0" xfId="4" applyFill="1"/>
    <xf numFmtId="0" fontId="1" fillId="563" borderId="0" xfId="4" applyFill="1"/>
    <xf numFmtId="0" fontId="1" fillId="564" borderId="0" xfId="4" applyFill="1"/>
    <xf numFmtId="0" fontId="1" fillId="565" borderId="0" xfId="4" applyFill="1"/>
    <xf numFmtId="0" fontId="1" fillId="566" borderId="0" xfId="4" applyFill="1"/>
    <xf numFmtId="0" fontId="1" fillId="567" borderId="0" xfId="4" applyFill="1"/>
    <xf numFmtId="0" fontId="1" fillId="568" borderId="0" xfId="4" applyFill="1"/>
    <xf numFmtId="0" fontId="1" fillId="569" borderId="0" xfId="4" applyFill="1"/>
    <xf numFmtId="0" fontId="1" fillId="570" borderId="0" xfId="4" applyFill="1"/>
    <xf numFmtId="0" fontId="1" fillId="571" borderId="0" xfId="4" applyFill="1"/>
    <xf numFmtId="0" fontId="1" fillId="572" borderId="0" xfId="4" applyFill="1"/>
    <xf numFmtId="0" fontId="1" fillId="573" borderId="0" xfId="4" applyFill="1"/>
    <xf numFmtId="0" fontId="1" fillId="574" borderId="0" xfId="4" applyFill="1"/>
    <xf numFmtId="0" fontId="1" fillId="575" borderId="0" xfId="4" applyFill="1"/>
    <xf numFmtId="0" fontId="1" fillId="576" borderId="0" xfId="4" applyFill="1"/>
    <xf numFmtId="0" fontId="1" fillId="577" borderId="0" xfId="4" applyFill="1"/>
    <xf numFmtId="0" fontId="1" fillId="578" borderId="0" xfId="4" applyFill="1"/>
    <xf numFmtId="0" fontId="1" fillId="579" borderId="0" xfId="4" applyFill="1"/>
    <xf numFmtId="0" fontId="1" fillId="580" borderId="0" xfId="4" applyFill="1"/>
    <xf numFmtId="0" fontId="1" fillId="581" borderId="0" xfId="4" applyFill="1"/>
    <xf numFmtId="0" fontId="1" fillId="582" borderId="0" xfId="4" applyFill="1"/>
    <xf numFmtId="0" fontId="1" fillId="583" borderId="0" xfId="4" applyFill="1"/>
    <xf numFmtId="0" fontId="1" fillId="584" borderId="0" xfId="4" applyFill="1"/>
    <xf numFmtId="0" fontId="1" fillId="585" borderId="0" xfId="4" applyFill="1"/>
    <xf numFmtId="0" fontId="1" fillId="586" borderId="0" xfId="4" applyFill="1"/>
    <xf numFmtId="0" fontId="1" fillId="587" borderId="0" xfId="4" applyFill="1"/>
    <xf numFmtId="0" fontId="1" fillId="588" borderId="0" xfId="4" applyFill="1"/>
    <xf numFmtId="0" fontId="1" fillId="589" borderId="0" xfId="4" applyFill="1"/>
    <xf numFmtId="0" fontId="1" fillId="590" borderId="0" xfId="4" applyFill="1"/>
    <xf numFmtId="0" fontId="1" fillId="591" borderId="0" xfId="4" applyFill="1"/>
    <xf numFmtId="0" fontId="1" fillId="592" borderId="0" xfId="4" applyFill="1"/>
    <xf numFmtId="0" fontId="1" fillId="593" borderId="0" xfId="4" applyFill="1"/>
    <xf numFmtId="0" fontId="1" fillId="594" borderId="0" xfId="4" applyFill="1"/>
    <xf numFmtId="0" fontId="1" fillId="595" borderId="0" xfId="4" applyFill="1"/>
    <xf numFmtId="0" fontId="1" fillId="596" borderId="0" xfId="4" applyFill="1"/>
    <xf numFmtId="0" fontId="1" fillId="597" borderId="0" xfId="4" applyFill="1"/>
    <xf numFmtId="0" fontId="1" fillId="598" borderId="0" xfId="4" applyFill="1"/>
    <xf numFmtId="0" fontId="1" fillId="599" borderId="0" xfId="4" applyFill="1"/>
    <xf numFmtId="0" fontId="1" fillId="600" borderId="0" xfId="4" applyFill="1"/>
    <xf numFmtId="0" fontId="1" fillId="601" borderId="0" xfId="4" applyFill="1"/>
    <xf numFmtId="0" fontId="1" fillId="602" borderId="0" xfId="4" applyFill="1"/>
    <xf numFmtId="0" fontId="1" fillId="603" borderId="0" xfId="4" applyFill="1"/>
    <xf numFmtId="0" fontId="1" fillId="604" borderId="0" xfId="4" applyFill="1"/>
    <xf numFmtId="0" fontId="1" fillId="605" borderId="0" xfId="4" applyFill="1"/>
    <xf numFmtId="0" fontId="1" fillId="606" borderId="0" xfId="4" applyFill="1"/>
    <xf numFmtId="0" fontId="1" fillId="607" borderId="0" xfId="4" applyFill="1"/>
    <xf numFmtId="0" fontId="1" fillId="608" borderId="0" xfId="4" applyFill="1"/>
    <xf numFmtId="0" fontId="1" fillId="609" borderId="0" xfId="4" applyFill="1"/>
    <xf numFmtId="0" fontId="1" fillId="610" borderId="0" xfId="4" applyFill="1"/>
    <xf numFmtId="0" fontId="1" fillId="611" borderId="0" xfId="4" applyFill="1"/>
    <xf numFmtId="0" fontId="1" fillId="612" borderId="0" xfId="4" applyFill="1"/>
    <xf numFmtId="0" fontId="1" fillId="613" borderId="0" xfId="4" applyFill="1"/>
    <xf numFmtId="0" fontId="1" fillId="614" borderId="0" xfId="4" applyFill="1"/>
    <xf numFmtId="0" fontId="1" fillId="615" borderId="0" xfId="4" applyFill="1"/>
    <xf numFmtId="0" fontId="1" fillId="616" borderId="0" xfId="4" applyFill="1"/>
    <xf numFmtId="0" fontId="1" fillId="617" borderId="0" xfId="4" applyFill="1"/>
    <xf numFmtId="0" fontId="1" fillId="618" borderId="0" xfId="4" applyFill="1"/>
    <xf numFmtId="0" fontId="1" fillId="619" borderId="0" xfId="4" applyFill="1"/>
    <xf numFmtId="0" fontId="1" fillId="620" borderId="0" xfId="4" applyFill="1"/>
    <xf numFmtId="0" fontId="1" fillId="621" borderId="0" xfId="4" applyFill="1"/>
    <xf numFmtId="0" fontId="1" fillId="622" borderId="0" xfId="4" applyFill="1"/>
    <xf numFmtId="0" fontId="1" fillId="623" borderId="0" xfId="4" applyFill="1"/>
    <xf numFmtId="0" fontId="1" fillId="624" borderId="0" xfId="4" applyFill="1"/>
    <xf numFmtId="0" fontId="1" fillId="625" borderId="0" xfId="4" applyFill="1"/>
    <xf numFmtId="0" fontId="1" fillId="626" borderId="0" xfId="4" applyFill="1"/>
    <xf numFmtId="0" fontId="1" fillId="627" borderId="0" xfId="4" applyFill="1"/>
    <xf numFmtId="0" fontId="1" fillId="628" borderId="0" xfId="4" applyFill="1"/>
    <xf numFmtId="0" fontId="1" fillId="629" borderId="0" xfId="4" applyFill="1"/>
    <xf numFmtId="0" fontId="1" fillId="630" borderId="0" xfId="4" applyFill="1"/>
    <xf numFmtId="0" fontId="1" fillId="631" borderId="0" xfId="4" applyFill="1"/>
    <xf numFmtId="0" fontId="1" fillId="632" borderId="0" xfId="4" applyFill="1"/>
    <xf numFmtId="0" fontId="1" fillId="633" borderId="0" xfId="4" applyFill="1"/>
    <xf numFmtId="0" fontId="1" fillId="634" borderId="0" xfId="4" applyFill="1"/>
    <xf numFmtId="0" fontId="1" fillId="635" borderId="0" xfId="4" applyFill="1"/>
    <xf numFmtId="0" fontId="1" fillId="636" borderId="0" xfId="4" applyFill="1"/>
    <xf numFmtId="0" fontId="1" fillId="637" borderId="0" xfId="4" applyFill="1"/>
    <xf numFmtId="0" fontId="1" fillId="638" borderId="0" xfId="4" applyFill="1"/>
    <xf numFmtId="0" fontId="1" fillId="639" borderId="0" xfId="4" applyFill="1"/>
    <xf numFmtId="0" fontId="1" fillId="640" borderId="0" xfId="4" applyFill="1"/>
    <xf numFmtId="0" fontId="1" fillId="641" borderId="0" xfId="4" applyFill="1"/>
    <xf numFmtId="0" fontId="1" fillId="642" borderId="0" xfId="4" applyFill="1"/>
    <xf numFmtId="0" fontId="1" fillId="643" borderId="0" xfId="4" applyFill="1"/>
    <xf numFmtId="0" fontId="1" fillId="644" borderId="0" xfId="4" applyFill="1"/>
    <xf numFmtId="0" fontId="1" fillId="645" borderId="0" xfId="4" applyFill="1"/>
    <xf numFmtId="0" fontId="1" fillId="646" borderId="0" xfId="4" applyFill="1"/>
    <xf numFmtId="0" fontId="1" fillId="647" borderId="0" xfId="4" applyFill="1"/>
    <xf numFmtId="0" fontId="1" fillId="648" borderId="0" xfId="4" applyFill="1"/>
    <xf numFmtId="0" fontId="1" fillId="649" borderId="0" xfId="4" applyFill="1"/>
    <xf numFmtId="0" fontId="1" fillId="650" borderId="0" xfId="4" applyFill="1"/>
    <xf numFmtId="0" fontId="1" fillId="651" borderId="0" xfId="4" applyFill="1"/>
    <xf numFmtId="0" fontId="1" fillId="652" borderId="0" xfId="4" applyFill="1"/>
    <xf numFmtId="0" fontId="1" fillId="653" borderId="0" xfId="4" applyFill="1"/>
    <xf numFmtId="0" fontId="1" fillId="654" borderId="0" xfId="4" applyFill="1"/>
    <xf numFmtId="0" fontId="1" fillId="655" borderId="0" xfId="4" applyFill="1"/>
    <xf numFmtId="0" fontId="1" fillId="656" borderId="0" xfId="4" applyFill="1"/>
    <xf numFmtId="0" fontId="1" fillId="657" borderId="0" xfId="4" applyFill="1"/>
    <xf numFmtId="0" fontId="1" fillId="658" borderId="0" xfId="4" applyFill="1"/>
    <xf numFmtId="0" fontId="1" fillId="659" borderId="0" xfId="4" applyFill="1"/>
    <xf numFmtId="0" fontId="1" fillId="660" borderId="0" xfId="4" applyFill="1"/>
    <xf numFmtId="0" fontId="1" fillId="661" borderId="0" xfId="4" applyFill="1"/>
    <xf numFmtId="0" fontId="1" fillId="662" borderId="0" xfId="4" applyFill="1"/>
    <xf numFmtId="0" fontId="1" fillId="663" borderId="0" xfId="4" applyFill="1"/>
    <xf numFmtId="0" fontId="1" fillId="664" borderId="0" xfId="4" applyFill="1"/>
    <xf numFmtId="0" fontId="1" fillId="665" borderId="0" xfId="4" applyFill="1"/>
    <xf numFmtId="0" fontId="1" fillId="666" borderId="0" xfId="4" applyFill="1"/>
    <xf numFmtId="0" fontId="1" fillId="667" borderId="0" xfId="4" applyFill="1"/>
    <xf numFmtId="0" fontId="1" fillId="668" borderId="0" xfId="4" applyFill="1"/>
    <xf numFmtId="0" fontId="1" fillId="669" borderId="0" xfId="4" applyFill="1"/>
    <xf numFmtId="0" fontId="1" fillId="670" borderId="0" xfId="4" applyFill="1"/>
    <xf numFmtId="0" fontId="1" fillId="671" borderId="0" xfId="4" applyFill="1"/>
    <xf numFmtId="0" fontId="1" fillId="672" borderId="0" xfId="4" applyFill="1"/>
    <xf numFmtId="0" fontId="1" fillId="673" borderId="0" xfId="4" applyFill="1"/>
    <xf numFmtId="0" fontId="1" fillId="674" borderId="0" xfId="4" applyFill="1"/>
    <xf numFmtId="0" fontId="1" fillId="675" borderId="0" xfId="4" applyFill="1"/>
    <xf numFmtId="0" fontId="1" fillId="676" borderId="0" xfId="4" applyFill="1"/>
    <xf numFmtId="0" fontId="1" fillId="677" borderId="0" xfId="4" applyFill="1"/>
    <xf numFmtId="0" fontId="1" fillId="678" borderId="0" xfId="4" applyFill="1"/>
    <xf numFmtId="0" fontId="1" fillId="679" borderId="0" xfId="4" applyFill="1"/>
    <xf numFmtId="0" fontId="1" fillId="680" borderId="0" xfId="4" applyFill="1"/>
    <xf numFmtId="0" fontId="1" fillId="681" borderId="0" xfId="4" applyFill="1"/>
    <xf numFmtId="0" fontId="1" fillId="682" borderId="0" xfId="4" applyFill="1"/>
    <xf numFmtId="0" fontId="1" fillId="683" borderId="0" xfId="4" applyFill="1"/>
    <xf numFmtId="0" fontId="1" fillId="684" borderId="0" xfId="4" applyFill="1"/>
    <xf numFmtId="0" fontId="1" fillId="685" borderId="0" xfId="4" applyFill="1"/>
    <xf numFmtId="0" fontId="1" fillId="686" borderId="0" xfId="4" applyFill="1"/>
    <xf numFmtId="0" fontId="1" fillId="687" borderId="0" xfId="4" applyFill="1"/>
    <xf numFmtId="0" fontId="1" fillId="688" borderId="0" xfId="4" applyFill="1"/>
    <xf numFmtId="0" fontId="1" fillId="689" borderId="0" xfId="4" applyFill="1"/>
    <xf numFmtId="0" fontId="1" fillId="690" borderId="0" xfId="4" applyFill="1"/>
    <xf numFmtId="0" fontId="1" fillId="691" borderId="0" xfId="4" applyFill="1"/>
    <xf numFmtId="0" fontId="1" fillId="692" borderId="0" xfId="4" applyFill="1"/>
    <xf numFmtId="0" fontId="1" fillId="693" borderId="0" xfId="4" applyFill="1"/>
    <xf numFmtId="0" fontId="1" fillId="694" borderId="0" xfId="4" applyFill="1"/>
    <xf numFmtId="0" fontId="1" fillId="695" borderId="0" xfId="4" applyFill="1"/>
    <xf numFmtId="0" fontId="1" fillId="696" borderId="0" xfId="4" applyFill="1"/>
    <xf numFmtId="0" fontId="1" fillId="697" borderId="0" xfId="4" applyFill="1"/>
    <xf numFmtId="0" fontId="1" fillId="698" borderId="0" xfId="4" applyFill="1"/>
    <xf numFmtId="0" fontId="1" fillId="699" borderId="0" xfId="4" applyFill="1"/>
    <xf numFmtId="0" fontId="1" fillId="700" borderId="0" xfId="4" applyFill="1"/>
    <xf numFmtId="0" fontId="1" fillId="701" borderId="0" xfId="4" applyFill="1"/>
    <xf numFmtId="0" fontId="1" fillId="702" borderId="0" xfId="4" applyFill="1"/>
    <xf numFmtId="0" fontId="1" fillId="703" borderId="0" xfId="4" applyFill="1"/>
    <xf numFmtId="0" fontId="1" fillId="704" borderId="0" xfId="4" applyFill="1"/>
    <xf numFmtId="0" fontId="1" fillId="705" borderId="0" xfId="4" applyFill="1"/>
    <xf numFmtId="0" fontId="1" fillId="706" borderId="0" xfId="4" applyFill="1"/>
    <xf numFmtId="0" fontId="1" fillId="707" borderId="0" xfId="4" applyFill="1"/>
    <xf numFmtId="0" fontId="1" fillId="708" borderId="0" xfId="4" applyFill="1"/>
    <xf numFmtId="0" fontId="1" fillId="709" borderId="0" xfId="4" applyFill="1"/>
    <xf numFmtId="0" fontId="1" fillId="710" borderId="0" xfId="4" applyFill="1"/>
    <xf numFmtId="0" fontId="1" fillId="711" borderId="0" xfId="4" applyFill="1"/>
    <xf numFmtId="0" fontId="1" fillId="712" borderId="0" xfId="4" applyFill="1"/>
    <xf numFmtId="0" fontId="1" fillId="713" borderId="0" xfId="4" applyFill="1"/>
    <xf numFmtId="0" fontId="1" fillId="714" borderId="0" xfId="4" applyFill="1"/>
    <xf numFmtId="0" fontId="1" fillId="715" borderId="0" xfId="4" applyFill="1"/>
    <xf numFmtId="0" fontId="1" fillId="716" borderId="0" xfId="4" applyFill="1"/>
    <xf numFmtId="0" fontId="1" fillId="717" borderId="0" xfId="4" applyFill="1"/>
    <xf numFmtId="0" fontId="1" fillId="718" borderId="0" xfId="4" applyFill="1"/>
    <xf numFmtId="0" fontId="1" fillId="719" borderId="0" xfId="4" applyFill="1"/>
    <xf numFmtId="0" fontId="1" fillId="720" borderId="0" xfId="4" applyFill="1"/>
    <xf numFmtId="0" fontId="1" fillId="721" borderId="0" xfId="4" applyFill="1"/>
    <xf numFmtId="0" fontId="1" fillId="722" borderId="0" xfId="4" applyFill="1"/>
    <xf numFmtId="0" fontId="1" fillId="723" borderId="0" xfId="4" applyFill="1"/>
    <xf numFmtId="0" fontId="1" fillId="724" borderId="0" xfId="4" applyFill="1"/>
    <xf numFmtId="0" fontId="1" fillId="725" borderId="0" xfId="4" applyFill="1"/>
    <xf numFmtId="0" fontId="1" fillId="726" borderId="0" xfId="4" applyFill="1"/>
    <xf numFmtId="0" fontId="1" fillId="727" borderId="0" xfId="4" applyFill="1"/>
    <xf numFmtId="0" fontId="1" fillId="728" borderId="0" xfId="4" applyFill="1"/>
    <xf numFmtId="0" fontId="1" fillId="729" borderId="0" xfId="4" applyFill="1"/>
    <xf numFmtId="0" fontId="1" fillId="730" borderId="0" xfId="4" applyFill="1"/>
    <xf numFmtId="0" fontId="1" fillId="731" borderId="0" xfId="4" applyFill="1"/>
    <xf numFmtId="0" fontId="1" fillId="732" borderId="0" xfId="4" applyFill="1"/>
    <xf numFmtId="0" fontId="1" fillId="733" borderId="0" xfId="4" applyFill="1"/>
    <xf numFmtId="0" fontId="1" fillId="734" borderId="0" xfId="4" applyFill="1"/>
    <xf numFmtId="0" fontId="1" fillId="735" borderId="0" xfId="4" applyFill="1"/>
    <xf numFmtId="0" fontId="1" fillId="736" borderId="0" xfId="4" applyFill="1"/>
    <xf numFmtId="0" fontId="1" fillId="737" borderId="0" xfId="4" applyFill="1"/>
    <xf numFmtId="0" fontId="1" fillId="738" borderId="0" xfId="4" applyFill="1"/>
    <xf numFmtId="0" fontId="1" fillId="739" borderId="0" xfId="4" applyFill="1"/>
    <xf numFmtId="0" fontId="1" fillId="740" borderId="0" xfId="4" applyFill="1"/>
    <xf numFmtId="0" fontId="1" fillId="741" borderId="0" xfId="4" applyFill="1"/>
    <xf numFmtId="0" fontId="1" fillId="742" borderId="0" xfId="4" applyFill="1"/>
    <xf numFmtId="0" fontId="1" fillId="743" borderId="0" xfId="4" applyFill="1"/>
    <xf numFmtId="0" fontId="1" fillId="744" borderId="0" xfId="4" applyFill="1"/>
    <xf numFmtId="0" fontId="1" fillId="745" borderId="0" xfId="4" applyFill="1"/>
    <xf numFmtId="0" fontId="1" fillId="746" borderId="0" xfId="4" applyFill="1"/>
    <xf numFmtId="0" fontId="1" fillId="747" borderId="0" xfId="4" applyFill="1"/>
    <xf numFmtId="0" fontId="1" fillId="748" borderId="0" xfId="4" applyFill="1"/>
    <xf numFmtId="0" fontId="1" fillId="749" borderId="0" xfId="4" applyFill="1"/>
    <xf numFmtId="0" fontId="1" fillId="750" borderId="0" xfId="4" applyFill="1"/>
    <xf numFmtId="0" fontId="1" fillId="751" borderId="0" xfId="4" applyFill="1"/>
    <xf numFmtId="0" fontId="1" fillId="752" borderId="0" xfId="4" applyFill="1"/>
    <xf numFmtId="0" fontId="1" fillId="753" borderId="0" xfId="4" applyFill="1"/>
    <xf numFmtId="0" fontId="1" fillId="754" borderId="0" xfId="4" applyFill="1"/>
    <xf numFmtId="0" fontId="1" fillId="755" borderId="0" xfId="4" applyFill="1"/>
    <xf numFmtId="0" fontId="1" fillId="756" borderId="0" xfId="4" applyFill="1"/>
    <xf numFmtId="0" fontId="1" fillId="757" borderId="0" xfId="4" applyFill="1"/>
    <xf numFmtId="0" fontId="1" fillId="758" borderId="0" xfId="4" applyFill="1"/>
    <xf numFmtId="0" fontId="1" fillId="759" borderId="0" xfId="4" applyFill="1"/>
    <xf numFmtId="0" fontId="1" fillId="760" borderId="0" xfId="4" applyFill="1"/>
    <xf numFmtId="0" fontId="1" fillId="761" borderId="0" xfId="4" applyFill="1"/>
    <xf numFmtId="0" fontId="1" fillId="762" borderId="0" xfId="4" applyFill="1"/>
    <xf numFmtId="0" fontId="1" fillId="763" borderId="0" xfId="4" applyFill="1"/>
    <xf numFmtId="0" fontId="1" fillId="764" borderId="0" xfId="4" applyFill="1"/>
    <xf numFmtId="0" fontId="1" fillId="765" borderId="0" xfId="4" applyFill="1"/>
    <xf numFmtId="0" fontId="1" fillId="766" borderId="0" xfId="4" applyFill="1"/>
    <xf numFmtId="0" fontId="1" fillId="767" borderId="0" xfId="4" applyFill="1"/>
    <xf numFmtId="0" fontId="1" fillId="768" borderId="0" xfId="4" applyFill="1"/>
    <xf numFmtId="0" fontId="1" fillId="769" borderId="0" xfId="4" applyFill="1"/>
    <xf numFmtId="0" fontId="1" fillId="770" borderId="0" xfId="4" applyFill="1"/>
    <xf numFmtId="0" fontId="1" fillId="771" borderId="0" xfId="4" applyFill="1"/>
    <xf numFmtId="0" fontId="1" fillId="772" borderId="0" xfId="4" applyFill="1"/>
    <xf numFmtId="0" fontId="1" fillId="773" borderId="0" xfId="4" applyFill="1"/>
    <xf numFmtId="0" fontId="1" fillId="774" borderId="0" xfId="4" applyFill="1"/>
    <xf numFmtId="0" fontId="1" fillId="775" borderId="0" xfId="4" applyFill="1"/>
    <xf numFmtId="0" fontId="1" fillId="776" borderId="0" xfId="4" applyFill="1"/>
    <xf numFmtId="0" fontId="1" fillId="777" borderId="0" xfId="4" applyFill="1"/>
    <xf numFmtId="0" fontId="1" fillId="778" borderId="0" xfId="4" applyFill="1"/>
    <xf numFmtId="0" fontId="1" fillId="779" borderId="0" xfId="4" applyFill="1"/>
    <xf numFmtId="0" fontId="1" fillId="780" borderId="0" xfId="4" applyFill="1"/>
    <xf numFmtId="0" fontId="1" fillId="781" borderId="0" xfId="4" applyFill="1"/>
    <xf numFmtId="0" fontId="1" fillId="782" borderId="0" xfId="4" applyFill="1"/>
    <xf numFmtId="0" fontId="1" fillId="783" borderId="0" xfId="4" applyFill="1"/>
    <xf numFmtId="0" fontId="1" fillId="784" borderId="0" xfId="4" applyFill="1"/>
    <xf numFmtId="0" fontId="1" fillId="785" borderId="0" xfId="4" applyFill="1"/>
    <xf numFmtId="0" fontId="1" fillId="786" borderId="0" xfId="4" applyFill="1"/>
    <xf numFmtId="0" fontId="1" fillId="787" borderId="0" xfId="4" applyFill="1"/>
    <xf numFmtId="0" fontId="1" fillId="788" borderId="0" xfId="4" applyFill="1"/>
    <xf numFmtId="0" fontId="1" fillId="789" borderId="0" xfId="4" applyFill="1"/>
    <xf numFmtId="0" fontId="1" fillId="790" borderId="0" xfId="4" applyFill="1"/>
    <xf numFmtId="0" fontId="1" fillId="791" borderId="0" xfId="4" applyFill="1"/>
    <xf numFmtId="0" fontId="1" fillId="792" borderId="0" xfId="4" applyFill="1"/>
    <xf numFmtId="0" fontId="1" fillId="793" borderId="0" xfId="4" applyFill="1"/>
    <xf numFmtId="0" fontId="1" fillId="794" borderId="0" xfId="4" applyFill="1"/>
    <xf numFmtId="0" fontId="1" fillId="795" borderId="0" xfId="4" applyFill="1"/>
    <xf numFmtId="0" fontId="1" fillId="796" borderId="0" xfId="4" applyFill="1"/>
    <xf numFmtId="0" fontId="1" fillId="797" borderId="0" xfId="4" applyFill="1"/>
    <xf numFmtId="0" fontId="1" fillId="798" borderId="0" xfId="4" applyFill="1"/>
    <xf numFmtId="0" fontId="1" fillId="799" borderId="0" xfId="4" applyFill="1"/>
    <xf numFmtId="0" fontId="1" fillId="800" borderId="0" xfId="4" applyFill="1"/>
    <xf numFmtId="0" fontId="1" fillId="801" borderId="0" xfId="4" applyFill="1"/>
    <xf numFmtId="0" fontId="1" fillId="802" borderId="0" xfId="4" applyFill="1"/>
    <xf numFmtId="0" fontId="1" fillId="803" borderId="0" xfId="4" applyFill="1"/>
    <xf numFmtId="0" fontId="1" fillId="804" borderId="0" xfId="4" applyFill="1"/>
    <xf numFmtId="0" fontId="1" fillId="805" borderId="0" xfId="4" applyFill="1"/>
    <xf numFmtId="0" fontId="1" fillId="806" borderId="0" xfId="4" applyFill="1"/>
    <xf numFmtId="0" fontId="1" fillId="807" borderId="0" xfId="4" applyFill="1"/>
    <xf numFmtId="0" fontId="1" fillId="808" borderId="0" xfId="4" applyFill="1"/>
    <xf numFmtId="0" fontId="1" fillId="809" borderId="0" xfId="4" applyFill="1"/>
    <xf numFmtId="0" fontId="1" fillId="810" borderId="0" xfId="4" applyFill="1"/>
    <xf numFmtId="0" fontId="1" fillId="811" borderId="0" xfId="4" applyFill="1"/>
    <xf numFmtId="0" fontId="1" fillId="812" borderId="0" xfId="4" applyFill="1"/>
    <xf numFmtId="0" fontId="1" fillId="813" borderId="0" xfId="4" applyFill="1"/>
    <xf numFmtId="0" fontId="1" fillId="814" borderId="0" xfId="4" applyFill="1"/>
    <xf numFmtId="0" fontId="1" fillId="815" borderId="0" xfId="4" applyFill="1"/>
    <xf numFmtId="0" fontId="1" fillId="816" borderId="0" xfId="4" applyFill="1"/>
    <xf numFmtId="0" fontId="1" fillId="817" borderId="0" xfId="4" applyFill="1"/>
    <xf numFmtId="0" fontId="1" fillId="818" borderId="0" xfId="4" applyFill="1"/>
    <xf numFmtId="0" fontId="1" fillId="819" borderId="0" xfId="4" applyFill="1"/>
    <xf numFmtId="0" fontId="1" fillId="820" borderId="0" xfId="4" applyFill="1"/>
    <xf numFmtId="0" fontId="1" fillId="821" borderId="0" xfId="4" applyFill="1"/>
    <xf numFmtId="0" fontId="1" fillId="822" borderId="0" xfId="4" applyFill="1"/>
    <xf numFmtId="0" fontId="1" fillId="823" borderId="0" xfId="4" applyFill="1"/>
    <xf numFmtId="0" fontId="1" fillId="824" borderId="0" xfId="4" applyFill="1"/>
    <xf numFmtId="0" fontId="1" fillId="825" borderId="0" xfId="4" applyFill="1"/>
    <xf numFmtId="0" fontId="1" fillId="826" borderId="0" xfId="4" applyFill="1"/>
    <xf numFmtId="0" fontId="1" fillId="827" borderId="0" xfId="4" applyFill="1"/>
    <xf numFmtId="0" fontId="1" fillId="828" borderId="0" xfId="4" applyFill="1"/>
    <xf numFmtId="0" fontId="1" fillId="829" borderId="0" xfId="4" applyFill="1"/>
    <xf numFmtId="0" fontId="1" fillId="830" borderId="0" xfId="4" applyFill="1"/>
    <xf numFmtId="0" fontId="1" fillId="831" borderId="0" xfId="4" applyFill="1"/>
    <xf numFmtId="0" fontId="1" fillId="832" borderId="0" xfId="4" applyFill="1"/>
    <xf numFmtId="0" fontId="1" fillId="833" borderId="0" xfId="4" applyFill="1"/>
    <xf numFmtId="0" fontId="1" fillId="834" borderId="0" xfId="4" applyFill="1"/>
    <xf numFmtId="0" fontId="1" fillId="835" borderId="0" xfId="4" applyFill="1"/>
    <xf numFmtId="0" fontId="1" fillId="836" borderId="0" xfId="4" applyFill="1"/>
    <xf numFmtId="0" fontId="1" fillId="837" borderId="0" xfId="4" applyFill="1"/>
    <xf numFmtId="0" fontId="1" fillId="838" borderId="0" xfId="4" applyFill="1"/>
    <xf numFmtId="0" fontId="1" fillId="839" borderId="0" xfId="4" applyFill="1"/>
    <xf numFmtId="0" fontId="1" fillId="840" borderId="0" xfId="4" applyFill="1"/>
    <xf numFmtId="0" fontId="1" fillId="841" borderId="0" xfId="4" applyFill="1"/>
    <xf numFmtId="0" fontId="1" fillId="842" borderId="0" xfId="4" applyFill="1"/>
    <xf numFmtId="0" fontId="1" fillId="843" borderId="0" xfId="4" applyFill="1"/>
    <xf numFmtId="0" fontId="1" fillId="844" borderId="0" xfId="4" applyFill="1"/>
    <xf numFmtId="0" fontId="1" fillId="845" borderId="0" xfId="4" applyFill="1"/>
    <xf numFmtId="0" fontId="1" fillId="846" borderId="0" xfId="4" applyFill="1"/>
    <xf numFmtId="0" fontId="1" fillId="847" borderId="0" xfId="4" applyFill="1"/>
    <xf numFmtId="0" fontId="1" fillId="848" borderId="0" xfId="4" applyFill="1"/>
    <xf numFmtId="0" fontId="1" fillId="849" borderId="0" xfId="4" applyFill="1"/>
    <xf numFmtId="0" fontId="1" fillId="850" borderId="0" xfId="4" applyFill="1"/>
    <xf numFmtId="0" fontId="1" fillId="851" borderId="0" xfId="4" applyFill="1"/>
    <xf numFmtId="0" fontId="1" fillId="852" borderId="0" xfId="4" applyFill="1"/>
    <xf numFmtId="0" fontId="1" fillId="853" borderId="0" xfId="4" applyFill="1"/>
    <xf numFmtId="0" fontId="1" fillId="854" borderId="0" xfId="4" applyFill="1"/>
    <xf numFmtId="0" fontId="1" fillId="855" borderId="0" xfId="4" applyFill="1"/>
    <xf numFmtId="0" fontId="1" fillId="856" borderId="0" xfId="4" applyFill="1"/>
    <xf numFmtId="0" fontId="1" fillId="857" borderId="0" xfId="4" applyFill="1"/>
    <xf numFmtId="0" fontId="1" fillId="858" borderId="0" xfId="4" applyFill="1"/>
    <xf numFmtId="0" fontId="1" fillId="859" borderId="0" xfId="4" applyFill="1"/>
    <xf numFmtId="0" fontId="1" fillId="860" borderId="0" xfId="4" applyFill="1"/>
    <xf numFmtId="0" fontId="1" fillId="861" borderId="0" xfId="4" applyFill="1"/>
    <xf numFmtId="0" fontId="1" fillId="862" borderId="0" xfId="4" applyFill="1"/>
    <xf numFmtId="0" fontId="1" fillId="863" borderId="0" xfId="4" applyFill="1"/>
    <xf numFmtId="0" fontId="1" fillId="864" borderId="0" xfId="4" applyFill="1"/>
    <xf numFmtId="0" fontId="1" fillId="865" borderId="0" xfId="4" applyFill="1"/>
    <xf numFmtId="0" fontId="1" fillId="866" borderId="0" xfId="4" applyFill="1"/>
    <xf numFmtId="0" fontId="1" fillId="867" borderId="0" xfId="4" applyFill="1"/>
    <xf numFmtId="0" fontId="1" fillId="868" borderId="0" xfId="4" applyFill="1"/>
    <xf numFmtId="0" fontId="1" fillId="869" borderId="0" xfId="4" applyFill="1"/>
    <xf numFmtId="0" fontId="1" fillId="870" borderId="0" xfId="4" applyFill="1"/>
    <xf numFmtId="0" fontId="1" fillId="871" borderId="0" xfId="4" applyFill="1"/>
    <xf numFmtId="0" fontId="1" fillId="872" borderId="0" xfId="4" applyFill="1"/>
    <xf numFmtId="0" fontId="1" fillId="873" borderId="0" xfId="4" applyFill="1"/>
    <xf numFmtId="0" fontId="1" fillId="874" borderId="0" xfId="4" applyFill="1"/>
    <xf numFmtId="0" fontId="1" fillId="875" borderId="0" xfId="4" applyFill="1"/>
    <xf numFmtId="0" fontId="1" fillId="876" borderId="0" xfId="4" applyFill="1"/>
    <xf numFmtId="0" fontId="1" fillId="877" borderId="0" xfId="4" applyFill="1"/>
    <xf numFmtId="0" fontId="1" fillId="878" borderId="0" xfId="4" applyFill="1"/>
    <xf numFmtId="0" fontId="1" fillId="879" borderId="0" xfId="4" applyFill="1"/>
    <xf numFmtId="0" fontId="1" fillId="880" borderId="0" xfId="4" applyFill="1"/>
    <xf numFmtId="0" fontId="1" fillId="881" borderId="0" xfId="4" applyFill="1"/>
    <xf numFmtId="0" fontId="1" fillId="882" borderId="0" xfId="4" applyFill="1"/>
    <xf numFmtId="0" fontId="1" fillId="883" borderId="0" xfId="4" applyFill="1"/>
    <xf numFmtId="0" fontId="1" fillId="884" borderId="0" xfId="4" applyFill="1"/>
    <xf numFmtId="0" fontId="1" fillId="885" borderId="0" xfId="4" applyFill="1"/>
    <xf numFmtId="0" fontId="1" fillId="886" borderId="0" xfId="4" applyFill="1"/>
    <xf numFmtId="0" fontId="1" fillId="887" borderId="0" xfId="4" applyFill="1"/>
    <xf numFmtId="0" fontId="1" fillId="888" borderId="0" xfId="4" applyFill="1"/>
    <xf numFmtId="0" fontId="1" fillId="889" borderId="0" xfId="4" applyFill="1"/>
    <xf numFmtId="0" fontId="1" fillId="890" borderId="0" xfId="4" applyFill="1"/>
    <xf numFmtId="0" fontId="1" fillId="891" borderId="0" xfId="4" applyFill="1"/>
    <xf numFmtId="0" fontId="1" fillId="892" borderId="0" xfId="4" applyFill="1"/>
    <xf numFmtId="0" fontId="1" fillId="893" borderId="0" xfId="4" applyFill="1"/>
    <xf numFmtId="0" fontId="1" fillId="894" borderId="0" xfId="4" applyFill="1"/>
    <xf numFmtId="0" fontId="1" fillId="895" borderId="0" xfId="4" applyFill="1"/>
    <xf numFmtId="0" fontId="1" fillId="896" borderId="0" xfId="4" applyFill="1"/>
    <xf numFmtId="0" fontId="1" fillId="897" borderId="0" xfId="4" applyFill="1"/>
    <xf numFmtId="0" fontId="1" fillId="898" borderId="0" xfId="4" applyFill="1"/>
    <xf numFmtId="0" fontId="1" fillId="899" borderId="0" xfId="4" applyFill="1"/>
    <xf numFmtId="0" fontId="1" fillId="900" borderId="0" xfId="4" applyFill="1"/>
    <xf numFmtId="0" fontId="1" fillId="901" borderId="0" xfId="4" applyFill="1"/>
    <xf numFmtId="0" fontId="1" fillId="902" borderId="0" xfId="4" applyFill="1"/>
    <xf numFmtId="0" fontId="1" fillId="903" borderId="0" xfId="4" applyFill="1"/>
    <xf numFmtId="0" fontId="1" fillId="904" borderId="0" xfId="4" applyFill="1"/>
    <xf numFmtId="0" fontId="1" fillId="905" borderId="0" xfId="4" applyFill="1"/>
    <xf numFmtId="0" fontId="1" fillId="906" borderId="0" xfId="4" applyFill="1"/>
    <xf numFmtId="0" fontId="1" fillId="907" borderId="0" xfId="4" applyFill="1"/>
    <xf numFmtId="0" fontId="1" fillId="908" borderId="0" xfId="4" applyFill="1"/>
    <xf numFmtId="0" fontId="1" fillId="909" borderId="0" xfId="4" applyFill="1"/>
    <xf numFmtId="0" fontId="1" fillId="910" borderId="0" xfId="4" applyFill="1"/>
    <xf numFmtId="0" fontId="1" fillId="911" borderId="0" xfId="4" applyFill="1"/>
    <xf numFmtId="0" fontId="1" fillId="912" borderId="0" xfId="4" applyFill="1"/>
    <xf numFmtId="0" fontId="1" fillId="913" borderId="0" xfId="4" applyFill="1"/>
    <xf numFmtId="0" fontId="1" fillId="914" borderId="0" xfId="4" applyFill="1"/>
    <xf numFmtId="0" fontId="1" fillId="915" borderId="0" xfId="4" applyFill="1"/>
    <xf numFmtId="0" fontId="1" fillId="916" borderId="0" xfId="4" applyFill="1"/>
    <xf numFmtId="0" fontId="1" fillId="917" borderId="0" xfId="4" applyFill="1"/>
    <xf numFmtId="0" fontId="1" fillId="918" borderId="0" xfId="4" applyFill="1"/>
    <xf numFmtId="0" fontId="1" fillId="919" borderId="0" xfId="4" applyFill="1"/>
    <xf numFmtId="0" fontId="1" fillId="920" borderId="0" xfId="4" applyFill="1"/>
    <xf numFmtId="0" fontId="1" fillId="921" borderId="0" xfId="4" applyFill="1"/>
    <xf numFmtId="0" fontId="1" fillId="922" borderId="0" xfId="4" applyFill="1"/>
    <xf numFmtId="0" fontId="1" fillId="923" borderId="0" xfId="4" applyFill="1"/>
    <xf numFmtId="0" fontId="1" fillId="924" borderId="0" xfId="4" applyFill="1"/>
    <xf numFmtId="0" fontId="1" fillId="925" borderId="0" xfId="4" applyFill="1"/>
    <xf numFmtId="0" fontId="1" fillId="926" borderId="0" xfId="4" applyFill="1"/>
    <xf numFmtId="0" fontId="1" fillId="927" borderId="0" xfId="4" applyFill="1"/>
    <xf numFmtId="0" fontId="1" fillId="928" borderId="0" xfId="4" applyFill="1"/>
    <xf numFmtId="0" fontId="1" fillId="929" borderId="0" xfId="4" applyFill="1"/>
    <xf numFmtId="0" fontId="1" fillId="930" borderId="0" xfId="4" applyFill="1"/>
    <xf numFmtId="0" fontId="1" fillId="931" borderId="0" xfId="4" applyFill="1"/>
    <xf numFmtId="0" fontId="1" fillId="932" borderId="0" xfId="4" applyFill="1"/>
    <xf numFmtId="0" fontId="1" fillId="933" borderId="0" xfId="4" applyFill="1"/>
    <xf numFmtId="0" fontId="1" fillId="934" borderId="0" xfId="4" applyFill="1"/>
    <xf numFmtId="0" fontId="1" fillId="935" borderId="0" xfId="4" applyFill="1"/>
    <xf numFmtId="0" fontId="1" fillId="936" borderId="0" xfId="4" applyFill="1"/>
    <xf numFmtId="0" fontId="1" fillId="937" borderId="0" xfId="4" applyFill="1"/>
    <xf numFmtId="0" fontId="1" fillId="938" borderId="0" xfId="4" applyFill="1"/>
    <xf numFmtId="0" fontId="1" fillId="939" borderId="0" xfId="4" applyFill="1"/>
    <xf numFmtId="0" fontId="1" fillId="940" borderId="0" xfId="4" applyFill="1"/>
    <xf numFmtId="0" fontId="1" fillId="941" borderId="0" xfId="4" applyFill="1"/>
    <xf numFmtId="0" fontId="1" fillId="942" borderId="0" xfId="4" applyFill="1"/>
    <xf numFmtId="0" fontId="1" fillId="943" borderId="0" xfId="4" applyFill="1"/>
    <xf numFmtId="0" fontId="1" fillId="944" borderId="0" xfId="4" applyFill="1"/>
    <xf numFmtId="0" fontId="1" fillId="945" borderId="0" xfId="4" applyFill="1"/>
    <xf numFmtId="0" fontId="1" fillId="946" borderId="0" xfId="4" applyFill="1"/>
    <xf numFmtId="0" fontId="1" fillId="947" borderId="0" xfId="4" applyFill="1"/>
    <xf numFmtId="0" fontId="1" fillId="948" borderId="0" xfId="4" applyFill="1"/>
    <xf numFmtId="0" fontId="1" fillId="949" borderId="0" xfId="4" applyFill="1"/>
    <xf numFmtId="0" fontId="1" fillId="950" borderId="0" xfId="4" applyFill="1"/>
    <xf numFmtId="0" fontId="1" fillId="951" borderId="0" xfId="4" applyFill="1"/>
    <xf numFmtId="0" fontId="1" fillId="952" borderId="0" xfId="4" applyFill="1"/>
    <xf numFmtId="0" fontId="1" fillId="953" borderId="0" xfId="4" applyFill="1"/>
    <xf numFmtId="0" fontId="1" fillId="954" borderId="0" xfId="4" applyFill="1"/>
    <xf numFmtId="0" fontId="1" fillId="955" borderId="0" xfId="4" applyFill="1"/>
    <xf numFmtId="0" fontId="1" fillId="956" borderId="0" xfId="4" applyFill="1"/>
    <xf numFmtId="0" fontId="1" fillId="957" borderId="0" xfId="4" applyFill="1"/>
    <xf numFmtId="0" fontId="1" fillId="958" borderId="0" xfId="4" applyFill="1"/>
    <xf numFmtId="0" fontId="1" fillId="959" borderId="0" xfId="4" applyFill="1"/>
    <xf numFmtId="0" fontId="1" fillId="960" borderId="0" xfId="4" applyFill="1"/>
    <xf numFmtId="0" fontId="1" fillId="961" borderId="0" xfId="4" applyFill="1"/>
    <xf numFmtId="0" fontId="1" fillId="962" borderId="0" xfId="4" applyFill="1"/>
    <xf numFmtId="0" fontId="1" fillId="963" borderId="0" xfId="4" applyFill="1"/>
    <xf numFmtId="0" fontId="1" fillId="964" borderId="0" xfId="4" applyFill="1"/>
    <xf numFmtId="0" fontId="1" fillId="965" borderId="0" xfId="4" applyFill="1"/>
    <xf numFmtId="0" fontId="1" fillId="966" borderId="0" xfId="4" applyFill="1"/>
    <xf numFmtId="0" fontId="1" fillId="967" borderId="0" xfId="4" applyFill="1"/>
    <xf numFmtId="0" fontId="1" fillId="968" borderId="0" xfId="4" applyFill="1"/>
    <xf numFmtId="0" fontId="1" fillId="969" borderId="0" xfId="4" applyFill="1"/>
    <xf numFmtId="0" fontId="1" fillId="970" borderId="0" xfId="4" applyFill="1"/>
    <xf numFmtId="0" fontId="1" fillId="971" borderId="0" xfId="4" applyFill="1"/>
    <xf numFmtId="0" fontId="1" fillId="972" borderId="0" xfId="4" applyFill="1"/>
    <xf numFmtId="0" fontId="1" fillId="973" borderId="0" xfId="4" applyFill="1"/>
    <xf numFmtId="0" fontId="1" fillId="974" borderId="0" xfId="4" applyFill="1"/>
    <xf numFmtId="0" fontId="1" fillId="975" borderId="0" xfId="4" applyFill="1"/>
    <xf numFmtId="0" fontId="1" fillId="976" borderId="0" xfId="4" applyFill="1"/>
    <xf numFmtId="0" fontId="1" fillId="977" borderId="0" xfId="4" applyFill="1"/>
    <xf numFmtId="0" fontId="1" fillId="978" borderId="0" xfId="4" applyFill="1"/>
    <xf numFmtId="0" fontId="1" fillId="979" borderId="0" xfId="4" applyFill="1"/>
    <xf numFmtId="0" fontId="1" fillId="980" borderId="0" xfId="4" applyFill="1"/>
    <xf numFmtId="0" fontId="1" fillId="981" borderId="0" xfId="4" applyFill="1"/>
    <xf numFmtId="0" fontId="1" fillId="982" borderId="0" xfId="4" applyFill="1"/>
    <xf numFmtId="0" fontId="1" fillId="983" borderId="0" xfId="4" applyFill="1"/>
    <xf numFmtId="0" fontId="1" fillId="984" borderId="0" xfId="4" applyFill="1"/>
    <xf numFmtId="0" fontId="1" fillId="985" borderId="0" xfId="4" applyFill="1"/>
    <xf numFmtId="0" fontId="1" fillId="986" borderId="0" xfId="4" applyFill="1"/>
    <xf numFmtId="0" fontId="1" fillId="987" borderId="0" xfId="4" applyFill="1"/>
    <xf numFmtId="0" fontId="1" fillId="988" borderId="0" xfId="4" applyFill="1"/>
    <xf numFmtId="0" fontId="1" fillId="989" borderId="0" xfId="4" applyFill="1"/>
    <xf numFmtId="0" fontId="1" fillId="990" borderId="0" xfId="4" applyFill="1"/>
    <xf numFmtId="0" fontId="1" fillId="991" borderId="0" xfId="4" applyFill="1"/>
    <xf numFmtId="0" fontId="1" fillId="992" borderId="0" xfId="4" applyFill="1"/>
    <xf numFmtId="0" fontId="1" fillId="993" borderId="0" xfId="4" applyFill="1"/>
    <xf numFmtId="0" fontId="1" fillId="994" borderId="0" xfId="4" applyFill="1"/>
    <xf numFmtId="0" fontId="1" fillId="995" borderId="0" xfId="4" applyFill="1"/>
    <xf numFmtId="0" fontId="1" fillId="996" borderId="0" xfId="4" applyFill="1"/>
    <xf numFmtId="0" fontId="1" fillId="997" borderId="0" xfId="4" applyFill="1"/>
    <xf numFmtId="0" fontId="1" fillId="998" borderId="0" xfId="4" applyFill="1"/>
    <xf numFmtId="0" fontId="1" fillId="999" borderId="0" xfId="4" applyFill="1"/>
    <xf numFmtId="0" fontId="1" fillId="1000" borderId="0" xfId="4" applyFill="1"/>
    <xf numFmtId="0" fontId="1" fillId="1001" borderId="0" xfId="4" applyFill="1"/>
    <xf numFmtId="0" fontId="1" fillId="1002" borderId="0" xfId="4" applyFill="1"/>
    <xf numFmtId="0" fontId="1" fillId="1003" borderId="0" xfId="4" applyFill="1"/>
    <xf numFmtId="0" fontId="1" fillId="1004" borderId="0" xfId="4" applyFill="1"/>
    <xf numFmtId="0" fontId="1" fillId="1005" borderId="0" xfId="4" applyFill="1"/>
    <xf numFmtId="0" fontId="1" fillId="1006" borderId="0" xfId="4" applyFill="1"/>
    <xf numFmtId="0" fontId="1" fillId="1007" borderId="0" xfId="4" applyFill="1"/>
    <xf numFmtId="0" fontId="1" fillId="1008" borderId="0" xfId="4" applyFill="1"/>
    <xf numFmtId="0" fontId="1" fillId="1009" borderId="0" xfId="4" applyFill="1"/>
    <xf numFmtId="0" fontId="1" fillId="1010" borderId="0" xfId="4" applyFill="1"/>
    <xf numFmtId="0" fontId="1" fillId="1011" borderId="0" xfId="4" applyFill="1"/>
    <xf numFmtId="0" fontId="1" fillId="1012" borderId="0" xfId="4" applyFill="1"/>
    <xf numFmtId="0" fontId="1" fillId="1013" borderId="0" xfId="4" applyFill="1"/>
    <xf numFmtId="0" fontId="1" fillId="1014" borderId="0" xfId="4" applyFill="1"/>
    <xf numFmtId="0" fontId="1" fillId="1015" borderId="0" xfId="4" applyFill="1"/>
    <xf numFmtId="0" fontId="1" fillId="1016" borderId="0" xfId="4" applyFill="1"/>
    <xf numFmtId="0" fontId="1" fillId="1017" borderId="0" xfId="4" applyFill="1"/>
    <xf numFmtId="0" fontId="1" fillId="1018" borderId="0" xfId="4" applyFill="1"/>
    <xf numFmtId="0" fontId="1" fillId="1019" borderId="0" xfId="4" applyFill="1"/>
    <xf numFmtId="0" fontId="1" fillId="1020" borderId="0" xfId="4" applyFill="1"/>
    <xf numFmtId="0" fontId="1" fillId="1021" borderId="0" xfId="4" applyFill="1"/>
    <xf numFmtId="0" fontId="1" fillId="1022" borderId="0" xfId="4" applyFill="1"/>
    <xf numFmtId="0" fontId="1" fillId="1023" borderId="0" xfId="4" applyFill="1"/>
    <xf numFmtId="0" fontId="1" fillId="1024" borderId="0" xfId="4" applyFill="1"/>
    <xf numFmtId="0" fontId="1" fillId="1025" borderId="0" xfId="4" applyFill="1"/>
    <xf numFmtId="0" fontId="1" fillId="1026" borderId="0" xfId="4" applyFill="1"/>
    <xf numFmtId="0" fontId="1" fillId="1027" borderId="0" xfId="4" applyFill="1"/>
    <xf numFmtId="0" fontId="1" fillId="1028" borderId="0" xfId="4" applyFill="1"/>
    <xf numFmtId="0" fontId="1" fillId="1029" borderId="0" xfId="4" applyFill="1"/>
    <xf numFmtId="0" fontId="1" fillId="1030" borderId="0" xfId="4" applyFill="1"/>
    <xf numFmtId="0" fontId="1" fillId="1031" borderId="0" xfId="4" applyFill="1"/>
    <xf numFmtId="0" fontId="1" fillId="1032" borderId="0" xfId="4" applyFill="1"/>
    <xf numFmtId="0" fontId="1" fillId="1033" borderId="0" xfId="4" applyFill="1"/>
    <xf numFmtId="0" fontId="1" fillId="1034" borderId="0" xfId="4" applyFill="1"/>
    <xf numFmtId="0" fontId="1" fillId="1035" borderId="0" xfId="4" applyFill="1"/>
    <xf numFmtId="0" fontId="1" fillId="1036" borderId="0" xfId="4" applyFill="1"/>
    <xf numFmtId="0" fontId="1" fillId="1037" borderId="0" xfId="4" applyFill="1"/>
    <xf numFmtId="0" fontId="1" fillId="1038" borderId="0" xfId="4" applyFill="1"/>
    <xf numFmtId="0" fontId="1" fillId="1039" borderId="0" xfId="4" applyFill="1"/>
    <xf numFmtId="0" fontId="1" fillId="1040" borderId="0" xfId="4" applyFill="1"/>
    <xf numFmtId="0" fontId="1" fillId="1041" borderId="0" xfId="4" applyFill="1"/>
    <xf numFmtId="0" fontId="1" fillId="1042" borderId="0" xfId="4" applyFill="1"/>
    <xf numFmtId="0" fontId="1" fillId="1043" borderId="0" xfId="4" applyFill="1"/>
    <xf numFmtId="0" fontId="1" fillId="1044" borderId="0" xfId="4" applyFill="1"/>
    <xf numFmtId="0" fontId="1" fillId="1045" borderId="0" xfId="4" applyFill="1"/>
    <xf numFmtId="0" fontId="1" fillId="1046" borderId="0" xfId="4" applyFill="1"/>
    <xf numFmtId="0" fontId="1" fillId="1047" borderId="0" xfId="4" applyFill="1"/>
    <xf numFmtId="0" fontId="1" fillId="1048" borderId="0" xfId="4" applyFill="1"/>
    <xf numFmtId="0" fontId="1" fillId="1049" borderId="0" xfId="4" applyFill="1"/>
    <xf numFmtId="0" fontId="1" fillId="1050" borderId="0" xfId="4" applyFill="1"/>
    <xf numFmtId="0" fontId="1" fillId="1051" borderId="0" xfId="4" applyFill="1"/>
    <xf numFmtId="0" fontId="1" fillId="1052" borderId="0" xfId="4" applyFill="1"/>
    <xf numFmtId="0" fontId="1" fillId="1053" borderId="0" xfId="4" applyFill="1"/>
    <xf numFmtId="0" fontId="1" fillId="1054" borderId="0" xfId="4" applyFill="1"/>
    <xf numFmtId="0" fontId="1" fillId="1055" borderId="0" xfId="4" applyFill="1"/>
    <xf numFmtId="0" fontId="1" fillId="1056" borderId="0" xfId="4" applyFill="1"/>
    <xf numFmtId="0" fontId="1" fillId="1057" borderId="0" xfId="4" applyFill="1"/>
    <xf numFmtId="0" fontId="1" fillId="1058" borderId="0" xfId="4" applyFill="1"/>
    <xf numFmtId="0" fontId="1" fillId="1059" borderId="0" xfId="4" applyFill="1"/>
    <xf numFmtId="0" fontId="1" fillId="1060" borderId="0" xfId="4" applyFill="1"/>
    <xf numFmtId="0" fontId="1" fillId="1061" borderId="0" xfId="4" applyFill="1"/>
    <xf numFmtId="0" fontId="1" fillId="1062" borderId="0" xfId="4" applyFill="1"/>
    <xf numFmtId="0" fontId="1" fillId="1063" borderId="0" xfId="4" applyFill="1"/>
    <xf numFmtId="0" fontId="1" fillId="1064" borderId="0" xfId="4" applyFill="1"/>
    <xf numFmtId="0" fontId="1" fillId="1065" borderId="0" xfId="4" applyFill="1"/>
    <xf numFmtId="0" fontId="1" fillId="1066" borderId="0" xfId="4" applyFill="1"/>
    <xf numFmtId="0" fontId="1" fillId="1067" borderId="0" xfId="4" applyFill="1"/>
    <xf numFmtId="0" fontId="1" fillId="1068" borderId="0" xfId="4" applyFill="1"/>
    <xf numFmtId="0" fontId="1" fillId="1069" borderId="0" xfId="4" applyFill="1"/>
    <xf numFmtId="0" fontId="1" fillId="1070" borderId="0" xfId="4" applyFill="1"/>
    <xf numFmtId="0" fontId="1" fillId="1071" borderId="0" xfId="4" applyFill="1"/>
    <xf numFmtId="0" fontId="1" fillId="1072" borderId="0" xfId="4" applyFill="1"/>
    <xf numFmtId="0" fontId="1" fillId="1073" borderId="0" xfId="4" applyFill="1"/>
    <xf numFmtId="0" fontId="1" fillId="1074" borderId="0" xfId="4" applyFill="1"/>
    <xf numFmtId="0" fontId="1" fillId="1075" borderId="0" xfId="4" applyFill="1"/>
    <xf numFmtId="0" fontId="1" fillId="1076" borderId="0" xfId="4" applyFill="1"/>
    <xf numFmtId="0" fontId="1" fillId="1077" borderId="0" xfId="4" applyFill="1"/>
    <xf numFmtId="0" fontId="1" fillId="1078" borderId="0" xfId="4" applyFill="1"/>
    <xf numFmtId="0" fontId="1" fillId="1079" borderId="0" xfId="4" applyFill="1"/>
    <xf numFmtId="0" fontId="1" fillId="1080" borderId="0" xfId="4" applyFill="1"/>
    <xf numFmtId="0" fontId="1" fillId="1081" borderId="0" xfId="4" applyFill="1"/>
    <xf numFmtId="0" fontId="1" fillId="1082" borderId="0" xfId="4" applyFill="1"/>
    <xf numFmtId="0" fontId="1" fillId="1083" borderId="0" xfId="4" applyFill="1"/>
    <xf numFmtId="0" fontId="1" fillId="1084" borderId="0" xfId="4" applyFill="1"/>
    <xf numFmtId="0" fontId="1" fillId="1085" borderId="0" xfId="4" applyFill="1"/>
    <xf numFmtId="0" fontId="1" fillId="1086" borderId="0" xfId="4" applyFill="1"/>
    <xf numFmtId="0" fontId="1" fillId="1087" borderId="0" xfId="4" applyFill="1"/>
    <xf numFmtId="0" fontId="1" fillId="1088" borderId="0" xfId="4" applyFill="1"/>
    <xf numFmtId="0" fontId="1" fillId="1089" borderId="0" xfId="4" applyFill="1"/>
    <xf numFmtId="0" fontId="1" fillId="1090" borderId="0" xfId="4" applyFill="1"/>
    <xf numFmtId="0" fontId="1" fillId="1091" borderId="0" xfId="4" applyFill="1"/>
    <xf numFmtId="0" fontId="1" fillId="1092" borderId="0" xfId="4" applyFill="1"/>
    <xf numFmtId="0" fontId="1" fillId="1093" borderId="0" xfId="4" applyFill="1"/>
    <xf numFmtId="0" fontId="1" fillId="1094" borderId="0" xfId="4" applyFill="1"/>
    <xf numFmtId="0" fontId="1" fillId="1095" borderId="0" xfId="4" applyFill="1"/>
    <xf numFmtId="0" fontId="1" fillId="1096" borderId="0" xfId="4" applyFill="1"/>
    <xf numFmtId="0" fontId="1" fillId="1097" borderId="0" xfId="4" applyFill="1"/>
    <xf numFmtId="0" fontId="1" fillId="1098" borderId="0" xfId="4" applyFill="1"/>
    <xf numFmtId="0" fontId="1" fillId="1099" borderId="0" xfId="4" applyFill="1"/>
    <xf numFmtId="0" fontId="1" fillId="1100" borderId="0" xfId="4" applyFill="1"/>
    <xf numFmtId="0" fontId="1" fillId="1101" borderId="0" xfId="4" applyFill="1"/>
    <xf numFmtId="0" fontId="1" fillId="1102" borderId="0" xfId="4" applyFill="1"/>
    <xf numFmtId="0" fontId="1" fillId="1103" borderId="0" xfId="4" applyFill="1"/>
    <xf numFmtId="0" fontId="1" fillId="1104" borderId="0" xfId="4" applyFill="1"/>
    <xf numFmtId="0" fontId="1" fillId="1105" borderId="0" xfId="4" applyFill="1"/>
    <xf numFmtId="0" fontId="1" fillId="1106" borderId="0" xfId="4" applyFill="1"/>
    <xf numFmtId="0" fontId="1" fillId="1107" borderId="0" xfId="4" applyFill="1"/>
    <xf numFmtId="0" fontId="1" fillId="1108" borderId="0" xfId="4" applyFill="1"/>
    <xf numFmtId="0" fontId="1" fillId="1109" borderId="0" xfId="4" applyFill="1"/>
    <xf numFmtId="0" fontId="1" fillId="1110" borderId="0" xfId="4" applyFill="1"/>
    <xf numFmtId="0" fontId="1" fillId="1111" borderId="0" xfId="4" applyFill="1"/>
    <xf numFmtId="0" fontId="1" fillId="1112" borderId="0" xfId="4" applyFill="1"/>
    <xf numFmtId="0" fontId="1" fillId="1113" borderId="0" xfId="4" applyFill="1"/>
    <xf numFmtId="0" fontId="1" fillId="1114" borderId="0" xfId="4" applyFill="1"/>
    <xf numFmtId="0" fontId="1" fillId="1115" borderId="0" xfId="4" applyFill="1"/>
    <xf numFmtId="0" fontId="1" fillId="1116" borderId="0" xfId="4" applyFill="1"/>
    <xf numFmtId="0" fontId="1" fillId="1117" borderId="0" xfId="4" applyFill="1"/>
    <xf numFmtId="0" fontId="1" fillId="1118" borderId="0" xfId="4" applyFill="1"/>
    <xf numFmtId="0" fontId="1" fillId="1119" borderId="0" xfId="4" applyFill="1"/>
    <xf numFmtId="0" fontId="1" fillId="1120" borderId="0" xfId="4" applyFill="1"/>
    <xf numFmtId="0" fontId="1" fillId="1121" borderId="0" xfId="4" applyFill="1"/>
    <xf numFmtId="0" fontId="1" fillId="1122" borderId="0" xfId="4" applyFill="1"/>
    <xf numFmtId="0" fontId="1" fillId="1123" borderId="0" xfId="4" applyFill="1"/>
    <xf numFmtId="0" fontId="1" fillId="1124" borderId="0" xfId="4" applyFill="1"/>
    <xf numFmtId="0" fontId="1" fillId="1125" borderId="0" xfId="4" applyFill="1"/>
    <xf numFmtId="0" fontId="1" fillId="1126" borderId="0" xfId="4" applyFill="1"/>
    <xf numFmtId="0" fontId="1" fillId="1127" borderId="0" xfId="4" applyFill="1"/>
    <xf numFmtId="0" fontId="1" fillId="1128" borderId="0" xfId="4" applyFill="1"/>
    <xf numFmtId="0" fontId="1" fillId="1129" borderId="0" xfId="4" applyFill="1"/>
    <xf numFmtId="0" fontId="1" fillId="1130" borderId="0" xfId="4" applyFill="1"/>
    <xf numFmtId="0" fontId="1" fillId="1131" borderId="0" xfId="4" applyFill="1"/>
    <xf numFmtId="0" fontId="1" fillId="1132" borderId="0" xfId="4" applyFill="1"/>
    <xf numFmtId="0" fontId="1" fillId="1133" borderId="0" xfId="4" applyFill="1"/>
    <xf numFmtId="0" fontId="1" fillId="1134" borderId="0" xfId="4" applyFill="1"/>
    <xf numFmtId="0" fontId="1" fillId="1135" borderId="0" xfId="4" applyFill="1"/>
    <xf numFmtId="0" fontId="1" fillId="1136" borderId="0" xfId="4" applyFill="1"/>
    <xf numFmtId="0" fontId="1" fillId="1137" borderId="0" xfId="4" applyFill="1"/>
    <xf numFmtId="0" fontId="1" fillId="1138" borderId="0" xfId="4" applyFill="1"/>
    <xf numFmtId="0" fontId="1" fillId="1139" borderId="0" xfId="4" applyFill="1"/>
    <xf numFmtId="0" fontId="1" fillId="1140" borderId="0" xfId="4" applyFill="1"/>
    <xf numFmtId="0" fontId="1" fillId="1141" borderId="0" xfId="4" applyFill="1"/>
    <xf numFmtId="0" fontId="1" fillId="1142" borderId="0" xfId="4" applyFill="1"/>
    <xf numFmtId="0" fontId="1" fillId="1143" borderId="0" xfId="4" applyFill="1"/>
    <xf numFmtId="0" fontId="1" fillId="1144" borderId="0" xfId="4" applyFill="1"/>
    <xf numFmtId="0" fontId="1" fillId="1145" borderId="0" xfId="4" applyFill="1"/>
    <xf numFmtId="0" fontId="1" fillId="1146" borderId="0" xfId="4" applyFill="1"/>
    <xf numFmtId="0" fontId="1" fillId="1147" borderId="0" xfId="4" applyFill="1"/>
    <xf numFmtId="0" fontId="1" fillId="1148" borderId="0" xfId="4" applyFill="1"/>
    <xf numFmtId="0" fontId="1" fillId="1149" borderId="0" xfId="4" applyFill="1"/>
    <xf numFmtId="0" fontId="1" fillId="1150" borderId="0" xfId="4" applyFill="1"/>
    <xf numFmtId="0" fontId="1" fillId="1151" borderId="0" xfId="4" applyFill="1"/>
    <xf numFmtId="0" fontId="1" fillId="1152" borderId="0" xfId="4" applyFill="1"/>
    <xf numFmtId="0" fontId="1" fillId="1153" borderId="0" xfId="4" applyFill="1"/>
    <xf numFmtId="0" fontId="1" fillId="1154" borderId="0" xfId="4" applyFill="1"/>
    <xf numFmtId="0" fontId="1" fillId="1155" borderId="0" xfId="4" applyFill="1"/>
    <xf numFmtId="0" fontId="1" fillId="1156" borderId="0" xfId="4" applyFill="1"/>
    <xf numFmtId="0" fontId="1" fillId="1157" borderId="0" xfId="4" applyFill="1"/>
    <xf numFmtId="0" fontId="1" fillId="1158" borderId="0" xfId="4" applyFill="1"/>
    <xf numFmtId="0" fontId="1" fillId="1159" borderId="0" xfId="4" applyFill="1"/>
    <xf numFmtId="0" fontId="1" fillId="1160" borderId="0" xfId="4" applyFill="1"/>
    <xf numFmtId="0" fontId="1" fillId="1161" borderId="0" xfId="4" applyFill="1"/>
    <xf numFmtId="0" fontId="1" fillId="1162" borderId="0" xfId="4" applyFill="1"/>
    <xf numFmtId="0" fontId="1" fillId="1163" borderId="0" xfId="4" applyFill="1"/>
    <xf numFmtId="0" fontId="1" fillId="1164" borderId="0" xfId="4" applyFill="1"/>
    <xf numFmtId="0" fontId="1" fillId="1165" borderId="0" xfId="4" applyFill="1"/>
    <xf numFmtId="0" fontId="1" fillId="1166" borderId="0" xfId="4" applyFill="1"/>
    <xf numFmtId="0" fontId="1" fillId="1167" borderId="0" xfId="4" applyFill="1"/>
    <xf numFmtId="0" fontId="1" fillId="1168" borderId="0" xfId="4" applyFill="1"/>
    <xf numFmtId="0" fontId="1" fillId="1169" borderId="0" xfId="4" applyFill="1"/>
    <xf numFmtId="0" fontId="1" fillId="1170" borderId="0" xfId="4" applyFill="1"/>
    <xf numFmtId="0" fontId="1" fillId="1171" borderId="0" xfId="4" applyFill="1"/>
    <xf numFmtId="0" fontId="1" fillId="1172" borderId="0" xfId="4" applyFill="1"/>
    <xf numFmtId="0" fontId="1" fillId="1173" borderId="0" xfId="4" applyFill="1"/>
    <xf numFmtId="0" fontId="1" fillId="1174" borderId="0" xfId="4" applyFill="1"/>
    <xf numFmtId="0" fontId="1" fillId="1175" borderId="0" xfId="4" applyFill="1"/>
    <xf numFmtId="0" fontId="1" fillId="1176" borderId="0" xfId="4" applyFill="1"/>
    <xf numFmtId="0" fontId="1" fillId="1177" borderId="0" xfId="4" applyFill="1"/>
    <xf numFmtId="0" fontId="1" fillId="1178" borderId="0" xfId="4" applyFill="1"/>
    <xf numFmtId="0" fontId="1" fillId="1179" borderId="0" xfId="4" applyFill="1"/>
    <xf numFmtId="0" fontId="1" fillId="1180" borderId="0" xfId="4" applyFill="1"/>
    <xf numFmtId="0" fontId="1" fillId="1181" borderId="0" xfId="4" applyFill="1"/>
    <xf numFmtId="0" fontId="1" fillId="1182" borderId="0" xfId="4" applyFill="1"/>
    <xf numFmtId="0" fontId="1" fillId="1183" borderId="0" xfId="4" applyFill="1"/>
    <xf numFmtId="0" fontId="1" fillId="1184" borderId="0" xfId="4" applyFill="1"/>
    <xf numFmtId="0" fontId="1" fillId="1185" borderId="0" xfId="4" applyFill="1"/>
    <xf numFmtId="0" fontId="1" fillId="1186" borderId="0" xfId="4" applyFill="1"/>
    <xf numFmtId="0" fontId="1" fillId="1187" borderId="0" xfId="4" applyFill="1"/>
    <xf numFmtId="0" fontId="1" fillId="1188" borderId="0" xfId="4" applyFill="1"/>
    <xf numFmtId="0" fontId="1" fillId="1189" borderId="0" xfId="4" applyFill="1"/>
    <xf numFmtId="0" fontId="1" fillId="1190" borderId="0" xfId="4" applyFill="1"/>
    <xf numFmtId="0" fontId="1" fillId="1191" borderId="0" xfId="4" applyFill="1"/>
    <xf numFmtId="0" fontId="1" fillId="1192" borderId="0" xfId="4" applyFill="1"/>
    <xf numFmtId="0" fontId="1" fillId="1193" borderId="0" xfId="4" applyFill="1"/>
    <xf numFmtId="0" fontId="1" fillId="1194" borderId="0" xfId="4" applyFill="1"/>
    <xf numFmtId="0" fontId="1" fillId="1195" borderId="0" xfId="4" applyFill="1"/>
    <xf numFmtId="0" fontId="1" fillId="1196" borderId="0" xfId="4" applyFill="1"/>
    <xf numFmtId="0" fontId="1" fillId="1197" borderId="0" xfId="4" applyFill="1"/>
    <xf numFmtId="0" fontId="1" fillId="1198" borderId="0" xfId="4" applyFill="1"/>
    <xf numFmtId="0" fontId="1" fillId="1199" borderId="0" xfId="4" applyFill="1"/>
    <xf numFmtId="0" fontId="1" fillId="1200" borderId="0" xfId="4" applyFill="1"/>
    <xf numFmtId="0" fontId="1" fillId="1201" borderId="0" xfId="4" applyFill="1"/>
    <xf numFmtId="0" fontId="1" fillId="1202" borderId="0" xfId="4" applyFill="1"/>
    <xf numFmtId="0" fontId="1" fillId="1203" borderId="0" xfId="4" applyFill="1"/>
    <xf numFmtId="0" fontId="1" fillId="1204" borderId="0" xfId="4" applyFill="1"/>
    <xf numFmtId="0" fontId="1" fillId="1205" borderId="0" xfId="4" applyFill="1"/>
    <xf numFmtId="0" fontId="1" fillId="1206" borderId="0" xfId="4" applyFill="1"/>
    <xf numFmtId="0" fontId="1" fillId="1207" borderId="0" xfId="4" applyFill="1"/>
    <xf numFmtId="0" fontId="1" fillId="1208" borderId="0" xfId="4" applyFill="1"/>
    <xf numFmtId="0" fontId="1" fillId="1209" borderId="0" xfId="4" applyFill="1"/>
    <xf numFmtId="0" fontId="1" fillId="1210" borderId="0" xfId="4" applyFill="1"/>
    <xf numFmtId="0" fontId="1" fillId="1211" borderId="0" xfId="4" applyFill="1"/>
    <xf numFmtId="0" fontId="1" fillId="1212" borderId="0" xfId="4" applyFill="1"/>
    <xf numFmtId="0" fontId="1" fillId="1213" borderId="0" xfId="4" applyFill="1"/>
    <xf numFmtId="0" fontId="1" fillId="1214" borderId="0" xfId="4" applyFill="1"/>
    <xf numFmtId="0" fontId="1" fillId="1215" borderId="0" xfId="4" applyFill="1"/>
    <xf numFmtId="0" fontId="1" fillId="1216" borderId="0" xfId="4" applyFill="1"/>
    <xf numFmtId="0" fontId="1" fillId="1217" borderId="0" xfId="4" applyFill="1"/>
    <xf numFmtId="0" fontId="1" fillId="1218" borderId="0" xfId="4" applyFill="1"/>
    <xf numFmtId="0" fontId="1" fillId="1219" borderId="0" xfId="4" applyFill="1"/>
    <xf numFmtId="0" fontId="1" fillId="1220" borderId="0" xfId="4" applyFill="1"/>
    <xf numFmtId="0" fontId="1" fillId="1221" borderId="0" xfId="4" applyFill="1"/>
    <xf numFmtId="0" fontId="1" fillId="1222" borderId="0" xfId="4" applyFill="1"/>
    <xf numFmtId="0" fontId="1" fillId="1223" borderId="0" xfId="4" applyFill="1"/>
    <xf numFmtId="0" fontId="1" fillId="1224" borderId="0" xfId="4" applyFill="1"/>
    <xf numFmtId="0" fontId="1" fillId="1225" borderId="0" xfId="4" applyFill="1"/>
    <xf numFmtId="0" fontId="1" fillId="1226" borderId="0" xfId="4" applyFill="1"/>
    <xf numFmtId="0" fontId="1" fillId="1227" borderId="0" xfId="4" applyFill="1"/>
    <xf numFmtId="0" fontId="1" fillId="1228" borderId="0" xfId="4" applyFill="1"/>
    <xf numFmtId="0" fontId="1" fillId="1229" borderId="0" xfId="4" applyFill="1"/>
    <xf numFmtId="0" fontId="1" fillId="1230" borderId="0" xfId="4" applyFill="1"/>
    <xf numFmtId="0" fontId="1" fillId="1231" borderId="0" xfId="4" applyFill="1"/>
    <xf numFmtId="0" fontId="1" fillId="1232" borderId="0" xfId="4" applyFill="1"/>
    <xf numFmtId="0" fontId="1" fillId="1233" borderId="0" xfId="4" applyFill="1"/>
    <xf numFmtId="0" fontId="1" fillId="1234" borderId="0" xfId="4" applyFill="1"/>
    <xf numFmtId="0" fontId="1" fillId="1235" borderId="0" xfId="4" applyFill="1"/>
    <xf numFmtId="0" fontId="1" fillId="1236" borderId="0" xfId="4" applyFill="1"/>
    <xf numFmtId="0" fontId="1" fillId="1237" borderId="0" xfId="4" applyFill="1"/>
    <xf numFmtId="0" fontId="1" fillId="1238" borderId="0" xfId="4" applyFill="1"/>
    <xf numFmtId="0" fontId="1" fillId="1239" borderId="0" xfId="4" applyFill="1"/>
    <xf numFmtId="0" fontId="1" fillId="1240" borderId="0" xfId="4" applyFill="1"/>
    <xf numFmtId="0" fontId="1" fillId="1241" borderId="0" xfId="4" applyFill="1"/>
    <xf numFmtId="0" fontId="1" fillId="1242" borderId="0" xfId="4" applyFill="1"/>
    <xf numFmtId="0" fontId="1" fillId="1243" borderId="0" xfId="4" applyFill="1"/>
    <xf numFmtId="0" fontId="1" fillId="1244" borderId="0" xfId="4" applyFill="1"/>
    <xf numFmtId="0" fontId="1" fillId="1245" borderId="0" xfId="4" applyFill="1"/>
    <xf numFmtId="0" fontId="1" fillId="1246" borderId="0" xfId="4" applyFill="1"/>
    <xf numFmtId="0" fontId="1" fillId="1247" borderId="0" xfId="4" applyFill="1"/>
    <xf numFmtId="0" fontId="1" fillId="1248" borderId="0" xfId="4" applyFill="1"/>
    <xf numFmtId="0" fontId="1" fillId="1249" borderId="0" xfId="4" applyFill="1"/>
    <xf numFmtId="0" fontId="1" fillId="1250" borderId="0" xfId="4" applyFill="1" applyAlignment="1">
      <alignment horizontal="center"/>
    </xf>
    <xf numFmtId="0" fontId="1" fillId="1251" borderId="0" xfId="4" applyFill="1" applyAlignment="1">
      <alignment horizontal="center"/>
    </xf>
    <xf numFmtId="0" fontId="1" fillId="1252" borderId="0" xfId="4" applyFill="1" applyAlignment="1">
      <alignment horizontal="center"/>
    </xf>
    <xf numFmtId="0" fontId="1" fillId="1253" borderId="0" xfId="4" applyFill="1" applyAlignment="1">
      <alignment horizontal="center"/>
    </xf>
    <xf numFmtId="0" fontId="1" fillId="1254" borderId="0" xfId="4" applyFill="1" applyAlignment="1">
      <alignment horizontal="center"/>
    </xf>
    <xf numFmtId="0" fontId="1" fillId="1255" borderId="0" xfId="4" applyFill="1" applyAlignment="1">
      <alignment horizontal="center"/>
    </xf>
    <xf numFmtId="0" fontId="1" fillId="1256" borderId="0" xfId="4" applyFill="1" applyAlignment="1">
      <alignment horizontal="center"/>
    </xf>
    <xf numFmtId="0" fontId="1" fillId="1257" borderId="0" xfId="4" applyFill="1" applyAlignment="1">
      <alignment horizontal="center"/>
    </xf>
    <xf numFmtId="0" fontId="1" fillId="1258" borderId="0" xfId="4" applyFill="1" applyAlignment="1">
      <alignment horizontal="center"/>
    </xf>
    <xf numFmtId="0" fontId="1" fillId="1259" borderId="0" xfId="4" applyFill="1" applyAlignment="1">
      <alignment horizontal="center"/>
    </xf>
    <xf numFmtId="0" fontId="1" fillId="1260" borderId="0" xfId="4" applyFill="1" applyAlignment="1">
      <alignment horizontal="center"/>
    </xf>
    <xf numFmtId="0" fontId="1" fillId="1261" borderId="0" xfId="4" applyFill="1" applyAlignment="1">
      <alignment horizontal="left"/>
    </xf>
    <xf numFmtId="0" fontId="1" fillId="1262" borderId="0" xfId="4" applyFill="1" applyAlignment="1">
      <alignment horizontal="center"/>
    </xf>
    <xf numFmtId="0" fontId="1" fillId="1263" borderId="0" xfId="4" applyFill="1" applyAlignment="1">
      <alignment horizontal="center"/>
    </xf>
    <xf numFmtId="0" fontId="1" fillId="1264" borderId="0" xfId="4" applyFill="1" applyAlignment="1">
      <alignment horizontal="center"/>
    </xf>
    <xf numFmtId="0" fontId="1" fillId="1265" borderId="0" xfId="4" applyFill="1" applyAlignment="1">
      <alignment horizontal="center"/>
    </xf>
    <xf numFmtId="0" fontId="1" fillId="1266" borderId="0" xfId="4" applyFill="1" applyAlignment="1">
      <alignment horizontal="center"/>
    </xf>
    <xf numFmtId="0" fontId="1" fillId="1267" borderId="0" xfId="4" applyFill="1" applyAlignment="1">
      <alignment horizontal="center"/>
    </xf>
    <xf numFmtId="0" fontId="1" fillId="1268" borderId="0" xfId="4" applyFill="1" applyAlignment="1">
      <alignment horizontal="center"/>
    </xf>
    <xf numFmtId="0" fontId="1" fillId="1269" borderId="0" xfId="4" applyFill="1" applyAlignment="1">
      <alignment horizontal="center"/>
    </xf>
    <xf numFmtId="0" fontId="1" fillId="1270" borderId="0" xfId="4" applyFill="1" applyAlignment="1">
      <alignment horizontal="center"/>
    </xf>
    <xf numFmtId="0" fontId="1" fillId="1271" borderId="0" xfId="4" applyFill="1" applyAlignment="1">
      <alignment horizontal="center"/>
    </xf>
    <xf numFmtId="0" fontId="1" fillId="1272" borderId="0" xfId="4" applyFill="1" applyAlignment="1">
      <alignment horizontal="center"/>
    </xf>
    <xf numFmtId="0" fontId="1" fillId="1273" borderId="0" xfId="4" applyFill="1" applyAlignment="1">
      <alignment horizontal="center"/>
    </xf>
    <xf numFmtId="0" fontId="1" fillId="1274" borderId="0" xfId="4" applyFill="1" applyAlignment="1">
      <alignment horizontal="center"/>
    </xf>
    <xf numFmtId="0" fontId="1" fillId="1275" borderId="0" xfId="4" applyFill="1" applyAlignment="1">
      <alignment horizontal="center"/>
    </xf>
    <xf numFmtId="0" fontId="1" fillId="1276" borderId="0" xfId="4" applyFill="1" applyAlignment="1">
      <alignment horizontal="center"/>
    </xf>
    <xf numFmtId="0" fontId="1" fillId="1277" borderId="0" xfId="4" applyFill="1" applyAlignment="1">
      <alignment horizontal="center"/>
    </xf>
    <xf numFmtId="0" fontId="1" fillId="1278" borderId="0" xfId="4" applyFill="1" applyAlignment="1">
      <alignment horizontal="center"/>
    </xf>
    <xf numFmtId="0" fontId="1" fillId="1279" borderId="0" xfId="4" applyFill="1" applyAlignment="1">
      <alignment horizontal="center"/>
    </xf>
    <xf numFmtId="0" fontId="1" fillId="1280" borderId="0" xfId="4" applyFill="1" applyAlignment="1">
      <alignment horizontal="center"/>
    </xf>
    <xf numFmtId="0" fontId="1" fillId="1281" borderId="0" xfId="4" applyFill="1" applyAlignment="1">
      <alignment horizontal="center"/>
    </xf>
    <xf numFmtId="0" fontId="1" fillId="1282" borderId="0" xfId="4" applyFill="1" applyAlignment="1">
      <alignment horizontal="center"/>
    </xf>
    <xf numFmtId="0" fontId="1" fillId="1283" borderId="0" xfId="4" applyFill="1" applyAlignment="1">
      <alignment horizontal="center"/>
    </xf>
    <xf numFmtId="0" fontId="1" fillId="1284" borderId="0" xfId="4" applyFill="1" applyAlignment="1">
      <alignment horizontal="center"/>
    </xf>
    <xf numFmtId="0" fontId="1" fillId="1285" borderId="0" xfId="4" applyFill="1" applyAlignment="1">
      <alignment horizontal="center"/>
    </xf>
    <xf numFmtId="0" fontId="1" fillId="1286" borderId="0" xfId="4" applyFill="1" applyAlignment="1">
      <alignment horizontal="center"/>
    </xf>
    <xf numFmtId="0" fontId="1" fillId="1287" borderId="0" xfId="4" applyFill="1" applyAlignment="1">
      <alignment horizontal="center"/>
    </xf>
    <xf numFmtId="0" fontId="1" fillId="1288" borderId="0" xfId="4" applyFill="1" applyAlignment="1">
      <alignment horizontal="center"/>
    </xf>
    <xf numFmtId="0" fontId="1" fillId="1289" borderId="0" xfId="4" applyFill="1" applyAlignment="1">
      <alignment horizontal="center"/>
    </xf>
    <xf numFmtId="0" fontId="1" fillId="1290" borderId="0" xfId="4" applyFill="1" applyAlignment="1">
      <alignment horizontal="center"/>
    </xf>
    <xf numFmtId="0" fontId="1" fillId="1291" borderId="0" xfId="4" applyFill="1" applyAlignment="1">
      <alignment horizontal="center"/>
    </xf>
    <xf numFmtId="0" fontId="1" fillId="1292" borderId="0" xfId="4" applyFill="1" applyAlignment="1">
      <alignment horizontal="center"/>
    </xf>
    <xf numFmtId="0" fontId="1" fillId="1293" borderId="0" xfId="4" applyFill="1" applyAlignment="1">
      <alignment horizontal="center"/>
    </xf>
    <xf numFmtId="0" fontId="1" fillId="1294" borderId="0" xfId="4" applyFill="1" applyAlignment="1">
      <alignment horizontal="center"/>
    </xf>
    <xf numFmtId="0" fontId="1" fillId="1295" borderId="0" xfId="4" applyFill="1" applyAlignment="1">
      <alignment horizontal="center"/>
    </xf>
    <xf numFmtId="0" fontId="1" fillId="1296" borderId="0" xfId="4" applyFill="1" applyAlignment="1">
      <alignment horizontal="center"/>
    </xf>
    <xf numFmtId="0" fontId="1" fillId="1297" borderId="0" xfId="4" applyFill="1" applyAlignment="1">
      <alignment horizontal="center"/>
    </xf>
    <xf numFmtId="0" fontId="1" fillId="1298" borderId="0" xfId="4" applyFill="1" applyAlignment="1">
      <alignment horizontal="center"/>
    </xf>
    <xf numFmtId="0" fontId="1" fillId="1299" borderId="0" xfId="4" applyFill="1" applyAlignment="1">
      <alignment horizontal="center"/>
    </xf>
    <xf numFmtId="0" fontId="1" fillId="1300" borderId="0" xfId="4" applyFill="1" applyAlignment="1">
      <alignment horizontal="center"/>
    </xf>
    <xf numFmtId="0" fontId="1" fillId="1301" borderId="0" xfId="4" applyFill="1" applyAlignment="1">
      <alignment horizontal="center"/>
    </xf>
    <xf numFmtId="0" fontId="1" fillId="1302" borderId="0" xfId="4" applyFill="1" applyAlignment="1">
      <alignment horizontal="center"/>
    </xf>
    <xf numFmtId="0" fontId="1" fillId="1303" borderId="0" xfId="4" applyFill="1" applyAlignment="1">
      <alignment horizontal="center"/>
    </xf>
    <xf numFmtId="0" fontId="1" fillId="1304" borderId="0" xfId="4" applyFill="1" applyAlignment="1">
      <alignment horizontal="center"/>
    </xf>
    <xf numFmtId="0" fontId="1" fillId="1305" borderId="0" xfId="4" applyFill="1" applyAlignment="1">
      <alignment horizontal="center"/>
    </xf>
    <xf numFmtId="0" fontId="1" fillId="1306" borderId="0" xfId="4" applyFill="1" applyAlignment="1">
      <alignment horizontal="center"/>
    </xf>
    <xf numFmtId="0" fontId="1" fillId="1307" borderId="0" xfId="4" applyFill="1" applyAlignment="1">
      <alignment horizontal="center"/>
    </xf>
    <xf numFmtId="0" fontId="1" fillId="1308" borderId="0" xfId="4" applyFill="1" applyAlignment="1">
      <alignment horizontal="center"/>
    </xf>
    <xf numFmtId="0" fontId="1" fillId="1309" borderId="0" xfId="4" applyFill="1" applyAlignment="1">
      <alignment horizontal="center"/>
    </xf>
    <xf numFmtId="0" fontId="1" fillId="1310" borderId="0" xfId="4" applyFill="1" applyAlignment="1">
      <alignment horizontal="center"/>
    </xf>
    <xf numFmtId="0" fontId="1" fillId="1311" borderId="0" xfId="4" applyFill="1" applyAlignment="1">
      <alignment horizontal="center"/>
    </xf>
    <xf numFmtId="0" fontId="1" fillId="1312" borderId="0" xfId="4" applyFill="1" applyAlignment="1">
      <alignment horizontal="center"/>
    </xf>
    <xf numFmtId="0" fontId="1" fillId="1313" borderId="0" xfId="4" applyFill="1" applyAlignment="1">
      <alignment horizontal="center"/>
    </xf>
    <xf numFmtId="0" fontId="1" fillId="1314" borderId="0" xfId="4" applyFill="1" applyAlignment="1">
      <alignment horizontal="center"/>
    </xf>
    <xf numFmtId="0" fontId="1" fillId="1315" borderId="0" xfId="4" applyFill="1" applyAlignment="1">
      <alignment horizontal="center"/>
    </xf>
    <xf numFmtId="0" fontId="1" fillId="1316" borderId="0" xfId="4" applyFill="1" applyAlignment="1">
      <alignment horizontal="center"/>
    </xf>
    <xf numFmtId="0" fontId="1" fillId="1317" borderId="0" xfId="4" applyFill="1" applyAlignment="1">
      <alignment horizontal="center"/>
    </xf>
    <xf numFmtId="0" fontId="1" fillId="1318" borderId="0" xfId="4" applyFill="1" applyAlignment="1">
      <alignment horizontal="center"/>
    </xf>
    <xf numFmtId="0" fontId="1" fillId="1319" borderId="0" xfId="4" applyFill="1" applyAlignment="1">
      <alignment horizontal="center"/>
    </xf>
    <xf numFmtId="0" fontId="1" fillId="1320" borderId="0" xfId="4" applyFill="1" applyAlignment="1">
      <alignment horizontal="center"/>
    </xf>
    <xf numFmtId="0" fontId="1" fillId="1321" borderId="0" xfId="4" applyFill="1" applyAlignment="1">
      <alignment horizontal="center"/>
    </xf>
    <xf numFmtId="0" fontId="1" fillId="1322" borderId="0" xfId="4" applyFill="1" applyAlignment="1">
      <alignment horizontal="center"/>
    </xf>
    <xf numFmtId="0" fontId="1" fillId="1323" borderId="0" xfId="4" applyFill="1" applyAlignment="1">
      <alignment horizontal="center"/>
    </xf>
    <xf numFmtId="0" fontId="1" fillId="1324" borderId="0" xfId="4" applyFill="1" applyAlignment="1">
      <alignment horizontal="center"/>
    </xf>
    <xf numFmtId="0" fontId="1" fillId="1325" borderId="0" xfId="4" applyFill="1" applyAlignment="1">
      <alignment horizontal="center"/>
    </xf>
    <xf numFmtId="0" fontId="1" fillId="1326" borderId="0" xfId="4" applyFill="1" applyAlignment="1">
      <alignment horizontal="center"/>
    </xf>
    <xf numFmtId="0" fontId="1" fillId="1327" borderId="0" xfId="4" applyFill="1" applyAlignment="1">
      <alignment horizontal="center"/>
    </xf>
    <xf numFmtId="0" fontId="1" fillId="1328" borderId="0" xfId="4" applyFill="1" applyAlignment="1">
      <alignment horizontal="center"/>
    </xf>
    <xf numFmtId="0" fontId="1" fillId="1329" borderId="0" xfId="4" applyFill="1" applyAlignment="1">
      <alignment horizontal="center"/>
    </xf>
    <xf numFmtId="0" fontId="1" fillId="1330" borderId="0" xfId="4" applyFill="1" applyAlignment="1">
      <alignment horizontal="center"/>
    </xf>
    <xf numFmtId="0" fontId="1" fillId="1331" borderId="0" xfId="4" applyFill="1" applyAlignment="1">
      <alignment horizontal="center"/>
    </xf>
    <xf numFmtId="0" fontId="1" fillId="1332" borderId="0" xfId="4" applyFill="1" applyAlignment="1">
      <alignment horizontal="center"/>
    </xf>
    <xf numFmtId="0" fontId="1" fillId="1333" borderId="0" xfId="4" applyFill="1" applyAlignment="1">
      <alignment horizontal="center"/>
    </xf>
    <xf numFmtId="0" fontId="1" fillId="1334" borderId="0" xfId="4" applyFill="1" applyAlignment="1">
      <alignment horizontal="center"/>
    </xf>
    <xf numFmtId="0" fontId="1" fillId="1335" borderId="0" xfId="4" applyFill="1" applyAlignment="1">
      <alignment horizontal="center"/>
    </xf>
    <xf numFmtId="0" fontId="1" fillId="1336" borderId="0" xfId="4" applyFill="1" applyAlignment="1">
      <alignment horizontal="center"/>
    </xf>
    <xf numFmtId="0" fontId="1" fillId="1337" borderId="0" xfId="4" applyFill="1" applyAlignment="1">
      <alignment horizontal="center"/>
    </xf>
    <xf numFmtId="0" fontId="1" fillId="1338" borderId="0" xfId="4" applyFill="1" applyAlignment="1">
      <alignment horizontal="center"/>
    </xf>
    <xf numFmtId="0" fontId="1" fillId="1339" borderId="0" xfId="4" applyFill="1" applyAlignment="1">
      <alignment horizontal="center"/>
    </xf>
    <xf numFmtId="0" fontId="1" fillId="1340" borderId="0" xfId="4" applyFill="1" applyAlignment="1">
      <alignment horizontal="center"/>
    </xf>
    <xf numFmtId="0" fontId="1" fillId="1341" borderId="0" xfId="4" applyFill="1" applyAlignment="1">
      <alignment horizontal="center"/>
    </xf>
    <xf numFmtId="0" fontId="1" fillId="1342" borderId="0" xfId="4" applyFill="1" applyAlignment="1">
      <alignment horizontal="center"/>
    </xf>
    <xf numFmtId="0" fontId="1" fillId="1343" borderId="0" xfId="4" applyFill="1" applyAlignment="1">
      <alignment horizontal="center"/>
    </xf>
    <xf numFmtId="0" fontId="1" fillId="1344" borderId="0" xfId="4" applyFill="1" applyAlignment="1">
      <alignment horizontal="center"/>
    </xf>
    <xf numFmtId="0" fontId="1" fillId="1345" borderId="0" xfId="4" applyFill="1" applyAlignment="1">
      <alignment horizontal="center"/>
    </xf>
    <xf numFmtId="0" fontId="1" fillId="1346" borderId="0" xfId="4" applyFill="1" applyAlignment="1">
      <alignment horizontal="left"/>
    </xf>
    <xf numFmtId="0" fontId="1" fillId="1347" borderId="0" xfId="4" applyFill="1" applyAlignment="1">
      <alignment horizontal="center"/>
    </xf>
    <xf numFmtId="0" fontId="1" fillId="1348" borderId="0" xfId="4" applyFill="1" applyAlignment="1">
      <alignment horizontal="center"/>
    </xf>
    <xf numFmtId="0" fontId="1" fillId="1349" borderId="0" xfId="4" applyFill="1" applyAlignment="1">
      <alignment horizontal="center"/>
    </xf>
    <xf numFmtId="0" fontId="1" fillId="1350" borderId="0" xfId="4" applyFill="1" applyAlignment="1">
      <alignment horizontal="center"/>
    </xf>
    <xf numFmtId="0" fontId="1" fillId="1351" borderId="0" xfId="4" applyFill="1" applyAlignment="1">
      <alignment horizontal="center"/>
    </xf>
    <xf numFmtId="0" fontId="1" fillId="1352" borderId="0" xfId="4" applyFill="1" applyAlignment="1">
      <alignment horizontal="center"/>
    </xf>
    <xf numFmtId="0" fontId="1" fillId="1353" borderId="0" xfId="4" applyFill="1" applyAlignment="1">
      <alignment horizontal="center"/>
    </xf>
    <xf numFmtId="0" fontId="1" fillId="1354" borderId="0" xfId="4" applyFill="1" applyAlignment="1">
      <alignment horizontal="center"/>
    </xf>
    <xf numFmtId="0" fontId="1" fillId="1355" borderId="0" xfId="4" applyFill="1" applyAlignment="1">
      <alignment horizontal="center"/>
    </xf>
    <xf numFmtId="0" fontId="1" fillId="1356" borderId="0" xfId="4" applyFill="1" applyAlignment="1">
      <alignment horizontal="center"/>
    </xf>
    <xf numFmtId="0" fontId="1" fillId="1357" borderId="0" xfId="4" applyFill="1" applyAlignment="1">
      <alignment horizontal="center"/>
    </xf>
    <xf numFmtId="0" fontId="1" fillId="1358" borderId="0" xfId="4" applyFill="1" applyAlignment="1">
      <alignment horizontal="center"/>
    </xf>
    <xf numFmtId="0" fontId="1" fillId="1359" borderId="0" xfId="4" applyFill="1" applyAlignment="1">
      <alignment horizontal="center"/>
    </xf>
    <xf numFmtId="0" fontId="1" fillId="1360" borderId="0" xfId="4" applyFill="1" applyAlignment="1">
      <alignment horizontal="center"/>
    </xf>
    <xf numFmtId="0" fontId="1" fillId="1361" borderId="0" xfId="4" applyFill="1" applyAlignment="1">
      <alignment horizontal="center"/>
    </xf>
    <xf numFmtId="0" fontId="1" fillId="1362" borderId="0" xfId="4" applyFill="1" applyAlignment="1">
      <alignment horizontal="center"/>
    </xf>
    <xf numFmtId="0" fontId="1" fillId="1363" borderId="0" xfId="4" applyFill="1" applyAlignment="1">
      <alignment horizontal="center"/>
    </xf>
    <xf numFmtId="0" fontId="1" fillId="1364" borderId="0" xfId="4" applyFill="1" applyAlignment="1">
      <alignment horizontal="center"/>
    </xf>
    <xf numFmtId="0" fontId="1" fillId="1365" borderId="0" xfId="4" applyFill="1" applyAlignment="1">
      <alignment horizontal="center"/>
    </xf>
    <xf numFmtId="0" fontId="1" fillId="1366" borderId="0" xfId="4" applyFill="1" applyAlignment="1">
      <alignment horizontal="center"/>
    </xf>
    <xf numFmtId="0" fontId="1" fillId="1367" borderId="0" xfId="4" applyFill="1" applyAlignment="1">
      <alignment horizontal="center"/>
    </xf>
    <xf numFmtId="0" fontId="1" fillId="1368" borderId="0" xfId="4" applyFill="1" applyAlignment="1">
      <alignment horizontal="center"/>
    </xf>
    <xf numFmtId="0" fontId="1" fillId="1369" borderId="0" xfId="4" applyFill="1" applyAlignment="1">
      <alignment horizontal="center"/>
    </xf>
    <xf numFmtId="0" fontId="1" fillId="1370" borderId="0" xfId="4" applyFill="1" applyAlignment="1">
      <alignment horizontal="center"/>
    </xf>
    <xf numFmtId="0" fontId="1" fillId="1371" borderId="0" xfId="4" applyFill="1" applyAlignment="1">
      <alignment horizontal="center"/>
    </xf>
    <xf numFmtId="0" fontId="1" fillId="1372" borderId="0" xfId="4" applyFill="1" applyAlignment="1">
      <alignment horizontal="center"/>
    </xf>
    <xf numFmtId="0" fontId="1" fillId="1373" borderId="0" xfId="4" applyFill="1" applyAlignment="1">
      <alignment horizontal="center"/>
    </xf>
    <xf numFmtId="0" fontId="1" fillId="1374" borderId="0" xfId="4" applyFill="1" applyAlignment="1">
      <alignment horizontal="center"/>
    </xf>
    <xf numFmtId="0" fontId="1" fillId="1375" borderId="0" xfId="4" applyFill="1" applyAlignment="1">
      <alignment horizontal="center"/>
    </xf>
    <xf numFmtId="0" fontId="1" fillId="1376" borderId="0" xfId="4" applyFill="1" applyAlignment="1">
      <alignment horizontal="center"/>
    </xf>
    <xf numFmtId="0" fontId="1" fillId="1377" borderId="0" xfId="4" applyFill="1" applyAlignment="1">
      <alignment horizontal="center"/>
    </xf>
    <xf numFmtId="0" fontId="1" fillId="1378" borderId="0" xfId="4" applyFill="1" applyAlignment="1">
      <alignment horizontal="center"/>
    </xf>
    <xf numFmtId="0" fontId="1" fillId="1379" borderId="0" xfId="4" applyFill="1" applyAlignment="1">
      <alignment horizontal="center"/>
    </xf>
    <xf numFmtId="0" fontId="1" fillId="1380" borderId="0" xfId="4" applyFill="1" applyAlignment="1">
      <alignment horizontal="center"/>
    </xf>
    <xf numFmtId="0" fontId="1" fillId="1381" borderId="0" xfId="4" applyFill="1" applyAlignment="1">
      <alignment horizontal="center"/>
    </xf>
    <xf numFmtId="0" fontId="1" fillId="1382" borderId="0" xfId="4" applyFill="1" applyAlignment="1">
      <alignment horizontal="center"/>
    </xf>
    <xf numFmtId="0" fontId="1" fillId="1383" borderId="0" xfId="4" applyFill="1" applyAlignment="1">
      <alignment horizontal="center"/>
    </xf>
    <xf numFmtId="0" fontId="1" fillId="184" borderId="0" xfId="4" applyFill="1" applyAlignment="1">
      <alignment horizontal="center"/>
    </xf>
    <xf numFmtId="0" fontId="1" fillId="1384" borderId="0" xfId="4" applyFill="1" applyAlignment="1">
      <alignment horizontal="center"/>
    </xf>
    <xf numFmtId="0" fontId="1" fillId="1385" borderId="0" xfId="4" applyFill="1" applyAlignment="1">
      <alignment horizontal="center"/>
    </xf>
    <xf numFmtId="0" fontId="1" fillId="1386" borderId="0" xfId="4" applyFill="1" applyAlignment="1">
      <alignment horizontal="center"/>
    </xf>
    <xf numFmtId="0" fontId="1" fillId="1387" borderId="0" xfId="4" applyFill="1" applyAlignment="1">
      <alignment horizontal="center"/>
    </xf>
    <xf numFmtId="0" fontId="1" fillId="1388" borderId="0" xfId="4" applyFill="1" applyAlignment="1">
      <alignment horizontal="center"/>
    </xf>
    <xf numFmtId="0" fontId="1" fillId="1389" borderId="0" xfId="4" applyFill="1" applyAlignment="1">
      <alignment horizontal="center"/>
    </xf>
    <xf numFmtId="0" fontId="1" fillId="1390" borderId="0" xfId="4" applyFill="1" applyAlignment="1">
      <alignment horizontal="center"/>
    </xf>
    <xf numFmtId="0" fontId="1" fillId="1391" borderId="0" xfId="4" applyFill="1" applyAlignment="1">
      <alignment horizontal="center"/>
    </xf>
    <xf numFmtId="0" fontId="1" fillId="1392" borderId="0" xfId="4" applyFill="1" applyAlignment="1">
      <alignment horizontal="center"/>
    </xf>
    <xf numFmtId="0" fontId="1" fillId="1393" borderId="0" xfId="4" applyFill="1" applyAlignment="1">
      <alignment horizontal="center"/>
    </xf>
    <xf numFmtId="0" fontId="1" fillId="1394" borderId="0" xfId="4" applyFill="1" applyAlignment="1">
      <alignment horizontal="center"/>
    </xf>
    <xf numFmtId="0" fontId="1" fillId="1395" borderId="0" xfId="4" applyFill="1" applyAlignment="1">
      <alignment horizontal="center"/>
    </xf>
    <xf numFmtId="0" fontId="1" fillId="1396" borderId="0" xfId="4" applyFill="1" applyAlignment="1">
      <alignment horizontal="center"/>
    </xf>
    <xf numFmtId="0" fontId="1" fillId="1397" borderId="0" xfId="4" applyFill="1" applyAlignment="1">
      <alignment horizontal="center"/>
    </xf>
    <xf numFmtId="0" fontId="1" fillId="1398" borderId="0" xfId="4" applyFill="1" applyAlignment="1">
      <alignment horizontal="center"/>
    </xf>
    <xf numFmtId="0" fontId="1" fillId="1399" borderId="0" xfId="4" applyFill="1" applyAlignment="1">
      <alignment horizontal="center"/>
    </xf>
    <xf numFmtId="0" fontId="1" fillId="1400" borderId="0" xfId="4" applyFill="1" applyAlignment="1">
      <alignment horizontal="center"/>
    </xf>
    <xf numFmtId="0" fontId="1" fillId="1401" borderId="0" xfId="4" applyFill="1" applyAlignment="1">
      <alignment horizontal="center"/>
    </xf>
    <xf numFmtId="0" fontId="1" fillId="1402" borderId="0" xfId="4" applyFill="1" applyAlignment="1">
      <alignment horizontal="center"/>
    </xf>
    <xf numFmtId="0" fontId="1" fillId="1403" borderId="0" xfId="4" applyFill="1" applyAlignment="1">
      <alignment horizontal="center"/>
    </xf>
    <xf numFmtId="0" fontId="1" fillId="1404" borderId="0" xfId="4" applyFill="1" applyAlignment="1">
      <alignment horizontal="center"/>
    </xf>
    <xf numFmtId="0" fontId="1" fillId="1405" borderId="0" xfId="4" applyFill="1" applyAlignment="1">
      <alignment horizontal="center"/>
    </xf>
    <xf numFmtId="0" fontId="1" fillId="1406" borderId="0" xfId="4" applyFill="1" applyAlignment="1">
      <alignment horizontal="center"/>
    </xf>
    <xf numFmtId="0" fontId="1" fillId="1407" borderId="0" xfId="4" applyFill="1" applyAlignment="1">
      <alignment horizontal="center"/>
    </xf>
    <xf numFmtId="0" fontId="1" fillId="1408" borderId="0" xfId="4" applyFill="1" applyAlignment="1">
      <alignment horizontal="center"/>
    </xf>
    <xf numFmtId="0" fontId="1" fillId="1409" borderId="0" xfId="4" applyFill="1" applyAlignment="1">
      <alignment horizontal="center"/>
    </xf>
    <xf numFmtId="0" fontId="1" fillId="1410" borderId="0" xfId="4" applyFill="1" applyAlignment="1">
      <alignment horizontal="center"/>
    </xf>
    <xf numFmtId="0" fontId="1" fillId="1411" borderId="0" xfId="4" applyFill="1" applyAlignment="1">
      <alignment horizontal="center"/>
    </xf>
    <xf numFmtId="0" fontId="1" fillId="1412" borderId="0" xfId="4" applyFill="1" applyAlignment="1">
      <alignment horizontal="center"/>
    </xf>
    <xf numFmtId="0" fontId="1" fillId="1413" borderId="0" xfId="4" applyFill="1" applyAlignment="1">
      <alignment horizontal="center"/>
    </xf>
    <xf numFmtId="0" fontId="1" fillId="1414" borderId="0" xfId="4" applyFill="1" applyAlignment="1">
      <alignment horizontal="center"/>
    </xf>
    <xf numFmtId="0" fontId="1" fillId="1415" borderId="0" xfId="4" applyFill="1" applyAlignment="1">
      <alignment horizontal="center"/>
    </xf>
    <xf numFmtId="0" fontId="1" fillId="1416" borderId="0" xfId="4" applyFill="1" applyAlignment="1">
      <alignment horizontal="center"/>
    </xf>
    <xf numFmtId="0" fontId="1" fillId="1417" borderId="0" xfId="4" applyFill="1" applyAlignment="1">
      <alignment horizontal="center"/>
    </xf>
    <xf numFmtId="0" fontId="1" fillId="1418" borderId="0" xfId="4" applyFill="1" applyAlignment="1">
      <alignment horizontal="center"/>
    </xf>
    <xf numFmtId="0" fontId="1" fillId="1419" borderId="0" xfId="4" applyFill="1" applyAlignment="1">
      <alignment horizontal="center"/>
    </xf>
    <xf numFmtId="0" fontId="1" fillId="1420" borderId="0" xfId="4" applyFill="1" applyAlignment="1">
      <alignment horizontal="center"/>
    </xf>
    <xf numFmtId="0" fontId="1" fillId="1421" borderId="0" xfId="4" applyFill="1" applyAlignment="1">
      <alignment horizontal="center"/>
    </xf>
    <xf numFmtId="0" fontId="1" fillId="1422" borderId="0" xfId="4" applyFill="1" applyAlignment="1">
      <alignment horizontal="center"/>
    </xf>
    <xf numFmtId="0" fontId="1" fillId="1423" borderId="0" xfId="4" applyFill="1" applyAlignment="1">
      <alignment horizontal="center"/>
    </xf>
    <xf numFmtId="0" fontId="1" fillId="1424" borderId="0" xfId="4" applyFill="1" applyAlignment="1">
      <alignment horizontal="center"/>
    </xf>
    <xf numFmtId="0" fontId="1" fillId="1425" borderId="0" xfId="4" applyFill="1" applyAlignment="1">
      <alignment horizontal="center"/>
    </xf>
    <xf numFmtId="0" fontId="1" fillId="1426" borderId="0" xfId="4" applyFill="1" applyAlignment="1">
      <alignment horizontal="center"/>
    </xf>
    <xf numFmtId="0" fontId="1" fillId="1427" borderId="0" xfId="4" applyFill="1" applyAlignment="1">
      <alignment horizontal="center"/>
    </xf>
    <xf numFmtId="0" fontId="1" fillId="1428" borderId="0" xfId="4" applyFill="1" applyAlignment="1">
      <alignment horizontal="center"/>
    </xf>
    <xf numFmtId="0" fontId="1" fillId="1429" borderId="0" xfId="4" applyFill="1" applyAlignment="1">
      <alignment horizontal="center"/>
    </xf>
    <xf numFmtId="0" fontId="1" fillId="1429" borderId="0" xfId="4" applyFill="1" applyAlignment="1">
      <alignment horizontal="left"/>
    </xf>
    <xf numFmtId="0" fontId="1" fillId="1430" borderId="0" xfId="4" applyFill="1" applyAlignment="1">
      <alignment horizontal="center"/>
    </xf>
    <xf numFmtId="0" fontId="1" fillId="1431" borderId="0" xfId="4" applyFill="1" applyAlignment="1">
      <alignment horizontal="center"/>
    </xf>
    <xf numFmtId="0" fontId="1" fillId="1432" borderId="0" xfId="4" applyFill="1" applyAlignment="1">
      <alignment horizontal="center"/>
    </xf>
    <xf numFmtId="0" fontId="1" fillId="1433" borderId="0" xfId="4" applyFill="1" applyAlignment="1">
      <alignment horizontal="center"/>
    </xf>
    <xf numFmtId="0" fontId="1" fillId="1434" borderId="0" xfId="4" applyFill="1" applyAlignment="1">
      <alignment horizontal="center"/>
    </xf>
    <xf numFmtId="0" fontId="1" fillId="1435" borderId="0" xfId="4" applyFill="1" applyAlignment="1">
      <alignment horizontal="center"/>
    </xf>
    <xf numFmtId="0" fontId="1" fillId="1436" borderId="0" xfId="4" applyFill="1" applyAlignment="1">
      <alignment horizontal="center"/>
    </xf>
    <xf numFmtId="0" fontId="1" fillId="1437" borderId="0" xfId="4" applyFill="1" applyAlignment="1">
      <alignment horizontal="center"/>
    </xf>
    <xf numFmtId="0" fontId="1" fillId="1438" borderId="0" xfId="4" applyFill="1" applyAlignment="1">
      <alignment horizontal="center"/>
    </xf>
    <xf numFmtId="0" fontId="1" fillId="1439" borderId="0" xfId="4" applyFill="1" applyAlignment="1">
      <alignment horizontal="center"/>
    </xf>
    <xf numFmtId="0" fontId="1" fillId="1440" borderId="0" xfId="4" applyFill="1" applyAlignment="1">
      <alignment horizontal="center"/>
    </xf>
    <xf numFmtId="0" fontId="1" fillId="1441" borderId="0" xfId="4" applyFill="1" applyAlignment="1">
      <alignment horizontal="center"/>
    </xf>
    <xf numFmtId="0" fontId="1" fillId="1442" borderId="0" xfId="4" applyFill="1" applyAlignment="1">
      <alignment horizontal="center"/>
    </xf>
    <xf numFmtId="0" fontId="1" fillId="1443" borderId="0" xfId="4" applyFill="1" applyAlignment="1">
      <alignment horizontal="center"/>
    </xf>
    <xf numFmtId="0" fontId="1" fillId="1444" borderId="0" xfId="4" applyFill="1" applyAlignment="1">
      <alignment horizontal="center"/>
    </xf>
    <xf numFmtId="0" fontId="1" fillId="1445" borderId="0" xfId="4" applyFill="1" applyAlignment="1">
      <alignment horizontal="center"/>
    </xf>
    <xf numFmtId="0" fontId="1" fillId="1446" borderId="0" xfId="4" applyFill="1" applyAlignment="1">
      <alignment horizontal="center"/>
    </xf>
    <xf numFmtId="0" fontId="1" fillId="1447" borderId="0" xfId="4" applyFill="1" applyAlignment="1">
      <alignment horizontal="center"/>
    </xf>
    <xf numFmtId="0" fontId="1" fillId="1448" borderId="0" xfId="4" applyFill="1" applyAlignment="1">
      <alignment horizontal="center"/>
    </xf>
    <xf numFmtId="0" fontId="1" fillId="1449" borderId="0" xfId="4" applyFill="1" applyAlignment="1">
      <alignment horizontal="center"/>
    </xf>
    <xf numFmtId="0" fontId="1" fillId="1450" borderId="0" xfId="4" applyFill="1" applyAlignment="1">
      <alignment horizontal="center"/>
    </xf>
    <xf numFmtId="0" fontId="1" fillId="1451" borderId="0" xfId="4" applyFill="1" applyAlignment="1">
      <alignment horizontal="center"/>
    </xf>
    <xf numFmtId="0" fontId="1" fillId="1452" borderId="0" xfId="4" applyFill="1" applyAlignment="1">
      <alignment horizontal="center"/>
    </xf>
    <xf numFmtId="0" fontId="1" fillId="1453" borderId="0" xfId="4" applyFill="1" applyAlignment="1">
      <alignment horizontal="center"/>
    </xf>
    <xf numFmtId="0" fontId="1" fillId="1454" borderId="0" xfId="4" applyFill="1" applyAlignment="1">
      <alignment horizontal="center"/>
    </xf>
    <xf numFmtId="0" fontId="1" fillId="1455" borderId="0" xfId="4" applyFill="1" applyAlignment="1">
      <alignment horizontal="center" vertical="center"/>
    </xf>
    <xf numFmtId="0" fontId="1" fillId="1456" borderId="0" xfId="4" applyFill="1" applyAlignment="1">
      <alignment horizontal="center" vertical="center"/>
    </xf>
    <xf numFmtId="0" fontId="1" fillId="1453" borderId="0" xfId="4" applyFill="1" applyAlignment="1">
      <alignment horizontal="center" vertical="center"/>
    </xf>
    <xf numFmtId="0" fontId="1" fillId="1457" borderId="0" xfId="4" applyFill="1" applyAlignment="1">
      <alignment horizontal="center" vertical="center"/>
    </xf>
    <xf numFmtId="0" fontId="1" fillId="1458" borderId="0" xfId="4" applyFill="1" applyAlignment="1">
      <alignment horizontal="center" vertical="center"/>
    </xf>
    <xf numFmtId="0" fontId="1" fillId="1454" borderId="0" xfId="4" applyFill="1" applyAlignment="1">
      <alignment horizontal="center" vertical="center"/>
    </xf>
    <xf numFmtId="0" fontId="1" fillId="1459" borderId="0" xfId="4" applyFill="1" applyAlignment="1">
      <alignment horizontal="center" vertical="center"/>
    </xf>
    <xf numFmtId="0" fontId="1" fillId="1460" borderId="0" xfId="4" applyFill="1" applyAlignment="1">
      <alignment horizontal="center" vertical="center"/>
    </xf>
    <xf numFmtId="0" fontId="1" fillId="1461" borderId="0" xfId="4" applyFill="1" applyAlignment="1">
      <alignment horizontal="center" vertical="center"/>
    </xf>
    <xf numFmtId="0" fontId="1" fillId="1462" borderId="0" xfId="4" applyFill="1" applyAlignment="1">
      <alignment horizontal="center" vertical="center"/>
    </xf>
    <xf numFmtId="0" fontId="1" fillId="1463" borderId="0" xfId="4" applyFill="1" applyAlignment="1">
      <alignment horizontal="center" vertical="center"/>
    </xf>
    <xf numFmtId="0" fontId="1" fillId="1371" borderId="0" xfId="4" applyFill="1" applyAlignment="1">
      <alignment horizontal="center" vertical="center"/>
    </xf>
    <xf numFmtId="0" fontId="1" fillId="1379" borderId="0" xfId="4" applyFill="1" applyAlignment="1">
      <alignment horizontal="center" vertical="center"/>
    </xf>
    <xf numFmtId="0" fontId="1" fillId="1378" borderId="0" xfId="4" applyFill="1" applyAlignment="1">
      <alignment horizontal="center" vertical="center"/>
    </xf>
    <xf numFmtId="0" fontId="1" fillId="1464" borderId="0" xfId="4" applyFill="1" applyAlignment="1">
      <alignment horizontal="center" vertical="center"/>
    </xf>
    <xf numFmtId="0" fontId="1" fillId="1465" borderId="0" xfId="4" applyFill="1" applyAlignment="1">
      <alignment horizontal="center" vertical="center"/>
    </xf>
    <xf numFmtId="0" fontId="1" fillId="1466" borderId="0" xfId="4" applyFill="1" applyAlignment="1">
      <alignment horizontal="center" vertical="center"/>
    </xf>
    <xf numFmtId="0" fontId="1" fillId="1467" borderId="0" xfId="4" applyFill="1" applyAlignment="1">
      <alignment horizontal="center" vertical="center"/>
    </xf>
    <xf numFmtId="0" fontId="1" fillId="1468" borderId="0" xfId="4" applyFill="1" applyAlignment="1">
      <alignment horizontal="center" vertical="center"/>
    </xf>
    <xf numFmtId="0" fontId="1" fillId="1469" borderId="0" xfId="4" applyFill="1" applyAlignment="1">
      <alignment horizontal="center" vertical="center"/>
    </xf>
    <xf numFmtId="0" fontId="1" fillId="1470" borderId="0" xfId="4" applyFill="1" applyAlignment="1">
      <alignment horizontal="center" vertical="center"/>
    </xf>
    <xf numFmtId="0" fontId="1" fillId="1471" borderId="0" xfId="4" applyFill="1" applyAlignment="1">
      <alignment horizontal="center" vertical="center"/>
    </xf>
    <xf numFmtId="0" fontId="1" fillId="1472" borderId="0" xfId="4" applyFill="1" applyAlignment="1">
      <alignment horizontal="center" vertical="center"/>
    </xf>
    <xf numFmtId="0" fontId="1" fillId="1473" borderId="0" xfId="4" applyFill="1" applyAlignment="1">
      <alignment horizontal="center" vertical="center"/>
    </xf>
    <xf numFmtId="0" fontId="1" fillId="1474" borderId="0" xfId="4" applyFill="1" applyAlignment="1">
      <alignment horizontal="center" vertical="center"/>
    </xf>
    <xf numFmtId="0" fontId="1" fillId="1475" borderId="0" xfId="4" applyFill="1" applyAlignment="1">
      <alignment horizontal="center" vertical="center"/>
    </xf>
    <xf numFmtId="0" fontId="1" fillId="1476" borderId="0" xfId="4" applyFill="1" applyAlignment="1">
      <alignment horizontal="center" vertical="center"/>
    </xf>
    <xf numFmtId="0" fontId="1" fillId="1477" borderId="0" xfId="4" applyFill="1" applyAlignment="1">
      <alignment horizontal="center" vertical="center"/>
    </xf>
    <xf numFmtId="0" fontId="1" fillId="1478" borderId="0" xfId="4" applyFill="1" applyAlignment="1">
      <alignment horizontal="center" vertical="center"/>
    </xf>
    <xf numFmtId="0" fontId="1" fillId="1479" borderId="0" xfId="4" applyFill="1" applyAlignment="1">
      <alignment horizontal="center" vertical="center"/>
    </xf>
    <xf numFmtId="0" fontId="1" fillId="1480" borderId="0" xfId="4" applyFill="1" applyAlignment="1">
      <alignment horizontal="center" vertical="center"/>
    </xf>
    <xf numFmtId="0" fontId="1" fillId="1481" borderId="0" xfId="4" applyFill="1" applyAlignment="1">
      <alignment horizontal="center" vertical="center"/>
    </xf>
    <xf numFmtId="0" fontId="1" fillId="1482" borderId="0" xfId="4" applyFill="1" applyAlignment="1">
      <alignment horizontal="center" vertical="center"/>
    </xf>
    <xf numFmtId="0" fontId="1" fillId="1483" borderId="0" xfId="4" applyFill="1" applyAlignment="1">
      <alignment horizontal="center" vertical="center"/>
    </xf>
    <xf numFmtId="0" fontId="1" fillId="1484" borderId="0" xfId="4" applyFill="1" applyAlignment="1">
      <alignment horizontal="center" vertical="center"/>
    </xf>
    <xf numFmtId="0" fontId="1" fillId="1485" borderId="0" xfId="4" applyFill="1" applyAlignment="1">
      <alignment horizontal="center" vertical="center"/>
    </xf>
    <xf numFmtId="0" fontId="1" fillId="1486" borderId="0" xfId="4" applyFill="1" applyAlignment="1">
      <alignment horizontal="center" vertical="center"/>
    </xf>
    <xf numFmtId="0" fontId="1" fillId="1487" borderId="0" xfId="4" applyFill="1" applyAlignment="1">
      <alignment horizontal="center" vertical="center"/>
    </xf>
    <xf numFmtId="0" fontId="1" fillId="1488" borderId="0" xfId="4" applyFill="1" applyAlignment="1">
      <alignment horizontal="center" vertical="center"/>
    </xf>
    <xf numFmtId="0" fontId="1" fillId="1489" borderId="0" xfId="4" applyFill="1" applyAlignment="1">
      <alignment horizontal="center" vertical="center"/>
    </xf>
    <xf numFmtId="0" fontId="1" fillId="1490" borderId="0" xfId="4" applyFill="1" applyAlignment="1">
      <alignment horizontal="center" vertical="center"/>
    </xf>
    <xf numFmtId="0" fontId="1" fillId="1491" borderId="0" xfId="4" applyFill="1" applyAlignment="1">
      <alignment horizontal="center" vertical="center"/>
    </xf>
    <xf numFmtId="0" fontId="1" fillId="1492" borderId="0" xfId="4" applyFill="1" applyAlignment="1">
      <alignment horizontal="center" vertical="center"/>
    </xf>
    <xf numFmtId="0" fontId="1" fillId="1493" borderId="0" xfId="4" applyFill="1" applyAlignment="1">
      <alignment horizontal="center" vertical="center"/>
    </xf>
    <xf numFmtId="0" fontId="1" fillId="1494" borderId="0" xfId="4" applyFill="1" applyAlignment="1">
      <alignment horizontal="center" vertical="center"/>
    </xf>
    <xf numFmtId="0" fontId="1" fillId="1495" borderId="0" xfId="4" applyFill="1" applyAlignment="1">
      <alignment horizontal="center" vertical="center"/>
    </xf>
    <xf numFmtId="0" fontId="1" fillId="1496" borderId="0" xfId="4" applyFill="1" applyAlignment="1">
      <alignment horizontal="center" vertical="center"/>
    </xf>
    <xf numFmtId="0" fontId="1" fillId="1497" borderId="0" xfId="4" applyFill="1" applyAlignment="1">
      <alignment horizontal="center" vertical="center"/>
    </xf>
    <xf numFmtId="0" fontId="1" fillId="1498" borderId="0" xfId="4" applyFill="1" applyAlignment="1">
      <alignment horizontal="center" vertical="center"/>
    </xf>
    <xf numFmtId="0" fontId="1" fillId="1499" borderId="0" xfId="4" applyFill="1" applyAlignment="1">
      <alignment horizontal="center" vertical="center"/>
    </xf>
    <xf numFmtId="0" fontId="1" fillId="1500" borderId="0" xfId="4" applyFill="1" applyAlignment="1">
      <alignment horizontal="center" vertical="center"/>
    </xf>
    <xf numFmtId="0" fontId="1" fillId="1501" borderId="0" xfId="4" applyFill="1" applyAlignment="1">
      <alignment horizontal="center" vertical="center"/>
    </xf>
    <xf numFmtId="0" fontId="1" fillId="1502" borderId="0" xfId="4" applyFill="1" applyAlignment="1">
      <alignment horizontal="center" vertical="center"/>
    </xf>
    <xf numFmtId="0" fontId="1" fillId="1503" borderId="0" xfId="4" applyFill="1" applyAlignment="1">
      <alignment horizontal="center" vertical="center"/>
    </xf>
    <xf numFmtId="0" fontId="1" fillId="1504" borderId="0" xfId="4" applyFill="1" applyAlignment="1">
      <alignment horizontal="center" vertical="center"/>
    </xf>
    <xf numFmtId="0" fontId="1" fillId="1505" borderId="0" xfId="4" applyFill="1" applyAlignment="1">
      <alignment horizontal="center" vertical="center"/>
    </xf>
    <xf numFmtId="0" fontId="1" fillId="1506" borderId="0" xfId="4" applyFill="1" applyAlignment="1">
      <alignment horizontal="center" vertical="center"/>
    </xf>
    <xf numFmtId="0" fontId="1" fillId="1507" borderId="0" xfId="4" applyFill="1" applyAlignment="1">
      <alignment horizontal="center" vertical="center"/>
    </xf>
    <xf numFmtId="0" fontId="1" fillId="1508" borderId="0" xfId="4" applyFill="1" applyAlignment="1">
      <alignment horizontal="center" vertical="center"/>
    </xf>
    <xf numFmtId="0" fontId="1" fillId="1425" borderId="0" xfId="4" applyFill="1" applyAlignment="1">
      <alignment horizontal="center" vertical="center"/>
    </xf>
    <xf numFmtId="0" fontId="1" fillId="1427" borderId="0" xfId="4" applyFill="1" applyAlignment="1">
      <alignment horizontal="center" vertical="center"/>
    </xf>
    <xf numFmtId="0" fontId="1" fillId="1509" borderId="0" xfId="4" applyFill="1" applyAlignment="1">
      <alignment horizontal="center" vertical="center"/>
    </xf>
    <xf numFmtId="0" fontId="1" fillId="1354" borderId="0" xfId="4" applyFill="1" applyAlignment="1">
      <alignment horizontal="left" vertical="center"/>
    </xf>
    <xf numFmtId="0" fontId="1" fillId="1510" borderId="0" xfId="4" applyFill="1" applyAlignment="1">
      <alignment horizontal="center" vertical="center"/>
    </xf>
    <xf numFmtId="0" fontId="1" fillId="1436" borderId="0" xfId="4" applyFill="1" applyAlignment="1">
      <alignment horizontal="center" vertical="center"/>
    </xf>
    <xf numFmtId="0" fontId="1" fillId="1511" borderId="0" xfId="4" applyFill="1" applyAlignment="1">
      <alignment horizontal="center" vertical="center"/>
    </xf>
    <xf numFmtId="0" fontId="1" fillId="1512" borderId="0" xfId="4" applyFill="1" applyAlignment="1">
      <alignment horizontal="center" vertical="center"/>
    </xf>
    <xf numFmtId="0" fontId="1" fillId="1513" borderId="0" xfId="4" applyFill="1" applyAlignment="1">
      <alignment horizontal="center" vertical="center"/>
    </xf>
    <xf numFmtId="0" fontId="1" fillId="1514" borderId="0" xfId="4" applyFill="1" applyAlignment="1">
      <alignment horizontal="center" vertical="center"/>
    </xf>
    <xf numFmtId="0" fontId="1" fillId="1515" borderId="0" xfId="4" applyFill="1" applyAlignment="1">
      <alignment horizontal="center" vertical="center"/>
    </xf>
    <xf numFmtId="0" fontId="1" fillId="1516" borderId="0" xfId="4" applyFill="1" applyAlignment="1">
      <alignment horizontal="center" vertical="center"/>
    </xf>
    <xf numFmtId="0" fontId="1" fillId="1517" borderId="0" xfId="4" applyFill="1" applyAlignment="1">
      <alignment horizontal="center" vertical="center"/>
    </xf>
    <xf numFmtId="0" fontId="1" fillId="1518" borderId="0" xfId="4" applyFill="1" applyAlignment="1">
      <alignment horizontal="center" vertical="center"/>
    </xf>
    <xf numFmtId="0" fontId="1" fillId="1519" borderId="0" xfId="4" applyFill="1" applyAlignment="1">
      <alignment horizontal="center" vertical="center"/>
    </xf>
    <xf numFmtId="0" fontId="1" fillId="1520" borderId="0" xfId="4" applyFill="1" applyAlignment="1">
      <alignment horizontal="center" vertical="center"/>
    </xf>
    <xf numFmtId="0" fontId="1" fillId="184" borderId="0" xfId="4" applyFill="1" applyAlignment="1">
      <alignment horizontal="center" vertical="center"/>
    </xf>
    <xf numFmtId="0" fontId="1" fillId="1521" borderId="0" xfId="4" applyFill="1" applyAlignment="1">
      <alignment horizontal="center" vertical="center"/>
    </xf>
    <xf numFmtId="0" fontId="1" fillId="1522" borderId="0" xfId="4" applyFill="1" applyAlignment="1">
      <alignment horizontal="center" vertical="center"/>
    </xf>
    <xf numFmtId="0" fontId="1" fillId="1523" borderId="0" xfId="4" applyFill="1" applyAlignment="1">
      <alignment horizontal="center" vertical="center"/>
    </xf>
    <xf numFmtId="0" fontId="1" fillId="1524" borderId="0" xfId="4" applyFill="1" applyAlignment="1">
      <alignment horizontal="center" vertical="center"/>
    </xf>
    <xf numFmtId="0" fontId="1" fillId="1525" borderId="0" xfId="4" applyFill="1" applyAlignment="1">
      <alignment horizontal="center" vertical="center"/>
    </xf>
    <xf numFmtId="0" fontId="1" fillId="1526" borderId="0" xfId="4" applyFill="1" applyAlignment="1">
      <alignment horizontal="center" vertical="center"/>
    </xf>
    <xf numFmtId="0" fontId="1" fillId="1527" borderId="0" xfId="4" applyFill="1" applyAlignment="1">
      <alignment horizontal="center" vertical="center"/>
    </xf>
    <xf numFmtId="0" fontId="1" fillId="1528" borderId="0" xfId="4" applyFill="1" applyAlignment="1">
      <alignment horizontal="center" vertical="center"/>
    </xf>
    <xf numFmtId="0" fontId="1" fillId="1529" borderId="0" xfId="4" applyFill="1" applyAlignment="1">
      <alignment horizontal="center" vertical="center"/>
    </xf>
    <xf numFmtId="0" fontId="1" fillId="1530" borderId="0" xfId="4" applyFill="1" applyAlignment="1">
      <alignment horizontal="center" vertical="center"/>
    </xf>
    <xf numFmtId="0" fontId="1" fillId="1531" borderId="0" xfId="4" applyFill="1" applyAlignment="1">
      <alignment horizontal="center" vertical="center"/>
    </xf>
    <xf numFmtId="0" fontId="1" fillId="1532" borderId="0" xfId="4" applyFill="1" applyAlignment="1">
      <alignment horizontal="center" vertical="center"/>
    </xf>
    <xf numFmtId="0" fontId="1" fillId="1533" borderId="0" xfId="4" applyFill="1" applyAlignment="1">
      <alignment horizontal="center" vertical="center"/>
    </xf>
    <xf numFmtId="0" fontId="1" fillId="1534" borderId="0" xfId="4" applyFill="1" applyAlignment="1">
      <alignment horizontal="center" vertical="center"/>
    </xf>
    <xf numFmtId="0" fontId="1" fillId="1535" borderId="0" xfId="4" applyFill="1" applyAlignment="1">
      <alignment horizontal="center" vertical="center"/>
    </xf>
    <xf numFmtId="0" fontId="1" fillId="1536" borderId="0" xfId="4" applyFill="1" applyAlignment="1">
      <alignment horizontal="center" vertical="center"/>
    </xf>
    <xf numFmtId="0" fontId="1" fillId="135" borderId="0" xfId="4" applyFill="1" applyAlignment="1">
      <alignment horizontal="center" vertical="center"/>
    </xf>
    <xf numFmtId="0" fontId="1" fillId="57" borderId="0" xfId="4" applyFill="1" applyAlignment="1">
      <alignment horizontal="center" vertical="center"/>
    </xf>
    <xf numFmtId="0" fontId="1" fillId="1537" borderId="0" xfId="4" applyFill="1" applyAlignment="1">
      <alignment horizontal="center" vertical="center"/>
    </xf>
    <xf numFmtId="0" fontId="1" fillId="1372" borderId="0" xfId="4" applyFill="1" applyAlignment="1">
      <alignment horizontal="center" vertical="center"/>
    </xf>
    <xf numFmtId="0" fontId="1" fillId="1538" borderId="0" xfId="4" applyFill="1" applyAlignment="1">
      <alignment horizontal="center" vertical="center"/>
    </xf>
    <xf numFmtId="0" fontId="1" fillId="237" borderId="0" xfId="4" applyFill="1" applyAlignment="1">
      <alignment horizontal="center" vertical="center"/>
    </xf>
    <xf numFmtId="0" fontId="1" fillId="1539" borderId="0" xfId="4" applyFill="1" applyAlignment="1">
      <alignment horizontal="center" vertical="center"/>
    </xf>
    <xf numFmtId="0" fontId="1" fillId="1540" borderId="0" xfId="4" applyFill="1" applyAlignment="1">
      <alignment horizontal="center" vertical="center"/>
    </xf>
    <xf numFmtId="0" fontId="1" fillId="1541" borderId="0" xfId="4" applyFill="1" applyAlignment="1">
      <alignment horizontal="center" vertical="center"/>
    </xf>
    <xf numFmtId="0" fontId="1" fillId="1542" borderId="0" xfId="4" applyFill="1" applyAlignment="1">
      <alignment horizontal="center" vertical="center"/>
    </xf>
    <xf numFmtId="0" fontId="1" fillId="1543" borderId="0" xfId="4" applyFill="1" applyAlignment="1">
      <alignment horizontal="center" vertical="center"/>
    </xf>
    <xf numFmtId="0" fontId="1" fillId="1544" borderId="0" xfId="4" applyFill="1" applyAlignment="1">
      <alignment horizontal="center" vertical="center"/>
    </xf>
    <xf numFmtId="0" fontId="1" fillId="1545" borderId="0" xfId="4" applyFill="1" applyAlignment="1">
      <alignment horizontal="center" vertical="center"/>
    </xf>
    <xf numFmtId="0" fontId="1" fillId="1546" borderId="0" xfId="4" applyFill="1" applyAlignment="1">
      <alignment horizontal="center" vertical="center"/>
    </xf>
    <xf numFmtId="0" fontId="1" fillId="1437" borderId="0" xfId="4" applyFill="1" applyAlignment="1">
      <alignment horizontal="center" vertical="center"/>
    </xf>
    <xf numFmtId="0" fontId="1" fillId="1547" borderId="0" xfId="4" applyFill="1" applyAlignment="1">
      <alignment horizontal="center" vertical="center"/>
    </xf>
    <xf numFmtId="0" fontId="1" fillId="1548" borderId="0" xfId="4" applyFill="1" applyAlignment="1">
      <alignment horizontal="center" vertical="center"/>
    </xf>
    <xf numFmtId="0" fontId="1" fillId="1549" borderId="0" xfId="4" applyFill="1" applyAlignment="1">
      <alignment horizontal="center" vertical="center"/>
    </xf>
    <xf numFmtId="0" fontId="1" fillId="1550" borderId="0" xfId="4" applyFill="1" applyAlignment="1">
      <alignment horizontal="center" vertical="center"/>
    </xf>
    <xf numFmtId="0" fontId="1" fillId="1551" borderId="0" xfId="4" applyFill="1" applyAlignment="1">
      <alignment horizontal="center" vertical="center"/>
    </xf>
    <xf numFmtId="0" fontId="1" fillId="1552" borderId="0" xfId="4" applyFill="1" applyAlignment="1">
      <alignment horizontal="center" vertical="center"/>
    </xf>
    <xf numFmtId="0" fontId="1" fillId="1553" borderId="0" xfId="4" applyFill="1" applyAlignment="1">
      <alignment horizontal="center" vertical="center"/>
    </xf>
    <xf numFmtId="0" fontId="1" fillId="1554" borderId="0" xfId="4" applyFill="1" applyAlignment="1">
      <alignment horizontal="center" vertical="center"/>
    </xf>
    <xf numFmtId="0" fontId="1" fillId="1555" borderId="0" xfId="4" applyFill="1" applyAlignment="1">
      <alignment horizontal="center" vertical="center"/>
    </xf>
    <xf numFmtId="0" fontId="1" fillId="1124" borderId="0" xfId="4" applyFill="1" applyAlignment="1">
      <alignment horizontal="center" vertical="center"/>
    </xf>
    <xf numFmtId="0" fontId="1" fillId="1556" borderId="0" xfId="4" applyFill="1" applyAlignment="1">
      <alignment horizontal="center" vertical="center"/>
    </xf>
    <xf numFmtId="0" fontId="1" fillId="1557" borderId="0" xfId="4" applyFill="1" applyAlignment="1">
      <alignment horizontal="center" vertical="center"/>
    </xf>
    <xf numFmtId="0" fontId="1" fillId="1558" borderId="0" xfId="4" applyFill="1" applyAlignment="1">
      <alignment horizontal="center" vertical="center"/>
    </xf>
    <xf numFmtId="0" fontId="1" fillId="649" borderId="0" xfId="4" applyFill="1" applyAlignment="1">
      <alignment horizontal="center" vertical="center"/>
    </xf>
    <xf numFmtId="0" fontId="1" fillId="1559" borderId="0" xfId="4" applyFill="1" applyAlignment="1">
      <alignment horizontal="center" vertical="center"/>
    </xf>
    <xf numFmtId="0" fontId="1" fillId="1560" borderId="0" xfId="4" applyFill="1" applyAlignment="1">
      <alignment horizontal="center" vertical="center"/>
    </xf>
    <xf numFmtId="0" fontId="1" fillId="1561" borderId="0" xfId="4" applyFill="1" applyAlignment="1">
      <alignment horizontal="center" vertical="center"/>
    </xf>
    <xf numFmtId="0" fontId="1" fillId="1562" borderId="0" xfId="4" applyFill="1" applyAlignment="1">
      <alignment horizontal="center" vertical="center"/>
    </xf>
    <xf numFmtId="0" fontId="1" fillId="1563" borderId="0" xfId="4" applyFill="1" applyAlignment="1">
      <alignment horizontal="center" vertical="center"/>
    </xf>
    <xf numFmtId="0" fontId="1" fillId="1564" borderId="0" xfId="4" applyFill="1" applyAlignment="1">
      <alignment horizontal="center" vertical="center"/>
    </xf>
    <xf numFmtId="0" fontId="1" fillId="1565" borderId="0" xfId="4" applyFill="1" applyAlignment="1">
      <alignment horizontal="center" vertical="center"/>
    </xf>
    <xf numFmtId="0" fontId="1" fillId="1566" borderId="0" xfId="4" applyFill="1" applyAlignment="1">
      <alignment horizontal="center" vertical="center"/>
    </xf>
    <xf numFmtId="0" fontId="1" fillId="1567" borderId="0" xfId="4" applyFill="1" applyAlignment="1">
      <alignment horizontal="center" vertical="center"/>
    </xf>
    <xf numFmtId="0" fontId="1" fillId="1568" borderId="0" xfId="4" applyFill="1" applyAlignment="1">
      <alignment horizontal="center" vertical="center"/>
    </xf>
    <xf numFmtId="0" fontId="1" fillId="1569" borderId="0" xfId="4" applyFill="1" applyAlignment="1">
      <alignment horizontal="center" vertical="center"/>
    </xf>
    <xf numFmtId="0" fontId="1" fillId="1570" borderId="0" xfId="4" applyFill="1" applyAlignment="1">
      <alignment horizontal="center" vertical="center"/>
    </xf>
    <xf numFmtId="0" fontId="1" fillId="1571" borderId="0" xfId="4" applyFill="1" applyAlignment="1">
      <alignment horizontal="center" vertical="center"/>
    </xf>
    <xf numFmtId="0" fontId="1" fillId="1572" borderId="0" xfId="4" applyFill="1" applyAlignment="1">
      <alignment horizontal="center" vertical="center"/>
    </xf>
    <xf numFmtId="0" fontId="1" fillId="1573" borderId="0" xfId="4" applyFill="1" applyAlignment="1">
      <alignment horizontal="center" vertical="center"/>
    </xf>
    <xf numFmtId="0" fontId="1" fillId="1574" borderId="0" xfId="4" applyFill="1" applyAlignment="1">
      <alignment horizontal="center" vertical="center"/>
    </xf>
    <xf numFmtId="0" fontId="1" fillId="1575" borderId="0" xfId="4" applyFill="1" applyAlignment="1">
      <alignment horizontal="center" vertical="center"/>
    </xf>
    <xf numFmtId="0" fontId="1" fillId="1576" borderId="0" xfId="4" applyFill="1" applyAlignment="1">
      <alignment horizontal="center" vertical="center"/>
    </xf>
    <xf numFmtId="0" fontId="1" fillId="1577" borderId="0" xfId="4" applyFill="1" applyAlignment="1">
      <alignment horizontal="center" vertical="center"/>
    </xf>
    <xf numFmtId="0" fontId="1" fillId="1578" borderId="0" xfId="4" applyFill="1" applyAlignment="1">
      <alignment horizontal="center" vertical="center"/>
    </xf>
    <xf numFmtId="0" fontId="1" fillId="1579" borderId="0" xfId="4" applyFill="1" applyAlignment="1">
      <alignment horizontal="center" vertical="center"/>
    </xf>
    <xf numFmtId="0" fontId="1" fillId="1580" borderId="0" xfId="4" applyFill="1" applyAlignment="1">
      <alignment horizontal="center" vertical="center"/>
    </xf>
    <xf numFmtId="0" fontId="1" fillId="1578" borderId="0" xfId="4" applyFill="1" applyAlignment="1">
      <alignment horizontal="left" vertical="center"/>
    </xf>
    <xf numFmtId="0" fontId="1" fillId="1581" borderId="0" xfId="4" applyFill="1" applyAlignment="1">
      <alignment horizontal="center" vertical="center"/>
    </xf>
    <xf numFmtId="0" fontId="1" fillId="1267" borderId="0" xfId="4" applyFill="1" applyAlignment="1">
      <alignment horizontal="center" vertical="center"/>
    </xf>
    <xf numFmtId="0" fontId="1" fillId="1582" borderId="0" xfId="4" applyFill="1" applyAlignment="1">
      <alignment horizontal="center" vertical="center"/>
    </xf>
    <xf numFmtId="0" fontId="1" fillId="1583" borderId="0" xfId="4" applyFill="1" applyAlignment="1">
      <alignment horizontal="center" vertical="center"/>
    </xf>
    <xf numFmtId="0" fontId="1" fillId="1584" borderId="0" xfId="4" applyFill="1" applyAlignment="1">
      <alignment horizontal="center" vertical="center"/>
    </xf>
    <xf numFmtId="0" fontId="1" fillId="1585" borderId="0" xfId="4" applyFill="1" applyAlignment="1">
      <alignment horizontal="center" vertical="center"/>
    </xf>
    <xf numFmtId="0" fontId="1" fillId="1586" borderId="0" xfId="4" applyFill="1" applyAlignment="1">
      <alignment horizontal="center" vertical="center"/>
    </xf>
    <xf numFmtId="0" fontId="1" fillId="1587" borderId="0" xfId="4" applyFill="1" applyAlignment="1">
      <alignment horizontal="center" vertical="center"/>
    </xf>
    <xf numFmtId="0" fontId="1" fillId="1588" borderId="0" xfId="4" applyFill="1" applyAlignment="1">
      <alignment horizontal="center" vertical="center"/>
    </xf>
    <xf numFmtId="0" fontId="1" fillId="1589" borderId="0" xfId="4" applyFill="1" applyAlignment="1">
      <alignment horizontal="center" vertical="center"/>
    </xf>
    <xf numFmtId="0" fontId="1" fillId="1590" borderId="0" xfId="4" applyFill="1" applyAlignment="1">
      <alignment horizontal="center" vertical="center"/>
    </xf>
    <xf numFmtId="0" fontId="1" fillId="1591" borderId="0" xfId="4" applyFill="1" applyAlignment="1">
      <alignment horizontal="center" vertical="center"/>
    </xf>
    <xf numFmtId="0" fontId="1" fillId="1592" borderId="0" xfId="4" applyFill="1" applyAlignment="1">
      <alignment horizontal="center" vertical="center"/>
    </xf>
    <xf numFmtId="0" fontId="1" fillId="1593" borderId="0" xfId="4" applyFill="1" applyAlignment="1">
      <alignment horizontal="center" vertical="center"/>
    </xf>
    <xf numFmtId="0" fontId="1" fillId="1594" borderId="0" xfId="4" applyFill="1" applyAlignment="1">
      <alignment horizontal="center" vertical="center"/>
    </xf>
    <xf numFmtId="0" fontId="1" fillId="1595" borderId="0" xfId="4" applyFill="1" applyAlignment="1">
      <alignment horizontal="center" vertical="center"/>
    </xf>
    <xf numFmtId="0" fontId="1" fillId="1596" borderId="0" xfId="4" applyFill="1" applyAlignment="1">
      <alignment horizontal="center" vertical="center"/>
    </xf>
    <xf numFmtId="0" fontId="1" fillId="1597" borderId="0" xfId="4" applyFill="1" applyAlignment="1">
      <alignment horizontal="center" vertical="center"/>
    </xf>
    <xf numFmtId="0" fontId="1" fillId="1598" borderId="0" xfId="4" applyFill="1" applyAlignment="1">
      <alignment horizontal="center" vertical="center"/>
    </xf>
    <xf numFmtId="0" fontId="1" fillId="1599" borderId="0" xfId="4" applyFill="1" applyAlignment="1">
      <alignment horizontal="center" vertical="center"/>
    </xf>
    <xf numFmtId="0" fontId="1" fillId="1600" borderId="0" xfId="4" applyFill="1" applyAlignment="1">
      <alignment horizontal="center" vertical="center"/>
    </xf>
    <xf numFmtId="0" fontId="1" fillId="1601" borderId="0" xfId="4" applyFill="1" applyAlignment="1">
      <alignment horizontal="center" vertical="center"/>
    </xf>
    <xf numFmtId="0" fontId="1" fillId="1602" borderId="0" xfId="4" applyFill="1" applyAlignment="1">
      <alignment horizontal="center" vertical="center"/>
    </xf>
    <xf numFmtId="0" fontId="1" fillId="80" borderId="0" xfId="4" applyFill="1" applyAlignment="1">
      <alignment horizontal="center" vertical="center"/>
    </xf>
    <xf numFmtId="0" fontId="1" fillId="1450" borderId="0" xfId="4" applyFill="1" applyAlignment="1">
      <alignment horizontal="center" vertical="center"/>
    </xf>
    <xf numFmtId="0" fontId="1" fillId="1603" borderId="0" xfId="4" applyFill="1" applyAlignment="1">
      <alignment horizontal="center" vertical="center"/>
    </xf>
    <xf numFmtId="0" fontId="1" fillId="1604" borderId="0" xfId="4" applyFill="1" applyAlignment="1">
      <alignment horizontal="center" vertical="center"/>
    </xf>
    <xf numFmtId="0" fontId="1" fillId="1605" borderId="0" xfId="4" applyFill="1" applyAlignment="1">
      <alignment horizontal="center" vertical="center"/>
    </xf>
    <xf numFmtId="0" fontId="1" fillId="1606" borderId="0" xfId="4" applyFill="1" applyAlignment="1">
      <alignment horizontal="center" vertical="center"/>
    </xf>
    <xf numFmtId="0" fontId="1" fillId="53" borderId="0" xfId="4" applyFill="1" applyAlignment="1">
      <alignment horizontal="center" vertical="center"/>
    </xf>
    <xf numFmtId="0" fontId="1" fillId="1607" borderId="0" xfId="4" applyFill="1" applyAlignment="1">
      <alignment horizontal="center" vertical="center"/>
    </xf>
    <xf numFmtId="0" fontId="1" fillId="215" borderId="0" xfId="4" applyFill="1" applyAlignment="1">
      <alignment horizontal="center" vertical="center"/>
    </xf>
    <xf numFmtId="0" fontId="1" fillId="1608" borderId="0" xfId="4" applyFill="1" applyAlignment="1">
      <alignment horizontal="center" vertical="center"/>
    </xf>
    <xf numFmtId="0" fontId="1" fillId="21" borderId="0" xfId="4" applyFill="1" applyAlignment="1">
      <alignment horizontal="center" vertical="center"/>
    </xf>
    <xf numFmtId="0" fontId="1" fillId="1609" borderId="0" xfId="4" applyFill="1" applyAlignment="1">
      <alignment horizontal="center" vertical="center"/>
    </xf>
    <xf numFmtId="0" fontId="1" fillId="1610" borderId="0" xfId="4" applyFill="1" applyAlignment="1">
      <alignment horizontal="center" vertical="center"/>
    </xf>
    <xf numFmtId="0" fontId="1" fillId="1611" borderId="0" xfId="4" applyFill="1" applyAlignment="1">
      <alignment horizontal="center" vertical="center"/>
    </xf>
    <xf numFmtId="0" fontId="1" fillId="1612" borderId="0" xfId="4" applyFill="1" applyAlignment="1">
      <alignment horizontal="center" vertical="center"/>
    </xf>
    <xf numFmtId="0" fontId="1" fillId="1613" borderId="0" xfId="4" applyFill="1" applyAlignment="1">
      <alignment horizontal="center" vertical="center"/>
    </xf>
    <xf numFmtId="0" fontId="1" fillId="1614" borderId="0" xfId="4" applyFill="1" applyAlignment="1">
      <alignment horizontal="center" vertical="center"/>
    </xf>
    <xf numFmtId="0" fontId="1" fillId="1615" borderId="0" xfId="4" applyFill="1" applyAlignment="1">
      <alignment horizontal="center" vertical="center"/>
    </xf>
    <xf numFmtId="0" fontId="1" fillId="1616" borderId="0" xfId="4" applyFill="1" applyAlignment="1">
      <alignment horizontal="center" vertical="center"/>
    </xf>
    <xf numFmtId="0" fontId="1" fillId="1617" borderId="0" xfId="4" applyFill="1" applyAlignment="1">
      <alignment horizontal="center" vertical="center"/>
    </xf>
    <xf numFmtId="0" fontId="1" fillId="1618" borderId="0" xfId="4" applyFill="1" applyAlignment="1">
      <alignment horizontal="center" vertical="center"/>
    </xf>
    <xf numFmtId="0" fontId="1" fillId="1619" borderId="0" xfId="4" applyFill="1" applyAlignment="1">
      <alignment horizontal="center" vertical="center"/>
    </xf>
    <xf numFmtId="0" fontId="1" fillId="1620" borderId="0" xfId="4" applyFill="1" applyAlignment="1">
      <alignment horizontal="center" vertical="center"/>
    </xf>
    <xf numFmtId="0" fontId="1" fillId="1621" borderId="0" xfId="4" applyFill="1" applyAlignment="1">
      <alignment horizontal="center" vertical="center"/>
    </xf>
    <xf numFmtId="0" fontId="1" fillId="1622" borderId="0" xfId="4" applyFill="1" applyAlignment="1">
      <alignment horizontal="center" vertical="center"/>
    </xf>
    <xf numFmtId="0" fontId="1" fillId="1623" borderId="0" xfId="4" applyFill="1" applyAlignment="1">
      <alignment horizontal="center" vertical="center"/>
    </xf>
    <xf numFmtId="0" fontId="1" fillId="1624" borderId="0" xfId="4" applyFill="1" applyAlignment="1">
      <alignment horizontal="center" vertical="center"/>
    </xf>
    <xf numFmtId="0" fontId="1" fillId="1625" borderId="0" xfId="4" applyFill="1" applyAlignment="1">
      <alignment horizontal="center" vertical="center"/>
    </xf>
    <xf numFmtId="0" fontId="1" fillId="1626" borderId="0" xfId="4" applyFill="1" applyAlignment="1">
      <alignment horizontal="center" vertical="center"/>
    </xf>
    <xf numFmtId="0" fontId="1" fillId="1627" borderId="0" xfId="4" applyFill="1" applyAlignment="1">
      <alignment horizontal="center" vertical="center"/>
    </xf>
    <xf numFmtId="0" fontId="1" fillId="1628" borderId="0" xfId="4" applyFill="1" applyAlignment="1">
      <alignment horizontal="center" vertical="center"/>
    </xf>
    <xf numFmtId="0" fontId="1" fillId="1629" borderId="0" xfId="4" applyFill="1" applyAlignment="1">
      <alignment horizontal="center" vertical="center"/>
    </xf>
    <xf numFmtId="0" fontId="1" fillId="571" borderId="0" xfId="4" applyFill="1" applyAlignment="1">
      <alignment horizontal="center" vertical="center"/>
    </xf>
    <xf numFmtId="0" fontId="1" fillId="1630" borderId="0" xfId="4" applyFill="1" applyAlignment="1">
      <alignment horizontal="center" vertical="center"/>
    </xf>
    <xf numFmtId="0" fontId="1" fillId="1631" borderId="0" xfId="4" applyFill="1" applyAlignment="1">
      <alignment horizontal="center" vertical="center"/>
    </xf>
    <xf numFmtId="0" fontId="1" fillId="1632" borderId="0" xfId="4" applyFill="1" applyAlignment="1">
      <alignment horizontal="center" vertical="center"/>
    </xf>
    <xf numFmtId="0" fontId="1" fillId="1633" borderId="0" xfId="4" applyFill="1" applyAlignment="1">
      <alignment horizontal="center" vertical="center"/>
    </xf>
    <xf numFmtId="0" fontId="1" fillId="1634" borderId="0" xfId="4" applyFill="1" applyAlignment="1">
      <alignment horizontal="center" vertical="center"/>
    </xf>
    <xf numFmtId="0" fontId="1" fillId="1635" borderId="0" xfId="4" applyFill="1" applyAlignment="1">
      <alignment horizontal="center" vertical="center"/>
    </xf>
    <xf numFmtId="0" fontId="1" fillId="1636" borderId="0" xfId="4" applyFill="1" applyAlignment="1">
      <alignment horizontal="center" vertical="center"/>
    </xf>
    <xf numFmtId="0" fontId="1" fillId="1637" borderId="0" xfId="4" applyFill="1" applyAlignment="1">
      <alignment horizontal="center" vertical="center"/>
    </xf>
    <xf numFmtId="0" fontId="1" fillId="1320" borderId="0" xfId="4" applyFill="1" applyAlignment="1">
      <alignment horizontal="center" vertical="center"/>
    </xf>
    <xf numFmtId="0" fontId="1" fillId="1638" borderId="0" xfId="4" applyFill="1" applyAlignment="1">
      <alignment horizontal="center" vertical="center"/>
    </xf>
    <xf numFmtId="0" fontId="1" fillId="1639" borderId="0" xfId="4" applyFill="1" applyAlignment="1">
      <alignment horizontal="center" vertical="center"/>
    </xf>
    <xf numFmtId="0" fontId="1" fillId="1640" borderId="0" xfId="4" applyFill="1" applyAlignment="1">
      <alignment horizontal="center" vertical="center"/>
    </xf>
    <xf numFmtId="0" fontId="1" fillId="1641" borderId="0" xfId="4" applyFill="1" applyAlignment="1">
      <alignment horizontal="center" vertical="center"/>
    </xf>
    <xf numFmtId="0" fontId="1" fillId="1642" borderId="0" xfId="4" applyFill="1" applyAlignment="1">
      <alignment horizontal="center" vertical="center"/>
    </xf>
    <xf numFmtId="0" fontId="1" fillId="1643" borderId="0" xfId="4" applyFill="1" applyAlignment="1">
      <alignment horizontal="center" vertical="center"/>
    </xf>
    <xf numFmtId="0" fontId="1" fillId="1644" borderId="0" xfId="4" applyFill="1" applyAlignment="1">
      <alignment horizontal="center" vertical="center"/>
    </xf>
    <xf numFmtId="0" fontId="1" fillId="1645" borderId="0" xfId="4" applyFill="1" applyAlignment="1">
      <alignment horizontal="center" vertical="center"/>
    </xf>
    <xf numFmtId="0" fontId="1" fillId="1646" borderId="0" xfId="4" applyFill="1" applyAlignment="1">
      <alignment horizontal="center" vertical="center"/>
    </xf>
    <xf numFmtId="0" fontId="1" fillId="1647" borderId="0" xfId="4" applyFill="1" applyAlignment="1">
      <alignment horizontal="center" vertical="center"/>
    </xf>
    <xf numFmtId="0" fontId="1" fillId="1648" borderId="0" xfId="4" applyFill="1" applyAlignment="1">
      <alignment horizontal="center" vertical="center"/>
    </xf>
    <xf numFmtId="0" fontId="1" fillId="1649" borderId="0" xfId="4" applyFill="1" applyAlignment="1">
      <alignment horizontal="center" vertical="center"/>
    </xf>
    <xf numFmtId="0" fontId="1" fillId="1650" borderId="0" xfId="4" applyFill="1" applyAlignment="1">
      <alignment horizontal="center" vertical="center"/>
    </xf>
    <xf numFmtId="0" fontId="1" fillId="1651" borderId="0" xfId="4" applyFill="1" applyAlignment="1">
      <alignment horizontal="center" vertical="center"/>
    </xf>
    <xf numFmtId="0" fontId="1" fillId="1652" borderId="0" xfId="4" applyFill="1" applyAlignment="1">
      <alignment horizontal="center" vertical="center"/>
    </xf>
    <xf numFmtId="0" fontId="1" fillId="1653" borderId="0" xfId="4" applyFill="1" applyAlignment="1">
      <alignment horizontal="center" vertical="center"/>
    </xf>
    <xf numFmtId="0" fontId="1" fillId="1505" borderId="0" xfId="4" applyFill="1" applyAlignment="1">
      <alignment horizontal="left" vertical="center"/>
    </xf>
    <xf numFmtId="0" fontId="1" fillId="1654" borderId="0" xfId="4" applyFill="1" applyAlignment="1">
      <alignment horizontal="center" vertical="center"/>
    </xf>
    <xf numFmtId="0" fontId="1" fillId="1655" borderId="0" xfId="4" applyFill="1" applyAlignment="1">
      <alignment horizontal="center" vertical="center"/>
    </xf>
    <xf numFmtId="0" fontId="1" fillId="1656" borderId="0" xfId="4" applyFill="1" applyAlignment="1">
      <alignment horizontal="center" vertical="center"/>
    </xf>
    <xf numFmtId="0" fontId="1" fillId="1657" borderId="0" xfId="4" applyFill="1" applyAlignment="1">
      <alignment horizontal="center" vertical="center"/>
    </xf>
    <xf numFmtId="0" fontId="1" fillId="1658" borderId="0" xfId="4" applyFill="1" applyAlignment="1">
      <alignment horizontal="center" vertical="center"/>
    </xf>
    <xf numFmtId="0" fontId="1" fillId="1659" borderId="0" xfId="4" applyFill="1" applyAlignment="1">
      <alignment horizontal="center" vertical="center"/>
    </xf>
    <xf numFmtId="0" fontId="1" fillId="1660" borderId="0" xfId="4" applyFill="1" applyAlignment="1">
      <alignment horizontal="center" vertical="center"/>
    </xf>
    <xf numFmtId="0" fontId="1" fillId="1661" borderId="0" xfId="4" applyFill="1" applyAlignment="1">
      <alignment horizontal="center" vertical="center"/>
    </xf>
    <xf numFmtId="0" fontId="1" fillId="1662" borderId="0" xfId="4" applyFill="1" applyAlignment="1">
      <alignment horizontal="center" vertical="center"/>
    </xf>
    <xf numFmtId="0" fontId="1" fillId="1663" borderId="0" xfId="4" applyFill="1" applyAlignment="1">
      <alignment horizontal="center" vertical="center"/>
    </xf>
    <xf numFmtId="0" fontId="1" fillId="1664" borderId="0" xfId="4" applyFill="1" applyAlignment="1">
      <alignment horizontal="center" vertical="center"/>
    </xf>
    <xf numFmtId="0" fontId="1" fillId="1665" borderId="0" xfId="4" applyFill="1" applyAlignment="1">
      <alignment horizontal="center" vertical="center"/>
    </xf>
    <xf numFmtId="0" fontId="1" fillId="1666" borderId="0" xfId="4" applyFill="1" applyAlignment="1">
      <alignment horizontal="center" vertical="center"/>
    </xf>
    <xf numFmtId="0" fontId="1" fillId="1667" borderId="0" xfId="4" applyFill="1" applyAlignment="1">
      <alignment horizontal="center" vertical="center"/>
    </xf>
    <xf numFmtId="0" fontId="1" fillId="1668" borderId="0" xfId="4" applyFill="1" applyAlignment="1">
      <alignment horizontal="center" vertical="center"/>
    </xf>
    <xf numFmtId="0" fontId="1" fillId="1669" borderId="0" xfId="4" applyFill="1" applyAlignment="1">
      <alignment horizontal="center" vertical="center"/>
    </xf>
    <xf numFmtId="0" fontId="1" fillId="1670" borderId="0" xfId="4" applyFill="1" applyAlignment="1">
      <alignment horizontal="center" vertical="center"/>
    </xf>
    <xf numFmtId="0" fontId="1" fillId="1671" borderId="0" xfId="4" applyFill="1" applyAlignment="1">
      <alignment horizontal="center" vertical="center"/>
    </xf>
    <xf numFmtId="0" fontId="1" fillId="1672" borderId="0" xfId="4" applyFill="1" applyAlignment="1">
      <alignment horizontal="center" vertical="center"/>
    </xf>
    <xf numFmtId="0" fontId="1" fillId="1673" borderId="0" xfId="4" applyFill="1" applyAlignment="1">
      <alignment horizontal="center" vertical="center"/>
    </xf>
    <xf numFmtId="0" fontId="1" fillId="1674" borderId="0" xfId="4" applyFill="1" applyAlignment="1">
      <alignment horizontal="center" vertical="center"/>
    </xf>
    <xf numFmtId="0" fontId="1" fillId="1675" borderId="0" xfId="4" applyFill="1" applyAlignment="1">
      <alignment horizontal="center" vertical="center"/>
    </xf>
    <xf numFmtId="0" fontId="1" fillId="1676" borderId="0" xfId="4" applyFill="1" applyAlignment="1">
      <alignment horizontal="center" vertical="center"/>
    </xf>
    <xf numFmtId="0" fontId="1" fillId="1677" borderId="0" xfId="4" applyFill="1" applyAlignment="1">
      <alignment horizontal="center" vertical="center"/>
    </xf>
    <xf numFmtId="0" fontId="1" fillId="1678" borderId="0" xfId="4" applyFill="1" applyAlignment="1">
      <alignment horizontal="center" vertical="center"/>
    </xf>
    <xf numFmtId="0" fontId="1" fillId="1679" borderId="0" xfId="4" applyFill="1" applyAlignment="1">
      <alignment horizontal="center" vertical="center"/>
    </xf>
    <xf numFmtId="0" fontId="1" fillId="1680" borderId="0" xfId="4" applyFill="1" applyAlignment="1">
      <alignment horizontal="center" vertical="center"/>
    </xf>
    <xf numFmtId="0" fontId="1" fillId="1681" borderId="0" xfId="4" applyFill="1" applyAlignment="1">
      <alignment horizontal="center" vertical="center"/>
    </xf>
    <xf numFmtId="0" fontId="1" fillId="163" borderId="0" xfId="4" applyFill="1" applyAlignment="1">
      <alignment horizontal="center" vertical="center"/>
    </xf>
    <xf numFmtId="0" fontId="1" fillId="1682" borderId="0" xfId="4" applyFill="1" applyAlignment="1">
      <alignment horizontal="center" vertical="center"/>
    </xf>
    <xf numFmtId="0" fontId="1" fillId="1683" borderId="0" xfId="4" applyFill="1" applyAlignment="1">
      <alignment horizontal="center" vertical="center"/>
    </xf>
    <xf numFmtId="0" fontId="1" fillId="1684" borderId="0" xfId="4" applyFill="1" applyAlignment="1">
      <alignment horizontal="center" vertical="center"/>
    </xf>
    <xf numFmtId="0" fontId="1" fillId="1685" borderId="0" xfId="4" applyFill="1" applyAlignment="1">
      <alignment horizontal="center" vertical="center"/>
    </xf>
    <xf numFmtId="0" fontId="1" fillId="1686" borderId="0" xfId="4" applyFill="1" applyAlignment="1">
      <alignment horizontal="center" vertical="center"/>
    </xf>
    <xf numFmtId="0" fontId="1" fillId="1687" borderId="0" xfId="4" applyFill="1" applyAlignment="1">
      <alignment horizontal="center" vertical="center"/>
    </xf>
    <xf numFmtId="0" fontId="1" fillId="1688" borderId="0" xfId="4" applyFill="1" applyAlignment="1">
      <alignment horizontal="center" vertical="center"/>
    </xf>
    <xf numFmtId="0" fontId="1" fillId="1689" borderId="0" xfId="4" applyFill="1" applyAlignment="1">
      <alignment horizontal="center" vertical="center"/>
    </xf>
    <xf numFmtId="0" fontId="1" fillId="1690" borderId="0" xfId="4" applyFill="1" applyAlignment="1">
      <alignment horizontal="center" vertical="center"/>
    </xf>
    <xf numFmtId="0" fontId="1" fillId="1380" borderId="0" xfId="4" applyFill="1" applyAlignment="1">
      <alignment horizontal="center" vertical="center"/>
    </xf>
    <xf numFmtId="0" fontId="1" fillId="1691" borderId="0" xfId="4" applyFill="1" applyAlignment="1">
      <alignment horizontal="center" vertical="center"/>
    </xf>
    <xf numFmtId="0" fontId="1" fillId="1692" borderId="0" xfId="4" applyFill="1" applyAlignment="1">
      <alignment horizontal="center" vertical="center"/>
    </xf>
    <xf numFmtId="0" fontId="1" fillId="1693" borderId="0" xfId="4" applyFill="1" applyAlignment="1">
      <alignment horizontal="center" vertical="center"/>
    </xf>
    <xf numFmtId="0" fontId="1" fillId="1694" borderId="0" xfId="4" applyFill="1" applyAlignment="1">
      <alignment horizontal="center" vertical="center"/>
    </xf>
    <xf numFmtId="0" fontId="1" fillId="1695" borderId="0" xfId="4" applyFill="1" applyAlignment="1">
      <alignment horizontal="center" vertical="center"/>
    </xf>
    <xf numFmtId="0" fontId="1" fillId="1696" borderId="0" xfId="4" applyFill="1" applyAlignment="1">
      <alignment horizontal="center" vertical="center"/>
    </xf>
    <xf numFmtId="0" fontId="1" fillId="1697" borderId="0" xfId="4" applyFill="1" applyAlignment="1">
      <alignment horizontal="center" vertical="center"/>
    </xf>
    <xf numFmtId="0" fontId="1" fillId="1698" borderId="0" xfId="4" applyFill="1" applyAlignment="1">
      <alignment horizontal="center" vertical="center"/>
    </xf>
    <xf numFmtId="0" fontId="1" fillId="1699" borderId="0" xfId="4" applyFill="1" applyAlignment="1">
      <alignment horizontal="center" vertical="center"/>
    </xf>
    <xf numFmtId="0" fontId="1" fillId="1700" borderId="0" xfId="4" applyFill="1" applyAlignment="1">
      <alignment horizontal="center" vertical="center"/>
    </xf>
    <xf numFmtId="0" fontId="1" fillId="1701" borderId="0" xfId="4" applyFill="1" applyAlignment="1">
      <alignment horizontal="center" vertical="center"/>
    </xf>
    <xf numFmtId="0" fontId="1" fillId="1702" borderId="0" xfId="4" applyFill="1" applyAlignment="1">
      <alignment horizontal="center" vertical="center"/>
    </xf>
    <xf numFmtId="0" fontId="1" fillId="1703" borderId="0" xfId="4" applyFill="1" applyAlignment="1">
      <alignment horizontal="center" vertical="center"/>
    </xf>
    <xf numFmtId="0" fontId="1" fillId="1704" borderId="0" xfId="4" applyFill="1" applyAlignment="1">
      <alignment horizontal="center" vertical="center"/>
    </xf>
    <xf numFmtId="0" fontId="1" fillId="1705" borderId="0" xfId="4" applyFill="1" applyAlignment="1">
      <alignment horizontal="center" vertical="center"/>
    </xf>
    <xf numFmtId="0" fontId="1" fillId="1706" borderId="0" xfId="4" applyFill="1" applyAlignment="1">
      <alignment horizontal="center" vertical="center"/>
    </xf>
    <xf numFmtId="0" fontId="1" fillId="1707" borderId="0" xfId="4" applyFill="1" applyAlignment="1">
      <alignment horizontal="center" vertical="center"/>
    </xf>
    <xf numFmtId="0" fontId="1" fillId="1708" borderId="0" xfId="4" applyFill="1" applyAlignment="1">
      <alignment horizontal="center" vertical="center"/>
    </xf>
    <xf numFmtId="0" fontId="1" fillId="1709" borderId="0" xfId="4" applyFill="1" applyAlignment="1">
      <alignment horizontal="center" vertical="center"/>
    </xf>
    <xf numFmtId="0" fontId="1" fillId="1710" borderId="0" xfId="4" applyFill="1" applyAlignment="1">
      <alignment horizontal="center" vertical="center"/>
    </xf>
    <xf numFmtId="0" fontId="1" fillId="639" borderId="0" xfId="4" applyFill="1" applyAlignment="1">
      <alignment horizontal="center" vertical="center"/>
    </xf>
    <xf numFmtId="0" fontId="1" fillId="1711" borderId="0" xfId="4" applyFill="1" applyAlignment="1">
      <alignment horizontal="center" vertical="center"/>
    </xf>
    <xf numFmtId="0" fontId="1" fillId="1713" borderId="0" xfId="4" applyFill="1" applyAlignment="1">
      <alignment horizontal="center" vertical="center"/>
    </xf>
    <xf numFmtId="0" fontId="1" fillId="1714" borderId="0" xfId="4" applyFill="1" applyAlignment="1">
      <alignment horizontal="center" vertical="center"/>
    </xf>
    <xf numFmtId="0" fontId="1" fillId="1715" borderId="0" xfId="4" applyFill="1" applyAlignment="1">
      <alignment horizontal="center" vertical="center"/>
    </xf>
    <xf numFmtId="0" fontId="1" fillId="1716" borderId="0" xfId="4" applyFill="1" applyAlignment="1">
      <alignment horizontal="center" vertical="center"/>
    </xf>
    <xf numFmtId="0" fontId="1" fillId="1717" borderId="0" xfId="4" applyFill="1" applyAlignment="1">
      <alignment horizontal="center" vertical="center"/>
    </xf>
    <xf numFmtId="0" fontId="1" fillId="1718" borderId="0" xfId="4" applyFill="1" applyAlignment="1">
      <alignment horizontal="center" vertical="center"/>
    </xf>
    <xf numFmtId="0" fontId="1" fillId="1719" borderId="0" xfId="4" applyFill="1" applyAlignment="1">
      <alignment horizontal="center" vertical="center"/>
    </xf>
    <xf numFmtId="0" fontId="1" fillId="1720" borderId="0" xfId="4" applyFill="1" applyAlignment="1">
      <alignment horizontal="center" vertical="center"/>
    </xf>
    <xf numFmtId="0" fontId="1" fillId="1721" borderId="0" xfId="4" applyFill="1" applyAlignment="1">
      <alignment horizontal="center" vertical="center"/>
    </xf>
    <xf numFmtId="0" fontId="1" fillId="1722" borderId="0" xfId="4" applyFill="1" applyAlignment="1">
      <alignment horizontal="center" vertical="center"/>
    </xf>
    <xf numFmtId="0" fontId="1" fillId="1723" borderId="0" xfId="4" applyFill="1" applyAlignment="1">
      <alignment horizontal="center" vertical="center"/>
    </xf>
    <xf numFmtId="0" fontId="1" fillId="1724" borderId="0" xfId="4" applyFill="1" applyAlignment="1">
      <alignment horizontal="center" vertical="center"/>
    </xf>
    <xf numFmtId="0" fontId="1" fillId="1725" borderId="0" xfId="4" applyFill="1" applyAlignment="1">
      <alignment horizontal="center" vertical="center"/>
    </xf>
    <xf numFmtId="0" fontId="1" fillId="1726" borderId="0" xfId="4" applyFill="1" applyAlignment="1">
      <alignment horizontal="center" vertical="center"/>
    </xf>
    <xf numFmtId="0" fontId="1" fillId="1727" borderId="0" xfId="4" applyFill="1" applyAlignment="1">
      <alignment horizontal="center" vertical="center"/>
    </xf>
    <xf numFmtId="0" fontId="1" fillId="1728" borderId="0" xfId="4" applyFill="1" applyAlignment="1">
      <alignment horizontal="center" vertical="center"/>
    </xf>
    <xf numFmtId="0" fontId="1" fillId="1729" borderId="0" xfId="4" applyFill="1" applyAlignment="1">
      <alignment horizontal="center" vertical="center"/>
    </xf>
    <xf numFmtId="0" fontId="1" fillId="1280" borderId="0" xfId="4" applyFill="1" applyAlignment="1">
      <alignment horizontal="center" vertical="center"/>
    </xf>
    <xf numFmtId="0" fontId="1" fillId="1730" borderId="0" xfId="4" applyFill="1" applyAlignment="1">
      <alignment horizontal="center" vertical="center"/>
    </xf>
    <xf numFmtId="0" fontId="1" fillId="1731" borderId="0" xfId="4" applyFill="1" applyAlignment="1">
      <alignment horizontal="left" vertical="center"/>
    </xf>
    <xf numFmtId="0" fontId="1" fillId="1732" borderId="0" xfId="4" applyFill="1" applyAlignment="1">
      <alignment horizontal="center" vertical="center"/>
    </xf>
    <xf numFmtId="0" fontId="1" fillId="1733" borderId="0" xfId="4" applyFill="1" applyAlignment="1">
      <alignment horizontal="center" vertical="center"/>
    </xf>
    <xf numFmtId="0" fontId="1" fillId="1734" borderId="0" xfId="4" applyFill="1" applyAlignment="1">
      <alignment horizontal="center" vertical="center"/>
    </xf>
    <xf numFmtId="0" fontId="1" fillId="1735" borderId="0" xfId="4" applyFill="1" applyAlignment="1">
      <alignment horizontal="center" vertical="center"/>
    </xf>
    <xf numFmtId="0" fontId="1" fillId="1736" borderId="0" xfId="4" applyFill="1" applyAlignment="1">
      <alignment horizontal="center" vertical="center"/>
    </xf>
    <xf numFmtId="0" fontId="1" fillId="1737" borderId="0" xfId="4" applyFill="1" applyAlignment="1">
      <alignment horizontal="center" vertical="center"/>
    </xf>
    <xf numFmtId="0" fontId="1" fillId="1738" borderId="0" xfId="4" applyFill="1" applyAlignment="1">
      <alignment horizontal="center" vertical="center"/>
    </xf>
    <xf numFmtId="0" fontId="1" fillId="1739" borderId="0" xfId="4" applyFill="1" applyAlignment="1">
      <alignment horizontal="center" vertical="center"/>
    </xf>
    <xf numFmtId="0" fontId="1" fillId="1740" borderId="0" xfId="4" applyFill="1" applyAlignment="1">
      <alignment horizontal="center" vertical="center"/>
    </xf>
    <xf numFmtId="0" fontId="1" fillId="1741" borderId="0" xfId="4" applyFill="1" applyAlignment="1">
      <alignment horizontal="center" vertical="center"/>
    </xf>
    <xf numFmtId="0" fontId="1" fillId="1742" borderId="0" xfId="4" applyFill="1" applyAlignment="1">
      <alignment horizontal="center" vertical="center"/>
    </xf>
    <xf numFmtId="0" fontId="1" fillId="1743" borderId="0" xfId="4" applyFill="1" applyAlignment="1">
      <alignment horizontal="center" vertical="center"/>
    </xf>
    <xf numFmtId="0" fontId="1" fillId="1744" borderId="0" xfId="4" applyFill="1" applyAlignment="1">
      <alignment horizontal="center" vertical="center"/>
    </xf>
    <xf numFmtId="0" fontId="1" fillId="1745" borderId="0" xfId="4" applyFill="1" applyAlignment="1">
      <alignment horizontal="center" vertical="center"/>
    </xf>
    <xf numFmtId="0" fontId="1" fillId="1746" borderId="0" xfId="4" applyFill="1" applyAlignment="1">
      <alignment horizontal="center" vertical="center"/>
    </xf>
    <xf numFmtId="0" fontId="1" fillId="1747" borderId="0" xfId="4" applyFill="1" applyAlignment="1">
      <alignment horizontal="center" vertical="center"/>
    </xf>
    <xf numFmtId="0" fontId="1" fillId="1748" borderId="0" xfId="4" applyFill="1" applyAlignment="1">
      <alignment horizontal="center" vertical="center"/>
    </xf>
    <xf numFmtId="0" fontId="1" fillId="1749" borderId="0" xfId="4" applyFill="1" applyAlignment="1">
      <alignment horizontal="center" vertical="center"/>
    </xf>
    <xf numFmtId="0" fontId="1" fillId="1750" borderId="0" xfId="4" applyFill="1" applyAlignment="1">
      <alignment horizontal="center" vertical="center"/>
    </xf>
    <xf numFmtId="0" fontId="1" fillId="1751" borderId="0" xfId="4" applyFill="1" applyAlignment="1">
      <alignment horizontal="center" vertical="center"/>
    </xf>
    <xf numFmtId="0" fontId="1" fillId="1752" borderId="0" xfId="4" applyFill="1" applyAlignment="1">
      <alignment horizontal="center" vertical="center"/>
    </xf>
    <xf numFmtId="0" fontId="1" fillId="1753" borderId="0" xfId="4" applyFill="1" applyAlignment="1">
      <alignment horizontal="center" vertical="center"/>
    </xf>
    <xf numFmtId="0" fontId="1" fillId="1754" borderId="0" xfId="4" applyFill="1" applyAlignment="1">
      <alignment horizontal="center" vertical="center"/>
    </xf>
    <xf numFmtId="0" fontId="1" fillId="1755" borderId="0" xfId="4" applyFill="1" applyAlignment="1">
      <alignment horizontal="center" vertical="center"/>
    </xf>
    <xf numFmtId="0" fontId="1" fillId="1756" borderId="0" xfId="4" applyFill="1" applyAlignment="1">
      <alignment horizontal="center" vertical="center"/>
    </xf>
    <xf numFmtId="0" fontId="1" fillId="1757" borderId="0" xfId="4" applyFill="1" applyAlignment="1">
      <alignment horizontal="center" vertical="center"/>
    </xf>
    <xf numFmtId="0" fontId="1" fillId="380" borderId="0" xfId="4" applyFill="1" applyAlignment="1">
      <alignment horizontal="center" vertical="center"/>
    </xf>
    <xf numFmtId="0" fontId="1" fillId="1758" borderId="0" xfId="4" applyFill="1" applyAlignment="1">
      <alignment horizontal="center" vertical="center"/>
    </xf>
    <xf numFmtId="0" fontId="1" fillId="1759" borderId="0" xfId="4" applyFill="1" applyAlignment="1">
      <alignment horizontal="center" vertical="center"/>
    </xf>
    <xf numFmtId="0" fontId="1" fillId="1760" borderId="0" xfId="4" applyFill="1" applyAlignment="1">
      <alignment horizontal="center" vertical="center"/>
    </xf>
    <xf numFmtId="0" fontId="1" fillId="1761" borderId="0" xfId="4" applyFill="1" applyAlignment="1">
      <alignment horizontal="center" vertical="center"/>
    </xf>
    <xf numFmtId="0" fontId="1" fillId="379" borderId="0" xfId="4" applyFill="1" applyAlignment="1">
      <alignment horizontal="center" vertical="center"/>
    </xf>
    <xf numFmtId="0" fontId="1" fillId="1762" borderId="0" xfId="4" applyFill="1" applyAlignment="1">
      <alignment horizontal="center" vertical="center"/>
    </xf>
    <xf numFmtId="0" fontId="1" fillId="1763" borderId="0" xfId="4" applyFill="1" applyAlignment="1">
      <alignment horizontal="center" vertical="center"/>
    </xf>
    <xf numFmtId="0" fontId="1" fillId="1764" borderId="0" xfId="4" applyFill="1" applyAlignment="1">
      <alignment horizontal="center" vertical="center"/>
    </xf>
    <xf numFmtId="0" fontId="1" fillId="346" borderId="0" xfId="4" applyFill="1" applyAlignment="1">
      <alignment horizontal="center" vertical="center"/>
    </xf>
    <xf numFmtId="0" fontId="1" fillId="1765" borderId="0" xfId="4" applyFill="1" applyAlignment="1">
      <alignment horizontal="center" vertical="center"/>
    </xf>
    <xf numFmtId="0" fontId="1" fillId="1766" borderId="0" xfId="4" applyFill="1" applyAlignment="1">
      <alignment horizontal="center" vertical="center"/>
    </xf>
    <xf numFmtId="0" fontId="1" fillId="1767" borderId="0" xfId="4" applyFill="1" applyAlignment="1">
      <alignment horizontal="center" vertical="center"/>
    </xf>
    <xf numFmtId="0" fontId="1" fillId="1768" borderId="0" xfId="4" applyFill="1" applyAlignment="1">
      <alignment horizontal="center" vertical="center"/>
    </xf>
    <xf numFmtId="0" fontId="1" fillId="1769" borderId="0" xfId="4" applyFill="1" applyAlignment="1">
      <alignment horizontal="center" vertical="center"/>
    </xf>
    <xf numFmtId="0" fontId="1" fillId="1770" borderId="0" xfId="4" applyFill="1" applyAlignment="1">
      <alignment horizontal="center" vertical="center"/>
    </xf>
    <xf numFmtId="0" fontId="1" fillId="1771" borderId="0" xfId="4" applyFill="1" applyAlignment="1">
      <alignment horizontal="center" vertical="center"/>
    </xf>
    <xf numFmtId="0" fontId="1" fillId="1772" borderId="0" xfId="4" applyFill="1" applyAlignment="1">
      <alignment horizontal="center" vertical="center"/>
    </xf>
    <xf numFmtId="0" fontId="1" fillId="1773" borderId="0" xfId="4" applyFill="1" applyAlignment="1">
      <alignment horizontal="center" vertical="center"/>
    </xf>
    <xf numFmtId="0" fontId="1" fillId="1774" borderId="0" xfId="4" applyFill="1" applyAlignment="1">
      <alignment horizontal="center" vertical="center"/>
    </xf>
    <xf numFmtId="0" fontId="1" fillId="1775" borderId="0" xfId="4" applyFill="1" applyAlignment="1">
      <alignment horizontal="center" vertical="center"/>
    </xf>
    <xf numFmtId="0" fontId="1" fillId="1776" borderId="0" xfId="4" applyFill="1" applyAlignment="1">
      <alignment horizontal="center" vertical="center"/>
    </xf>
    <xf numFmtId="0" fontId="1" fillId="1777" borderId="0" xfId="4" applyFill="1" applyAlignment="1">
      <alignment horizontal="center" vertical="center"/>
    </xf>
    <xf numFmtId="0" fontId="1" fillId="1778" borderId="0" xfId="4" applyFill="1" applyAlignment="1">
      <alignment horizontal="center" vertical="center"/>
    </xf>
    <xf numFmtId="0" fontId="1" fillId="1779" borderId="0" xfId="4" applyFill="1" applyAlignment="1">
      <alignment horizontal="center" vertical="center"/>
    </xf>
    <xf numFmtId="0" fontId="1" fillId="1780" borderId="0" xfId="4" applyFill="1" applyAlignment="1">
      <alignment horizontal="center" vertical="center"/>
    </xf>
    <xf numFmtId="0" fontId="1" fillId="1781" borderId="0" xfId="4" applyFill="1" applyAlignment="1">
      <alignment horizontal="center" vertical="center"/>
    </xf>
    <xf numFmtId="0" fontId="1" fillId="1782" borderId="0" xfId="4" applyFill="1" applyAlignment="1">
      <alignment horizontal="left" vertical="center"/>
    </xf>
    <xf numFmtId="0" fontId="1" fillId="1783" borderId="0" xfId="4" applyFill="1" applyAlignment="1">
      <alignment horizontal="center" vertical="center"/>
    </xf>
    <xf numFmtId="0" fontId="1" fillId="1784" borderId="0" xfId="4" applyFill="1" applyAlignment="1">
      <alignment horizontal="center" vertical="center"/>
    </xf>
    <xf numFmtId="0" fontId="1" fillId="1785" borderId="0" xfId="4" applyFill="1" applyAlignment="1">
      <alignment horizontal="center" vertical="center"/>
    </xf>
    <xf numFmtId="0" fontId="1" fillId="1786" borderId="0" xfId="4" applyFill="1" applyAlignment="1">
      <alignment horizontal="center" vertical="center"/>
    </xf>
    <xf numFmtId="0" fontId="1" fillId="1787" borderId="0" xfId="4" applyFill="1" applyAlignment="1">
      <alignment horizontal="center" vertical="center"/>
    </xf>
    <xf numFmtId="0" fontId="1" fillId="1788" borderId="0" xfId="4" applyFill="1" applyAlignment="1">
      <alignment horizontal="center" vertical="center"/>
    </xf>
    <xf numFmtId="0" fontId="1" fillId="1789" borderId="0" xfId="4" applyFill="1" applyAlignment="1">
      <alignment horizontal="center" vertical="center"/>
    </xf>
    <xf numFmtId="0" fontId="1" fillId="1790" borderId="0" xfId="4" applyFill="1" applyAlignment="1">
      <alignment horizontal="center" vertical="center"/>
    </xf>
    <xf numFmtId="0" fontId="1" fillId="1791" borderId="0" xfId="4" applyFill="1" applyAlignment="1">
      <alignment horizontal="center" vertical="center"/>
    </xf>
    <xf numFmtId="0" fontId="1" fillId="1792" borderId="0" xfId="4" applyFill="1" applyAlignment="1">
      <alignment horizontal="center" vertical="center"/>
    </xf>
    <xf numFmtId="0" fontId="1" fillId="1793" borderId="0" xfId="4" applyFill="1" applyAlignment="1">
      <alignment horizontal="center" vertical="center"/>
    </xf>
    <xf numFmtId="0" fontId="1" fillId="1794" borderId="0" xfId="4" applyFill="1" applyAlignment="1">
      <alignment horizontal="center" vertical="center"/>
    </xf>
    <xf numFmtId="0" fontId="1" fillId="1795" borderId="0" xfId="4" applyFill="1" applyAlignment="1">
      <alignment horizontal="center" vertical="center"/>
    </xf>
    <xf numFmtId="0" fontId="1" fillId="1796" borderId="0" xfId="4" applyFill="1" applyAlignment="1">
      <alignment horizontal="center" vertical="center"/>
    </xf>
    <xf numFmtId="0" fontId="1" fillId="1797" borderId="0" xfId="4" applyFill="1" applyAlignment="1">
      <alignment horizontal="center" vertical="center"/>
    </xf>
    <xf numFmtId="0" fontId="1" fillId="1798" borderId="0" xfId="4" applyFill="1" applyAlignment="1">
      <alignment horizontal="center" vertical="center"/>
    </xf>
    <xf numFmtId="0" fontId="1" fillId="1799" borderId="0" xfId="4" applyFill="1" applyAlignment="1">
      <alignment horizontal="center" vertical="center"/>
    </xf>
    <xf numFmtId="0" fontId="1" fillId="1800" borderId="0" xfId="4" applyFill="1" applyAlignment="1">
      <alignment horizontal="center" vertical="center"/>
    </xf>
    <xf numFmtId="0" fontId="1" fillId="1801" borderId="0" xfId="4" applyFill="1" applyAlignment="1">
      <alignment horizontal="center" vertical="center"/>
    </xf>
    <xf numFmtId="0" fontId="1" fillId="1802" borderId="0" xfId="4" applyFill="1" applyAlignment="1">
      <alignment horizontal="center" vertical="center"/>
    </xf>
    <xf numFmtId="0" fontId="1" fillId="1803" borderId="0" xfId="4" applyFill="1" applyAlignment="1">
      <alignment horizontal="center" vertical="center"/>
    </xf>
    <xf numFmtId="0" fontId="1" fillId="1804" borderId="0" xfId="4" applyFill="1" applyAlignment="1">
      <alignment horizontal="center" vertical="center"/>
    </xf>
    <xf numFmtId="0" fontId="1" fillId="1805" borderId="0" xfId="4" applyFill="1" applyAlignment="1">
      <alignment horizontal="left" vertical="center"/>
    </xf>
    <xf numFmtId="0" fontId="1" fillId="1806" borderId="0" xfId="4" applyFill="1" applyAlignment="1">
      <alignment horizontal="center" vertical="center"/>
    </xf>
    <xf numFmtId="0" fontId="1" fillId="1807" borderId="0" xfId="4" applyFill="1" applyAlignment="1">
      <alignment horizontal="center" vertical="center"/>
    </xf>
    <xf numFmtId="0" fontId="1" fillId="1808" borderId="0" xfId="4" applyFill="1" applyAlignment="1">
      <alignment horizontal="center" vertical="center"/>
    </xf>
    <xf numFmtId="0" fontId="1" fillId="1809" borderId="0" xfId="4" applyFill="1" applyAlignment="1">
      <alignment horizontal="center" vertical="center"/>
    </xf>
    <xf numFmtId="0" fontId="1" fillId="1810" borderId="0" xfId="4" applyFill="1" applyAlignment="1">
      <alignment horizontal="center" vertical="center"/>
    </xf>
    <xf numFmtId="0" fontId="1" fillId="1811" borderId="0" xfId="4" applyFill="1" applyAlignment="1">
      <alignment horizontal="center" vertical="center"/>
    </xf>
    <xf numFmtId="0" fontId="1" fillId="1812" borderId="0" xfId="4" applyFill="1" applyAlignment="1">
      <alignment horizontal="center" vertical="center"/>
    </xf>
    <xf numFmtId="0" fontId="1" fillId="1813" borderId="0" xfId="4" applyFill="1" applyAlignment="1">
      <alignment horizontal="center" vertical="center"/>
    </xf>
    <xf numFmtId="0" fontId="1" fillId="1814" borderId="0" xfId="4" applyFill="1" applyAlignment="1">
      <alignment horizontal="center" vertical="center"/>
    </xf>
    <xf numFmtId="0" fontId="1" fillId="1815" borderId="0" xfId="4" applyFill="1" applyAlignment="1">
      <alignment horizontal="center" vertical="center"/>
    </xf>
    <xf numFmtId="0" fontId="1" fillId="1816" borderId="0" xfId="4" applyFill="1" applyAlignment="1">
      <alignment horizontal="center" vertical="center"/>
    </xf>
    <xf numFmtId="0" fontId="1" fillId="1817" borderId="0" xfId="4" applyFill="1" applyAlignment="1">
      <alignment horizontal="center" vertical="center"/>
    </xf>
    <xf numFmtId="0" fontId="1" fillId="1818" borderId="0" xfId="4" applyFill="1" applyAlignment="1">
      <alignment horizontal="center" vertical="center"/>
    </xf>
    <xf numFmtId="0" fontId="1" fillId="1819" borderId="0" xfId="4" applyFill="1" applyAlignment="1">
      <alignment horizontal="center" vertical="center"/>
    </xf>
    <xf numFmtId="0" fontId="1" fillId="1820" borderId="0" xfId="4" applyFill="1" applyAlignment="1">
      <alignment horizontal="center" vertical="center"/>
    </xf>
    <xf numFmtId="0" fontId="1" fillId="1821" borderId="0" xfId="4" applyFill="1" applyAlignment="1">
      <alignment horizontal="center" vertical="center"/>
    </xf>
    <xf numFmtId="0" fontId="1" fillId="1822" borderId="0" xfId="4" applyFill="1" applyAlignment="1">
      <alignment horizontal="center" vertical="center"/>
    </xf>
    <xf numFmtId="0" fontId="1" fillId="1823" borderId="0" xfId="4" applyFill="1" applyAlignment="1">
      <alignment horizontal="center" vertical="center"/>
    </xf>
    <xf numFmtId="0" fontId="1" fillId="1824" borderId="0" xfId="4" applyFill="1" applyAlignment="1">
      <alignment horizontal="center" vertical="center"/>
    </xf>
    <xf numFmtId="0" fontId="1" fillId="1825" borderId="0" xfId="4" applyFill="1" applyAlignment="1">
      <alignment horizontal="center" vertical="center"/>
    </xf>
    <xf numFmtId="0" fontId="1" fillId="1826" borderId="0" xfId="4" applyFill="1" applyAlignment="1">
      <alignment horizontal="center" vertical="center"/>
    </xf>
    <xf numFmtId="0" fontId="1" fillId="1827" borderId="0" xfId="4" applyFill="1" applyAlignment="1">
      <alignment horizontal="center" vertical="center"/>
    </xf>
    <xf numFmtId="0" fontId="1" fillId="1828" borderId="0" xfId="4" applyFill="1" applyAlignment="1">
      <alignment horizontal="center" vertical="center"/>
    </xf>
    <xf numFmtId="0" fontId="1" fillId="1829" borderId="0" xfId="4" applyFill="1" applyAlignment="1">
      <alignment horizontal="center" vertical="center"/>
    </xf>
    <xf numFmtId="0" fontId="1" fillId="1830" borderId="0" xfId="4" applyFill="1" applyAlignment="1">
      <alignment horizontal="center" vertical="center"/>
    </xf>
    <xf numFmtId="0" fontId="1" fillId="1831" borderId="0" xfId="4" applyFill="1" applyAlignment="1">
      <alignment horizontal="center" vertical="center"/>
    </xf>
    <xf numFmtId="0" fontId="1" fillId="1832" borderId="0" xfId="4" applyFill="1" applyAlignment="1">
      <alignment horizontal="center" vertical="center"/>
    </xf>
    <xf numFmtId="0" fontId="1" fillId="1833" borderId="0" xfId="4" applyFill="1" applyAlignment="1">
      <alignment horizontal="center" vertical="center"/>
    </xf>
    <xf numFmtId="0" fontId="1" fillId="1834" borderId="0" xfId="4" applyFill="1" applyAlignment="1">
      <alignment horizontal="center" vertical="center"/>
    </xf>
    <xf numFmtId="0" fontId="1" fillId="1835" borderId="0" xfId="4" applyFill="1" applyAlignment="1">
      <alignment horizontal="center" vertical="center"/>
    </xf>
    <xf numFmtId="0" fontId="1" fillId="1836" borderId="0" xfId="4" applyFill="1" applyAlignment="1">
      <alignment horizontal="center" vertical="center"/>
    </xf>
    <xf numFmtId="0" fontId="1" fillId="1837" borderId="0" xfId="4" applyFill="1" applyAlignment="1">
      <alignment horizontal="center" vertical="center"/>
    </xf>
    <xf numFmtId="0" fontId="1" fillId="1838" borderId="0" xfId="4" applyFill="1" applyAlignment="1">
      <alignment horizontal="center" vertical="center"/>
    </xf>
    <xf numFmtId="0" fontId="1" fillId="1839" borderId="0" xfId="4" applyFill="1" applyAlignment="1">
      <alignment horizontal="center" vertical="center"/>
    </xf>
    <xf numFmtId="0" fontId="1" fillId="1840" borderId="0" xfId="4" applyFill="1" applyAlignment="1">
      <alignment horizontal="center" vertical="center"/>
    </xf>
    <xf numFmtId="0" fontId="1" fillId="1841" borderId="0" xfId="4" applyFill="1" applyAlignment="1">
      <alignment horizontal="center" vertical="center"/>
    </xf>
    <xf numFmtId="0" fontId="1" fillId="1842" borderId="0" xfId="4" applyFill="1" applyAlignment="1">
      <alignment horizontal="center" vertical="center"/>
    </xf>
    <xf numFmtId="0" fontId="1" fillId="86" borderId="0" xfId="4" applyFill="1" applyAlignment="1">
      <alignment horizontal="center" vertical="center"/>
    </xf>
    <xf numFmtId="0" fontId="1" fillId="1843" borderId="0" xfId="4" applyFill="1" applyAlignment="1">
      <alignment horizontal="center" vertical="center"/>
    </xf>
    <xf numFmtId="0" fontId="1" fillId="1844" borderId="0" xfId="4" applyFill="1" applyAlignment="1">
      <alignment horizontal="center" vertical="center"/>
    </xf>
    <xf numFmtId="0" fontId="1" fillId="1845" borderId="0" xfId="4" applyFill="1" applyAlignment="1">
      <alignment horizontal="center" vertical="center"/>
    </xf>
    <xf numFmtId="0" fontId="1" fillId="154" borderId="0" xfId="4" applyFill="1" applyAlignment="1">
      <alignment horizontal="center" vertical="center"/>
    </xf>
    <xf numFmtId="0" fontId="1" fillId="1846" borderId="0" xfId="4" applyFill="1" applyAlignment="1">
      <alignment horizontal="center" vertical="center"/>
    </xf>
    <xf numFmtId="0" fontId="1" fillId="1847" borderId="0" xfId="4" applyFill="1" applyAlignment="1">
      <alignment horizontal="center" vertical="center"/>
    </xf>
    <xf numFmtId="0" fontId="1" fillId="1848" borderId="0" xfId="4" applyFill="1" applyAlignment="1">
      <alignment horizontal="center" vertical="center"/>
    </xf>
    <xf numFmtId="0" fontId="1" fillId="1849" borderId="0" xfId="4" applyFill="1" applyAlignment="1">
      <alignment horizontal="center" vertical="center"/>
    </xf>
    <xf numFmtId="0" fontId="1" fillId="1850" borderId="0" xfId="4" applyFill="1" applyAlignment="1">
      <alignment horizontal="center" vertical="center"/>
    </xf>
    <xf numFmtId="0" fontId="1" fillId="1851" borderId="0" xfId="4" applyFill="1" applyAlignment="1">
      <alignment horizontal="center" vertical="center"/>
    </xf>
    <xf numFmtId="0" fontId="1" fillId="1852" borderId="0" xfId="4" applyFill="1" applyAlignment="1">
      <alignment horizontal="center" vertical="center"/>
    </xf>
    <xf numFmtId="0" fontId="1" fillId="1853" borderId="0" xfId="4" applyFill="1" applyAlignment="1">
      <alignment horizontal="center" vertical="center"/>
    </xf>
    <xf numFmtId="0" fontId="1" fillId="1854" borderId="0" xfId="4" applyFill="1" applyAlignment="1">
      <alignment horizontal="center" vertical="center"/>
    </xf>
    <xf numFmtId="0" fontId="1" fillId="1855" borderId="0" xfId="4" applyFill="1" applyAlignment="1">
      <alignment horizontal="center" vertical="center"/>
    </xf>
    <xf numFmtId="0" fontId="1" fillId="1856" borderId="0" xfId="4" applyFill="1" applyAlignment="1">
      <alignment horizontal="center" vertical="center"/>
    </xf>
    <xf numFmtId="0" fontId="1" fillId="1857" borderId="0" xfId="4" applyFill="1" applyAlignment="1">
      <alignment horizontal="center" vertical="center"/>
    </xf>
    <xf numFmtId="0" fontId="1" fillId="1858" borderId="0" xfId="4" applyFill="1" applyAlignment="1">
      <alignment horizontal="center" vertical="center"/>
    </xf>
    <xf numFmtId="0" fontId="1" fillId="1859" borderId="0" xfId="4" applyFill="1" applyAlignment="1">
      <alignment horizontal="center" vertical="center"/>
    </xf>
    <xf numFmtId="0" fontId="1" fillId="1860" borderId="0" xfId="4" applyFill="1" applyAlignment="1">
      <alignment horizontal="left" vertical="center"/>
    </xf>
    <xf numFmtId="0" fontId="1" fillId="1861" borderId="0" xfId="4" applyFill="1" applyAlignment="1">
      <alignment horizontal="center" vertical="center"/>
    </xf>
    <xf numFmtId="0" fontId="1" fillId="1862" borderId="0" xfId="4" applyFill="1" applyAlignment="1">
      <alignment horizontal="center" vertical="center"/>
    </xf>
    <xf numFmtId="0" fontId="1" fillId="1863" borderId="0" xfId="4" applyFill="1" applyAlignment="1">
      <alignment horizontal="center" vertical="center"/>
    </xf>
    <xf numFmtId="0" fontId="1" fillId="1864" borderId="0" xfId="4" applyFill="1" applyAlignment="1">
      <alignment horizontal="center" vertical="center"/>
    </xf>
    <xf numFmtId="0" fontId="1" fillId="1865" borderId="0" xfId="4" applyFill="1" applyAlignment="1">
      <alignment horizontal="center" vertical="center"/>
    </xf>
    <xf numFmtId="0" fontId="1" fillId="1866" borderId="0" xfId="4" applyFill="1" applyAlignment="1">
      <alignment horizontal="center" vertical="center"/>
    </xf>
    <xf numFmtId="0" fontId="1" fillId="1867" borderId="0" xfId="4" applyFill="1" applyAlignment="1">
      <alignment horizontal="center" vertical="center"/>
    </xf>
    <xf numFmtId="0" fontId="1" fillId="1868" borderId="0" xfId="4" applyFill="1" applyAlignment="1">
      <alignment horizontal="center" vertical="center"/>
    </xf>
    <xf numFmtId="0" fontId="1" fillId="1869" borderId="0" xfId="4" applyFill="1" applyAlignment="1">
      <alignment horizontal="center" vertical="center"/>
    </xf>
    <xf numFmtId="0" fontId="1" fillId="1870" borderId="0" xfId="4" applyFill="1" applyAlignment="1">
      <alignment horizontal="center" vertical="center"/>
    </xf>
    <xf numFmtId="0" fontId="1" fillId="1871" borderId="0" xfId="4" applyFill="1" applyAlignment="1">
      <alignment horizontal="center" vertical="center"/>
    </xf>
    <xf numFmtId="0" fontId="1" fillId="1872" borderId="0" xfId="4" applyFill="1" applyAlignment="1">
      <alignment horizontal="center" vertical="center"/>
    </xf>
    <xf numFmtId="0" fontId="1" fillId="1873" borderId="0" xfId="4" applyFill="1" applyAlignment="1">
      <alignment horizontal="center" vertical="center"/>
    </xf>
    <xf numFmtId="0" fontId="1" fillId="1874" borderId="0" xfId="4" applyFill="1" applyAlignment="1">
      <alignment horizontal="center" vertical="center"/>
    </xf>
    <xf numFmtId="0" fontId="1" fillId="1875" borderId="0" xfId="4" applyFill="1" applyAlignment="1">
      <alignment horizontal="center" vertical="center"/>
    </xf>
    <xf numFmtId="0" fontId="1" fillId="1876" borderId="0" xfId="4" applyFill="1" applyAlignment="1">
      <alignment horizontal="center" vertical="center"/>
    </xf>
    <xf numFmtId="0" fontId="1" fillId="1877" borderId="0" xfId="4" applyFill="1" applyAlignment="1">
      <alignment horizontal="center" vertical="center"/>
    </xf>
    <xf numFmtId="0" fontId="1" fillId="1878" borderId="0" xfId="4" applyFill="1" applyAlignment="1">
      <alignment horizontal="center" vertical="center"/>
    </xf>
    <xf numFmtId="0" fontId="1" fillId="1879" borderId="0" xfId="4" applyFill="1" applyAlignment="1">
      <alignment horizontal="left" vertical="center"/>
    </xf>
    <xf numFmtId="0" fontId="1" fillId="1880" borderId="0" xfId="4" applyFill="1" applyAlignment="1">
      <alignment horizontal="center" vertical="center"/>
    </xf>
    <xf numFmtId="0" fontId="1" fillId="1881" borderId="0" xfId="4" applyFill="1" applyAlignment="1">
      <alignment horizontal="center" vertical="center"/>
    </xf>
    <xf numFmtId="0" fontId="1" fillId="1882" borderId="0" xfId="4" applyFill="1" applyAlignment="1">
      <alignment horizontal="center" vertical="center"/>
    </xf>
    <xf numFmtId="0" fontId="1" fillId="1883" borderId="0" xfId="4" applyFill="1" applyAlignment="1">
      <alignment horizontal="center" vertical="center"/>
    </xf>
    <xf numFmtId="0" fontId="1" fillId="1884" borderId="0" xfId="4" applyFill="1" applyAlignment="1">
      <alignment horizontal="center" vertical="center"/>
    </xf>
    <xf numFmtId="0" fontId="1" fillId="1885" borderId="0" xfId="4" applyFill="1" applyAlignment="1">
      <alignment horizontal="center" vertical="center"/>
    </xf>
    <xf numFmtId="0" fontId="1" fillId="1886" borderId="0" xfId="4" applyFill="1" applyAlignment="1">
      <alignment horizontal="center" vertical="center"/>
    </xf>
    <xf numFmtId="0" fontId="1" fillId="1887" borderId="0" xfId="4" applyFill="1" applyAlignment="1">
      <alignment horizontal="center" vertical="center"/>
    </xf>
    <xf numFmtId="0" fontId="1" fillId="1888" borderId="0" xfId="4" applyFill="1" applyAlignment="1">
      <alignment horizontal="center" vertical="center"/>
    </xf>
    <xf numFmtId="0" fontId="1" fillId="1889" borderId="0" xfId="4" applyFill="1" applyAlignment="1">
      <alignment horizontal="center" vertical="center"/>
    </xf>
    <xf numFmtId="0" fontId="1" fillId="1890" borderId="0" xfId="4" applyFill="1" applyAlignment="1">
      <alignment horizontal="center" vertical="center"/>
    </xf>
    <xf numFmtId="0" fontId="1" fillId="1891" borderId="0" xfId="4" applyFill="1" applyAlignment="1">
      <alignment horizontal="center" vertical="center"/>
    </xf>
    <xf numFmtId="0" fontId="1" fillId="1892" borderId="0" xfId="4" applyFill="1" applyAlignment="1">
      <alignment horizontal="center" vertical="center"/>
    </xf>
    <xf numFmtId="0" fontId="1" fillId="1893" borderId="0" xfId="4" applyFill="1" applyAlignment="1">
      <alignment horizontal="center" vertical="center"/>
    </xf>
    <xf numFmtId="0" fontId="1" fillId="1894" borderId="0" xfId="4" applyFill="1" applyAlignment="1">
      <alignment horizontal="center" vertical="center"/>
    </xf>
    <xf numFmtId="0" fontId="1" fillId="1895" borderId="0" xfId="4" applyFill="1" applyAlignment="1">
      <alignment horizontal="center" vertical="center"/>
    </xf>
    <xf numFmtId="0" fontId="1" fillId="1896" borderId="0" xfId="4" applyFill="1" applyAlignment="1">
      <alignment horizontal="center" vertical="center"/>
    </xf>
    <xf numFmtId="0" fontId="1" fillId="1897" borderId="0" xfId="4" applyFill="1" applyAlignment="1">
      <alignment horizontal="center" vertical="center"/>
    </xf>
    <xf numFmtId="0" fontId="1" fillId="1898" borderId="0" xfId="4" applyFill="1" applyAlignment="1">
      <alignment horizontal="center" vertical="center"/>
    </xf>
    <xf numFmtId="0" fontId="1" fillId="1899" borderId="0" xfId="4" applyFill="1" applyAlignment="1">
      <alignment horizontal="center" vertical="center"/>
    </xf>
    <xf numFmtId="0" fontId="1" fillId="1900" borderId="0" xfId="4" applyFill="1" applyAlignment="1">
      <alignment horizontal="center" vertical="center"/>
    </xf>
    <xf numFmtId="0" fontId="1" fillId="1901" borderId="0" xfId="4" applyFill="1" applyAlignment="1">
      <alignment horizontal="center" vertical="center"/>
    </xf>
    <xf numFmtId="0" fontId="1" fillId="1902" borderId="0" xfId="4" applyFill="1" applyAlignment="1">
      <alignment horizontal="center" vertical="center"/>
    </xf>
    <xf numFmtId="0" fontId="1" fillId="1903" borderId="0" xfId="4" applyFill="1" applyAlignment="1">
      <alignment horizontal="center" vertical="center"/>
    </xf>
    <xf numFmtId="0" fontId="1" fillId="1904" borderId="0" xfId="4" applyFill="1" applyAlignment="1">
      <alignment horizontal="center" vertical="center"/>
    </xf>
    <xf numFmtId="0" fontId="1" fillId="1905" borderId="0" xfId="4" applyFill="1" applyAlignment="1">
      <alignment horizontal="center" vertical="center"/>
    </xf>
    <xf numFmtId="0" fontId="1" fillId="1906" borderId="0" xfId="4" applyFill="1" applyAlignment="1">
      <alignment horizontal="center" vertical="center"/>
    </xf>
    <xf numFmtId="0" fontId="1" fillId="1907" borderId="0" xfId="4" applyFill="1" applyAlignment="1">
      <alignment horizontal="center" vertical="center"/>
    </xf>
    <xf numFmtId="0" fontId="1" fillId="1908" borderId="0" xfId="4" applyFill="1" applyAlignment="1">
      <alignment horizontal="center" vertical="center"/>
    </xf>
    <xf numFmtId="0" fontId="1" fillId="1909" borderId="0" xfId="4" applyFill="1" applyAlignment="1">
      <alignment horizontal="center" vertical="center"/>
    </xf>
    <xf numFmtId="0" fontId="1" fillId="1910" borderId="0" xfId="4" applyFill="1" applyAlignment="1">
      <alignment horizontal="center" vertical="center"/>
    </xf>
    <xf numFmtId="0" fontId="1" fillId="1911" borderId="0" xfId="4" applyFill="1" applyAlignment="1">
      <alignment horizontal="center" vertical="center"/>
    </xf>
    <xf numFmtId="0" fontId="1" fillId="277" borderId="0" xfId="4" applyFill="1" applyAlignment="1">
      <alignment horizontal="center" vertical="center"/>
    </xf>
    <xf numFmtId="0" fontId="1" fillId="1912" borderId="0" xfId="4" applyFill="1" applyAlignment="1">
      <alignment horizontal="center" vertical="center"/>
    </xf>
    <xf numFmtId="0" fontId="1" fillId="16" borderId="0" xfId="4" applyFill="1" applyAlignment="1">
      <alignment horizontal="center" vertical="center"/>
    </xf>
    <xf numFmtId="0" fontId="1" fillId="1913" borderId="0" xfId="4" applyFill="1" applyAlignment="1">
      <alignment horizontal="center" vertical="center"/>
    </xf>
    <xf numFmtId="0" fontId="1" fillId="1914" borderId="0" xfId="4" applyFill="1" applyAlignment="1">
      <alignment horizontal="center" vertical="center"/>
    </xf>
    <xf numFmtId="0" fontId="1" fillId="1915" borderId="0" xfId="4" applyFill="1" applyAlignment="1">
      <alignment horizontal="center" vertical="center"/>
    </xf>
    <xf numFmtId="0" fontId="1" fillId="1916" borderId="0" xfId="4" applyFill="1" applyAlignment="1">
      <alignment horizontal="center" vertical="center"/>
    </xf>
    <xf numFmtId="0" fontId="1" fillId="1917" borderId="0" xfId="4" applyFill="1" applyAlignment="1">
      <alignment horizontal="center" vertical="center"/>
    </xf>
    <xf numFmtId="0" fontId="1" fillId="219" borderId="0" xfId="4" applyFill="1" applyAlignment="1">
      <alignment horizontal="center" vertical="center"/>
    </xf>
    <xf numFmtId="0" fontId="1" fillId="1918" borderId="0" xfId="4" applyFill="1" applyAlignment="1">
      <alignment horizontal="center" vertical="center"/>
    </xf>
    <xf numFmtId="0" fontId="1" fillId="1919" borderId="0" xfId="4" applyFill="1" applyAlignment="1">
      <alignment horizontal="center" vertical="center"/>
    </xf>
    <xf numFmtId="0" fontId="1" fillId="1920" borderId="0" xfId="4" applyFill="1" applyAlignment="1">
      <alignment horizontal="center" vertical="center"/>
    </xf>
    <xf numFmtId="0" fontId="1" fillId="1921" borderId="0" xfId="4" applyFill="1" applyAlignment="1">
      <alignment horizontal="center" vertical="center"/>
    </xf>
    <xf numFmtId="0" fontId="1" fillId="1922" borderId="0" xfId="4" applyFill="1" applyAlignment="1">
      <alignment horizontal="center" vertical="center"/>
    </xf>
    <xf numFmtId="0" fontId="1" fillId="1923" borderId="0" xfId="4" applyFill="1" applyAlignment="1">
      <alignment horizontal="center" vertical="center"/>
    </xf>
    <xf numFmtId="0" fontId="1" fillId="1924" borderId="0" xfId="4" applyFill="1" applyAlignment="1">
      <alignment horizontal="center" vertical="center"/>
    </xf>
    <xf numFmtId="0" fontId="1" fillId="1925" borderId="0" xfId="4" applyFill="1" applyAlignment="1">
      <alignment horizontal="center" vertical="center"/>
    </xf>
    <xf numFmtId="0" fontId="1" fillId="1926" borderId="0" xfId="4" applyFill="1" applyAlignment="1">
      <alignment horizontal="center" vertical="center"/>
    </xf>
    <xf numFmtId="0" fontId="1" fillId="1927" borderId="0" xfId="4" applyFill="1" applyAlignment="1">
      <alignment horizontal="center" vertical="center"/>
    </xf>
    <xf numFmtId="0" fontId="1" fillId="1928" borderId="0" xfId="4" applyFill="1" applyAlignment="1">
      <alignment horizontal="center" vertical="center"/>
    </xf>
    <xf numFmtId="0" fontId="1" fillId="1929" borderId="0" xfId="4" applyFill="1" applyAlignment="1">
      <alignment horizontal="center" vertical="center"/>
    </xf>
    <xf numFmtId="0" fontId="1" fillId="1930" borderId="0" xfId="4" applyFill="1" applyAlignment="1">
      <alignment horizontal="center" vertical="center"/>
    </xf>
    <xf numFmtId="0" fontId="1" fillId="1931" borderId="0" xfId="4" applyFill="1" applyAlignment="1">
      <alignment horizontal="center" vertical="center"/>
    </xf>
    <xf numFmtId="0" fontId="1" fillId="1932" borderId="0" xfId="4" applyFill="1" applyAlignment="1">
      <alignment horizontal="center" vertical="center"/>
    </xf>
    <xf numFmtId="0" fontId="1" fillId="1933" borderId="0" xfId="4" applyFill="1" applyAlignment="1">
      <alignment horizontal="center" vertical="center"/>
    </xf>
    <xf numFmtId="0" fontId="1" fillId="1934" borderId="0" xfId="4" applyFill="1" applyAlignment="1">
      <alignment horizontal="left" vertical="center"/>
    </xf>
    <xf numFmtId="0" fontId="1" fillId="1935" borderId="0" xfId="4" applyFill="1" applyAlignment="1">
      <alignment horizontal="center" vertical="center"/>
    </xf>
    <xf numFmtId="0" fontId="1" fillId="1936" borderId="0" xfId="4" applyFill="1" applyAlignment="1">
      <alignment horizontal="center" vertical="center"/>
    </xf>
    <xf numFmtId="0" fontId="1" fillId="1937" borderId="0" xfId="4" applyFill="1" applyAlignment="1">
      <alignment horizontal="center" vertical="center"/>
    </xf>
    <xf numFmtId="0" fontId="1" fillId="1938" borderId="0" xfId="4" applyFill="1" applyAlignment="1">
      <alignment horizontal="center" vertical="center"/>
    </xf>
    <xf numFmtId="0" fontId="1" fillId="1939" borderId="0" xfId="4" applyFill="1" applyAlignment="1">
      <alignment horizontal="center" vertical="center"/>
    </xf>
    <xf numFmtId="0" fontId="1" fillId="1940" borderId="0" xfId="4" applyFill="1" applyAlignment="1">
      <alignment horizontal="center" vertical="center"/>
    </xf>
    <xf numFmtId="0" fontId="1" fillId="1941" borderId="0" xfId="4" applyFill="1" applyAlignment="1">
      <alignment horizontal="center" vertical="center"/>
    </xf>
    <xf numFmtId="0" fontId="1" fillId="1942" borderId="0" xfId="4" applyFill="1" applyAlignment="1">
      <alignment horizontal="center" vertical="center"/>
    </xf>
    <xf numFmtId="0" fontId="1" fillId="1943" borderId="0" xfId="4" applyFill="1" applyAlignment="1">
      <alignment horizontal="center" vertical="center"/>
    </xf>
    <xf numFmtId="0" fontId="1" fillId="1944" borderId="0" xfId="4" applyFill="1" applyAlignment="1">
      <alignment horizontal="center" vertical="center"/>
    </xf>
    <xf numFmtId="0" fontId="1" fillId="1945" borderId="0" xfId="4" applyFill="1" applyAlignment="1">
      <alignment horizontal="center" vertical="center"/>
    </xf>
    <xf numFmtId="0" fontId="1" fillId="1946" borderId="0" xfId="4" applyFill="1" applyAlignment="1">
      <alignment horizontal="center" vertical="center"/>
    </xf>
    <xf numFmtId="0" fontId="1" fillId="1947" borderId="0" xfId="4" applyFill="1" applyAlignment="1">
      <alignment horizontal="center" vertical="center"/>
    </xf>
    <xf numFmtId="0" fontId="1" fillId="1948" borderId="0" xfId="4" applyFill="1" applyAlignment="1">
      <alignment horizontal="center" vertical="center"/>
    </xf>
    <xf numFmtId="0" fontId="1" fillId="1949" borderId="0" xfId="4" applyFill="1" applyAlignment="1">
      <alignment horizontal="center" vertical="center"/>
    </xf>
    <xf numFmtId="0" fontId="1" fillId="1950" borderId="0" xfId="4" applyFill="1" applyAlignment="1">
      <alignment horizontal="center" vertical="center"/>
    </xf>
    <xf numFmtId="0" fontId="1" fillId="1951" borderId="0" xfId="4" applyFill="1" applyAlignment="1">
      <alignment horizontal="center" vertical="center"/>
    </xf>
    <xf numFmtId="0" fontId="1" fillId="1952" borderId="0" xfId="4" applyFill="1" applyAlignment="1">
      <alignment horizontal="center" vertical="center"/>
    </xf>
    <xf numFmtId="0" fontId="1" fillId="1953" borderId="0" xfId="4" applyFill="1" applyAlignment="1">
      <alignment horizontal="center" vertical="center"/>
    </xf>
    <xf numFmtId="0" fontId="1" fillId="1954" borderId="0" xfId="4" applyFill="1" applyAlignment="1">
      <alignment horizontal="center" vertical="center"/>
    </xf>
    <xf numFmtId="0" fontId="1" fillId="1955" borderId="0" xfId="4" applyFill="1" applyAlignment="1">
      <alignment horizontal="center" vertical="center"/>
    </xf>
    <xf numFmtId="0" fontId="1" fillId="1956" borderId="0" xfId="4" applyFill="1" applyAlignment="1">
      <alignment horizontal="left" vertical="center"/>
    </xf>
    <xf numFmtId="0" fontId="1" fillId="1957" borderId="0" xfId="4" applyFill="1" applyAlignment="1">
      <alignment horizontal="center" vertical="center"/>
    </xf>
    <xf numFmtId="0" fontId="1" fillId="1958" borderId="0" xfId="4" applyFill="1" applyAlignment="1">
      <alignment horizontal="center" vertical="center"/>
    </xf>
    <xf numFmtId="0" fontId="1" fillId="1959" borderId="0" xfId="4" applyFill="1" applyAlignment="1">
      <alignment horizontal="center" vertical="center"/>
    </xf>
    <xf numFmtId="0" fontId="1" fillId="1960" borderId="0" xfId="4" applyFill="1" applyAlignment="1">
      <alignment horizontal="center" vertical="center"/>
    </xf>
    <xf numFmtId="0" fontId="1" fillId="1961" borderId="0" xfId="4" applyFill="1" applyAlignment="1">
      <alignment horizontal="center" vertical="center"/>
    </xf>
    <xf numFmtId="0" fontId="1" fillId="1962" borderId="0" xfId="4" applyFill="1" applyAlignment="1">
      <alignment horizontal="center" vertical="center"/>
    </xf>
    <xf numFmtId="0" fontId="1" fillId="1963" borderId="0" xfId="4" applyFill="1" applyAlignment="1">
      <alignment horizontal="center" vertical="center"/>
    </xf>
    <xf numFmtId="0" fontId="1" fillId="1964" borderId="0" xfId="4" applyFill="1" applyAlignment="1">
      <alignment horizontal="center" vertical="center"/>
    </xf>
    <xf numFmtId="0" fontId="1" fillId="1965" borderId="0" xfId="4" applyFill="1" applyAlignment="1">
      <alignment horizontal="center" vertical="center"/>
    </xf>
    <xf numFmtId="0" fontId="1" fillId="1966" borderId="0" xfId="4" applyFill="1" applyAlignment="1">
      <alignment horizontal="center" vertical="center"/>
    </xf>
    <xf numFmtId="0" fontId="1" fillId="1967" borderId="0" xfId="4" applyFill="1" applyAlignment="1">
      <alignment horizontal="center" vertical="center"/>
    </xf>
    <xf numFmtId="0" fontId="1" fillId="1968" borderId="0" xfId="4" applyFill="1" applyAlignment="1">
      <alignment horizontal="center" vertical="center"/>
    </xf>
    <xf numFmtId="0" fontId="1" fillId="1969" borderId="0" xfId="4" applyFill="1" applyAlignment="1">
      <alignment horizontal="center" vertical="center"/>
    </xf>
    <xf numFmtId="0" fontId="1" fillId="1970" borderId="0" xfId="4" applyFill="1" applyAlignment="1">
      <alignment horizontal="center" vertical="center"/>
    </xf>
    <xf numFmtId="0" fontId="1" fillId="1971" borderId="0" xfId="4" applyFill="1" applyAlignment="1">
      <alignment horizontal="center" vertical="center"/>
    </xf>
    <xf numFmtId="0" fontId="1" fillId="1972" borderId="0" xfId="4" applyFill="1" applyAlignment="1">
      <alignment horizontal="center" vertical="center"/>
    </xf>
    <xf numFmtId="0" fontId="1" fillId="1973" borderId="0" xfId="4" applyFill="1" applyAlignment="1">
      <alignment horizontal="center" vertical="center"/>
    </xf>
    <xf numFmtId="0" fontId="1" fillId="1974" borderId="0" xfId="4" applyFill="1" applyAlignment="1">
      <alignment horizontal="center" vertical="center"/>
    </xf>
    <xf numFmtId="0" fontId="1" fillId="1975" borderId="0" xfId="4" applyFill="1" applyAlignment="1">
      <alignment horizontal="center" vertical="center"/>
    </xf>
    <xf numFmtId="0" fontId="1" fillId="1976" borderId="0" xfId="4" applyFill="1" applyAlignment="1">
      <alignment horizontal="center" vertical="center"/>
    </xf>
    <xf numFmtId="0" fontId="1" fillId="1977" borderId="0" xfId="4" applyFill="1" applyAlignment="1">
      <alignment horizontal="center" vertical="center"/>
    </xf>
    <xf numFmtId="0" fontId="1" fillId="1978" borderId="0" xfId="4" applyFill="1" applyAlignment="1">
      <alignment horizontal="center" vertical="center"/>
    </xf>
    <xf numFmtId="0" fontId="1" fillId="1979" borderId="0" xfId="4" applyFill="1" applyAlignment="1">
      <alignment horizontal="center" vertical="center"/>
    </xf>
    <xf numFmtId="0" fontId="1" fillId="1980" borderId="0" xfId="4" applyFill="1" applyAlignment="1">
      <alignment horizontal="center" vertical="center"/>
    </xf>
    <xf numFmtId="0" fontId="1" fillId="1981" borderId="0" xfId="4" applyFill="1" applyAlignment="1">
      <alignment horizontal="center" vertical="center"/>
    </xf>
    <xf numFmtId="0" fontId="1" fillId="1982" borderId="0" xfId="4" applyFill="1" applyAlignment="1">
      <alignment horizontal="center" vertical="center"/>
    </xf>
    <xf numFmtId="0" fontId="1" fillId="1983" borderId="0" xfId="4" applyFill="1" applyAlignment="1">
      <alignment horizontal="center" vertical="center"/>
    </xf>
    <xf numFmtId="0" fontId="1" fillId="1984" borderId="0" xfId="4" applyFill="1" applyAlignment="1">
      <alignment horizontal="center" vertical="center"/>
    </xf>
    <xf numFmtId="0" fontId="1" fillId="1985" borderId="0" xfId="4" applyFill="1" applyAlignment="1">
      <alignment horizontal="center" vertical="center"/>
    </xf>
    <xf numFmtId="0" fontId="1" fillId="1986" borderId="0" xfId="4" applyFill="1" applyAlignment="1">
      <alignment horizontal="center" vertical="center"/>
    </xf>
    <xf numFmtId="0" fontId="1" fillId="1987" borderId="0" xfId="4" applyFill="1" applyAlignment="1">
      <alignment horizontal="center" vertical="center"/>
    </xf>
    <xf numFmtId="0" fontId="1" fillId="1988" borderId="0" xfId="4" applyFill="1" applyAlignment="1">
      <alignment horizontal="center" vertical="center"/>
    </xf>
    <xf numFmtId="0" fontId="1" fillId="1989" borderId="0" xfId="4" applyFill="1" applyAlignment="1">
      <alignment horizontal="center" vertical="center"/>
    </xf>
    <xf numFmtId="0" fontId="1" fillId="1990" borderId="0" xfId="4" applyFill="1" applyAlignment="1">
      <alignment horizontal="center" vertical="center"/>
    </xf>
    <xf numFmtId="0" fontId="1" fillId="1991" borderId="0" xfId="4" applyFill="1" applyAlignment="1">
      <alignment horizontal="center" vertical="center"/>
    </xf>
    <xf numFmtId="0" fontId="1" fillId="1992" borderId="0" xfId="4" applyFill="1" applyAlignment="1">
      <alignment horizontal="center" vertical="center"/>
    </xf>
    <xf numFmtId="0" fontId="1" fillId="1993" borderId="0" xfId="4" applyFill="1" applyAlignment="1">
      <alignment horizontal="center" vertical="center"/>
    </xf>
    <xf numFmtId="0" fontId="1" fillId="1994" borderId="0" xfId="4" applyFill="1" applyAlignment="1">
      <alignment horizontal="center" vertical="center"/>
    </xf>
    <xf numFmtId="0" fontId="1" fillId="1995" borderId="0" xfId="4" applyFill="1" applyAlignment="1">
      <alignment horizontal="center" vertical="center"/>
    </xf>
    <xf numFmtId="0" fontId="1" fillId="1996" borderId="0" xfId="4" applyFill="1" applyAlignment="1">
      <alignment horizontal="center" vertical="center"/>
    </xf>
    <xf numFmtId="0" fontId="1" fillId="1997" borderId="0" xfId="4" applyFill="1" applyAlignment="1">
      <alignment horizontal="center" vertical="center"/>
    </xf>
    <xf numFmtId="0" fontId="1" fillId="1998" borderId="0" xfId="4" applyFill="1" applyAlignment="1">
      <alignment horizontal="center" vertical="center"/>
    </xf>
    <xf numFmtId="0" fontId="1" fillId="1999" borderId="0" xfId="4" applyFill="1" applyAlignment="1">
      <alignment horizontal="center" vertical="center"/>
    </xf>
    <xf numFmtId="0" fontId="1" fillId="2000" borderId="0" xfId="4" applyFill="1" applyAlignment="1">
      <alignment horizontal="center" vertical="center"/>
    </xf>
    <xf numFmtId="0" fontId="1" fillId="2001" borderId="0" xfId="4" applyFill="1" applyAlignment="1">
      <alignment horizontal="center" vertical="center"/>
    </xf>
    <xf numFmtId="0" fontId="1" fillId="2002" borderId="0" xfId="4" applyFill="1" applyAlignment="1">
      <alignment horizontal="center" vertical="center"/>
    </xf>
    <xf numFmtId="0" fontId="1" fillId="2003" borderId="0" xfId="4" applyFill="1" applyAlignment="1">
      <alignment horizontal="center" vertical="center"/>
    </xf>
    <xf numFmtId="0" fontId="1" fillId="2004" borderId="0" xfId="4" applyFill="1" applyAlignment="1">
      <alignment horizontal="center" vertical="center"/>
    </xf>
    <xf numFmtId="0" fontId="1" fillId="126" borderId="0" xfId="4" applyFill="1" applyAlignment="1">
      <alignment horizontal="center" vertical="center"/>
    </xf>
    <xf numFmtId="0" fontId="1" fillId="2005" borderId="0" xfId="4" applyFill="1" applyAlignment="1">
      <alignment horizontal="center" vertical="center"/>
    </xf>
    <xf numFmtId="0" fontId="1" fillId="127" borderId="0" xfId="4" applyFill="1" applyAlignment="1">
      <alignment horizontal="center" vertical="center"/>
    </xf>
    <xf numFmtId="0" fontId="1" fillId="2006" borderId="0" xfId="4" applyFill="1" applyAlignment="1">
      <alignment horizontal="center" vertical="center"/>
    </xf>
    <xf numFmtId="0" fontId="1" fillId="2007" borderId="0" xfId="4" applyFill="1" applyAlignment="1">
      <alignment horizontal="center" vertical="center"/>
    </xf>
    <xf numFmtId="0" fontId="1" fillId="2008" borderId="0" xfId="4" applyFill="1" applyAlignment="1">
      <alignment horizontal="center" vertical="center"/>
    </xf>
    <xf numFmtId="0" fontId="1" fillId="2009" borderId="0" xfId="4" applyFill="1" applyAlignment="1">
      <alignment horizontal="center" vertical="center"/>
    </xf>
    <xf numFmtId="0" fontId="1" fillId="2010" borderId="0" xfId="4" applyFill="1" applyAlignment="1">
      <alignment horizontal="center" vertical="center"/>
    </xf>
    <xf numFmtId="0" fontId="1" fillId="2011" borderId="0" xfId="4" applyFill="1" applyAlignment="1">
      <alignment horizontal="center" vertical="center"/>
    </xf>
    <xf numFmtId="0" fontId="1" fillId="2012" borderId="0" xfId="4" applyFill="1" applyAlignment="1">
      <alignment horizontal="center" vertical="center"/>
    </xf>
    <xf numFmtId="0" fontId="1" fillId="2013" borderId="0" xfId="4" applyFill="1" applyAlignment="1">
      <alignment horizontal="left" vertical="center"/>
    </xf>
    <xf numFmtId="0" fontId="1" fillId="2014" borderId="0" xfId="4" applyFill="1" applyAlignment="1">
      <alignment horizontal="center" vertical="center"/>
    </xf>
    <xf numFmtId="0" fontId="1" fillId="2015" borderId="0" xfId="4" applyFill="1" applyAlignment="1">
      <alignment horizontal="center" vertical="center"/>
    </xf>
    <xf numFmtId="0" fontId="1" fillId="2016" borderId="0" xfId="4" applyFill="1" applyAlignment="1">
      <alignment horizontal="center" vertical="center"/>
    </xf>
    <xf numFmtId="0" fontId="1" fillId="2017" borderId="0" xfId="4" applyFill="1" applyAlignment="1">
      <alignment horizontal="center" vertical="center"/>
    </xf>
    <xf numFmtId="0" fontId="1" fillId="2018" borderId="0" xfId="4" applyFill="1" applyAlignment="1">
      <alignment horizontal="center" vertical="center"/>
    </xf>
    <xf numFmtId="0" fontId="1" fillId="2019" borderId="0" xfId="4" applyFill="1" applyAlignment="1">
      <alignment horizontal="center" vertical="center"/>
    </xf>
    <xf numFmtId="0" fontId="1" fillId="2020" borderId="0" xfId="4" applyFill="1" applyAlignment="1">
      <alignment horizontal="center" vertical="center"/>
    </xf>
    <xf numFmtId="0" fontId="1" fillId="2021" borderId="0" xfId="4" applyFill="1" applyAlignment="1">
      <alignment horizontal="center" vertical="center"/>
    </xf>
    <xf numFmtId="0" fontId="1" fillId="2022" borderId="0" xfId="4" applyFill="1" applyAlignment="1">
      <alignment horizontal="center" vertical="center"/>
    </xf>
    <xf numFmtId="0" fontId="1" fillId="2023" borderId="0" xfId="4" applyFill="1" applyAlignment="1">
      <alignment horizontal="center" vertical="center"/>
    </xf>
    <xf numFmtId="0" fontId="1" fillId="2024" borderId="0" xfId="4" applyFill="1" applyAlignment="1">
      <alignment horizontal="center" vertical="center"/>
    </xf>
    <xf numFmtId="0" fontId="1" fillId="2025" borderId="0" xfId="4" applyFill="1" applyAlignment="1">
      <alignment horizontal="center" vertical="center"/>
    </xf>
    <xf numFmtId="0" fontId="1" fillId="2026" borderId="0" xfId="4" applyFill="1" applyAlignment="1">
      <alignment horizontal="center" vertical="center"/>
    </xf>
    <xf numFmtId="0" fontId="1" fillId="2027" borderId="0" xfId="4" applyFill="1" applyAlignment="1">
      <alignment horizontal="center" vertical="center"/>
    </xf>
    <xf numFmtId="0" fontId="1" fillId="2028" borderId="0" xfId="4" applyFill="1" applyAlignment="1">
      <alignment horizontal="center" vertical="center"/>
    </xf>
    <xf numFmtId="0" fontId="1" fillId="2029" borderId="0" xfId="4" applyFill="1" applyAlignment="1">
      <alignment horizontal="center" vertical="center"/>
    </xf>
    <xf numFmtId="0" fontId="1" fillId="2030" borderId="0" xfId="4" applyFill="1" applyAlignment="1">
      <alignment horizontal="center" vertical="center"/>
    </xf>
    <xf numFmtId="0" fontId="1" fillId="2031" borderId="0" xfId="4" applyFill="1" applyAlignment="1">
      <alignment horizontal="center" vertical="center"/>
    </xf>
    <xf numFmtId="0" fontId="1" fillId="2032" borderId="0" xfId="4" applyFill="1" applyAlignment="1">
      <alignment horizontal="center" vertical="center"/>
    </xf>
    <xf numFmtId="0" fontId="1" fillId="2033" borderId="0" xfId="4" applyFill="1" applyAlignment="1">
      <alignment horizontal="center" vertical="center"/>
    </xf>
    <xf numFmtId="0" fontId="1" fillId="2034" borderId="0" xfId="4" applyFill="1" applyAlignment="1">
      <alignment horizontal="center" vertical="center"/>
    </xf>
    <xf numFmtId="0" fontId="1" fillId="2035" borderId="0" xfId="4" applyFill="1" applyAlignment="1">
      <alignment horizontal="left" vertical="center"/>
    </xf>
    <xf numFmtId="0" fontId="1" fillId="2036" borderId="0" xfId="4" applyFill="1" applyAlignment="1">
      <alignment horizontal="center" vertical="center"/>
    </xf>
    <xf numFmtId="0" fontId="1" fillId="2037" borderId="0" xfId="4" applyFill="1" applyAlignment="1">
      <alignment horizontal="center" vertical="center"/>
    </xf>
    <xf numFmtId="0" fontId="1" fillId="2038" borderId="0" xfId="4" applyFill="1" applyAlignment="1">
      <alignment horizontal="center" vertical="center"/>
    </xf>
    <xf numFmtId="0" fontId="1" fillId="2039" borderId="0" xfId="4" applyFill="1" applyAlignment="1">
      <alignment horizontal="center" vertical="center"/>
    </xf>
    <xf numFmtId="0" fontId="1" fillId="2040" borderId="0" xfId="4" applyFill="1" applyAlignment="1">
      <alignment horizontal="center" vertical="center"/>
    </xf>
    <xf numFmtId="0" fontId="1" fillId="2041" borderId="0" xfId="4" applyFill="1" applyAlignment="1">
      <alignment horizontal="center" vertical="center"/>
    </xf>
    <xf numFmtId="0" fontId="1" fillId="2042" borderId="0" xfId="4" applyFill="1" applyAlignment="1">
      <alignment horizontal="center" vertical="center"/>
    </xf>
    <xf numFmtId="0" fontId="1" fillId="2043" borderId="0" xfId="4" applyFill="1" applyAlignment="1">
      <alignment horizontal="center" vertical="center"/>
    </xf>
    <xf numFmtId="0" fontId="1" fillId="2044" borderId="0" xfId="4" applyFill="1" applyAlignment="1">
      <alignment horizontal="center" vertical="center"/>
    </xf>
    <xf numFmtId="0" fontId="1" fillId="2045" borderId="0" xfId="4" applyFill="1" applyAlignment="1">
      <alignment horizontal="center" vertical="center"/>
    </xf>
    <xf numFmtId="0" fontId="1" fillId="2046" borderId="0" xfId="4" applyFill="1" applyAlignment="1">
      <alignment horizontal="center" vertical="center"/>
    </xf>
    <xf numFmtId="0" fontId="1" fillId="2047" borderId="0" xfId="4" applyFill="1" applyAlignment="1">
      <alignment horizontal="center" vertical="center"/>
    </xf>
    <xf numFmtId="0" fontId="1" fillId="2048" borderId="0" xfId="4" applyFill="1" applyAlignment="1">
      <alignment horizontal="center" vertical="center"/>
    </xf>
    <xf numFmtId="0" fontId="1" fillId="2049" borderId="0" xfId="4" applyFill="1" applyAlignment="1">
      <alignment horizontal="center" vertical="center"/>
    </xf>
    <xf numFmtId="0" fontId="1" fillId="2050" borderId="0" xfId="4" applyFill="1" applyAlignment="1">
      <alignment horizontal="center" vertical="center"/>
    </xf>
    <xf numFmtId="0" fontId="1" fillId="2051" borderId="0" xfId="4" applyFill="1" applyAlignment="1">
      <alignment horizontal="center" vertical="center"/>
    </xf>
    <xf numFmtId="0" fontId="1" fillId="2052" borderId="0" xfId="4" applyFill="1" applyAlignment="1">
      <alignment horizontal="center" vertical="center"/>
    </xf>
    <xf numFmtId="0" fontId="1" fillId="2053" borderId="0" xfId="4" applyFill="1" applyAlignment="1">
      <alignment horizontal="center" vertical="center"/>
    </xf>
    <xf numFmtId="0" fontId="1" fillId="2054" borderId="0" xfId="4" applyFill="1" applyAlignment="1">
      <alignment horizontal="center" vertical="center"/>
    </xf>
    <xf numFmtId="0" fontId="1" fillId="2055" borderId="0" xfId="4" applyFill="1" applyAlignment="1">
      <alignment horizontal="center" vertical="center"/>
    </xf>
    <xf numFmtId="0" fontId="1" fillId="2056" borderId="0" xfId="4" applyFill="1" applyAlignment="1">
      <alignment horizontal="center" vertical="center"/>
    </xf>
    <xf numFmtId="0" fontId="1" fillId="2057" borderId="0" xfId="4" applyFill="1" applyAlignment="1">
      <alignment horizontal="center" vertical="center"/>
    </xf>
    <xf numFmtId="0" fontId="1" fillId="2058" borderId="0" xfId="4" applyFill="1" applyAlignment="1">
      <alignment horizontal="center" vertical="center"/>
    </xf>
    <xf numFmtId="0" fontId="1" fillId="2059" borderId="0" xfId="4" applyFill="1" applyAlignment="1">
      <alignment horizontal="center" vertical="center"/>
    </xf>
    <xf numFmtId="0" fontId="1" fillId="2060" borderId="0" xfId="4" applyFill="1" applyAlignment="1">
      <alignment horizontal="center" vertical="center"/>
    </xf>
    <xf numFmtId="0" fontId="1" fillId="2061" borderId="0" xfId="4" applyFill="1" applyAlignment="1">
      <alignment horizontal="center" vertical="center"/>
    </xf>
    <xf numFmtId="0" fontId="1" fillId="2062" borderId="0" xfId="4" applyFill="1" applyAlignment="1">
      <alignment horizontal="center" vertical="center"/>
    </xf>
    <xf numFmtId="0" fontId="1" fillId="2063" borderId="0" xfId="4" applyFill="1" applyAlignment="1">
      <alignment horizontal="center" vertical="center"/>
    </xf>
    <xf numFmtId="0" fontId="1" fillId="2064" borderId="0" xfId="4" applyFill="1" applyAlignment="1">
      <alignment horizontal="center" vertical="center"/>
    </xf>
    <xf numFmtId="0" fontId="1" fillId="2065" borderId="0" xfId="4" applyFill="1" applyAlignment="1">
      <alignment horizontal="center" vertical="center"/>
    </xf>
    <xf numFmtId="0" fontId="1" fillId="2066" borderId="0" xfId="4" applyFill="1" applyAlignment="1">
      <alignment horizontal="center" vertical="center"/>
    </xf>
    <xf numFmtId="0" fontId="1" fillId="2067" borderId="0" xfId="4" applyFill="1" applyAlignment="1">
      <alignment horizontal="center" vertical="center"/>
    </xf>
    <xf numFmtId="0" fontId="1" fillId="2068" borderId="0" xfId="4" applyFill="1" applyAlignment="1">
      <alignment horizontal="center" vertical="center"/>
    </xf>
    <xf numFmtId="0" fontId="1" fillId="2069" borderId="0" xfId="4" applyFill="1" applyAlignment="1">
      <alignment horizontal="center" vertical="center"/>
    </xf>
    <xf numFmtId="0" fontId="1" fillId="2070" borderId="0" xfId="4" applyFill="1" applyAlignment="1">
      <alignment horizontal="center" vertical="center"/>
    </xf>
    <xf numFmtId="0" fontId="1" fillId="2071" borderId="0" xfId="4" applyFill="1" applyAlignment="1">
      <alignment horizontal="center" vertical="center"/>
    </xf>
    <xf numFmtId="0" fontId="1" fillId="2072" borderId="0" xfId="4" applyFill="1" applyAlignment="1">
      <alignment horizontal="center" vertical="center"/>
    </xf>
    <xf numFmtId="0" fontId="1" fillId="2073" borderId="0" xfId="4" applyFill="1" applyAlignment="1">
      <alignment horizontal="center" vertical="center"/>
    </xf>
    <xf numFmtId="0" fontId="1" fillId="2074" borderId="0" xfId="4" applyFill="1" applyAlignment="1">
      <alignment horizontal="center" vertical="center"/>
    </xf>
    <xf numFmtId="0" fontId="1" fillId="2075" borderId="0" xfId="4" applyFill="1" applyAlignment="1">
      <alignment horizontal="center" vertical="center"/>
    </xf>
    <xf numFmtId="0" fontId="1" fillId="2076" borderId="0" xfId="4" applyFill="1" applyAlignment="1">
      <alignment horizontal="center" vertical="center"/>
    </xf>
    <xf numFmtId="0" fontId="1" fillId="2077" borderId="0" xfId="4" applyFill="1" applyAlignment="1">
      <alignment horizontal="center" vertical="center"/>
    </xf>
    <xf numFmtId="0" fontId="1" fillId="2078" borderId="0" xfId="4" applyFill="1" applyAlignment="1">
      <alignment horizontal="center" vertical="center"/>
    </xf>
    <xf numFmtId="0" fontId="1" fillId="203" borderId="0" xfId="4" applyFill="1" applyAlignment="1">
      <alignment horizontal="center" vertical="center"/>
    </xf>
    <xf numFmtId="0" fontId="1" fillId="2079" borderId="0" xfId="4" applyFill="1" applyAlignment="1">
      <alignment horizontal="center" vertical="center"/>
    </xf>
    <xf numFmtId="0" fontId="1" fillId="2080" borderId="0" xfId="4" applyFill="1" applyAlignment="1">
      <alignment horizontal="center" vertical="center"/>
    </xf>
    <xf numFmtId="0" fontId="1" fillId="2081" borderId="0" xfId="4" applyFill="1" applyAlignment="1">
      <alignment horizontal="center" vertical="center"/>
    </xf>
    <xf numFmtId="0" fontId="1" fillId="155" borderId="0" xfId="4" applyFill="1" applyAlignment="1">
      <alignment horizontal="center" vertical="center"/>
    </xf>
    <xf numFmtId="0" fontId="1" fillId="2082" borderId="0" xfId="4" applyFill="1" applyAlignment="1">
      <alignment horizontal="center" vertical="center"/>
    </xf>
    <xf numFmtId="0" fontId="1" fillId="2083" borderId="0" xfId="4" applyFill="1" applyAlignment="1">
      <alignment horizontal="center" vertical="center"/>
    </xf>
    <xf numFmtId="0" fontId="1" fillId="2084" borderId="0" xfId="4" applyFill="1" applyAlignment="1">
      <alignment horizontal="center" vertical="center"/>
    </xf>
    <xf numFmtId="0" fontId="1" fillId="2085" borderId="0" xfId="4" applyFill="1" applyAlignment="1">
      <alignment horizontal="center" vertical="center"/>
    </xf>
    <xf numFmtId="0" fontId="1" fillId="2086" borderId="0" xfId="4" applyFill="1" applyAlignment="1">
      <alignment horizontal="center" vertical="center"/>
    </xf>
    <xf numFmtId="0" fontId="1" fillId="103" borderId="0" xfId="4" applyFill="1" applyAlignment="1">
      <alignment horizontal="center" vertical="center"/>
    </xf>
    <xf numFmtId="0" fontId="1" fillId="2087" borderId="0" xfId="4" applyFill="1" applyAlignment="1">
      <alignment horizontal="center" vertical="center"/>
    </xf>
    <xf numFmtId="0" fontId="1" fillId="2088" borderId="0" xfId="4" applyFill="1" applyAlignment="1">
      <alignment horizontal="left" vertical="center"/>
    </xf>
    <xf numFmtId="0" fontId="1" fillId="2089" borderId="0" xfId="4" applyFill="1" applyAlignment="1">
      <alignment horizontal="center" vertical="center"/>
    </xf>
    <xf numFmtId="0" fontId="1" fillId="2090" borderId="0" xfId="4" applyFill="1" applyAlignment="1">
      <alignment horizontal="center" vertical="center"/>
    </xf>
    <xf numFmtId="0" fontId="1" fillId="2091" borderId="0" xfId="4" applyFill="1" applyAlignment="1">
      <alignment horizontal="center" vertical="center"/>
    </xf>
    <xf numFmtId="0" fontId="1" fillId="2092" borderId="0" xfId="4" applyFill="1" applyAlignment="1">
      <alignment horizontal="center" vertical="center"/>
    </xf>
    <xf numFmtId="0" fontId="1" fillId="2093" borderId="0" xfId="4" applyFill="1" applyAlignment="1">
      <alignment horizontal="center" vertical="center"/>
    </xf>
    <xf numFmtId="0" fontId="1" fillId="2094" borderId="0" xfId="4" applyFill="1" applyAlignment="1">
      <alignment horizontal="center" vertical="center"/>
    </xf>
    <xf numFmtId="0" fontId="1" fillId="2095" borderId="0" xfId="4" applyFill="1" applyAlignment="1">
      <alignment horizontal="center" vertical="center"/>
    </xf>
    <xf numFmtId="0" fontId="1" fillId="2096" borderId="0" xfId="4" applyFill="1" applyAlignment="1">
      <alignment horizontal="center" vertical="center"/>
    </xf>
    <xf numFmtId="0" fontId="1" fillId="2097" borderId="0" xfId="4" applyFill="1" applyAlignment="1">
      <alignment horizontal="center" vertical="center"/>
    </xf>
    <xf numFmtId="0" fontId="1" fillId="2098" borderId="0" xfId="4" applyFill="1" applyAlignment="1">
      <alignment horizontal="center" vertical="center"/>
    </xf>
    <xf numFmtId="0" fontId="1" fillId="2099" borderId="0" xfId="4" applyFill="1" applyAlignment="1">
      <alignment horizontal="center" vertical="center"/>
    </xf>
    <xf numFmtId="0" fontId="1" fillId="2100" borderId="0" xfId="4" applyFill="1" applyAlignment="1">
      <alignment horizontal="center" vertical="center"/>
    </xf>
    <xf numFmtId="0" fontId="1" fillId="2101" borderId="0" xfId="4" applyFill="1" applyAlignment="1">
      <alignment horizontal="center" vertical="center"/>
    </xf>
    <xf numFmtId="0" fontId="1" fillId="2102" borderId="0" xfId="4" applyFill="1" applyAlignment="1">
      <alignment horizontal="center" vertical="center"/>
    </xf>
    <xf numFmtId="0" fontId="1" fillId="1395" borderId="0" xfId="4" applyFill="1" applyAlignment="1">
      <alignment horizontal="center" vertical="center"/>
    </xf>
    <xf numFmtId="0" fontId="1" fillId="2103" borderId="0" xfId="4" applyFill="1" applyAlignment="1">
      <alignment horizontal="center" vertical="center"/>
    </xf>
    <xf numFmtId="0" fontId="1" fillId="2104" borderId="0" xfId="4" applyFill="1" applyAlignment="1">
      <alignment horizontal="center" vertical="center"/>
    </xf>
    <xf numFmtId="0" fontId="1" fillId="2105" borderId="0" xfId="4" applyFill="1" applyAlignment="1">
      <alignment horizontal="center" vertical="center"/>
    </xf>
    <xf numFmtId="0" fontId="1" fillId="2106" borderId="0" xfId="4" applyFill="1" applyAlignment="1">
      <alignment horizontal="center" vertical="center"/>
    </xf>
    <xf numFmtId="0" fontId="1" fillId="2107" borderId="0" xfId="4" applyFill="1" applyAlignment="1">
      <alignment horizontal="center" vertical="center"/>
    </xf>
    <xf numFmtId="0" fontId="1" fillId="2108" borderId="0" xfId="4" applyFill="1" applyAlignment="1">
      <alignment horizontal="center" vertical="center"/>
    </xf>
    <xf numFmtId="0" fontId="1" fillId="2109" borderId="0" xfId="4" applyFill="1" applyAlignment="1">
      <alignment horizontal="left" vertical="center"/>
    </xf>
    <xf numFmtId="0" fontId="1" fillId="2110" borderId="0" xfId="4" applyFill="1" applyAlignment="1">
      <alignment horizontal="center" vertical="center"/>
    </xf>
    <xf numFmtId="0" fontId="1" fillId="2111" borderId="0" xfId="4" applyFill="1" applyAlignment="1">
      <alignment horizontal="center" vertical="center"/>
    </xf>
    <xf numFmtId="0" fontId="1" fillId="2112" borderId="0" xfId="4" applyFill="1" applyAlignment="1">
      <alignment horizontal="center" vertical="center"/>
    </xf>
    <xf numFmtId="0" fontId="1" fillId="2113" borderId="0" xfId="4" applyFill="1" applyAlignment="1">
      <alignment horizontal="center" vertical="center"/>
    </xf>
    <xf numFmtId="0" fontId="1" fillId="2114" borderId="0" xfId="4" applyFill="1" applyAlignment="1">
      <alignment horizontal="center" vertical="center"/>
    </xf>
    <xf numFmtId="0" fontId="1" fillId="2115" borderId="0" xfId="4" applyFill="1" applyAlignment="1">
      <alignment horizontal="center" vertical="center"/>
    </xf>
    <xf numFmtId="0" fontId="1" fillId="2116" borderId="0" xfId="4" applyFill="1" applyAlignment="1">
      <alignment horizontal="center" vertical="center"/>
    </xf>
    <xf numFmtId="0" fontId="1" fillId="2117" borderId="0" xfId="4" applyFill="1" applyAlignment="1">
      <alignment horizontal="center" vertical="center"/>
    </xf>
    <xf numFmtId="0" fontId="1" fillId="2118" borderId="0" xfId="4" applyFill="1" applyAlignment="1">
      <alignment horizontal="center" vertical="center"/>
    </xf>
    <xf numFmtId="0" fontId="1" fillId="2119" borderId="0" xfId="4" applyFill="1" applyAlignment="1">
      <alignment horizontal="center" vertical="center"/>
    </xf>
    <xf numFmtId="0" fontId="1" fillId="2120" borderId="0" xfId="4" applyFill="1" applyAlignment="1">
      <alignment horizontal="center" vertical="center"/>
    </xf>
    <xf numFmtId="0" fontId="1" fillId="2121" borderId="0" xfId="4" applyFill="1" applyAlignment="1">
      <alignment horizontal="center" vertical="center"/>
    </xf>
    <xf numFmtId="0" fontId="1" fillId="2122" borderId="0" xfId="4" applyFill="1" applyAlignment="1">
      <alignment horizontal="center" vertical="center"/>
    </xf>
    <xf numFmtId="0" fontId="1" fillId="2123" borderId="0" xfId="4" applyFill="1" applyAlignment="1">
      <alignment horizontal="center" vertical="center"/>
    </xf>
    <xf numFmtId="0" fontId="1" fillId="2124" borderId="0" xfId="4" applyFill="1" applyAlignment="1">
      <alignment horizontal="center" vertical="center"/>
    </xf>
    <xf numFmtId="0" fontId="1" fillId="2125" borderId="0" xfId="4" applyFill="1" applyAlignment="1">
      <alignment horizontal="center" vertical="center"/>
    </xf>
    <xf numFmtId="0" fontId="1" fillId="2126" borderId="0" xfId="4" applyFill="1" applyAlignment="1">
      <alignment horizontal="center" vertical="center"/>
    </xf>
    <xf numFmtId="0" fontId="1" fillId="2127" borderId="0" xfId="4" applyFill="1" applyAlignment="1">
      <alignment horizontal="center" vertical="center"/>
    </xf>
    <xf numFmtId="0" fontId="1" fillId="2128" borderId="0" xfId="4" applyFill="1" applyAlignment="1">
      <alignment horizontal="center" vertical="center"/>
    </xf>
    <xf numFmtId="0" fontId="1" fillId="2129" borderId="0" xfId="4" applyFill="1" applyAlignment="1">
      <alignment horizontal="center" vertical="center"/>
    </xf>
    <xf numFmtId="0" fontId="1" fillId="2130" borderId="0" xfId="4" applyFill="1" applyAlignment="1">
      <alignment horizontal="center" vertical="center"/>
    </xf>
    <xf numFmtId="0" fontId="1" fillId="2131" borderId="0" xfId="4" applyFill="1" applyAlignment="1">
      <alignment horizontal="center" vertical="center"/>
    </xf>
    <xf numFmtId="0" fontId="1" fillId="2132" borderId="0" xfId="4" applyFill="1" applyAlignment="1">
      <alignment horizontal="center" vertical="center"/>
    </xf>
    <xf numFmtId="0" fontId="1" fillId="2133" borderId="0" xfId="4" applyFill="1" applyAlignment="1">
      <alignment horizontal="center" vertical="center"/>
    </xf>
    <xf numFmtId="0" fontId="1" fillId="2134" borderId="0" xfId="4" applyFill="1" applyAlignment="1">
      <alignment horizontal="center" vertical="center"/>
    </xf>
    <xf numFmtId="0" fontId="1" fillId="2135" borderId="0" xfId="4" applyFill="1" applyAlignment="1">
      <alignment horizontal="center" vertical="center"/>
    </xf>
    <xf numFmtId="0" fontId="1" fillId="2136" borderId="0" xfId="4" applyFill="1" applyAlignment="1">
      <alignment horizontal="center" vertical="center"/>
    </xf>
    <xf numFmtId="0" fontId="1" fillId="2137" borderId="0" xfId="4" applyFill="1" applyAlignment="1">
      <alignment horizontal="center" vertical="center"/>
    </xf>
    <xf numFmtId="0" fontId="1" fillId="2138" borderId="0" xfId="4" applyFill="1" applyAlignment="1">
      <alignment horizontal="center" vertical="center"/>
    </xf>
    <xf numFmtId="0" fontId="1" fillId="2139" borderId="0" xfId="4" applyFill="1" applyAlignment="1">
      <alignment horizontal="center" vertical="center"/>
    </xf>
    <xf numFmtId="0" fontId="1" fillId="2140" borderId="0" xfId="4" applyFill="1" applyAlignment="1">
      <alignment horizontal="center" vertical="center"/>
    </xf>
    <xf numFmtId="0" fontId="1" fillId="2141" borderId="0" xfId="4" applyFill="1" applyAlignment="1">
      <alignment horizontal="center" vertical="center"/>
    </xf>
    <xf numFmtId="0" fontId="1" fillId="2142" borderId="0" xfId="4" applyFill="1" applyAlignment="1">
      <alignment horizontal="center" vertical="center"/>
    </xf>
    <xf numFmtId="0" fontId="1" fillId="2143" borderId="0" xfId="4" applyFill="1" applyAlignment="1">
      <alignment horizontal="center" vertical="center"/>
    </xf>
    <xf numFmtId="0" fontId="1" fillId="34" borderId="0" xfId="4" applyFill="1" applyAlignment="1">
      <alignment horizontal="center" vertical="center"/>
    </xf>
    <xf numFmtId="0" fontId="1" fillId="2144" borderId="0" xfId="4" applyFill="1" applyAlignment="1">
      <alignment horizontal="center" vertical="center"/>
    </xf>
    <xf numFmtId="0" fontId="1" fillId="2145" borderId="0" xfId="4" applyFill="1" applyAlignment="1">
      <alignment horizontal="center" vertical="center"/>
    </xf>
    <xf numFmtId="0" fontId="1" fillId="2146" borderId="0" xfId="4" applyFill="1" applyAlignment="1">
      <alignment horizontal="left" vertical="center"/>
    </xf>
    <xf numFmtId="0" fontId="1" fillId="2147" borderId="0" xfId="4" applyFill="1" applyAlignment="1">
      <alignment horizontal="center" vertical="center"/>
    </xf>
    <xf numFmtId="0" fontId="1" fillId="2148" borderId="0" xfId="4" applyFill="1" applyAlignment="1">
      <alignment horizontal="center" vertical="center"/>
    </xf>
    <xf numFmtId="0" fontId="1" fillId="2149" borderId="0" xfId="4" applyFill="1" applyAlignment="1">
      <alignment horizontal="center" vertical="center"/>
    </xf>
    <xf numFmtId="0" fontId="1" fillId="2150" borderId="0" xfId="4" applyFill="1" applyAlignment="1">
      <alignment horizontal="center" vertical="center"/>
    </xf>
    <xf numFmtId="0" fontId="1" fillId="2151" borderId="0" xfId="4" applyFill="1" applyAlignment="1">
      <alignment horizontal="center" vertical="center"/>
    </xf>
    <xf numFmtId="0" fontId="1" fillId="2152" borderId="0" xfId="4" applyFill="1" applyAlignment="1">
      <alignment horizontal="center" vertical="center"/>
    </xf>
    <xf numFmtId="0" fontId="1" fillId="2153" borderId="0" xfId="4" applyFill="1" applyAlignment="1">
      <alignment horizontal="center" vertical="center"/>
    </xf>
    <xf numFmtId="0" fontId="1" fillId="2154" borderId="0" xfId="4" applyFill="1" applyAlignment="1">
      <alignment horizontal="center" vertical="center"/>
    </xf>
    <xf numFmtId="0" fontId="1" fillId="2155" borderId="0" xfId="4" applyFill="1" applyAlignment="1">
      <alignment horizontal="center" vertical="center"/>
    </xf>
    <xf numFmtId="0" fontId="1" fillId="2156" borderId="0" xfId="4" applyFill="1" applyAlignment="1">
      <alignment horizontal="center" vertical="center"/>
    </xf>
    <xf numFmtId="0" fontId="1" fillId="2157" borderId="0" xfId="4" applyFill="1" applyAlignment="1">
      <alignment horizontal="center" vertical="center"/>
    </xf>
    <xf numFmtId="0" fontId="1" fillId="2158" borderId="0" xfId="4" applyFill="1" applyAlignment="1">
      <alignment horizontal="center" vertical="center"/>
    </xf>
    <xf numFmtId="0" fontId="1" fillId="2159" borderId="0" xfId="4" applyFill="1" applyAlignment="1">
      <alignment horizontal="center" vertical="center"/>
    </xf>
    <xf numFmtId="0" fontId="1" fillId="2160" borderId="0" xfId="4" applyFill="1" applyAlignment="1">
      <alignment horizontal="center" vertical="center"/>
    </xf>
    <xf numFmtId="0" fontId="1" fillId="2161" borderId="0" xfId="4" applyFill="1" applyAlignment="1">
      <alignment horizontal="center" vertical="center"/>
    </xf>
    <xf numFmtId="0" fontId="1" fillId="2162" borderId="0" xfId="4" applyFill="1" applyAlignment="1">
      <alignment horizontal="center" vertical="center"/>
    </xf>
    <xf numFmtId="0" fontId="1" fillId="2163" borderId="0" xfId="4" applyFill="1" applyAlignment="1">
      <alignment horizontal="center" vertical="center"/>
    </xf>
    <xf numFmtId="0" fontId="1" fillId="2164" borderId="0" xfId="4" applyFill="1" applyAlignment="1">
      <alignment horizontal="center" vertical="center"/>
    </xf>
    <xf numFmtId="0" fontId="1" fillId="2165" borderId="0" xfId="4" applyFill="1" applyAlignment="1">
      <alignment horizontal="center" vertical="center"/>
    </xf>
    <xf numFmtId="0" fontId="1" fillId="2166" borderId="0" xfId="4" applyFill="1" applyAlignment="1">
      <alignment horizontal="center" vertical="center"/>
    </xf>
    <xf numFmtId="0" fontId="1" fillId="2167" borderId="0" xfId="4" applyFill="1" applyAlignment="1">
      <alignment horizontal="left" vertical="center"/>
    </xf>
    <xf numFmtId="0" fontId="1" fillId="2168" borderId="0" xfId="4" applyFill="1" applyAlignment="1">
      <alignment horizontal="center" vertical="center"/>
    </xf>
    <xf numFmtId="0" fontId="1" fillId="2169" borderId="0" xfId="4" applyFill="1" applyAlignment="1">
      <alignment horizontal="center" vertical="center"/>
    </xf>
    <xf numFmtId="0" fontId="1" fillId="2170" borderId="0" xfId="4" applyFill="1" applyAlignment="1">
      <alignment horizontal="center" vertical="center"/>
    </xf>
    <xf numFmtId="0" fontId="1" fillId="2171" borderId="0" xfId="4" applyFill="1" applyAlignment="1">
      <alignment horizontal="center" vertical="center"/>
    </xf>
    <xf numFmtId="0" fontId="1" fillId="2172" borderId="0" xfId="4" applyFill="1" applyAlignment="1">
      <alignment horizontal="center" vertical="center"/>
    </xf>
    <xf numFmtId="0" fontId="1" fillId="2173" borderId="0" xfId="4" applyFill="1" applyAlignment="1">
      <alignment horizontal="center" vertical="center"/>
    </xf>
    <xf numFmtId="0" fontId="1" fillId="2174" borderId="0" xfId="4" applyFill="1" applyAlignment="1">
      <alignment horizontal="center" vertical="center"/>
    </xf>
    <xf numFmtId="0" fontId="1" fillId="2175" borderId="0" xfId="4" applyFill="1" applyAlignment="1">
      <alignment horizontal="center" vertical="center"/>
    </xf>
    <xf numFmtId="0" fontId="1" fillId="2176" borderId="0" xfId="4" applyFill="1" applyAlignment="1">
      <alignment horizontal="center" vertical="center"/>
    </xf>
    <xf numFmtId="0" fontId="1" fillId="2177" borderId="0" xfId="4" applyFill="1" applyAlignment="1">
      <alignment horizontal="center" vertical="center"/>
    </xf>
    <xf numFmtId="0" fontId="1" fillId="2178" borderId="0" xfId="4" applyFill="1" applyAlignment="1">
      <alignment horizontal="center" vertical="center"/>
    </xf>
    <xf numFmtId="0" fontId="1" fillId="2179" borderId="0" xfId="4" applyFill="1" applyAlignment="1">
      <alignment horizontal="center" vertical="center"/>
    </xf>
    <xf numFmtId="0" fontId="1" fillId="2180" borderId="0" xfId="4" applyFill="1" applyAlignment="1">
      <alignment horizontal="center" vertical="center"/>
    </xf>
    <xf numFmtId="0" fontId="1" fillId="2181" borderId="0" xfId="4" applyFill="1" applyAlignment="1">
      <alignment horizontal="center" vertical="center"/>
    </xf>
    <xf numFmtId="0" fontId="1" fillId="2182" borderId="0" xfId="4" applyFill="1" applyAlignment="1">
      <alignment horizontal="center" vertical="center"/>
    </xf>
    <xf numFmtId="0" fontId="1" fillId="2183" borderId="0" xfId="4" applyFill="1" applyAlignment="1">
      <alignment horizontal="center" vertical="center"/>
    </xf>
    <xf numFmtId="0" fontId="1" fillId="2184" borderId="0" xfId="4" applyFill="1" applyAlignment="1">
      <alignment horizontal="center" vertical="center"/>
    </xf>
    <xf numFmtId="0" fontId="1" fillId="2185" borderId="0" xfId="4" applyFill="1" applyAlignment="1">
      <alignment horizontal="center" vertical="center"/>
    </xf>
    <xf numFmtId="0" fontId="1" fillId="2186" borderId="0" xfId="4" applyFill="1" applyAlignment="1">
      <alignment horizontal="center" vertical="center"/>
    </xf>
    <xf numFmtId="0" fontId="1" fillId="2187" borderId="0" xfId="4" applyFill="1" applyAlignment="1">
      <alignment horizontal="center" vertical="center"/>
    </xf>
    <xf numFmtId="0" fontId="1" fillId="2188" borderId="0" xfId="4" applyFill="1" applyAlignment="1">
      <alignment horizontal="center" vertical="center"/>
    </xf>
    <xf numFmtId="0" fontId="1" fillId="2189" borderId="0" xfId="4" applyFill="1" applyAlignment="1">
      <alignment horizontal="center" vertical="center"/>
    </xf>
    <xf numFmtId="0" fontId="1" fillId="2190" borderId="0" xfId="4" applyFill="1" applyAlignment="1">
      <alignment horizontal="center" vertical="center"/>
    </xf>
    <xf numFmtId="0" fontId="1" fillId="345" borderId="0" xfId="4" applyFill="1" applyAlignment="1">
      <alignment horizontal="center" vertical="center"/>
    </xf>
    <xf numFmtId="0" fontId="1" fillId="89" borderId="0" xfId="4" applyFill="1" applyAlignment="1">
      <alignment horizontal="center" vertical="center"/>
    </xf>
    <xf numFmtId="0" fontId="1" fillId="2191" borderId="0" xfId="4" applyFill="1" applyAlignment="1">
      <alignment horizontal="center" vertical="center"/>
    </xf>
    <xf numFmtId="0" fontId="1" fillId="2192" borderId="0" xfId="4" applyFill="1" applyAlignment="1">
      <alignment horizontal="center" vertical="center"/>
    </xf>
    <xf numFmtId="0" fontId="1" fillId="2193" borderId="0" xfId="4" applyFill="1" applyAlignment="1">
      <alignment horizontal="center" vertical="center"/>
    </xf>
    <xf numFmtId="0" fontId="1" fillId="35" borderId="0" xfId="4" applyFill="1" applyAlignment="1">
      <alignment horizontal="center" vertical="center"/>
    </xf>
    <xf numFmtId="0" fontId="1" fillId="31" borderId="0" xfId="4" applyFill="1" applyAlignment="1">
      <alignment horizontal="center" vertical="center"/>
    </xf>
    <xf numFmtId="0" fontId="1" fillId="39" borderId="0" xfId="4" applyFill="1" applyAlignment="1">
      <alignment horizontal="center" vertical="center"/>
    </xf>
    <xf numFmtId="0" fontId="1" fillId="2194" borderId="0" xfId="4" applyFill="1" applyAlignment="1">
      <alignment horizontal="center" vertical="center"/>
    </xf>
    <xf numFmtId="0" fontId="1" fillId="29" borderId="0" xfId="4" applyFill="1" applyAlignment="1">
      <alignment horizontal="center" vertical="center"/>
    </xf>
    <xf numFmtId="0" fontId="1" fillId="2195" borderId="0" xfId="4" applyFill="1" applyAlignment="1">
      <alignment horizontal="center" vertical="center"/>
    </xf>
    <xf numFmtId="0" fontId="1" fillId="2196" borderId="0" xfId="4" applyFill="1" applyAlignment="1">
      <alignment horizontal="left" vertical="center"/>
    </xf>
    <xf numFmtId="0" fontId="1" fillId="2197" borderId="0" xfId="4" applyFill="1" applyAlignment="1">
      <alignment horizontal="center" vertical="center"/>
    </xf>
    <xf numFmtId="0" fontId="1" fillId="2198" borderId="0" xfId="4" applyFill="1" applyAlignment="1">
      <alignment horizontal="center" vertical="center"/>
    </xf>
    <xf numFmtId="0" fontId="1" fillId="2199" borderId="0" xfId="4" applyFill="1" applyAlignment="1">
      <alignment horizontal="center" vertical="center"/>
    </xf>
    <xf numFmtId="0" fontId="1" fillId="2200" borderId="0" xfId="4" applyFill="1" applyAlignment="1">
      <alignment horizontal="center" vertical="center"/>
    </xf>
    <xf numFmtId="0" fontId="1" fillId="2201" borderId="0" xfId="4" applyFill="1" applyAlignment="1">
      <alignment horizontal="center" vertical="center"/>
    </xf>
    <xf numFmtId="0" fontId="1" fillId="2202" borderId="0" xfId="4" applyFill="1" applyAlignment="1">
      <alignment horizontal="center" vertical="center"/>
    </xf>
    <xf numFmtId="0" fontId="1" fillId="2203" borderId="0" xfId="4" applyFill="1" applyAlignment="1">
      <alignment horizontal="center" vertical="center"/>
    </xf>
    <xf numFmtId="0" fontId="1" fillId="2204" borderId="0" xfId="4" applyFill="1" applyAlignment="1">
      <alignment horizontal="center" vertical="center"/>
    </xf>
    <xf numFmtId="0" fontId="1" fillId="2205" borderId="0" xfId="4" applyFill="1" applyAlignment="1">
      <alignment horizontal="center" vertical="center"/>
    </xf>
    <xf numFmtId="0" fontId="1" fillId="2206" borderId="0" xfId="4" applyFill="1" applyAlignment="1">
      <alignment horizontal="center" vertical="center"/>
    </xf>
    <xf numFmtId="0" fontId="1" fillId="2207" borderId="0" xfId="4" applyFill="1" applyAlignment="1">
      <alignment horizontal="center" vertical="center"/>
    </xf>
    <xf numFmtId="0" fontId="1" fillId="2208" borderId="0" xfId="4" applyFill="1" applyAlignment="1">
      <alignment horizontal="center" vertical="center"/>
    </xf>
    <xf numFmtId="0" fontId="1" fillId="2209" borderId="0" xfId="4" applyFill="1" applyAlignment="1">
      <alignment horizontal="center" vertical="center"/>
    </xf>
    <xf numFmtId="0" fontId="1" fillId="2210" borderId="0" xfId="4" applyFill="1" applyAlignment="1">
      <alignment horizontal="center" vertical="center"/>
    </xf>
    <xf numFmtId="0" fontId="1" fillId="2211" borderId="0" xfId="4" applyFill="1" applyAlignment="1">
      <alignment horizontal="center" vertical="center"/>
    </xf>
    <xf numFmtId="0" fontId="1" fillId="2212" borderId="0" xfId="4" applyFill="1" applyAlignment="1">
      <alignment horizontal="center" vertical="center"/>
    </xf>
    <xf numFmtId="0" fontId="1" fillId="2213" borderId="0" xfId="4" applyFill="1" applyAlignment="1">
      <alignment horizontal="center" vertical="center"/>
    </xf>
    <xf numFmtId="0" fontId="1" fillId="2214" borderId="0" xfId="4" applyFill="1" applyAlignment="1">
      <alignment horizontal="center" vertical="center"/>
    </xf>
    <xf numFmtId="0" fontId="1" fillId="2215" borderId="0" xfId="4" applyFill="1" applyAlignment="1">
      <alignment horizontal="center" vertical="center"/>
    </xf>
    <xf numFmtId="0" fontId="1" fillId="2216" borderId="0" xfId="4" applyFill="1" applyAlignment="1">
      <alignment horizontal="center" vertical="center"/>
    </xf>
    <xf numFmtId="0" fontId="1" fillId="2217" borderId="0" xfId="4" applyFill="1" applyAlignment="1">
      <alignment horizontal="left" vertical="center"/>
    </xf>
    <xf numFmtId="0" fontId="1" fillId="2218" borderId="0" xfId="4" applyFill="1" applyAlignment="1">
      <alignment horizontal="center" vertical="center"/>
    </xf>
    <xf numFmtId="0" fontId="1" fillId="2219" borderId="0" xfId="4" applyFill="1" applyAlignment="1">
      <alignment horizontal="center" vertical="center"/>
    </xf>
    <xf numFmtId="0" fontId="1" fillId="2220" borderId="0" xfId="4" applyFill="1" applyAlignment="1">
      <alignment horizontal="center" vertical="center"/>
    </xf>
    <xf numFmtId="0" fontId="1" fillId="2221" borderId="0" xfId="4" applyFill="1" applyAlignment="1">
      <alignment horizontal="center" vertical="center"/>
    </xf>
    <xf numFmtId="0" fontId="1" fillId="2222" borderId="0" xfId="4" applyFill="1" applyAlignment="1">
      <alignment horizontal="center" vertical="center"/>
    </xf>
    <xf numFmtId="0" fontId="1" fillId="2223" borderId="0" xfId="4" applyFill="1" applyAlignment="1">
      <alignment horizontal="center" vertical="center"/>
    </xf>
    <xf numFmtId="0" fontId="1" fillId="2224" borderId="0" xfId="4" applyFill="1" applyAlignment="1">
      <alignment horizontal="center" vertical="center"/>
    </xf>
    <xf numFmtId="0" fontId="1" fillId="2225" borderId="0" xfId="4" applyFill="1" applyAlignment="1">
      <alignment horizontal="center" vertical="center"/>
    </xf>
    <xf numFmtId="0" fontId="1" fillId="2226" borderId="0" xfId="4" applyFill="1" applyAlignment="1">
      <alignment horizontal="center" vertical="center"/>
    </xf>
    <xf numFmtId="0" fontId="1" fillId="2227" borderId="0" xfId="4" applyFill="1" applyAlignment="1">
      <alignment horizontal="center" vertical="center"/>
    </xf>
    <xf numFmtId="0" fontId="1" fillId="2228" borderId="0" xfId="4" applyFill="1" applyAlignment="1">
      <alignment horizontal="center" vertical="center"/>
    </xf>
    <xf numFmtId="0" fontId="1" fillId="2229" borderId="0" xfId="4" applyFill="1" applyAlignment="1">
      <alignment horizontal="center" vertical="center"/>
    </xf>
    <xf numFmtId="0" fontId="1" fillId="2230" borderId="0" xfId="4" applyFill="1" applyAlignment="1">
      <alignment horizontal="center" vertical="center"/>
    </xf>
    <xf numFmtId="0" fontId="1" fillId="2231" borderId="0" xfId="4" applyFill="1" applyAlignment="1">
      <alignment horizontal="center" vertical="center"/>
    </xf>
    <xf numFmtId="0" fontId="1" fillId="2232" borderId="0" xfId="4" applyFill="1" applyAlignment="1">
      <alignment horizontal="center" vertical="center"/>
    </xf>
    <xf numFmtId="0" fontId="1" fillId="2233" borderId="0" xfId="4" applyFill="1" applyAlignment="1">
      <alignment horizontal="center" vertical="center"/>
    </xf>
    <xf numFmtId="0" fontId="1" fillId="2234" borderId="0" xfId="4" applyFill="1" applyAlignment="1">
      <alignment horizontal="center" vertical="center"/>
    </xf>
    <xf numFmtId="0" fontId="1" fillId="2235" borderId="0" xfId="4" applyFill="1" applyAlignment="1">
      <alignment horizontal="center" vertical="center"/>
    </xf>
    <xf numFmtId="0" fontId="1" fillId="2236" borderId="0" xfId="4" applyFill="1" applyAlignment="1">
      <alignment horizontal="center" vertical="center"/>
    </xf>
    <xf numFmtId="0" fontId="1" fillId="2237" borderId="0" xfId="4" applyFill="1" applyAlignment="1">
      <alignment horizontal="center" vertical="center"/>
    </xf>
    <xf numFmtId="0" fontId="1" fillId="2238" borderId="0" xfId="4" applyFill="1" applyAlignment="1">
      <alignment horizontal="center" vertical="center"/>
    </xf>
    <xf numFmtId="0" fontId="1" fillId="2239" borderId="0" xfId="4" applyFill="1" applyAlignment="1">
      <alignment horizontal="center" vertical="center"/>
    </xf>
    <xf numFmtId="0" fontId="1" fillId="2240" borderId="0" xfId="4" applyFill="1" applyAlignment="1">
      <alignment horizontal="center" vertical="center"/>
    </xf>
    <xf numFmtId="0" fontId="1" fillId="2241" borderId="0" xfId="4" applyFill="1" applyAlignment="1">
      <alignment horizontal="center" vertical="center"/>
    </xf>
    <xf numFmtId="0" fontId="1" fillId="2242" borderId="0" xfId="4" applyFill="1" applyAlignment="1">
      <alignment horizontal="center" vertical="center"/>
    </xf>
    <xf numFmtId="0" fontId="1" fillId="2243" borderId="0" xfId="4" applyFill="1" applyAlignment="1">
      <alignment horizontal="center" vertical="center"/>
    </xf>
    <xf numFmtId="0" fontId="1" fillId="2244" borderId="0" xfId="4" applyFill="1" applyAlignment="1">
      <alignment horizontal="center" vertical="center"/>
    </xf>
    <xf numFmtId="0" fontId="1" fillId="2245" borderId="0" xfId="4" applyFill="1" applyAlignment="1">
      <alignment horizontal="center" vertical="center"/>
    </xf>
    <xf numFmtId="0" fontId="1" fillId="52" borderId="0" xfId="4" applyFill="1" applyAlignment="1">
      <alignment horizontal="center" vertical="center"/>
    </xf>
    <xf numFmtId="0" fontId="1" fillId="2246" borderId="0" xfId="4" applyFill="1" applyAlignment="1">
      <alignment horizontal="center" vertical="center"/>
    </xf>
    <xf numFmtId="0" fontId="1" fillId="69" borderId="0" xfId="4" applyFill="1" applyAlignment="1">
      <alignment horizontal="center" vertical="center"/>
    </xf>
    <xf numFmtId="0" fontId="1" fillId="2247" borderId="0" xfId="4" applyFill="1" applyAlignment="1">
      <alignment horizontal="center" vertical="center"/>
    </xf>
    <xf numFmtId="0" fontId="1" fillId="67" borderId="0" xfId="4" applyFill="1" applyAlignment="1">
      <alignment horizontal="center" vertical="center"/>
    </xf>
    <xf numFmtId="0" fontId="1" fillId="23" borderId="0" xfId="4" applyFill="1" applyAlignment="1">
      <alignment horizontal="center" vertical="center"/>
    </xf>
    <xf numFmtId="0" fontId="1" fillId="22" borderId="0" xfId="4" applyFill="1" applyAlignment="1">
      <alignment horizontal="center" vertical="center"/>
    </xf>
    <xf numFmtId="0" fontId="1" fillId="2248" borderId="0" xfId="4" applyFill="1" applyAlignment="1">
      <alignment horizontal="center" vertical="center"/>
    </xf>
    <xf numFmtId="0" fontId="1" fillId="2249" borderId="0" xfId="4" applyFill="1" applyAlignment="1">
      <alignment horizontal="center" vertical="center"/>
    </xf>
    <xf numFmtId="0" fontId="1" fillId="2250" borderId="0" xfId="4" applyFill="1" applyAlignment="1">
      <alignment horizontal="center" vertical="center"/>
    </xf>
    <xf numFmtId="0" fontId="1" fillId="2251" borderId="0" xfId="4" applyFill="1" applyAlignment="1">
      <alignment horizontal="center" vertical="center"/>
    </xf>
    <xf numFmtId="0" fontId="1" fillId="2252" borderId="0" xfId="4" applyFill="1" applyAlignment="1">
      <alignment horizontal="left" vertical="center"/>
    </xf>
    <xf numFmtId="0" fontId="1" fillId="2253" borderId="0" xfId="4" applyFill="1" applyAlignment="1">
      <alignment horizontal="center" vertical="center"/>
    </xf>
    <xf numFmtId="0" fontId="1" fillId="20" borderId="0" xfId="4" applyFill="1" applyAlignment="1">
      <alignment horizontal="center" vertical="center"/>
    </xf>
    <xf numFmtId="0" fontId="1" fillId="2254" borderId="0" xfId="4" applyFill="1" applyAlignment="1">
      <alignment horizontal="center" vertical="center"/>
    </xf>
    <xf numFmtId="0" fontId="1" fillId="2255" borderId="0" xfId="4" applyFill="1" applyAlignment="1">
      <alignment horizontal="center" vertical="center"/>
    </xf>
    <xf numFmtId="0" fontId="1" fillId="2256" borderId="0" xfId="4" applyFill="1" applyAlignment="1">
      <alignment horizontal="center" vertical="center"/>
    </xf>
    <xf numFmtId="0" fontId="1" fillId="2257" borderId="0" xfId="4" applyFill="1" applyAlignment="1">
      <alignment horizontal="center" vertical="center"/>
    </xf>
    <xf numFmtId="0" fontId="1" fillId="2258" borderId="0" xfId="4" applyFill="1" applyAlignment="1">
      <alignment horizontal="center" vertical="center"/>
    </xf>
    <xf numFmtId="0" fontId="1" fillId="2259" borderId="0" xfId="4" applyFill="1" applyAlignment="1">
      <alignment horizontal="center" vertical="center"/>
    </xf>
    <xf numFmtId="0" fontId="1" fillId="2260" borderId="0" xfId="4" applyFill="1" applyAlignment="1">
      <alignment horizontal="center" vertical="center"/>
    </xf>
    <xf numFmtId="0" fontId="1" fillId="2261" borderId="0" xfId="4" applyFill="1" applyAlignment="1">
      <alignment horizontal="center" vertical="center"/>
    </xf>
    <xf numFmtId="0" fontId="1" fillId="2262" borderId="0" xfId="4" applyFill="1" applyAlignment="1">
      <alignment horizontal="center" vertical="center"/>
    </xf>
    <xf numFmtId="0" fontId="1" fillId="2263" borderId="0" xfId="4" applyFill="1" applyAlignment="1">
      <alignment horizontal="center" vertical="center"/>
    </xf>
    <xf numFmtId="0" fontId="1" fillId="2264" borderId="0" xfId="4" applyFill="1" applyAlignment="1">
      <alignment horizontal="center" vertical="center"/>
    </xf>
    <xf numFmtId="0" fontId="1" fillId="2265" borderId="0" xfId="4" applyFill="1" applyAlignment="1">
      <alignment horizontal="center" vertical="center"/>
    </xf>
    <xf numFmtId="0" fontId="1" fillId="2266" borderId="0" xfId="4" applyFill="1" applyAlignment="1">
      <alignment horizontal="center" vertical="center"/>
    </xf>
    <xf numFmtId="0" fontId="1" fillId="2267" borderId="0" xfId="4" applyFill="1" applyAlignment="1">
      <alignment horizontal="center" vertical="center"/>
    </xf>
    <xf numFmtId="0" fontId="1" fillId="2268" borderId="0" xfId="4" applyFill="1" applyAlignment="1">
      <alignment horizontal="center" vertical="center"/>
    </xf>
    <xf numFmtId="0" fontId="1" fillId="2269" borderId="0" xfId="4" applyFill="1" applyAlignment="1">
      <alignment horizontal="center" vertical="center"/>
    </xf>
    <xf numFmtId="0" fontId="1" fillId="2270" borderId="0" xfId="4" applyFill="1" applyAlignment="1">
      <alignment horizontal="center" vertical="center"/>
    </xf>
    <xf numFmtId="0" fontId="1" fillId="2271" borderId="0" xfId="4" applyFill="1" applyAlignment="1">
      <alignment horizontal="center" vertical="center"/>
    </xf>
    <xf numFmtId="0" fontId="1" fillId="2272" borderId="0" xfId="4" applyFill="1" applyAlignment="1">
      <alignment horizontal="center" vertical="center"/>
    </xf>
    <xf numFmtId="0" fontId="1" fillId="2273" borderId="0" xfId="4" applyFill="1" applyAlignment="1">
      <alignment horizontal="center" vertical="center"/>
    </xf>
    <xf numFmtId="0" fontId="1" fillId="2274" borderId="0" xfId="4" applyFill="1" applyAlignment="1">
      <alignment horizontal="center" vertical="center"/>
    </xf>
    <xf numFmtId="0" fontId="1" fillId="2275" borderId="0" xfId="4" applyFill="1" applyAlignment="1">
      <alignment horizontal="center" vertical="center"/>
    </xf>
    <xf numFmtId="0" fontId="1" fillId="2276" borderId="0" xfId="4" applyFill="1" applyAlignment="1">
      <alignment horizontal="center" vertical="center"/>
    </xf>
    <xf numFmtId="0" fontId="1" fillId="2277" borderId="0" xfId="4" applyFill="1" applyAlignment="1">
      <alignment horizontal="center" vertical="center"/>
    </xf>
    <xf numFmtId="0" fontId="1" fillId="2278" borderId="0" xfId="4" applyFill="1" applyAlignment="1">
      <alignment horizontal="center" vertical="center"/>
    </xf>
    <xf numFmtId="0" fontId="1" fillId="2279" borderId="0" xfId="4" applyFill="1" applyAlignment="1">
      <alignment horizontal="center" vertical="center"/>
    </xf>
    <xf numFmtId="0" fontId="1" fillId="2280" borderId="0" xfId="4" applyFill="1" applyAlignment="1">
      <alignment horizontal="center" vertical="center"/>
    </xf>
    <xf numFmtId="0" fontId="1" fillId="2281" borderId="0" xfId="4" applyFill="1" applyAlignment="1">
      <alignment horizontal="center" vertical="center"/>
    </xf>
    <xf numFmtId="0" fontId="1" fillId="2282" borderId="0" xfId="4" applyFill="1" applyAlignment="1">
      <alignment horizontal="center" vertical="center"/>
    </xf>
    <xf numFmtId="0" fontId="1" fillId="2283" borderId="0" xfId="4" applyFill="1" applyAlignment="1">
      <alignment horizontal="center" vertical="center"/>
    </xf>
    <xf numFmtId="0" fontId="1" fillId="2284" borderId="0" xfId="4" applyFill="1" applyAlignment="1">
      <alignment horizontal="center" vertical="center"/>
    </xf>
    <xf numFmtId="0" fontId="1" fillId="2285" borderId="0" xfId="4" applyFill="1" applyAlignment="1">
      <alignment horizontal="center" vertical="center"/>
    </xf>
    <xf numFmtId="0" fontId="1" fillId="2286" borderId="0" xfId="4" applyFill="1" applyAlignment="1">
      <alignment horizontal="center" vertical="center"/>
    </xf>
    <xf numFmtId="0" fontId="1" fillId="2287" borderId="0" xfId="4" applyFill="1" applyAlignment="1">
      <alignment horizontal="center" vertical="center"/>
    </xf>
    <xf numFmtId="0" fontId="1" fillId="2288" borderId="0" xfId="4" applyFill="1" applyAlignment="1">
      <alignment horizontal="center" vertical="center"/>
    </xf>
    <xf numFmtId="0" fontId="1" fillId="2289" borderId="0" xfId="4" applyFill="1" applyAlignment="1">
      <alignment horizontal="center" vertical="center"/>
    </xf>
    <xf numFmtId="0" fontId="1" fillId="2290" borderId="0" xfId="4" applyFill="1" applyAlignment="1">
      <alignment horizontal="center" vertical="center"/>
    </xf>
    <xf numFmtId="0" fontId="1" fillId="2291" borderId="0" xfId="4" applyFill="1" applyAlignment="1">
      <alignment horizontal="center" vertical="center"/>
    </xf>
    <xf numFmtId="0" fontId="1" fillId="2292" borderId="0" xfId="4" applyFill="1" applyAlignment="1">
      <alignment horizontal="center" vertical="center"/>
    </xf>
    <xf numFmtId="0" fontId="1" fillId="2293" borderId="0" xfId="4" applyFill="1" applyAlignment="1">
      <alignment horizontal="center" vertical="center"/>
    </xf>
    <xf numFmtId="0" fontId="1" fillId="2294" borderId="0" xfId="4" applyFill="1" applyAlignment="1">
      <alignment horizontal="center" vertical="center"/>
    </xf>
    <xf numFmtId="0" fontId="1" fillId="2295" borderId="0" xfId="4" applyFill="1" applyAlignment="1">
      <alignment horizontal="center" vertical="center"/>
    </xf>
    <xf numFmtId="0" fontId="1" fillId="2296" borderId="0" xfId="4" applyFill="1" applyAlignment="1">
      <alignment horizontal="center" vertical="center"/>
    </xf>
    <xf numFmtId="0" fontId="1" fillId="1644" borderId="0" xfId="4" applyFill="1" applyAlignment="1">
      <alignment horizontal="left" vertical="center"/>
    </xf>
    <xf numFmtId="0" fontId="1" fillId="2297" borderId="0" xfId="4" applyFill="1" applyAlignment="1">
      <alignment horizontal="left" vertical="center"/>
    </xf>
    <xf numFmtId="0" fontId="1" fillId="2298" borderId="0" xfId="4" applyFill="1" applyAlignment="1">
      <alignment horizontal="left" vertical="center"/>
    </xf>
    <xf numFmtId="0" fontId="1" fillId="2299" borderId="0" xfId="4" applyFill="1" applyAlignment="1">
      <alignment horizontal="left" vertical="center"/>
    </xf>
    <xf numFmtId="0" fontId="1" fillId="1829" borderId="0" xfId="4" applyFill="1" applyAlignment="1">
      <alignment horizontal="left" vertical="center"/>
    </xf>
    <xf numFmtId="0" fontId="1" fillId="2300" borderId="0" xfId="4" applyFill="1" applyAlignment="1">
      <alignment horizontal="center" vertical="center"/>
    </xf>
    <xf numFmtId="0" fontId="1" fillId="12" borderId="0" xfId="4" applyFill="1" applyAlignment="1">
      <alignment horizontal="center" vertical="center"/>
    </xf>
    <xf numFmtId="0" fontId="1" fillId="2301" borderId="0" xfId="4" applyFill="1" applyAlignment="1">
      <alignment horizontal="center" vertical="center"/>
    </xf>
    <xf numFmtId="0" fontId="1" fillId="61" borderId="0" xfId="4" applyFill="1" applyAlignment="1">
      <alignment horizontal="center" vertical="center"/>
    </xf>
    <xf numFmtId="0" fontId="1" fillId="98" borderId="0" xfId="4" applyFill="1" applyAlignment="1">
      <alignment horizontal="center" vertical="center"/>
    </xf>
    <xf numFmtId="0" fontId="1" fillId="2302" borderId="0" xfId="4" applyFill="1" applyAlignment="1">
      <alignment vertical="center"/>
    </xf>
    <xf numFmtId="0" fontId="1" fillId="2303" borderId="0" xfId="4" applyFill="1" applyAlignment="1">
      <alignment vertical="center"/>
    </xf>
    <xf numFmtId="0" fontId="1" fillId="2304" borderId="0" xfId="4" applyFill="1" applyAlignment="1">
      <alignment vertical="center"/>
    </xf>
    <xf numFmtId="0" fontId="1" fillId="95" borderId="0" xfId="4" applyFill="1" applyAlignment="1">
      <alignment vertical="center"/>
    </xf>
    <xf numFmtId="0" fontId="1" fillId="2305" borderId="0" xfId="4" applyFill="1" applyAlignment="1">
      <alignment horizontal="center" vertical="center"/>
    </xf>
    <xf numFmtId="0" fontId="1" fillId="2306" borderId="0" xfId="4" applyFill="1" applyAlignment="1">
      <alignment horizontal="center" vertical="center"/>
    </xf>
    <xf numFmtId="0" fontId="1" fillId="2307" borderId="0" xfId="4" applyFill="1" applyAlignment="1">
      <alignment horizontal="center" vertical="center"/>
    </xf>
    <xf numFmtId="0" fontId="1" fillId="2308" borderId="0" xfId="4" applyFill="1" applyAlignment="1">
      <alignment horizontal="center" vertical="center"/>
    </xf>
    <xf numFmtId="0" fontId="1" fillId="2309" borderId="0" xfId="4" applyFill="1" applyAlignment="1">
      <alignment horizontal="center" vertical="center"/>
    </xf>
    <xf numFmtId="0" fontId="1" fillId="2310" borderId="0" xfId="4" applyFill="1" applyAlignment="1">
      <alignment horizontal="center" vertical="center"/>
    </xf>
    <xf numFmtId="0" fontId="1" fillId="2311" borderId="0" xfId="4" applyFill="1" applyAlignment="1">
      <alignment horizontal="left" vertical="center"/>
    </xf>
    <xf numFmtId="0" fontId="1" fillId="2312" borderId="0" xfId="4" applyFill="1" applyAlignment="1">
      <alignment horizontal="center" vertical="center"/>
    </xf>
    <xf numFmtId="0" fontId="1" fillId="2313" borderId="0" xfId="4" applyFill="1" applyAlignment="1">
      <alignment horizontal="center" vertical="center"/>
    </xf>
    <xf numFmtId="0" fontId="1" fillId="2314" borderId="0" xfId="4" applyFill="1" applyAlignment="1">
      <alignment horizontal="center" vertical="center"/>
    </xf>
    <xf numFmtId="0" fontId="1" fillId="2315" borderId="0" xfId="4" applyFill="1" applyAlignment="1">
      <alignment horizontal="center" vertical="center"/>
    </xf>
    <xf numFmtId="0" fontId="1" fillId="2316" borderId="0" xfId="4" applyFill="1" applyAlignment="1">
      <alignment horizontal="center" vertical="center"/>
    </xf>
    <xf numFmtId="0" fontId="1" fillId="2317" borderId="0" xfId="4" applyFill="1" applyAlignment="1">
      <alignment horizontal="center" vertical="center"/>
    </xf>
    <xf numFmtId="0" fontId="1" fillId="2318" borderId="0" xfId="4" applyFill="1" applyAlignment="1">
      <alignment horizontal="center" vertical="center"/>
    </xf>
    <xf numFmtId="0" fontId="1" fillId="2319" borderId="0" xfId="4" applyFill="1" applyAlignment="1">
      <alignment horizontal="center" vertical="center"/>
    </xf>
    <xf numFmtId="0" fontId="1" fillId="2088" borderId="0" xfId="4" applyFill="1" applyAlignment="1">
      <alignment horizontal="center" vertical="center"/>
    </xf>
    <xf numFmtId="0" fontId="1" fillId="2320" borderId="0" xfId="4" applyFill="1" applyAlignment="1">
      <alignment horizontal="center" vertical="center"/>
    </xf>
    <xf numFmtId="0" fontId="1" fillId="2321" borderId="0" xfId="4" applyFill="1" applyAlignment="1">
      <alignment horizontal="center" vertical="center"/>
    </xf>
    <xf numFmtId="0" fontId="1" fillId="2322" borderId="0" xfId="4" applyFill="1" applyAlignment="1">
      <alignment horizontal="center" vertical="center"/>
    </xf>
    <xf numFmtId="0" fontId="1" fillId="2323" borderId="0" xfId="4" applyFill="1" applyAlignment="1">
      <alignment horizontal="center" vertical="center"/>
    </xf>
    <xf numFmtId="0" fontId="1" fillId="2324" borderId="0" xfId="4" applyFill="1" applyAlignment="1">
      <alignment horizontal="center" vertical="center"/>
    </xf>
    <xf numFmtId="0" fontId="1" fillId="2325" borderId="0" xfId="4" applyFill="1" applyAlignment="1">
      <alignment horizontal="center" vertical="center"/>
    </xf>
    <xf numFmtId="0" fontId="1" fillId="2326" borderId="0" xfId="4" applyFill="1" applyAlignment="1">
      <alignment horizontal="center" vertical="center"/>
    </xf>
    <xf numFmtId="0" fontId="1" fillId="2327" borderId="0" xfId="4" applyFill="1" applyAlignment="1">
      <alignment horizontal="center" vertical="center"/>
    </xf>
    <xf numFmtId="0" fontId="1" fillId="2328" borderId="0" xfId="4" applyFill="1" applyAlignment="1">
      <alignment horizontal="center" vertical="center"/>
    </xf>
    <xf numFmtId="0" fontId="1" fillId="2329" borderId="0" xfId="4" applyFill="1" applyAlignment="1">
      <alignment horizontal="center" vertical="center"/>
    </xf>
    <xf numFmtId="0" fontId="1" fillId="2330" borderId="0" xfId="4" applyFill="1" applyAlignment="1">
      <alignment horizontal="center" vertical="center"/>
    </xf>
    <xf numFmtId="0" fontId="1" fillId="2331" borderId="0" xfId="4" applyFill="1" applyAlignment="1">
      <alignment horizontal="center" vertical="center"/>
    </xf>
    <xf numFmtId="0" fontId="1" fillId="2332" borderId="0" xfId="4" applyFill="1" applyAlignment="1">
      <alignment horizontal="center" vertical="center"/>
    </xf>
    <xf numFmtId="0" fontId="1" fillId="2333" borderId="22" xfId="4" applyFill="1" applyBorder="1" applyAlignment="1">
      <alignment horizontal="center" vertical="center"/>
    </xf>
    <xf numFmtId="0" fontId="1" fillId="2220" borderId="23" xfId="4" applyFill="1" applyBorder="1" applyAlignment="1">
      <alignment horizontal="center" vertical="center"/>
    </xf>
    <xf numFmtId="0" fontId="1" fillId="2334" borderId="23" xfId="4" applyFill="1" applyBorder="1" applyAlignment="1">
      <alignment horizontal="center" vertical="center"/>
    </xf>
    <xf numFmtId="0" fontId="1" fillId="1967" borderId="23" xfId="4" applyFill="1" applyBorder="1" applyAlignment="1">
      <alignment horizontal="center" vertical="center"/>
    </xf>
    <xf numFmtId="0" fontId="1" fillId="2278" borderId="23" xfId="4" applyFill="1" applyBorder="1" applyAlignment="1">
      <alignment horizontal="center" vertical="center"/>
    </xf>
    <xf numFmtId="0" fontId="1" fillId="2172" borderId="24" xfId="4" applyFill="1" applyBorder="1" applyAlignment="1">
      <alignment horizontal="center" vertical="center"/>
    </xf>
    <xf numFmtId="0" fontId="1" fillId="2335" borderId="0" xfId="4" applyFill="1" applyAlignment="1">
      <alignment horizontal="center" vertical="center"/>
    </xf>
    <xf numFmtId="0" fontId="1" fillId="2336" borderId="0" xfId="4" applyFill="1" applyAlignment="1">
      <alignment horizontal="center" vertical="center"/>
    </xf>
    <xf numFmtId="0" fontId="1" fillId="2337" borderId="0" xfId="4" applyFill="1" applyAlignment="1">
      <alignment horizontal="center" vertical="center"/>
    </xf>
    <xf numFmtId="0" fontId="1" fillId="2338" borderId="0" xfId="4" applyFill="1" applyAlignment="1">
      <alignment horizontal="center" vertical="center"/>
    </xf>
    <xf numFmtId="0" fontId="1" fillId="2339" borderId="0" xfId="4" applyFill="1" applyAlignment="1">
      <alignment horizontal="center" vertical="center"/>
    </xf>
    <xf numFmtId="0" fontId="1" fillId="2340" borderId="0" xfId="4" applyFill="1" applyAlignment="1">
      <alignment horizontal="center" vertical="center"/>
    </xf>
    <xf numFmtId="0" fontId="1" fillId="2341" borderId="0" xfId="4" applyFill="1" applyAlignment="1">
      <alignment horizontal="center" vertical="center"/>
    </xf>
    <xf numFmtId="0" fontId="1" fillId="2342" borderId="0" xfId="4" applyFill="1" applyAlignment="1">
      <alignment horizontal="center" vertical="center"/>
    </xf>
    <xf numFmtId="0" fontId="1" fillId="2343" borderId="0" xfId="4" applyFill="1" applyAlignment="1">
      <alignment horizontal="center" vertical="center"/>
    </xf>
    <xf numFmtId="0" fontId="1" fillId="2344" borderId="0" xfId="4" applyFill="1" applyAlignment="1">
      <alignment horizontal="center" vertical="center"/>
    </xf>
    <xf numFmtId="0" fontId="1" fillId="2345" borderId="0" xfId="4" applyFill="1" applyAlignment="1">
      <alignment horizontal="center" vertical="center"/>
    </xf>
    <xf numFmtId="0" fontId="1" fillId="2346" borderId="0" xfId="4" applyFill="1" applyAlignment="1">
      <alignment horizontal="center" vertical="center"/>
    </xf>
    <xf numFmtId="0" fontId="1" fillId="2347" borderId="0" xfId="4" applyFill="1" applyAlignment="1">
      <alignment horizontal="center" vertical="center"/>
    </xf>
    <xf numFmtId="0" fontId="1" fillId="2348" borderId="0" xfId="4" applyFill="1" applyAlignment="1">
      <alignment horizontal="left" vertical="center"/>
    </xf>
    <xf numFmtId="0" fontId="1" fillId="2187" borderId="0" xfId="4" applyFill="1" applyAlignment="1">
      <alignment horizontal="left" vertical="center"/>
    </xf>
    <xf numFmtId="0" fontId="1" fillId="2349" borderId="0" xfId="4" applyFill="1" applyAlignment="1">
      <alignment horizontal="left" vertical="center"/>
    </xf>
    <xf numFmtId="0" fontId="1" fillId="2350" borderId="0" xfId="4" applyFill="1" applyAlignment="1">
      <alignment horizontal="left" vertical="center"/>
    </xf>
    <xf numFmtId="0" fontId="1" fillId="2245" borderId="0" xfId="4" applyFill="1" applyAlignment="1">
      <alignment horizontal="left" vertical="center"/>
    </xf>
    <xf numFmtId="0" fontId="1" fillId="2351" borderId="0" xfId="4" applyFill="1" applyAlignment="1">
      <alignment horizontal="center" vertical="center"/>
    </xf>
    <xf numFmtId="0" fontId="1" fillId="2352" borderId="0" xfId="4" applyFill="1" applyAlignment="1">
      <alignment horizontal="center" vertical="center"/>
    </xf>
    <xf numFmtId="0" fontId="1" fillId="93" borderId="0" xfId="4" applyFill="1" applyAlignment="1">
      <alignment horizontal="center" vertical="center"/>
    </xf>
    <xf numFmtId="0" fontId="1" fillId="2353" borderId="0" xfId="4" applyFill="1" applyAlignment="1">
      <alignment horizontal="center" vertical="center"/>
    </xf>
    <xf numFmtId="0" fontId="1" fillId="2354" borderId="0" xfId="4" applyFill="1" applyAlignment="1">
      <alignment horizontal="left" vertical="center"/>
    </xf>
    <xf numFmtId="0" fontId="1" fillId="2355" borderId="0" xfId="4" applyFill="1" applyAlignment="1">
      <alignment vertical="center"/>
    </xf>
    <xf numFmtId="0" fontId="1" fillId="2356" borderId="0" xfId="4" applyFill="1" applyAlignment="1">
      <alignment vertical="center"/>
    </xf>
    <xf numFmtId="0" fontId="1" fillId="1904" borderId="0" xfId="4" applyFill="1" applyAlignment="1">
      <alignment vertical="center"/>
    </xf>
    <xf numFmtId="0" fontId="1" fillId="2357" borderId="0" xfId="4" applyFill="1" applyAlignment="1">
      <alignment vertical="center"/>
    </xf>
    <xf numFmtId="0" fontId="1" fillId="2358" borderId="0" xfId="4" applyFill="1" applyAlignment="1">
      <alignment horizontal="center" vertical="center"/>
    </xf>
    <xf numFmtId="0" fontId="1" fillId="2359" borderId="0" xfId="4" applyFill="1" applyAlignment="1">
      <alignment horizontal="center" vertical="center"/>
    </xf>
    <xf numFmtId="0" fontId="1" fillId="2360" borderId="0" xfId="4" applyFill="1" applyAlignment="1">
      <alignment horizontal="center" vertical="center"/>
    </xf>
    <xf numFmtId="0" fontId="1" fillId="2361" borderId="0" xfId="4" applyFill="1" applyAlignment="1">
      <alignment horizontal="center" vertical="center"/>
    </xf>
    <xf numFmtId="0" fontId="1" fillId="2362" borderId="0" xfId="4" applyFill="1" applyAlignment="1">
      <alignment horizontal="center" vertical="center"/>
    </xf>
    <xf numFmtId="0" fontId="1" fillId="2363" borderId="0" xfId="4" applyFill="1" applyAlignment="1">
      <alignment horizontal="left" vertical="center"/>
    </xf>
    <xf numFmtId="0" fontId="1" fillId="2364" borderId="0" xfId="4" applyFill="1" applyAlignment="1">
      <alignment horizontal="center" vertical="center"/>
    </xf>
    <xf numFmtId="0" fontId="1" fillId="2365" borderId="0" xfId="4" applyFill="1" applyAlignment="1">
      <alignment horizontal="center" vertical="center"/>
    </xf>
    <xf numFmtId="0" fontId="1" fillId="2366" borderId="0" xfId="4" applyFill="1" applyAlignment="1">
      <alignment horizontal="center" vertical="center"/>
    </xf>
    <xf numFmtId="0" fontId="1" fillId="2367" borderId="0" xfId="4" applyFill="1" applyAlignment="1">
      <alignment horizontal="center" vertical="center"/>
    </xf>
    <xf numFmtId="0" fontId="1" fillId="2368" borderId="0" xfId="4" applyFill="1" applyAlignment="1">
      <alignment horizontal="center" vertical="center"/>
    </xf>
    <xf numFmtId="0" fontId="1" fillId="2369" borderId="0" xfId="4" applyFill="1" applyAlignment="1">
      <alignment horizontal="center" vertical="center"/>
    </xf>
    <xf numFmtId="0" fontId="1" fillId="2370" borderId="0" xfId="4" applyFill="1" applyAlignment="1">
      <alignment horizontal="center" vertical="center"/>
    </xf>
    <xf numFmtId="0" fontId="1" fillId="2371" borderId="0" xfId="4" applyFill="1" applyAlignment="1">
      <alignment horizontal="center" vertical="center"/>
    </xf>
    <xf numFmtId="0" fontId="1" fillId="2372" borderId="0" xfId="4" applyFill="1" applyAlignment="1">
      <alignment horizontal="center" vertical="center"/>
    </xf>
    <xf numFmtId="0" fontId="1" fillId="2373" borderId="0" xfId="4" applyFill="1" applyAlignment="1">
      <alignment horizontal="center" vertical="center"/>
    </xf>
    <xf numFmtId="0" fontId="1" fillId="2374" borderId="0" xfId="4" applyFill="1" applyAlignment="1">
      <alignment horizontal="center" vertical="center"/>
    </xf>
    <xf numFmtId="0" fontId="1" fillId="2375" borderId="0" xfId="4" applyFill="1" applyAlignment="1">
      <alignment horizontal="center" vertical="center"/>
    </xf>
    <xf numFmtId="0" fontId="1" fillId="2376" borderId="0" xfId="4" applyFill="1" applyAlignment="1">
      <alignment horizontal="center" vertical="center"/>
    </xf>
    <xf numFmtId="0" fontId="1" fillId="2377" borderId="0" xfId="4" applyFill="1" applyAlignment="1">
      <alignment horizontal="center" vertical="center"/>
    </xf>
    <xf numFmtId="0" fontId="1" fillId="2378" borderId="0" xfId="4" applyFill="1" applyAlignment="1">
      <alignment horizontal="center" vertical="center"/>
    </xf>
    <xf numFmtId="0" fontId="1" fillId="2379" borderId="0" xfId="4" applyFill="1" applyAlignment="1">
      <alignment horizontal="center" vertical="center"/>
    </xf>
    <xf numFmtId="0" fontId="1" fillId="2348" borderId="0" xfId="4" applyFill="1" applyAlignment="1">
      <alignment horizontal="center" vertical="center"/>
    </xf>
    <xf numFmtId="0" fontId="1" fillId="2380" borderId="0" xfId="4" applyFill="1" applyAlignment="1">
      <alignment horizontal="center" vertical="center"/>
    </xf>
    <xf numFmtId="0" fontId="1" fillId="2381" borderId="0" xfId="4" applyFill="1" applyAlignment="1">
      <alignment horizontal="center" vertical="center"/>
    </xf>
    <xf numFmtId="0" fontId="1" fillId="2382" borderId="0" xfId="4" applyFill="1" applyAlignment="1">
      <alignment horizontal="center" vertical="center"/>
    </xf>
    <xf numFmtId="0" fontId="1" fillId="2383" borderId="0" xfId="4" applyFill="1" applyAlignment="1">
      <alignment horizontal="center" vertical="center"/>
    </xf>
    <xf numFmtId="0" fontId="1" fillId="2384" borderId="0" xfId="4" applyFill="1" applyAlignment="1">
      <alignment horizontal="center" vertical="center"/>
    </xf>
    <xf numFmtId="0" fontId="1" fillId="2385" borderId="0" xfId="4" applyFill="1" applyAlignment="1">
      <alignment horizontal="center" vertical="center"/>
    </xf>
    <xf numFmtId="0" fontId="1" fillId="2386" borderId="25" xfId="4" applyFill="1" applyBorder="1" applyAlignment="1">
      <alignment horizontal="center" vertical="center"/>
    </xf>
    <xf numFmtId="0" fontId="1" fillId="2334" borderId="0" xfId="4" applyFill="1" applyAlignment="1">
      <alignment horizontal="center" vertical="center"/>
    </xf>
    <xf numFmtId="0" fontId="1" fillId="2387" borderId="0" xfId="4" applyFill="1" applyAlignment="1">
      <alignment horizontal="center" vertical="center"/>
    </xf>
    <xf numFmtId="0" fontId="1" fillId="2045" borderId="26" xfId="4" applyFill="1" applyBorder="1" applyAlignment="1">
      <alignment horizontal="center" vertical="center"/>
    </xf>
    <xf numFmtId="0" fontId="1" fillId="2388" borderId="0" xfId="4" applyFill="1" applyAlignment="1">
      <alignment horizontal="center" vertical="center"/>
    </xf>
    <xf numFmtId="0" fontId="1" fillId="2389" borderId="0" xfId="4" applyFill="1" applyAlignment="1">
      <alignment horizontal="center" vertical="center"/>
    </xf>
    <xf numFmtId="0" fontId="1" fillId="2390" borderId="0" xfId="4" applyFill="1" applyAlignment="1">
      <alignment horizontal="center" vertical="center"/>
    </xf>
    <xf numFmtId="0" fontId="1" fillId="2391" borderId="0" xfId="4" applyFill="1" applyAlignment="1">
      <alignment horizontal="center" vertical="center"/>
    </xf>
    <xf numFmtId="0" fontId="1" fillId="2392" borderId="0" xfId="4" applyFill="1" applyAlignment="1">
      <alignment horizontal="center" vertical="center"/>
    </xf>
    <xf numFmtId="0" fontId="1" fillId="2393" borderId="0" xfId="4" applyFill="1" applyAlignment="1">
      <alignment horizontal="center" vertical="center"/>
    </xf>
    <xf numFmtId="0" fontId="1" fillId="2394" borderId="0" xfId="4" applyFill="1" applyAlignment="1">
      <alignment horizontal="center" vertical="center"/>
    </xf>
    <xf numFmtId="0" fontId="1" fillId="2395" borderId="0" xfId="4" applyFill="1" applyAlignment="1">
      <alignment horizontal="center" vertical="center"/>
    </xf>
    <xf numFmtId="0" fontId="1" fillId="2396" borderId="0" xfId="4" applyFill="1" applyAlignment="1">
      <alignment horizontal="center" vertical="center"/>
    </xf>
    <xf numFmtId="0" fontId="1" fillId="2397" borderId="0" xfId="4" applyFill="1" applyAlignment="1">
      <alignment horizontal="center" vertical="center"/>
    </xf>
    <xf numFmtId="0" fontId="1" fillId="2398" borderId="0" xfId="4" applyFill="1" applyAlignment="1">
      <alignment horizontal="center" vertical="center"/>
    </xf>
    <xf numFmtId="0" fontId="1" fillId="1723" borderId="0" xfId="4" applyFill="1" applyAlignment="1">
      <alignment horizontal="left" vertical="center"/>
    </xf>
    <xf numFmtId="0" fontId="1" fillId="2133" borderId="0" xfId="4" applyFill="1" applyAlignment="1">
      <alignment horizontal="left" vertical="center"/>
    </xf>
    <xf numFmtId="0" fontId="1" fillId="2399" borderId="0" xfId="4" applyFill="1" applyAlignment="1">
      <alignment horizontal="left" vertical="center"/>
    </xf>
    <xf numFmtId="0" fontId="1" fillId="2400" borderId="0" xfId="4" applyFill="1" applyAlignment="1">
      <alignment horizontal="left" vertical="center"/>
    </xf>
    <xf numFmtId="0" fontId="1" fillId="2401" borderId="0" xfId="4" applyFill="1" applyAlignment="1">
      <alignment horizontal="left" vertical="center"/>
    </xf>
    <xf numFmtId="0" fontId="1" fillId="2402" borderId="0" xfId="4" applyFill="1" applyAlignment="1">
      <alignment horizontal="center" vertical="center"/>
    </xf>
    <xf numFmtId="0" fontId="1" fillId="2403" borderId="0" xfId="4" applyFill="1" applyAlignment="1">
      <alignment horizontal="center" vertical="center"/>
    </xf>
    <xf numFmtId="0" fontId="1" fillId="2404" borderId="0" xfId="4" applyFill="1" applyAlignment="1">
      <alignment horizontal="center" vertical="center"/>
    </xf>
    <xf numFmtId="0" fontId="1" fillId="2405" borderId="0" xfId="4" applyFill="1" applyAlignment="1">
      <alignment horizontal="center" vertical="center"/>
    </xf>
    <xf numFmtId="0" fontId="1" fillId="2406" borderId="0" xfId="4" applyFill="1" applyAlignment="1">
      <alignment vertical="center"/>
    </xf>
    <xf numFmtId="0" fontId="1" fillId="2407" borderId="0" xfId="4" applyFill="1" applyAlignment="1">
      <alignment vertical="center"/>
    </xf>
    <xf numFmtId="0" fontId="1" fillId="2408" borderId="0" xfId="4" applyFill="1" applyAlignment="1">
      <alignment vertical="center"/>
    </xf>
    <xf numFmtId="0" fontId="1" fillId="2409" borderId="0" xfId="4" applyFill="1" applyAlignment="1">
      <alignment vertical="center"/>
    </xf>
    <xf numFmtId="0" fontId="1" fillId="2410" borderId="0" xfId="4" applyFill="1" applyAlignment="1">
      <alignment horizontal="center" vertical="center"/>
    </xf>
    <xf numFmtId="0" fontId="1" fillId="2411" borderId="0" xfId="4" applyFill="1" applyAlignment="1">
      <alignment horizontal="center" vertical="center"/>
    </xf>
    <xf numFmtId="0" fontId="1" fillId="2412" borderId="0" xfId="4" applyFill="1" applyAlignment="1">
      <alignment horizontal="center" vertical="center"/>
    </xf>
    <xf numFmtId="0" fontId="1" fillId="2413" borderId="0" xfId="4" applyFill="1" applyAlignment="1">
      <alignment horizontal="center" vertical="center"/>
    </xf>
    <xf numFmtId="0" fontId="1" fillId="2414" borderId="0" xfId="4" applyFill="1" applyAlignment="1">
      <alignment horizontal="center" vertical="center"/>
    </xf>
    <xf numFmtId="0" fontId="1" fillId="2415" borderId="0" xfId="4" applyFill="1" applyAlignment="1">
      <alignment horizontal="center" vertical="center"/>
    </xf>
    <xf numFmtId="0" fontId="1" fillId="2416" borderId="0" xfId="4" applyFill="1" applyAlignment="1">
      <alignment horizontal="left" vertical="center"/>
    </xf>
    <xf numFmtId="0" fontId="1" fillId="2417" borderId="0" xfId="4" applyFill="1" applyAlignment="1">
      <alignment horizontal="center" vertical="center"/>
    </xf>
    <xf numFmtId="0" fontId="1" fillId="2418" borderId="0" xfId="4" applyFill="1" applyAlignment="1">
      <alignment horizontal="center" vertical="center"/>
    </xf>
    <xf numFmtId="0" fontId="1" fillId="2419" borderId="0" xfId="4" applyFill="1" applyAlignment="1">
      <alignment horizontal="center" vertical="center"/>
    </xf>
    <xf numFmtId="0" fontId="1" fillId="2420" borderId="0" xfId="4" applyFill="1" applyAlignment="1">
      <alignment horizontal="center" vertical="center"/>
    </xf>
    <xf numFmtId="0" fontId="1" fillId="2421" borderId="0" xfId="4" applyFill="1" applyAlignment="1">
      <alignment horizontal="center" vertical="center"/>
    </xf>
    <xf numFmtId="0" fontId="1" fillId="2422" borderId="0" xfId="4" applyFill="1" applyAlignment="1">
      <alignment horizontal="center" vertical="center"/>
    </xf>
    <xf numFmtId="0" fontId="1" fillId="2423" borderId="0" xfId="4" applyFill="1" applyAlignment="1">
      <alignment horizontal="center" vertical="center"/>
    </xf>
    <xf numFmtId="0" fontId="1" fillId="2424" borderId="0" xfId="4" applyFill="1" applyAlignment="1">
      <alignment horizontal="center" vertical="center"/>
    </xf>
    <xf numFmtId="0" fontId="1" fillId="2425" borderId="0" xfId="4" applyFill="1" applyAlignment="1">
      <alignment horizontal="center" vertical="center"/>
    </xf>
    <xf numFmtId="0" fontId="1" fillId="2426" borderId="0" xfId="4" applyFill="1" applyAlignment="1">
      <alignment horizontal="center" vertical="center"/>
    </xf>
    <xf numFmtId="0" fontId="1" fillId="2427" borderId="0" xfId="4" applyFill="1" applyAlignment="1">
      <alignment horizontal="center" vertical="center"/>
    </xf>
    <xf numFmtId="0" fontId="1" fillId="2428" borderId="0" xfId="4" applyFill="1" applyAlignment="1">
      <alignment horizontal="center" vertical="center"/>
    </xf>
    <xf numFmtId="0" fontId="1" fillId="2429" borderId="0" xfId="4" applyFill="1" applyAlignment="1">
      <alignment horizontal="center" vertical="center"/>
    </xf>
    <xf numFmtId="0" fontId="1" fillId="2430" borderId="0" xfId="4" applyFill="1" applyAlignment="1">
      <alignment horizontal="center" vertical="center"/>
    </xf>
    <xf numFmtId="0" fontId="1" fillId="2431" borderId="0" xfId="4" applyFill="1" applyAlignment="1">
      <alignment horizontal="center" vertical="center"/>
    </xf>
    <xf numFmtId="0" fontId="1" fillId="2432" borderId="0" xfId="4" applyFill="1" applyAlignment="1">
      <alignment horizontal="center" vertical="center"/>
    </xf>
    <xf numFmtId="0" fontId="1" fillId="2433" borderId="0" xfId="4" applyFill="1" applyAlignment="1">
      <alignment horizontal="center" vertical="center"/>
    </xf>
    <xf numFmtId="0" fontId="1" fillId="2434" borderId="0" xfId="4" applyFill="1" applyAlignment="1">
      <alignment horizontal="center" vertical="center"/>
    </xf>
    <xf numFmtId="0" fontId="1" fillId="2435" borderId="0" xfId="4" applyFill="1" applyAlignment="1">
      <alignment horizontal="center" vertical="center"/>
    </xf>
    <xf numFmtId="0" fontId="1" fillId="2436" borderId="0" xfId="4" applyFill="1" applyAlignment="1">
      <alignment horizontal="center" vertical="center"/>
    </xf>
    <xf numFmtId="0" fontId="1" fillId="2437" borderId="0" xfId="4" applyFill="1" applyAlignment="1">
      <alignment horizontal="center" vertical="center"/>
    </xf>
    <xf numFmtId="0" fontId="1" fillId="2438" borderId="0" xfId="4" applyFill="1" applyAlignment="1">
      <alignment horizontal="center" vertical="center"/>
    </xf>
    <xf numFmtId="0" fontId="1" fillId="2439" borderId="0" xfId="4" applyFill="1" applyAlignment="1">
      <alignment horizontal="center" vertical="center"/>
    </xf>
    <xf numFmtId="0" fontId="1" fillId="2440" borderId="0" xfId="4" applyFill="1" applyAlignment="1">
      <alignment horizontal="center" vertical="center"/>
    </xf>
    <xf numFmtId="0" fontId="1" fillId="2441" borderId="25" xfId="4" applyFill="1" applyBorder="1" applyAlignment="1">
      <alignment horizontal="center" vertical="center"/>
    </xf>
    <xf numFmtId="0" fontId="1" fillId="2442" borderId="0" xfId="4" applyFill="1" applyAlignment="1">
      <alignment horizontal="center" vertical="center"/>
    </xf>
    <xf numFmtId="0" fontId="1" fillId="2443" borderId="0" xfId="4" applyFill="1" applyAlignment="1">
      <alignment horizontal="center" vertical="center"/>
    </xf>
    <xf numFmtId="0" fontId="1" fillId="2444" borderId="0" xfId="4" applyFill="1" applyAlignment="1">
      <alignment horizontal="center" vertical="center"/>
    </xf>
    <xf numFmtId="0" fontId="1" fillId="2445" borderId="26" xfId="4" applyFill="1" applyBorder="1" applyAlignment="1">
      <alignment horizontal="center" vertical="center"/>
    </xf>
    <xf numFmtId="0" fontId="1" fillId="2446" borderId="0" xfId="4" applyFill="1" applyAlignment="1">
      <alignment horizontal="center" vertical="center"/>
    </xf>
    <xf numFmtId="0" fontId="1" fillId="2447" borderId="0" xfId="4" applyFill="1" applyAlignment="1">
      <alignment horizontal="center" vertical="center"/>
    </xf>
    <xf numFmtId="0" fontId="1" fillId="2448" borderId="0" xfId="4" applyFill="1" applyAlignment="1">
      <alignment horizontal="center" vertical="center"/>
    </xf>
    <xf numFmtId="0" fontId="1" fillId="2449" borderId="0" xfId="4" applyFill="1" applyAlignment="1">
      <alignment horizontal="center" vertical="center"/>
    </xf>
    <xf numFmtId="0" fontId="1" fillId="2450" borderId="0" xfId="4" applyFill="1" applyAlignment="1">
      <alignment horizontal="center" vertical="center"/>
    </xf>
    <xf numFmtId="0" fontId="1" fillId="2451" borderId="0" xfId="4" applyFill="1" applyAlignment="1">
      <alignment horizontal="center" vertical="center"/>
    </xf>
    <xf numFmtId="0" fontId="1" fillId="2452" borderId="0" xfId="4" applyFill="1" applyAlignment="1">
      <alignment horizontal="center" vertical="center"/>
    </xf>
    <xf numFmtId="0" fontId="1" fillId="2453" borderId="0" xfId="4" applyFill="1" applyAlignment="1">
      <alignment horizontal="center" vertical="center"/>
    </xf>
    <xf numFmtId="0" fontId="1" fillId="2454" borderId="0" xfId="4" applyFill="1" applyAlignment="1">
      <alignment horizontal="center" vertical="center"/>
    </xf>
    <xf numFmtId="0" fontId="1" fillId="2455" borderId="0" xfId="4" applyFill="1" applyAlignment="1">
      <alignment horizontal="center" vertical="center"/>
    </xf>
    <xf numFmtId="0" fontId="1" fillId="2456" borderId="0" xfId="4" applyFill="1" applyAlignment="1">
      <alignment horizontal="center" vertical="center"/>
    </xf>
    <xf numFmtId="0" fontId="1" fillId="2457" borderId="0" xfId="4" applyFill="1" applyAlignment="1">
      <alignment horizontal="center" vertical="center"/>
    </xf>
    <xf numFmtId="0" fontId="1" fillId="2458" borderId="0" xfId="4" applyFill="1" applyAlignment="1">
      <alignment horizontal="center" vertical="center"/>
    </xf>
    <xf numFmtId="0" fontId="1" fillId="2459" borderId="0" xfId="4" applyFill="1" applyAlignment="1">
      <alignment horizontal="center" vertical="center"/>
    </xf>
    <xf numFmtId="0" fontId="1" fillId="2031" borderId="0" xfId="4" applyFill="1" applyAlignment="1">
      <alignment horizontal="left" vertical="center"/>
    </xf>
    <xf numFmtId="0" fontId="1" fillId="2460" borderId="0" xfId="4" applyFill="1" applyAlignment="1">
      <alignment horizontal="left" vertical="center"/>
    </xf>
    <xf numFmtId="0" fontId="1" fillId="2461" borderId="0" xfId="4" applyFill="1" applyAlignment="1">
      <alignment horizontal="left" vertical="center"/>
    </xf>
    <xf numFmtId="0" fontId="1" fillId="2462" borderId="0" xfId="4" applyFill="1" applyAlignment="1">
      <alignment horizontal="left" vertical="center"/>
    </xf>
    <xf numFmtId="0" fontId="1" fillId="2463" borderId="0" xfId="4" applyFill="1" applyAlignment="1">
      <alignment horizontal="left" vertical="center"/>
    </xf>
    <xf numFmtId="0" fontId="1" fillId="2464" borderId="0" xfId="4" applyFill="1" applyAlignment="1">
      <alignment horizontal="center" vertical="center"/>
    </xf>
    <xf numFmtId="0" fontId="1" fillId="2465" borderId="0" xfId="4" applyFill="1" applyAlignment="1">
      <alignment horizontal="center" vertical="center"/>
    </xf>
    <xf numFmtId="0" fontId="1" fillId="2466" borderId="0" xfId="4" applyFill="1" applyAlignment="1">
      <alignment horizontal="center" vertical="center"/>
    </xf>
    <xf numFmtId="0" fontId="1" fillId="2467" borderId="0" xfId="4" applyFill="1" applyAlignment="1">
      <alignment vertical="center"/>
    </xf>
    <xf numFmtId="0" fontId="1" fillId="2468" borderId="0" xfId="4" applyFill="1" applyAlignment="1">
      <alignment vertical="center"/>
    </xf>
    <xf numFmtId="0" fontId="1" fillId="2469" borderId="0" xfId="4" applyFill="1" applyAlignment="1">
      <alignment vertical="center"/>
    </xf>
    <xf numFmtId="0" fontId="1" fillId="2470" borderId="0" xfId="4" applyFill="1" applyAlignment="1">
      <alignment vertical="center"/>
    </xf>
    <xf numFmtId="0" fontId="1" fillId="2471" borderId="0" xfId="4" applyFill="1" applyAlignment="1">
      <alignment horizontal="center" vertical="center"/>
    </xf>
    <xf numFmtId="0" fontId="1" fillId="2472" borderId="0" xfId="4" applyFill="1" applyAlignment="1">
      <alignment horizontal="center" vertical="center"/>
    </xf>
    <xf numFmtId="0" fontId="1" fillId="2473" borderId="0" xfId="4" applyFill="1" applyAlignment="1">
      <alignment horizontal="center" vertical="center"/>
    </xf>
    <xf numFmtId="0" fontId="1" fillId="2474" borderId="0" xfId="4" applyFill="1" applyAlignment="1">
      <alignment horizontal="center" vertical="center"/>
    </xf>
    <xf numFmtId="0" fontId="1" fillId="2475" borderId="0" xfId="4" applyFill="1" applyAlignment="1">
      <alignment horizontal="center" vertical="center"/>
    </xf>
    <xf numFmtId="0" fontId="1" fillId="2476" borderId="0" xfId="4" applyFill="1" applyAlignment="1">
      <alignment horizontal="center" vertical="center"/>
    </xf>
    <xf numFmtId="0" fontId="1" fillId="2477" borderId="0" xfId="4" applyFill="1" applyAlignment="1">
      <alignment horizontal="left" vertical="center"/>
    </xf>
    <xf numFmtId="0" fontId="1" fillId="2478" borderId="0" xfId="4" applyFill="1" applyAlignment="1">
      <alignment horizontal="center" vertical="center"/>
    </xf>
    <xf numFmtId="0" fontId="1" fillId="2479" borderId="0" xfId="4" applyFill="1" applyAlignment="1">
      <alignment horizontal="center" vertical="center"/>
    </xf>
    <xf numFmtId="0" fontId="1" fillId="2480" borderId="0" xfId="4" applyFill="1" applyAlignment="1">
      <alignment horizontal="center" vertical="center"/>
    </xf>
    <xf numFmtId="0" fontId="1" fillId="2481" borderId="0" xfId="4" applyFill="1" applyAlignment="1">
      <alignment horizontal="center" vertical="center"/>
    </xf>
    <xf numFmtId="0" fontId="1" fillId="2482" borderId="0" xfId="4" applyFill="1" applyAlignment="1">
      <alignment horizontal="center" vertical="center"/>
    </xf>
    <xf numFmtId="0" fontId="1" fillId="2483" borderId="0" xfId="4" applyFill="1" applyAlignment="1">
      <alignment horizontal="center" vertical="center"/>
    </xf>
    <xf numFmtId="0" fontId="1" fillId="2484" borderId="0" xfId="4" applyFill="1" applyAlignment="1">
      <alignment horizontal="center" vertical="center"/>
    </xf>
    <xf numFmtId="0" fontId="1" fillId="2485" borderId="0" xfId="4" applyFill="1" applyAlignment="1">
      <alignment horizontal="center" vertical="center"/>
    </xf>
    <xf numFmtId="0" fontId="1" fillId="2486" borderId="0" xfId="4" applyFill="1" applyAlignment="1">
      <alignment horizontal="center" vertical="center"/>
    </xf>
    <xf numFmtId="0" fontId="1" fillId="2487" borderId="0" xfId="4" applyFill="1" applyAlignment="1">
      <alignment horizontal="center" vertical="center"/>
    </xf>
    <xf numFmtId="0" fontId="1" fillId="2488" borderId="0" xfId="4" applyFill="1" applyAlignment="1">
      <alignment horizontal="center" vertical="center"/>
    </xf>
    <xf numFmtId="0" fontId="1" fillId="2489" borderId="0" xfId="4" applyFill="1" applyAlignment="1">
      <alignment horizontal="center" vertical="center"/>
    </xf>
    <xf numFmtId="0" fontId="1" fillId="2490" borderId="0" xfId="4" applyFill="1" applyAlignment="1">
      <alignment horizontal="center" vertical="center"/>
    </xf>
    <xf numFmtId="0" fontId="1" fillId="2491" borderId="0" xfId="4" applyFill="1" applyAlignment="1">
      <alignment horizontal="center" vertical="center"/>
    </xf>
    <xf numFmtId="0" fontId="1" fillId="2492" borderId="0" xfId="4" applyFill="1" applyAlignment="1">
      <alignment horizontal="center" vertical="center"/>
    </xf>
    <xf numFmtId="0" fontId="1" fillId="2493" borderId="0" xfId="4" applyFill="1" applyAlignment="1">
      <alignment horizontal="center" vertical="center"/>
    </xf>
    <xf numFmtId="0" fontId="1" fillId="2494" borderId="0" xfId="4" applyFill="1" applyAlignment="1">
      <alignment horizontal="center" vertical="center"/>
    </xf>
    <xf numFmtId="0" fontId="1" fillId="2495" borderId="0" xfId="4" applyFill="1" applyAlignment="1">
      <alignment horizontal="center" vertical="center"/>
    </xf>
    <xf numFmtId="0" fontId="1" fillId="2496" borderId="0" xfId="4" applyFill="1" applyAlignment="1">
      <alignment horizontal="center" vertical="center"/>
    </xf>
    <xf numFmtId="0" fontId="1" fillId="2497" borderId="0" xfId="4" applyFill="1" applyAlignment="1">
      <alignment horizontal="center" vertical="center"/>
    </xf>
    <xf numFmtId="0" fontId="1" fillId="2498" borderId="0" xfId="4" applyFill="1" applyAlignment="1">
      <alignment horizontal="center" vertical="center"/>
    </xf>
    <xf numFmtId="0" fontId="1" fillId="2499" borderId="0" xfId="4" applyFill="1" applyAlignment="1">
      <alignment horizontal="center" vertical="center"/>
    </xf>
    <xf numFmtId="0" fontId="1" fillId="2500" borderId="0" xfId="4" applyFill="1" applyAlignment="1">
      <alignment horizontal="center" vertical="center"/>
    </xf>
    <xf numFmtId="0" fontId="1" fillId="2440" borderId="25" xfId="4" applyFill="1" applyBorder="1" applyAlignment="1">
      <alignment horizontal="center" vertical="center"/>
    </xf>
    <xf numFmtId="0" fontId="1" fillId="2501" borderId="0" xfId="4" applyFill="1" applyAlignment="1">
      <alignment horizontal="center" vertical="center"/>
    </xf>
    <xf numFmtId="0" fontId="1" fillId="1970" borderId="26" xfId="4" applyFill="1" applyBorder="1" applyAlignment="1">
      <alignment horizontal="center" vertical="center"/>
    </xf>
    <xf numFmtId="0" fontId="1" fillId="2502" borderId="0" xfId="4" applyFill="1" applyAlignment="1">
      <alignment horizontal="center" vertical="center"/>
    </xf>
    <xf numFmtId="0" fontId="1" fillId="2503" borderId="0" xfId="4" applyFill="1" applyAlignment="1">
      <alignment horizontal="center" vertical="center"/>
    </xf>
    <xf numFmtId="0" fontId="1" fillId="2504" borderId="0" xfId="4" applyFill="1" applyAlignment="1">
      <alignment horizontal="center" vertical="center"/>
    </xf>
    <xf numFmtId="0" fontId="1" fillId="2505" borderId="0" xfId="4" applyFill="1" applyAlignment="1">
      <alignment horizontal="center" vertical="center"/>
    </xf>
    <xf numFmtId="0" fontId="1" fillId="2506" borderId="0" xfId="4" applyFill="1" applyAlignment="1">
      <alignment horizontal="center" vertical="center"/>
    </xf>
    <xf numFmtId="0" fontId="1" fillId="2507" borderId="0" xfId="4" applyFill="1" applyAlignment="1">
      <alignment horizontal="center" vertical="center"/>
    </xf>
    <xf numFmtId="0" fontId="1" fillId="2508" borderId="0" xfId="4" applyFill="1" applyAlignment="1">
      <alignment horizontal="center" vertical="center"/>
    </xf>
    <xf numFmtId="0" fontId="1" fillId="2509" borderId="0" xfId="4" applyFill="1" applyAlignment="1">
      <alignment horizontal="center" vertical="center"/>
    </xf>
    <xf numFmtId="0" fontId="1" fillId="2510" borderId="0" xfId="4" applyFill="1" applyAlignment="1">
      <alignment horizontal="center" vertical="center"/>
    </xf>
    <xf numFmtId="0" fontId="1" fillId="2511" borderId="0" xfId="4" applyFill="1" applyAlignment="1">
      <alignment horizontal="center" vertical="center"/>
    </xf>
    <xf numFmtId="0" fontId="1" fillId="2512" borderId="0" xfId="4" applyFill="1" applyAlignment="1">
      <alignment horizontal="center" vertical="center"/>
    </xf>
    <xf numFmtId="0" fontId="1" fillId="2513" borderId="0" xfId="4" applyFill="1" applyAlignment="1">
      <alignment horizontal="center" vertical="center"/>
    </xf>
    <xf numFmtId="0" fontId="1" fillId="2514" borderId="0" xfId="4" applyFill="1" applyAlignment="1">
      <alignment horizontal="center" vertical="center"/>
    </xf>
    <xf numFmtId="0" fontId="1" fillId="2515" borderId="0" xfId="4" applyFill="1" applyAlignment="1">
      <alignment horizontal="center" vertical="center"/>
    </xf>
    <xf numFmtId="0" fontId="1" fillId="2516" borderId="0" xfId="4" applyFill="1" applyAlignment="1">
      <alignment horizontal="center" vertical="center"/>
    </xf>
    <xf numFmtId="0" fontId="1" fillId="1952" borderId="0" xfId="4" applyFill="1" applyAlignment="1">
      <alignment horizontal="left" vertical="center"/>
    </xf>
    <xf numFmtId="0" fontId="1" fillId="2517" borderId="0" xfId="4" applyFill="1" applyAlignment="1">
      <alignment horizontal="left" vertical="center"/>
    </xf>
    <xf numFmtId="0" fontId="1" fillId="2518" borderId="0" xfId="4" applyFill="1" applyAlignment="1">
      <alignment horizontal="left" vertical="center"/>
    </xf>
    <xf numFmtId="0" fontId="1" fillId="166" borderId="0" xfId="4" applyFill="1" applyAlignment="1">
      <alignment horizontal="left" vertical="center"/>
    </xf>
    <xf numFmtId="0" fontId="1" fillId="58" borderId="0" xfId="4" applyFill="1" applyAlignment="1">
      <alignment horizontal="center" vertical="center"/>
    </xf>
    <xf numFmtId="0" fontId="1" fillId="2519" borderId="0" xfId="4" applyFill="1" applyAlignment="1">
      <alignment horizontal="center" vertical="center"/>
    </xf>
    <xf numFmtId="0" fontId="1" fillId="2520" borderId="0" xfId="4" applyFill="1" applyAlignment="1">
      <alignment horizontal="center" vertical="center"/>
    </xf>
    <xf numFmtId="0" fontId="1" fillId="2521" borderId="0" xfId="4" applyFill="1" applyAlignment="1">
      <alignment horizontal="center" vertical="center"/>
    </xf>
    <xf numFmtId="0" fontId="1" fillId="2522" borderId="0" xfId="4" applyFill="1" applyAlignment="1">
      <alignment horizontal="center" vertical="center"/>
    </xf>
    <xf numFmtId="0" fontId="1" fillId="2523" borderId="0" xfId="4" applyFill="1" applyAlignment="1">
      <alignment vertical="center"/>
    </xf>
    <xf numFmtId="0" fontId="1" fillId="2524" borderId="0" xfId="4" applyFill="1" applyAlignment="1">
      <alignment vertical="center"/>
    </xf>
    <xf numFmtId="0" fontId="1" fillId="2525" borderId="0" xfId="4" applyFill="1" applyAlignment="1">
      <alignment vertical="center"/>
    </xf>
    <xf numFmtId="0" fontId="1" fillId="2526" borderId="0" xfId="4" applyFill="1" applyAlignment="1">
      <alignment vertical="center"/>
    </xf>
    <xf numFmtId="0" fontId="1" fillId="2527" borderId="0" xfId="4" applyFill="1" applyAlignment="1">
      <alignment horizontal="center" vertical="center"/>
    </xf>
    <xf numFmtId="0" fontId="1" fillId="2528" borderId="0" xfId="4" applyFill="1" applyAlignment="1">
      <alignment horizontal="center" vertical="center"/>
    </xf>
    <xf numFmtId="0" fontId="1" fillId="2529" borderId="0" xfId="4" applyFill="1" applyAlignment="1">
      <alignment horizontal="center" vertical="center"/>
    </xf>
    <xf numFmtId="0" fontId="1" fillId="2530" borderId="0" xfId="4" applyFill="1" applyAlignment="1">
      <alignment horizontal="center" vertical="center"/>
    </xf>
    <xf numFmtId="0" fontId="1" fillId="2531" borderId="0" xfId="4" applyFill="1" applyAlignment="1">
      <alignment horizontal="center" vertical="center"/>
    </xf>
    <xf numFmtId="0" fontId="1" fillId="2532" borderId="0" xfId="4" applyFill="1" applyAlignment="1">
      <alignment horizontal="center" vertical="center"/>
    </xf>
    <xf numFmtId="0" fontId="1" fillId="2533" borderId="0" xfId="4" applyFill="1" applyAlignment="1">
      <alignment horizontal="left" vertical="center"/>
    </xf>
    <xf numFmtId="0" fontId="1" fillId="2534" borderId="0" xfId="4" applyFill="1" applyAlignment="1">
      <alignment horizontal="center" vertical="center"/>
    </xf>
    <xf numFmtId="0" fontId="1" fillId="2535" borderId="0" xfId="4" applyFill="1" applyAlignment="1">
      <alignment horizontal="center" vertical="center"/>
    </xf>
    <xf numFmtId="0" fontId="1" fillId="2536" borderId="0" xfId="4" applyFill="1" applyAlignment="1">
      <alignment horizontal="center" vertical="center"/>
    </xf>
    <xf numFmtId="0" fontId="1" fillId="2537" borderId="0" xfId="4" applyFill="1" applyAlignment="1">
      <alignment horizontal="center" vertical="center"/>
    </xf>
    <xf numFmtId="0" fontId="1" fillId="2538" borderId="0" xfId="4" applyFill="1" applyAlignment="1">
      <alignment horizontal="center" vertical="center"/>
    </xf>
    <xf numFmtId="0" fontId="1" fillId="2539" borderId="0" xfId="4" applyFill="1" applyAlignment="1">
      <alignment horizontal="center" vertical="center"/>
    </xf>
    <xf numFmtId="0" fontId="1" fillId="2540" borderId="0" xfId="4" applyFill="1" applyAlignment="1">
      <alignment horizontal="center" vertical="center"/>
    </xf>
    <xf numFmtId="0" fontId="1" fillId="2541" borderId="0" xfId="4" applyFill="1" applyAlignment="1">
      <alignment horizontal="center" vertical="center"/>
    </xf>
    <xf numFmtId="0" fontId="1" fillId="2542" borderId="0" xfId="4" applyFill="1" applyAlignment="1">
      <alignment horizontal="center" vertical="center"/>
    </xf>
    <xf numFmtId="0" fontId="1" fillId="2543" borderId="0" xfId="4" applyFill="1" applyAlignment="1">
      <alignment horizontal="center" vertical="center"/>
    </xf>
    <xf numFmtId="0" fontId="1" fillId="2544" borderId="0" xfId="4" applyFill="1" applyAlignment="1">
      <alignment horizontal="center" vertical="center"/>
    </xf>
    <xf numFmtId="0" fontId="1" fillId="2545" borderId="0" xfId="4" applyFill="1" applyAlignment="1">
      <alignment horizontal="center" vertical="center"/>
    </xf>
    <xf numFmtId="0" fontId="1" fillId="2546" borderId="0" xfId="4" applyFill="1" applyAlignment="1">
      <alignment horizontal="center" vertical="center"/>
    </xf>
    <xf numFmtId="0" fontId="1" fillId="2547" borderId="0" xfId="4" applyFill="1" applyAlignment="1">
      <alignment horizontal="center" vertical="center"/>
    </xf>
    <xf numFmtId="0" fontId="1" fillId="2548" borderId="0" xfId="4" applyFill="1" applyAlignment="1">
      <alignment horizontal="center" vertical="center"/>
    </xf>
    <xf numFmtId="0" fontId="1" fillId="2549" borderId="0" xfId="4" applyFill="1" applyAlignment="1">
      <alignment horizontal="center" vertical="center"/>
    </xf>
    <xf numFmtId="0" fontId="1" fillId="2550" borderId="0" xfId="4" applyFill="1" applyAlignment="1">
      <alignment horizontal="center" vertical="center"/>
    </xf>
    <xf numFmtId="0" fontId="1" fillId="2551" borderId="0" xfId="4" applyFill="1" applyAlignment="1">
      <alignment horizontal="center" vertical="center"/>
    </xf>
    <xf numFmtId="0" fontId="1" fillId="2552" borderId="0" xfId="4" applyFill="1" applyAlignment="1">
      <alignment horizontal="center" vertical="center"/>
    </xf>
    <xf numFmtId="0" fontId="1" fillId="2553" borderId="0" xfId="4" applyFill="1" applyAlignment="1">
      <alignment horizontal="center" vertical="center"/>
    </xf>
    <xf numFmtId="0" fontId="1" fillId="2554" borderId="0" xfId="4" applyFill="1" applyAlignment="1">
      <alignment horizontal="center" vertical="center"/>
    </xf>
    <xf numFmtId="0" fontId="1" fillId="2555" borderId="0" xfId="4" applyFill="1" applyAlignment="1">
      <alignment horizontal="center" vertical="center"/>
    </xf>
    <xf numFmtId="0" fontId="1" fillId="1971" borderId="11" xfId="4" applyFill="1" applyBorder="1" applyAlignment="1">
      <alignment horizontal="center" vertical="center"/>
    </xf>
    <xf numFmtId="0" fontId="1" fillId="2333" borderId="10" xfId="4" applyFill="1" applyBorder="1" applyAlignment="1">
      <alignment horizontal="center" vertical="center"/>
    </xf>
    <xf numFmtId="0" fontId="1" fillId="2051" borderId="10" xfId="4" applyFill="1" applyBorder="1" applyAlignment="1">
      <alignment horizontal="center" vertical="center"/>
    </xf>
    <xf numFmtId="0" fontId="1" fillId="2277" borderId="10" xfId="4" applyFill="1" applyBorder="1" applyAlignment="1">
      <alignment horizontal="center" vertical="center"/>
    </xf>
    <xf numFmtId="0" fontId="1" fillId="2172" borderId="10" xfId="4" applyFill="1" applyBorder="1" applyAlignment="1">
      <alignment horizontal="center" vertical="center"/>
    </xf>
    <xf numFmtId="0" fontId="1" fillId="2279" borderId="10" xfId="4" applyFill="1" applyBorder="1" applyAlignment="1">
      <alignment horizontal="center" vertical="center"/>
    </xf>
    <xf numFmtId="0" fontId="1" fillId="2556" borderId="12" xfId="4" applyFill="1" applyBorder="1" applyAlignment="1">
      <alignment horizontal="center" vertical="center"/>
    </xf>
    <xf numFmtId="0" fontId="1" fillId="2557" borderId="0" xfId="4" applyFill="1" applyAlignment="1">
      <alignment horizontal="center" vertical="center"/>
    </xf>
    <xf numFmtId="0" fontId="1" fillId="2558" borderId="0" xfId="4" applyFill="1" applyAlignment="1">
      <alignment horizontal="center" vertical="center"/>
    </xf>
    <xf numFmtId="0" fontId="1" fillId="2559" borderId="0" xfId="4" applyFill="1" applyAlignment="1">
      <alignment horizontal="center" vertical="center"/>
    </xf>
    <xf numFmtId="0" fontId="1" fillId="2560" borderId="0" xfId="4" applyFill="1" applyAlignment="1">
      <alignment horizontal="center" vertical="center"/>
    </xf>
    <xf numFmtId="0" fontId="1" fillId="2561" borderId="0" xfId="4" applyFill="1" applyAlignment="1">
      <alignment horizontal="center" vertical="center"/>
    </xf>
    <xf numFmtId="0" fontId="1" fillId="2562" borderId="0" xfId="4" applyFill="1" applyAlignment="1">
      <alignment horizontal="center" vertical="center"/>
    </xf>
    <xf numFmtId="0" fontId="1" fillId="2563" borderId="0" xfId="4" applyFill="1" applyAlignment="1">
      <alignment horizontal="center" vertical="center"/>
    </xf>
    <xf numFmtId="0" fontId="1" fillId="2564" borderId="0" xfId="4" applyFill="1" applyAlignment="1">
      <alignment horizontal="center" vertical="center"/>
    </xf>
    <xf numFmtId="0" fontId="1" fillId="2565" borderId="0" xfId="4" applyFill="1" applyAlignment="1">
      <alignment horizontal="center" vertical="center"/>
    </xf>
    <xf numFmtId="0" fontId="1" fillId="2566" borderId="0" xfId="4" applyFill="1" applyAlignment="1">
      <alignment horizontal="center" vertical="center"/>
    </xf>
    <xf numFmtId="0" fontId="1" fillId="2567" borderId="0" xfId="4" applyFill="1" applyAlignment="1">
      <alignment horizontal="center" vertical="center"/>
    </xf>
    <xf numFmtId="0" fontId="1" fillId="2568" borderId="0" xfId="4" applyFill="1" applyAlignment="1">
      <alignment horizontal="center" vertical="center"/>
    </xf>
    <xf numFmtId="0" fontId="1" fillId="2569" borderId="0" xfId="4" applyFill="1" applyAlignment="1">
      <alignment horizontal="center" vertical="center"/>
    </xf>
    <xf numFmtId="0" fontId="1" fillId="2379" borderId="0" xfId="4" applyFill="1" applyAlignment="1">
      <alignment horizontal="left" vertical="center"/>
    </xf>
    <xf numFmtId="0" fontId="1" fillId="2570" borderId="0" xfId="4" applyFill="1" applyAlignment="1">
      <alignment horizontal="left" vertical="center"/>
    </xf>
    <xf numFmtId="0" fontId="1" fillId="2571" borderId="0" xfId="4" applyFill="1" applyAlignment="1">
      <alignment horizontal="left" vertical="center"/>
    </xf>
    <xf numFmtId="0" fontId="1" fillId="2572" borderId="0" xfId="4" applyFill="1" applyAlignment="1">
      <alignment horizontal="left" vertical="center"/>
    </xf>
    <xf numFmtId="0" fontId="1" fillId="2078" borderId="0" xfId="4" applyFill="1" applyAlignment="1">
      <alignment horizontal="left" vertical="center"/>
    </xf>
    <xf numFmtId="0" fontId="1" fillId="280" borderId="0" xfId="4" applyFill="1" applyAlignment="1">
      <alignment horizontal="center" vertical="center"/>
    </xf>
    <xf numFmtId="0" fontId="1" fillId="2573" borderId="0" xfId="4" applyFill="1" applyAlignment="1">
      <alignment horizontal="center" vertical="center"/>
    </xf>
    <xf numFmtId="0" fontId="1" fillId="2574" borderId="0" xfId="4" applyFill="1" applyAlignment="1">
      <alignment horizontal="center" vertical="center"/>
    </xf>
    <xf numFmtId="0" fontId="1" fillId="2575" borderId="0" xfId="4" applyFill="1" applyAlignment="1">
      <alignment horizontal="center" vertical="center"/>
    </xf>
    <xf numFmtId="0" fontId="1" fillId="2576" borderId="0" xfId="4" applyFill="1" applyAlignment="1">
      <alignment vertical="center"/>
    </xf>
    <xf numFmtId="0" fontId="1" fillId="2577" borderId="0" xfId="4" applyFill="1" applyAlignment="1">
      <alignment vertical="center"/>
    </xf>
    <xf numFmtId="0" fontId="1" fillId="2578" borderId="0" xfId="4" applyFill="1" applyAlignment="1">
      <alignment vertical="center"/>
    </xf>
    <xf numFmtId="0" fontId="1" fillId="2579" borderId="0" xfId="4" applyFill="1" applyAlignment="1">
      <alignment vertical="center"/>
    </xf>
    <xf numFmtId="0" fontId="1" fillId="2580" borderId="0" xfId="4" applyFill="1" applyAlignment="1">
      <alignment horizontal="center" vertical="center"/>
    </xf>
    <xf numFmtId="0" fontId="1" fillId="2581" borderId="0" xfId="4" applyFill="1" applyAlignment="1">
      <alignment horizontal="center" vertical="center"/>
    </xf>
    <xf numFmtId="0" fontId="1" fillId="2582" borderId="0" xfId="4" applyFill="1" applyAlignment="1">
      <alignment horizontal="center" vertical="center"/>
    </xf>
    <xf numFmtId="0" fontId="1" fillId="2583" borderId="0" xfId="4" applyFill="1" applyAlignment="1">
      <alignment horizontal="center" vertical="center"/>
    </xf>
    <xf numFmtId="0" fontId="1" fillId="2584" borderId="0" xfId="4" applyFill="1" applyAlignment="1">
      <alignment horizontal="center" vertical="center"/>
    </xf>
    <xf numFmtId="0" fontId="1" fillId="2585" borderId="0" xfId="4" applyFill="1" applyAlignment="1">
      <alignment horizontal="center" vertical="center"/>
    </xf>
    <xf numFmtId="0" fontId="1" fillId="2586" borderId="0" xfId="4" applyFill="1" applyAlignment="1">
      <alignment horizontal="left" vertical="center"/>
    </xf>
    <xf numFmtId="0" fontId="1" fillId="2587" borderId="0" xfId="4" applyFill="1" applyAlignment="1">
      <alignment horizontal="center" vertical="center"/>
    </xf>
    <xf numFmtId="0" fontId="1" fillId="2588" borderId="0" xfId="4" applyFill="1" applyAlignment="1">
      <alignment horizontal="center" vertical="center"/>
    </xf>
    <xf numFmtId="0" fontId="1" fillId="2589" borderId="0" xfId="4" applyFill="1" applyAlignment="1">
      <alignment horizontal="center" vertical="center"/>
    </xf>
    <xf numFmtId="0" fontId="1" fillId="2590" borderId="0" xfId="4" applyFill="1" applyAlignment="1">
      <alignment horizontal="center" vertical="center"/>
    </xf>
    <xf numFmtId="0" fontId="1" fillId="2591" borderId="0" xfId="4" applyFill="1" applyAlignment="1">
      <alignment horizontal="center" vertical="center"/>
    </xf>
    <xf numFmtId="0" fontId="1" fillId="2592" borderId="0" xfId="4" applyFill="1" applyAlignment="1">
      <alignment horizontal="center" vertical="center"/>
    </xf>
    <xf numFmtId="0" fontId="1" fillId="2593" borderId="0" xfId="4" applyFill="1" applyAlignment="1">
      <alignment horizontal="center" vertical="center"/>
    </xf>
    <xf numFmtId="0" fontId="1" fillId="2594" borderId="0" xfId="4" applyFill="1" applyAlignment="1">
      <alignment horizontal="center" vertical="center"/>
    </xf>
    <xf numFmtId="0" fontId="1" fillId="2595" borderId="0" xfId="4" applyFill="1" applyAlignment="1">
      <alignment horizontal="center" vertical="center"/>
    </xf>
    <xf numFmtId="0" fontId="1" fillId="2596" borderId="0" xfId="4" applyFill="1" applyAlignment="1">
      <alignment horizontal="center" vertical="center"/>
    </xf>
    <xf numFmtId="0" fontId="1" fillId="2597" borderId="0" xfId="4" applyFill="1" applyAlignment="1">
      <alignment horizontal="center" vertical="center"/>
    </xf>
    <xf numFmtId="0" fontId="1" fillId="2598" borderId="0" xfId="4" applyFill="1" applyAlignment="1">
      <alignment horizontal="center" vertical="center"/>
    </xf>
    <xf numFmtId="0" fontId="1" fillId="2599" borderId="0" xfId="4" applyFill="1" applyAlignment="1">
      <alignment horizontal="center" vertical="center"/>
    </xf>
    <xf numFmtId="0" fontId="1" fillId="2600" borderId="0" xfId="4" applyFill="1" applyAlignment="1">
      <alignment horizontal="center" vertical="center"/>
    </xf>
    <xf numFmtId="0" fontId="1" fillId="2601" borderId="0" xfId="4" applyFill="1" applyAlignment="1">
      <alignment horizontal="center" vertical="center"/>
    </xf>
    <xf numFmtId="0" fontId="1" fillId="2602" borderId="0" xfId="4" applyFill="1" applyAlignment="1">
      <alignment horizontal="center" vertical="center"/>
    </xf>
    <xf numFmtId="0" fontId="1" fillId="2603" borderId="0" xfId="4" applyFill="1" applyAlignment="1">
      <alignment horizontal="center" vertical="center"/>
    </xf>
    <xf numFmtId="0" fontId="1" fillId="2604" borderId="0" xfId="4" applyFill="1" applyAlignment="1">
      <alignment horizontal="center" vertical="center"/>
    </xf>
    <xf numFmtId="0" fontId="1" fillId="2605" borderId="0" xfId="4" applyFill="1" applyAlignment="1">
      <alignment horizontal="center" vertical="center"/>
    </xf>
    <xf numFmtId="0" fontId="1" fillId="2606" borderId="0" xfId="4" applyFill="1" applyAlignment="1">
      <alignment horizontal="center" vertical="center"/>
    </xf>
    <xf numFmtId="0" fontId="1" fillId="2607" borderId="0" xfId="4" applyFill="1" applyAlignment="1">
      <alignment horizontal="center" vertical="center"/>
    </xf>
    <xf numFmtId="0" fontId="1" fillId="2608" borderId="0" xfId="4" applyFill="1" applyAlignment="1">
      <alignment horizontal="center" vertical="center"/>
    </xf>
    <xf numFmtId="0" fontId="1" fillId="2609" borderId="0" xfId="4" applyFill="1" applyAlignment="1">
      <alignment horizontal="center" vertical="center"/>
    </xf>
    <xf numFmtId="0" fontId="1" fillId="2610" borderId="0" xfId="4" applyFill="1" applyAlignment="1">
      <alignment horizontal="center" vertical="center"/>
    </xf>
    <xf numFmtId="0" fontId="1" fillId="2611" borderId="0" xfId="4" applyFill="1" applyAlignment="1">
      <alignment horizontal="center" vertical="center"/>
    </xf>
    <xf numFmtId="0" fontId="1" fillId="2612" borderId="0" xfId="4" applyFill="1" applyAlignment="1">
      <alignment horizontal="center" vertical="center"/>
    </xf>
    <xf numFmtId="0" fontId="1" fillId="2613" borderId="0" xfId="4" applyFill="1" applyAlignment="1">
      <alignment horizontal="center" vertical="center"/>
    </xf>
    <xf numFmtId="0" fontId="1" fillId="2614" borderId="0" xfId="4" applyFill="1" applyAlignment="1">
      <alignment horizontal="center" vertical="center"/>
    </xf>
    <xf numFmtId="0" fontId="1" fillId="2615" borderId="0" xfId="4" applyFill="1" applyAlignment="1">
      <alignment horizontal="center" vertical="center"/>
    </xf>
    <xf numFmtId="0" fontId="1" fillId="2616" borderId="0" xfId="4" applyFill="1" applyAlignment="1">
      <alignment horizontal="center" vertical="center"/>
    </xf>
    <xf numFmtId="0" fontId="1" fillId="2617" borderId="0" xfId="4" applyFill="1" applyAlignment="1">
      <alignment horizontal="center" vertical="center"/>
    </xf>
    <xf numFmtId="0" fontId="1" fillId="2049" borderId="23" xfId="4" applyFill="1" applyBorder="1" applyAlignment="1">
      <alignment horizontal="center" vertical="center"/>
    </xf>
    <xf numFmtId="0" fontId="1" fillId="2618" borderId="23" xfId="4" applyFill="1" applyBorder="1" applyAlignment="1">
      <alignment horizontal="center" vertical="center"/>
    </xf>
    <xf numFmtId="0" fontId="1" fillId="2619" borderId="23" xfId="4" applyFill="1" applyBorder="1" applyAlignment="1">
      <alignment horizontal="center" vertical="center"/>
    </xf>
    <xf numFmtId="0" fontId="1" fillId="2283" borderId="23" xfId="4" applyFill="1" applyBorder="1" applyAlignment="1">
      <alignment horizontal="center" vertical="center"/>
    </xf>
    <xf numFmtId="0" fontId="1" fillId="2620" borderId="24" xfId="4" applyFill="1" applyBorder="1" applyAlignment="1">
      <alignment horizontal="center" vertical="center"/>
    </xf>
    <xf numFmtId="0" fontId="1" fillId="2621" borderId="0" xfId="4" applyFill="1" applyAlignment="1">
      <alignment horizontal="center" vertical="center"/>
    </xf>
    <xf numFmtId="0" fontId="1" fillId="2622" borderId="0" xfId="4" applyFill="1" applyAlignment="1">
      <alignment horizontal="center" vertical="center"/>
    </xf>
    <xf numFmtId="0" fontId="1" fillId="2623" borderId="0" xfId="4" applyFill="1" applyAlignment="1">
      <alignment horizontal="center" vertical="center"/>
    </xf>
    <xf numFmtId="0" fontId="1" fillId="2624" borderId="0" xfId="4" applyFill="1" applyAlignment="1">
      <alignment horizontal="center" vertical="center"/>
    </xf>
    <xf numFmtId="0" fontId="1" fillId="2625" borderId="0" xfId="4" applyFill="1" applyAlignment="1">
      <alignment horizontal="center" vertical="center"/>
    </xf>
    <xf numFmtId="0" fontId="1" fillId="2626" borderId="0" xfId="4" applyFill="1" applyAlignment="1">
      <alignment horizontal="left" vertical="center"/>
    </xf>
    <xf numFmtId="0" fontId="1" fillId="2627" borderId="0" xfId="4" applyFill="1" applyAlignment="1">
      <alignment horizontal="left" vertical="center"/>
    </xf>
    <xf numFmtId="0" fontId="1" fillId="2628" borderId="0" xfId="4" applyFill="1" applyAlignment="1">
      <alignment horizontal="left" vertical="center"/>
    </xf>
    <xf numFmtId="0" fontId="1" fillId="2629" borderId="0" xfId="4" applyFill="1" applyAlignment="1">
      <alignment horizontal="left" vertical="center"/>
    </xf>
    <xf numFmtId="0" fontId="1" fillId="87" borderId="0" xfId="4" applyFill="1" applyAlignment="1">
      <alignment horizontal="left" vertical="center"/>
    </xf>
    <xf numFmtId="0" fontId="1" fillId="2630" borderId="0" xfId="4" applyFill="1" applyAlignment="1">
      <alignment horizontal="center" vertical="center"/>
    </xf>
    <xf numFmtId="0" fontId="1" fillId="251" borderId="0" xfId="4" applyFill="1" applyAlignment="1">
      <alignment horizontal="center" vertical="center"/>
    </xf>
    <xf numFmtId="0" fontId="1" fillId="2631" borderId="0" xfId="4" applyFill="1" applyAlignment="1">
      <alignment horizontal="center" vertical="center"/>
    </xf>
    <xf numFmtId="0" fontId="1" fillId="2632" borderId="0" xfId="4" applyFill="1" applyAlignment="1">
      <alignment horizontal="center" vertical="center"/>
    </xf>
    <xf numFmtId="0" fontId="1" fillId="2633" borderId="0" xfId="4" applyFill="1" applyAlignment="1">
      <alignment horizontal="center" vertical="center"/>
    </xf>
    <xf numFmtId="0" fontId="1" fillId="2634" borderId="0" xfId="4" applyFill="1" applyAlignment="1">
      <alignment horizontal="center" vertical="center"/>
    </xf>
    <xf numFmtId="0" fontId="1" fillId="2635" borderId="0" xfId="4" applyFill="1" applyAlignment="1">
      <alignment vertical="center"/>
    </xf>
    <xf numFmtId="0" fontId="1" fillId="2636" borderId="0" xfId="4" applyFill="1" applyAlignment="1">
      <alignment vertical="center"/>
    </xf>
    <xf numFmtId="0" fontId="1" fillId="2637" borderId="0" xfId="4" applyFill="1" applyAlignment="1">
      <alignment vertical="center"/>
    </xf>
    <xf numFmtId="0" fontId="1" fillId="2638" borderId="0" xfId="4" applyFill="1" applyAlignment="1">
      <alignment vertical="center"/>
    </xf>
    <xf numFmtId="0" fontId="1" fillId="2639" borderId="0" xfId="4" applyFill="1" applyAlignment="1">
      <alignment horizontal="center" vertical="center"/>
    </xf>
    <xf numFmtId="0" fontId="1" fillId="2640" borderId="0" xfId="4" applyFill="1" applyAlignment="1">
      <alignment horizontal="center" vertical="center"/>
    </xf>
    <xf numFmtId="0" fontId="1" fillId="2641" borderId="0" xfId="4" applyFill="1" applyAlignment="1">
      <alignment horizontal="center" vertical="center"/>
    </xf>
    <xf numFmtId="0" fontId="1" fillId="2642" borderId="0" xfId="4" applyFill="1" applyAlignment="1">
      <alignment horizontal="center" vertical="center"/>
    </xf>
    <xf numFmtId="0" fontId="1" fillId="2641" borderId="0" xfId="4" applyFill="1" applyAlignment="1">
      <alignment horizontal="left" vertical="center"/>
    </xf>
    <xf numFmtId="0" fontId="1" fillId="2643" borderId="0" xfId="4" applyFill="1" applyAlignment="1">
      <alignment horizontal="center" vertical="center"/>
    </xf>
    <xf numFmtId="0" fontId="1" fillId="2644" borderId="0" xfId="4" applyFill="1" applyAlignment="1">
      <alignment horizontal="center" vertical="center"/>
    </xf>
    <xf numFmtId="0" fontId="1" fillId="2645" borderId="0" xfId="4" applyFill="1" applyAlignment="1">
      <alignment horizontal="center" vertical="center"/>
    </xf>
    <xf numFmtId="0" fontId="1" fillId="2646" borderId="0" xfId="4" applyFill="1" applyAlignment="1">
      <alignment horizontal="center" vertical="center"/>
    </xf>
    <xf numFmtId="0" fontId="1" fillId="2647" borderId="0" xfId="4" applyFill="1" applyAlignment="1">
      <alignment horizontal="center" vertical="center"/>
    </xf>
    <xf numFmtId="0" fontId="1" fillId="2648" borderId="0" xfId="4" applyFill="1" applyAlignment="1">
      <alignment horizontal="center" vertical="center"/>
    </xf>
    <xf numFmtId="0" fontId="1" fillId="2649" borderId="0" xfId="4" applyFill="1" applyAlignment="1">
      <alignment horizontal="center" vertical="center"/>
    </xf>
    <xf numFmtId="0" fontId="1" fillId="2650" borderId="0" xfId="4" applyFill="1" applyAlignment="1">
      <alignment horizontal="center" vertical="center"/>
    </xf>
    <xf numFmtId="0" fontId="1" fillId="2651" borderId="0" xfId="4" applyFill="1" applyAlignment="1">
      <alignment horizontal="center" vertical="center"/>
    </xf>
    <xf numFmtId="0" fontId="1" fillId="2652" borderId="0" xfId="4" applyFill="1" applyAlignment="1">
      <alignment horizontal="center" vertical="center"/>
    </xf>
    <xf numFmtId="0" fontId="1" fillId="1303" borderId="0" xfId="4" applyFill="1" applyAlignment="1">
      <alignment horizontal="center" vertical="center"/>
    </xf>
    <xf numFmtId="0" fontId="1" fillId="2653" borderId="0" xfId="4" applyFill="1" applyAlignment="1">
      <alignment horizontal="center" vertical="center"/>
    </xf>
    <xf numFmtId="0" fontId="1" fillId="2654" borderId="0" xfId="4" applyFill="1" applyAlignment="1">
      <alignment horizontal="center" vertical="center"/>
    </xf>
    <xf numFmtId="0" fontId="1" fillId="2655" borderId="0" xfId="4" applyFill="1" applyAlignment="1">
      <alignment horizontal="center" vertical="center"/>
    </xf>
    <xf numFmtId="0" fontId="1" fillId="2656" borderId="0" xfId="4" applyFill="1" applyAlignment="1">
      <alignment horizontal="center" vertical="center"/>
    </xf>
    <xf numFmtId="0" fontId="1" fillId="2657" borderId="0" xfId="4" applyFill="1" applyAlignment="1">
      <alignment horizontal="center" vertical="center"/>
    </xf>
    <xf numFmtId="0" fontId="1" fillId="2658" borderId="0" xfId="4" applyFill="1" applyAlignment="1">
      <alignment horizontal="center" vertical="center"/>
    </xf>
    <xf numFmtId="0" fontId="1" fillId="2659" borderId="0" xfId="4" applyFill="1" applyAlignment="1">
      <alignment horizontal="center" vertical="center"/>
    </xf>
    <xf numFmtId="0" fontId="1" fillId="2660" borderId="0" xfId="4" applyFill="1" applyAlignment="1">
      <alignment horizontal="center" vertical="center"/>
    </xf>
    <xf numFmtId="0" fontId="1" fillId="2661" borderId="0" xfId="4" applyFill="1" applyAlignment="1">
      <alignment horizontal="center" vertical="center"/>
    </xf>
    <xf numFmtId="0" fontId="1" fillId="2662" borderId="0" xfId="4" applyFill="1" applyAlignment="1">
      <alignment horizontal="center" vertical="center"/>
    </xf>
    <xf numFmtId="0" fontId="1" fillId="2663" borderId="0" xfId="4" applyFill="1" applyAlignment="1">
      <alignment horizontal="center" vertical="center"/>
    </xf>
    <xf numFmtId="0" fontId="1" fillId="2046" borderId="25" xfId="4" applyFill="1" applyBorder="1" applyAlignment="1">
      <alignment horizontal="center" vertical="center"/>
    </xf>
    <xf numFmtId="0" fontId="1" fillId="2664" borderId="0" xfId="4" applyFill="1" applyAlignment="1">
      <alignment horizontal="center" vertical="center"/>
    </xf>
    <xf numFmtId="0" fontId="1" fillId="2665" borderId="0" xfId="4" applyFill="1" applyAlignment="1">
      <alignment horizontal="center" vertical="center"/>
    </xf>
    <xf numFmtId="0" fontId="1" fillId="2121" borderId="26" xfId="4" applyFill="1" applyBorder="1" applyAlignment="1">
      <alignment horizontal="center" vertical="center"/>
    </xf>
    <xf numFmtId="0" fontId="1" fillId="2666" borderId="0" xfId="4" applyFill="1" applyAlignment="1">
      <alignment horizontal="center" vertical="center"/>
    </xf>
    <xf numFmtId="0" fontId="1" fillId="2667" borderId="0" xfId="4" applyFill="1" applyAlignment="1">
      <alignment horizontal="center" vertical="center"/>
    </xf>
    <xf numFmtId="0" fontId="1" fillId="2668" borderId="0" xfId="4" applyFill="1" applyAlignment="1">
      <alignment horizontal="center" vertical="center"/>
    </xf>
    <xf numFmtId="0" fontId="1" fillId="2669" borderId="0" xfId="4" applyFill="1" applyAlignment="1">
      <alignment horizontal="center" vertical="center"/>
    </xf>
    <xf numFmtId="0" fontId="1" fillId="2670" borderId="0" xfId="4" applyFill="1" applyAlignment="1">
      <alignment horizontal="center" vertical="center"/>
    </xf>
    <xf numFmtId="0" fontId="1" fillId="2671" borderId="0" xfId="4" applyFill="1" applyAlignment="1">
      <alignment horizontal="left" vertical="center"/>
    </xf>
    <xf numFmtId="0" fontId="1" fillId="2672" borderId="0" xfId="4" applyFill="1" applyAlignment="1">
      <alignment horizontal="left" vertical="center"/>
    </xf>
    <xf numFmtId="0" fontId="1" fillId="2673" borderId="0" xfId="4" applyFill="1" applyAlignment="1">
      <alignment horizontal="left" vertical="center"/>
    </xf>
    <xf numFmtId="0" fontId="1" fillId="2674" borderId="0" xfId="4" applyFill="1" applyAlignment="1">
      <alignment horizontal="left" vertical="center"/>
    </xf>
    <xf numFmtId="0" fontId="1" fillId="2675" borderId="0" xfId="4" applyFill="1" applyAlignment="1">
      <alignment horizontal="left" vertical="center"/>
    </xf>
    <xf numFmtId="0" fontId="1" fillId="2676" borderId="0" xfId="4" applyFill="1" applyAlignment="1">
      <alignment horizontal="left" vertical="center"/>
    </xf>
    <xf numFmtId="0" fontId="1" fillId="1688" borderId="0" xfId="4" applyFill="1" applyAlignment="1">
      <alignment horizontal="left" vertical="center"/>
    </xf>
    <xf numFmtId="0" fontId="1" fillId="2677" borderId="0" xfId="4" applyFill="1" applyAlignment="1">
      <alignment horizontal="center" vertical="center"/>
    </xf>
    <xf numFmtId="0" fontId="1" fillId="2678" borderId="0" xfId="4" applyFill="1" applyAlignment="1">
      <alignment horizontal="center" vertical="center"/>
    </xf>
    <xf numFmtId="0" fontId="1" fillId="2679" borderId="0" xfId="4" applyFill="1" applyAlignment="1">
      <alignment horizontal="center" vertical="center"/>
    </xf>
    <xf numFmtId="0" fontId="1" fillId="2680" borderId="0" xfId="4" applyFill="1" applyAlignment="1">
      <alignment horizontal="center" vertical="center"/>
    </xf>
    <xf numFmtId="0" fontId="1" fillId="2681" borderId="0" xfId="4" applyFill="1" applyAlignment="1">
      <alignment horizontal="center" vertical="center"/>
    </xf>
    <xf numFmtId="0" fontId="1" fillId="2682" borderId="0" xfId="4" applyFill="1" applyAlignment="1">
      <alignment horizontal="center" vertical="center"/>
    </xf>
    <xf numFmtId="0" fontId="1" fillId="2683" borderId="0" xfId="4" applyFill="1" applyAlignment="1">
      <alignment vertical="center"/>
    </xf>
    <xf numFmtId="0" fontId="1" fillId="2581" borderId="0" xfId="4" applyFill="1" applyAlignment="1">
      <alignment vertical="center"/>
    </xf>
    <xf numFmtId="0" fontId="1" fillId="2684" borderId="0" xfId="4" applyFill="1" applyAlignment="1">
      <alignment vertical="center"/>
    </xf>
    <xf numFmtId="0" fontId="1" fillId="2685" borderId="0" xfId="4" applyFill="1" applyAlignment="1">
      <alignment horizontal="center" vertical="center"/>
    </xf>
    <xf numFmtId="0" fontId="1" fillId="2586" borderId="0" xfId="4" applyFill="1" applyAlignment="1">
      <alignment horizontal="center" vertical="center"/>
    </xf>
    <xf numFmtId="0" fontId="1" fillId="2638" borderId="0" xfId="4" applyFill="1" applyAlignment="1">
      <alignment horizontal="left" vertical="center"/>
    </xf>
    <xf numFmtId="0" fontId="1" fillId="2638" borderId="0" xfId="4" applyFill="1" applyAlignment="1">
      <alignment horizontal="center" vertical="center"/>
    </xf>
    <xf numFmtId="0" fontId="1" fillId="2686" borderId="0" xfId="4" applyFill="1" applyAlignment="1">
      <alignment horizontal="center" vertical="center"/>
    </xf>
    <xf numFmtId="0" fontId="1" fillId="2687" borderId="0" xfId="4" applyFill="1" applyAlignment="1">
      <alignment horizontal="center" vertical="center"/>
    </xf>
    <xf numFmtId="0" fontId="1" fillId="2688" borderId="0" xfId="4" applyFill="1" applyAlignment="1">
      <alignment horizontal="center" vertical="center"/>
    </xf>
    <xf numFmtId="0" fontId="1" fillId="2689" borderId="0" xfId="4" applyFill="1" applyAlignment="1">
      <alignment horizontal="center" vertical="center"/>
    </xf>
    <xf numFmtId="0" fontId="1" fillId="2690" borderId="0" xfId="4" applyFill="1" applyAlignment="1">
      <alignment horizontal="center" vertical="center"/>
    </xf>
    <xf numFmtId="0" fontId="1" fillId="2691" borderId="0" xfId="4" applyFill="1" applyAlignment="1">
      <alignment horizontal="center" vertical="center"/>
    </xf>
    <xf numFmtId="0" fontId="1" fillId="2692" borderId="0" xfId="4" applyFill="1" applyAlignment="1">
      <alignment horizontal="center" vertical="center"/>
    </xf>
    <xf numFmtId="0" fontId="1" fillId="2693" borderId="0" xfId="4" applyFill="1" applyAlignment="1">
      <alignment horizontal="center" vertical="center"/>
    </xf>
    <xf numFmtId="0" fontId="1" fillId="2694" borderId="0" xfId="4" applyFill="1" applyAlignment="1">
      <alignment horizontal="center" vertical="center"/>
    </xf>
    <xf numFmtId="0" fontId="1" fillId="2695" borderId="0" xfId="4" applyFill="1" applyAlignment="1">
      <alignment horizontal="center" vertical="center"/>
    </xf>
    <xf numFmtId="0" fontId="1" fillId="2696" borderId="0" xfId="4" applyFill="1" applyAlignment="1">
      <alignment horizontal="center" vertical="center"/>
    </xf>
    <xf numFmtId="0" fontId="1" fillId="2697" borderId="0" xfId="4" applyFill="1" applyAlignment="1">
      <alignment horizontal="center" vertical="center"/>
    </xf>
    <xf numFmtId="0" fontId="1" fillId="2698" borderId="0" xfId="4" applyFill="1" applyAlignment="1">
      <alignment horizontal="center" vertical="center"/>
    </xf>
    <xf numFmtId="0" fontId="1" fillId="2699" borderId="0" xfId="4" applyFill="1" applyAlignment="1">
      <alignment horizontal="center" vertical="center"/>
    </xf>
    <xf numFmtId="0" fontId="1" fillId="2700" borderId="0" xfId="4" applyFill="1" applyAlignment="1">
      <alignment horizontal="center" vertical="center"/>
    </xf>
    <xf numFmtId="0" fontId="1" fillId="740" borderId="0" xfId="4" applyFill="1" applyAlignment="1">
      <alignment horizontal="center" vertical="center"/>
    </xf>
    <xf numFmtId="0" fontId="1" fillId="2701" borderId="0" xfId="4" applyFill="1" applyAlignment="1">
      <alignment horizontal="center" vertical="center"/>
    </xf>
    <xf numFmtId="0" fontId="1" fillId="2702" borderId="0" xfId="4" applyFill="1" applyAlignment="1">
      <alignment horizontal="center" vertical="center"/>
    </xf>
    <xf numFmtId="0" fontId="1" fillId="2556" borderId="0" xfId="4" applyFill="1" applyAlignment="1">
      <alignment horizontal="center" vertical="center"/>
    </xf>
    <xf numFmtId="0" fontId="1" fillId="2703" borderId="0" xfId="4" applyFill="1" applyAlignment="1">
      <alignment horizontal="center" vertical="center"/>
    </xf>
    <xf numFmtId="0" fontId="1" fillId="2704" borderId="0" xfId="4" applyFill="1" applyAlignment="1">
      <alignment horizontal="center" vertical="center"/>
    </xf>
    <xf numFmtId="0" fontId="1" fillId="2705" borderId="0" xfId="4" applyFill="1" applyAlignment="1">
      <alignment horizontal="center" vertical="center"/>
    </xf>
    <xf numFmtId="0" fontId="1" fillId="2120" borderId="25" xfId="4" applyFill="1" applyBorder="1" applyAlignment="1">
      <alignment horizontal="center" vertical="center"/>
    </xf>
    <xf numFmtId="0" fontId="1" fillId="2706" borderId="0" xfId="4" applyFill="1" applyAlignment="1">
      <alignment horizontal="center" vertical="center"/>
    </xf>
    <xf numFmtId="0" fontId="1" fillId="2560" borderId="26" xfId="4" applyFill="1" applyBorder="1" applyAlignment="1">
      <alignment horizontal="center" vertical="center"/>
    </xf>
    <xf numFmtId="0" fontId="1" fillId="2707" borderId="0" xfId="4" applyFill="1" applyAlignment="1">
      <alignment horizontal="center" vertical="center"/>
    </xf>
    <xf numFmtId="0" fontId="1" fillId="2708" borderId="0" xfId="4" applyFill="1" applyAlignment="1">
      <alignment horizontal="center" vertical="center"/>
    </xf>
    <xf numFmtId="0" fontId="1" fillId="2709" borderId="0" xfId="4" applyFill="1" applyAlignment="1">
      <alignment horizontal="center" vertical="center"/>
    </xf>
    <xf numFmtId="0" fontId="1" fillId="2710" borderId="0" xfId="4" applyFill="1" applyAlignment="1">
      <alignment horizontal="center" vertical="center"/>
    </xf>
    <xf numFmtId="0" fontId="1" fillId="2711" borderId="0" xfId="4" applyFill="1" applyAlignment="1">
      <alignment horizontal="center" vertical="center"/>
    </xf>
    <xf numFmtId="0" fontId="1" fillId="2712" borderId="0" xfId="4" applyFill="1" applyAlignment="1">
      <alignment horizontal="center" vertical="center"/>
    </xf>
    <xf numFmtId="0" fontId="1" fillId="2713" borderId="0" xfId="4" applyFill="1" applyAlignment="1">
      <alignment horizontal="left" vertical="center"/>
    </xf>
    <xf numFmtId="0" fontId="1" fillId="2714" borderId="0" xfId="4" applyFill="1" applyAlignment="1">
      <alignment horizontal="left" vertical="center"/>
    </xf>
    <xf numFmtId="0" fontId="1" fillId="2715" borderId="0" xfId="4" applyFill="1" applyAlignment="1">
      <alignment horizontal="left" vertical="center"/>
    </xf>
    <xf numFmtId="0" fontId="1" fillId="2716" borderId="0" xfId="4" applyFill="1" applyAlignment="1">
      <alignment horizontal="left" vertical="center"/>
    </xf>
    <xf numFmtId="0" fontId="1" fillId="1762" borderId="0" xfId="4" applyFill="1" applyAlignment="1">
      <alignment horizontal="left" vertical="center"/>
    </xf>
    <xf numFmtId="0" fontId="1" fillId="1838" borderId="0" xfId="4" applyFill="1" applyAlignment="1">
      <alignment horizontal="left" vertical="center"/>
    </xf>
    <xf numFmtId="0" fontId="1" fillId="2717" borderId="0" xfId="4" applyFill="1" applyAlignment="1">
      <alignment horizontal="center" vertical="center"/>
    </xf>
    <xf numFmtId="0" fontId="1" fillId="2718" borderId="0" xfId="4" applyFill="1" applyAlignment="1">
      <alignment horizontal="center" vertical="center"/>
    </xf>
    <xf numFmtId="0" fontId="1" fillId="2719" borderId="0" xfId="4" applyFill="1" applyAlignment="1">
      <alignment horizontal="center" vertical="center"/>
    </xf>
    <xf numFmtId="0" fontId="1" fillId="2720" borderId="0" xfId="4" applyFill="1" applyAlignment="1">
      <alignment horizontal="center" vertical="center"/>
    </xf>
    <xf numFmtId="0" fontId="1" fillId="2721" borderId="0" xfId="4" applyFill="1" applyAlignment="1">
      <alignment horizontal="center" vertical="center"/>
    </xf>
    <xf numFmtId="0" fontId="1" fillId="2722" borderId="0" xfId="4" applyFill="1" applyAlignment="1">
      <alignment horizontal="center" vertical="center"/>
    </xf>
    <xf numFmtId="0" fontId="1" fillId="2723" borderId="0" xfId="4" applyFill="1" applyAlignment="1">
      <alignment horizontal="center" vertical="center"/>
    </xf>
    <xf numFmtId="0" fontId="1" fillId="2685" borderId="22" xfId="4" applyFill="1" applyBorder="1" applyAlignment="1">
      <alignment horizontal="center" vertical="center"/>
    </xf>
    <xf numFmtId="0" fontId="1" fillId="2641" borderId="23" xfId="4" applyFill="1" applyBorder="1" applyAlignment="1">
      <alignment horizontal="center" vertical="center"/>
    </xf>
    <xf numFmtId="0" fontId="1" fillId="2685" borderId="23" xfId="4" applyFill="1" applyBorder="1" applyAlignment="1">
      <alignment horizontal="center" vertical="center"/>
    </xf>
    <xf numFmtId="0" fontId="1" fillId="2642" borderId="23" xfId="4" applyFill="1" applyBorder="1" applyAlignment="1">
      <alignment horizontal="center" vertical="center"/>
    </xf>
    <xf numFmtId="0" fontId="1" fillId="2584" borderId="23" xfId="4" applyFill="1" applyBorder="1" applyAlignment="1">
      <alignment horizontal="center" vertical="center"/>
    </xf>
    <xf numFmtId="0" fontId="1" fillId="2640" borderId="23" xfId="4" applyFill="1" applyBorder="1" applyAlignment="1">
      <alignment horizontal="center" vertical="center"/>
    </xf>
    <xf numFmtId="0" fontId="1" fillId="2724" borderId="23" xfId="4" applyFill="1" applyBorder="1" applyAlignment="1">
      <alignment horizontal="center" vertical="center"/>
    </xf>
    <xf numFmtId="0" fontId="1" fillId="2644" borderId="23" xfId="4" applyFill="1" applyBorder="1" applyAlignment="1">
      <alignment horizontal="center" vertical="center"/>
    </xf>
    <xf numFmtId="0" fontId="1" fillId="2640" borderId="24" xfId="4" applyFill="1" applyBorder="1" applyAlignment="1">
      <alignment horizontal="center" vertical="center"/>
    </xf>
    <xf numFmtId="0" fontId="1" fillId="2725" borderId="0" xfId="4" applyFill="1" applyAlignment="1">
      <alignment horizontal="center" vertical="center"/>
    </xf>
    <xf numFmtId="0" fontId="1" fillId="2726" borderId="0" xfId="4" applyFill="1" applyAlignment="1">
      <alignment horizontal="center" vertical="center"/>
    </xf>
    <xf numFmtId="0" fontId="1" fillId="2727" borderId="0" xfId="4" applyFill="1" applyAlignment="1">
      <alignment horizontal="center" vertical="center"/>
    </xf>
    <xf numFmtId="0" fontId="1" fillId="2728" borderId="0" xfId="4" applyFill="1" applyAlignment="1">
      <alignment horizontal="center" vertical="center"/>
    </xf>
    <xf numFmtId="0" fontId="1" fillId="2729" borderId="0" xfId="4" applyFill="1" applyAlignment="1">
      <alignment horizontal="center" vertical="center"/>
    </xf>
    <xf numFmtId="0" fontId="1" fillId="2730" borderId="0" xfId="4" applyFill="1" applyAlignment="1">
      <alignment horizontal="center" vertical="center"/>
    </xf>
    <xf numFmtId="0" fontId="1" fillId="2731" borderId="0" xfId="4" applyFill="1" applyAlignment="1">
      <alignment horizontal="center" vertical="center"/>
    </xf>
    <xf numFmtId="0" fontId="1" fillId="2732" borderId="0" xfId="4" applyFill="1" applyAlignment="1">
      <alignment horizontal="center" vertical="center"/>
    </xf>
    <xf numFmtId="0" fontId="1" fillId="2733" borderId="0" xfId="4" applyFill="1" applyAlignment="1">
      <alignment horizontal="center" vertical="center"/>
    </xf>
    <xf numFmtId="0" fontId="1" fillId="2734" borderId="0" xfId="4" applyFill="1" applyAlignment="1">
      <alignment horizontal="center" vertical="center"/>
    </xf>
    <xf numFmtId="0" fontId="1" fillId="2735" borderId="0" xfId="4" applyFill="1" applyAlignment="1">
      <alignment horizontal="center" vertical="center"/>
    </xf>
    <xf numFmtId="0" fontId="1" fillId="2736" borderId="0" xfId="4" applyFill="1" applyAlignment="1">
      <alignment horizontal="center" vertical="center"/>
    </xf>
    <xf numFmtId="0" fontId="1" fillId="2737" borderId="0" xfId="4" applyFill="1" applyAlignment="1">
      <alignment horizontal="center" vertical="center"/>
    </xf>
    <xf numFmtId="0" fontId="1" fillId="2738" borderId="0" xfId="4" applyFill="1" applyAlignment="1">
      <alignment horizontal="center" vertical="center"/>
    </xf>
    <xf numFmtId="0" fontId="1" fillId="2739" borderId="0" xfId="4" applyFill="1" applyAlignment="1">
      <alignment horizontal="center" vertical="center"/>
    </xf>
    <xf numFmtId="0" fontId="1" fillId="2740" borderId="0" xfId="4" applyFill="1" applyAlignment="1">
      <alignment horizontal="center" vertical="center"/>
    </xf>
    <xf numFmtId="0" fontId="1" fillId="2445" borderId="0" xfId="4" applyFill="1" applyAlignment="1">
      <alignment horizontal="center" vertical="center"/>
    </xf>
    <xf numFmtId="0" fontId="1" fillId="2741" borderId="0" xfId="4" applyFill="1" applyAlignment="1">
      <alignment horizontal="center" vertical="center"/>
    </xf>
    <xf numFmtId="0" fontId="1" fillId="2119" borderId="25" xfId="4" applyFill="1" applyBorder="1" applyAlignment="1">
      <alignment horizontal="center" vertical="center"/>
    </xf>
    <xf numFmtId="0" fontId="1" fillId="2742" borderId="0" xfId="4" applyFill="1" applyAlignment="1">
      <alignment horizontal="center" vertical="center"/>
    </xf>
    <xf numFmtId="0" fontId="1" fillId="2743" borderId="26" xfId="4" applyFill="1" applyBorder="1" applyAlignment="1">
      <alignment horizontal="center" vertical="center"/>
    </xf>
    <xf numFmtId="0" fontId="1" fillId="2744" borderId="0" xfId="4" applyFill="1" applyAlignment="1">
      <alignment horizontal="center" vertical="center"/>
    </xf>
    <xf numFmtId="0" fontId="1" fillId="2745" borderId="0" xfId="4" applyFill="1" applyAlignment="1">
      <alignment horizontal="center" vertical="center"/>
    </xf>
    <xf numFmtId="0" fontId="1" fillId="2746" borderId="0" xfId="4" applyFill="1" applyAlignment="1">
      <alignment horizontal="center" vertical="center"/>
    </xf>
    <xf numFmtId="0" fontId="1" fillId="2747" borderId="0" xfId="4" applyFill="1" applyAlignment="1">
      <alignment horizontal="center" vertical="center"/>
    </xf>
    <xf numFmtId="0" fontId="1" fillId="2748" borderId="0" xfId="4" applyFill="1" applyAlignment="1">
      <alignment horizontal="center" vertical="center"/>
    </xf>
    <xf numFmtId="0" fontId="1" fillId="2749" borderId="0" xfId="4" applyFill="1" applyAlignment="1">
      <alignment horizontal="left" vertical="center"/>
    </xf>
    <xf numFmtId="0" fontId="1" fillId="2750" borderId="0" xfId="4" applyFill="1" applyAlignment="1">
      <alignment horizontal="left" vertical="center"/>
    </xf>
    <xf numFmtId="0" fontId="1" fillId="2751" borderId="0" xfId="4" applyFill="1" applyAlignment="1">
      <alignment horizontal="left" vertical="center"/>
    </xf>
    <xf numFmtId="0" fontId="1" fillId="2752" borderId="0" xfId="4" applyFill="1" applyAlignment="1">
      <alignment horizontal="left" vertical="center"/>
    </xf>
    <xf numFmtId="0" fontId="1" fillId="1837" borderId="0" xfId="4" applyFill="1" applyAlignment="1">
      <alignment horizontal="left" vertical="center"/>
    </xf>
    <xf numFmtId="0" fontId="1" fillId="2753" borderId="0" xfId="4" applyFill="1" applyAlignment="1">
      <alignment horizontal="left" vertical="center"/>
    </xf>
    <xf numFmtId="0" fontId="1" fillId="2754" borderId="0" xfId="4" applyFill="1" applyAlignment="1">
      <alignment horizontal="left" vertical="center"/>
    </xf>
    <xf numFmtId="0" fontId="1" fillId="2755" borderId="0" xfId="4" applyFill="1" applyAlignment="1">
      <alignment horizontal="center" vertical="center"/>
    </xf>
    <xf numFmtId="0" fontId="1" fillId="2756" borderId="0" xfId="4" applyFill="1" applyAlignment="1">
      <alignment horizontal="center" vertical="center"/>
    </xf>
    <xf numFmtId="0" fontId="1" fillId="2757" borderId="0" xfId="4" applyFill="1" applyAlignment="1">
      <alignment horizontal="center" vertical="center"/>
    </xf>
    <xf numFmtId="0" fontId="1" fillId="2758" borderId="0" xfId="4" applyFill="1" applyAlignment="1">
      <alignment horizontal="center" vertical="center"/>
    </xf>
    <xf numFmtId="0" fontId="1" fillId="2759" borderId="0" xfId="4" applyFill="1" applyAlignment="1">
      <alignment horizontal="center" vertical="center"/>
    </xf>
    <xf numFmtId="0" fontId="1" fillId="2760" borderId="0" xfId="4" applyFill="1" applyAlignment="1">
      <alignment horizontal="center" vertical="center"/>
    </xf>
    <xf numFmtId="0" fontId="1" fillId="2761" borderId="0" xfId="4" applyFill="1" applyAlignment="1">
      <alignment horizontal="center" vertical="center"/>
    </xf>
    <xf numFmtId="0" fontId="1" fillId="2637" borderId="0" xfId="4" applyFill="1" applyAlignment="1">
      <alignment horizontal="center" vertical="center"/>
    </xf>
    <xf numFmtId="0" fontId="1" fillId="2685" borderId="25" xfId="4" applyFill="1" applyBorder="1" applyAlignment="1">
      <alignment horizontal="center" vertical="center"/>
    </xf>
    <xf numFmtId="0" fontId="1" fillId="2638" borderId="26" xfId="4" applyFill="1" applyBorder="1" applyAlignment="1">
      <alignment horizontal="center" vertical="center"/>
    </xf>
    <xf numFmtId="0" fontId="1" fillId="2762" borderId="0" xfId="4" applyFill="1" applyAlignment="1">
      <alignment horizontal="center" vertical="center"/>
    </xf>
    <xf numFmtId="0" fontId="1" fillId="2763" borderId="0" xfId="4" applyFill="1" applyAlignment="1">
      <alignment horizontal="center" vertical="center"/>
    </xf>
    <xf numFmtId="0" fontId="1" fillId="2764" borderId="0" xfId="4" applyFill="1" applyAlignment="1">
      <alignment horizontal="center" vertical="center"/>
    </xf>
    <xf numFmtId="0" fontId="1" fillId="2765" borderId="0" xfId="4" applyFill="1" applyAlignment="1">
      <alignment horizontal="center" vertical="center"/>
    </xf>
    <xf numFmtId="0" fontId="1" fillId="2766" borderId="0" xfId="4" applyFill="1" applyAlignment="1">
      <alignment horizontal="center" vertical="center"/>
    </xf>
    <xf numFmtId="0" fontId="1" fillId="2767" borderId="0" xfId="4" applyFill="1" applyAlignment="1">
      <alignment horizontal="center" vertical="center"/>
    </xf>
    <xf numFmtId="0" fontId="1" fillId="2768" borderId="0" xfId="4" applyFill="1" applyAlignment="1">
      <alignment horizontal="center" vertical="center"/>
    </xf>
    <xf numFmtId="0" fontId="1" fillId="2769" borderId="0" xfId="4" applyFill="1" applyAlignment="1">
      <alignment horizontal="center" vertical="center"/>
    </xf>
    <xf numFmtId="0" fontId="1" fillId="2770" borderId="0" xfId="4" applyFill="1" applyAlignment="1">
      <alignment horizontal="center" vertical="center"/>
    </xf>
    <xf numFmtId="0" fontId="1" fillId="2771" borderId="0" xfId="4" applyFill="1" applyAlignment="1">
      <alignment horizontal="center" vertical="center"/>
    </xf>
    <xf numFmtId="0" fontId="1" fillId="2772" borderId="0" xfId="4" applyFill="1" applyAlignment="1">
      <alignment horizontal="center" vertical="center"/>
    </xf>
    <xf numFmtId="0" fontId="1" fillId="2773" borderId="0" xfId="4" applyFill="1" applyAlignment="1">
      <alignment horizontal="center" vertical="center"/>
    </xf>
    <xf numFmtId="0" fontId="1" fillId="2774" borderId="0" xfId="4" applyFill="1" applyAlignment="1">
      <alignment horizontal="center" vertical="center"/>
    </xf>
    <xf numFmtId="0" fontId="1" fillId="2775" borderId="0" xfId="4" applyFill="1" applyAlignment="1">
      <alignment horizontal="center" vertical="center"/>
    </xf>
    <xf numFmtId="0" fontId="1" fillId="2776" borderId="0" xfId="4" applyFill="1" applyAlignment="1">
      <alignment horizontal="center" vertical="center"/>
    </xf>
    <xf numFmtId="0" fontId="1" fillId="2777" borderId="0" xfId="4" applyFill="1" applyAlignment="1">
      <alignment horizontal="center" vertical="center"/>
    </xf>
    <xf numFmtId="0" fontId="1" fillId="2225" borderId="11" xfId="4" applyFill="1" applyBorder="1" applyAlignment="1">
      <alignment horizontal="center" vertical="center"/>
    </xf>
    <xf numFmtId="0" fontId="1" fillId="2177" borderId="10" xfId="4" applyFill="1" applyBorder="1" applyAlignment="1">
      <alignment horizontal="center" vertical="center"/>
    </xf>
    <xf numFmtId="0" fontId="1" fillId="2778" borderId="10" xfId="4" applyFill="1" applyBorder="1" applyAlignment="1">
      <alignment horizontal="center" vertical="center"/>
    </xf>
    <xf numFmtId="0" fontId="1" fillId="2047" borderId="10" xfId="4" applyFill="1" applyBorder="1" applyAlignment="1">
      <alignment horizontal="center" vertical="center"/>
    </xf>
    <xf numFmtId="0" fontId="1" fillId="2176" borderId="10" xfId="4" applyFill="1" applyBorder="1" applyAlignment="1">
      <alignment horizontal="center" vertical="center"/>
    </xf>
    <xf numFmtId="0" fontId="1" fillId="2395" borderId="10" xfId="4" applyFill="1" applyBorder="1" applyAlignment="1">
      <alignment horizontal="center" vertical="center"/>
    </xf>
    <xf numFmtId="0" fontId="1" fillId="2779" borderId="12" xfId="4" applyFill="1" applyBorder="1" applyAlignment="1">
      <alignment horizontal="center" vertical="center"/>
    </xf>
    <xf numFmtId="0" fontId="1" fillId="2780" borderId="0" xfId="4" applyFill="1" applyAlignment="1">
      <alignment horizontal="center" vertical="center"/>
    </xf>
    <xf numFmtId="0" fontId="1" fillId="2781" borderId="0" xfId="4" applyFill="1" applyAlignment="1">
      <alignment horizontal="center" vertical="center"/>
    </xf>
    <xf numFmtId="0" fontId="1" fillId="2782" borderId="0" xfId="4" applyFill="1" applyAlignment="1">
      <alignment horizontal="center" vertical="center"/>
    </xf>
    <xf numFmtId="0" fontId="1" fillId="2783" borderId="0" xfId="4" applyFill="1" applyAlignment="1">
      <alignment horizontal="center" vertical="center"/>
    </xf>
    <xf numFmtId="0" fontId="1" fillId="2784" borderId="0" xfId="4" applyFill="1" applyAlignment="1">
      <alignment horizontal="center" vertical="center"/>
    </xf>
    <xf numFmtId="0" fontId="1" fillId="2785" borderId="0" xfId="4" applyFill="1" applyAlignment="1">
      <alignment horizontal="left" vertical="center"/>
    </xf>
    <xf numFmtId="0" fontId="1" fillId="2786" borderId="0" xfId="4" applyFill="1" applyAlignment="1">
      <alignment horizontal="left" vertical="center"/>
    </xf>
    <xf numFmtId="0" fontId="1" fillId="2787" borderId="0" xfId="4" applyFill="1" applyAlignment="1">
      <alignment horizontal="left" vertical="center"/>
    </xf>
    <xf numFmtId="0" fontId="1" fillId="2788" borderId="0" xfId="4" applyFill="1" applyAlignment="1">
      <alignment horizontal="left" vertical="center"/>
    </xf>
    <xf numFmtId="0" fontId="1" fillId="1841" borderId="0" xfId="4" applyFill="1" applyAlignment="1">
      <alignment horizontal="left" vertical="center"/>
    </xf>
    <xf numFmtId="0" fontId="1" fillId="2789" borderId="0" xfId="4" applyFill="1" applyAlignment="1">
      <alignment horizontal="left" vertical="center"/>
    </xf>
    <xf numFmtId="0" fontId="1" fillId="2790" borderId="0" xfId="4" applyFill="1" applyAlignment="1">
      <alignment horizontal="center" vertical="center"/>
    </xf>
    <xf numFmtId="0" fontId="1" fillId="2791" borderId="0" xfId="4" applyFill="1" applyAlignment="1">
      <alignment horizontal="center" vertical="center"/>
    </xf>
    <xf numFmtId="0" fontId="1" fillId="2792" borderId="0" xfId="4" applyFill="1" applyAlignment="1">
      <alignment horizontal="center" vertical="center"/>
    </xf>
    <xf numFmtId="0" fontId="1" fillId="2793" borderId="0" xfId="4" applyFill="1" applyAlignment="1">
      <alignment horizontal="center" vertical="center"/>
    </xf>
    <xf numFmtId="0" fontId="1" fillId="2794" borderId="0" xfId="4" applyFill="1" applyAlignment="1">
      <alignment horizontal="center" vertical="center"/>
    </xf>
    <xf numFmtId="0" fontId="1" fillId="2795" borderId="0" xfId="4" applyFill="1" applyAlignment="1">
      <alignment horizontal="center" vertical="center"/>
    </xf>
    <xf numFmtId="0" fontId="1" fillId="2642" borderId="26" xfId="4" applyFill="1" applyBorder="1" applyAlignment="1">
      <alignment horizontal="center" vertical="center"/>
    </xf>
    <xf numFmtId="0" fontId="1" fillId="2796" borderId="0" xfId="4" applyFill="1" applyAlignment="1">
      <alignment horizontal="center" vertical="center"/>
    </xf>
    <xf numFmtId="0" fontId="1" fillId="2797" borderId="0" xfId="4" applyFill="1" applyAlignment="1">
      <alignment horizontal="center" vertical="center"/>
    </xf>
    <xf numFmtId="0" fontId="1" fillId="2798" borderId="0" xfId="4" applyFill="1" applyAlignment="1">
      <alignment horizontal="center" vertical="center"/>
    </xf>
    <xf numFmtId="0" fontId="1" fillId="2799" borderId="0" xfId="4" applyFill="1" applyAlignment="1">
      <alignment horizontal="center" vertical="center"/>
    </xf>
    <xf numFmtId="0" fontId="1" fillId="2800" borderId="0" xfId="4" applyFill="1" applyAlignment="1">
      <alignment horizontal="center" vertical="center"/>
    </xf>
    <xf numFmtId="0" fontId="1" fillId="2801" borderId="0" xfId="4" applyFill="1" applyAlignment="1">
      <alignment horizontal="center" vertical="center"/>
    </xf>
    <xf numFmtId="0" fontId="1" fillId="2802" borderId="0" xfId="4" applyFill="1" applyAlignment="1">
      <alignment horizontal="center" vertical="center"/>
    </xf>
    <xf numFmtId="0" fontId="1" fillId="2803" borderId="0" xfId="4" applyFill="1" applyAlignment="1">
      <alignment horizontal="center" vertical="center"/>
    </xf>
    <xf numFmtId="0" fontId="1" fillId="2804" borderId="0" xfId="4" applyFill="1" applyAlignment="1">
      <alignment horizontal="center" vertical="center"/>
    </xf>
    <xf numFmtId="0" fontId="1" fillId="2805" borderId="0" xfId="4" applyFill="1" applyAlignment="1">
      <alignment horizontal="center" vertical="center"/>
    </xf>
    <xf numFmtId="0" fontId="1" fillId="2806" borderId="0" xfId="4" applyFill="1" applyAlignment="1">
      <alignment horizontal="center" vertical="center"/>
    </xf>
    <xf numFmtId="0" fontId="1" fillId="2807" borderId="0" xfId="4" applyFill="1" applyAlignment="1">
      <alignment horizontal="center" vertical="center"/>
    </xf>
    <xf numFmtId="0" fontId="1" fillId="2808" borderId="0" xfId="4" applyFill="1" applyAlignment="1">
      <alignment horizontal="center" vertical="center"/>
    </xf>
    <xf numFmtId="0" fontId="1" fillId="2809" borderId="0" xfId="4" applyFill="1" applyAlignment="1">
      <alignment horizontal="center" vertical="center"/>
    </xf>
    <xf numFmtId="0" fontId="1" fillId="2810" borderId="0" xfId="4" applyFill="1" applyAlignment="1">
      <alignment horizontal="center" vertical="center"/>
    </xf>
    <xf numFmtId="0" fontId="1" fillId="2811" borderId="0" xfId="4" applyFill="1" applyAlignment="1">
      <alignment horizontal="center" vertical="center"/>
    </xf>
    <xf numFmtId="0" fontId="1" fillId="2812" borderId="0" xfId="4" applyFill="1" applyAlignment="1">
      <alignment horizontal="center" vertical="center"/>
    </xf>
    <xf numFmtId="0" fontId="1" fillId="2386" borderId="0" xfId="4" applyFill="1" applyAlignment="1">
      <alignment horizontal="center" vertical="center"/>
    </xf>
    <xf numFmtId="0" fontId="1" fillId="2778" borderId="0" xfId="4" applyFill="1" applyAlignment="1">
      <alignment horizontal="center" vertical="center"/>
    </xf>
    <xf numFmtId="0" fontId="1" fillId="2813" borderId="0" xfId="4" applyFill="1" applyAlignment="1">
      <alignment horizontal="center" vertical="center"/>
    </xf>
    <xf numFmtId="0" fontId="1" fillId="2814" borderId="0" xfId="4" applyFill="1" applyAlignment="1">
      <alignment horizontal="center" vertical="center"/>
    </xf>
    <xf numFmtId="0" fontId="1" fillId="2815" borderId="0" xfId="4" applyFill="1" applyAlignment="1">
      <alignment horizontal="center" vertical="center"/>
    </xf>
    <xf numFmtId="0" fontId="1" fillId="2224" borderId="0" xfId="4" applyFill="1" applyAlignment="1">
      <alignment horizontal="left" vertical="center"/>
    </xf>
    <xf numFmtId="0" fontId="1" fillId="2816" borderId="0" xfId="4" applyFill="1" applyAlignment="1">
      <alignment horizontal="center" vertical="center"/>
    </xf>
    <xf numFmtId="0" fontId="1" fillId="2817" borderId="0" xfId="4" applyFill="1" applyAlignment="1">
      <alignment horizontal="center" vertical="center"/>
    </xf>
    <xf numFmtId="0" fontId="1" fillId="2818" borderId="0" xfId="4" applyFill="1" applyAlignment="1">
      <alignment horizontal="center" vertical="center"/>
    </xf>
    <xf numFmtId="0" fontId="1" fillId="2819" borderId="0" xfId="4" applyFill="1" applyAlignment="1">
      <alignment horizontal="center" vertical="center"/>
    </xf>
    <xf numFmtId="0" fontId="1" fillId="2820" borderId="0" xfId="4" applyFill="1" applyAlignment="1">
      <alignment horizontal="center" vertical="center"/>
    </xf>
    <xf numFmtId="0" fontId="1" fillId="2821" borderId="0" xfId="4" applyFill="1" applyAlignment="1">
      <alignment horizontal="center" vertical="center"/>
    </xf>
    <xf numFmtId="0" fontId="1" fillId="2822" borderId="0" xfId="4" applyFill="1" applyAlignment="1">
      <alignment horizontal="center" vertical="center"/>
    </xf>
    <xf numFmtId="0" fontId="1" fillId="2823" borderId="0" xfId="4" applyFill="1" applyAlignment="1">
      <alignment horizontal="center" vertical="center"/>
    </xf>
    <xf numFmtId="0" fontId="1" fillId="2824" borderId="0" xfId="4" applyFill="1" applyAlignment="1">
      <alignment horizontal="center" vertical="center"/>
    </xf>
    <xf numFmtId="0" fontId="1" fillId="2069" borderId="0" xfId="4" applyFill="1" applyAlignment="1">
      <alignment horizontal="left" vertical="center"/>
    </xf>
    <xf numFmtId="0" fontId="1" fillId="2825" borderId="0" xfId="4" applyFill="1" applyAlignment="1">
      <alignment horizontal="left" vertical="center"/>
    </xf>
    <xf numFmtId="0" fontId="1" fillId="2826" borderId="0" xfId="4" applyFill="1" applyAlignment="1">
      <alignment horizontal="left" vertical="center"/>
    </xf>
    <xf numFmtId="0" fontId="1" fillId="2827" borderId="0" xfId="4" applyFill="1" applyAlignment="1">
      <alignment horizontal="center" vertical="center"/>
    </xf>
    <xf numFmtId="0" fontId="1" fillId="2828" borderId="0" xfId="4" applyFill="1" applyAlignment="1">
      <alignment horizontal="center" vertical="center"/>
    </xf>
    <xf numFmtId="0" fontId="1" fillId="2829" borderId="0" xfId="4" applyFill="1" applyAlignment="1">
      <alignment horizontal="center" vertical="center"/>
    </xf>
    <xf numFmtId="0" fontId="1" fillId="2830" borderId="0" xfId="4" applyFill="1" applyAlignment="1">
      <alignment horizontal="center" vertical="center"/>
    </xf>
    <xf numFmtId="0" fontId="1" fillId="2831" borderId="0" xfId="4" applyFill="1" applyAlignment="1">
      <alignment horizontal="center" vertical="center"/>
    </xf>
    <xf numFmtId="0" fontId="1" fillId="2832" borderId="0" xfId="4" applyFill="1" applyAlignment="1">
      <alignment horizontal="center" vertical="center"/>
    </xf>
    <xf numFmtId="0" fontId="1" fillId="2685" borderId="26" xfId="4" applyFill="1" applyBorder="1" applyAlignment="1">
      <alignment horizontal="center" vertical="center"/>
    </xf>
    <xf numFmtId="0" fontId="1" fillId="2833" borderId="0" xfId="4" applyFill="1" applyAlignment="1">
      <alignment horizontal="center" vertical="center"/>
    </xf>
    <xf numFmtId="0" fontId="1" fillId="2834" borderId="0" xfId="4" applyFill="1" applyAlignment="1">
      <alignment horizontal="center" vertical="center"/>
    </xf>
    <xf numFmtId="0" fontId="1" fillId="2835" borderId="0" xfId="4" applyFill="1" applyAlignment="1">
      <alignment horizontal="center" vertical="center"/>
    </xf>
    <xf numFmtId="0" fontId="1" fillId="2836" borderId="0" xfId="4" applyFill="1" applyAlignment="1">
      <alignment horizontal="center" vertical="center"/>
    </xf>
    <xf numFmtId="0" fontId="1" fillId="2837" borderId="0" xfId="4" applyFill="1" applyAlignment="1">
      <alignment horizontal="center" vertical="center"/>
    </xf>
    <xf numFmtId="0" fontId="1" fillId="2838" borderId="0" xfId="4" applyFill="1" applyAlignment="1">
      <alignment horizontal="center" vertical="center"/>
    </xf>
    <xf numFmtId="0" fontId="1" fillId="2839" borderId="0" xfId="4" applyFill="1" applyAlignment="1">
      <alignment horizontal="center" vertical="center"/>
    </xf>
    <xf numFmtId="0" fontId="1" fillId="2840" borderId="0" xfId="4" applyFill="1" applyAlignment="1">
      <alignment horizontal="center" vertical="center"/>
    </xf>
    <xf numFmtId="0" fontId="1" fillId="2841" borderId="0" xfId="4" applyFill="1" applyAlignment="1">
      <alignment horizontal="center" vertical="center"/>
    </xf>
    <xf numFmtId="0" fontId="1" fillId="2842" borderId="0" xfId="4" applyFill="1" applyAlignment="1">
      <alignment horizontal="center" vertical="center"/>
    </xf>
    <xf numFmtId="0" fontId="1" fillId="2843" borderId="0" xfId="4" applyFill="1" applyAlignment="1">
      <alignment horizontal="center" vertical="center"/>
    </xf>
    <xf numFmtId="0" fontId="1" fillId="2844" borderId="0" xfId="4" applyFill="1" applyAlignment="1">
      <alignment horizontal="center" vertical="center"/>
    </xf>
    <xf numFmtId="0" fontId="1" fillId="2845" borderId="0" xfId="4" applyFill="1" applyAlignment="1">
      <alignment horizontal="center" vertical="center"/>
    </xf>
    <xf numFmtId="0" fontId="1" fillId="2846" borderId="0" xfId="4" applyFill="1" applyAlignment="1">
      <alignment horizontal="center" vertical="center"/>
    </xf>
    <xf numFmtId="0" fontId="1" fillId="2847" borderId="0" xfId="4" applyFill="1" applyAlignment="1">
      <alignment horizontal="center" vertical="center"/>
    </xf>
    <xf numFmtId="0" fontId="1" fillId="2848" borderId="0" xfId="4" applyFill="1" applyAlignment="1">
      <alignment horizontal="center" vertical="center"/>
    </xf>
    <xf numFmtId="0" fontId="1" fillId="2849" borderId="0" xfId="4" applyFill="1" applyAlignment="1">
      <alignment horizontal="center" vertical="center"/>
    </xf>
    <xf numFmtId="0" fontId="1" fillId="2850" borderId="0" xfId="4" applyFill="1" applyAlignment="1">
      <alignment horizontal="center" vertical="center"/>
    </xf>
    <xf numFmtId="0" fontId="1" fillId="2851" borderId="0" xfId="4" applyFill="1" applyAlignment="1">
      <alignment horizontal="center" vertical="center"/>
    </xf>
    <xf numFmtId="0" fontId="1" fillId="2852" borderId="0" xfId="4" applyFill="1" applyAlignment="1">
      <alignment horizontal="center" vertical="center"/>
    </xf>
    <xf numFmtId="0" fontId="1" fillId="2853" borderId="0" xfId="4" applyFill="1" applyAlignment="1">
      <alignment horizontal="center" vertical="center"/>
    </xf>
    <xf numFmtId="0" fontId="1" fillId="2854" borderId="0" xfId="4" applyFill="1" applyAlignment="1">
      <alignment horizontal="center" vertical="center"/>
    </xf>
    <xf numFmtId="0" fontId="1" fillId="2855" borderId="0" xfId="4" applyFill="1" applyAlignment="1">
      <alignment horizontal="center" vertical="center"/>
    </xf>
    <xf numFmtId="0" fontId="1" fillId="2856" borderId="0" xfId="4" applyFill="1" applyAlignment="1">
      <alignment horizontal="left" vertical="center"/>
    </xf>
    <xf numFmtId="0" fontId="1" fillId="2857" borderId="0" xfId="4" applyFill="1" applyAlignment="1">
      <alignment horizontal="left" vertical="center"/>
    </xf>
    <xf numFmtId="0" fontId="1" fillId="2858" borderId="0" xfId="4" applyFill="1" applyAlignment="1">
      <alignment horizontal="left" vertical="center"/>
    </xf>
    <xf numFmtId="0" fontId="1" fillId="2859" borderId="0" xfId="4" applyFill="1" applyAlignment="1">
      <alignment horizontal="left" vertical="center"/>
    </xf>
    <xf numFmtId="0" fontId="1" fillId="2860" borderId="0" xfId="4" applyFill="1" applyAlignment="1">
      <alignment horizontal="left" vertical="center"/>
    </xf>
    <xf numFmtId="0" fontId="1" fillId="2861" borderId="0" xfId="4" applyFill="1" applyAlignment="1">
      <alignment horizontal="center" vertical="center"/>
    </xf>
    <xf numFmtId="0" fontId="1" fillId="2862" borderId="0" xfId="4" applyFill="1" applyAlignment="1">
      <alignment horizontal="center" vertical="center"/>
    </xf>
    <xf numFmtId="0" fontId="1" fillId="2863" borderId="0" xfId="4" applyFill="1" applyAlignment="1">
      <alignment horizontal="center" vertical="center"/>
    </xf>
    <xf numFmtId="0" fontId="1" fillId="2864" borderId="0" xfId="4" applyFill="1" applyAlignment="1">
      <alignment horizontal="center" vertical="center"/>
    </xf>
    <xf numFmtId="0" fontId="1" fillId="2865" borderId="0" xfId="4" applyFill="1" applyAlignment="1">
      <alignment horizontal="center" vertical="center"/>
    </xf>
    <xf numFmtId="0" fontId="1" fillId="2866" borderId="0" xfId="4" applyFill="1" applyAlignment="1">
      <alignment horizontal="center" vertical="center"/>
    </xf>
    <xf numFmtId="0" fontId="1" fillId="2867" borderId="0" xfId="4" applyFill="1" applyAlignment="1">
      <alignment horizontal="center" vertical="center"/>
    </xf>
    <xf numFmtId="0" fontId="1" fillId="2584" borderId="26" xfId="4" applyFill="1" applyBorder="1" applyAlignment="1">
      <alignment horizontal="center" vertical="center"/>
    </xf>
    <xf numFmtId="0" fontId="1" fillId="2868" borderId="0" xfId="4" applyFill="1" applyAlignment="1">
      <alignment horizontal="center" vertical="center"/>
    </xf>
    <xf numFmtId="0" fontId="1" fillId="2869" borderId="0" xfId="4" applyFill="1" applyAlignment="1">
      <alignment horizontal="center" vertical="center"/>
    </xf>
    <xf numFmtId="0" fontId="1" fillId="2870" borderId="0" xfId="4" applyFill="1" applyAlignment="1">
      <alignment horizontal="center" vertical="center"/>
    </xf>
    <xf numFmtId="0" fontId="1" fillId="2871" borderId="0" xfId="4" applyFill="1" applyAlignment="1">
      <alignment horizontal="center" vertical="center"/>
    </xf>
    <xf numFmtId="0" fontId="1" fillId="2872" borderId="0" xfId="4" applyFill="1" applyAlignment="1">
      <alignment horizontal="center" vertical="center"/>
    </xf>
    <xf numFmtId="0" fontId="1" fillId="2873" borderId="0" xfId="4" applyFill="1" applyAlignment="1">
      <alignment horizontal="center" vertical="center"/>
    </xf>
    <xf numFmtId="0" fontId="1" fillId="2874" borderId="0" xfId="4" applyFill="1" applyAlignment="1">
      <alignment horizontal="center" vertical="center"/>
    </xf>
    <xf numFmtId="0" fontId="1" fillId="2875" borderId="0" xfId="4" applyFill="1" applyAlignment="1">
      <alignment horizontal="center" vertical="center"/>
    </xf>
    <xf numFmtId="0" fontId="1" fillId="2876" borderId="0" xfId="4" applyFill="1" applyAlignment="1">
      <alignment horizontal="center" vertical="center"/>
    </xf>
    <xf numFmtId="0" fontId="1" fillId="2877" borderId="0" xfId="4" applyFill="1" applyAlignment="1">
      <alignment horizontal="center" vertical="center"/>
    </xf>
    <xf numFmtId="0" fontId="1" fillId="2878" borderId="0" xfId="4" applyFill="1" applyAlignment="1">
      <alignment horizontal="center" vertical="center"/>
    </xf>
    <xf numFmtId="0" fontId="1" fillId="2879" borderId="0" xfId="4" applyFill="1" applyAlignment="1">
      <alignment horizontal="center" vertical="center"/>
    </xf>
    <xf numFmtId="0" fontId="1" fillId="2880" borderId="0" xfId="4" applyFill="1" applyAlignment="1">
      <alignment horizontal="center" vertical="center"/>
    </xf>
    <xf numFmtId="0" fontId="1" fillId="2881" borderId="0" xfId="4" applyFill="1" applyAlignment="1">
      <alignment horizontal="center" vertical="center"/>
    </xf>
    <xf numFmtId="0" fontId="1" fillId="2882" borderId="0" xfId="4" applyFill="1" applyAlignment="1">
      <alignment horizontal="center" vertical="center"/>
    </xf>
    <xf numFmtId="0" fontId="1" fillId="2883" borderId="0" xfId="4" applyFill="1" applyAlignment="1">
      <alignment horizontal="center" vertical="center"/>
    </xf>
    <xf numFmtId="0" fontId="1" fillId="2441" borderId="0" xfId="4" applyFill="1" applyAlignment="1">
      <alignment horizontal="center" vertical="center"/>
    </xf>
    <xf numFmtId="0" fontId="1" fillId="2884" borderId="0" xfId="4" applyFill="1" applyAlignment="1">
      <alignment horizontal="center" vertical="center"/>
    </xf>
    <xf numFmtId="0" fontId="1" fillId="2885" borderId="0" xfId="4" applyFill="1" applyAlignment="1">
      <alignment horizontal="center" vertical="center"/>
    </xf>
    <xf numFmtId="0" fontId="1" fillId="2886" borderId="0" xfId="4" applyFill="1" applyAlignment="1">
      <alignment horizontal="center" vertical="center"/>
    </xf>
    <xf numFmtId="0" fontId="1" fillId="2887" borderId="0" xfId="4" applyFill="1" applyAlignment="1">
      <alignment horizontal="center" vertical="center"/>
    </xf>
    <xf numFmtId="0" fontId="1" fillId="2888" borderId="0" xfId="4" applyFill="1" applyAlignment="1">
      <alignment horizontal="center" vertical="center"/>
    </xf>
    <xf numFmtId="0" fontId="1" fillId="2889" borderId="0" xfId="4" applyFill="1" applyAlignment="1">
      <alignment horizontal="center" vertical="center"/>
    </xf>
    <xf numFmtId="0" fontId="1" fillId="2890" borderId="0" xfId="4" applyFill="1" applyAlignment="1">
      <alignment horizontal="center" vertical="center"/>
    </xf>
    <xf numFmtId="0" fontId="1" fillId="2891" borderId="0" xfId="4" applyFill="1" applyAlignment="1">
      <alignment horizontal="center" vertical="center"/>
    </xf>
    <xf numFmtId="0" fontId="1" fillId="2892" borderId="0" xfId="4" applyFill="1" applyAlignment="1">
      <alignment horizontal="center" vertical="center"/>
    </xf>
    <xf numFmtId="0" fontId="1" fillId="2893" borderId="0" xfId="4" applyFill="1" applyAlignment="1">
      <alignment horizontal="center" vertical="center"/>
    </xf>
    <xf numFmtId="0" fontId="1" fillId="2894" borderId="0" xfId="4" applyFill="1" applyAlignment="1">
      <alignment horizontal="center" vertical="center"/>
    </xf>
    <xf numFmtId="0" fontId="1" fillId="2895" borderId="0" xfId="4" applyFill="1" applyAlignment="1">
      <alignment horizontal="center" vertical="center"/>
    </xf>
    <xf numFmtId="0" fontId="1" fillId="1799" borderId="0" xfId="4" applyFill="1" applyAlignment="1">
      <alignment horizontal="left" vertical="center"/>
    </xf>
    <xf numFmtId="0" fontId="1" fillId="2896" borderId="0" xfId="4" applyFill="1" applyAlignment="1">
      <alignment horizontal="left" vertical="center"/>
    </xf>
    <xf numFmtId="0" fontId="1" fillId="2897" borderId="0" xfId="4" applyFill="1" applyAlignment="1">
      <alignment horizontal="left" vertical="center"/>
    </xf>
    <xf numFmtId="0" fontId="1" fillId="2898" borderId="0" xfId="4" applyFill="1" applyAlignment="1">
      <alignment horizontal="left" vertical="center"/>
    </xf>
    <xf numFmtId="0" fontId="1" fillId="2899" borderId="0" xfId="4" applyFill="1" applyAlignment="1">
      <alignment horizontal="left" vertical="center"/>
    </xf>
    <xf numFmtId="0" fontId="1" fillId="2900" borderId="0" xfId="4" applyFill="1" applyAlignment="1">
      <alignment horizontal="left" vertical="center"/>
    </xf>
    <xf numFmtId="0" fontId="1" fillId="2901" borderId="0" xfId="4" applyFill="1" applyAlignment="1">
      <alignment horizontal="center" vertical="center"/>
    </xf>
    <xf numFmtId="0" fontId="1" fillId="2902" borderId="0" xfId="4" applyFill="1" applyAlignment="1">
      <alignment horizontal="center" vertical="center"/>
    </xf>
    <xf numFmtId="0" fontId="1" fillId="2903" borderId="0" xfId="4" applyFill="1" applyAlignment="1">
      <alignment horizontal="center" vertical="center"/>
    </xf>
    <xf numFmtId="0" fontId="1" fillId="2904" borderId="0" xfId="4" applyFill="1" applyAlignment="1">
      <alignment horizontal="center" vertical="center"/>
    </xf>
    <xf numFmtId="0" fontId="1" fillId="2905" borderId="0" xfId="4" applyFill="1" applyAlignment="1">
      <alignment horizontal="center" vertical="center"/>
    </xf>
    <xf numFmtId="0" fontId="1" fillId="2906" borderId="0" xfId="4" applyFill="1" applyAlignment="1">
      <alignment horizontal="center" vertical="center"/>
    </xf>
    <xf numFmtId="0" fontId="1" fillId="2907" borderId="0" xfId="4" applyFill="1" applyAlignment="1">
      <alignment horizontal="center" vertical="center"/>
    </xf>
    <xf numFmtId="0" fontId="1" fillId="2584" borderId="25" xfId="4" applyFill="1" applyBorder="1" applyAlignment="1">
      <alignment horizontal="center" vertical="center"/>
    </xf>
    <xf numFmtId="0" fontId="1" fillId="2908" borderId="0" xfId="4" applyFill="1" applyAlignment="1">
      <alignment horizontal="center" vertical="center"/>
    </xf>
    <xf numFmtId="0" fontId="1" fillId="2909" borderId="0" xfId="4" applyFill="1" applyAlignment="1">
      <alignment horizontal="center" vertical="center"/>
    </xf>
    <xf numFmtId="0" fontId="1" fillId="2910" borderId="0" xfId="4" applyFill="1" applyAlignment="1">
      <alignment horizontal="center" vertical="center"/>
    </xf>
    <xf numFmtId="0" fontId="1" fillId="2911" borderId="0" xfId="4" applyFill="1" applyAlignment="1">
      <alignment horizontal="center" vertical="center"/>
    </xf>
    <xf numFmtId="0" fontId="1" fillId="2912" borderId="0" xfId="4" applyFill="1" applyAlignment="1">
      <alignment horizontal="center" vertical="center"/>
    </xf>
    <xf numFmtId="0" fontId="1" fillId="2913" borderId="0" xfId="4" applyFill="1" applyAlignment="1">
      <alignment horizontal="center" vertical="center"/>
    </xf>
    <xf numFmtId="0" fontId="1" fillId="2914" borderId="0" xfId="4" applyFill="1" applyAlignment="1">
      <alignment horizontal="center" vertical="center"/>
    </xf>
    <xf numFmtId="0" fontId="1" fillId="2915" borderId="0" xfId="4" applyFill="1" applyAlignment="1">
      <alignment horizontal="center" vertical="center"/>
    </xf>
    <xf numFmtId="0" fontId="1" fillId="2916" borderId="0" xfId="4" applyFill="1" applyAlignment="1">
      <alignment horizontal="center" vertical="center"/>
    </xf>
    <xf numFmtId="0" fontId="1" fillId="2917" borderId="0" xfId="4" applyFill="1" applyAlignment="1">
      <alignment horizontal="center" vertical="center"/>
    </xf>
    <xf numFmtId="0" fontId="1" fillId="2918" borderId="0" xfId="4" applyFill="1" applyAlignment="1">
      <alignment horizontal="center" vertical="center"/>
    </xf>
    <xf numFmtId="0" fontId="1" fillId="2919" borderId="0" xfId="4" applyFill="1" applyAlignment="1">
      <alignment horizontal="center" vertical="center"/>
    </xf>
    <xf numFmtId="0" fontId="1" fillId="2920" borderId="0" xfId="4" applyFill="1" applyAlignment="1">
      <alignment horizontal="center" vertical="center"/>
    </xf>
    <xf numFmtId="0" fontId="1" fillId="2921" borderId="0" xfId="4" applyFill="1" applyAlignment="1">
      <alignment horizontal="center" vertical="center"/>
    </xf>
    <xf numFmtId="0" fontId="1" fillId="2922" borderId="0" xfId="4" applyFill="1" applyAlignment="1">
      <alignment horizontal="center" vertical="center"/>
    </xf>
    <xf numFmtId="0" fontId="1" fillId="2923" borderId="0" xfId="4" applyFill="1" applyAlignment="1">
      <alignment horizontal="center" vertical="center"/>
    </xf>
    <xf numFmtId="0" fontId="1" fillId="2924" borderId="0" xfId="4" applyFill="1" applyAlignment="1">
      <alignment horizontal="center" vertical="center"/>
    </xf>
    <xf numFmtId="0" fontId="1" fillId="2925" borderId="0" xfId="4" applyFill="1" applyAlignment="1">
      <alignment horizontal="center" vertical="center"/>
    </xf>
    <xf numFmtId="0" fontId="1" fillId="2926" borderId="0" xfId="4" applyFill="1" applyAlignment="1">
      <alignment horizontal="center" vertical="center"/>
    </xf>
    <xf numFmtId="0" fontId="1" fillId="2927" borderId="0" xfId="4" applyFill="1" applyAlignment="1">
      <alignment horizontal="center" vertical="center"/>
    </xf>
    <xf numFmtId="0" fontId="1" fillId="2928" borderId="0" xfId="4" applyFill="1" applyAlignment="1">
      <alignment horizontal="center" vertical="center"/>
    </xf>
    <xf numFmtId="0" fontId="1" fillId="2929" borderId="0" xfId="4" applyFill="1" applyAlignment="1">
      <alignment horizontal="center" vertical="center"/>
    </xf>
    <xf numFmtId="0" fontId="1" fillId="2930" borderId="0" xfId="4" applyFill="1" applyAlignment="1">
      <alignment horizontal="center" vertical="center"/>
    </xf>
    <xf numFmtId="0" fontId="1" fillId="2931" borderId="0" xfId="4" applyFill="1" applyAlignment="1">
      <alignment horizontal="center" vertical="center"/>
    </xf>
    <xf numFmtId="0" fontId="1" fillId="2932" borderId="0" xfId="4" applyFill="1" applyAlignment="1">
      <alignment horizontal="center" vertical="center"/>
    </xf>
    <xf numFmtId="0" fontId="1" fillId="2933" borderId="0" xfId="4" applyFill="1" applyAlignment="1">
      <alignment horizontal="center" vertical="center"/>
    </xf>
    <xf numFmtId="0" fontId="1" fillId="2460" borderId="0" xfId="4" applyFill="1" applyAlignment="1">
      <alignment horizontal="center" vertical="center"/>
    </xf>
    <xf numFmtId="0" fontId="1" fillId="2934" borderId="0" xfId="4" applyFill="1" applyAlignment="1">
      <alignment horizontal="left" vertical="center"/>
    </xf>
    <xf numFmtId="0" fontId="1" fillId="2935" borderId="0" xfId="4" applyFill="1" applyAlignment="1">
      <alignment horizontal="left" vertical="center"/>
    </xf>
    <xf numFmtId="0" fontId="1" fillId="2936" borderId="0" xfId="4" applyFill="1" applyAlignment="1">
      <alignment horizontal="left" vertical="center"/>
    </xf>
    <xf numFmtId="0" fontId="1" fillId="2937" borderId="0" xfId="4" applyFill="1" applyAlignment="1">
      <alignment horizontal="left" vertical="center"/>
    </xf>
    <xf numFmtId="0" fontId="1" fillId="2938" borderId="0" xfId="4" applyFill="1" applyAlignment="1">
      <alignment horizontal="left" vertical="center"/>
    </xf>
    <xf numFmtId="0" fontId="1" fillId="2939" borderId="0" xfId="4" applyFill="1" applyAlignment="1">
      <alignment horizontal="center" vertical="center"/>
    </xf>
    <xf numFmtId="0" fontId="1" fillId="2940" borderId="0" xfId="4" applyFill="1" applyAlignment="1">
      <alignment horizontal="center" vertical="center"/>
    </xf>
    <xf numFmtId="0" fontId="1" fillId="2941" borderId="0" xfId="4" applyFill="1" applyAlignment="1">
      <alignment horizontal="center" vertical="center"/>
    </xf>
    <xf numFmtId="0" fontId="1" fillId="2942" borderId="0" xfId="4" applyFill="1" applyAlignment="1">
      <alignment horizontal="center" vertical="center"/>
    </xf>
    <xf numFmtId="0" fontId="1" fillId="2943" borderId="0" xfId="4" applyFill="1" applyAlignment="1">
      <alignment horizontal="center" vertical="center"/>
    </xf>
    <xf numFmtId="0" fontId="1" fillId="2944" borderId="0" xfId="4" applyFill="1" applyAlignment="1">
      <alignment horizontal="center" vertical="center"/>
    </xf>
    <xf numFmtId="0" fontId="1" fillId="2641" borderId="25" xfId="4" applyFill="1" applyBorder="1" applyAlignment="1">
      <alignment horizontal="center" vertical="center"/>
    </xf>
    <xf numFmtId="0" fontId="1" fillId="2945" borderId="0" xfId="4" applyFill="1" applyAlignment="1">
      <alignment horizontal="center" vertical="center"/>
    </xf>
    <xf numFmtId="0" fontId="1" fillId="2946" borderId="0" xfId="4" applyFill="1" applyAlignment="1">
      <alignment horizontal="center" vertical="center"/>
    </xf>
    <xf numFmtId="0" fontId="1" fillId="2947" borderId="0" xfId="4" applyFill="1" applyAlignment="1">
      <alignment horizontal="center" vertical="center"/>
    </xf>
    <xf numFmtId="0" fontId="1" fillId="2948" borderId="0" xfId="4" applyFill="1" applyAlignment="1">
      <alignment horizontal="center" vertical="center"/>
    </xf>
    <xf numFmtId="0" fontId="1" fillId="2949" borderId="0" xfId="4" applyFill="1" applyAlignment="1">
      <alignment horizontal="center" vertical="center"/>
    </xf>
    <xf numFmtId="0" fontId="1" fillId="2950" borderId="0" xfId="4" applyFill="1" applyAlignment="1">
      <alignment horizontal="center" vertical="center"/>
    </xf>
    <xf numFmtId="0" fontId="1" fillId="2951" borderId="0" xfId="4" applyFill="1" applyAlignment="1">
      <alignment horizontal="center" vertical="center"/>
    </xf>
    <xf numFmtId="0" fontId="1" fillId="2952" borderId="0" xfId="4" applyFill="1" applyAlignment="1">
      <alignment horizontal="center" vertical="center"/>
    </xf>
    <xf numFmtId="0" fontId="1" fillId="2953" borderId="0" xfId="4" applyFill="1" applyAlignment="1">
      <alignment horizontal="center" vertical="center"/>
    </xf>
    <xf numFmtId="0" fontId="1" fillId="2954" borderId="0" xfId="4" applyFill="1" applyAlignment="1">
      <alignment horizontal="center" vertical="center"/>
    </xf>
    <xf numFmtId="0" fontId="1" fillId="2955" borderId="0" xfId="4" applyFill="1" applyAlignment="1">
      <alignment horizontal="center" vertical="center"/>
    </xf>
    <xf numFmtId="0" fontId="1" fillId="2956" borderId="0" xfId="4" applyFill="1" applyAlignment="1">
      <alignment horizontal="center" vertical="center"/>
    </xf>
    <xf numFmtId="0" fontId="1" fillId="2957" borderId="0" xfId="4" applyFill="1" applyAlignment="1">
      <alignment horizontal="center" vertical="center"/>
    </xf>
    <xf numFmtId="0" fontId="1" fillId="2958" borderId="0" xfId="4" applyFill="1" applyAlignment="1">
      <alignment horizontal="center" vertical="center"/>
    </xf>
    <xf numFmtId="0" fontId="1" fillId="2959" borderId="0" xfId="4" applyFill="1" applyAlignment="1">
      <alignment horizontal="center" vertical="center"/>
    </xf>
    <xf numFmtId="0" fontId="1" fillId="2960" borderId="0" xfId="4" applyFill="1" applyAlignment="1">
      <alignment horizontal="center" vertical="center"/>
    </xf>
    <xf numFmtId="0" fontId="1" fillId="2961" borderId="0" xfId="4" applyFill="1" applyAlignment="1">
      <alignment horizontal="center" vertical="center"/>
    </xf>
    <xf numFmtId="0" fontId="1" fillId="2962" borderId="0" xfId="4" applyFill="1" applyAlignment="1">
      <alignment horizontal="center" vertical="center"/>
    </xf>
    <xf numFmtId="0" fontId="1" fillId="2963" borderId="0" xfId="4" applyFill="1" applyAlignment="1">
      <alignment horizontal="center" vertical="center"/>
    </xf>
    <xf numFmtId="0" fontId="1" fillId="2964" borderId="0" xfId="4" applyFill="1" applyAlignment="1">
      <alignment horizontal="center" vertical="center"/>
    </xf>
    <xf numFmtId="0" fontId="1" fillId="2965" borderId="0" xfId="4" applyFill="1" applyAlignment="1">
      <alignment horizontal="center" vertical="center"/>
    </xf>
    <xf numFmtId="0" fontId="1" fillId="2966" borderId="0" xfId="4" applyFill="1" applyAlignment="1">
      <alignment horizontal="center" vertical="center"/>
    </xf>
    <xf numFmtId="0" fontId="1" fillId="2967" borderId="0" xfId="4" applyFill="1" applyAlignment="1">
      <alignment horizontal="center" vertical="center"/>
    </xf>
    <xf numFmtId="0" fontId="1" fillId="1798" borderId="0" xfId="4" applyFill="1" applyAlignment="1">
      <alignment horizontal="left" vertical="center"/>
    </xf>
    <xf numFmtId="0" fontId="1" fillId="2968" borderId="0" xfId="4" applyFill="1" applyAlignment="1">
      <alignment horizontal="left" vertical="center"/>
    </xf>
    <xf numFmtId="0" fontId="1" fillId="2969" borderId="0" xfId="4" applyFill="1" applyAlignment="1">
      <alignment horizontal="left" vertical="center"/>
    </xf>
    <xf numFmtId="0" fontId="1" fillId="2970" borderId="0" xfId="4" applyFill="1" applyAlignment="1">
      <alignment horizontal="left" vertical="center"/>
    </xf>
    <xf numFmtId="0" fontId="1" fillId="2971" borderId="0" xfId="4" applyFill="1" applyAlignment="1">
      <alignment horizontal="left" vertical="center"/>
    </xf>
    <xf numFmtId="0" fontId="1" fillId="2077" borderId="0" xfId="4" applyFill="1" applyAlignment="1">
      <alignment horizontal="left" vertical="center"/>
    </xf>
    <xf numFmtId="0" fontId="1" fillId="2972" borderId="0" xfId="4" applyFill="1" applyAlignment="1">
      <alignment horizontal="center" vertical="center"/>
    </xf>
    <xf numFmtId="0" fontId="1" fillId="2973" borderId="0" xfId="4" applyFill="1" applyAlignment="1">
      <alignment horizontal="center" vertical="center"/>
    </xf>
    <xf numFmtId="0" fontId="1" fillId="2974" borderId="0" xfId="4" applyFill="1" applyAlignment="1">
      <alignment horizontal="center" vertical="center"/>
    </xf>
    <xf numFmtId="0" fontId="1" fillId="2975" borderId="0" xfId="4" applyFill="1" applyAlignment="1">
      <alignment horizontal="center" vertical="center"/>
    </xf>
    <xf numFmtId="0" fontId="1" fillId="2976" borderId="0" xfId="4" applyFill="1" applyAlignment="1">
      <alignment horizontal="center" vertical="center"/>
    </xf>
    <xf numFmtId="0" fontId="1" fillId="2977" borderId="0" xfId="4" applyFill="1" applyAlignment="1">
      <alignment horizontal="center" vertical="center"/>
    </xf>
    <xf numFmtId="0" fontId="1" fillId="2978" borderId="0" xfId="4" applyFill="1" applyAlignment="1">
      <alignment horizontal="center" vertical="center"/>
    </xf>
    <xf numFmtId="0" fontId="1" fillId="2762" borderId="25" xfId="4" applyFill="1" applyBorder="1" applyAlignment="1">
      <alignment horizontal="center" vertical="center"/>
    </xf>
    <xf numFmtId="0" fontId="1" fillId="2979" borderId="0" xfId="4" applyFill="1" applyAlignment="1">
      <alignment horizontal="center" vertical="center"/>
    </xf>
    <xf numFmtId="0" fontId="1" fillId="2980" borderId="0" xfId="4" applyFill="1" applyAlignment="1">
      <alignment horizontal="center" vertical="center"/>
    </xf>
    <xf numFmtId="0" fontId="1" fillId="2981" borderId="0" xfId="4" applyFill="1" applyAlignment="1">
      <alignment horizontal="center" vertical="center"/>
    </xf>
    <xf numFmtId="0" fontId="1" fillId="2982" borderId="0" xfId="4" applyFill="1" applyAlignment="1">
      <alignment horizontal="center" vertical="center"/>
    </xf>
    <xf numFmtId="0" fontId="1" fillId="2983" borderId="0" xfId="4" applyFill="1" applyAlignment="1">
      <alignment horizontal="center" vertical="center"/>
    </xf>
    <xf numFmtId="0" fontId="1" fillId="2984" borderId="0" xfId="4" applyFill="1" applyAlignment="1">
      <alignment horizontal="center" vertical="center"/>
    </xf>
    <xf numFmtId="0" fontId="1" fillId="2985" borderId="0" xfId="4" applyFill="1" applyAlignment="1">
      <alignment horizontal="center" vertical="center"/>
    </xf>
    <xf numFmtId="0" fontId="1" fillId="2986" borderId="0" xfId="4" applyFill="1" applyAlignment="1">
      <alignment horizontal="center" vertical="center"/>
    </xf>
    <xf numFmtId="0" fontId="1" fillId="2987" borderId="0" xfId="4" applyFill="1" applyAlignment="1">
      <alignment horizontal="center" vertical="center"/>
    </xf>
    <xf numFmtId="0" fontId="1" fillId="2988" borderId="0" xfId="4" applyFill="1" applyAlignment="1">
      <alignment horizontal="center" vertical="center"/>
    </xf>
    <xf numFmtId="0" fontId="1" fillId="2989" borderId="0" xfId="4" applyFill="1" applyAlignment="1">
      <alignment horizontal="center" vertical="center"/>
    </xf>
    <xf numFmtId="0" fontId="1" fillId="2990" borderId="0" xfId="4" applyFill="1" applyAlignment="1">
      <alignment horizontal="center" vertical="center"/>
    </xf>
    <xf numFmtId="0" fontId="1" fillId="2991" borderId="0" xfId="4" applyFill="1" applyAlignment="1">
      <alignment horizontal="center" vertical="center"/>
    </xf>
    <xf numFmtId="0" fontId="1" fillId="2992" borderId="0" xfId="4" applyFill="1" applyAlignment="1">
      <alignment horizontal="center" vertical="center"/>
    </xf>
    <xf numFmtId="0" fontId="1" fillId="2993" borderId="0" xfId="4" applyFill="1" applyAlignment="1">
      <alignment horizontal="center" vertical="center"/>
    </xf>
    <xf numFmtId="0" fontId="1" fillId="2387" borderId="23" xfId="4" applyFill="1" applyBorder="1" applyAlignment="1">
      <alignment horizontal="center" vertical="center"/>
    </xf>
    <xf numFmtId="0" fontId="1" fillId="2168" borderId="23" xfId="4" applyFill="1" applyBorder="1" applyAlignment="1">
      <alignment horizontal="center" vertical="center"/>
    </xf>
    <xf numFmtId="0" fontId="1" fillId="2050" borderId="23" xfId="4" applyFill="1" applyBorder="1" applyAlignment="1">
      <alignment horizontal="center" vertical="center"/>
    </xf>
    <xf numFmtId="0" fontId="1" fillId="2614" borderId="23" xfId="4" applyFill="1" applyBorder="1" applyAlignment="1">
      <alignment horizontal="center" vertical="center"/>
    </xf>
    <xf numFmtId="0" fontId="1" fillId="2121" borderId="24" xfId="4" applyFill="1" applyBorder="1" applyAlignment="1">
      <alignment horizontal="center" vertical="center"/>
    </xf>
    <xf numFmtId="0" fontId="1" fillId="2994" borderId="0" xfId="4" applyFill="1" applyAlignment="1">
      <alignment horizontal="center" vertical="center"/>
    </xf>
    <xf numFmtId="0" fontId="1" fillId="2995" borderId="0" xfId="4" applyFill="1" applyAlignment="1">
      <alignment horizontal="center" vertical="center"/>
    </xf>
    <xf numFmtId="0" fontId="1" fillId="2996" borderId="0" xfId="4" applyFill="1" applyAlignment="1">
      <alignment horizontal="center" vertical="center"/>
    </xf>
    <xf numFmtId="0" fontId="1" fillId="2997" borderId="0" xfId="4" applyFill="1" applyAlignment="1">
      <alignment horizontal="center" vertical="center"/>
    </xf>
    <xf numFmtId="0" fontId="1" fillId="2998" borderId="0" xfId="4" applyFill="1" applyAlignment="1">
      <alignment horizontal="center" vertical="center"/>
    </xf>
    <xf numFmtId="0" fontId="1" fillId="2999" borderId="0" xfId="4" applyFill="1" applyAlignment="1">
      <alignment horizontal="center" vertical="center"/>
    </xf>
    <xf numFmtId="0" fontId="1" fillId="3000" borderId="0" xfId="4" applyFill="1" applyAlignment="1">
      <alignment horizontal="left" vertical="center"/>
    </xf>
    <xf numFmtId="0" fontId="1" fillId="3001" borderId="0" xfId="4" applyFill="1" applyAlignment="1">
      <alignment horizontal="left" vertical="center"/>
    </xf>
    <xf numFmtId="0" fontId="1" fillId="3002" borderId="0" xfId="4" applyFill="1" applyAlignment="1">
      <alignment horizontal="left" vertical="center"/>
    </xf>
    <xf numFmtId="0" fontId="1" fillId="3003" borderId="0" xfId="4" applyFill="1" applyAlignment="1">
      <alignment horizontal="left" vertical="center"/>
    </xf>
    <xf numFmtId="0" fontId="1" fillId="3004" borderId="0" xfId="4" applyFill="1" applyAlignment="1">
      <alignment horizontal="left" vertical="center"/>
    </xf>
    <xf numFmtId="0" fontId="1" fillId="3005" borderId="0" xfId="4" applyFill="1" applyAlignment="1">
      <alignment horizontal="left" vertical="center"/>
    </xf>
    <xf numFmtId="0" fontId="1" fillId="3006" borderId="0" xfId="4" applyFill="1" applyAlignment="1">
      <alignment horizontal="center" vertical="center"/>
    </xf>
    <xf numFmtId="0" fontId="1" fillId="3007" borderId="0" xfId="4" applyFill="1" applyAlignment="1">
      <alignment horizontal="center" vertical="center"/>
    </xf>
    <xf numFmtId="0" fontId="1" fillId="3008" borderId="0" xfId="4" applyFill="1" applyAlignment="1">
      <alignment horizontal="center" vertical="center"/>
    </xf>
    <xf numFmtId="0" fontId="1" fillId="3009" borderId="0" xfId="4" applyFill="1" applyAlignment="1">
      <alignment horizontal="center" vertical="center"/>
    </xf>
    <xf numFmtId="0" fontId="1" fillId="3010" borderId="0" xfId="4" applyFill="1" applyAlignment="1">
      <alignment horizontal="center" vertical="center"/>
    </xf>
    <xf numFmtId="0" fontId="1" fillId="3011" borderId="0" xfId="4" applyFill="1" applyAlignment="1">
      <alignment horizontal="center" vertical="center"/>
    </xf>
    <xf numFmtId="0" fontId="1" fillId="2684" borderId="0" xfId="4" applyFill="1" applyAlignment="1">
      <alignment horizontal="center" vertical="center"/>
    </xf>
    <xf numFmtId="0" fontId="1" fillId="3012" borderId="0" xfId="4" applyFill="1" applyAlignment="1">
      <alignment horizontal="center" vertical="center"/>
    </xf>
    <xf numFmtId="0" fontId="1" fillId="3013" borderId="0" xfId="4" applyFill="1" applyAlignment="1">
      <alignment horizontal="center" vertical="center"/>
    </xf>
    <xf numFmtId="0" fontId="1" fillId="3014" borderId="0" xfId="4" applyFill="1" applyAlignment="1">
      <alignment horizontal="center" vertical="center"/>
    </xf>
    <xf numFmtId="0" fontId="1" fillId="3015" borderId="0" xfId="4" applyFill="1" applyAlignment="1">
      <alignment horizontal="center" vertical="center"/>
    </xf>
    <xf numFmtId="0" fontId="1" fillId="3016" borderId="0" xfId="4" applyFill="1" applyAlignment="1">
      <alignment horizontal="center" vertical="center"/>
    </xf>
    <xf numFmtId="0" fontId="1" fillId="3017" borderId="0" xfId="4" applyFill="1" applyAlignment="1">
      <alignment horizontal="center" vertical="center"/>
    </xf>
    <xf numFmtId="0" fontId="1" fillId="3018" borderId="0" xfId="4" applyFill="1" applyAlignment="1">
      <alignment horizontal="center" vertical="center"/>
    </xf>
    <xf numFmtId="0" fontId="1" fillId="3019" borderId="0" xfId="4" applyFill="1" applyAlignment="1">
      <alignment horizontal="center" vertical="center"/>
    </xf>
    <xf numFmtId="0" fontId="1" fillId="3020" borderId="0" xfId="4" applyFill="1" applyAlignment="1">
      <alignment horizontal="center" vertical="center"/>
    </xf>
    <xf numFmtId="0" fontId="1" fillId="3021" borderId="0" xfId="4" applyFill="1" applyAlignment="1">
      <alignment horizontal="center" vertical="center"/>
    </xf>
    <xf numFmtId="0" fontId="1" fillId="3022" borderId="0" xfId="4" applyFill="1" applyAlignment="1">
      <alignment horizontal="center" vertical="center"/>
    </xf>
    <xf numFmtId="0" fontId="1" fillId="3023" borderId="0" xfId="4" applyFill="1" applyAlignment="1">
      <alignment horizontal="center" vertical="center"/>
    </xf>
    <xf numFmtId="0" fontId="1" fillId="3024" borderId="0" xfId="4" applyFill="1" applyAlignment="1">
      <alignment horizontal="center" vertical="center"/>
    </xf>
    <xf numFmtId="0" fontId="1" fillId="3025" borderId="0" xfId="4" applyFill="1" applyAlignment="1">
      <alignment horizontal="center" vertical="center"/>
    </xf>
    <xf numFmtId="0" fontId="1" fillId="3026" borderId="0" xfId="4" applyFill="1" applyAlignment="1">
      <alignment horizontal="center" vertical="center"/>
    </xf>
    <xf numFmtId="0" fontId="1" fillId="3027" borderId="0" xfId="4" applyFill="1" applyAlignment="1">
      <alignment horizontal="center" vertical="center"/>
    </xf>
    <xf numFmtId="0" fontId="1" fillId="2333" borderId="0" xfId="4" applyFill="1" applyAlignment="1">
      <alignment horizontal="center" vertical="center"/>
    </xf>
    <xf numFmtId="0" fontId="1" fillId="3028" borderId="0" xfId="4" applyFill="1" applyAlignment="1">
      <alignment horizontal="center" vertical="center"/>
    </xf>
    <xf numFmtId="0" fontId="1" fillId="2660" borderId="25" xfId="4" applyFill="1" applyBorder="1" applyAlignment="1">
      <alignment horizontal="center" vertical="center"/>
    </xf>
    <xf numFmtId="0" fontId="1" fillId="2742" borderId="26" xfId="4" applyFill="1" applyBorder="1" applyAlignment="1">
      <alignment horizontal="center" vertical="center"/>
    </xf>
    <xf numFmtId="0" fontId="1" fillId="3029" borderId="0" xfId="4" applyFill="1" applyAlignment="1">
      <alignment horizontal="center" vertical="center"/>
    </xf>
    <xf numFmtId="0" fontId="1" fillId="3030" borderId="0" xfId="4" applyFill="1" applyAlignment="1">
      <alignment horizontal="center" vertical="center"/>
    </xf>
    <xf numFmtId="0" fontId="1" fillId="3031" borderId="0" xfId="4" applyFill="1" applyAlignment="1">
      <alignment horizontal="center" vertical="center"/>
    </xf>
    <xf numFmtId="0" fontId="1" fillId="3032" borderId="0" xfId="4" applyFill="1" applyAlignment="1">
      <alignment horizontal="center" vertical="center"/>
    </xf>
    <xf numFmtId="0" fontId="1" fillId="3033" borderId="0" xfId="4" applyFill="1" applyAlignment="1">
      <alignment horizontal="center" vertical="center"/>
    </xf>
    <xf numFmtId="0" fontId="1" fillId="3034" borderId="0" xfId="4" applyFill="1" applyAlignment="1">
      <alignment horizontal="center" vertical="center"/>
    </xf>
    <xf numFmtId="0" fontId="1" fillId="3035" borderId="0" xfId="4" applyFill="1" applyAlignment="1">
      <alignment horizontal="left" vertical="center"/>
    </xf>
    <xf numFmtId="0" fontId="1" fillId="3036" borderId="0" xfId="4" applyFill="1" applyAlignment="1">
      <alignment horizontal="left" vertical="center"/>
    </xf>
    <xf numFmtId="0" fontId="1" fillId="3037" borderId="0" xfId="4" applyFill="1" applyAlignment="1">
      <alignment horizontal="left" vertical="center"/>
    </xf>
    <xf numFmtId="0" fontId="1" fillId="3038" borderId="0" xfId="4" applyFill="1" applyAlignment="1">
      <alignment horizontal="left" vertical="center"/>
    </xf>
    <xf numFmtId="0" fontId="1" fillId="3039" borderId="0" xfId="4" applyFill="1" applyAlignment="1">
      <alignment horizontal="left" vertical="center"/>
    </xf>
    <xf numFmtId="0" fontId="1" fillId="3040" borderId="0" xfId="4" applyFill="1" applyAlignment="1">
      <alignment horizontal="left" vertical="center"/>
    </xf>
    <xf numFmtId="0" fontId="1" fillId="3041" borderId="0" xfId="4" applyFill="1" applyAlignment="1">
      <alignment horizontal="center" vertical="center"/>
    </xf>
    <xf numFmtId="0" fontId="1" fillId="3042" borderId="0" xfId="4" applyFill="1" applyAlignment="1">
      <alignment horizontal="center" vertical="center"/>
    </xf>
    <xf numFmtId="0" fontId="1" fillId="3043" borderId="0" xfId="4" applyFill="1" applyAlignment="1">
      <alignment horizontal="center" vertical="center"/>
    </xf>
    <xf numFmtId="0" fontId="1" fillId="3044" borderId="0" xfId="4" applyFill="1" applyAlignment="1">
      <alignment horizontal="center" vertical="center"/>
    </xf>
    <xf numFmtId="0" fontId="1" fillId="3045" borderId="0" xfId="4" applyFill="1" applyAlignment="1">
      <alignment horizontal="center" vertical="center"/>
    </xf>
    <xf numFmtId="0" fontId="1" fillId="3046" borderId="0" xfId="4" applyFill="1" applyAlignment="1">
      <alignment horizontal="center" vertical="center"/>
    </xf>
    <xf numFmtId="0" fontId="1" fillId="3047" borderId="0" xfId="4" applyFill="1" applyAlignment="1">
      <alignment horizontal="center" vertical="center"/>
    </xf>
    <xf numFmtId="0" fontId="1" fillId="2641" borderId="26" xfId="4" applyFill="1" applyBorder="1" applyAlignment="1">
      <alignment horizontal="center" vertical="center"/>
    </xf>
    <xf numFmtId="0" fontId="1" fillId="3048" borderId="0" xfId="4" applyFill="1" applyAlignment="1">
      <alignment horizontal="center" vertical="center"/>
    </xf>
    <xf numFmtId="0" fontId="1" fillId="3049" borderId="0" xfId="4" applyFill="1" applyAlignment="1">
      <alignment horizontal="center" vertical="center"/>
    </xf>
    <xf numFmtId="0" fontId="1" fillId="3050" borderId="0" xfId="4" applyFill="1" applyAlignment="1">
      <alignment horizontal="center" vertical="center"/>
    </xf>
    <xf numFmtId="0" fontId="1" fillId="3051" borderId="0" xfId="4" applyFill="1" applyAlignment="1">
      <alignment horizontal="center" vertical="center"/>
    </xf>
    <xf numFmtId="0" fontId="1" fillId="3052" borderId="0" xfId="4" applyFill="1" applyAlignment="1">
      <alignment horizontal="center" vertical="center"/>
    </xf>
    <xf numFmtId="0" fontId="1" fillId="3053" borderId="0" xfId="4" applyFill="1" applyAlignment="1">
      <alignment horizontal="center" vertical="center"/>
    </xf>
    <xf numFmtId="0" fontId="1" fillId="3054" borderId="0" xfId="4" applyFill="1" applyAlignment="1">
      <alignment horizontal="center" vertical="center"/>
    </xf>
    <xf numFmtId="0" fontId="1" fillId="3055" borderId="0" xfId="4" applyFill="1" applyAlignment="1">
      <alignment horizontal="center" vertical="center"/>
    </xf>
    <xf numFmtId="0" fontId="1" fillId="3056" borderId="0" xfId="4" applyFill="1" applyAlignment="1">
      <alignment horizontal="center" vertical="center"/>
    </xf>
    <xf numFmtId="0" fontId="1" fillId="3057" borderId="0" xfId="4" applyFill="1" applyAlignment="1">
      <alignment horizontal="center" vertical="center"/>
    </xf>
    <xf numFmtId="0" fontId="1" fillId="3058" borderId="0" xfId="4" applyFill="1" applyAlignment="1">
      <alignment horizontal="center" vertical="center"/>
    </xf>
    <xf numFmtId="0" fontId="1" fillId="3059" borderId="0" xfId="4" applyFill="1" applyAlignment="1">
      <alignment horizontal="center" vertical="center"/>
    </xf>
    <xf numFmtId="0" fontId="1" fillId="3060" borderId="0" xfId="4" applyFill="1" applyAlignment="1">
      <alignment horizontal="center" vertical="center"/>
    </xf>
    <xf numFmtId="0" fontId="1" fillId="3061" borderId="0" xfId="4" applyFill="1" applyAlignment="1">
      <alignment horizontal="center" vertical="center"/>
    </xf>
    <xf numFmtId="0" fontId="1" fillId="3062" borderId="0" xfId="4" applyFill="1" applyAlignment="1">
      <alignment horizontal="center" vertical="center"/>
    </xf>
    <xf numFmtId="0" fontId="1" fillId="2442" borderId="25" xfId="4" applyFill="1" applyBorder="1" applyAlignment="1">
      <alignment horizontal="center" vertical="center"/>
    </xf>
    <xf numFmtId="0" fontId="1" fillId="3063" borderId="0" xfId="4" applyFill="1" applyAlignment="1">
      <alignment horizontal="center" vertical="center"/>
    </xf>
    <xf numFmtId="0" fontId="1" fillId="3064" borderId="26" xfId="4" applyFill="1" applyBorder="1" applyAlignment="1">
      <alignment horizontal="center" vertical="center"/>
    </xf>
    <xf numFmtId="0" fontId="1" fillId="3065" borderId="0" xfId="4" applyFill="1" applyAlignment="1">
      <alignment horizontal="center" vertical="center"/>
    </xf>
    <xf numFmtId="0" fontId="1" fillId="3066" borderId="0" xfId="4" applyFill="1" applyAlignment="1">
      <alignment horizontal="center" vertical="center"/>
    </xf>
    <xf numFmtId="0" fontId="1" fillId="3067" borderId="0" xfId="4" applyFill="1" applyAlignment="1">
      <alignment horizontal="center" vertical="center"/>
    </xf>
    <xf numFmtId="0" fontId="1" fillId="3068" borderId="0" xfId="4" applyFill="1" applyAlignment="1">
      <alignment horizontal="center" vertical="center"/>
    </xf>
    <xf numFmtId="0" fontId="1" fillId="3069" borderId="0" xfId="4" applyFill="1" applyAlignment="1">
      <alignment horizontal="center" vertical="center"/>
    </xf>
    <xf numFmtId="0" fontId="1" fillId="3070" borderId="0" xfId="4" applyFill="1" applyAlignment="1">
      <alignment horizontal="center" vertical="center"/>
    </xf>
    <xf numFmtId="0" fontId="1" fillId="3071" borderId="0" xfId="4" applyFill="1" applyAlignment="1">
      <alignment horizontal="center" vertical="center"/>
    </xf>
    <xf numFmtId="0" fontId="1" fillId="3072" borderId="0" xfId="4" applyFill="1" applyAlignment="1">
      <alignment horizontal="left" vertical="center"/>
    </xf>
    <xf numFmtId="0" fontId="1" fillId="3073" borderId="0" xfId="4" applyFill="1" applyAlignment="1">
      <alignment horizontal="left" vertical="center"/>
    </xf>
    <xf numFmtId="0" fontId="1" fillId="3074" borderId="0" xfId="4" applyFill="1" applyAlignment="1">
      <alignment horizontal="left" vertical="center"/>
    </xf>
    <xf numFmtId="0" fontId="1" fillId="3075" borderId="0" xfId="4" applyFill="1" applyAlignment="1">
      <alignment horizontal="left" vertical="center"/>
    </xf>
    <xf numFmtId="0" fontId="1" fillId="3076" borderId="0" xfId="4" applyFill="1" applyAlignment="1">
      <alignment horizontal="left" vertical="center"/>
    </xf>
    <xf numFmtId="0" fontId="1" fillId="3077" borderId="0" xfId="4" applyFill="1" applyAlignment="1">
      <alignment horizontal="left" vertical="center"/>
    </xf>
    <xf numFmtId="0" fontId="1" fillId="3078" borderId="0" xfId="4" applyFill="1" applyAlignment="1">
      <alignment horizontal="left" vertical="center"/>
    </xf>
    <xf numFmtId="0" fontId="1" fillId="3079" borderId="0" xfId="4" applyFill="1" applyAlignment="1">
      <alignment horizontal="center" vertical="center"/>
    </xf>
    <xf numFmtId="0" fontId="1" fillId="3080" borderId="0" xfId="4" applyFill="1" applyAlignment="1">
      <alignment horizontal="center" vertical="center"/>
    </xf>
    <xf numFmtId="0" fontId="1" fillId="3081" borderId="0" xfId="4" applyFill="1" applyAlignment="1">
      <alignment horizontal="center" vertical="center"/>
    </xf>
    <xf numFmtId="0" fontId="1" fillId="3082" borderId="0" xfId="4" applyFill="1" applyAlignment="1">
      <alignment horizontal="center" vertical="center"/>
    </xf>
    <xf numFmtId="0" fontId="1" fillId="3083" borderId="0" xfId="4" applyFill="1" applyAlignment="1">
      <alignment horizontal="center" vertical="center"/>
    </xf>
    <xf numFmtId="0" fontId="1" fillId="3084" borderId="0" xfId="4" applyFill="1" applyAlignment="1">
      <alignment horizontal="center" vertical="center"/>
    </xf>
    <xf numFmtId="0" fontId="1" fillId="3085" borderId="0" xfId="4" applyFill="1" applyAlignment="1">
      <alignment horizontal="center" vertical="center"/>
    </xf>
    <xf numFmtId="0" fontId="1" fillId="3086" borderId="0" xfId="4" applyFill="1" applyAlignment="1">
      <alignment horizontal="center" vertical="center"/>
    </xf>
    <xf numFmtId="0" fontId="1" fillId="2587" borderId="11" xfId="4" applyFill="1" applyBorder="1" applyAlignment="1">
      <alignment horizontal="center" vertical="center"/>
    </xf>
    <xf numFmtId="0" fontId="1" fillId="2685" borderId="10" xfId="4" applyFill="1" applyBorder="1" applyAlignment="1">
      <alignment horizontal="center" vertical="center"/>
    </xf>
    <xf numFmtId="0" fontId="1" fillId="2583" borderId="10" xfId="4" applyFill="1" applyBorder="1" applyAlignment="1">
      <alignment horizontal="center" vertical="center"/>
    </xf>
    <xf numFmtId="0" fontId="1" fillId="2587" borderId="10" xfId="4" applyFill="1" applyBorder="1" applyAlignment="1">
      <alignment horizontal="center" vertical="center"/>
    </xf>
    <xf numFmtId="0" fontId="1" fillId="2946" borderId="10" xfId="4" applyFill="1" applyBorder="1" applyAlignment="1">
      <alignment horizontal="center" vertical="center"/>
    </xf>
    <xf numFmtId="0" fontId="1" fillId="2641" borderId="10" xfId="4" applyFill="1" applyBorder="1" applyAlignment="1">
      <alignment horizontal="center" vertical="center"/>
    </xf>
    <xf numFmtId="0" fontId="1" fillId="2642" borderId="10" xfId="4" applyFill="1" applyBorder="1" applyAlignment="1">
      <alignment horizontal="center" vertical="center"/>
    </xf>
    <xf numFmtId="0" fontId="1" fillId="2640" borderId="12" xfId="4" applyFill="1" applyBorder="1" applyAlignment="1">
      <alignment horizontal="center" vertical="center"/>
    </xf>
    <xf numFmtId="0" fontId="1" fillId="3087" borderId="0" xfId="4" applyFill="1" applyAlignment="1">
      <alignment horizontal="center" vertical="center"/>
    </xf>
    <xf numFmtId="0" fontId="1" fillId="3088" borderId="0" xfId="4" applyFill="1" applyAlignment="1">
      <alignment horizontal="center" vertical="center"/>
    </xf>
    <xf numFmtId="0" fontId="1" fillId="3089" borderId="0" xfId="4" applyFill="1" applyAlignment="1">
      <alignment horizontal="center" vertical="center"/>
    </xf>
    <xf numFmtId="0" fontId="1" fillId="3090" borderId="0" xfId="4" applyFill="1" applyAlignment="1">
      <alignment horizontal="center" vertical="center"/>
    </xf>
    <xf numFmtId="0" fontId="1" fillId="3091" borderId="0" xfId="4" applyFill="1" applyAlignment="1">
      <alignment horizontal="center" vertical="center"/>
    </xf>
    <xf numFmtId="0" fontId="1" fillId="182" borderId="0" xfId="4" applyFill="1" applyAlignment="1">
      <alignment horizontal="center" vertical="center"/>
    </xf>
    <xf numFmtId="0" fontId="1" fillId="3092" borderId="0" xfId="4" applyFill="1" applyAlignment="1">
      <alignment horizontal="center" vertical="center"/>
    </xf>
    <xf numFmtId="0" fontId="1" fillId="3093" borderId="0" xfId="4" applyFill="1" applyAlignment="1">
      <alignment horizontal="center" vertical="center"/>
    </xf>
    <xf numFmtId="0" fontId="1" fillId="3094" borderId="0" xfId="4" applyFill="1" applyAlignment="1">
      <alignment horizontal="center" vertical="center"/>
    </xf>
    <xf numFmtId="0" fontId="1" fillId="3095" borderId="0" xfId="4" applyFill="1" applyAlignment="1">
      <alignment horizontal="center" vertical="center"/>
    </xf>
    <xf numFmtId="0" fontId="1" fillId="3096" borderId="0" xfId="4" applyFill="1" applyAlignment="1">
      <alignment horizontal="center" vertical="center"/>
    </xf>
    <xf numFmtId="0" fontId="1" fillId="3097" borderId="0" xfId="4" applyFill="1" applyAlignment="1">
      <alignment horizontal="center" vertical="center"/>
    </xf>
    <xf numFmtId="0" fontId="1" fillId="3098" borderId="0" xfId="4" applyFill="1" applyAlignment="1">
      <alignment horizontal="center" vertical="center"/>
    </xf>
    <xf numFmtId="0" fontId="1" fillId="3099" borderId="0" xfId="4" applyFill="1" applyAlignment="1">
      <alignment horizontal="center" vertical="center"/>
    </xf>
    <xf numFmtId="0" fontId="1" fillId="3100" borderId="0" xfId="4" applyFill="1" applyAlignment="1">
      <alignment horizontal="center" vertical="center"/>
    </xf>
    <xf numFmtId="0" fontId="1" fillId="3101" borderId="0" xfId="4" applyFill="1" applyAlignment="1">
      <alignment horizontal="center" vertical="center"/>
    </xf>
    <xf numFmtId="0" fontId="1" fillId="3102" borderId="0" xfId="4" applyFill="1" applyAlignment="1">
      <alignment horizontal="center" vertical="center"/>
    </xf>
    <xf numFmtId="0" fontId="1" fillId="3103" borderId="0" xfId="4" applyFill="1" applyAlignment="1">
      <alignment horizontal="center" vertical="center"/>
    </xf>
    <xf numFmtId="0" fontId="1" fillId="3104" borderId="0" xfId="4" applyFill="1" applyAlignment="1">
      <alignment horizontal="center" vertical="center"/>
    </xf>
    <xf numFmtId="0" fontId="1" fillId="3105" borderId="0" xfId="4" applyFill="1" applyAlignment="1">
      <alignment horizontal="center" vertical="center"/>
    </xf>
    <xf numFmtId="0" fontId="1" fillId="2222" borderId="26" xfId="4" applyFill="1" applyBorder="1" applyAlignment="1">
      <alignment horizontal="center" vertical="center"/>
    </xf>
    <xf numFmtId="0" fontId="1" fillId="3106" borderId="0" xfId="4" applyFill="1" applyAlignment="1">
      <alignment horizontal="center" vertical="center"/>
    </xf>
    <xf numFmtId="0" fontId="1" fillId="3107" borderId="0" xfId="4" applyFill="1" applyAlignment="1">
      <alignment horizontal="center" vertical="center"/>
    </xf>
    <xf numFmtId="0" fontId="1" fillId="3108" borderId="0" xfId="4" applyFill="1" applyAlignment="1">
      <alignment horizontal="center" vertical="center"/>
    </xf>
    <xf numFmtId="0" fontId="1" fillId="3109" borderId="0" xfId="4" applyFill="1" applyAlignment="1">
      <alignment horizontal="center" vertical="center"/>
    </xf>
    <xf numFmtId="0" fontId="1" fillId="3110" borderId="0" xfId="4" applyFill="1" applyAlignment="1">
      <alignment horizontal="center" vertical="center"/>
    </xf>
    <xf numFmtId="0" fontId="1" fillId="3111" borderId="0" xfId="4" applyFill="1" applyAlignment="1">
      <alignment horizontal="center" vertical="center"/>
    </xf>
    <xf numFmtId="0" fontId="1" fillId="3112" borderId="0" xfId="4" applyFill="1" applyAlignment="1">
      <alignment horizontal="center" vertical="center"/>
    </xf>
    <xf numFmtId="0" fontId="1" fillId="3113" borderId="0" xfId="4" applyFill="1" applyAlignment="1">
      <alignment horizontal="center" vertical="center"/>
    </xf>
    <xf numFmtId="0" fontId="1" fillId="3114" borderId="0" xfId="4" applyFill="1" applyAlignment="1">
      <alignment horizontal="left" vertical="center"/>
    </xf>
    <xf numFmtId="0" fontId="1" fillId="3115" borderId="0" xfId="4" applyFill="1" applyAlignment="1">
      <alignment horizontal="left" vertical="center"/>
    </xf>
    <xf numFmtId="0" fontId="1" fillId="3116" borderId="0" xfId="4" applyFill="1" applyAlignment="1">
      <alignment horizontal="left" vertical="center"/>
    </xf>
    <xf numFmtId="0" fontId="1" fillId="3117" borderId="0" xfId="4" applyFill="1" applyAlignment="1">
      <alignment horizontal="left" vertical="center"/>
    </xf>
    <xf numFmtId="0" fontId="1" fillId="3118" borderId="0" xfId="4" applyFill="1" applyAlignment="1">
      <alignment horizontal="left" vertical="center"/>
    </xf>
    <xf numFmtId="0" fontId="1" fillId="3119" borderId="0" xfId="4" applyFill="1" applyAlignment="1">
      <alignment horizontal="left" vertical="center"/>
    </xf>
    <xf numFmtId="0" fontId="1" fillId="3120" borderId="0" xfId="4" applyFill="1" applyAlignment="1">
      <alignment horizontal="center" vertical="center"/>
    </xf>
    <xf numFmtId="0" fontId="1" fillId="3121" borderId="0" xfId="4" applyFill="1" applyAlignment="1">
      <alignment horizontal="center" vertical="center"/>
    </xf>
    <xf numFmtId="0" fontId="1" fillId="3122" borderId="0" xfId="4" applyFill="1" applyAlignment="1">
      <alignment horizontal="center" vertical="center"/>
    </xf>
    <xf numFmtId="0" fontId="1" fillId="3123" borderId="0" xfId="4" applyFill="1" applyAlignment="1">
      <alignment horizontal="center" vertical="center"/>
    </xf>
    <xf numFmtId="0" fontId="1" fillId="3124" borderId="0" xfId="4" applyFill="1" applyAlignment="1">
      <alignment horizontal="center" vertical="center"/>
    </xf>
    <xf numFmtId="0" fontId="1" fillId="3125" borderId="0" xfId="4" applyFill="1" applyAlignment="1">
      <alignment horizontal="center" vertical="center"/>
    </xf>
    <xf numFmtId="0" fontId="1" fillId="3126" borderId="0" xfId="4" applyFill="1" applyAlignment="1">
      <alignment horizontal="center" vertical="center"/>
    </xf>
    <xf numFmtId="0" fontId="1" fillId="3127" borderId="0" xfId="4" applyFill="1" applyAlignment="1">
      <alignment horizontal="center" vertical="center"/>
    </xf>
    <xf numFmtId="0" fontId="1" fillId="3128" borderId="0" xfId="4" applyFill="1" applyAlignment="1">
      <alignment horizontal="center" vertical="center"/>
    </xf>
    <xf numFmtId="0" fontId="1" fillId="2642" borderId="0" xfId="4" applyFill="1" applyAlignment="1">
      <alignment horizontal="left" vertical="center"/>
    </xf>
    <xf numFmtId="0" fontId="1" fillId="2587" borderId="0" xfId="4" applyFill="1" applyAlignment="1">
      <alignment horizontal="left" vertical="center"/>
    </xf>
    <xf numFmtId="0" fontId="1" fillId="3129" borderId="0" xfId="4" applyFill="1" applyAlignment="1">
      <alignment horizontal="center" vertical="center"/>
    </xf>
    <xf numFmtId="0" fontId="1" fillId="3130" borderId="0" xfId="4" applyFill="1" applyAlignment="1">
      <alignment horizontal="center" vertical="center"/>
    </xf>
    <xf numFmtId="0" fontId="1" fillId="3131" borderId="0" xfId="4" applyFill="1" applyAlignment="1">
      <alignment horizontal="center" vertical="center"/>
    </xf>
    <xf numFmtId="0" fontId="1" fillId="3132" borderId="0" xfId="4" applyFill="1" applyAlignment="1">
      <alignment horizontal="center" vertical="center"/>
    </xf>
    <xf numFmtId="0" fontId="1" fillId="3133" borderId="0" xfId="4" applyFill="1" applyAlignment="1">
      <alignment horizontal="center" vertical="center"/>
    </xf>
    <xf numFmtId="0" fontId="1" fillId="3134" borderId="0" xfId="4" applyFill="1" applyAlignment="1">
      <alignment horizontal="center" vertical="center"/>
    </xf>
    <xf numFmtId="0" fontId="1" fillId="3135" borderId="0" xfId="4" applyFill="1" applyAlignment="1">
      <alignment horizontal="center" vertical="center"/>
    </xf>
    <xf numFmtId="0" fontId="1" fillId="3136" borderId="0" xfId="4" applyFill="1" applyAlignment="1">
      <alignment horizontal="center" vertical="center"/>
    </xf>
    <xf numFmtId="0" fontId="1" fillId="96" borderId="0" xfId="4" applyFill="1" applyAlignment="1">
      <alignment horizontal="center" vertical="center"/>
    </xf>
    <xf numFmtId="0" fontId="1" fillId="3137" borderId="0" xfId="4" applyFill="1" applyAlignment="1">
      <alignment horizontal="center" vertical="center"/>
    </xf>
    <xf numFmtId="0" fontId="1" fillId="38" borderId="0" xfId="4" applyFill="1" applyAlignment="1">
      <alignment horizontal="center" vertical="center"/>
    </xf>
    <xf numFmtId="0" fontId="1" fillId="3138" borderId="0" xfId="4" applyFill="1" applyAlignment="1">
      <alignment horizontal="center" vertical="center"/>
    </xf>
    <xf numFmtId="0" fontId="1" fillId="108" borderId="0" xfId="4" applyFill="1" applyAlignment="1">
      <alignment horizontal="center" vertical="center"/>
    </xf>
    <xf numFmtId="0" fontId="1" fillId="3139" borderId="0" xfId="4" applyFill="1" applyAlignment="1">
      <alignment horizontal="center" vertical="center"/>
    </xf>
    <xf numFmtId="0" fontId="1" fillId="3140" borderId="0" xfId="4" applyFill="1" applyAlignment="1">
      <alignment horizontal="center" vertical="center"/>
    </xf>
    <xf numFmtId="0" fontId="1" fillId="3141" borderId="0" xfId="4" applyFill="1" applyAlignment="1">
      <alignment horizontal="center" vertical="center"/>
    </xf>
    <xf numFmtId="0" fontId="1" fillId="3142" borderId="0" xfId="4" applyFill="1" applyAlignment="1">
      <alignment horizontal="center" vertical="center"/>
    </xf>
    <xf numFmtId="0" fontId="1" fillId="3143" borderId="0" xfId="4" applyFill="1" applyAlignment="1">
      <alignment horizontal="center" vertical="center"/>
    </xf>
    <xf numFmtId="0" fontId="1" fillId="2819" borderId="11" xfId="4" applyFill="1" applyBorder="1" applyAlignment="1">
      <alignment horizontal="center" vertical="center"/>
    </xf>
    <xf numFmtId="0" fontId="1" fillId="3144" borderId="10" xfId="4" applyFill="1" applyBorder="1" applyAlignment="1">
      <alignment horizontal="center" vertical="center"/>
    </xf>
    <xf numFmtId="0" fontId="1" fillId="3145" borderId="10" xfId="4" applyFill="1" applyBorder="1" applyAlignment="1">
      <alignment horizontal="center" vertical="center"/>
    </xf>
    <xf numFmtId="0" fontId="1" fillId="3146" borderId="10" xfId="4" applyFill="1" applyBorder="1" applyAlignment="1">
      <alignment horizontal="center" vertical="center"/>
    </xf>
    <xf numFmtId="0" fontId="1" fillId="2274" borderId="10" xfId="4" applyFill="1" applyBorder="1" applyAlignment="1">
      <alignment horizontal="center" vertical="center"/>
    </xf>
    <xf numFmtId="0" fontId="1" fillId="2173" borderId="10" xfId="4" applyFill="1" applyBorder="1" applyAlignment="1">
      <alignment horizontal="center" vertical="center"/>
    </xf>
    <xf numFmtId="0" fontId="1" fillId="2045" borderId="12" xfId="4" applyFill="1" applyBorder="1" applyAlignment="1">
      <alignment horizontal="center" vertical="center"/>
    </xf>
    <xf numFmtId="0" fontId="1" fillId="3147" borderId="0" xfId="4" applyFill="1" applyAlignment="1">
      <alignment horizontal="center" vertical="center"/>
    </xf>
    <xf numFmtId="0" fontId="1" fillId="3148" borderId="0" xfId="4" applyFill="1" applyAlignment="1">
      <alignment horizontal="center" vertical="center"/>
    </xf>
    <xf numFmtId="0" fontId="1" fillId="3149" borderId="0" xfId="4" applyFill="1" applyAlignment="1">
      <alignment horizontal="center" vertical="center"/>
    </xf>
    <xf numFmtId="0" fontId="1" fillId="3150" borderId="0" xfId="4" applyFill="1" applyAlignment="1">
      <alignment horizontal="center" vertical="center"/>
    </xf>
    <xf numFmtId="0" fontId="1" fillId="3151" borderId="0" xfId="4" applyFill="1" applyAlignment="1">
      <alignment horizontal="center" vertical="center"/>
    </xf>
    <xf numFmtId="0" fontId="1" fillId="3152" borderId="0" xfId="4" applyFill="1" applyAlignment="1">
      <alignment horizontal="center" vertical="center"/>
    </xf>
    <xf numFmtId="0" fontId="1" fillId="3153" borderId="0" xfId="4" applyFill="1" applyAlignment="1">
      <alignment horizontal="center" vertical="center"/>
    </xf>
    <xf numFmtId="0" fontId="1" fillId="3154" borderId="0" xfId="4" applyFill="1" applyAlignment="1">
      <alignment horizontal="center" vertical="center"/>
    </xf>
    <xf numFmtId="0" fontId="1" fillId="3155" borderId="0" xfId="4" applyFill="1" applyAlignment="1">
      <alignment horizontal="center" vertical="center"/>
    </xf>
    <xf numFmtId="0" fontId="1" fillId="2297" borderId="0" xfId="4" applyFill="1" applyAlignment="1">
      <alignment horizontal="center" vertical="center"/>
    </xf>
    <xf numFmtId="0" fontId="1" fillId="3156" borderId="0" xfId="4" applyFill="1" applyAlignment="1">
      <alignment horizontal="center" vertical="center"/>
    </xf>
    <xf numFmtId="0" fontId="1" fillId="3157" borderId="0" xfId="4" applyFill="1" applyAlignment="1">
      <alignment horizontal="center" vertical="center"/>
    </xf>
    <xf numFmtId="0" fontId="1" fillId="3158" borderId="0" xfId="4" applyFill="1" applyAlignment="1">
      <alignment horizontal="center" vertical="center"/>
    </xf>
    <xf numFmtId="0" fontId="1" fillId="3159" borderId="0" xfId="4" applyFill="1" applyAlignment="1">
      <alignment horizontal="left" vertical="center"/>
    </xf>
    <xf numFmtId="0" fontId="1" fillId="3160" borderId="0" xfId="4" applyFill="1" applyAlignment="1">
      <alignment horizontal="left" vertical="center"/>
    </xf>
    <xf numFmtId="0" fontId="1" fillId="3161" borderId="0" xfId="4" applyFill="1" applyAlignment="1">
      <alignment horizontal="left" vertical="center"/>
    </xf>
    <xf numFmtId="0" fontId="1" fillId="3162" borderId="0" xfId="4" applyFill="1" applyAlignment="1">
      <alignment horizontal="left" vertical="center"/>
    </xf>
    <xf numFmtId="0" fontId="1" fillId="3163" borderId="0" xfId="4" applyFill="1" applyAlignment="1">
      <alignment horizontal="left" vertical="center"/>
    </xf>
    <xf numFmtId="0" fontId="1" fillId="3164" borderId="0" xfId="4" applyFill="1" applyAlignment="1">
      <alignment horizontal="left" vertical="center"/>
    </xf>
    <xf numFmtId="0" fontId="1" fillId="3165" borderId="0" xfId="4" applyFill="1" applyAlignment="1">
      <alignment horizontal="left" vertical="center"/>
    </xf>
    <xf numFmtId="0" fontId="1" fillId="3166" borderId="0" xfId="4" applyFill="1" applyAlignment="1">
      <alignment horizontal="center" vertical="center"/>
    </xf>
    <xf numFmtId="0" fontId="1" fillId="3167" borderId="0" xfId="4" applyFill="1" applyAlignment="1">
      <alignment horizontal="center" vertical="center"/>
    </xf>
    <xf numFmtId="0" fontId="1" fillId="3168" borderId="0" xfId="4" applyFill="1" applyAlignment="1">
      <alignment horizontal="center" vertical="center"/>
    </xf>
    <xf numFmtId="0" fontId="1" fillId="3169" borderId="0" xfId="4" applyFill="1" applyAlignment="1">
      <alignment horizontal="center" vertical="center"/>
    </xf>
    <xf numFmtId="0" fontId="1" fillId="3170" borderId="0" xfId="4" applyFill="1" applyAlignment="1">
      <alignment horizontal="center" vertical="center"/>
    </xf>
    <xf numFmtId="0" fontId="1" fillId="3171" borderId="0" xfId="4" applyFill="1" applyAlignment="1">
      <alignment horizontal="center" vertical="center"/>
    </xf>
    <xf numFmtId="0" fontId="1" fillId="3172" borderId="0" xfId="4" applyFill="1" applyAlignment="1">
      <alignment horizontal="center" vertical="center"/>
    </xf>
    <xf numFmtId="0" fontId="1" fillId="3173" borderId="0" xfId="4" applyFill="1" applyAlignment="1">
      <alignment horizontal="center" vertical="center"/>
    </xf>
    <xf numFmtId="0" fontId="1" fillId="3174" borderId="0" xfId="4" applyFill="1" applyAlignment="1">
      <alignment horizontal="center" vertical="center"/>
    </xf>
    <xf numFmtId="0" fontId="1" fillId="3175" borderId="0" xfId="4" applyFill="1" applyAlignment="1">
      <alignment horizontal="left" vertical="center"/>
    </xf>
    <xf numFmtId="0" fontId="1" fillId="3176" borderId="0" xfId="4" applyFill="1" applyAlignment="1">
      <alignment horizontal="center" vertical="center"/>
    </xf>
    <xf numFmtId="0" fontId="1" fillId="3177" borderId="0" xfId="4" applyFill="1" applyAlignment="1">
      <alignment horizontal="center" vertical="center"/>
    </xf>
    <xf numFmtId="0" fontId="1" fillId="3178" borderId="0" xfId="4" applyFill="1" applyAlignment="1">
      <alignment horizontal="center" vertical="center"/>
    </xf>
    <xf numFmtId="0" fontId="1" fillId="3179" borderId="0" xfId="4" applyFill="1" applyAlignment="1">
      <alignment horizontal="center" vertical="center"/>
    </xf>
    <xf numFmtId="0" fontId="1" fillId="3180" borderId="0" xfId="4" applyFill="1" applyAlignment="1">
      <alignment horizontal="center" vertical="center"/>
    </xf>
    <xf numFmtId="0" fontId="1" fillId="102" borderId="0" xfId="4" applyFill="1" applyAlignment="1">
      <alignment horizontal="center" vertical="center"/>
    </xf>
    <xf numFmtId="0" fontId="1" fillId="100" borderId="0" xfId="4" applyFill="1" applyAlignment="1">
      <alignment horizontal="center" vertical="center"/>
    </xf>
    <xf numFmtId="0" fontId="1" fillId="3181" borderId="0" xfId="4" applyFill="1" applyAlignment="1">
      <alignment horizontal="center" vertical="center"/>
    </xf>
    <xf numFmtId="0" fontId="1" fillId="3182" borderId="0" xfId="4" applyFill="1" applyAlignment="1">
      <alignment horizontal="center" vertical="center"/>
    </xf>
    <xf numFmtId="0" fontId="1" fillId="3183" borderId="0" xfId="4" applyFill="1" applyAlignment="1">
      <alignment horizontal="center" vertical="center"/>
    </xf>
    <xf numFmtId="0" fontId="1" fillId="3184" borderId="0" xfId="4" applyFill="1" applyAlignment="1">
      <alignment horizontal="center" vertical="center"/>
    </xf>
    <xf numFmtId="0" fontId="1" fillId="3185" borderId="0" xfId="4" applyFill="1" applyAlignment="1">
      <alignment horizontal="center" vertical="center"/>
    </xf>
    <xf numFmtId="0" fontId="1" fillId="3186" borderId="0" xfId="4" applyFill="1" applyAlignment="1">
      <alignment horizontal="center" vertical="center"/>
    </xf>
    <xf numFmtId="0" fontId="1" fillId="3187" borderId="0" xfId="4" applyFill="1" applyAlignment="1">
      <alignment horizontal="center" vertical="center"/>
    </xf>
    <xf numFmtId="0" fontId="1" fillId="2044" borderId="0" xfId="4" applyFill="1" applyAlignment="1">
      <alignment horizontal="left" vertical="center"/>
    </xf>
    <xf numFmtId="0" fontId="1" fillId="3188" borderId="0" xfId="4" applyFill="1" applyAlignment="1">
      <alignment horizontal="center" vertical="center"/>
    </xf>
    <xf numFmtId="0" fontId="1" fillId="3189" borderId="0" xfId="4" applyFill="1" applyAlignment="1">
      <alignment horizontal="center" vertical="center"/>
    </xf>
    <xf numFmtId="0" fontId="1" fillId="3190" borderId="0" xfId="4" applyFill="1" applyAlignment="1">
      <alignment horizontal="center" vertical="center"/>
    </xf>
    <xf numFmtId="0" fontId="1" fillId="3191" borderId="0" xfId="4" applyFill="1" applyAlignment="1">
      <alignment horizontal="center" vertical="center"/>
    </xf>
    <xf numFmtId="0" fontId="1" fillId="3192" borderId="0" xfId="4" applyFill="1" applyAlignment="1">
      <alignment horizontal="center" vertical="center"/>
    </xf>
    <xf numFmtId="0" fontId="1" fillId="3193" borderId="0" xfId="4" applyFill="1" applyAlignment="1">
      <alignment horizontal="center" vertical="center"/>
    </xf>
    <xf numFmtId="0" fontId="1" fillId="3194" borderId="0" xfId="4" applyFill="1" applyAlignment="1">
      <alignment horizontal="center" vertical="center"/>
    </xf>
    <xf numFmtId="0" fontId="1" fillId="3195" borderId="0" xfId="4" applyFill="1" applyAlignment="1">
      <alignment horizontal="center" vertical="center"/>
    </xf>
    <xf numFmtId="0" fontId="1" fillId="3196" borderId="0" xfId="4" applyFill="1" applyAlignment="1">
      <alignment horizontal="center" vertical="center"/>
    </xf>
    <xf numFmtId="0" fontId="1" fillId="3197" borderId="0" xfId="4" applyFill="1" applyAlignment="1">
      <alignment horizontal="center" vertical="center"/>
    </xf>
    <xf numFmtId="0" fontId="1" fillId="3198" borderId="0" xfId="4" applyFill="1" applyAlignment="1">
      <alignment horizontal="center" vertical="center"/>
    </xf>
    <xf numFmtId="0" fontId="1" fillId="3199" borderId="0" xfId="4" applyFill="1" applyAlignment="1">
      <alignment horizontal="center" vertical="center"/>
    </xf>
    <xf numFmtId="0" fontId="1" fillId="3200" borderId="0" xfId="4" applyFill="1" applyAlignment="1">
      <alignment horizontal="center" vertical="center"/>
    </xf>
    <xf numFmtId="0" fontId="1" fillId="3201" borderId="0" xfId="4" applyFill="1" applyAlignment="1">
      <alignment horizontal="center" vertical="center"/>
    </xf>
    <xf numFmtId="0" fontId="1" fillId="3202" borderId="0" xfId="4" applyFill="1" applyAlignment="1">
      <alignment horizontal="center" vertical="center"/>
    </xf>
    <xf numFmtId="0" fontId="1" fillId="3203" borderId="0" xfId="4" applyFill="1" applyAlignment="1">
      <alignment horizontal="center" vertical="center"/>
    </xf>
    <xf numFmtId="0" fontId="1" fillId="3204" borderId="0" xfId="4" applyFill="1" applyAlignment="1">
      <alignment horizontal="left" vertical="center"/>
    </xf>
    <xf numFmtId="0" fontId="1" fillId="2351" borderId="0" xfId="4" applyFill="1" applyAlignment="1">
      <alignment horizontal="left" vertical="center"/>
    </xf>
    <xf numFmtId="0" fontId="1" fillId="3205" borderId="0" xfId="4" applyFill="1" applyAlignment="1">
      <alignment horizontal="left" vertical="center"/>
    </xf>
    <xf numFmtId="0" fontId="1" fillId="3206" borderId="0" xfId="4" applyFill="1" applyAlignment="1">
      <alignment horizontal="left" vertical="center"/>
    </xf>
    <xf numFmtId="0" fontId="1" fillId="3207" borderId="0" xfId="4" applyFill="1" applyAlignment="1">
      <alignment horizontal="center" vertical="center"/>
    </xf>
    <xf numFmtId="0" fontId="1" fillId="3208" borderId="0" xfId="4" applyFill="1" applyAlignment="1">
      <alignment horizontal="center" vertical="center"/>
    </xf>
    <xf numFmtId="0" fontId="1" fillId="3209" borderId="0" xfId="4" applyFill="1" applyAlignment="1">
      <alignment horizontal="center" vertical="center"/>
    </xf>
    <xf numFmtId="0" fontId="1" fillId="3210" borderId="0" xfId="4" applyFill="1" applyAlignment="1">
      <alignment horizontal="center" vertical="center"/>
    </xf>
    <xf numFmtId="0" fontId="1" fillId="3211" borderId="0" xfId="4" applyFill="1" applyAlignment="1">
      <alignment horizontal="center" vertical="center"/>
    </xf>
    <xf numFmtId="0" fontId="1" fillId="3212" borderId="0" xfId="4" applyFill="1" applyAlignment="1">
      <alignment horizontal="center" vertical="center"/>
    </xf>
    <xf numFmtId="0" fontId="1" fillId="3213" borderId="0" xfId="4" applyFill="1" applyAlignment="1">
      <alignment horizontal="center" vertical="center"/>
    </xf>
    <xf numFmtId="0" fontId="1" fillId="3214" borderId="0" xfId="4" applyFill="1" applyAlignment="1">
      <alignment horizontal="center" vertical="center"/>
    </xf>
    <xf numFmtId="0" fontId="1" fillId="3215" borderId="0" xfId="4" applyFill="1" applyAlignment="1">
      <alignment horizontal="center" vertical="center"/>
    </xf>
    <xf numFmtId="0" fontId="1" fillId="3216" borderId="0" xfId="4" applyFill="1" applyAlignment="1">
      <alignment horizontal="left" vertical="center"/>
    </xf>
    <xf numFmtId="0" fontId="1" fillId="3217" borderId="0" xfId="4" applyFill="1" applyAlignment="1">
      <alignment horizontal="center" vertical="center"/>
    </xf>
    <xf numFmtId="0" fontId="1" fillId="3218" borderId="0" xfId="4" applyFill="1" applyAlignment="1">
      <alignment horizontal="center" vertical="center"/>
    </xf>
    <xf numFmtId="0" fontId="1" fillId="3219" borderId="0" xfId="4" applyFill="1" applyAlignment="1">
      <alignment horizontal="center" vertical="center"/>
    </xf>
    <xf numFmtId="0" fontId="1" fillId="3220" borderId="0" xfId="4" applyFill="1" applyAlignment="1">
      <alignment horizontal="center" vertical="center"/>
    </xf>
    <xf numFmtId="0" fontId="1" fillId="3221" borderId="0" xfId="4" applyFill="1" applyAlignment="1">
      <alignment horizontal="center" vertical="center"/>
    </xf>
    <xf numFmtId="0" fontId="1" fillId="3222" borderId="0" xfId="4" applyFill="1" applyAlignment="1">
      <alignment horizontal="center" vertical="center"/>
    </xf>
    <xf numFmtId="0" fontId="1" fillId="3223" borderId="0" xfId="4" applyFill="1" applyAlignment="1">
      <alignment horizontal="center" vertical="center"/>
    </xf>
    <xf numFmtId="0" fontId="1" fillId="3224" borderId="0" xfId="4" applyFill="1" applyAlignment="1">
      <alignment horizontal="center" vertical="center"/>
    </xf>
    <xf numFmtId="0" fontId="1" fillId="3225" borderId="0" xfId="4" applyFill="1" applyAlignment="1">
      <alignment horizontal="center" vertical="center"/>
    </xf>
    <xf numFmtId="0" fontId="1" fillId="3226" borderId="0" xfId="4" applyFill="1" applyAlignment="1">
      <alignment horizontal="center" vertical="center"/>
    </xf>
    <xf numFmtId="0" fontId="1" fillId="125" borderId="0" xfId="4" applyFill="1" applyAlignment="1">
      <alignment horizontal="center" vertical="center"/>
    </xf>
    <xf numFmtId="0" fontId="1" fillId="3227" borderId="0" xfId="4" applyFill="1" applyAlignment="1">
      <alignment horizontal="center" vertical="center"/>
    </xf>
    <xf numFmtId="0" fontId="1" fillId="3228" borderId="0" xfId="4" applyFill="1" applyAlignment="1">
      <alignment horizontal="center" vertical="center"/>
    </xf>
    <xf numFmtId="0" fontId="1" fillId="3229" borderId="0" xfId="4" applyFill="1" applyAlignment="1">
      <alignment horizontal="center" vertical="center"/>
    </xf>
    <xf numFmtId="0" fontId="1" fillId="3230" borderId="0" xfId="4" applyFill="1" applyAlignment="1">
      <alignment horizontal="center" vertical="center"/>
    </xf>
    <xf numFmtId="0" fontId="1" fillId="3231" borderId="0" xfId="4" applyFill="1" applyAlignment="1">
      <alignment horizontal="center" vertical="center"/>
    </xf>
    <xf numFmtId="0" fontId="1" fillId="3232" borderId="0" xfId="4" applyFill="1" applyAlignment="1">
      <alignment horizontal="center" vertical="center"/>
    </xf>
    <xf numFmtId="0" fontId="1" fillId="3233" borderId="0" xfId="4" applyFill="1" applyAlignment="1">
      <alignment horizontal="center" vertical="center"/>
    </xf>
    <xf numFmtId="0" fontId="1" fillId="3234" borderId="0" xfId="4" applyFill="1" applyAlignment="1">
      <alignment horizontal="center" vertical="center"/>
    </xf>
    <xf numFmtId="0" fontId="1" fillId="3235" borderId="0" xfId="4" applyFill="1" applyAlignment="1">
      <alignment horizontal="center" vertical="center"/>
    </xf>
    <xf numFmtId="0" fontId="1" fillId="3236" borderId="0" xfId="4" applyFill="1" applyAlignment="1">
      <alignment horizontal="center" vertical="center"/>
    </xf>
    <xf numFmtId="0" fontId="1" fillId="3237" borderId="0" xfId="4" applyFill="1" applyAlignment="1">
      <alignment horizontal="center" vertical="center"/>
    </xf>
    <xf numFmtId="0" fontId="1" fillId="3238" borderId="0" xfId="4" applyFill="1" applyAlignment="1">
      <alignment horizontal="center" vertical="center"/>
    </xf>
    <xf numFmtId="0" fontId="1" fillId="3063" borderId="0" xfId="4" applyFill="1" applyAlignment="1">
      <alignment horizontal="left" vertical="center"/>
    </xf>
    <xf numFmtId="0" fontId="1" fillId="3239" borderId="0" xfId="4" applyFill="1" applyAlignment="1">
      <alignment horizontal="center" vertical="center"/>
    </xf>
    <xf numFmtId="0" fontId="1" fillId="3240" borderId="0" xfId="4" applyFill="1" applyAlignment="1">
      <alignment horizontal="center" vertical="center"/>
    </xf>
    <xf numFmtId="0" fontId="1" fillId="3241" borderId="0" xfId="4" applyFill="1" applyAlignment="1">
      <alignment horizontal="center" vertical="center"/>
    </xf>
    <xf numFmtId="0" fontId="1" fillId="3242" borderId="0" xfId="4" applyFill="1" applyAlignment="1">
      <alignment horizontal="center" vertical="center"/>
    </xf>
    <xf numFmtId="0" fontId="1" fillId="3243" borderId="0" xfId="4" applyFill="1" applyAlignment="1">
      <alignment horizontal="center" vertical="center"/>
    </xf>
    <xf numFmtId="0" fontId="1" fillId="3244" borderId="0" xfId="4" applyFill="1" applyAlignment="1">
      <alignment horizontal="center" vertical="center"/>
    </xf>
    <xf numFmtId="0" fontId="1" fillId="3245" borderId="0" xfId="4" applyFill="1" applyAlignment="1">
      <alignment horizontal="center" vertical="center"/>
    </xf>
    <xf numFmtId="0" fontId="1" fillId="3246" borderId="0" xfId="4" applyFill="1" applyAlignment="1">
      <alignment horizontal="center" vertical="center"/>
    </xf>
    <xf numFmtId="0" fontId="1" fillId="3247" borderId="0" xfId="4" applyFill="1" applyAlignment="1">
      <alignment horizontal="center" vertical="center"/>
    </xf>
    <xf numFmtId="0" fontId="1" fillId="3248" borderId="0" xfId="4" applyFill="1" applyAlignment="1">
      <alignment horizontal="center" vertical="center"/>
    </xf>
    <xf numFmtId="0" fontId="1" fillId="3249" borderId="0" xfId="4" applyFill="1" applyAlignment="1">
      <alignment horizontal="center" vertical="center"/>
    </xf>
    <xf numFmtId="0" fontId="1" fillId="3250" borderId="0" xfId="4" applyFill="1" applyAlignment="1">
      <alignment horizontal="center" vertical="center"/>
    </xf>
    <xf numFmtId="0" fontId="1" fillId="3251" borderId="0" xfId="4" applyFill="1" applyAlignment="1">
      <alignment horizontal="center" vertical="center"/>
    </xf>
    <xf numFmtId="0" fontId="1" fillId="3252" borderId="0" xfId="4" applyFill="1" applyAlignment="1">
      <alignment horizontal="center" vertical="center"/>
    </xf>
    <xf numFmtId="0" fontId="1" fillId="3253" borderId="0" xfId="4" applyFill="1" applyAlignment="1">
      <alignment horizontal="center" vertical="center"/>
    </xf>
    <xf numFmtId="0" fontId="1" fillId="3254" borderId="0" xfId="4" applyFill="1" applyAlignment="1">
      <alignment horizontal="center" vertical="center"/>
    </xf>
    <xf numFmtId="0" fontId="1" fillId="3255" borderId="0" xfId="4" applyFill="1" applyAlignment="1">
      <alignment horizontal="center" vertical="center"/>
    </xf>
    <xf numFmtId="0" fontId="1" fillId="3256" borderId="0" xfId="4" applyFill="1" applyAlignment="1">
      <alignment horizontal="center" vertical="center"/>
    </xf>
    <xf numFmtId="0" fontId="1" fillId="3257" borderId="0" xfId="4" applyFill="1" applyAlignment="1">
      <alignment horizontal="center" vertical="center"/>
    </xf>
    <xf numFmtId="0" fontId="1" fillId="2627" borderId="0" xfId="4" applyFill="1" applyAlignment="1">
      <alignment horizontal="center" vertical="center"/>
    </xf>
    <xf numFmtId="0" fontId="1" fillId="3258" borderId="0" xfId="4" applyFill="1" applyAlignment="1">
      <alignment horizontal="center" vertical="center"/>
    </xf>
    <xf numFmtId="0" fontId="1" fillId="3259" borderId="0" xfId="4" applyFill="1" applyAlignment="1">
      <alignment horizontal="center" vertical="center"/>
    </xf>
    <xf numFmtId="0" fontId="1" fillId="3260" borderId="0" xfId="4" applyFill="1" applyAlignment="1">
      <alignment horizontal="center" vertical="center"/>
    </xf>
    <xf numFmtId="0" fontId="1" fillId="3261" borderId="0" xfId="4" applyFill="1" applyAlignment="1">
      <alignment horizontal="left" vertical="center"/>
    </xf>
    <xf numFmtId="0" fontId="1" fillId="3262" borderId="0" xfId="4" applyFill="1" applyAlignment="1">
      <alignment horizontal="left" vertical="center"/>
    </xf>
    <xf numFmtId="0" fontId="1" fillId="2402" borderId="0" xfId="4" applyFill="1" applyAlignment="1">
      <alignment horizontal="left" vertical="center"/>
    </xf>
    <xf numFmtId="0" fontId="1" fillId="3263" borderId="0" xfId="4" applyFill="1" applyAlignment="1">
      <alignment horizontal="left" vertical="center"/>
    </xf>
    <xf numFmtId="0" fontId="1" fillId="3264" borderId="0" xfId="4" applyFill="1" applyAlignment="1">
      <alignment horizontal="left" vertical="center"/>
    </xf>
    <xf numFmtId="0" fontId="1" fillId="3265" borderId="0" xfId="4" applyFill="1" applyAlignment="1">
      <alignment horizontal="center" vertical="center"/>
    </xf>
    <xf numFmtId="0" fontId="1" fillId="3266" borderId="0" xfId="4" applyFill="1" applyAlignment="1">
      <alignment horizontal="center" vertical="center"/>
    </xf>
    <xf numFmtId="0" fontId="1" fillId="3267" borderId="0" xfId="4" applyFill="1" applyAlignment="1">
      <alignment horizontal="center" vertical="center"/>
    </xf>
    <xf numFmtId="0" fontId="1" fillId="3268" borderId="0" xfId="4" applyFill="1" applyAlignment="1">
      <alignment horizontal="center" vertical="center"/>
    </xf>
    <xf numFmtId="0" fontId="1" fillId="3269" borderId="0" xfId="4" applyFill="1" applyAlignment="1">
      <alignment horizontal="center" vertical="center"/>
    </xf>
    <xf numFmtId="0" fontId="1" fillId="3270" borderId="0" xfId="4" applyFill="1" applyAlignment="1">
      <alignment horizontal="center" vertical="center"/>
    </xf>
    <xf numFmtId="0" fontId="1" fillId="3271" borderId="0" xfId="4" applyFill="1" applyAlignment="1">
      <alignment horizontal="center" vertical="center"/>
    </xf>
    <xf numFmtId="0" fontId="1" fillId="3272" borderId="0" xfId="4" applyFill="1" applyAlignment="1">
      <alignment horizontal="center" vertical="center"/>
    </xf>
    <xf numFmtId="0" fontId="1" fillId="3273" borderId="0" xfId="4" applyFill="1" applyAlignment="1">
      <alignment horizontal="center" vertical="center"/>
    </xf>
    <xf numFmtId="0" fontId="1" fillId="3274" borderId="0" xfId="4" applyFill="1" applyAlignment="1">
      <alignment horizontal="center" vertical="center"/>
    </xf>
    <xf numFmtId="0" fontId="1" fillId="3275" borderId="0" xfId="4" applyFill="1" applyAlignment="1">
      <alignment horizontal="center" vertical="center"/>
    </xf>
    <xf numFmtId="0" fontId="1" fillId="3276" borderId="0" xfId="4" applyFill="1" applyAlignment="1">
      <alignment horizontal="center" vertical="center"/>
    </xf>
    <xf numFmtId="0" fontId="1" fillId="2648" borderId="0" xfId="4" applyFill="1" applyAlignment="1">
      <alignment horizontal="left" vertical="center"/>
    </xf>
    <xf numFmtId="0" fontId="1" fillId="3277" borderId="0" xfId="4" applyFill="1" applyAlignment="1">
      <alignment horizontal="left" vertical="center"/>
    </xf>
    <xf numFmtId="0" fontId="1" fillId="3278" borderId="0" xfId="4" applyFill="1" applyAlignment="1">
      <alignment horizontal="center" vertical="center"/>
    </xf>
    <xf numFmtId="0" fontId="1" fillId="3279" borderId="0" xfId="4" applyFill="1" applyAlignment="1">
      <alignment horizontal="center" vertical="center"/>
    </xf>
    <xf numFmtId="0" fontId="1" fillId="3280" borderId="0" xfId="4" applyFill="1" applyAlignment="1">
      <alignment horizontal="center" vertical="center"/>
    </xf>
    <xf numFmtId="0" fontId="1" fillId="3281" borderId="0" xfId="4" applyFill="1" applyAlignment="1">
      <alignment horizontal="center" vertical="center"/>
    </xf>
    <xf numFmtId="0" fontId="1" fillId="3282" borderId="0" xfId="4" applyFill="1" applyAlignment="1">
      <alignment horizontal="center" vertical="center"/>
    </xf>
    <xf numFmtId="0" fontId="1" fillId="3283" borderId="0" xfId="4" applyFill="1" applyAlignment="1">
      <alignment horizontal="center" vertical="center"/>
    </xf>
    <xf numFmtId="0" fontId="1" fillId="3284" borderId="0" xfId="4" applyFill="1" applyAlignment="1">
      <alignment horizontal="center" vertical="center"/>
    </xf>
    <xf numFmtId="0" fontId="1" fillId="3285" borderId="0" xfId="4" applyFill="1" applyAlignment="1">
      <alignment horizontal="center" vertical="center"/>
    </xf>
    <xf numFmtId="0" fontId="1" fillId="3286" borderId="0" xfId="4" applyFill="1" applyAlignment="1">
      <alignment horizontal="center" vertical="center"/>
    </xf>
    <xf numFmtId="0" fontId="1" fillId="116" borderId="0" xfId="4" applyFill="1" applyAlignment="1">
      <alignment horizontal="center" vertical="center"/>
    </xf>
    <xf numFmtId="0" fontId="1" fillId="68" borderId="0" xfId="4" applyFill="1" applyAlignment="1">
      <alignment horizontal="center" vertical="center"/>
    </xf>
    <xf numFmtId="0" fontId="1" fillId="30" borderId="0" xfId="4" applyFill="1" applyAlignment="1">
      <alignment horizontal="center" vertical="center"/>
    </xf>
    <xf numFmtId="0" fontId="1" fillId="41" borderId="0" xfId="4" applyFill="1" applyAlignment="1">
      <alignment horizontal="center" vertical="center"/>
    </xf>
    <xf numFmtId="0" fontId="1" fillId="3287" borderId="0" xfId="4" applyFill="1" applyAlignment="1">
      <alignment horizontal="center" vertical="center"/>
    </xf>
    <xf numFmtId="0" fontId="1" fillId="3288" borderId="0" xfId="4" applyFill="1" applyAlignment="1">
      <alignment horizontal="center" vertical="center"/>
    </xf>
    <xf numFmtId="0" fontId="1" fillId="3289" borderId="0" xfId="4" applyFill="1" applyAlignment="1">
      <alignment horizontal="center" vertical="center"/>
    </xf>
    <xf numFmtId="0" fontId="1" fillId="3290" borderId="0" xfId="4" applyFill="1" applyAlignment="1">
      <alignment horizontal="center" vertical="center"/>
    </xf>
    <xf numFmtId="0" fontId="1" fillId="3291" borderId="0" xfId="4" applyFill="1" applyAlignment="1">
      <alignment horizontal="center" vertical="center"/>
    </xf>
    <xf numFmtId="0" fontId="1" fillId="3292" borderId="0" xfId="4" applyFill="1" applyAlignment="1">
      <alignment horizontal="center" vertical="center"/>
    </xf>
    <xf numFmtId="0" fontId="1" fillId="3293" borderId="0" xfId="4" applyFill="1" applyAlignment="1">
      <alignment horizontal="center" vertical="center"/>
    </xf>
    <xf numFmtId="0" fontId="1" fillId="3294" borderId="0" xfId="4" applyFill="1" applyAlignment="1">
      <alignment horizontal="center" vertical="center"/>
    </xf>
    <xf numFmtId="0" fontId="1" fillId="3295" borderId="0" xfId="4" applyFill="1" applyAlignment="1">
      <alignment horizontal="left" vertical="center"/>
    </xf>
    <xf numFmtId="0" fontId="1" fillId="3296" borderId="0" xfId="4" applyFill="1" applyAlignment="1">
      <alignment horizontal="center" vertical="center"/>
    </xf>
    <xf numFmtId="0" fontId="1" fillId="3297" borderId="0" xfId="4" applyFill="1" applyAlignment="1">
      <alignment horizontal="center" vertical="center"/>
    </xf>
    <xf numFmtId="0" fontId="1" fillId="3298" borderId="0" xfId="4" applyFill="1" applyAlignment="1">
      <alignment horizontal="center" vertical="center"/>
    </xf>
    <xf numFmtId="0" fontId="1" fillId="3299" borderId="0" xfId="4" applyFill="1" applyAlignment="1">
      <alignment horizontal="center" vertical="center"/>
    </xf>
    <xf numFmtId="0" fontId="1" fillId="3300" borderId="0" xfId="4" applyFill="1" applyAlignment="1">
      <alignment horizontal="center" vertical="center"/>
    </xf>
    <xf numFmtId="0" fontId="1" fillId="3301" borderId="0" xfId="4" applyFill="1" applyAlignment="1">
      <alignment horizontal="center" vertical="center"/>
    </xf>
    <xf numFmtId="0" fontId="1" fillId="3302" borderId="0" xfId="4" applyFill="1" applyAlignment="1">
      <alignment horizontal="center" vertical="center"/>
    </xf>
    <xf numFmtId="0" fontId="1" fillId="3303" borderId="0" xfId="4" applyFill="1" applyAlignment="1">
      <alignment horizontal="center" vertical="center"/>
    </xf>
    <xf numFmtId="0" fontId="1" fillId="3304" borderId="0" xfId="4" applyFill="1" applyAlignment="1">
      <alignment horizontal="center" vertical="center"/>
    </xf>
    <xf numFmtId="0" fontId="1" fillId="3305" borderId="0" xfId="4" applyFill="1" applyAlignment="1">
      <alignment horizontal="center" vertical="center"/>
    </xf>
    <xf numFmtId="0" fontId="1" fillId="3306" borderId="0" xfId="4" applyFill="1" applyAlignment="1">
      <alignment horizontal="center" vertical="center"/>
    </xf>
    <xf numFmtId="0" fontId="1" fillId="3307" borderId="0" xfId="4" applyFill="1" applyAlignment="1">
      <alignment horizontal="center" vertical="center"/>
    </xf>
    <xf numFmtId="0" fontId="1" fillId="3308" borderId="0" xfId="4" applyFill="1" applyAlignment="1">
      <alignment horizontal="center" vertical="center"/>
    </xf>
    <xf numFmtId="0" fontId="1" fillId="3309" borderId="0" xfId="4" applyFill="1" applyAlignment="1">
      <alignment horizontal="center" vertical="center"/>
    </xf>
    <xf numFmtId="0" fontId="1" fillId="3310" borderId="0" xfId="4" applyFill="1" applyAlignment="1">
      <alignment horizontal="center" vertical="center"/>
    </xf>
    <xf numFmtId="0" fontId="1" fillId="3311" borderId="0" xfId="4" applyFill="1" applyAlignment="1">
      <alignment horizontal="center" vertical="center"/>
    </xf>
    <xf numFmtId="0" fontId="1" fillId="3312" borderId="0" xfId="4" applyFill="1" applyAlignment="1">
      <alignment horizontal="center" vertical="center"/>
    </xf>
    <xf numFmtId="0" fontId="1" fillId="2674" borderId="0" xfId="4" applyFill="1" applyAlignment="1">
      <alignment horizontal="center" vertical="center"/>
    </xf>
    <xf numFmtId="0" fontId="1" fillId="3313" borderId="0" xfId="4" applyFill="1" applyAlignment="1">
      <alignment horizontal="center" vertical="center"/>
    </xf>
    <xf numFmtId="0" fontId="1" fillId="3314" borderId="0" xfId="4" applyFill="1" applyAlignment="1">
      <alignment horizontal="center" vertical="center"/>
    </xf>
    <xf numFmtId="0" fontId="1" fillId="3315" borderId="0" xfId="4" applyFill="1" applyAlignment="1">
      <alignment horizontal="center" vertical="center"/>
    </xf>
    <xf numFmtId="0" fontId="1" fillId="3204" borderId="0" xfId="4" applyFill="1" applyAlignment="1">
      <alignment horizontal="center" vertical="center"/>
    </xf>
    <xf numFmtId="0" fontId="1" fillId="3263" borderId="0" xfId="4" applyFill="1" applyAlignment="1">
      <alignment horizontal="center" vertical="center"/>
    </xf>
    <xf numFmtId="0" fontId="1" fillId="1835" borderId="0" xfId="4" applyFill="1" applyAlignment="1">
      <alignment horizontal="left" vertical="center"/>
    </xf>
    <xf numFmtId="0" fontId="1" fillId="3316" borderId="0" xfId="4" applyFill="1" applyAlignment="1">
      <alignment horizontal="center" vertical="center"/>
    </xf>
    <xf numFmtId="0" fontId="1" fillId="3317" borderId="0" xfId="4" applyFill="1" applyAlignment="1">
      <alignment horizontal="center" vertical="center"/>
    </xf>
    <xf numFmtId="0" fontId="1" fillId="3318" borderId="0" xfId="4" applyFill="1" applyAlignment="1">
      <alignment horizontal="center" vertical="center"/>
    </xf>
    <xf numFmtId="0" fontId="1" fillId="1440" borderId="0" xfId="4" applyFill="1" applyAlignment="1">
      <alignment horizontal="center" vertical="center"/>
    </xf>
    <xf numFmtId="0" fontId="1" fillId="3319" borderId="0" xfId="4" applyFill="1" applyAlignment="1">
      <alignment horizontal="center" vertical="center"/>
    </xf>
    <xf numFmtId="0" fontId="1" fillId="3320" borderId="0" xfId="4" applyFill="1" applyAlignment="1">
      <alignment horizontal="center" vertical="center"/>
    </xf>
    <xf numFmtId="0" fontId="1" fillId="3321" borderId="0" xfId="4" applyFill="1" applyAlignment="1">
      <alignment horizontal="center" vertical="center"/>
    </xf>
    <xf numFmtId="0" fontId="1" fillId="3322" borderId="0" xfId="4" applyFill="1" applyAlignment="1">
      <alignment horizontal="center" vertical="center"/>
    </xf>
    <xf numFmtId="0" fontId="1" fillId="3323" borderId="0" xfId="4" applyFill="1" applyAlignment="1">
      <alignment horizontal="center" vertical="center"/>
    </xf>
    <xf numFmtId="0" fontId="1" fillId="3324" borderId="0" xfId="4" applyFill="1" applyAlignment="1">
      <alignment horizontal="center" vertical="center"/>
    </xf>
    <xf numFmtId="0" fontId="1" fillId="3175" borderId="0" xfId="4" applyFill="1" applyAlignment="1">
      <alignment horizontal="center" vertical="center"/>
    </xf>
    <xf numFmtId="0" fontId="1" fillId="3325" borderId="0" xfId="4" applyFill="1" applyAlignment="1">
      <alignment horizontal="center" vertical="center"/>
    </xf>
    <xf numFmtId="0" fontId="1" fillId="3326" borderId="0" xfId="4" applyFill="1" applyAlignment="1">
      <alignment horizontal="center" vertical="center"/>
    </xf>
    <xf numFmtId="0" fontId="1" fillId="3327" borderId="0" xfId="4" applyFill="1" applyAlignment="1">
      <alignment horizontal="left" vertical="center"/>
    </xf>
    <xf numFmtId="0" fontId="1" fillId="3328" borderId="0" xfId="4" applyFill="1" applyAlignment="1">
      <alignment horizontal="center" vertical="center"/>
    </xf>
    <xf numFmtId="0" fontId="1" fillId="3329" borderId="0" xfId="4" applyFill="1" applyAlignment="1">
      <alignment horizontal="center" vertical="center"/>
    </xf>
    <xf numFmtId="0" fontId="1" fillId="3045" borderId="0" xfId="4" applyFill="1" applyAlignment="1">
      <alignment horizontal="left" vertical="center"/>
    </xf>
    <xf numFmtId="0" fontId="1" fillId="3330" borderId="0" xfId="4" applyFill="1" applyAlignment="1">
      <alignment horizontal="center" vertical="center"/>
    </xf>
    <xf numFmtId="0" fontId="1" fillId="3331" borderId="0" xfId="4" applyFill="1" applyAlignment="1">
      <alignment horizontal="center" vertical="center"/>
    </xf>
    <xf numFmtId="0" fontId="1" fillId="3332" borderId="0" xfId="4" applyFill="1" applyAlignment="1">
      <alignment horizontal="center" vertical="center"/>
    </xf>
    <xf numFmtId="0" fontId="1" fillId="3333" borderId="0" xfId="4" applyFill="1" applyAlignment="1">
      <alignment horizontal="center" vertical="center"/>
    </xf>
    <xf numFmtId="0" fontId="1" fillId="3334" borderId="0" xfId="4" applyFill="1" applyAlignment="1">
      <alignment horizontal="center" vertical="center"/>
    </xf>
    <xf numFmtId="0" fontId="1" fillId="3335" borderId="0" xfId="4" applyFill="1" applyAlignment="1">
      <alignment horizontal="center" vertical="center"/>
    </xf>
    <xf numFmtId="0" fontId="1" fillId="3336" borderId="0" xfId="4" applyFill="1" applyAlignment="1">
      <alignment horizontal="center" vertical="center"/>
    </xf>
    <xf numFmtId="0" fontId="1" fillId="3337" borderId="0" xfId="4" applyFill="1" applyAlignment="1">
      <alignment horizontal="center" vertical="center"/>
    </xf>
    <xf numFmtId="0" fontId="1" fillId="3338" borderId="0" xfId="4" applyFill="1" applyAlignment="1">
      <alignment horizontal="center" vertical="center"/>
    </xf>
    <xf numFmtId="0" fontId="1" fillId="183" borderId="0" xfId="4" applyFill="1" applyAlignment="1">
      <alignment horizontal="center" vertical="center"/>
    </xf>
    <xf numFmtId="0" fontId="1" fillId="37" borderId="0" xfId="4" applyFill="1" applyAlignment="1">
      <alignment horizontal="center" vertical="center"/>
    </xf>
    <xf numFmtId="0" fontId="1" fillId="33" borderId="0" xfId="4" applyFill="1" applyAlignment="1">
      <alignment horizontal="center" vertical="center"/>
    </xf>
    <xf numFmtId="0" fontId="1" fillId="3339" borderId="0" xfId="4" applyFill="1" applyAlignment="1">
      <alignment horizontal="center" vertical="center"/>
    </xf>
    <xf numFmtId="0" fontId="1" fillId="3340" borderId="0" xfId="4" applyFill="1" applyAlignment="1">
      <alignment horizontal="center" vertical="center"/>
    </xf>
    <xf numFmtId="0" fontId="1" fillId="3341" borderId="0" xfId="4" applyFill="1" applyAlignment="1">
      <alignment horizontal="center" vertical="center"/>
    </xf>
    <xf numFmtId="0" fontId="1" fillId="3342" borderId="0" xfId="4" applyFill="1" applyAlignment="1">
      <alignment horizontal="center" vertical="center"/>
    </xf>
    <xf numFmtId="0" fontId="1" fillId="3343" borderId="0" xfId="4" applyFill="1" applyAlignment="1">
      <alignment horizontal="center" vertical="center"/>
    </xf>
    <xf numFmtId="0" fontId="1" fillId="3344" borderId="0" xfId="4" applyFill="1" applyAlignment="1">
      <alignment horizontal="center" vertical="center"/>
    </xf>
    <xf numFmtId="0" fontId="1" fillId="3345" borderId="0" xfId="4" applyFill="1" applyAlignment="1">
      <alignment horizontal="center" vertical="center"/>
    </xf>
    <xf numFmtId="0" fontId="1" fillId="3346" borderId="0" xfId="4" applyFill="1" applyAlignment="1">
      <alignment horizontal="center" vertical="center"/>
    </xf>
    <xf numFmtId="0" fontId="1" fillId="3347" borderId="0" xfId="4" applyFill="1" applyAlignment="1">
      <alignment horizontal="center" vertical="center"/>
    </xf>
    <xf numFmtId="0" fontId="1" fillId="3348" borderId="0" xfId="4" applyFill="1" applyAlignment="1">
      <alignment horizontal="center" vertical="center"/>
    </xf>
    <xf numFmtId="0" fontId="1" fillId="3349" borderId="0" xfId="4" applyFill="1" applyAlignment="1">
      <alignment horizontal="center" vertical="center"/>
    </xf>
    <xf numFmtId="0" fontId="1" fillId="3350" borderId="0" xfId="4" applyFill="1" applyAlignment="1">
      <alignment horizontal="left" vertical="center"/>
    </xf>
    <xf numFmtId="0" fontId="1" fillId="3351" borderId="0" xfId="4" applyFill="1" applyAlignment="1">
      <alignment horizontal="center" vertical="center"/>
    </xf>
    <xf numFmtId="0" fontId="1" fillId="3352" borderId="0" xfId="4" applyFill="1" applyAlignment="1">
      <alignment horizontal="center" vertical="center"/>
    </xf>
    <xf numFmtId="0" fontId="1" fillId="3353" borderId="0" xfId="4" applyFill="1" applyAlignment="1">
      <alignment horizontal="center" vertical="center"/>
    </xf>
    <xf numFmtId="0" fontId="1" fillId="3354" borderId="0" xfId="4" applyFill="1" applyAlignment="1">
      <alignment horizontal="center" vertical="center"/>
    </xf>
    <xf numFmtId="0" fontId="1" fillId="3355" borderId="0" xfId="4" applyFill="1" applyAlignment="1">
      <alignment horizontal="center" vertical="center"/>
    </xf>
    <xf numFmtId="0" fontId="1" fillId="3356" borderId="0" xfId="4" applyFill="1" applyAlignment="1">
      <alignment horizontal="center" vertical="center"/>
    </xf>
    <xf numFmtId="0" fontId="1" fillId="3357" borderId="0" xfId="4" applyFill="1" applyAlignment="1">
      <alignment horizontal="center" vertical="center"/>
    </xf>
    <xf numFmtId="0" fontId="1" fillId="3358" borderId="0" xfId="4" applyFill="1" applyAlignment="1">
      <alignment horizontal="center" vertical="center"/>
    </xf>
    <xf numFmtId="0" fontId="1" fillId="3359" borderId="0" xfId="4" applyFill="1" applyAlignment="1">
      <alignment horizontal="center" vertical="center"/>
    </xf>
    <xf numFmtId="0" fontId="1" fillId="3360" borderId="0" xfId="4" applyFill="1" applyAlignment="1">
      <alignment horizontal="center" vertical="center"/>
    </xf>
    <xf numFmtId="0" fontId="1" fillId="3361" borderId="0" xfId="4" applyFill="1" applyAlignment="1">
      <alignment horizontal="center" vertical="center"/>
    </xf>
    <xf numFmtId="0" fontId="1" fillId="3362" borderId="0" xfId="4" applyFill="1" applyAlignment="1">
      <alignment horizontal="center" vertical="center"/>
    </xf>
    <xf numFmtId="0" fontId="1" fillId="3363" borderId="0" xfId="4" applyFill="1" applyAlignment="1">
      <alignment horizontal="center" vertical="center"/>
    </xf>
    <xf numFmtId="0" fontId="1" fillId="3364" borderId="0" xfId="4" applyFill="1" applyAlignment="1">
      <alignment horizontal="center" vertical="center"/>
    </xf>
    <xf numFmtId="0" fontId="1" fillId="3365" borderId="0" xfId="4" applyFill="1" applyAlignment="1">
      <alignment horizontal="center" vertical="center"/>
    </xf>
    <xf numFmtId="0" fontId="1" fillId="3366" borderId="0" xfId="4" applyFill="1" applyAlignment="1">
      <alignment horizontal="center" vertical="center"/>
    </xf>
    <xf numFmtId="0" fontId="1" fillId="3367" borderId="0" xfId="4" applyFill="1" applyAlignment="1">
      <alignment horizontal="center" vertical="center"/>
    </xf>
    <xf numFmtId="0" fontId="1" fillId="3368" borderId="0" xfId="4" applyFill="1" applyAlignment="1">
      <alignment horizontal="center" vertical="center"/>
    </xf>
    <xf numFmtId="0" fontId="1" fillId="3369" borderId="0" xfId="4" applyFill="1" applyAlignment="1">
      <alignment horizontal="center" vertical="center"/>
    </xf>
    <xf numFmtId="0" fontId="1" fillId="3370" borderId="0" xfId="4" applyFill="1" applyAlignment="1">
      <alignment horizontal="center" vertical="center"/>
    </xf>
    <xf numFmtId="0" fontId="1" fillId="3371" borderId="0" xfId="4" applyFill="1" applyAlignment="1">
      <alignment horizontal="center" vertical="center"/>
    </xf>
    <xf numFmtId="0" fontId="1" fillId="3372" borderId="0" xfId="4" applyFill="1" applyAlignment="1">
      <alignment horizontal="center" vertical="center"/>
    </xf>
    <xf numFmtId="0" fontId="1" fillId="2716" borderId="0" xfId="4" applyFill="1" applyAlignment="1">
      <alignment horizontal="center" vertical="center"/>
    </xf>
    <xf numFmtId="0" fontId="1" fillId="3373" borderId="0" xfId="4" applyFill="1" applyAlignment="1">
      <alignment horizontal="left" vertical="center"/>
    </xf>
    <xf numFmtId="0" fontId="1" fillId="3264" borderId="0" xfId="4" applyFill="1" applyAlignment="1">
      <alignment horizontal="center" vertical="center"/>
    </xf>
    <xf numFmtId="0" fontId="1" fillId="3374" borderId="0" xfId="4" applyFill="1" applyAlignment="1">
      <alignment horizontal="center" vertical="center"/>
    </xf>
    <xf numFmtId="0" fontId="1" fillId="3375" borderId="0" xfId="4" applyFill="1" applyAlignment="1">
      <alignment horizontal="center" vertical="center"/>
    </xf>
    <xf numFmtId="0" fontId="1" fillId="3376" borderId="0" xfId="4" applyFill="1" applyAlignment="1">
      <alignment horizontal="center" vertical="center"/>
    </xf>
    <xf numFmtId="0" fontId="1" fillId="3377" borderId="0" xfId="4" applyFill="1" applyAlignment="1">
      <alignment horizontal="center" vertical="center"/>
    </xf>
    <xf numFmtId="0" fontId="1" fillId="3378" borderId="0" xfId="4" applyFill="1" applyAlignment="1">
      <alignment horizontal="center" vertical="center"/>
    </xf>
    <xf numFmtId="0" fontId="1" fillId="3379" borderId="0" xfId="4" applyFill="1" applyAlignment="1">
      <alignment horizontal="center" vertical="center"/>
    </xf>
    <xf numFmtId="0" fontId="1" fillId="3380" borderId="0" xfId="4" applyFill="1" applyAlignment="1">
      <alignment horizontal="center" vertical="center"/>
    </xf>
    <xf numFmtId="0" fontId="1" fillId="3381" borderId="0" xfId="4" applyFill="1" applyAlignment="1">
      <alignment horizontal="center" vertical="center"/>
    </xf>
    <xf numFmtId="0" fontId="1" fillId="3382" borderId="0" xfId="4" applyFill="1" applyAlignment="1">
      <alignment horizontal="center" vertical="center"/>
    </xf>
    <xf numFmtId="0" fontId="1" fillId="3383" borderId="0" xfId="4" applyFill="1" applyAlignment="1">
      <alignment horizontal="center" vertical="center"/>
    </xf>
    <xf numFmtId="0" fontId="1" fillId="3384" borderId="0" xfId="4" applyFill="1" applyAlignment="1">
      <alignment horizontal="center" vertical="center"/>
    </xf>
    <xf numFmtId="0" fontId="1" fillId="3385" borderId="0" xfId="4" applyFill="1" applyAlignment="1">
      <alignment horizontal="center" vertical="center"/>
    </xf>
    <xf numFmtId="0" fontId="1" fillId="3386" borderId="0" xfId="4" applyFill="1" applyAlignment="1">
      <alignment horizontal="left" vertical="center"/>
    </xf>
    <xf numFmtId="0" fontId="1" fillId="3387" borderId="0" xfId="4" applyFill="1" applyAlignment="1">
      <alignment horizontal="center" vertical="center"/>
    </xf>
    <xf numFmtId="0" fontId="1" fillId="3388" borderId="0" xfId="4" applyFill="1" applyAlignment="1">
      <alignment horizontal="center" vertical="center"/>
    </xf>
    <xf numFmtId="0" fontId="1" fillId="3389" borderId="0" xfId="4" applyFill="1" applyAlignment="1">
      <alignment horizontal="left" vertical="center"/>
    </xf>
    <xf numFmtId="0" fontId="1" fillId="3390" borderId="0" xfId="4" applyFill="1" applyAlignment="1">
      <alignment horizontal="center" vertical="center"/>
    </xf>
    <xf numFmtId="0" fontId="1" fillId="3391" borderId="0" xfId="4" applyFill="1" applyAlignment="1">
      <alignment horizontal="center" vertical="center"/>
    </xf>
    <xf numFmtId="0" fontId="1" fillId="3392" borderId="0" xfId="4" applyFill="1" applyAlignment="1">
      <alignment horizontal="center" vertical="center"/>
    </xf>
    <xf numFmtId="0" fontId="1" fillId="3393" borderId="0" xfId="4" applyFill="1" applyAlignment="1">
      <alignment horizontal="center" vertical="center"/>
    </xf>
    <xf numFmtId="0" fontId="1" fillId="3394" borderId="0" xfId="4" applyFill="1" applyAlignment="1">
      <alignment horizontal="center" vertical="center"/>
    </xf>
    <xf numFmtId="0" fontId="1" fillId="84" borderId="0" xfId="4" applyFill="1" applyAlignment="1">
      <alignment horizontal="center" vertical="center"/>
    </xf>
    <xf numFmtId="0" fontId="1" fillId="3395" borderId="0" xfId="4" applyFill="1" applyAlignment="1">
      <alignment horizontal="center" vertical="center"/>
    </xf>
    <xf numFmtId="0" fontId="1" fillId="3396" borderId="0" xfId="4" applyFill="1" applyAlignment="1">
      <alignment horizontal="center" vertical="center"/>
    </xf>
    <xf numFmtId="0" fontId="1" fillId="25" borderId="0" xfId="4" applyFill="1" applyAlignment="1">
      <alignment horizontal="center" vertical="center"/>
    </xf>
    <xf numFmtId="0" fontId="1" fillId="62" borderId="0" xfId="4" applyFill="1" applyAlignment="1">
      <alignment horizontal="center" vertical="center"/>
    </xf>
    <xf numFmtId="0" fontId="1" fillId="3397" borderId="0" xfId="4" applyFill="1" applyAlignment="1">
      <alignment horizontal="center" vertical="center"/>
    </xf>
    <xf numFmtId="0" fontId="1" fillId="3398" borderId="0" xfId="4" applyFill="1" applyAlignment="1">
      <alignment horizontal="center" vertical="center"/>
    </xf>
    <xf numFmtId="0" fontId="1" fillId="3399" borderId="0" xfId="4" applyFill="1" applyAlignment="1">
      <alignment horizontal="center" vertical="center"/>
    </xf>
    <xf numFmtId="0" fontId="1" fillId="3400" borderId="0" xfId="4" applyFill="1" applyAlignment="1">
      <alignment horizontal="center" vertical="center"/>
    </xf>
    <xf numFmtId="0" fontId="1" fillId="3401" borderId="0" xfId="4" applyFill="1" applyAlignment="1">
      <alignment horizontal="center" vertical="center"/>
    </xf>
    <xf numFmtId="0" fontId="1" fillId="3402" borderId="0" xfId="4" applyFill="1" applyAlignment="1">
      <alignment horizontal="center" vertical="center"/>
    </xf>
    <xf numFmtId="0" fontId="1" fillId="3403" borderId="0" xfId="4" applyFill="1" applyAlignment="1">
      <alignment horizontal="center" vertical="center"/>
    </xf>
    <xf numFmtId="0" fontId="1" fillId="3404" borderId="0" xfId="4" applyFill="1" applyAlignment="1">
      <alignment horizontal="center" vertical="center"/>
    </xf>
    <xf numFmtId="0" fontId="1" fillId="3405" borderId="0" xfId="4" applyFill="1" applyAlignment="1">
      <alignment horizontal="center" vertical="center"/>
    </xf>
    <xf numFmtId="0" fontId="1" fillId="3406" borderId="0" xfId="4" applyFill="1" applyAlignment="1">
      <alignment horizontal="center" vertical="center"/>
    </xf>
    <xf numFmtId="0" fontId="1" fillId="3407" borderId="0" xfId="4" applyFill="1" applyAlignment="1">
      <alignment horizontal="center" vertical="center"/>
    </xf>
    <xf numFmtId="0" fontId="1" fillId="3408" borderId="0" xfId="4" applyFill="1" applyAlignment="1">
      <alignment horizontal="left" vertical="center"/>
    </xf>
    <xf numFmtId="0" fontId="1" fillId="3409" borderId="0" xfId="4" applyFill="1" applyAlignment="1">
      <alignment horizontal="center" vertical="center"/>
    </xf>
    <xf numFmtId="0" fontId="1" fillId="3410" borderId="0" xfId="4" applyFill="1" applyAlignment="1">
      <alignment horizontal="center" vertical="center"/>
    </xf>
    <xf numFmtId="0" fontId="1" fillId="3411" borderId="0" xfId="4" applyFill="1" applyAlignment="1">
      <alignment horizontal="center" vertical="center"/>
    </xf>
    <xf numFmtId="0" fontId="1" fillId="3412" borderId="0" xfId="4" applyFill="1" applyAlignment="1">
      <alignment horizontal="center" vertical="center"/>
    </xf>
    <xf numFmtId="0" fontId="1" fillId="3413" borderId="0" xfId="4" applyFill="1" applyAlignment="1">
      <alignment horizontal="center" vertical="center"/>
    </xf>
    <xf numFmtId="0" fontId="1" fillId="3414" borderId="0" xfId="4" applyFill="1" applyAlignment="1">
      <alignment horizontal="center" vertical="center"/>
    </xf>
    <xf numFmtId="0" fontId="1" fillId="3415" borderId="0" xfId="4" applyFill="1" applyAlignment="1">
      <alignment horizontal="center" vertical="center"/>
    </xf>
    <xf numFmtId="0" fontId="1" fillId="3416" borderId="0" xfId="4" applyFill="1" applyAlignment="1">
      <alignment horizontal="center" vertical="center"/>
    </xf>
    <xf numFmtId="0" fontId="1" fillId="3417" borderId="0" xfId="4" applyFill="1" applyAlignment="1">
      <alignment horizontal="center" vertical="center"/>
    </xf>
    <xf numFmtId="0" fontId="1" fillId="3418" borderId="0" xfId="4" applyFill="1" applyAlignment="1">
      <alignment horizontal="center" vertical="center"/>
    </xf>
    <xf numFmtId="0" fontId="1" fillId="3419" borderId="0" xfId="4" applyFill="1" applyAlignment="1">
      <alignment horizontal="center" vertical="center"/>
    </xf>
    <xf numFmtId="0" fontId="1" fillId="3420" borderId="0" xfId="4" applyFill="1" applyAlignment="1">
      <alignment horizontal="center" vertical="center"/>
    </xf>
    <xf numFmtId="0" fontId="1" fillId="3421" borderId="0" xfId="4" applyFill="1" applyAlignment="1">
      <alignment horizontal="center" vertical="center"/>
    </xf>
    <xf numFmtId="0" fontId="1" fillId="3422" borderId="0" xfId="4" applyFill="1" applyAlignment="1">
      <alignment horizontal="center" vertical="center"/>
    </xf>
    <xf numFmtId="0" fontId="1" fillId="3423" borderId="0" xfId="4" applyFill="1" applyAlignment="1">
      <alignment horizontal="center" vertical="center"/>
    </xf>
    <xf numFmtId="0" fontId="1" fillId="3424" borderId="0" xfId="4" applyFill="1" applyAlignment="1">
      <alignment horizontal="center" vertical="center"/>
    </xf>
    <xf numFmtId="0" fontId="1" fillId="3425" borderId="0" xfId="4" applyFill="1" applyAlignment="1">
      <alignment horizontal="center" vertical="center"/>
    </xf>
    <xf numFmtId="0" fontId="1" fillId="3426" borderId="0" xfId="4" applyFill="1" applyAlignment="1">
      <alignment horizontal="center" vertical="center"/>
    </xf>
    <xf numFmtId="0" fontId="1" fillId="3427" borderId="0" xfId="4" applyFill="1" applyAlignment="1">
      <alignment horizontal="center" vertical="center"/>
    </xf>
    <xf numFmtId="0" fontId="1" fillId="3428" borderId="0" xfId="4" applyFill="1" applyAlignment="1">
      <alignment horizontal="center" vertical="center"/>
    </xf>
    <xf numFmtId="0" fontId="1" fillId="3373" borderId="0" xfId="4" applyFill="1" applyAlignment="1">
      <alignment horizontal="center" vertical="center"/>
    </xf>
    <xf numFmtId="0" fontId="1" fillId="3429" borderId="0" xfId="4" applyFill="1" applyAlignment="1">
      <alignment horizontal="center" vertical="center"/>
    </xf>
    <xf numFmtId="0" fontId="1" fillId="3430" borderId="0" xfId="4" applyFill="1" applyAlignment="1">
      <alignment horizontal="center" vertical="center"/>
    </xf>
    <xf numFmtId="0" fontId="1" fillId="2715" borderId="0" xfId="4" applyFill="1" applyAlignment="1">
      <alignment horizontal="center" vertical="center"/>
    </xf>
    <xf numFmtId="0" fontId="1" fillId="3431" borderId="0" xfId="4" applyFill="1" applyAlignment="1">
      <alignment horizontal="center" vertical="center"/>
    </xf>
    <xf numFmtId="0" fontId="1" fillId="3432" borderId="0" xfId="4" applyFill="1" applyAlignment="1">
      <alignment horizontal="center" vertical="center"/>
    </xf>
    <xf numFmtId="0" fontId="1" fillId="3433" borderId="0" xfId="4" applyFill="1" applyAlignment="1">
      <alignment horizontal="center" vertical="center"/>
    </xf>
    <xf numFmtId="0" fontId="1" fillId="3434" borderId="0" xfId="4" applyFill="1" applyAlignment="1">
      <alignment horizontal="center" vertical="center"/>
    </xf>
    <xf numFmtId="0" fontId="1" fillId="3435" borderId="0" xfId="4" applyFill="1" applyAlignment="1">
      <alignment horizontal="center" vertical="center"/>
    </xf>
    <xf numFmtId="0" fontId="1" fillId="3436" borderId="0" xfId="4" applyFill="1" applyAlignment="1">
      <alignment horizontal="center" vertical="center"/>
    </xf>
    <xf numFmtId="0" fontId="1" fillId="3437" borderId="0" xfId="4" applyFill="1" applyAlignment="1">
      <alignment horizontal="center" vertical="center"/>
    </xf>
    <xf numFmtId="0" fontId="1" fillId="3438" borderId="0" xfId="4" applyFill="1" applyAlignment="1">
      <alignment horizontal="center" vertical="center"/>
    </xf>
    <xf numFmtId="0" fontId="1" fillId="3439" borderId="0" xfId="4" applyFill="1" applyAlignment="1">
      <alignment horizontal="center" vertical="center"/>
    </xf>
    <xf numFmtId="0" fontId="1" fillId="3440" borderId="0" xfId="4" applyFill="1" applyAlignment="1">
      <alignment horizontal="center" vertical="center"/>
    </xf>
    <xf numFmtId="0" fontId="1" fillId="3441" borderId="0" xfId="4" applyFill="1" applyAlignment="1">
      <alignment horizontal="center" vertical="center"/>
    </xf>
    <xf numFmtId="0" fontId="1" fillId="3442" borderId="0" xfId="4" applyFill="1" applyAlignment="1">
      <alignment horizontal="left" vertical="center"/>
    </xf>
    <xf numFmtId="0" fontId="1" fillId="3443" borderId="0" xfId="4" applyFill="1" applyAlignment="1">
      <alignment horizontal="center" vertical="center"/>
    </xf>
    <xf numFmtId="0" fontId="1" fillId="3444" borderId="0" xfId="4" applyFill="1" applyAlignment="1">
      <alignment horizontal="center" vertical="center"/>
    </xf>
    <xf numFmtId="0" fontId="1" fillId="3445" borderId="0" xfId="4" applyFill="1" applyAlignment="1">
      <alignment horizontal="left" vertical="center"/>
    </xf>
    <xf numFmtId="0" fontId="1" fillId="3446" borderId="0" xfId="4" applyFill="1" applyAlignment="1">
      <alignment horizontal="center" vertical="center"/>
    </xf>
    <xf numFmtId="0" fontId="1" fillId="3447" borderId="0" xfId="4" applyFill="1" applyAlignment="1">
      <alignment horizontal="center" vertical="center"/>
    </xf>
    <xf numFmtId="0" fontId="1" fillId="3448" borderId="0" xfId="4" applyFill="1" applyAlignment="1">
      <alignment horizontal="center" vertical="center"/>
    </xf>
    <xf numFmtId="0" fontId="1" fillId="3449" borderId="0" xfId="4" applyFill="1" applyAlignment="1">
      <alignment horizontal="center" vertical="center"/>
    </xf>
    <xf numFmtId="0" fontId="1" fillId="181" borderId="0" xfId="4" applyFill="1" applyAlignment="1">
      <alignment horizontal="center" vertical="center"/>
    </xf>
    <xf numFmtId="0" fontId="1" fillId="83" borderId="0" xfId="4" applyFill="1" applyAlignment="1">
      <alignment horizontal="center" vertical="center"/>
    </xf>
    <xf numFmtId="0" fontId="1" fillId="218" borderId="0" xfId="4" applyFill="1" applyAlignment="1">
      <alignment horizontal="center" vertical="center"/>
    </xf>
    <xf numFmtId="0" fontId="1" fillId="3450" borderId="0" xfId="4" applyFill="1" applyAlignment="1">
      <alignment horizontal="center" vertical="center"/>
    </xf>
    <xf numFmtId="0" fontId="1" fillId="3451" borderId="0" xfId="4" applyFill="1" applyAlignment="1">
      <alignment horizontal="center" vertical="center"/>
    </xf>
    <xf numFmtId="0" fontId="1" fillId="94" borderId="0" xfId="4" applyFill="1" applyAlignment="1">
      <alignment horizontal="center" vertical="center"/>
    </xf>
    <xf numFmtId="0" fontId="1" fillId="3452" borderId="0" xfId="4" applyFill="1" applyAlignment="1">
      <alignment horizontal="center" vertical="center"/>
    </xf>
    <xf numFmtId="0" fontId="1" fillId="3453" borderId="0" xfId="4" applyFill="1" applyAlignment="1">
      <alignment horizontal="center" vertical="center"/>
    </xf>
    <xf numFmtId="0" fontId="1" fillId="3454" borderId="0" xfId="4" applyFill="1" applyAlignment="1">
      <alignment horizontal="center" vertical="center"/>
    </xf>
    <xf numFmtId="0" fontId="1" fillId="71" borderId="0" xfId="4" applyFill="1" applyAlignment="1">
      <alignment horizontal="center" vertical="center"/>
    </xf>
    <xf numFmtId="0" fontId="1" fillId="3455" borderId="0" xfId="4" applyFill="1" applyAlignment="1">
      <alignment horizontal="center" vertical="center"/>
    </xf>
    <xf numFmtId="0" fontId="1" fillId="3456" borderId="0" xfId="4" applyFill="1" applyAlignment="1">
      <alignment horizontal="center" vertical="center"/>
    </xf>
    <xf numFmtId="0" fontId="1" fillId="3457" borderId="0" xfId="4" applyFill="1" applyAlignment="1">
      <alignment horizontal="center" vertical="center"/>
    </xf>
    <xf numFmtId="0" fontId="1" fillId="3458" borderId="0" xfId="4" applyFill="1" applyAlignment="1">
      <alignment horizontal="center" vertical="center"/>
    </xf>
    <xf numFmtId="0" fontId="1" fillId="3459" borderId="0" xfId="4" applyFill="1" applyAlignment="1">
      <alignment horizontal="center" vertical="center"/>
    </xf>
    <xf numFmtId="0" fontId="1" fillId="3460" borderId="0" xfId="4" applyFill="1" applyAlignment="1">
      <alignment horizontal="center" vertical="center"/>
    </xf>
    <xf numFmtId="0" fontId="1" fillId="3461" borderId="0" xfId="4" applyFill="1" applyAlignment="1">
      <alignment horizontal="center" vertical="center"/>
    </xf>
    <xf numFmtId="0" fontId="1" fillId="3462" borderId="0" xfId="4" applyFill="1" applyAlignment="1">
      <alignment horizontal="center" vertical="center"/>
    </xf>
    <xf numFmtId="0" fontId="1" fillId="3463" borderId="0" xfId="4" applyFill="1" applyAlignment="1">
      <alignment horizontal="center" vertical="center"/>
    </xf>
    <xf numFmtId="0" fontId="1" fillId="3464" borderId="0" xfId="4" applyFill="1" applyAlignment="1">
      <alignment horizontal="center" vertical="center"/>
    </xf>
    <xf numFmtId="0" fontId="1" fillId="3465" borderId="0" xfId="4" applyFill="1" applyAlignment="1">
      <alignment horizontal="center" vertical="center"/>
    </xf>
    <xf numFmtId="0" fontId="1" fillId="3466" borderId="0" xfId="4" applyFill="1" applyAlignment="1">
      <alignment horizontal="center" vertical="center"/>
    </xf>
    <xf numFmtId="0" fontId="1" fillId="3467" borderId="0" xfId="4" applyFill="1" applyAlignment="1">
      <alignment horizontal="center" vertical="center"/>
    </xf>
    <xf numFmtId="0" fontId="1" fillId="3468" borderId="0" xfId="4" applyFill="1" applyAlignment="1">
      <alignment horizontal="center" vertical="center"/>
    </xf>
    <xf numFmtId="0" fontId="1" fillId="3469" borderId="0" xfId="4" applyFill="1" applyAlignment="1">
      <alignment horizontal="left" vertical="center"/>
    </xf>
    <xf numFmtId="0" fontId="1" fillId="3470" borderId="0" xfId="4" applyFill="1" applyAlignment="1">
      <alignment horizontal="center" vertical="center"/>
    </xf>
    <xf numFmtId="0" fontId="1" fillId="3471" borderId="0" xfId="4" applyFill="1" applyAlignment="1">
      <alignment horizontal="center" vertical="center"/>
    </xf>
    <xf numFmtId="0" fontId="1" fillId="3472" borderId="0" xfId="4" applyFill="1" applyAlignment="1">
      <alignment horizontal="center" vertical="center"/>
    </xf>
    <xf numFmtId="0" fontId="1" fillId="3473" borderId="0" xfId="4" applyFill="1" applyAlignment="1">
      <alignment horizontal="center" vertical="center"/>
    </xf>
    <xf numFmtId="0" fontId="1" fillId="3474" borderId="0" xfId="4" applyFill="1" applyAlignment="1">
      <alignment horizontal="center" vertical="center"/>
    </xf>
    <xf numFmtId="0" fontId="1" fillId="3475" borderId="0" xfId="4" applyFill="1" applyAlignment="1">
      <alignment horizontal="center" vertical="center"/>
    </xf>
    <xf numFmtId="0" fontId="1" fillId="3476" borderId="0" xfId="4" applyFill="1" applyAlignment="1">
      <alignment horizontal="center" vertical="center"/>
    </xf>
    <xf numFmtId="0" fontId="1" fillId="3477" borderId="0" xfId="4" applyFill="1" applyAlignment="1">
      <alignment horizontal="center" vertical="center"/>
    </xf>
    <xf numFmtId="0" fontId="1" fillId="3478" borderId="0" xfId="4" applyFill="1" applyAlignment="1">
      <alignment horizontal="center" vertical="center"/>
    </xf>
    <xf numFmtId="0" fontId="1" fillId="3479" borderId="0" xfId="4" applyFill="1" applyAlignment="1">
      <alignment horizontal="center" vertical="center"/>
    </xf>
    <xf numFmtId="0" fontId="1" fillId="3480" borderId="0" xfId="4" applyFill="1" applyAlignment="1">
      <alignment horizontal="center" vertical="center"/>
    </xf>
    <xf numFmtId="0" fontId="1" fillId="3481" borderId="0" xfId="4" applyFill="1" applyAlignment="1">
      <alignment horizontal="center" vertical="center"/>
    </xf>
    <xf numFmtId="0" fontId="1" fillId="3482" borderId="0" xfId="4" applyFill="1" applyAlignment="1">
      <alignment horizontal="center" vertical="center"/>
    </xf>
    <xf numFmtId="0" fontId="1" fillId="3483" borderId="0" xfId="4" applyFill="1" applyAlignment="1">
      <alignment horizontal="center" vertical="center"/>
    </xf>
    <xf numFmtId="0" fontId="1" fillId="3484" borderId="0" xfId="4" applyFill="1" applyAlignment="1">
      <alignment horizontal="center" vertical="center"/>
    </xf>
    <xf numFmtId="0" fontId="1" fillId="3485" borderId="0" xfId="4" applyFill="1" applyAlignment="1">
      <alignment horizontal="center" vertical="center"/>
    </xf>
    <xf numFmtId="0" fontId="1" fillId="3486" borderId="0" xfId="4" applyFill="1" applyAlignment="1">
      <alignment horizontal="center" vertical="center"/>
    </xf>
    <xf numFmtId="0" fontId="1" fillId="3487" borderId="0" xfId="4" applyFill="1" applyAlignment="1">
      <alignment horizontal="center" vertical="center"/>
    </xf>
    <xf numFmtId="0" fontId="1" fillId="3488" borderId="0" xfId="4" applyFill="1" applyAlignment="1">
      <alignment horizontal="center" vertical="center"/>
    </xf>
    <xf numFmtId="0" fontId="1" fillId="3163" borderId="0" xfId="4" applyFill="1" applyAlignment="1">
      <alignment horizontal="center" vertical="center"/>
    </xf>
    <xf numFmtId="0" fontId="1" fillId="2754" borderId="0" xfId="4" applyFill="1" applyAlignment="1">
      <alignment horizontal="center" vertical="center"/>
    </xf>
    <xf numFmtId="0" fontId="1" fillId="1836" borderId="0" xfId="4" applyFill="1" applyAlignment="1">
      <alignment horizontal="left" vertical="center"/>
    </xf>
    <xf numFmtId="0" fontId="1" fillId="3430" borderId="0" xfId="4" applyFill="1" applyAlignment="1">
      <alignment horizontal="left" vertical="center"/>
    </xf>
    <xf numFmtId="0" fontId="1" fillId="2629" borderId="0" xfId="4" applyFill="1" applyAlignment="1">
      <alignment horizontal="center" vertical="center"/>
    </xf>
    <xf numFmtId="0" fontId="1" fillId="3261" borderId="0" xfId="4" applyFill="1" applyAlignment="1">
      <alignment horizontal="center" vertical="center"/>
    </xf>
    <xf numFmtId="0" fontId="1" fillId="3489" borderId="0" xfId="4" applyFill="1" applyAlignment="1">
      <alignment horizontal="center" vertical="center"/>
    </xf>
    <xf numFmtId="0" fontId="1" fillId="3490" borderId="0" xfId="4" applyFill="1" applyAlignment="1">
      <alignment horizontal="center" vertical="center"/>
    </xf>
    <xf numFmtId="0" fontId="1" fillId="3491" borderId="0" xfId="4" applyFill="1" applyAlignment="1">
      <alignment horizontal="center" vertical="center"/>
    </xf>
    <xf numFmtId="0" fontId="1" fillId="3492" borderId="0" xfId="4" applyFill="1" applyAlignment="1">
      <alignment horizontal="center" vertical="center"/>
    </xf>
    <xf numFmtId="0" fontId="1" fillId="3493" borderId="0" xfId="4" applyFill="1" applyAlignment="1">
      <alignment horizontal="center" vertical="center"/>
    </xf>
    <xf numFmtId="0" fontId="1" fillId="3494" borderId="0" xfId="4" applyFill="1" applyAlignment="1">
      <alignment horizontal="center" vertical="center"/>
    </xf>
    <xf numFmtId="0" fontId="1" fillId="3495" borderId="0" xfId="4" applyFill="1" applyAlignment="1">
      <alignment horizontal="center" vertical="center"/>
    </xf>
    <xf numFmtId="0" fontId="1" fillId="3496" borderId="0" xfId="4" applyFill="1" applyAlignment="1">
      <alignment horizontal="center" vertical="center"/>
    </xf>
    <xf numFmtId="0" fontId="1" fillId="3497" borderId="0" xfId="4" applyFill="1" applyAlignment="1">
      <alignment horizontal="center" vertical="center"/>
    </xf>
    <xf numFmtId="0" fontId="1" fillId="3498" borderId="0" xfId="4" applyFill="1" applyAlignment="1">
      <alignment horizontal="center" vertical="center"/>
    </xf>
    <xf numFmtId="0" fontId="1" fillId="3499" borderId="0" xfId="4" applyFill="1" applyAlignment="1">
      <alignment horizontal="left" vertical="center"/>
    </xf>
    <xf numFmtId="0" fontId="1" fillId="3500" borderId="0" xfId="4" applyFill="1" applyAlignment="1">
      <alignment horizontal="center" vertical="center"/>
    </xf>
    <xf numFmtId="0" fontId="1" fillId="3501" borderId="0" xfId="4" applyFill="1" applyAlignment="1">
      <alignment horizontal="center" vertical="center"/>
    </xf>
    <xf numFmtId="0" fontId="1" fillId="3502" borderId="0" xfId="4" applyFill="1" applyAlignment="1">
      <alignment horizontal="left" vertical="center"/>
    </xf>
    <xf numFmtId="0" fontId="1" fillId="3503" borderId="0" xfId="4" applyFill="1" applyAlignment="1">
      <alignment horizontal="center" vertical="center"/>
    </xf>
    <xf numFmtId="0" fontId="1" fillId="3504" borderId="0" xfId="4" applyFill="1" applyAlignment="1">
      <alignment horizontal="center" vertical="center"/>
    </xf>
    <xf numFmtId="0" fontId="1" fillId="3505" borderId="0" xfId="4" applyFill="1" applyAlignment="1">
      <alignment horizontal="center" vertical="center"/>
    </xf>
    <xf numFmtId="0" fontId="1" fillId="3506" borderId="0" xfId="4" applyFill="1" applyAlignment="1">
      <alignment horizontal="center" vertical="center"/>
    </xf>
    <xf numFmtId="0" fontId="1" fillId="3507" borderId="0" xfId="4" applyFill="1" applyAlignment="1">
      <alignment horizontal="center" vertical="center"/>
    </xf>
    <xf numFmtId="0" fontId="1" fillId="3508" borderId="0" xfId="4" applyFill="1" applyAlignment="1">
      <alignment horizontal="center" vertical="center"/>
    </xf>
    <xf numFmtId="0" fontId="1" fillId="63" borderId="0" xfId="4" applyFill="1" applyAlignment="1">
      <alignment horizontal="center" vertical="center"/>
    </xf>
    <xf numFmtId="0" fontId="1" fillId="3509" borderId="0" xfId="4" applyFill="1" applyAlignment="1">
      <alignment horizontal="center" vertical="center"/>
    </xf>
    <xf numFmtId="0" fontId="1" fillId="3510" borderId="0" xfId="4" applyFill="1" applyAlignment="1">
      <alignment horizontal="center" vertical="center"/>
    </xf>
    <xf numFmtId="0" fontId="1" fillId="3511" borderId="0" xfId="4" applyFill="1" applyAlignment="1">
      <alignment horizontal="center" vertical="center"/>
    </xf>
    <xf numFmtId="0" fontId="1" fillId="3512" borderId="0" xfId="4" applyFill="1" applyAlignment="1">
      <alignment horizontal="center" vertical="center"/>
    </xf>
    <xf numFmtId="0" fontId="1" fillId="3513" borderId="0" xfId="4" applyFill="1" applyAlignment="1">
      <alignment horizontal="center" vertical="center"/>
    </xf>
    <xf numFmtId="0" fontId="1" fillId="3514" borderId="0" xfId="4" applyFill="1" applyAlignment="1">
      <alignment horizontal="center" vertical="center"/>
    </xf>
    <xf numFmtId="0" fontId="1" fillId="3515" borderId="0" xfId="4" applyFill="1" applyAlignment="1">
      <alignment horizontal="center" vertical="center"/>
    </xf>
    <xf numFmtId="0" fontId="1" fillId="3516" borderId="0" xfId="4" applyFill="1" applyAlignment="1">
      <alignment horizontal="center" vertical="center"/>
    </xf>
    <xf numFmtId="0" fontId="1" fillId="3517" borderId="0" xfId="4" applyFill="1" applyAlignment="1">
      <alignment horizontal="center" vertical="center"/>
    </xf>
    <xf numFmtId="0" fontId="1" fillId="3518" borderId="0" xfId="4" applyFill="1" applyAlignment="1">
      <alignment horizontal="center" vertical="center"/>
    </xf>
    <xf numFmtId="0" fontId="1" fillId="3519" borderId="0" xfId="4" applyFill="1" applyAlignment="1">
      <alignment horizontal="center" vertical="center"/>
    </xf>
    <xf numFmtId="0" fontId="1" fillId="3520" borderId="0" xfId="4" applyFill="1" applyAlignment="1">
      <alignment horizontal="center" vertical="center"/>
    </xf>
    <xf numFmtId="0" fontId="1" fillId="3521" borderId="0" xfId="4" applyFill="1" applyAlignment="1">
      <alignment horizontal="center" vertical="center"/>
    </xf>
    <xf numFmtId="0" fontId="1" fillId="3522" borderId="0" xfId="4" applyFill="1" applyAlignment="1">
      <alignment horizontal="center" vertical="center"/>
    </xf>
    <xf numFmtId="0" fontId="1" fillId="3523" borderId="0" xfId="4" applyFill="1" applyAlignment="1">
      <alignment horizontal="center" vertical="center"/>
    </xf>
    <xf numFmtId="0" fontId="1" fillId="3524" borderId="0" xfId="4" applyFill="1" applyAlignment="1">
      <alignment horizontal="center" vertical="center"/>
    </xf>
    <xf numFmtId="0" fontId="1" fillId="3525" borderId="0" xfId="4" applyFill="1" applyAlignment="1">
      <alignment horizontal="center" vertical="center"/>
    </xf>
    <xf numFmtId="0" fontId="1" fillId="3526" borderId="0" xfId="4" applyFill="1" applyAlignment="1">
      <alignment horizontal="center" vertical="center"/>
    </xf>
    <xf numFmtId="0" fontId="1" fillId="3527" borderId="0" xfId="4" applyFill="1" applyAlignment="1">
      <alignment horizontal="left" vertical="center"/>
    </xf>
    <xf numFmtId="0" fontId="1" fillId="3528" borderId="0" xfId="4" applyFill="1" applyAlignment="1">
      <alignment horizontal="center" vertical="center"/>
    </xf>
    <xf numFmtId="0" fontId="1" fillId="3529" borderId="0" xfId="4" applyFill="1" applyAlignment="1">
      <alignment horizontal="center" vertical="center"/>
    </xf>
    <xf numFmtId="0" fontId="1" fillId="3530" borderId="0" xfId="4" applyFill="1" applyAlignment="1">
      <alignment horizontal="center" vertical="center"/>
    </xf>
    <xf numFmtId="0" fontId="1" fillId="3531" borderId="0" xfId="4" applyFill="1" applyAlignment="1">
      <alignment horizontal="center" vertical="center"/>
    </xf>
    <xf numFmtId="0" fontId="1" fillId="3532" borderId="0" xfId="4" applyFill="1" applyAlignment="1">
      <alignment horizontal="center" vertical="center"/>
    </xf>
    <xf numFmtId="0" fontId="1" fillId="3533" borderId="0" xfId="4" applyFill="1" applyAlignment="1">
      <alignment horizontal="center" vertical="center"/>
    </xf>
    <xf numFmtId="0" fontId="1" fillId="3534" borderId="0" xfId="4" applyFill="1" applyAlignment="1">
      <alignment horizontal="center" vertical="center"/>
    </xf>
    <xf numFmtId="0" fontId="1" fillId="3535" borderId="0" xfId="4" applyFill="1" applyAlignment="1">
      <alignment horizontal="center" vertical="center"/>
    </xf>
    <xf numFmtId="0" fontId="1" fillId="3536" borderId="0" xfId="4" applyFill="1" applyAlignment="1">
      <alignment horizontal="center" vertical="center"/>
    </xf>
    <xf numFmtId="0" fontId="1" fillId="3537" borderId="0" xfId="4" applyFill="1" applyAlignment="1">
      <alignment horizontal="center" vertical="center"/>
    </xf>
    <xf numFmtId="0" fontId="1" fillId="3538" borderId="0" xfId="4" applyFill="1" applyAlignment="1">
      <alignment horizontal="center" vertical="center"/>
    </xf>
    <xf numFmtId="0" fontId="1" fillId="3539" borderId="0" xfId="4" applyFill="1" applyAlignment="1">
      <alignment horizontal="center" vertical="center"/>
    </xf>
    <xf numFmtId="0" fontId="1" fillId="3540" borderId="0" xfId="4" applyFill="1" applyAlignment="1">
      <alignment horizontal="center" vertical="center"/>
    </xf>
    <xf numFmtId="0" fontId="1" fillId="3541" borderId="0" xfId="4" applyFill="1" applyAlignment="1">
      <alignment horizontal="center" vertical="center"/>
    </xf>
    <xf numFmtId="0" fontId="1" fillId="3542" borderId="0" xfId="4" applyFill="1" applyAlignment="1">
      <alignment horizontal="center" vertical="center"/>
    </xf>
    <xf numFmtId="0" fontId="1" fillId="3543" borderId="0" xfId="4" applyFill="1" applyAlignment="1">
      <alignment horizontal="center" vertical="center"/>
    </xf>
    <xf numFmtId="0" fontId="1" fillId="3544" borderId="0" xfId="4" applyFill="1" applyAlignment="1">
      <alignment horizontal="center" vertical="center"/>
    </xf>
    <xf numFmtId="0" fontId="1" fillId="3545" borderId="0" xfId="4" applyFill="1" applyAlignment="1">
      <alignment horizontal="center" vertical="center"/>
    </xf>
    <xf numFmtId="0" fontId="1" fillId="3546" borderId="0" xfId="4" applyFill="1" applyAlignment="1">
      <alignment horizontal="center" vertical="center"/>
    </xf>
    <xf numFmtId="0" fontId="1" fillId="3547" borderId="0" xfId="4" applyFill="1" applyAlignment="1">
      <alignment horizontal="left" vertical="center"/>
    </xf>
    <xf numFmtId="0" fontId="1" fillId="3548" borderId="0" xfId="4" applyFill="1" applyAlignment="1">
      <alignment horizontal="left" vertical="center"/>
    </xf>
    <xf numFmtId="0" fontId="1" fillId="3549" borderId="0" xfId="4" applyFill="1" applyAlignment="1">
      <alignment horizontal="center" vertical="center"/>
    </xf>
    <xf numFmtId="0" fontId="1" fillId="3550" borderId="0" xfId="4" applyFill="1" applyAlignment="1">
      <alignment horizontal="center" vertical="center"/>
    </xf>
    <xf numFmtId="0" fontId="1" fillId="3551" borderId="0" xfId="4" applyFill="1" applyAlignment="1">
      <alignment horizontal="center" vertical="center"/>
    </xf>
    <xf numFmtId="0" fontId="1" fillId="3552" borderId="0" xfId="4" applyFill="1" applyAlignment="1">
      <alignment horizontal="center" vertical="center"/>
    </xf>
    <xf numFmtId="0" fontId="1" fillId="3553" borderId="0" xfId="4" applyFill="1" applyAlignment="1">
      <alignment horizontal="center" vertical="center"/>
    </xf>
    <xf numFmtId="0" fontId="1" fillId="3554" borderId="0" xfId="4" applyFill="1" applyAlignment="1">
      <alignment horizontal="center" vertical="center"/>
    </xf>
    <xf numFmtId="0" fontId="1" fillId="3555" borderId="0" xfId="4" applyFill="1" applyAlignment="1">
      <alignment horizontal="center" vertical="center"/>
    </xf>
    <xf numFmtId="0" fontId="1" fillId="3556" borderId="0" xfId="4" applyFill="1" applyAlignment="1">
      <alignment horizontal="center" vertical="center"/>
    </xf>
    <xf numFmtId="0" fontId="1" fillId="3557" borderId="0" xfId="4" applyFill="1" applyAlignment="1">
      <alignment horizontal="center" vertical="center"/>
    </xf>
    <xf numFmtId="0" fontId="1" fillId="3558" borderId="0" xfId="4" applyFill="1" applyAlignment="1">
      <alignment horizontal="center" vertical="center"/>
    </xf>
    <xf numFmtId="0" fontId="1" fillId="3559" borderId="0" xfId="4" applyFill="1" applyAlignment="1">
      <alignment horizontal="left" vertical="center"/>
    </xf>
    <xf numFmtId="0" fontId="1" fillId="3560" borderId="0" xfId="4" applyFill="1" applyAlignment="1">
      <alignment horizontal="center" vertical="center"/>
    </xf>
    <xf numFmtId="0" fontId="1" fillId="3561" borderId="0" xfId="4" applyFill="1" applyAlignment="1">
      <alignment horizontal="center" vertical="center"/>
    </xf>
    <xf numFmtId="0" fontId="1" fillId="3562" borderId="0" xfId="4" applyFill="1" applyAlignment="1">
      <alignment horizontal="center" vertical="center"/>
    </xf>
    <xf numFmtId="0" fontId="1" fillId="3563" borderId="0" xfId="4" applyFill="1" applyAlignment="1">
      <alignment horizontal="center" vertical="center"/>
    </xf>
    <xf numFmtId="0" fontId="1" fillId="279" borderId="0" xfId="4" applyFill="1" applyAlignment="1">
      <alignment horizontal="center" vertical="center"/>
    </xf>
    <xf numFmtId="0" fontId="1" fillId="3564" borderId="0" xfId="4" applyFill="1" applyAlignment="1">
      <alignment horizontal="center" vertical="center"/>
    </xf>
    <xf numFmtId="0" fontId="1" fillId="3565" borderId="0" xfId="4" applyFill="1" applyAlignment="1">
      <alignment horizontal="center" vertical="center"/>
    </xf>
    <xf numFmtId="0" fontId="1" fillId="3566" borderId="0" xfId="4" applyFill="1" applyAlignment="1">
      <alignment horizontal="center" vertical="center"/>
    </xf>
    <xf numFmtId="0" fontId="1" fillId="3567" borderId="0" xfId="4" applyFill="1" applyAlignment="1">
      <alignment horizontal="center" vertical="center"/>
    </xf>
    <xf numFmtId="0" fontId="1" fillId="3568" borderId="0" xfId="4" applyFill="1" applyAlignment="1">
      <alignment horizontal="center" vertical="center"/>
    </xf>
    <xf numFmtId="0" fontId="1" fillId="3569" borderId="0" xfId="4" applyFill="1" applyAlignment="1">
      <alignment horizontal="center" vertical="center"/>
    </xf>
    <xf numFmtId="0" fontId="1" fillId="3570" borderId="0" xfId="4" applyFill="1" applyAlignment="1">
      <alignment horizontal="center" vertical="center"/>
    </xf>
    <xf numFmtId="0" fontId="1" fillId="3571" borderId="0" xfId="4" applyFill="1" applyAlignment="1">
      <alignment horizontal="center" vertical="center"/>
    </xf>
    <xf numFmtId="0" fontId="1" fillId="3572" borderId="0" xfId="4" applyFill="1" applyAlignment="1">
      <alignment horizontal="center" vertical="center"/>
    </xf>
    <xf numFmtId="0" fontId="1" fillId="3573" borderId="0" xfId="4" applyFill="1" applyAlignment="1">
      <alignment horizontal="center" vertical="center"/>
    </xf>
    <xf numFmtId="0" fontId="1" fillId="3574" borderId="0" xfId="4" applyFill="1" applyAlignment="1">
      <alignment horizontal="center" vertical="center"/>
    </xf>
    <xf numFmtId="0" fontId="1" fillId="3575" borderId="0" xfId="4" applyFill="1" applyAlignment="1">
      <alignment horizontal="center" vertical="center"/>
    </xf>
    <xf numFmtId="0" fontId="1" fillId="3576" borderId="0" xfId="4" applyFill="1" applyAlignment="1">
      <alignment horizontal="center" vertical="center"/>
    </xf>
    <xf numFmtId="0" fontId="1" fillId="3577" borderId="0" xfId="4" applyFill="1" applyAlignment="1">
      <alignment horizontal="center" vertical="center"/>
    </xf>
    <xf numFmtId="0" fontId="1" fillId="3578" borderId="0" xfId="4" applyFill="1" applyAlignment="1">
      <alignment horizontal="center" vertical="center"/>
    </xf>
    <xf numFmtId="0" fontId="1" fillId="3579" borderId="0" xfId="4" applyFill="1" applyAlignment="1">
      <alignment horizontal="center" vertical="center"/>
    </xf>
    <xf numFmtId="0" fontId="1" fillId="3580" borderId="0" xfId="4" applyFill="1" applyAlignment="1">
      <alignment horizontal="left" vertical="center"/>
    </xf>
    <xf numFmtId="0" fontId="1" fillId="3581" borderId="0" xfId="4" applyFill="1" applyAlignment="1">
      <alignment horizontal="center" vertical="center"/>
    </xf>
    <xf numFmtId="0" fontId="1" fillId="3582" borderId="0" xfId="4" applyFill="1" applyAlignment="1">
      <alignment horizontal="center" vertical="center"/>
    </xf>
    <xf numFmtId="0" fontId="1" fillId="3583" borderId="0" xfId="4" applyFill="1" applyAlignment="1">
      <alignment horizontal="center" vertical="center"/>
    </xf>
    <xf numFmtId="0" fontId="1" fillId="3584" borderId="0" xfId="4" applyFill="1" applyAlignment="1">
      <alignment horizontal="center" vertical="center"/>
    </xf>
    <xf numFmtId="0" fontId="1" fillId="4" borderId="0" xfId="4" applyFill="1" applyAlignment="1">
      <alignment horizontal="center" vertical="center"/>
    </xf>
    <xf numFmtId="0" fontId="1" fillId="3585" borderId="0" xfId="4" applyFill="1" applyAlignment="1">
      <alignment horizontal="center" vertical="center"/>
    </xf>
    <xf numFmtId="0" fontId="1" fillId="3586" borderId="0" xfId="4" applyFill="1" applyAlignment="1">
      <alignment horizontal="center" vertical="center"/>
    </xf>
    <xf numFmtId="0" fontId="1" fillId="3587" borderId="0" xfId="4" applyFill="1" applyAlignment="1">
      <alignment horizontal="center" vertical="center"/>
    </xf>
    <xf numFmtId="0" fontId="1" fillId="3588" borderId="0" xfId="4" applyFill="1" applyAlignment="1">
      <alignment horizontal="center" vertical="center"/>
    </xf>
    <xf numFmtId="0" fontId="1" fillId="3589" borderId="0" xfId="4" applyFill="1" applyAlignment="1">
      <alignment horizontal="center" vertical="center"/>
    </xf>
    <xf numFmtId="0" fontId="1" fillId="3590" borderId="0" xfId="4" applyFill="1" applyAlignment="1">
      <alignment horizontal="center" vertical="center"/>
    </xf>
    <xf numFmtId="0" fontId="1" fillId="3591" borderId="0" xfId="4" applyFill="1" applyAlignment="1">
      <alignment horizontal="center" vertical="center"/>
    </xf>
    <xf numFmtId="0" fontId="1" fillId="3592" borderId="0" xfId="4" applyFill="1" applyAlignment="1">
      <alignment horizontal="center" vertical="center"/>
    </xf>
    <xf numFmtId="0" fontId="1" fillId="3593" borderId="0" xfId="4" applyFill="1" applyAlignment="1">
      <alignment horizontal="center" vertical="center"/>
    </xf>
    <xf numFmtId="0" fontId="1" fillId="3594" borderId="0" xfId="4" applyFill="1" applyAlignment="1">
      <alignment horizontal="center" vertical="center"/>
    </xf>
    <xf numFmtId="0" fontId="1" fillId="3595" borderId="0" xfId="4" applyFill="1" applyAlignment="1">
      <alignment horizontal="center" vertical="center"/>
    </xf>
    <xf numFmtId="0" fontId="1" fillId="3596" borderId="0" xfId="4" applyFill="1" applyAlignment="1">
      <alignment horizontal="center" vertical="center"/>
    </xf>
    <xf numFmtId="0" fontId="1" fillId="3371" borderId="0" xfId="4" applyFill="1" applyAlignment="1">
      <alignment horizontal="left" vertical="center"/>
    </xf>
    <xf numFmtId="0" fontId="1" fillId="3597" borderId="0" xfId="4" applyFill="1" applyAlignment="1">
      <alignment horizontal="left" vertical="center"/>
    </xf>
    <xf numFmtId="0" fontId="1" fillId="3598" borderId="0" xfId="4" applyFill="1" applyAlignment="1">
      <alignment horizontal="left" vertical="center"/>
    </xf>
    <xf numFmtId="0" fontId="1" fillId="3599" borderId="0" xfId="4" applyFill="1" applyAlignment="1">
      <alignment horizontal="center" vertical="center"/>
    </xf>
    <xf numFmtId="0" fontId="1" fillId="3547" borderId="0" xfId="4" applyFill="1" applyAlignment="1">
      <alignment horizontal="center" vertical="center"/>
    </xf>
    <xf numFmtId="0" fontId="1" fillId="2859" borderId="0" xfId="4" applyFill="1" applyAlignment="1">
      <alignment horizontal="center" vertical="center"/>
    </xf>
    <xf numFmtId="0" fontId="1" fillId="3600" borderId="0" xfId="4" applyFill="1" applyAlignment="1">
      <alignment horizontal="center" vertical="center"/>
    </xf>
    <xf numFmtId="0" fontId="1" fillId="3601" borderId="0" xfId="4" applyFill="1" applyAlignment="1">
      <alignment horizontal="center" vertical="center"/>
    </xf>
    <xf numFmtId="0" fontId="1" fillId="3602" borderId="0" xfId="4" applyFill="1" applyAlignment="1">
      <alignment horizontal="center" vertical="center"/>
    </xf>
    <xf numFmtId="0" fontId="1" fillId="3603" borderId="0" xfId="4" applyFill="1" applyAlignment="1">
      <alignment horizontal="center" vertical="center"/>
    </xf>
    <xf numFmtId="0" fontId="1" fillId="3604" borderId="0" xfId="4" applyFill="1" applyAlignment="1">
      <alignment horizontal="center" vertical="center"/>
    </xf>
    <xf numFmtId="0" fontId="1" fillId="3605" borderId="0" xfId="4" applyFill="1" applyAlignment="1">
      <alignment horizontal="center" vertical="center"/>
    </xf>
    <xf numFmtId="0" fontId="1" fillId="3606" borderId="0" xfId="4" applyFill="1" applyAlignment="1">
      <alignment horizontal="center" vertical="center"/>
    </xf>
    <xf numFmtId="0" fontId="1" fillId="3607" borderId="0" xfId="4" applyFill="1" applyAlignment="1">
      <alignment horizontal="left" vertical="center"/>
    </xf>
    <xf numFmtId="0" fontId="1" fillId="3608" borderId="0" xfId="4" applyFill="1" applyAlignment="1">
      <alignment horizontal="center" vertical="center"/>
    </xf>
    <xf numFmtId="0" fontId="1" fillId="2300" borderId="0" xfId="4" applyFill="1" applyAlignment="1">
      <alignment horizontal="left" vertical="center"/>
    </xf>
    <xf numFmtId="0" fontId="1" fillId="120" borderId="0" xfId="4" applyFill="1" applyAlignment="1">
      <alignment horizontal="center" vertical="center"/>
    </xf>
    <xf numFmtId="0" fontId="1" fillId="193" borderId="0" xfId="4" applyFill="1" applyAlignment="1">
      <alignment horizontal="center" vertical="center"/>
    </xf>
    <xf numFmtId="0" fontId="1" fillId="111" borderId="0" xfId="4" applyFill="1" applyAlignment="1">
      <alignment horizontal="center" vertical="center"/>
    </xf>
    <xf numFmtId="0" fontId="1" fillId="3609" borderId="0" xfId="4" applyFill="1" applyAlignment="1">
      <alignment horizontal="center" vertical="center"/>
    </xf>
    <xf numFmtId="0" fontId="1" fillId="3610" borderId="0" xfId="4" applyFill="1" applyAlignment="1">
      <alignment horizontal="center" vertical="center"/>
    </xf>
    <xf numFmtId="0" fontId="1" fillId="3611" borderId="0" xfId="4" applyFill="1" applyAlignment="1">
      <alignment horizontal="center" vertical="center"/>
    </xf>
    <xf numFmtId="0" fontId="1" fillId="3612" borderId="0" xfId="4" applyFill="1" applyAlignment="1">
      <alignment horizontal="center" vertical="center"/>
    </xf>
    <xf numFmtId="0" fontId="1" fillId="3613" borderId="0" xfId="4" applyFill="1" applyAlignment="1">
      <alignment horizontal="center" vertical="center"/>
    </xf>
    <xf numFmtId="0" fontId="1" fillId="3614" borderId="0" xfId="4" applyFill="1" applyAlignment="1">
      <alignment horizontal="center" vertical="center"/>
    </xf>
    <xf numFmtId="0" fontId="1" fillId="3615" borderId="0" xfId="4" applyFill="1" applyAlignment="1">
      <alignment horizontal="center" vertical="center"/>
    </xf>
    <xf numFmtId="0" fontId="1" fillId="3616" borderId="0" xfId="4" applyFill="1" applyAlignment="1">
      <alignment horizontal="center" vertical="center"/>
    </xf>
    <xf numFmtId="0" fontId="1" fillId="3617" borderId="0" xfId="4" applyFill="1" applyAlignment="1">
      <alignment horizontal="center" vertical="center"/>
    </xf>
    <xf numFmtId="0" fontId="1" fillId="3618" borderId="0" xfId="4" applyFill="1" applyAlignment="1">
      <alignment horizontal="center" vertical="center"/>
    </xf>
    <xf numFmtId="0" fontId="1" fillId="3619" borderId="0" xfId="4" applyFill="1" applyAlignment="1">
      <alignment horizontal="center" vertical="center"/>
    </xf>
    <xf numFmtId="0" fontId="1" fillId="3620" borderId="0" xfId="4" applyFill="1" applyAlignment="1">
      <alignment horizontal="center" vertical="center"/>
    </xf>
    <xf numFmtId="0" fontId="1" fillId="3621" borderId="0" xfId="4" applyFill="1" applyAlignment="1">
      <alignment horizontal="center" vertical="center"/>
    </xf>
    <xf numFmtId="0" fontId="1" fillId="3622" borderId="0" xfId="4" applyFill="1" applyAlignment="1">
      <alignment horizontal="center" vertical="center"/>
    </xf>
    <xf numFmtId="0" fontId="1" fillId="3623" borderId="0" xfId="4" applyFill="1" applyAlignment="1">
      <alignment horizontal="left" vertical="center"/>
    </xf>
    <xf numFmtId="0" fontId="1" fillId="3624" borderId="0" xfId="4" applyFill="1" applyAlignment="1">
      <alignment horizontal="center" vertical="center"/>
    </xf>
    <xf numFmtId="0" fontId="1" fillId="3625" borderId="0" xfId="4" applyFill="1" applyAlignment="1">
      <alignment horizontal="center" vertical="center"/>
    </xf>
    <xf numFmtId="0" fontId="1" fillId="3626" borderId="0" xfId="4" applyFill="1" applyAlignment="1">
      <alignment horizontal="center" vertical="center"/>
    </xf>
    <xf numFmtId="0" fontId="1" fillId="3627" borderId="0" xfId="4" applyFill="1" applyAlignment="1">
      <alignment horizontal="center" vertical="center"/>
    </xf>
    <xf numFmtId="0" fontId="1" fillId="3628" borderId="0" xfId="4" applyFill="1" applyAlignment="1">
      <alignment horizontal="center" vertical="center"/>
    </xf>
    <xf numFmtId="0" fontId="1" fillId="3629" borderId="0" xfId="4" applyFill="1" applyAlignment="1">
      <alignment horizontal="center" vertical="center"/>
    </xf>
    <xf numFmtId="0" fontId="1" fillId="3630" borderId="0" xfId="4" applyFill="1" applyAlignment="1">
      <alignment horizontal="center" vertical="center"/>
    </xf>
    <xf numFmtId="0" fontId="1" fillId="3631" borderId="0" xfId="4" applyFill="1" applyAlignment="1">
      <alignment horizontal="center" vertical="center"/>
    </xf>
    <xf numFmtId="0" fontId="1" fillId="3632" borderId="0" xfId="4" applyFill="1" applyAlignment="1">
      <alignment horizontal="center" vertical="center"/>
    </xf>
    <xf numFmtId="0" fontId="1" fillId="3633" borderId="0" xfId="4" applyFill="1" applyAlignment="1">
      <alignment horizontal="center" vertical="center"/>
    </xf>
    <xf numFmtId="0" fontId="1" fillId="3634" borderId="0" xfId="4" applyFill="1" applyAlignment="1">
      <alignment horizontal="center" vertical="center"/>
    </xf>
    <xf numFmtId="0" fontId="1" fillId="3635" borderId="0" xfId="4" applyFill="1" applyAlignment="1">
      <alignment horizontal="center" vertical="center"/>
    </xf>
    <xf numFmtId="0" fontId="1" fillId="3636" borderId="0" xfId="4" applyFill="1" applyAlignment="1">
      <alignment horizontal="left" vertical="center"/>
    </xf>
    <xf numFmtId="0" fontId="1" fillId="3637" borderId="0" xfId="4" applyFill="1" applyAlignment="1">
      <alignment horizontal="left" vertical="center"/>
    </xf>
    <xf numFmtId="0" fontId="1" fillId="2791" borderId="0" xfId="4" applyFill="1" applyAlignment="1">
      <alignment horizontal="left" vertical="center"/>
    </xf>
    <xf numFmtId="0" fontId="1" fillId="3638" borderId="0" xfId="4" applyFill="1" applyAlignment="1">
      <alignment horizontal="left" vertical="center"/>
    </xf>
    <xf numFmtId="0" fontId="1" fillId="3639" borderId="0" xfId="4" applyFill="1" applyAlignment="1">
      <alignment horizontal="left" vertical="center"/>
    </xf>
    <xf numFmtId="0" fontId="1" fillId="3640" borderId="0" xfId="4" applyFill="1" applyAlignment="1">
      <alignment horizontal="left" vertical="center"/>
    </xf>
    <xf numFmtId="0" fontId="1" fillId="3641" borderId="0" xfId="4" applyFill="1" applyAlignment="1">
      <alignment horizontal="center" vertical="center"/>
    </xf>
    <xf numFmtId="0" fontId="1" fillId="3642" borderId="0" xfId="4" applyFill="1" applyAlignment="1">
      <alignment horizontal="center" vertical="center"/>
    </xf>
    <xf numFmtId="0" fontId="1" fillId="3643" borderId="0" xfId="4" applyFill="1" applyAlignment="1">
      <alignment horizontal="center" vertical="center"/>
    </xf>
    <xf numFmtId="0" fontId="1" fillId="3644" borderId="0" xfId="4" applyFill="1" applyAlignment="1">
      <alignment horizontal="center" vertical="center"/>
    </xf>
    <xf numFmtId="0" fontId="1" fillId="3645" borderId="0" xfId="4" applyFill="1" applyAlignment="1">
      <alignment horizontal="center" vertical="center"/>
    </xf>
    <xf numFmtId="0" fontId="1" fillId="3646" borderId="0" xfId="4" applyFill="1" applyAlignment="1">
      <alignment horizontal="center" vertical="center"/>
    </xf>
    <xf numFmtId="0" fontId="1" fillId="3647" borderId="0" xfId="4" applyFill="1" applyAlignment="1">
      <alignment horizontal="center" vertical="center"/>
    </xf>
    <xf numFmtId="0" fontId="1" fillId="3648" borderId="0" xfId="4" applyFill="1" applyAlignment="1">
      <alignment horizontal="center" vertical="center"/>
    </xf>
    <xf numFmtId="0" fontId="1" fillId="3649" borderId="0" xfId="4" applyFill="1" applyAlignment="1">
      <alignment horizontal="center" vertical="center"/>
    </xf>
    <xf numFmtId="0" fontId="1" fillId="3650" borderId="0" xfId="4" applyFill="1" applyAlignment="1">
      <alignment horizontal="left" vertical="center"/>
    </xf>
    <xf numFmtId="0" fontId="1" fillId="3651" borderId="0" xfId="4" applyFill="1" applyAlignment="1">
      <alignment horizontal="center" vertical="center"/>
    </xf>
    <xf numFmtId="0" fontId="1" fillId="166" borderId="0" xfId="4" applyFill="1" applyAlignment="1">
      <alignment horizontal="center" vertical="center"/>
    </xf>
    <xf numFmtId="0" fontId="1" fillId="50" borderId="0" xfId="4" applyFill="1" applyAlignment="1">
      <alignment horizontal="left" vertical="center"/>
    </xf>
    <xf numFmtId="0" fontId="1" fillId="3652" borderId="0" xfId="4" applyFill="1" applyAlignment="1">
      <alignment horizontal="center" vertical="center"/>
    </xf>
    <xf numFmtId="0" fontId="1" fillId="3653" borderId="0" xfId="4" applyFill="1" applyAlignment="1">
      <alignment horizontal="center" vertical="center"/>
    </xf>
    <xf numFmtId="0" fontId="1" fillId="3654" borderId="0" xfId="4" applyFill="1" applyAlignment="1">
      <alignment horizontal="center" vertical="center"/>
    </xf>
    <xf numFmtId="0" fontId="1" fillId="59" borderId="0" xfId="4" applyFill="1" applyAlignment="1">
      <alignment horizontal="center" vertical="center"/>
    </xf>
    <xf numFmtId="0" fontId="1" fillId="36" borderId="0" xfId="4" applyFill="1" applyAlignment="1">
      <alignment horizontal="center" vertical="center"/>
    </xf>
    <xf numFmtId="0" fontId="1" fillId="3655" borderId="0" xfId="4" applyFill="1" applyAlignment="1">
      <alignment horizontal="center" vertical="center"/>
    </xf>
    <xf numFmtId="0" fontId="1" fillId="3656" borderId="0" xfId="4" applyFill="1" applyAlignment="1">
      <alignment horizontal="center" vertical="center"/>
    </xf>
    <xf numFmtId="0" fontId="1" fillId="3657" borderId="0" xfId="4" applyFill="1" applyAlignment="1">
      <alignment horizontal="center" vertical="center"/>
    </xf>
    <xf numFmtId="0" fontId="1" fillId="3658" borderId="0" xfId="4" applyFill="1" applyAlignment="1">
      <alignment horizontal="center" vertical="center"/>
    </xf>
    <xf numFmtId="0" fontId="1" fillId="3659" borderId="0" xfId="4" applyFill="1" applyAlignment="1">
      <alignment horizontal="center" vertical="center"/>
    </xf>
    <xf numFmtId="0" fontId="1" fillId="3660" borderId="0" xfId="4" applyFill="1" applyAlignment="1">
      <alignment horizontal="center" vertical="center"/>
    </xf>
    <xf numFmtId="0" fontId="1" fillId="3661" borderId="0" xfId="4" applyFill="1" applyAlignment="1">
      <alignment horizontal="center" vertical="center"/>
    </xf>
    <xf numFmtId="0" fontId="1" fillId="3662" borderId="0" xfId="4" applyFill="1" applyAlignment="1">
      <alignment horizontal="center" vertical="center"/>
    </xf>
    <xf numFmtId="0" fontId="1" fillId="3663" borderId="0" xfId="4" applyFill="1" applyAlignment="1">
      <alignment horizontal="center" vertical="center"/>
    </xf>
    <xf numFmtId="0" fontId="1" fillId="3664" borderId="0" xfId="4" applyFill="1" applyAlignment="1">
      <alignment horizontal="center" vertical="center"/>
    </xf>
    <xf numFmtId="0" fontId="1" fillId="3665" borderId="0" xfId="4" applyFill="1" applyAlignment="1">
      <alignment horizontal="center" vertical="center"/>
    </xf>
    <xf numFmtId="0" fontId="1" fillId="3666" borderId="0" xfId="4" applyFill="1" applyAlignment="1">
      <alignment horizontal="left" vertical="center"/>
    </xf>
    <xf numFmtId="0" fontId="1" fillId="77" borderId="0" xfId="4" applyFill="1" applyAlignment="1">
      <alignment horizontal="center" vertical="center"/>
    </xf>
    <xf numFmtId="0" fontId="1" fillId="3667" borderId="0" xfId="4" applyFill="1" applyAlignment="1">
      <alignment horizontal="center" vertical="center"/>
    </xf>
    <xf numFmtId="0" fontId="1" fillId="3668" borderId="0" xfId="4" applyFill="1" applyAlignment="1">
      <alignment horizontal="center" vertical="center"/>
    </xf>
    <xf numFmtId="0" fontId="1" fillId="3669" borderId="0" xfId="4" applyFill="1" applyAlignment="1">
      <alignment horizontal="center" vertical="center"/>
    </xf>
    <xf numFmtId="0" fontId="1" fillId="3670" borderId="0" xfId="4" applyFill="1" applyAlignment="1">
      <alignment horizontal="center" vertical="center"/>
    </xf>
    <xf numFmtId="0" fontId="1" fillId="3671" borderId="0" xfId="4" applyFill="1" applyAlignment="1">
      <alignment horizontal="center" vertical="center"/>
    </xf>
    <xf numFmtId="0" fontId="1" fillId="3672" borderId="0" xfId="4" applyFill="1" applyAlignment="1">
      <alignment horizontal="center" vertical="center"/>
    </xf>
    <xf numFmtId="0" fontId="1" fillId="3673" borderId="0" xfId="4" applyFill="1" applyAlignment="1">
      <alignment horizontal="center" vertical="center"/>
    </xf>
    <xf numFmtId="0" fontId="1" fillId="3674" borderId="0" xfId="4" applyFill="1" applyAlignment="1">
      <alignment horizontal="center" vertical="center"/>
    </xf>
    <xf numFmtId="0" fontId="1" fillId="3675" borderId="0" xfId="4" applyFill="1" applyAlignment="1">
      <alignment horizontal="center" vertical="center"/>
    </xf>
    <xf numFmtId="0" fontId="1" fillId="3676" borderId="0" xfId="4" applyFill="1" applyAlignment="1">
      <alignment horizontal="center" vertical="center"/>
    </xf>
    <xf numFmtId="0" fontId="1" fillId="3677" borderId="0" xfId="4" applyFill="1" applyAlignment="1">
      <alignment horizontal="center" vertical="center"/>
    </xf>
    <xf numFmtId="0" fontId="1" fillId="3678" borderId="0" xfId="4" applyFill="1" applyAlignment="1">
      <alignment horizontal="left" vertical="center"/>
    </xf>
    <xf numFmtId="0" fontId="1" fillId="1921" borderId="0" xfId="4" applyFill="1" applyAlignment="1">
      <alignment horizontal="left" vertical="center"/>
    </xf>
    <xf numFmtId="0" fontId="1" fillId="3679" borderId="0" xfId="4" applyFill="1" applyAlignment="1">
      <alignment horizontal="left" vertical="center"/>
    </xf>
    <xf numFmtId="0" fontId="1" fillId="3680" borderId="0" xfId="4" applyFill="1" applyAlignment="1">
      <alignment horizontal="left" vertical="center"/>
    </xf>
    <xf numFmtId="0" fontId="1" fillId="3681" borderId="0" xfId="4" applyFill="1" applyAlignment="1">
      <alignment horizontal="left" vertical="center"/>
    </xf>
    <xf numFmtId="0" fontId="1" fillId="3682" borderId="0" xfId="4" applyFill="1" applyAlignment="1">
      <alignment horizontal="left" vertical="center"/>
    </xf>
    <xf numFmtId="0" fontId="1" fillId="3683" borderId="0" xfId="4" applyFill="1" applyAlignment="1">
      <alignment horizontal="center" vertical="center"/>
    </xf>
    <xf numFmtId="0" fontId="1" fillId="179" borderId="0" xfId="4" applyFill="1" applyAlignment="1">
      <alignment horizontal="center" vertical="center"/>
    </xf>
    <xf numFmtId="0" fontId="1" fillId="3684" borderId="0" xfId="4" applyFill="1" applyAlignment="1">
      <alignment horizontal="center" vertical="center"/>
    </xf>
    <xf numFmtId="0" fontId="1" fillId="3685" borderId="0" xfId="4" applyFill="1" applyAlignment="1">
      <alignment horizontal="center" vertical="center"/>
    </xf>
    <xf numFmtId="0" fontId="1" fillId="3686" borderId="0" xfId="4" applyFill="1" applyAlignment="1">
      <alignment horizontal="center" vertical="center"/>
    </xf>
    <xf numFmtId="0" fontId="1" fillId="3687" borderId="0" xfId="4" applyFill="1" applyAlignment="1">
      <alignment horizontal="center" vertical="center"/>
    </xf>
    <xf numFmtId="0" fontId="1" fillId="3688" borderId="0" xfId="4" applyFill="1" applyAlignment="1">
      <alignment horizontal="center" vertical="center"/>
    </xf>
    <xf numFmtId="0" fontId="1" fillId="349" borderId="0" xfId="4" applyFill="1" applyAlignment="1">
      <alignment horizontal="left" vertical="center"/>
    </xf>
    <xf numFmtId="0" fontId="1" fillId="3689" borderId="0" xfId="4" applyFill="1" applyAlignment="1">
      <alignment horizontal="center" vertical="center"/>
    </xf>
    <xf numFmtId="0" fontId="1" fillId="3690" borderId="0" xfId="4" applyFill="1" applyAlignment="1">
      <alignment horizontal="left" vertical="center"/>
    </xf>
    <xf numFmtId="0" fontId="1" fillId="54" borderId="0" xfId="4" applyFill="1" applyAlignment="1">
      <alignment horizontal="center" vertical="center"/>
    </xf>
    <xf numFmtId="0" fontId="1" fillId="72" borderId="0" xfId="4" applyFill="1" applyAlignment="1">
      <alignment horizontal="center" vertical="center"/>
    </xf>
    <xf numFmtId="0" fontId="1" fillId="3691" borderId="0" xfId="4" applyFill="1" applyAlignment="1">
      <alignment horizontal="center" vertical="center"/>
    </xf>
    <xf numFmtId="0" fontId="1" fillId="3692" borderId="0" xfId="4" applyFill="1" applyAlignment="1">
      <alignment horizontal="center" vertical="center"/>
    </xf>
    <xf numFmtId="0" fontId="1" fillId="3693" borderId="0" xfId="4" applyFill="1" applyAlignment="1">
      <alignment horizontal="center" vertical="center"/>
    </xf>
    <xf numFmtId="0" fontId="1" fillId="3694" borderId="0" xfId="4" applyFill="1" applyAlignment="1">
      <alignment horizontal="center" vertical="center"/>
    </xf>
    <xf numFmtId="0" fontId="1" fillId="3695" borderId="0" xfId="4" applyFill="1" applyAlignment="1">
      <alignment horizontal="center" vertical="center"/>
    </xf>
    <xf numFmtId="0" fontId="1" fillId="3696" borderId="0" xfId="4" applyFill="1" applyAlignment="1">
      <alignment horizontal="center" vertical="center"/>
    </xf>
    <xf numFmtId="0" fontId="1" fillId="3697" borderId="0" xfId="4" applyFill="1" applyAlignment="1">
      <alignment horizontal="center" vertical="center"/>
    </xf>
    <xf numFmtId="0" fontId="1" fillId="3698" borderId="0" xfId="4" applyFill="1" applyAlignment="1">
      <alignment horizontal="center" vertical="center"/>
    </xf>
    <xf numFmtId="0" fontId="1" fillId="3699" borderId="0" xfId="4" applyFill="1" applyAlignment="1">
      <alignment horizontal="center" vertical="center"/>
    </xf>
    <xf numFmtId="0" fontId="1" fillId="3700" borderId="0" xfId="4" applyFill="1" applyAlignment="1">
      <alignment horizontal="left" vertical="center"/>
    </xf>
    <xf numFmtId="0" fontId="1" fillId="3701" borderId="0" xfId="4" applyFill="1" applyAlignment="1">
      <alignment horizontal="center" vertical="center"/>
    </xf>
    <xf numFmtId="0" fontId="1" fillId="3702" borderId="0" xfId="4" applyFill="1" applyAlignment="1">
      <alignment horizontal="center" vertical="center"/>
    </xf>
    <xf numFmtId="0" fontId="1" fillId="3703" borderId="0" xfId="4" applyFill="1" applyAlignment="1">
      <alignment horizontal="center" vertical="center"/>
    </xf>
    <xf numFmtId="0" fontId="1" fillId="3704" borderId="0" xfId="4" applyFill="1" applyAlignment="1">
      <alignment horizontal="center" vertical="center"/>
    </xf>
    <xf numFmtId="0" fontId="1" fillId="3705" borderId="0" xfId="4" applyFill="1" applyAlignment="1">
      <alignment horizontal="center" vertical="center"/>
    </xf>
    <xf numFmtId="0" fontId="1" fillId="3706" borderId="0" xfId="4" applyFill="1" applyAlignment="1">
      <alignment horizontal="center" vertical="center"/>
    </xf>
    <xf numFmtId="0" fontId="1" fillId="3707" borderId="0" xfId="4" applyFill="1" applyAlignment="1">
      <alignment horizontal="center" vertical="center"/>
    </xf>
    <xf numFmtId="0" fontId="1" fillId="3708" borderId="0" xfId="4" applyFill="1" applyAlignment="1">
      <alignment horizontal="center" vertical="center"/>
    </xf>
    <xf numFmtId="0" fontId="1" fillId="3709" borderId="0" xfId="4" applyFill="1" applyAlignment="1">
      <alignment horizontal="center" vertical="center"/>
    </xf>
    <xf numFmtId="0" fontId="1" fillId="3710" borderId="0" xfId="4" applyFill="1" applyAlignment="1">
      <alignment horizontal="center" vertical="center"/>
    </xf>
    <xf numFmtId="0" fontId="1" fillId="3711" borderId="0" xfId="4" applyFill="1" applyAlignment="1">
      <alignment horizontal="center" vertical="center"/>
    </xf>
    <xf numFmtId="0" fontId="1" fillId="3712" borderId="0" xfId="4" applyFill="1" applyAlignment="1">
      <alignment horizontal="center" vertical="center"/>
    </xf>
    <xf numFmtId="0" fontId="1" fillId="3713" borderId="0" xfId="4" applyFill="1" applyAlignment="1">
      <alignment horizontal="left" vertical="center"/>
    </xf>
    <xf numFmtId="0" fontId="1" fillId="3714" borderId="0" xfId="4" applyFill="1" applyAlignment="1">
      <alignment horizontal="left" vertical="center"/>
    </xf>
    <xf numFmtId="0" fontId="1" fillId="3715" borderId="0" xfId="4" applyFill="1" applyAlignment="1">
      <alignment horizontal="left" vertical="center"/>
    </xf>
    <xf numFmtId="0" fontId="1" fillId="3716" borderId="0" xfId="4" applyFill="1" applyAlignment="1">
      <alignment horizontal="left" vertical="center"/>
    </xf>
    <xf numFmtId="0" fontId="1" fillId="3717" borderId="0" xfId="4" applyFill="1" applyAlignment="1">
      <alignment horizontal="left" vertical="center"/>
    </xf>
    <xf numFmtId="0" fontId="1" fillId="3718" borderId="0" xfId="4" applyFill="1" applyAlignment="1">
      <alignment horizontal="left" vertical="center"/>
    </xf>
    <xf numFmtId="0" fontId="1" fillId="3719" borderId="0" xfId="4" applyFill="1" applyAlignment="1">
      <alignment horizontal="left" vertical="center"/>
    </xf>
    <xf numFmtId="0" fontId="1" fillId="2676" borderId="0" xfId="4" applyFill="1" applyAlignment="1">
      <alignment horizontal="center" vertical="center"/>
    </xf>
    <xf numFmtId="0" fontId="1" fillId="3720" borderId="0" xfId="4" applyFill="1" applyAlignment="1">
      <alignment horizontal="center" vertical="center"/>
    </xf>
    <xf numFmtId="0" fontId="1" fillId="87" borderId="0" xfId="4" applyFill="1" applyAlignment="1">
      <alignment horizontal="center" vertical="center"/>
    </xf>
    <xf numFmtId="0" fontId="1" fillId="3721" borderId="0" xfId="4" applyFill="1" applyAlignment="1">
      <alignment horizontal="center" vertical="center"/>
    </xf>
    <xf numFmtId="0" fontId="1" fillId="3722" borderId="0" xfId="4" applyFill="1" applyAlignment="1">
      <alignment horizontal="center" vertical="center"/>
    </xf>
    <xf numFmtId="0" fontId="1" fillId="3723" borderId="0" xfId="4" applyFill="1" applyAlignment="1">
      <alignment horizontal="center" vertical="center"/>
    </xf>
    <xf numFmtId="0" fontId="1" fillId="3724" borderId="0" xfId="4" applyFill="1" applyAlignment="1">
      <alignment horizontal="center" vertical="center"/>
    </xf>
    <xf numFmtId="0" fontId="1" fillId="3725" borderId="0" xfId="4" applyFill="1" applyAlignment="1">
      <alignment horizontal="center" vertical="center"/>
    </xf>
    <xf numFmtId="0" fontId="1" fillId="3726" borderId="0" xfId="4" applyFill="1" applyAlignment="1">
      <alignment horizontal="left" vertical="center"/>
    </xf>
    <xf numFmtId="0" fontId="1" fillId="3727" borderId="0" xfId="4" applyFill="1" applyAlignment="1">
      <alignment horizontal="center" vertical="center"/>
    </xf>
    <xf numFmtId="0" fontId="1" fillId="136" borderId="0" xfId="4" applyFill="1" applyAlignment="1">
      <alignment horizontal="center" vertical="center"/>
    </xf>
    <xf numFmtId="0" fontId="1" fillId="3728" borderId="0" xfId="4" applyFill="1" applyAlignment="1">
      <alignment horizontal="center" vertical="center"/>
    </xf>
    <xf numFmtId="0" fontId="1" fillId="3729" borderId="0" xfId="4" applyFill="1" applyAlignment="1">
      <alignment horizontal="center" vertical="center"/>
    </xf>
    <xf numFmtId="0" fontId="1" fillId="3730" borderId="0" xfId="4" applyFill="1" applyAlignment="1">
      <alignment horizontal="center" vertical="center"/>
    </xf>
    <xf numFmtId="0" fontId="1" fillId="3731" borderId="0" xfId="4" applyFill="1" applyAlignment="1">
      <alignment horizontal="center" vertical="center"/>
    </xf>
    <xf numFmtId="0" fontId="1" fillId="3732" borderId="0" xfId="4" applyFill="1" applyAlignment="1">
      <alignment horizontal="center" vertical="center"/>
    </xf>
    <xf numFmtId="0" fontId="1" fillId="3733" borderId="0" xfId="4" applyFill="1" applyAlignment="1">
      <alignment horizontal="center" vertical="center"/>
    </xf>
    <xf numFmtId="0" fontId="1" fillId="3734" borderId="0" xfId="4" applyFill="1" applyAlignment="1">
      <alignment horizontal="center" vertical="center"/>
    </xf>
    <xf numFmtId="0" fontId="1" fillId="3735" borderId="0" xfId="4" applyFill="1" applyAlignment="1">
      <alignment horizontal="center" vertical="center"/>
    </xf>
    <xf numFmtId="0" fontId="1" fillId="3736" borderId="0" xfId="4" applyFill="1" applyAlignment="1">
      <alignment horizontal="center" vertical="center"/>
    </xf>
    <xf numFmtId="0" fontId="1" fillId="3737" borderId="0" xfId="4" applyFill="1" applyAlignment="1">
      <alignment horizontal="center" vertical="center"/>
    </xf>
    <xf numFmtId="0" fontId="1" fillId="3738" borderId="0" xfId="4" applyFill="1" applyAlignment="1">
      <alignment horizontal="left" vertical="center"/>
    </xf>
    <xf numFmtId="0" fontId="1" fillId="3739" borderId="0" xfId="4" applyFill="1" applyAlignment="1">
      <alignment horizontal="center" vertical="center"/>
    </xf>
    <xf numFmtId="0" fontId="1" fillId="3740" borderId="0" xfId="4" applyFill="1" applyAlignment="1">
      <alignment horizontal="center" vertical="center"/>
    </xf>
    <xf numFmtId="0" fontId="1" fillId="3741" borderId="0" xfId="4" applyFill="1" applyAlignment="1">
      <alignment horizontal="center" vertical="center"/>
    </xf>
    <xf numFmtId="0" fontId="1" fillId="3742" borderId="0" xfId="4" applyFill="1" applyAlignment="1">
      <alignment horizontal="center" vertical="center"/>
    </xf>
    <xf numFmtId="0" fontId="1" fillId="3743" borderId="0" xfId="4" applyFill="1" applyAlignment="1">
      <alignment horizontal="center" vertical="center"/>
    </xf>
    <xf numFmtId="0" fontId="1" fillId="3744" borderId="0" xfId="4" applyFill="1" applyAlignment="1">
      <alignment horizontal="center" vertical="center"/>
    </xf>
    <xf numFmtId="0" fontId="1" fillId="3745" borderId="0" xfId="4" applyFill="1" applyAlignment="1">
      <alignment horizontal="center" vertical="center"/>
    </xf>
    <xf numFmtId="0" fontId="1" fillId="3746" borderId="0" xfId="4" applyFill="1" applyAlignment="1">
      <alignment horizontal="center" vertical="center"/>
    </xf>
    <xf numFmtId="0" fontId="1" fillId="3747" borderId="0" xfId="4" applyFill="1" applyAlignment="1">
      <alignment horizontal="center" vertical="center"/>
    </xf>
    <xf numFmtId="0" fontId="1" fillId="3748" borderId="0" xfId="4" applyFill="1" applyAlignment="1">
      <alignment horizontal="center" vertical="center"/>
    </xf>
    <xf numFmtId="0" fontId="1" fillId="3749" borderId="0" xfId="4" applyFill="1" applyAlignment="1">
      <alignment horizontal="center" vertical="center"/>
    </xf>
    <xf numFmtId="0" fontId="1" fillId="3750" borderId="0" xfId="4" applyFill="1" applyAlignment="1">
      <alignment horizontal="left" vertical="center"/>
    </xf>
    <xf numFmtId="0" fontId="1" fillId="3751" borderId="0" xfId="4" applyFill="1" applyAlignment="1">
      <alignment horizontal="left" vertical="center"/>
    </xf>
    <xf numFmtId="0" fontId="1" fillId="3752" borderId="0" xfId="4" applyFill="1" applyAlignment="1">
      <alignment horizontal="left" vertical="center"/>
    </xf>
    <xf numFmtId="0" fontId="1" fillId="3753" borderId="0" xfId="4" applyFill="1" applyAlignment="1">
      <alignment horizontal="left" vertical="center"/>
    </xf>
    <xf numFmtId="0" fontId="1" fillId="3754" borderId="0" xfId="4" applyFill="1" applyAlignment="1">
      <alignment horizontal="left" vertical="center"/>
    </xf>
    <xf numFmtId="0" fontId="1" fillId="3755" borderId="0" xfId="4" applyFill="1" applyAlignment="1">
      <alignment horizontal="left" vertical="center"/>
    </xf>
    <xf numFmtId="0" fontId="1" fillId="3756" borderId="0" xfId="4" applyFill="1" applyAlignment="1">
      <alignment horizontal="center" vertical="center"/>
    </xf>
    <xf numFmtId="0" fontId="1" fillId="85" borderId="0" xfId="4" applyFill="1" applyAlignment="1">
      <alignment horizontal="center" vertical="center"/>
    </xf>
    <xf numFmtId="0" fontId="1" fillId="3757" borderId="0" xfId="4" applyFill="1" applyAlignment="1">
      <alignment horizontal="center" vertical="center"/>
    </xf>
    <xf numFmtId="0" fontId="1" fillId="3758" borderId="0" xfId="4" applyFill="1" applyAlignment="1">
      <alignment horizontal="center" vertical="center"/>
    </xf>
    <xf numFmtId="0" fontId="1" fillId="3759" borderId="0" xfId="4" applyFill="1" applyAlignment="1">
      <alignment horizontal="center" vertical="center"/>
    </xf>
    <xf numFmtId="0" fontId="1" fillId="3760" borderId="0" xfId="4" applyFill="1" applyAlignment="1">
      <alignment horizontal="center" vertical="center"/>
    </xf>
    <xf numFmtId="0" fontId="1" fillId="3761" borderId="0" xfId="4" applyFill="1" applyAlignment="1">
      <alignment horizontal="center" vertical="center"/>
    </xf>
    <xf numFmtId="0" fontId="1" fillId="3762" borderId="0" xfId="4" applyFill="1" applyAlignment="1">
      <alignment horizontal="center" vertical="center"/>
    </xf>
    <xf numFmtId="0" fontId="1" fillId="3763" borderId="0" xfId="4" applyFill="1" applyAlignment="1">
      <alignment horizontal="left" vertical="center"/>
    </xf>
    <xf numFmtId="0" fontId="1" fillId="3764" borderId="0" xfId="4" applyFill="1" applyAlignment="1">
      <alignment horizontal="center" vertical="center"/>
    </xf>
    <xf numFmtId="0" fontId="1" fillId="3757" borderId="0" xfId="4" applyFill="1" applyAlignment="1">
      <alignment horizontal="left" vertical="center"/>
    </xf>
    <xf numFmtId="0" fontId="1" fillId="310" borderId="0" xfId="4" applyFill="1" applyAlignment="1">
      <alignment horizontal="center" vertical="center"/>
    </xf>
    <xf numFmtId="0" fontId="1" fillId="3765" borderId="0" xfId="4" applyFill="1" applyAlignment="1">
      <alignment horizontal="center" vertical="center"/>
    </xf>
    <xf numFmtId="0" fontId="1" fillId="73" borderId="0" xfId="4" applyFill="1" applyAlignment="1">
      <alignment horizontal="center" vertical="center"/>
    </xf>
    <xf numFmtId="0" fontId="1" fillId="3766" borderId="0" xfId="4" applyFill="1" applyAlignment="1">
      <alignment horizontal="center" vertical="center"/>
    </xf>
    <xf numFmtId="0" fontId="1" fillId="3767" borderId="0" xfId="4" applyFill="1" applyAlignment="1">
      <alignment horizontal="center" vertical="center"/>
    </xf>
    <xf numFmtId="0" fontId="1" fillId="3768" borderId="0" xfId="4" applyFill="1" applyAlignment="1">
      <alignment horizontal="center" vertical="center"/>
    </xf>
    <xf numFmtId="0" fontId="1" fillId="3769" borderId="0" xfId="4" applyFill="1" applyAlignment="1">
      <alignment horizontal="center" vertical="center"/>
    </xf>
    <xf numFmtId="0" fontId="1" fillId="3770" borderId="0" xfId="4" applyFill="1" applyAlignment="1">
      <alignment horizontal="center" vertical="center"/>
    </xf>
    <xf numFmtId="0" fontId="1" fillId="3771" borderId="0" xfId="4" applyFill="1" applyAlignment="1">
      <alignment horizontal="center" vertical="center"/>
    </xf>
    <xf numFmtId="0" fontId="1" fillId="2354" borderId="0" xfId="4" applyFill="1" applyAlignment="1">
      <alignment horizontal="center" vertical="center"/>
    </xf>
    <xf numFmtId="0" fontId="1" fillId="3772" borderId="0" xfId="4" applyFill="1" applyAlignment="1">
      <alignment horizontal="center" vertical="center"/>
    </xf>
    <xf numFmtId="0" fontId="1" fillId="3773" borderId="0" xfId="4" applyFill="1" applyAlignment="1">
      <alignment horizontal="left" vertical="center"/>
    </xf>
    <xf numFmtId="0" fontId="1" fillId="3774" borderId="0" xfId="4" applyFill="1" applyAlignment="1">
      <alignment horizontal="center" vertical="center"/>
    </xf>
    <xf numFmtId="0" fontId="1" fillId="3775" borderId="0" xfId="4" applyFill="1" applyAlignment="1">
      <alignment horizontal="center" vertical="center"/>
    </xf>
    <xf numFmtId="0" fontId="1" fillId="3776" borderId="0" xfId="4" applyFill="1" applyAlignment="1">
      <alignment horizontal="center" vertical="center"/>
    </xf>
    <xf numFmtId="0" fontId="1" fillId="3777" borderId="0" xfId="4" applyFill="1" applyAlignment="1">
      <alignment horizontal="center" vertical="center"/>
    </xf>
    <xf numFmtId="0" fontId="1" fillId="3778" borderId="0" xfId="4" applyFill="1" applyAlignment="1">
      <alignment horizontal="center" vertical="center"/>
    </xf>
    <xf numFmtId="0" fontId="1" fillId="3779" borderId="0" xfId="4" applyFill="1" applyAlignment="1">
      <alignment horizontal="center" vertical="center"/>
    </xf>
    <xf numFmtId="0" fontId="1" fillId="3780" borderId="0" xfId="4" applyFill="1" applyAlignment="1">
      <alignment horizontal="center" vertical="center"/>
    </xf>
    <xf numFmtId="0" fontId="1" fillId="3781" borderId="0" xfId="4" applyFill="1" applyAlignment="1">
      <alignment horizontal="center" vertical="center"/>
    </xf>
    <xf numFmtId="0" fontId="1" fillId="3782" borderId="0" xfId="4" applyFill="1" applyAlignment="1">
      <alignment horizontal="center" vertical="center"/>
    </xf>
    <xf numFmtId="0" fontId="1" fillId="3783" borderId="0" xfId="4" applyFill="1" applyAlignment="1">
      <alignment horizontal="center" vertical="center"/>
    </xf>
    <xf numFmtId="0" fontId="1" fillId="3784" borderId="0" xfId="4" applyFill="1" applyAlignment="1">
      <alignment horizontal="center" vertical="center"/>
    </xf>
    <xf numFmtId="0" fontId="1" fillId="3785" borderId="0" xfId="4" applyFill="1" applyAlignment="1">
      <alignment horizontal="center" vertical="center"/>
    </xf>
    <xf numFmtId="0" fontId="1" fillId="3786" borderId="0" xfId="4" applyFill="1" applyAlignment="1">
      <alignment horizontal="left" vertical="center"/>
    </xf>
    <xf numFmtId="0" fontId="1" fillId="3787" borderId="0" xfId="4" applyFill="1" applyAlignment="1">
      <alignment horizontal="left" vertical="center"/>
    </xf>
    <xf numFmtId="0" fontId="1" fillId="3788" borderId="0" xfId="4" applyFill="1" applyAlignment="1">
      <alignment horizontal="left" vertical="center"/>
    </xf>
    <xf numFmtId="0" fontId="1" fillId="3789" borderId="0" xfId="4" applyFill="1" applyAlignment="1">
      <alignment horizontal="left" vertical="center"/>
    </xf>
    <xf numFmtId="0" fontId="1" fillId="3790" borderId="0" xfId="4" applyFill="1" applyAlignment="1">
      <alignment horizontal="left" vertical="center"/>
    </xf>
    <xf numFmtId="0" fontId="1" fillId="3791" borderId="0" xfId="4" applyFill="1" applyAlignment="1">
      <alignment horizontal="left" vertical="center"/>
    </xf>
    <xf numFmtId="0" fontId="1" fillId="1911" borderId="0" xfId="4" applyFill="1" applyAlignment="1">
      <alignment horizontal="left" vertical="center"/>
    </xf>
    <xf numFmtId="0" fontId="1" fillId="3792" borderId="0" xfId="4" applyFill="1" applyAlignment="1">
      <alignment horizontal="center" vertical="center"/>
    </xf>
    <xf numFmtId="0" fontId="1" fillId="3793" borderId="0" xfId="4" applyFill="1" applyAlignment="1">
      <alignment horizontal="center" vertical="center"/>
    </xf>
    <xf numFmtId="0" fontId="1" fillId="3794" borderId="0" xfId="4" applyFill="1" applyAlignment="1">
      <alignment horizontal="center" vertical="center"/>
    </xf>
    <xf numFmtId="0" fontId="1" fillId="3795" borderId="0" xfId="4" applyFill="1" applyAlignment="1">
      <alignment horizontal="center" vertical="center"/>
    </xf>
    <xf numFmtId="0" fontId="1" fillId="3796" borderId="0" xfId="4" applyFill="1" applyAlignment="1">
      <alignment horizontal="center" vertical="center"/>
    </xf>
    <xf numFmtId="0" fontId="1" fillId="3797" borderId="0" xfId="4" applyFill="1" applyAlignment="1">
      <alignment horizontal="center" vertical="center"/>
    </xf>
    <xf numFmtId="0" fontId="1" fillId="3798" borderId="0" xfId="4" applyFill="1" applyAlignment="1">
      <alignment horizontal="center" vertical="center"/>
    </xf>
    <xf numFmtId="0" fontId="1" fillId="3799" borderId="0" xfId="4" applyFill="1" applyAlignment="1">
      <alignment horizontal="center" vertical="center"/>
    </xf>
    <xf numFmtId="0" fontId="1" fillId="3167" borderId="0" xfId="4" applyFill="1" applyAlignment="1">
      <alignment horizontal="left" vertical="center"/>
    </xf>
    <xf numFmtId="0" fontId="1" fillId="3800" borderId="0" xfId="4" applyFill="1" applyAlignment="1">
      <alignment horizontal="center" vertical="center"/>
    </xf>
    <xf numFmtId="0" fontId="1" fillId="3801" borderId="0" xfId="4" applyFill="1" applyAlignment="1">
      <alignment horizontal="center" vertical="center"/>
    </xf>
    <xf numFmtId="0" fontId="1" fillId="193" borderId="0" xfId="4" applyFill="1" applyAlignment="1">
      <alignment horizontal="left" vertical="center"/>
    </xf>
    <xf numFmtId="0" fontId="1" fillId="3802" borderId="0" xfId="4" applyFill="1" applyAlignment="1">
      <alignment horizontal="center" vertical="center"/>
    </xf>
    <xf numFmtId="0" fontId="1" fillId="3803" borderId="0" xfId="4" applyFill="1" applyAlignment="1">
      <alignment horizontal="center" vertical="center"/>
    </xf>
    <xf numFmtId="0" fontId="1" fillId="3804" borderId="0" xfId="4" applyFill="1" applyAlignment="1">
      <alignment horizontal="center" vertical="center"/>
    </xf>
    <xf numFmtId="0" fontId="1" fillId="3805" borderId="0" xfId="4" applyFill="1" applyAlignment="1">
      <alignment horizontal="center" vertical="center"/>
    </xf>
    <xf numFmtId="0" fontId="1" fillId="3806" borderId="0" xfId="4" applyFill="1" applyAlignment="1">
      <alignment horizontal="center" vertical="center"/>
    </xf>
    <xf numFmtId="0" fontId="1" fillId="3807" borderId="0" xfId="4" applyFill="1" applyAlignment="1">
      <alignment horizontal="center" vertical="center"/>
    </xf>
    <xf numFmtId="0" fontId="1" fillId="3808" borderId="0" xfId="4" applyFill="1" applyAlignment="1">
      <alignment horizontal="center" vertical="center"/>
    </xf>
    <xf numFmtId="0" fontId="1" fillId="3809" borderId="0" xfId="4" applyFill="1" applyAlignment="1">
      <alignment horizontal="center" vertical="center"/>
    </xf>
    <xf numFmtId="0" fontId="1" fillId="3810" borderId="0" xfId="4" applyFill="1" applyAlignment="1">
      <alignment horizontal="center" vertical="center"/>
    </xf>
    <xf numFmtId="0" fontId="1" fillId="49" borderId="0" xfId="4" applyFill="1" applyAlignment="1">
      <alignment horizontal="center" vertical="center"/>
    </xf>
    <xf numFmtId="0" fontId="1" fillId="3811" borderId="0" xfId="4" applyFill="1" applyAlignment="1">
      <alignment horizontal="center" vertical="center"/>
    </xf>
    <xf numFmtId="0" fontId="1" fillId="3812" borderId="0" xfId="4" applyFill="1" applyAlignment="1">
      <alignment horizontal="center" vertical="center"/>
    </xf>
    <xf numFmtId="0" fontId="1" fillId="3813" borderId="0" xfId="4" applyFill="1" applyAlignment="1">
      <alignment horizontal="left" vertical="center"/>
    </xf>
    <xf numFmtId="0" fontId="1" fillId="3814" borderId="0" xfId="4" applyFill="1" applyAlignment="1">
      <alignment horizontal="center" vertical="center"/>
    </xf>
    <xf numFmtId="0" fontId="1" fillId="3815" borderId="0" xfId="4" applyFill="1" applyAlignment="1">
      <alignment horizontal="center" vertical="center"/>
    </xf>
    <xf numFmtId="0" fontId="1" fillId="3816" borderId="0" xfId="4" applyFill="1" applyAlignment="1">
      <alignment horizontal="center" vertical="center"/>
    </xf>
    <xf numFmtId="0" fontId="1" fillId="3817" borderId="0" xfId="4" applyFill="1" applyAlignment="1">
      <alignment horizontal="center" vertical="center"/>
    </xf>
    <xf numFmtId="0" fontId="1" fillId="3818" borderId="0" xfId="4" applyFill="1" applyAlignment="1">
      <alignment horizontal="center" vertical="center"/>
    </xf>
    <xf numFmtId="0" fontId="1" fillId="3819" borderId="0" xfId="4" applyFill="1" applyAlignment="1">
      <alignment horizontal="center" vertical="center"/>
    </xf>
    <xf numFmtId="0" fontId="1" fillId="3820" borderId="0" xfId="4" applyFill="1" applyAlignment="1">
      <alignment horizontal="center" vertical="center"/>
    </xf>
    <xf numFmtId="0" fontId="1" fillId="3821" borderId="0" xfId="4" applyFill="1" applyAlignment="1">
      <alignment horizontal="center" vertical="center"/>
    </xf>
    <xf numFmtId="0" fontId="1" fillId="3822" borderId="0" xfId="4" applyFill="1" applyAlignment="1">
      <alignment horizontal="center" vertical="center"/>
    </xf>
    <xf numFmtId="0" fontId="1" fillId="3823" borderId="0" xfId="4" applyFill="1" applyAlignment="1">
      <alignment horizontal="center" vertical="center"/>
    </xf>
    <xf numFmtId="0" fontId="1" fillId="3824" borderId="0" xfId="4" applyFill="1" applyAlignment="1">
      <alignment horizontal="center" vertical="center"/>
    </xf>
    <xf numFmtId="0" fontId="1" fillId="3825" borderId="0" xfId="4" applyFill="1" applyAlignment="1">
      <alignment horizontal="center" vertical="center"/>
    </xf>
    <xf numFmtId="0" fontId="1" fillId="3826" borderId="0" xfId="4" applyFill="1" applyAlignment="1">
      <alignment horizontal="center" vertical="center"/>
    </xf>
    <xf numFmtId="0" fontId="1" fillId="3827" borderId="0" xfId="4" applyFill="1" applyAlignment="1">
      <alignment horizontal="left" vertical="center"/>
    </xf>
    <xf numFmtId="0" fontId="1" fillId="3828" borderId="0" xfId="4" applyFill="1" applyAlignment="1">
      <alignment horizontal="left" vertical="center"/>
    </xf>
    <xf numFmtId="0" fontId="1" fillId="3829" borderId="0" xfId="4" applyFill="1" applyAlignment="1">
      <alignment horizontal="left" vertical="center"/>
    </xf>
    <xf numFmtId="0" fontId="1" fillId="3830" borderId="0" xfId="4" applyFill="1" applyAlignment="1">
      <alignment horizontal="left" vertical="center"/>
    </xf>
    <xf numFmtId="0" fontId="1" fillId="3831" borderId="0" xfId="4" applyFill="1" applyAlignment="1">
      <alignment horizontal="left" vertical="center"/>
    </xf>
    <xf numFmtId="0" fontId="1" fillId="3832" borderId="0" xfId="4" applyFill="1" applyAlignment="1">
      <alignment horizontal="left" vertical="center"/>
    </xf>
    <xf numFmtId="0" fontId="1" fillId="3833" borderId="0" xfId="4" applyFill="1" applyAlignment="1">
      <alignment horizontal="left" vertical="center"/>
    </xf>
    <xf numFmtId="0" fontId="1" fillId="3834" borderId="0" xfId="4" applyFill="1" applyAlignment="1">
      <alignment horizontal="center" vertical="center"/>
    </xf>
    <xf numFmtId="0" fontId="1" fillId="3835" borderId="0" xfId="4" applyFill="1" applyAlignment="1">
      <alignment horizontal="center" vertical="center"/>
    </xf>
    <xf numFmtId="0" fontId="1" fillId="92" borderId="0" xfId="4" applyFill="1" applyAlignment="1">
      <alignment horizontal="center" vertical="center"/>
    </xf>
    <xf numFmtId="0" fontId="1" fillId="50" borderId="0" xfId="4" applyFill="1" applyAlignment="1">
      <alignment horizontal="center" vertical="center"/>
    </xf>
    <xf numFmtId="0" fontId="1" fillId="3836" borderId="0" xfId="4" applyFill="1" applyAlignment="1">
      <alignment horizontal="center" vertical="center"/>
    </xf>
    <xf numFmtId="0" fontId="1" fillId="3837" borderId="0" xfId="4" applyFill="1" applyAlignment="1">
      <alignment horizontal="center" vertical="center"/>
    </xf>
    <xf numFmtId="0" fontId="1" fillId="3838" borderId="0" xfId="4" applyFill="1" applyAlignment="1">
      <alignment horizontal="center" vertical="center"/>
    </xf>
    <xf numFmtId="0" fontId="1" fillId="3839" borderId="0" xfId="4" applyFill="1" applyAlignment="1">
      <alignment horizontal="center" vertical="center"/>
    </xf>
    <xf numFmtId="0" fontId="1" fillId="3840" borderId="0" xfId="4" applyFill="1" applyAlignment="1">
      <alignment horizontal="left" vertical="center"/>
    </xf>
    <xf numFmtId="0" fontId="1" fillId="3841" borderId="0" xfId="4" applyFill="1" applyAlignment="1">
      <alignment horizontal="center" vertical="center"/>
    </xf>
    <xf numFmtId="0" fontId="1" fillId="112" borderId="0" xfId="4" applyFill="1" applyAlignment="1">
      <alignment horizontal="left" vertical="center"/>
    </xf>
    <xf numFmtId="0" fontId="1" fillId="3842" borderId="0" xfId="4" applyFill="1" applyAlignment="1">
      <alignment horizontal="center" vertical="center"/>
    </xf>
    <xf numFmtId="0" fontId="1" fillId="3843" borderId="0" xfId="4" applyFill="1" applyAlignment="1">
      <alignment horizontal="center" vertical="center"/>
    </xf>
    <xf numFmtId="0" fontId="1" fillId="3844" borderId="0" xfId="4" applyFill="1" applyAlignment="1">
      <alignment horizontal="center" vertical="center"/>
    </xf>
    <xf numFmtId="0" fontId="1" fillId="3845" borderId="0" xfId="4" applyFill="1" applyAlignment="1">
      <alignment horizontal="center" vertical="center"/>
    </xf>
    <xf numFmtId="0" fontId="1" fillId="3846" borderId="0" xfId="4" applyFill="1" applyAlignment="1">
      <alignment horizontal="center" vertical="center"/>
    </xf>
    <xf numFmtId="0" fontId="1" fillId="3847" borderId="0" xfId="4" applyFill="1" applyAlignment="1">
      <alignment horizontal="center" vertical="center"/>
    </xf>
    <xf numFmtId="0" fontId="1" fillId="3848" borderId="0" xfId="4" applyFill="1" applyAlignment="1">
      <alignment horizontal="center" vertical="center"/>
    </xf>
    <xf numFmtId="0" fontId="1" fillId="3849" borderId="0" xfId="4" applyFill="1" applyAlignment="1">
      <alignment horizontal="center" vertical="center"/>
    </xf>
    <xf numFmtId="0" fontId="1" fillId="3850" borderId="0" xfId="4" applyFill="1" applyAlignment="1">
      <alignment horizontal="center" vertical="center"/>
    </xf>
    <xf numFmtId="0" fontId="1" fillId="3851" borderId="0" xfId="4" applyFill="1" applyAlignment="1">
      <alignment horizontal="left" vertical="center"/>
    </xf>
    <xf numFmtId="0" fontId="1" fillId="3852" borderId="0" xfId="4" applyFill="1" applyAlignment="1">
      <alignment horizontal="center" vertical="center"/>
    </xf>
    <xf numFmtId="0" fontId="1" fillId="3853" borderId="0" xfId="4" applyFill="1" applyAlignment="1">
      <alignment horizontal="center" vertical="center"/>
    </xf>
    <xf numFmtId="0" fontId="1" fillId="3854" borderId="0" xfId="4" applyFill="1" applyAlignment="1">
      <alignment horizontal="center" vertical="center"/>
    </xf>
    <xf numFmtId="0" fontId="1" fillId="3855" borderId="0" xfId="4" applyFill="1" applyAlignment="1">
      <alignment horizontal="center" vertical="center"/>
    </xf>
    <xf numFmtId="0" fontId="1" fillId="3856" borderId="0" xfId="4" applyFill="1" applyAlignment="1">
      <alignment horizontal="center" vertical="center"/>
    </xf>
    <xf numFmtId="0" fontId="1" fillId="3857" borderId="0" xfId="4" applyFill="1" applyAlignment="1">
      <alignment horizontal="center" vertical="center"/>
    </xf>
    <xf numFmtId="0" fontId="1" fillId="3858" borderId="0" xfId="4" applyFill="1" applyAlignment="1">
      <alignment horizontal="center" vertical="center"/>
    </xf>
    <xf numFmtId="0" fontId="1" fillId="3859" borderId="0" xfId="4" applyFill="1" applyAlignment="1">
      <alignment horizontal="center" vertical="center"/>
    </xf>
    <xf numFmtId="0" fontId="1" fillId="3860" borderId="0" xfId="4" applyFill="1" applyAlignment="1">
      <alignment horizontal="center" vertical="center"/>
    </xf>
    <xf numFmtId="0" fontId="1" fillId="3861" borderId="0" xfId="4" applyFill="1" applyAlignment="1">
      <alignment horizontal="center" vertical="center"/>
    </xf>
    <xf numFmtId="0" fontId="1" fillId="3862" borderId="0" xfId="4" applyFill="1" applyAlignment="1">
      <alignment horizontal="center" vertical="center"/>
    </xf>
    <xf numFmtId="0" fontId="1" fillId="3863" borderId="0" xfId="4" applyFill="1" applyAlignment="1">
      <alignment horizontal="center" vertical="center"/>
    </xf>
    <xf numFmtId="0" fontId="1" fillId="3864" borderId="0" xfId="4" applyFill="1" applyAlignment="1">
      <alignment horizontal="center" vertical="center"/>
    </xf>
    <xf numFmtId="0" fontId="1" fillId="3865" borderId="0" xfId="4" applyFill="1" applyAlignment="1">
      <alignment horizontal="left" vertical="center"/>
    </xf>
    <xf numFmtId="0" fontId="1" fillId="3866" borderId="0" xfId="4" applyFill="1" applyAlignment="1">
      <alignment horizontal="left" vertical="center"/>
    </xf>
    <xf numFmtId="0" fontId="1" fillId="3867" borderId="0" xfId="4" applyFill="1" applyAlignment="1">
      <alignment horizontal="left" vertical="center"/>
    </xf>
    <xf numFmtId="0" fontId="1" fillId="3868" borderId="0" xfId="4" applyFill="1" applyAlignment="1">
      <alignment horizontal="left" vertical="center"/>
    </xf>
    <xf numFmtId="0" fontId="1" fillId="3869" borderId="0" xfId="4" applyFill="1" applyAlignment="1">
      <alignment horizontal="left" vertical="center"/>
    </xf>
    <xf numFmtId="0" fontId="1" fillId="3870" borderId="0" xfId="4" applyFill="1" applyAlignment="1">
      <alignment horizontal="left" vertical="center"/>
    </xf>
    <xf numFmtId="0" fontId="1" fillId="3871" borderId="0" xfId="4" applyFill="1" applyAlignment="1">
      <alignment horizontal="left" vertical="center"/>
    </xf>
    <xf numFmtId="0" fontId="1" fillId="3872" borderId="0" xfId="4" applyFill="1" applyAlignment="1">
      <alignment horizontal="center" vertical="center"/>
    </xf>
    <xf numFmtId="0" fontId="1" fillId="3873" borderId="0" xfId="4" applyFill="1" applyAlignment="1">
      <alignment horizontal="center" vertical="center"/>
    </xf>
    <xf numFmtId="0" fontId="1" fillId="3205" borderId="0" xfId="4" applyFill="1" applyAlignment="1">
      <alignment horizontal="center" vertical="center"/>
    </xf>
    <xf numFmtId="0" fontId="1" fillId="3874" borderId="0" xfId="4" applyFill="1" applyAlignment="1">
      <alignment horizontal="center" vertical="center"/>
    </xf>
    <xf numFmtId="0" fontId="1" fillId="3875" borderId="0" xfId="4" applyFill="1" applyAlignment="1">
      <alignment horizontal="center" vertical="center"/>
    </xf>
    <xf numFmtId="0" fontId="1" fillId="3876" borderId="0" xfId="4" applyFill="1" applyAlignment="1">
      <alignment horizontal="center" vertical="center"/>
    </xf>
    <xf numFmtId="0" fontId="1" fillId="3877" borderId="0" xfId="4" applyFill="1" applyAlignment="1">
      <alignment horizontal="center" vertical="center"/>
    </xf>
    <xf numFmtId="0" fontId="1" fillId="3878" borderId="0" xfId="4" applyFill="1" applyAlignment="1">
      <alignment horizontal="center" vertical="center"/>
    </xf>
    <xf numFmtId="0" fontId="1" fillId="3879" borderId="0" xfId="4" applyFill="1" applyAlignment="1">
      <alignment horizontal="center" vertical="center"/>
    </xf>
    <xf numFmtId="0" fontId="1" fillId="3880" borderId="0" xfId="4" applyFill="1" applyAlignment="1">
      <alignment horizontal="center" vertical="center"/>
    </xf>
    <xf numFmtId="0" fontId="1" fillId="3881" borderId="0" xfId="4" applyFill="1" applyAlignment="1">
      <alignment horizontal="center" vertical="center"/>
    </xf>
    <xf numFmtId="0" fontId="1" fillId="3882" borderId="0" xfId="4" applyFill="1" applyAlignment="1">
      <alignment horizontal="center" vertical="center"/>
    </xf>
    <xf numFmtId="0" fontId="1" fillId="3883" borderId="0" xfId="4" applyFill="1" applyAlignment="1">
      <alignment horizontal="center" vertical="center"/>
    </xf>
    <xf numFmtId="0" fontId="1" fillId="3884" borderId="0" xfId="4" applyFill="1" applyAlignment="1">
      <alignment horizontal="center" vertical="center"/>
    </xf>
    <xf numFmtId="0" fontId="1" fillId="3885" borderId="0" xfId="4" applyFill="1" applyAlignment="1">
      <alignment horizontal="center" vertical="center"/>
    </xf>
    <xf numFmtId="0" fontId="1" fillId="3886" borderId="0" xfId="4" applyFill="1" applyAlignment="1">
      <alignment horizontal="left" vertical="center"/>
    </xf>
    <xf numFmtId="0" fontId="1" fillId="3887" borderId="0" xfId="4" applyFill="1" applyAlignment="1">
      <alignment horizontal="center" vertical="center"/>
    </xf>
    <xf numFmtId="0" fontId="1" fillId="3888" borderId="0" xfId="4" applyFill="1" applyAlignment="1">
      <alignment horizontal="center" vertical="center"/>
    </xf>
    <xf numFmtId="0" fontId="1" fillId="3889" borderId="0" xfId="4" applyFill="1" applyAlignment="1">
      <alignment horizontal="center" vertical="center"/>
    </xf>
    <xf numFmtId="0" fontId="1" fillId="3890" borderId="0" xfId="4" applyFill="1" applyAlignment="1">
      <alignment horizontal="center" vertical="center"/>
    </xf>
    <xf numFmtId="0" fontId="1" fillId="3891" borderId="0" xfId="4" applyFill="1" applyAlignment="1">
      <alignment horizontal="center" vertical="center"/>
    </xf>
    <xf numFmtId="0" fontId="1" fillId="3892" borderId="0" xfId="4" applyFill="1" applyAlignment="1">
      <alignment horizontal="center" vertical="center"/>
    </xf>
    <xf numFmtId="0" fontId="1" fillId="3893" borderId="0" xfId="4" applyFill="1" applyAlignment="1">
      <alignment horizontal="center" vertical="center"/>
    </xf>
    <xf numFmtId="0" fontId="1" fillId="3894" borderId="0" xfId="4" applyFill="1" applyAlignment="1">
      <alignment horizontal="center" vertical="center"/>
    </xf>
    <xf numFmtId="0" fontId="1" fillId="3895" borderId="0" xfId="4" applyFill="1" applyAlignment="1">
      <alignment horizontal="center" vertical="center"/>
    </xf>
    <xf numFmtId="0" fontId="1" fillId="3896" borderId="0" xfId="4" applyFill="1" applyAlignment="1">
      <alignment horizontal="center" vertical="center"/>
    </xf>
    <xf numFmtId="0" fontId="1" fillId="3897" borderId="0" xfId="4" applyFill="1" applyAlignment="1">
      <alignment horizontal="center" vertical="center"/>
    </xf>
    <xf numFmtId="0" fontId="1" fillId="3899" borderId="0" xfId="4" applyFill="1" applyAlignment="1">
      <alignment horizontal="center" vertical="center"/>
    </xf>
    <xf numFmtId="0" fontId="1" fillId="3900" borderId="0" xfId="4" applyFill="1" applyAlignment="1">
      <alignment horizontal="center" vertical="center"/>
    </xf>
    <xf numFmtId="0" fontId="1" fillId="3901" borderId="0" xfId="4" applyFill="1" applyAlignment="1">
      <alignment horizontal="center" vertical="center"/>
    </xf>
    <xf numFmtId="0" fontId="1" fillId="3902" borderId="0" xfId="4" applyFill="1" applyAlignment="1">
      <alignment horizontal="center" vertical="center"/>
    </xf>
    <xf numFmtId="0" fontId="1" fillId="3903" borderId="0" xfId="4" applyFill="1" applyAlignment="1">
      <alignment horizontal="center" vertical="center"/>
    </xf>
    <xf numFmtId="0" fontId="1" fillId="3904" borderId="0" xfId="4" applyFill="1" applyAlignment="1">
      <alignment horizontal="center" vertical="center"/>
    </xf>
    <xf numFmtId="0" fontId="1" fillId="3905" borderId="0" xfId="4" applyFill="1" applyAlignment="1">
      <alignment horizontal="center" vertical="center"/>
    </xf>
    <xf numFmtId="0" fontId="1" fillId="3906" borderId="0" xfId="4" applyFill="1" applyAlignment="1">
      <alignment horizontal="center" vertical="center"/>
    </xf>
    <xf numFmtId="0" fontId="1" fillId="3117" borderId="0" xfId="4" applyFill="1" applyAlignment="1">
      <alignment horizontal="center" vertical="center"/>
    </xf>
    <xf numFmtId="0" fontId="1" fillId="3907" borderId="0" xfId="4" applyFill="1" applyAlignment="1">
      <alignment horizontal="center" vertical="center"/>
    </xf>
    <xf numFmtId="0" fontId="1" fillId="3908" borderId="0" xfId="4" applyFill="1" applyAlignment="1">
      <alignment horizontal="center" vertical="center"/>
    </xf>
    <xf numFmtId="0" fontId="1" fillId="3909" borderId="0" xfId="4" applyFill="1" applyAlignment="1">
      <alignment horizontal="center" vertical="center"/>
    </xf>
    <xf numFmtId="0" fontId="1" fillId="3910" borderId="0" xfId="4" applyFill="1" applyAlignment="1">
      <alignment horizontal="center" vertical="center"/>
    </xf>
    <xf numFmtId="0" fontId="1" fillId="3911" borderId="0" xfId="4" applyFill="1" applyAlignment="1">
      <alignment horizontal="center" vertical="center"/>
    </xf>
    <xf numFmtId="0" fontId="1" fillId="3912" borderId="0" xfId="4" applyFill="1" applyAlignment="1">
      <alignment horizontal="center" vertical="center"/>
    </xf>
    <xf numFmtId="0" fontId="1" fillId="3913" borderId="0" xfId="4" applyFill="1" applyAlignment="1">
      <alignment horizontal="left" vertical="center"/>
    </xf>
    <xf numFmtId="0" fontId="1" fillId="3159" borderId="0" xfId="4" applyFill="1" applyAlignment="1">
      <alignment horizontal="center" vertical="center"/>
    </xf>
    <xf numFmtId="0" fontId="1" fillId="208" borderId="0" xfId="4" applyFill="1" applyAlignment="1">
      <alignment horizontal="center" vertical="center"/>
    </xf>
    <xf numFmtId="0" fontId="1" fillId="3914" borderId="0" xfId="4" applyFill="1" applyAlignment="1">
      <alignment horizontal="center" vertical="center"/>
    </xf>
    <xf numFmtId="0" fontId="1" fillId="3915" borderId="0" xfId="4" applyFill="1" applyAlignment="1">
      <alignment horizontal="center" vertical="center"/>
    </xf>
    <xf numFmtId="0" fontId="1" fillId="3916" borderId="0" xfId="4" applyFill="1" applyAlignment="1">
      <alignment horizontal="center" vertical="center"/>
    </xf>
    <xf numFmtId="0" fontId="1" fillId="3917" borderId="0" xfId="4" applyFill="1" applyAlignment="1">
      <alignment horizontal="center" vertical="center"/>
    </xf>
    <xf numFmtId="0" fontId="1" fillId="3918" borderId="0" xfId="4" applyFill="1" applyAlignment="1">
      <alignment horizontal="center" vertical="center"/>
    </xf>
    <xf numFmtId="0" fontId="1" fillId="3919" borderId="0" xfId="4" applyFill="1" applyAlignment="1">
      <alignment horizontal="center" vertical="center"/>
    </xf>
    <xf numFmtId="0" fontId="1" fillId="3920" borderId="0" xfId="4" applyFill="1" applyAlignment="1">
      <alignment horizontal="center" vertical="center"/>
    </xf>
    <xf numFmtId="0" fontId="1" fillId="3921" borderId="0" xfId="4" applyFill="1" applyAlignment="1">
      <alignment horizontal="left" vertical="center"/>
    </xf>
    <xf numFmtId="0" fontId="1" fillId="3922" borderId="0" xfId="4" applyFill="1" applyAlignment="1">
      <alignment horizontal="center" vertical="center"/>
    </xf>
    <xf numFmtId="0" fontId="1" fillId="3923" borderId="0" xfId="4" applyFill="1" applyAlignment="1">
      <alignment horizontal="center" vertical="center"/>
    </xf>
    <xf numFmtId="0" fontId="1" fillId="3924" borderId="0" xfId="4" applyFill="1" applyAlignment="1">
      <alignment horizontal="center" vertical="center"/>
    </xf>
    <xf numFmtId="0" fontId="1" fillId="3925" borderId="0" xfId="4" applyFill="1" applyAlignment="1">
      <alignment horizontal="center" vertical="center"/>
    </xf>
    <xf numFmtId="0" fontId="1" fillId="3926" borderId="0" xfId="4" applyFill="1" applyAlignment="1">
      <alignment horizontal="center" vertical="center"/>
    </xf>
    <xf numFmtId="0" fontId="1" fillId="3927" borderId="0" xfId="4" applyFill="1" applyAlignment="1">
      <alignment horizontal="center" vertical="center"/>
    </xf>
    <xf numFmtId="0" fontId="1" fillId="3928" borderId="0" xfId="4" applyFill="1" applyAlignment="1">
      <alignment horizontal="center" vertical="center"/>
    </xf>
    <xf numFmtId="0" fontId="1" fillId="3929" borderId="0" xfId="4" applyFill="1" applyAlignment="1">
      <alignment horizontal="center" vertical="center"/>
    </xf>
    <xf numFmtId="0" fontId="1" fillId="3930" borderId="0" xfId="4" applyFill="1" applyAlignment="1">
      <alignment horizontal="center" vertical="center"/>
    </xf>
    <xf numFmtId="0" fontId="1" fillId="3931" borderId="0" xfId="4" applyFill="1" applyAlignment="1">
      <alignment horizontal="center" vertical="center"/>
    </xf>
    <xf numFmtId="0" fontId="1" fillId="3932" borderId="0" xfId="4" applyFill="1" applyAlignment="1">
      <alignment horizontal="center" vertical="center"/>
    </xf>
    <xf numFmtId="0" fontId="1" fillId="3933" borderId="0" xfId="4" applyFill="1" applyAlignment="1">
      <alignment horizontal="center" vertical="center"/>
    </xf>
    <xf numFmtId="0" fontId="1" fillId="3934" borderId="0" xfId="4" applyFill="1" applyAlignment="1">
      <alignment horizontal="center" vertical="center"/>
    </xf>
    <xf numFmtId="0" fontId="1" fillId="3935" borderId="0" xfId="4" applyFill="1" applyAlignment="1">
      <alignment horizontal="center" vertical="center"/>
    </xf>
    <xf numFmtId="0" fontId="1" fillId="3936" borderId="0" xfId="4" applyFill="1" applyAlignment="1">
      <alignment horizontal="center" vertical="center"/>
    </xf>
    <xf numFmtId="0" fontId="1" fillId="3937" borderId="0" xfId="4" applyFill="1" applyAlignment="1">
      <alignment horizontal="center" vertical="center"/>
    </xf>
    <xf numFmtId="0" fontId="1" fillId="3938" borderId="0" xfId="4" applyFill="1" applyAlignment="1">
      <alignment horizontal="center" vertical="center"/>
    </xf>
    <xf numFmtId="0" fontId="1" fillId="3939" borderId="0" xfId="4" applyFill="1" applyAlignment="1">
      <alignment horizontal="center" vertical="center"/>
    </xf>
    <xf numFmtId="0" fontId="1" fillId="3940" borderId="0" xfId="4" applyFill="1" applyAlignment="1">
      <alignment horizontal="center" vertical="center"/>
    </xf>
    <xf numFmtId="0" fontId="1" fillId="3941" borderId="0" xfId="4" applyFill="1" applyAlignment="1">
      <alignment horizontal="center" vertical="center"/>
    </xf>
    <xf numFmtId="0" fontId="1" fillId="3942" borderId="0" xfId="4" applyFill="1" applyAlignment="1">
      <alignment horizontal="center" vertical="center"/>
    </xf>
    <xf numFmtId="0" fontId="1" fillId="3719" borderId="0" xfId="4" applyFill="1" applyAlignment="1">
      <alignment horizontal="center" vertical="center"/>
    </xf>
    <xf numFmtId="0" fontId="1" fillId="3262" borderId="0" xfId="4" applyFill="1" applyAlignment="1">
      <alignment horizontal="center" vertical="center"/>
    </xf>
    <xf numFmtId="0" fontId="1" fillId="3943" borderId="0" xfId="4" applyFill="1" applyAlignment="1">
      <alignment horizontal="center" vertical="center"/>
    </xf>
    <xf numFmtId="0" fontId="1" fillId="3944" borderId="0" xfId="4" applyFill="1" applyAlignment="1">
      <alignment horizontal="center" vertical="center"/>
    </xf>
    <xf numFmtId="0" fontId="1" fillId="3945" borderId="0" xfId="4" applyFill="1" applyAlignment="1">
      <alignment horizontal="center" vertical="center"/>
    </xf>
    <xf numFmtId="0" fontId="1" fillId="3946" borderId="0" xfId="4" applyFill="1" applyAlignment="1">
      <alignment horizontal="center" vertical="center"/>
    </xf>
    <xf numFmtId="0" fontId="1" fillId="251" borderId="0" xfId="4" applyFill="1" applyAlignment="1">
      <alignment horizontal="left" vertical="center"/>
    </xf>
    <xf numFmtId="0" fontId="1" fillId="3947" borderId="0" xfId="4" applyFill="1" applyAlignment="1">
      <alignment horizontal="center" vertical="center"/>
    </xf>
    <xf numFmtId="0" fontId="1" fillId="3948" borderId="0" xfId="4" applyFill="1" applyAlignment="1">
      <alignment horizontal="center" vertical="center"/>
    </xf>
    <xf numFmtId="0" fontId="1" fillId="137" borderId="0" xfId="4" applyFill="1" applyAlignment="1">
      <alignment horizontal="left" vertical="center"/>
    </xf>
    <xf numFmtId="0" fontId="1" fillId="18" borderId="0" xfId="4" applyFill="1" applyAlignment="1">
      <alignment horizontal="center" vertical="center"/>
    </xf>
    <xf numFmtId="0" fontId="1" fillId="3949" borderId="0" xfId="4" applyFill="1" applyAlignment="1">
      <alignment horizontal="center" vertical="center"/>
    </xf>
    <xf numFmtId="0" fontId="1" fillId="3950" borderId="0" xfId="4" applyFill="1" applyAlignment="1">
      <alignment horizontal="center" vertical="center"/>
    </xf>
    <xf numFmtId="0" fontId="1" fillId="3951" borderId="0" xfId="4" applyFill="1" applyAlignment="1">
      <alignment horizontal="center" vertical="center"/>
    </xf>
    <xf numFmtId="0" fontId="1" fillId="3952" borderId="0" xfId="4" applyFill="1" applyAlignment="1">
      <alignment horizontal="center" vertical="center"/>
    </xf>
    <xf numFmtId="0" fontId="1" fillId="3953" borderId="0" xfId="4" applyFill="1" applyAlignment="1">
      <alignment horizontal="center" vertical="center"/>
    </xf>
    <xf numFmtId="0" fontId="1" fillId="3954" borderId="0" xfId="4" applyFill="1" applyAlignment="1">
      <alignment horizontal="center" vertical="center"/>
    </xf>
    <xf numFmtId="0" fontId="1" fillId="3955" borderId="0" xfId="4" applyFill="1" applyAlignment="1">
      <alignment horizontal="center" vertical="center"/>
    </xf>
    <xf numFmtId="0" fontId="1" fillId="3956" borderId="0" xfId="4" applyFill="1" applyAlignment="1">
      <alignment horizontal="center" vertical="center"/>
    </xf>
    <xf numFmtId="0" fontId="1" fillId="3957" borderId="0" xfId="4" applyFill="1" applyAlignment="1">
      <alignment horizontal="center" vertical="center"/>
    </xf>
    <xf numFmtId="0" fontId="1" fillId="3958" borderId="0" xfId="4" applyFill="1" applyAlignment="1">
      <alignment horizontal="center" vertical="center"/>
    </xf>
    <xf numFmtId="0" fontId="1" fillId="3959" borderId="0" xfId="4" applyFill="1" applyAlignment="1">
      <alignment horizontal="center" vertical="center"/>
    </xf>
    <xf numFmtId="0" fontId="1" fillId="3960" borderId="0" xfId="4" applyFill="1" applyAlignment="1">
      <alignment horizontal="center" vertical="center"/>
    </xf>
    <xf numFmtId="0" fontId="1" fillId="3961" borderId="0" xfId="4" applyFill="1" applyAlignment="1">
      <alignment horizontal="center" vertical="center"/>
    </xf>
    <xf numFmtId="0" fontId="1" fillId="3962" borderId="0" xfId="4" applyFill="1" applyAlignment="1">
      <alignment horizontal="center" vertical="center"/>
    </xf>
    <xf numFmtId="0" fontId="1" fillId="3963" borderId="0" xfId="4" applyFill="1" applyAlignment="1">
      <alignment horizontal="center" vertical="center"/>
    </xf>
    <xf numFmtId="0" fontId="1" fillId="3964" borderId="0" xfId="4" applyFill="1" applyAlignment="1">
      <alignment horizontal="center" vertical="center"/>
    </xf>
    <xf numFmtId="0" fontId="1" fillId="3965" borderId="0" xfId="4" applyFill="1" applyAlignment="1">
      <alignment horizontal="center" vertical="center"/>
    </xf>
    <xf numFmtId="0" fontId="1" fillId="3966" borderId="0" xfId="4" applyFill="1" applyAlignment="1">
      <alignment horizontal="center" vertical="center"/>
    </xf>
    <xf numFmtId="0" fontId="1" fillId="3967" borderId="0" xfId="4" applyFill="1" applyAlignment="1">
      <alignment horizontal="center" vertical="center"/>
    </xf>
    <xf numFmtId="0" fontId="1" fillId="3968" borderId="0" xfId="4" applyFill="1" applyAlignment="1">
      <alignment horizontal="center" vertical="center"/>
    </xf>
    <xf numFmtId="0" fontId="1" fillId="3969" borderId="0" xfId="4" applyFill="1" applyAlignment="1">
      <alignment horizontal="center" vertical="center"/>
    </xf>
    <xf numFmtId="0" fontId="1" fillId="3970" borderId="0" xfId="4" applyFill="1" applyAlignment="1">
      <alignment horizontal="center" vertical="center"/>
    </xf>
    <xf numFmtId="0" fontId="1" fillId="3971" borderId="0" xfId="4" applyFill="1" applyAlignment="1">
      <alignment horizontal="center" vertical="center"/>
    </xf>
    <xf numFmtId="0" fontId="1" fillId="3972" borderId="0" xfId="4" applyFill="1" applyAlignment="1">
      <alignment horizontal="center" vertical="center"/>
    </xf>
    <xf numFmtId="0" fontId="1" fillId="3973" borderId="0" xfId="4" applyFill="1" applyAlignment="1">
      <alignment horizontal="center" vertical="center"/>
    </xf>
    <xf numFmtId="0" fontId="1" fillId="3974" borderId="0" xfId="4" applyFill="1" applyAlignment="1">
      <alignment horizontal="center" vertical="center"/>
    </xf>
    <xf numFmtId="0" fontId="1" fillId="3975" borderId="0" xfId="4" applyFill="1" applyAlignment="1">
      <alignment horizontal="center" vertical="center"/>
    </xf>
    <xf numFmtId="0" fontId="1" fillId="3976" borderId="0" xfId="4" applyFill="1" applyAlignment="1">
      <alignment horizontal="center" vertical="center"/>
    </xf>
    <xf numFmtId="0" fontId="1" fillId="3977" borderId="0" xfId="4" applyFill="1" applyAlignment="1">
      <alignment horizontal="center" vertical="center"/>
    </xf>
    <xf numFmtId="0" fontId="1" fillId="3978" borderId="0" xfId="4" applyFill="1" applyAlignment="1">
      <alignment horizontal="center" vertical="center"/>
    </xf>
    <xf numFmtId="0" fontId="1" fillId="3979" borderId="0" xfId="4" applyFill="1" applyAlignment="1">
      <alignment horizontal="center" vertical="center"/>
    </xf>
    <xf numFmtId="0" fontId="1" fillId="110" borderId="0" xfId="4" applyFill="1" applyAlignment="1">
      <alignment horizontal="center" vertical="center"/>
    </xf>
    <xf numFmtId="0" fontId="1" fillId="3980" borderId="0" xfId="4" applyFill="1" applyAlignment="1">
      <alignment horizontal="center" vertical="center"/>
    </xf>
    <xf numFmtId="0" fontId="1" fillId="3981" borderId="0" xfId="4" applyFill="1" applyAlignment="1">
      <alignment horizontal="center" vertical="center"/>
    </xf>
    <xf numFmtId="0" fontId="1" fillId="3982" borderId="0" xfId="4" applyFill="1" applyAlignment="1">
      <alignment horizontal="center" vertical="center"/>
    </xf>
    <xf numFmtId="0" fontId="1" fillId="3983" borderId="0" xfId="4" applyFill="1" applyAlignment="1">
      <alignment horizontal="center" vertical="center"/>
    </xf>
    <xf numFmtId="0" fontId="1" fillId="3984" borderId="0" xfId="4" applyFill="1" applyAlignment="1">
      <alignment horizontal="center" vertical="center"/>
    </xf>
    <xf numFmtId="0" fontId="1" fillId="3985" borderId="0" xfId="4" applyFill="1" applyAlignment="1">
      <alignment horizontal="left" vertical="center"/>
    </xf>
    <xf numFmtId="0" fontId="1" fillId="3986" borderId="0" xfId="4" applyFill="1" applyAlignment="1">
      <alignment horizontal="center" vertical="center"/>
    </xf>
    <xf numFmtId="0" fontId="1" fillId="113" borderId="0" xfId="4" applyFill="1" applyAlignment="1">
      <alignment horizontal="center" vertical="center"/>
    </xf>
    <xf numFmtId="0" fontId="1" fillId="3987" borderId="0" xfId="4" applyFill="1" applyAlignment="1">
      <alignment horizontal="center" vertical="center"/>
    </xf>
    <xf numFmtId="0" fontId="1" fillId="3988" borderId="0" xfId="4" applyFill="1" applyAlignment="1">
      <alignment horizontal="center" vertical="center"/>
    </xf>
    <xf numFmtId="0" fontId="1" fillId="3989" borderId="0" xfId="4" applyFill="1" applyAlignment="1">
      <alignment horizontal="center" vertical="center"/>
    </xf>
    <xf numFmtId="0" fontId="1" fillId="3990" borderId="0" xfId="4" applyFill="1" applyAlignment="1">
      <alignment horizontal="center" vertical="center"/>
    </xf>
    <xf numFmtId="0" fontId="1" fillId="24" borderId="0" xfId="4" applyFill="1" applyAlignment="1">
      <alignment horizontal="center" vertical="center"/>
    </xf>
    <xf numFmtId="0" fontId="1" fillId="3991" borderId="0" xfId="4" applyFill="1" applyAlignment="1">
      <alignment horizontal="center" vertical="center"/>
    </xf>
    <xf numFmtId="0" fontId="1" fillId="3992" borderId="0" xfId="4" applyFill="1" applyAlignment="1">
      <alignment horizontal="center" vertical="center"/>
    </xf>
    <xf numFmtId="0" fontId="1" fillId="3993" borderId="0" xfId="4" applyFill="1" applyAlignment="1">
      <alignment horizontal="center" vertical="center"/>
    </xf>
    <xf numFmtId="0" fontId="1" fillId="3994" borderId="0" xfId="4" applyFill="1" applyAlignment="1">
      <alignment horizontal="center" vertical="center"/>
    </xf>
    <xf numFmtId="0" fontId="1" fillId="3995" borderId="0" xfId="4" applyFill="1" applyAlignment="1">
      <alignment horizontal="left" vertical="center"/>
    </xf>
    <xf numFmtId="0" fontId="1" fillId="3996" borderId="0" xfId="4" applyFill="1" applyAlignment="1">
      <alignment horizontal="center" vertical="center"/>
    </xf>
    <xf numFmtId="0" fontId="1" fillId="3997" borderId="0" xfId="4" applyFill="1" applyAlignment="1">
      <alignment horizontal="center" vertical="center"/>
    </xf>
    <xf numFmtId="0" fontId="1" fillId="3998" borderId="0" xfId="4" applyFill="1" applyAlignment="1">
      <alignment horizontal="center" vertical="center"/>
    </xf>
    <xf numFmtId="0" fontId="1" fillId="3999" borderId="0" xfId="4" applyFill="1" applyAlignment="1">
      <alignment horizontal="center" vertical="center"/>
    </xf>
    <xf numFmtId="0" fontId="1" fillId="4000" borderId="0" xfId="4" applyFill="1" applyAlignment="1">
      <alignment horizontal="center" vertical="center"/>
    </xf>
    <xf numFmtId="0" fontId="1" fillId="4001" borderId="0" xfId="4" applyFill="1" applyAlignment="1">
      <alignment horizontal="center" vertical="center"/>
    </xf>
    <xf numFmtId="0" fontId="1" fillId="4002" borderId="0" xfId="4" applyFill="1" applyAlignment="1">
      <alignment horizontal="center" vertical="center"/>
    </xf>
    <xf numFmtId="0" fontId="1" fillId="4003" borderId="0" xfId="4" applyFill="1" applyAlignment="1">
      <alignment horizontal="center" vertical="center"/>
    </xf>
    <xf numFmtId="0" fontId="1" fillId="4004" borderId="0" xfId="4" applyFill="1" applyAlignment="1">
      <alignment horizontal="center" vertical="center"/>
    </xf>
    <xf numFmtId="0" fontId="1" fillId="4005" borderId="0" xfId="4" applyFill="1" applyAlignment="1">
      <alignment horizontal="center" vertical="center"/>
    </xf>
    <xf numFmtId="0" fontId="1" fillId="4006" borderId="0" xfId="4" applyFill="1" applyAlignment="1">
      <alignment horizontal="center" vertical="center"/>
    </xf>
    <xf numFmtId="0" fontId="1" fillId="4007" borderId="0" xfId="4" applyFill="1" applyAlignment="1">
      <alignment horizontal="center" vertical="center"/>
    </xf>
    <xf numFmtId="0" fontId="1" fillId="4008" borderId="0" xfId="4" applyFill="1" applyAlignment="1">
      <alignment horizontal="center" vertical="center"/>
    </xf>
    <xf numFmtId="0" fontId="1" fillId="4009" borderId="0" xfId="4" applyFill="1" applyAlignment="1">
      <alignment horizontal="center" vertical="center"/>
    </xf>
    <xf numFmtId="0" fontId="1" fillId="4010" borderId="0" xfId="4" applyFill="1" applyAlignment="1">
      <alignment horizontal="center" vertical="center"/>
    </xf>
    <xf numFmtId="0" fontId="1" fillId="4011" borderId="0" xfId="4" applyFill="1" applyAlignment="1">
      <alignment horizontal="center" vertical="center"/>
    </xf>
    <xf numFmtId="0" fontId="1" fillId="3898" borderId="0" xfId="4" applyFill="1" applyAlignment="1">
      <alignment horizontal="center" vertical="center"/>
    </xf>
    <xf numFmtId="0" fontId="1" fillId="4012" borderId="0" xfId="4" applyFill="1" applyAlignment="1">
      <alignment horizontal="center" vertical="center"/>
    </xf>
    <xf numFmtId="0" fontId="1" fillId="4013" borderId="0" xfId="4" applyFill="1" applyAlignment="1">
      <alignment horizontal="center" vertical="center"/>
    </xf>
    <xf numFmtId="0" fontId="1" fillId="4014" borderId="0" xfId="4" applyFill="1" applyAlignment="1">
      <alignment horizontal="center" vertical="center"/>
    </xf>
    <xf numFmtId="0" fontId="1" fillId="4015" borderId="0" xfId="4" applyFill="1" applyAlignment="1">
      <alignment horizontal="center" vertical="center"/>
    </xf>
    <xf numFmtId="0" fontId="1" fillId="4016" borderId="0" xfId="4" applyFill="1" applyAlignment="1">
      <alignment horizontal="center" vertical="center"/>
    </xf>
    <xf numFmtId="0" fontId="1" fillId="4017" borderId="0" xfId="4" applyFill="1" applyAlignment="1">
      <alignment horizontal="center" vertical="center"/>
    </xf>
    <xf numFmtId="0" fontId="1" fillId="4018" borderId="0" xfId="4" applyFill="1" applyAlignment="1">
      <alignment horizontal="center" vertical="center"/>
    </xf>
    <xf numFmtId="0" fontId="1" fillId="4019" borderId="0" xfId="4" applyFill="1" applyAlignment="1">
      <alignment horizontal="center" vertical="center"/>
    </xf>
    <xf numFmtId="0" fontId="1" fillId="4020" borderId="0" xfId="4" applyFill="1" applyAlignment="1">
      <alignment horizontal="center" vertical="center"/>
    </xf>
    <xf numFmtId="0" fontId="1" fillId="4021" borderId="0" xfId="4" applyFill="1" applyAlignment="1">
      <alignment horizontal="center" vertical="center"/>
    </xf>
    <xf numFmtId="0" fontId="1" fillId="381" borderId="0" xfId="4" applyFill="1" applyAlignment="1">
      <alignment horizontal="center" vertical="center"/>
    </xf>
    <xf numFmtId="0" fontId="1" fillId="4022" borderId="0" xfId="4" applyFill="1" applyAlignment="1">
      <alignment horizontal="center" vertical="center"/>
    </xf>
    <xf numFmtId="0" fontId="1" fillId="4023" borderId="0" xfId="4" applyFill="1" applyAlignment="1">
      <alignment horizontal="center" vertical="center"/>
    </xf>
    <xf numFmtId="0" fontId="1" fillId="4024" borderId="0" xfId="4" applyFill="1" applyAlignment="1">
      <alignment horizontal="center" vertical="center"/>
    </xf>
    <xf numFmtId="0" fontId="1" fillId="4025" borderId="0" xfId="4" applyFill="1" applyAlignment="1">
      <alignment horizontal="center" vertical="center"/>
    </xf>
    <xf numFmtId="0" fontId="1" fillId="4026" borderId="0" xfId="4" applyFill="1" applyAlignment="1">
      <alignment horizontal="center" vertical="center"/>
    </xf>
    <xf numFmtId="0" fontId="1" fillId="4027" borderId="0" xfId="4" applyFill="1" applyAlignment="1">
      <alignment horizontal="center" vertical="center"/>
    </xf>
    <xf numFmtId="0" fontId="1" fillId="85" borderId="0" xfId="4" applyFill="1" applyAlignment="1">
      <alignment horizontal="left" vertical="center"/>
    </xf>
    <xf numFmtId="0" fontId="1" fillId="4028" borderId="0" xfId="4" applyFill="1" applyAlignment="1">
      <alignment horizontal="center" vertical="center"/>
    </xf>
    <xf numFmtId="0" fontId="1" fillId="4029" borderId="0" xfId="4" applyFill="1" applyAlignment="1">
      <alignment horizontal="center" vertical="center"/>
    </xf>
    <xf numFmtId="0" fontId="1" fillId="4030" borderId="0" xfId="4" applyFill="1" applyAlignment="1">
      <alignment horizontal="center" vertical="center"/>
    </xf>
    <xf numFmtId="0" fontId="1" fillId="4031" borderId="0" xfId="4" applyFill="1" applyAlignment="1">
      <alignment horizontal="center" vertical="center"/>
    </xf>
    <xf numFmtId="0" fontId="1" fillId="4032" borderId="0" xfId="4" applyFill="1" applyAlignment="1">
      <alignment horizontal="center" vertical="center"/>
    </xf>
    <xf numFmtId="0" fontId="1" fillId="4033" borderId="0" xfId="4" applyFill="1" applyAlignment="1">
      <alignment horizontal="center" vertical="center"/>
    </xf>
    <xf numFmtId="0" fontId="1" fillId="122" borderId="0" xfId="4" applyFill="1" applyAlignment="1">
      <alignment horizontal="center" vertical="center"/>
    </xf>
    <xf numFmtId="0" fontId="1" fillId="4034" borderId="0" xfId="4" applyFill="1" applyAlignment="1">
      <alignment horizontal="center" vertical="center"/>
    </xf>
    <xf numFmtId="0" fontId="1" fillId="4035" borderId="0" xfId="4" applyFill="1" applyAlignment="1">
      <alignment horizontal="center" vertical="center"/>
    </xf>
    <xf numFmtId="0" fontId="1" fillId="4036" borderId="0" xfId="4" applyFill="1" applyAlignment="1">
      <alignment horizontal="center" vertical="center"/>
    </xf>
    <xf numFmtId="0" fontId="1" fillId="4037" borderId="0" xfId="4" applyFill="1" applyAlignment="1">
      <alignment horizontal="center" vertical="center"/>
    </xf>
    <xf numFmtId="0" fontId="1" fillId="4038" borderId="0" xfId="4" applyFill="1" applyAlignment="1">
      <alignment horizontal="center" vertical="center"/>
    </xf>
    <xf numFmtId="0" fontId="1" fillId="4039" borderId="0" xfId="4" applyFill="1" applyAlignment="1">
      <alignment horizontal="center" vertical="center"/>
    </xf>
    <xf numFmtId="0" fontId="1" fillId="4040" borderId="0" xfId="4" applyFill="1" applyAlignment="1">
      <alignment horizontal="left" vertical="center"/>
    </xf>
    <xf numFmtId="0" fontId="1" fillId="4041" borderId="0" xfId="4" applyFill="1" applyAlignment="1">
      <alignment horizontal="center" vertical="center"/>
    </xf>
    <xf numFmtId="0" fontId="1" fillId="4042" borderId="0" xfId="4" applyFill="1" applyAlignment="1">
      <alignment horizontal="center" vertical="center"/>
    </xf>
    <xf numFmtId="0" fontId="1" fillId="4043" borderId="0" xfId="4" applyFill="1" applyAlignment="1">
      <alignment horizontal="center" vertical="center"/>
    </xf>
    <xf numFmtId="0" fontId="1" fillId="4044" borderId="0" xfId="4" applyFill="1" applyAlignment="1">
      <alignment horizontal="center" vertical="center"/>
    </xf>
    <xf numFmtId="0" fontId="1" fillId="4045" borderId="0" xfId="4" applyFill="1" applyAlignment="1">
      <alignment horizontal="center" vertical="center"/>
    </xf>
    <xf numFmtId="0" fontId="1" fillId="4046" borderId="0" xfId="4" applyFill="1" applyAlignment="1">
      <alignment horizontal="center" vertical="center"/>
    </xf>
    <xf numFmtId="0" fontId="1" fillId="4047" borderId="0" xfId="4" applyFill="1" applyAlignment="1">
      <alignment horizontal="center" vertical="center"/>
    </xf>
    <xf numFmtId="0" fontId="1" fillId="4048" borderId="0" xfId="4" applyFill="1" applyAlignment="1">
      <alignment horizontal="center" vertical="center"/>
    </xf>
    <xf numFmtId="0" fontId="1" fillId="4049" borderId="0" xfId="4" applyFill="1" applyAlignment="1">
      <alignment horizontal="center" vertical="center"/>
    </xf>
    <xf numFmtId="0" fontId="1" fillId="4050" borderId="0" xfId="4" applyFill="1" applyAlignment="1">
      <alignment horizontal="center" vertical="center"/>
    </xf>
    <xf numFmtId="0" fontId="1" fillId="4051" borderId="0" xfId="4" applyFill="1" applyAlignment="1">
      <alignment horizontal="center" vertical="center"/>
    </xf>
    <xf numFmtId="0" fontId="1" fillId="4052" borderId="0" xfId="4" applyFill="1" applyAlignment="1">
      <alignment horizontal="center" vertical="center"/>
    </xf>
    <xf numFmtId="0" fontId="1" fillId="4053" borderId="0" xfId="4" applyFill="1" applyAlignment="1">
      <alignment horizontal="center" vertical="center"/>
    </xf>
    <xf numFmtId="0" fontId="1" fillId="4054" borderId="0" xfId="4" applyFill="1" applyAlignment="1">
      <alignment horizontal="center" vertical="center"/>
    </xf>
    <xf numFmtId="0" fontId="1" fillId="4055" borderId="0" xfId="4" applyFill="1" applyAlignment="1">
      <alignment horizontal="center" vertical="center"/>
    </xf>
    <xf numFmtId="0" fontId="1" fillId="4056" borderId="0" xfId="4" applyFill="1" applyAlignment="1">
      <alignment horizontal="center" vertical="center"/>
    </xf>
    <xf numFmtId="0" fontId="1" fillId="4057" borderId="0" xfId="4" applyFill="1" applyAlignment="1">
      <alignment horizontal="center" vertical="center"/>
    </xf>
    <xf numFmtId="0" fontId="1" fillId="4058" borderId="0" xfId="4" applyFill="1" applyAlignment="1">
      <alignment horizontal="center" vertical="center"/>
    </xf>
    <xf numFmtId="0" fontId="1" fillId="4059" borderId="0" xfId="4" applyFill="1" applyAlignment="1">
      <alignment horizontal="center" vertical="center"/>
    </xf>
    <xf numFmtId="0" fontId="1" fillId="4060" borderId="0" xfId="4" applyFill="1" applyAlignment="1">
      <alignment horizontal="center" vertical="center"/>
    </xf>
    <xf numFmtId="0" fontId="1" fillId="4061" borderId="0" xfId="4" applyFill="1" applyAlignment="1">
      <alignment horizontal="center" vertical="center"/>
    </xf>
    <xf numFmtId="0" fontId="1" fillId="4062" borderId="0" xfId="4" applyFill="1" applyAlignment="1">
      <alignment horizontal="center" vertical="center"/>
    </xf>
    <xf numFmtId="0" fontId="1" fillId="4063" borderId="0" xfId="4" applyFill="1" applyAlignment="1">
      <alignment horizontal="center" vertical="center"/>
    </xf>
    <xf numFmtId="0" fontId="1" fillId="4064" borderId="0" xfId="4" applyFill="1" applyAlignment="1">
      <alignment horizontal="center" vertical="center"/>
    </xf>
    <xf numFmtId="0" fontId="1" fillId="4065" borderId="0" xfId="4" applyFill="1" applyAlignment="1">
      <alignment horizontal="center" vertical="center"/>
    </xf>
    <xf numFmtId="0" fontId="1" fillId="4066" borderId="0" xfId="4" applyFill="1" applyAlignment="1">
      <alignment horizontal="center" vertical="center"/>
    </xf>
    <xf numFmtId="0" fontId="1" fillId="4067" borderId="0" xfId="4" applyFill="1" applyAlignment="1">
      <alignment horizontal="center" vertical="center"/>
    </xf>
    <xf numFmtId="0" fontId="1" fillId="4068" borderId="0" xfId="4" applyFill="1" applyAlignment="1">
      <alignment horizontal="center" vertical="center"/>
    </xf>
    <xf numFmtId="0" fontId="1" fillId="4069" borderId="0" xfId="4" applyFill="1" applyAlignment="1">
      <alignment horizontal="center" vertical="center"/>
    </xf>
    <xf numFmtId="0" fontId="1" fillId="4070" borderId="0" xfId="4" applyFill="1" applyAlignment="1">
      <alignment horizontal="center" vertical="center"/>
    </xf>
    <xf numFmtId="0" fontId="1" fillId="4071" borderId="0" xfId="4" applyFill="1" applyAlignment="1">
      <alignment horizontal="center" vertical="center"/>
    </xf>
    <xf numFmtId="0" fontId="1" fillId="4072" borderId="0" xfId="4" applyFill="1" applyAlignment="1">
      <alignment horizontal="center" vertical="center"/>
    </xf>
    <xf numFmtId="0" fontId="1" fillId="4073" borderId="0" xfId="4" applyFill="1" applyAlignment="1">
      <alignment horizontal="center" vertical="center"/>
    </xf>
    <xf numFmtId="0" fontId="1" fillId="4074" borderId="0" xfId="4" applyFill="1" applyAlignment="1">
      <alignment horizontal="center" vertical="center"/>
    </xf>
    <xf numFmtId="0" fontId="1" fillId="202" borderId="0" xfId="4" applyFill="1" applyAlignment="1">
      <alignment horizontal="left" vertical="center"/>
    </xf>
    <xf numFmtId="0" fontId="1" fillId="4075" borderId="0" xfId="4" applyFill="1" applyAlignment="1">
      <alignment horizontal="center" vertical="center"/>
    </xf>
    <xf numFmtId="0" fontId="1" fillId="4076" borderId="0" xfId="4" applyFill="1" applyAlignment="1">
      <alignment horizontal="center" vertical="center"/>
    </xf>
    <xf numFmtId="0" fontId="1" fillId="277" borderId="0" xfId="4" applyFill="1" applyAlignment="1">
      <alignment horizontal="left" vertical="center"/>
    </xf>
    <xf numFmtId="0" fontId="1" fillId="4077" borderId="0" xfId="4" applyFill="1" applyAlignment="1">
      <alignment horizontal="center" vertical="center"/>
    </xf>
    <xf numFmtId="0" fontId="1" fillId="4078" borderId="0" xfId="4" applyFill="1" applyAlignment="1">
      <alignment horizontal="center" vertical="center"/>
    </xf>
    <xf numFmtId="0" fontId="1" fillId="4079" borderId="0" xfId="4" applyFill="1" applyAlignment="1">
      <alignment horizontal="center" vertical="center"/>
    </xf>
    <xf numFmtId="0" fontId="1" fillId="4080" borderId="0" xfId="4" applyFill="1" applyAlignment="1">
      <alignment horizontal="center" vertical="center"/>
    </xf>
    <xf numFmtId="0" fontId="1" fillId="4081" borderId="0" xfId="4" applyFill="1" applyAlignment="1">
      <alignment horizontal="center" vertical="center"/>
    </xf>
    <xf numFmtId="0" fontId="1" fillId="4082" borderId="0" xfId="4" applyFill="1" applyAlignment="1">
      <alignment horizontal="center" vertical="center"/>
    </xf>
    <xf numFmtId="0" fontId="1" fillId="4083" borderId="0" xfId="4" applyFill="1" applyAlignment="1">
      <alignment horizontal="center" vertical="center"/>
    </xf>
    <xf numFmtId="0" fontId="1" fillId="204" borderId="0" xfId="4" applyFill="1" applyAlignment="1">
      <alignment horizontal="center" vertical="center"/>
    </xf>
    <xf numFmtId="0" fontId="1" fillId="4084" borderId="0" xfId="4" applyFill="1" applyAlignment="1">
      <alignment horizontal="center" vertical="center"/>
    </xf>
    <xf numFmtId="0" fontId="1" fillId="4085" borderId="0" xfId="4" applyFill="1" applyAlignment="1">
      <alignment horizontal="center" vertical="center"/>
    </xf>
    <xf numFmtId="0" fontId="1" fillId="4086" borderId="0" xfId="4" applyFill="1" applyAlignment="1">
      <alignment horizontal="center" vertical="center"/>
    </xf>
    <xf numFmtId="0" fontId="1" fillId="1299" borderId="0" xfId="4" applyFill="1" applyAlignment="1">
      <alignment horizontal="center" vertical="center"/>
    </xf>
    <xf numFmtId="0" fontId="1" fillId="2350" borderId="0" xfId="4" applyFill="1" applyAlignment="1">
      <alignment horizontal="center" vertical="center"/>
    </xf>
    <xf numFmtId="0" fontId="1" fillId="4087" borderId="0" xfId="4" applyFill="1" applyAlignment="1">
      <alignment horizontal="center" vertical="center"/>
    </xf>
    <xf numFmtId="0" fontId="1" fillId="4088" borderId="0" xfId="4" applyFill="1" applyAlignment="1">
      <alignment horizontal="center" vertical="center"/>
    </xf>
    <xf numFmtId="0" fontId="1" fillId="4089" borderId="0" xfId="4" applyFill="1" applyAlignment="1">
      <alignment horizontal="center" vertical="center"/>
    </xf>
    <xf numFmtId="0" fontId="1" fillId="4090" borderId="0" xfId="4" applyFill="1" applyAlignment="1">
      <alignment horizontal="center" vertical="center"/>
    </xf>
    <xf numFmtId="0" fontId="1" fillId="4091" borderId="0" xfId="4" applyFill="1" applyAlignment="1">
      <alignment horizontal="center" vertical="center"/>
    </xf>
    <xf numFmtId="0" fontId="1" fillId="4092" borderId="0" xfId="4" applyFill="1" applyAlignment="1">
      <alignment horizontal="center" vertical="center"/>
    </xf>
    <xf numFmtId="0" fontId="1" fillId="4093" borderId="0" xfId="4" applyFill="1" applyAlignment="1">
      <alignment horizontal="center" vertical="center"/>
    </xf>
    <xf numFmtId="0" fontId="1" fillId="4094" borderId="0" xfId="4" applyFill="1" applyAlignment="1">
      <alignment horizontal="left" vertical="center"/>
    </xf>
    <xf numFmtId="0" fontId="1" fillId="4095" borderId="0" xfId="4" applyFill="1" applyAlignment="1">
      <alignment horizontal="center" vertical="center"/>
    </xf>
    <xf numFmtId="0" fontId="1" fillId="4096" borderId="0" xfId="4" applyFill="1" applyAlignment="1">
      <alignment horizontal="center" vertical="center"/>
    </xf>
    <xf numFmtId="0" fontId="1" fillId="4097" borderId="0" xfId="4" applyFill="1" applyAlignment="1">
      <alignment horizontal="center" vertical="center"/>
    </xf>
    <xf numFmtId="0" fontId="1" fillId="4098" borderId="0" xfId="4" applyFill="1" applyAlignment="1">
      <alignment horizontal="center" vertical="center"/>
    </xf>
    <xf numFmtId="0" fontId="1" fillId="4099" borderId="0" xfId="4" applyFill="1" applyAlignment="1">
      <alignment horizontal="center" vertical="center"/>
    </xf>
    <xf numFmtId="0" fontId="1" fillId="4100" borderId="0" xfId="4" applyFill="1" applyAlignment="1">
      <alignment horizontal="center" vertical="center"/>
    </xf>
    <xf numFmtId="0" fontId="1" fillId="4101" borderId="0" xfId="4" applyFill="1" applyAlignment="1">
      <alignment horizontal="center" vertical="center"/>
    </xf>
    <xf numFmtId="0" fontId="1" fillId="4102" borderId="0" xfId="4" applyFill="1" applyAlignment="1">
      <alignment horizontal="center" vertical="center"/>
    </xf>
    <xf numFmtId="0" fontId="1" fillId="4103" borderId="0" xfId="4" applyFill="1" applyAlignment="1">
      <alignment horizontal="center" vertical="center"/>
    </xf>
    <xf numFmtId="0" fontId="1" fillId="4104" borderId="0" xfId="4" applyFill="1" applyAlignment="1">
      <alignment horizontal="center" vertical="center"/>
    </xf>
    <xf numFmtId="0" fontId="1" fillId="4105" borderId="0" xfId="4" applyFill="1" applyAlignment="1">
      <alignment horizontal="center" vertical="center"/>
    </xf>
    <xf numFmtId="0" fontId="1" fillId="4106" borderId="0" xfId="4" applyFill="1" applyAlignment="1">
      <alignment horizontal="center" vertical="center"/>
    </xf>
    <xf numFmtId="0" fontId="1" fillId="4107" borderId="0" xfId="4" applyFill="1" applyAlignment="1">
      <alignment horizontal="center" vertical="center"/>
    </xf>
    <xf numFmtId="0" fontId="1" fillId="4108" borderId="0" xfId="4" applyFill="1" applyAlignment="1">
      <alignment horizontal="center" vertical="center"/>
    </xf>
    <xf numFmtId="0" fontId="1" fillId="4109" borderId="0" xfId="4" applyFill="1" applyAlignment="1">
      <alignment horizontal="center" vertical="center"/>
    </xf>
    <xf numFmtId="0" fontId="1" fillId="4110" borderId="0" xfId="4" applyFill="1" applyAlignment="1">
      <alignment horizontal="center" vertical="center"/>
    </xf>
    <xf numFmtId="0" fontId="1" fillId="4111" borderId="0" xfId="4" applyFill="1" applyAlignment="1">
      <alignment horizontal="center" vertical="center"/>
    </xf>
    <xf numFmtId="0" fontId="1" fillId="4112" borderId="0" xfId="4" applyFill="1" applyAlignment="1">
      <alignment horizontal="center" vertical="center"/>
    </xf>
    <xf numFmtId="0" fontId="1" fillId="4113" borderId="0" xfId="4" applyFill="1" applyAlignment="1">
      <alignment horizontal="center" vertical="center"/>
    </xf>
    <xf numFmtId="0" fontId="1" fillId="4114" borderId="0" xfId="4" applyFill="1" applyAlignment="1">
      <alignment horizontal="center" vertical="center"/>
    </xf>
    <xf numFmtId="0" fontId="1" fillId="4115" borderId="0" xfId="4" applyFill="1" applyAlignment="1">
      <alignment horizontal="center" vertical="center"/>
    </xf>
    <xf numFmtId="0" fontId="1" fillId="4116" borderId="0" xfId="4" applyFill="1" applyAlignment="1">
      <alignment horizontal="center" vertical="center"/>
    </xf>
    <xf numFmtId="0" fontId="1" fillId="4117" borderId="0" xfId="4" applyFill="1" applyAlignment="1">
      <alignment horizontal="center" vertical="center"/>
    </xf>
    <xf numFmtId="0" fontId="1" fillId="4118" borderId="0" xfId="4" applyFill="1" applyAlignment="1">
      <alignment horizontal="center" vertical="center"/>
    </xf>
    <xf numFmtId="0" fontId="1" fillId="4119" borderId="0" xfId="4" applyFill="1" applyAlignment="1">
      <alignment horizontal="center" vertical="center"/>
    </xf>
    <xf numFmtId="0" fontId="1" fillId="4120" borderId="0" xfId="4" applyFill="1" applyAlignment="1">
      <alignment horizontal="center" vertical="center"/>
    </xf>
    <xf numFmtId="0" fontId="1" fillId="4121" borderId="0" xfId="4" applyFill="1" applyAlignment="1">
      <alignment horizontal="center" vertical="center"/>
    </xf>
    <xf numFmtId="0" fontId="1" fillId="4122" borderId="0" xfId="4" applyFill="1" applyAlignment="1">
      <alignment horizontal="center" vertical="center"/>
    </xf>
    <xf numFmtId="0" fontId="1" fillId="4123" borderId="0" xfId="4" applyFill="1" applyAlignment="1">
      <alignment horizontal="center" vertical="center"/>
    </xf>
    <xf numFmtId="0" fontId="1" fillId="4124" borderId="0" xfId="4" applyFill="1" applyAlignment="1">
      <alignment horizontal="center" vertical="center"/>
    </xf>
    <xf numFmtId="0" fontId="1" fillId="4125" borderId="0" xfId="4" applyFill="1" applyAlignment="1">
      <alignment horizontal="center" vertical="center"/>
    </xf>
    <xf numFmtId="0" fontId="1" fillId="4126" borderId="0" xfId="4" applyFill="1" applyAlignment="1">
      <alignment horizontal="center" vertical="center"/>
    </xf>
    <xf numFmtId="0" fontId="1" fillId="4127" borderId="0" xfId="4" applyFill="1" applyAlignment="1">
      <alignment horizontal="center" vertical="center"/>
    </xf>
    <xf numFmtId="0" fontId="1" fillId="4128" borderId="0" xfId="4" applyFill="1" applyAlignment="1">
      <alignment horizontal="center" vertical="center"/>
    </xf>
    <xf numFmtId="0" fontId="1" fillId="4129" borderId="0" xfId="4" applyFill="1" applyAlignment="1">
      <alignment horizontal="center" vertical="center"/>
    </xf>
    <xf numFmtId="0" fontId="1" fillId="4130" borderId="0" xfId="4" applyFill="1" applyAlignment="1">
      <alignment horizontal="center" vertical="center"/>
    </xf>
    <xf numFmtId="0" fontId="1" fillId="4131" borderId="0" xfId="4" applyFill="1" applyAlignment="1">
      <alignment horizontal="center" vertical="center"/>
    </xf>
    <xf numFmtId="0" fontId="1" fillId="4132" borderId="0" xfId="4" applyFill="1" applyAlignment="1">
      <alignment horizontal="center" vertical="center"/>
    </xf>
    <xf numFmtId="0" fontId="1" fillId="4133" borderId="0" xfId="4" applyFill="1" applyAlignment="1">
      <alignment horizontal="center" vertical="center"/>
    </xf>
    <xf numFmtId="0" fontId="1" fillId="4134" borderId="0" xfId="4" applyFill="1" applyAlignment="1">
      <alignment horizontal="center" vertical="center"/>
    </xf>
    <xf numFmtId="0" fontId="1" fillId="4135" borderId="0" xfId="4" applyFill="1" applyAlignment="1">
      <alignment horizontal="center" vertical="center"/>
    </xf>
    <xf numFmtId="0" fontId="1" fillId="3395" borderId="0" xfId="4" applyFill="1" applyAlignment="1">
      <alignment horizontal="left" vertical="center"/>
    </xf>
    <xf numFmtId="0" fontId="1" fillId="4136" borderId="0" xfId="4" applyFill="1" applyAlignment="1">
      <alignment horizontal="center" vertical="center"/>
    </xf>
    <xf numFmtId="0" fontId="1" fillId="4137" borderId="0" xfId="4" applyFill="1" applyAlignment="1">
      <alignment horizontal="center" vertical="center"/>
    </xf>
    <xf numFmtId="0" fontId="1" fillId="4138" borderId="0" xfId="4" applyFill="1" applyAlignment="1">
      <alignment horizontal="center" vertical="center"/>
    </xf>
    <xf numFmtId="0" fontId="1" fillId="4139" borderId="0" xfId="4" applyFill="1" applyAlignment="1">
      <alignment horizontal="center" vertical="center"/>
    </xf>
    <xf numFmtId="0" fontId="1" fillId="4140" borderId="0" xfId="4" applyFill="1" applyAlignment="1">
      <alignment horizontal="center" vertical="center"/>
    </xf>
    <xf numFmtId="0" fontId="1" fillId="4141" borderId="0" xfId="4" applyFill="1" applyAlignment="1">
      <alignment horizontal="center" vertical="center"/>
    </xf>
    <xf numFmtId="0" fontId="1" fillId="4142" borderId="0" xfId="4" applyFill="1" applyAlignment="1">
      <alignment horizontal="center" vertical="center"/>
    </xf>
    <xf numFmtId="0" fontId="1" fillId="4143" borderId="0" xfId="4" applyFill="1" applyAlignment="1">
      <alignment horizontal="center" vertical="center"/>
    </xf>
    <xf numFmtId="0" fontId="1" fillId="4144" borderId="0" xfId="4" applyFill="1" applyAlignment="1">
      <alignment horizontal="center" vertical="center"/>
    </xf>
    <xf numFmtId="0" fontId="1" fillId="4145" borderId="0" xfId="4" applyFill="1" applyAlignment="1">
      <alignment horizontal="center" vertical="center"/>
    </xf>
    <xf numFmtId="0" fontId="1" fillId="4146" borderId="0" xfId="4" applyFill="1" applyAlignment="1">
      <alignment horizontal="center" vertical="center"/>
    </xf>
    <xf numFmtId="0" fontId="1" fillId="4147" borderId="0" xfId="4" applyFill="1" applyAlignment="1">
      <alignment horizontal="center" vertical="center"/>
    </xf>
    <xf numFmtId="0" fontId="1" fillId="4148" borderId="0" xfId="4" applyFill="1" applyAlignment="1">
      <alignment horizontal="center" vertical="center"/>
    </xf>
    <xf numFmtId="0" fontId="1" fillId="4149" borderId="0" xfId="4" applyFill="1" applyAlignment="1">
      <alignment horizontal="center" vertical="center"/>
    </xf>
    <xf numFmtId="0" fontId="1" fillId="4150" borderId="0" xfId="4" applyFill="1" applyAlignment="1">
      <alignment horizontal="center" vertical="center"/>
    </xf>
    <xf numFmtId="0" fontId="1" fillId="4151" borderId="0" xfId="4" applyFill="1" applyAlignment="1">
      <alignment horizontal="center" vertical="center"/>
    </xf>
    <xf numFmtId="0" fontId="1" fillId="4152" borderId="0" xfId="4" applyFill="1" applyAlignment="1">
      <alignment horizontal="center" vertical="center"/>
    </xf>
    <xf numFmtId="0" fontId="1" fillId="4153" borderId="0" xfId="4" applyFill="1" applyAlignment="1">
      <alignment horizontal="center" vertical="center"/>
    </xf>
    <xf numFmtId="0" fontId="1" fillId="4154" borderId="0" xfId="4" applyFill="1" applyAlignment="1">
      <alignment horizontal="center" vertical="center"/>
    </xf>
    <xf numFmtId="0" fontId="1" fillId="4155" borderId="0" xfId="4" applyFill="1" applyAlignment="1">
      <alignment horizontal="center" vertical="center"/>
    </xf>
    <xf numFmtId="0" fontId="1" fillId="4156" borderId="0" xfId="4" applyFill="1" applyAlignment="1">
      <alignment horizontal="center" vertical="center"/>
    </xf>
    <xf numFmtId="0" fontId="1" fillId="4157" borderId="0" xfId="4" applyFill="1" applyAlignment="1">
      <alignment horizontal="center" vertical="center"/>
    </xf>
    <xf numFmtId="0" fontId="1" fillId="4158" borderId="0" xfId="4" applyFill="1" applyAlignment="1">
      <alignment horizontal="center" vertical="center"/>
    </xf>
    <xf numFmtId="0" fontId="1" fillId="4159" borderId="0" xfId="4" applyFill="1" applyAlignment="1">
      <alignment horizontal="center" vertical="center"/>
    </xf>
    <xf numFmtId="0" fontId="1" fillId="4160" borderId="0" xfId="4" applyFill="1" applyAlignment="1">
      <alignment horizontal="center" vertical="center"/>
    </xf>
    <xf numFmtId="0" fontId="1" fillId="4161" borderId="0" xfId="4" applyFill="1" applyAlignment="1">
      <alignment horizontal="center" vertical="center"/>
    </xf>
    <xf numFmtId="0" fontId="1" fillId="4162" borderId="0" xfId="4" applyFill="1" applyAlignment="1">
      <alignment horizontal="center" vertical="center"/>
    </xf>
    <xf numFmtId="0" fontId="1" fillId="4163" borderId="0" xfId="4" applyFill="1" applyAlignment="1">
      <alignment horizontal="center" vertical="center"/>
    </xf>
    <xf numFmtId="0" fontId="1" fillId="4164" borderId="0" xfId="4" applyFill="1" applyAlignment="1">
      <alignment horizontal="left" vertical="center"/>
    </xf>
    <xf numFmtId="0" fontId="1" fillId="4165" borderId="0" xfId="4" applyFill="1" applyAlignment="1">
      <alignment horizontal="center" vertical="center"/>
    </xf>
    <xf numFmtId="0" fontId="1" fillId="4166" borderId="0" xfId="4" applyFill="1" applyAlignment="1">
      <alignment horizontal="center" vertical="center"/>
    </xf>
    <xf numFmtId="0" fontId="1" fillId="4167" borderId="0" xfId="4" applyFill="1" applyAlignment="1">
      <alignment horizontal="center" vertical="center"/>
    </xf>
    <xf numFmtId="0" fontId="1" fillId="4168" borderId="0" xfId="4" applyFill="1" applyAlignment="1">
      <alignment horizontal="center" vertical="center"/>
    </xf>
    <xf numFmtId="0" fontId="1" fillId="4169" borderId="0" xfId="4" applyFill="1" applyAlignment="1">
      <alignment horizontal="center" vertical="center"/>
    </xf>
    <xf numFmtId="0" fontId="1" fillId="4170" borderId="0" xfId="4" applyFill="1" applyAlignment="1">
      <alignment horizontal="center" vertical="center"/>
    </xf>
    <xf numFmtId="0" fontId="1" fillId="4171" borderId="0" xfId="4" applyFill="1" applyAlignment="1">
      <alignment horizontal="center" vertical="center"/>
    </xf>
    <xf numFmtId="0" fontId="1" fillId="4172" borderId="0" xfId="4" applyFill="1" applyAlignment="1">
      <alignment horizontal="center" vertical="center"/>
    </xf>
    <xf numFmtId="0" fontId="1" fillId="4173" borderId="0" xfId="4" applyFill="1" applyAlignment="1">
      <alignment horizontal="center" vertical="center"/>
    </xf>
    <xf numFmtId="0" fontId="1" fillId="3160" borderId="0" xfId="4" applyFill="1" applyAlignment="1">
      <alignment horizontal="center" vertical="center"/>
    </xf>
    <xf numFmtId="0" fontId="1" fillId="4174" borderId="0" xfId="4" applyFill="1" applyAlignment="1">
      <alignment horizontal="center" vertical="center"/>
    </xf>
    <xf numFmtId="0" fontId="1" fillId="4175" borderId="0" xfId="4" applyFill="1" applyAlignment="1">
      <alignment horizontal="center" vertical="center"/>
    </xf>
    <xf numFmtId="0" fontId="1" fillId="4176" borderId="0" xfId="4" applyFill="1" applyAlignment="1">
      <alignment horizontal="center" vertical="center"/>
    </xf>
    <xf numFmtId="0" fontId="1" fillId="4177" borderId="0" xfId="4" applyFill="1" applyAlignment="1">
      <alignment horizontal="center" vertical="center"/>
    </xf>
    <xf numFmtId="0" fontId="1" fillId="4178" borderId="0" xfId="4" applyFill="1" applyAlignment="1">
      <alignment horizontal="center" vertical="center"/>
    </xf>
    <xf numFmtId="0" fontId="1" fillId="4179" borderId="0" xfId="4" applyFill="1" applyAlignment="1">
      <alignment horizontal="center" vertical="center"/>
    </xf>
    <xf numFmtId="0" fontId="1" fillId="4180" borderId="0" xfId="4" applyFill="1" applyAlignment="1">
      <alignment horizontal="center" vertical="center"/>
    </xf>
    <xf numFmtId="0" fontId="1" fillId="4181" borderId="0" xfId="4" applyFill="1" applyAlignment="1">
      <alignment horizontal="center" vertical="center"/>
    </xf>
    <xf numFmtId="0" fontId="1" fillId="4182" borderId="0" xfId="4" applyFill="1" applyAlignment="1">
      <alignment horizontal="center" vertical="center"/>
    </xf>
    <xf numFmtId="0" fontId="1" fillId="4183" borderId="0" xfId="4" applyFill="1" applyAlignment="1">
      <alignment horizontal="center" vertical="center"/>
    </xf>
    <xf numFmtId="0" fontId="1" fillId="4184" borderId="0" xfId="4" applyFill="1" applyAlignment="1">
      <alignment horizontal="center" vertical="center"/>
    </xf>
    <xf numFmtId="0" fontId="1" fillId="4185" borderId="0" xfId="4" applyFill="1" applyAlignment="1">
      <alignment horizontal="center" vertical="center"/>
    </xf>
    <xf numFmtId="0" fontId="1" fillId="4186" borderId="0" xfId="4" applyFill="1" applyAlignment="1">
      <alignment horizontal="center" vertical="center"/>
    </xf>
    <xf numFmtId="0" fontId="1" fillId="4187" borderId="0" xfId="4" applyFill="1" applyAlignment="1">
      <alignment horizontal="center" vertical="center"/>
    </xf>
    <xf numFmtId="0" fontId="1" fillId="4188" borderId="0" xfId="4" applyFill="1" applyAlignment="1">
      <alignment horizontal="center" vertical="center"/>
    </xf>
    <xf numFmtId="0" fontId="1" fillId="4189" borderId="0" xfId="4" applyFill="1" applyAlignment="1">
      <alignment horizontal="center" vertical="center"/>
    </xf>
    <xf numFmtId="0" fontId="1" fillId="4190" borderId="0" xfId="4" applyFill="1" applyAlignment="1">
      <alignment horizontal="center" vertical="center"/>
    </xf>
    <xf numFmtId="0" fontId="1" fillId="4191" borderId="0" xfId="4" applyFill="1" applyAlignment="1">
      <alignment horizontal="center" vertical="center"/>
    </xf>
    <xf numFmtId="0" fontId="1" fillId="4192" borderId="0" xfId="4" applyFill="1" applyAlignment="1">
      <alignment horizontal="center" vertical="center"/>
    </xf>
    <xf numFmtId="0" fontId="1" fillId="4193" borderId="0" xfId="4" applyFill="1" applyAlignment="1">
      <alignment horizontal="center" vertical="center"/>
    </xf>
    <xf numFmtId="0" fontId="1" fillId="4194" borderId="0" xfId="4" applyFill="1" applyAlignment="1">
      <alignment horizontal="center" vertical="center"/>
    </xf>
    <xf numFmtId="0" fontId="1" fillId="4195" borderId="0" xfId="4" applyFill="1" applyAlignment="1">
      <alignment horizontal="center" vertical="center"/>
    </xf>
    <xf numFmtId="0" fontId="1" fillId="4196" borderId="0" xfId="4" applyFill="1" applyAlignment="1">
      <alignment horizontal="center" vertical="center"/>
    </xf>
    <xf numFmtId="0" fontId="1" fillId="4197" borderId="0" xfId="4" applyFill="1" applyAlignment="1">
      <alignment horizontal="center" vertical="center"/>
    </xf>
    <xf numFmtId="0" fontId="1" fillId="4198" borderId="0" xfId="4" applyFill="1" applyAlignment="1">
      <alignment horizontal="center" vertical="center"/>
    </xf>
    <xf numFmtId="0" fontId="1" fillId="4199" borderId="0" xfId="4" applyFill="1" applyAlignment="1">
      <alignment horizontal="center" vertical="center"/>
    </xf>
    <xf numFmtId="0" fontId="1" fillId="4200" borderId="0" xfId="4" applyFill="1" applyAlignment="1">
      <alignment horizontal="center" vertical="center"/>
    </xf>
    <xf numFmtId="0" fontId="1" fillId="4201" borderId="0" xfId="4" applyFill="1" applyAlignment="1">
      <alignment horizontal="center" vertical="center"/>
    </xf>
    <xf numFmtId="0" fontId="1" fillId="4202" borderId="0" xfId="4" applyFill="1" applyAlignment="1">
      <alignment horizontal="center" vertical="center"/>
    </xf>
    <xf numFmtId="0" fontId="1" fillId="4203" borderId="0" xfId="4" applyFill="1" applyAlignment="1">
      <alignment horizontal="center" vertical="center"/>
    </xf>
    <xf numFmtId="0" fontId="1" fillId="4204" borderId="0" xfId="4" applyFill="1" applyAlignment="1">
      <alignment horizontal="center" vertical="center"/>
    </xf>
    <xf numFmtId="0" fontId="1" fillId="4205" borderId="0" xfId="4" applyFill="1" applyAlignment="1">
      <alignment horizontal="center" vertical="center"/>
    </xf>
    <xf numFmtId="0" fontId="1" fillId="4206" borderId="0" xfId="4" applyFill="1" applyAlignment="1">
      <alignment horizontal="center" vertical="center"/>
    </xf>
    <xf numFmtId="0" fontId="1" fillId="4207" borderId="0" xfId="4" applyFill="1" applyAlignment="1">
      <alignment horizontal="center" vertical="center"/>
    </xf>
    <xf numFmtId="0" fontId="1" fillId="4208" borderId="0" xfId="4" applyFill="1" applyAlignment="1">
      <alignment horizontal="center" vertical="center"/>
    </xf>
    <xf numFmtId="0" fontId="1" fillId="4209" borderId="0" xfId="4" applyFill="1" applyAlignment="1">
      <alignment horizontal="center" vertical="center"/>
    </xf>
    <xf numFmtId="0" fontId="1" fillId="4210" borderId="0" xfId="4" applyFill="1" applyAlignment="1">
      <alignment horizontal="left" vertical="center"/>
    </xf>
    <xf numFmtId="0" fontId="1" fillId="4211" borderId="0" xfId="4" applyFill="1" applyAlignment="1">
      <alignment horizontal="center" vertical="center"/>
    </xf>
    <xf numFmtId="0" fontId="1" fillId="88" borderId="0" xfId="4" applyFill="1" applyAlignment="1">
      <alignment horizontal="left" vertical="center"/>
    </xf>
    <xf numFmtId="0" fontId="1" fillId="4212" borderId="0" xfId="4" applyFill="1" applyAlignment="1">
      <alignment horizontal="center" vertical="center"/>
    </xf>
    <xf numFmtId="0" fontId="1" fillId="349" borderId="0" xfId="4" applyFill="1" applyAlignment="1">
      <alignment horizontal="center" vertical="center"/>
    </xf>
    <xf numFmtId="0" fontId="1" fillId="4213" borderId="0" xfId="4" applyFill="1" applyAlignment="1">
      <alignment horizontal="center" vertical="center"/>
    </xf>
    <xf numFmtId="0" fontId="1" fillId="4214" borderId="0" xfId="4" applyFill="1" applyAlignment="1">
      <alignment horizontal="center" vertical="center"/>
    </xf>
    <xf numFmtId="0" fontId="1" fillId="4215" borderId="0" xfId="4" applyFill="1" applyAlignment="1">
      <alignment horizontal="center" vertical="center"/>
    </xf>
    <xf numFmtId="0" fontId="1" fillId="4216" borderId="0" xfId="4" applyFill="1" applyAlignment="1">
      <alignment horizontal="center" vertical="center"/>
    </xf>
    <xf numFmtId="0" fontId="1" fillId="4217" borderId="0" xfId="4" applyFill="1" applyAlignment="1">
      <alignment horizontal="center" vertical="center"/>
    </xf>
    <xf numFmtId="0" fontId="1" fillId="4218" borderId="0" xfId="4" applyFill="1" applyAlignment="1">
      <alignment horizontal="center" vertical="center"/>
    </xf>
    <xf numFmtId="0" fontId="1" fillId="4219" borderId="0" xfId="4" applyFill="1" applyAlignment="1">
      <alignment horizontal="center" vertical="center"/>
    </xf>
    <xf numFmtId="0" fontId="1" fillId="4220" borderId="0" xfId="4" applyFill="1" applyAlignment="1">
      <alignment horizontal="center" vertical="center"/>
    </xf>
    <xf numFmtId="0" fontId="1" fillId="4221" borderId="0" xfId="4" applyFill="1" applyAlignment="1">
      <alignment horizontal="center" vertical="center"/>
    </xf>
    <xf numFmtId="0" fontId="1" fillId="4222" borderId="0" xfId="4" applyFill="1" applyAlignment="1">
      <alignment horizontal="center" vertical="center"/>
    </xf>
    <xf numFmtId="0" fontId="1" fillId="4223" borderId="0" xfId="4" applyFill="1" applyAlignment="1">
      <alignment horizontal="center" vertical="center"/>
    </xf>
    <xf numFmtId="0" fontId="1" fillId="4224" borderId="0" xfId="4" applyFill="1" applyAlignment="1">
      <alignment horizontal="center" vertical="center"/>
    </xf>
    <xf numFmtId="0" fontId="1" fillId="4225" borderId="0" xfId="4" applyFill="1" applyAlignment="1">
      <alignment horizontal="center" vertical="center"/>
    </xf>
    <xf numFmtId="0" fontId="1" fillId="4226" borderId="0" xfId="4" applyFill="1" applyAlignment="1">
      <alignment horizontal="center" vertical="center"/>
    </xf>
    <xf numFmtId="0" fontId="1" fillId="4227" borderId="0" xfId="4" applyFill="1" applyAlignment="1">
      <alignment horizontal="center" vertical="center"/>
    </xf>
    <xf numFmtId="0" fontId="1" fillId="4228" borderId="0" xfId="4" applyFill="1" applyAlignment="1">
      <alignment horizontal="center" vertical="center"/>
    </xf>
    <xf numFmtId="0" fontId="1" fillId="4229" borderId="0" xfId="4" applyFill="1" applyAlignment="1">
      <alignment horizontal="center" vertical="center"/>
    </xf>
    <xf numFmtId="0" fontId="1" fillId="4230" borderId="0" xfId="4" applyFill="1" applyAlignment="1">
      <alignment horizontal="center" vertical="center"/>
    </xf>
    <xf numFmtId="0" fontId="1" fillId="4231" borderId="0" xfId="4" applyFill="1" applyAlignment="1">
      <alignment horizontal="center" vertical="center"/>
    </xf>
    <xf numFmtId="0" fontId="1" fillId="4232" borderId="0" xfId="4" applyFill="1" applyAlignment="1">
      <alignment horizontal="center" vertical="center"/>
    </xf>
    <xf numFmtId="0" fontId="1" fillId="4233" borderId="0" xfId="4" applyFill="1" applyAlignment="1">
      <alignment horizontal="center" vertical="center"/>
    </xf>
    <xf numFmtId="0" fontId="1" fillId="4234" borderId="0" xfId="4" applyFill="1" applyAlignment="1">
      <alignment horizontal="center" vertical="center"/>
    </xf>
    <xf numFmtId="0" fontId="1" fillId="4235" borderId="0" xfId="4" applyFill="1" applyAlignment="1">
      <alignment horizontal="center" vertical="center"/>
    </xf>
    <xf numFmtId="0" fontId="1" fillId="4236" borderId="0" xfId="4" applyFill="1" applyAlignment="1">
      <alignment horizontal="center" vertical="center"/>
    </xf>
    <xf numFmtId="0" fontId="1" fillId="4237" borderId="0" xfId="4" applyFill="1" applyAlignment="1">
      <alignment horizontal="center" vertical="center"/>
    </xf>
    <xf numFmtId="0" fontId="1" fillId="4238" borderId="0" xfId="4" applyFill="1" applyAlignment="1">
      <alignment horizontal="center" vertical="center"/>
    </xf>
    <xf numFmtId="0" fontId="1" fillId="4239" borderId="0" xfId="4" applyFill="1" applyAlignment="1">
      <alignment horizontal="center" vertical="center"/>
    </xf>
    <xf numFmtId="0" fontId="1" fillId="4240" borderId="0" xfId="4" applyFill="1" applyAlignment="1">
      <alignment horizontal="center" vertical="center"/>
    </xf>
    <xf numFmtId="0" fontId="1" fillId="4241" borderId="0" xfId="4" applyFill="1" applyAlignment="1">
      <alignment horizontal="center" vertical="center"/>
    </xf>
    <xf numFmtId="0" fontId="1" fillId="4242" borderId="0" xfId="4" applyFill="1" applyAlignment="1">
      <alignment horizontal="center" vertical="center"/>
    </xf>
    <xf numFmtId="0" fontId="1" fillId="4243" borderId="0" xfId="4" applyFill="1" applyAlignment="1">
      <alignment horizontal="left" vertical="center"/>
    </xf>
    <xf numFmtId="0" fontId="1" fillId="4244" borderId="0" xfId="4" applyFill="1" applyAlignment="1">
      <alignment horizontal="center" vertical="center"/>
    </xf>
    <xf numFmtId="0" fontId="1" fillId="3638" borderId="0" xfId="4" applyFill="1" applyAlignment="1">
      <alignment horizontal="center" vertical="center"/>
    </xf>
    <xf numFmtId="0" fontId="1" fillId="4245" borderId="0" xfId="4" applyFill="1" applyAlignment="1">
      <alignment horizontal="center" vertical="center"/>
    </xf>
    <xf numFmtId="0" fontId="1" fillId="4246" borderId="0" xfId="4" applyFill="1" applyAlignment="1">
      <alignment horizontal="center" vertical="center"/>
    </xf>
    <xf numFmtId="0" fontId="1" fillId="4247" borderId="0" xfId="4" applyFill="1" applyAlignment="1">
      <alignment horizontal="center" vertical="center"/>
    </xf>
    <xf numFmtId="0" fontId="1" fillId="4248" borderId="0" xfId="4" applyFill="1" applyAlignment="1">
      <alignment horizontal="center" vertical="center"/>
    </xf>
    <xf numFmtId="0" fontId="1" fillId="4249" borderId="0" xfId="4" applyFill="1" applyAlignment="1">
      <alignment horizontal="center" vertical="center"/>
    </xf>
    <xf numFmtId="0" fontId="1" fillId="4250" borderId="0" xfId="4" applyFill="1" applyAlignment="1">
      <alignment horizontal="center" vertical="center"/>
    </xf>
    <xf numFmtId="0" fontId="1" fillId="4251" borderId="0" xfId="4" applyFill="1" applyAlignment="1">
      <alignment horizontal="center" vertical="center"/>
    </xf>
    <xf numFmtId="0" fontId="1" fillId="4252" borderId="0" xfId="4" applyFill="1" applyAlignment="1">
      <alignment horizontal="center" vertical="center"/>
    </xf>
    <xf numFmtId="0" fontId="1" fillId="4253" borderId="0" xfId="4" applyFill="1" applyAlignment="1">
      <alignment horizontal="center" vertical="center"/>
    </xf>
    <xf numFmtId="0" fontId="1" fillId="4254" borderId="0" xfId="4" applyFill="1" applyAlignment="1">
      <alignment horizontal="center" vertical="center"/>
    </xf>
    <xf numFmtId="0" fontId="1" fillId="4255" borderId="0" xfId="4" applyFill="1" applyAlignment="1">
      <alignment horizontal="center" vertical="center"/>
    </xf>
    <xf numFmtId="0" fontId="1" fillId="4256" borderId="0" xfId="4" applyFill="1" applyAlignment="1">
      <alignment horizontal="center" vertical="center"/>
    </xf>
    <xf numFmtId="0" fontId="1" fillId="4257" borderId="0" xfId="4" applyFill="1" applyAlignment="1">
      <alignment horizontal="center" vertical="center"/>
    </xf>
    <xf numFmtId="0" fontId="1" fillId="4258" borderId="0" xfId="4" applyFill="1" applyAlignment="1">
      <alignment horizontal="center" vertical="center"/>
    </xf>
    <xf numFmtId="0" fontId="1" fillId="4259" borderId="0" xfId="4" applyFill="1" applyAlignment="1">
      <alignment horizontal="center" vertical="center"/>
    </xf>
    <xf numFmtId="0" fontId="1" fillId="4260" borderId="0" xfId="4" applyFill="1" applyAlignment="1">
      <alignment horizontal="center" vertical="center"/>
    </xf>
    <xf numFmtId="0" fontId="1" fillId="4261" borderId="0" xfId="4" applyFill="1" applyAlignment="1">
      <alignment horizontal="center" vertical="center"/>
    </xf>
    <xf numFmtId="0" fontId="1" fillId="4262" borderId="0" xfId="4" applyFill="1" applyAlignment="1">
      <alignment horizontal="center" vertical="center"/>
    </xf>
    <xf numFmtId="0" fontId="1" fillId="4263" borderId="0" xfId="4" applyFill="1" applyAlignment="1">
      <alignment horizontal="center" vertical="center"/>
    </xf>
    <xf numFmtId="0" fontId="1" fillId="4264" borderId="0" xfId="4" applyFill="1" applyAlignment="1">
      <alignment horizontal="center" vertical="center"/>
    </xf>
    <xf numFmtId="0" fontId="1" fillId="4265" borderId="0" xfId="4" applyFill="1" applyAlignment="1">
      <alignment horizontal="center" vertical="center"/>
    </xf>
    <xf numFmtId="0" fontId="1" fillId="4266" borderId="0" xfId="4" applyFill="1" applyAlignment="1">
      <alignment horizontal="center" vertical="center"/>
    </xf>
    <xf numFmtId="0" fontId="1" fillId="4267" borderId="0" xfId="4" applyFill="1" applyAlignment="1">
      <alignment horizontal="center" vertical="center"/>
    </xf>
    <xf numFmtId="0" fontId="1" fillId="4268" borderId="0" xfId="4" applyFill="1" applyAlignment="1">
      <alignment horizontal="center" vertical="center"/>
    </xf>
    <xf numFmtId="0" fontId="1" fillId="4269" borderId="0" xfId="4" applyFill="1" applyAlignment="1">
      <alignment horizontal="left" vertical="center"/>
    </xf>
    <xf numFmtId="0" fontId="1" fillId="4270" borderId="0" xfId="4" applyFill="1" applyAlignment="1">
      <alignment horizontal="center" vertical="center"/>
    </xf>
    <xf numFmtId="0" fontId="1" fillId="4271" borderId="0" xfId="4" applyFill="1" applyAlignment="1">
      <alignment horizontal="center" vertical="center"/>
    </xf>
    <xf numFmtId="0" fontId="1" fillId="4272" borderId="0" xfId="4" applyFill="1" applyAlignment="1">
      <alignment horizontal="center" vertical="center"/>
    </xf>
    <xf numFmtId="0" fontId="1" fillId="4273" borderId="0" xfId="4" applyFill="1" applyAlignment="1">
      <alignment horizontal="center" vertical="center"/>
    </xf>
    <xf numFmtId="0" fontId="1" fillId="4274" borderId="0" xfId="4" applyFill="1" applyAlignment="1">
      <alignment horizontal="center" vertical="center"/>
    </xf>
    <xf numFmtId="0" fontId="1" fillId="4275" borderId="0" xfId="4" applyFill="1" applyAlignment="1">
      <alignment horizontal="center" vertical="center"/>
    </xf>
    <xf numFmtId="0" fontId="1" fillId="4276" borderId="0" xfId="4" applyFill="1" applyAlignment="1">
      <alignment horizontal="center" vertical="center"/>
    </xf>
    <xf numFmtId="0" fontId="1" fillId="3755" borderId="0" xfId="4" applyFill="1" applyAlignment="1">
      <alignment horizontal="center" vertical="center"/>
    </xf>
    <xf numFmtId="0" fontId="1" fillId="4277" borderId="0" xfId="4" applyFill="1" applyAlignment="1">
      <alignment horizontal="center" vertical="center"/>
    </xf>
    <xf numFmtId="0" fontId="1" fillId="4278" borderId="0" xfId="4" applyFill="1" applyAlignment="1">
      <alignment horizontal="center" vertical="center"/>
    </xf>
    <xf numFmtId="0" fontId="1" fillId="4279" borderId="0" xfId="4" applyFill="1" applyAlignment="1">
      <alignment horizontal="center" vertical="center"/>
    </xf>
    <xf numFmtId="0" fontId="1" fillId="4280" borderId="0" xfId="4" applyFill="1" applyAlignment="1">
      <alignment horizontal="center" vertical="center"/>
    </xf>
    <xf numFmtId="0" fontId="1" fillId="4281" borderId="0" xfId="4" applyFill="1" applyAlignment="1">
      <alignment horizontal="center" vertical="center"/>
    </xf>
    <xf numFmtId="0" fontId="1" fillId="4282" borderId="0" xfId="4" applyFill="1" applyAlignment="1">
      <alignment horizontal="center" vertical="center"/>
    </xf>
    <xf numFmtId="0" fontId="1" fillId="4283" borderId="0" xfId="4" applyFill="1" applyAlignment="1">
      <alignment horizontal="left" vertical="center"/>
    </xf>
    <xf numFmtId="0" fontId="1" fillId="4284" borderId="0" xfId="4" applyFill="1" applyAlignment="1">
      <alignment horizontal="center" vertical="center"/>
    </xf>
    <xf numFmtId="0" fontId="1" fillId="4285" borderId="0" xfId="4" applyFill="1" applyAlignment="1">
      <alignment horizontal="center" vertical="center"/>
    </xf>
    <xf numFmtId="0" fontId="1" fillId="4286" borderId="0" xfId="4" applyFill="1" applyAlignment="1">
      <alignment horizontal="left" vertical="center"/>
    </xf>
    <xf numFmtId="0" fontId="1" fillId="4287" borderId="0" xfId="4" applyFill="1" applyAlignment="1">
      <alignment horizontal="center" vertical="center"/>
    </xf>
    <xf numFmtId="0" fontId="1" fillId="4288" borderId="0" xfId="4" applyFill="1" applyAlignment="1">
      <alignment horizontal="center" vertical="center"/>
    </xf>
    <xf numFmtId="0" fontId="1" fillId="4289" borderId="0" xfId="4" applyFill="1" applyAlignment="1">
      <alignment horizontal="center" vertical="center"/>
    </xf>
    <xf numFmtId="0" fontId="1" fillId="4290" borderId="0" xfId="4" applyFill="1" applyAlignment="1">
      <alignment horizontal="center" vertical="center"/>
    </xf>
    <xf numFmtId="0" fontId="1" fillId="4291" borderId="0" xfId="4" applyFill="1" applyAlignment="1">
      <alignment horizontal="center" vertical="center"/>
    </xf>
    <xf numFmtId="0" fontId="1" fillId="4292" borderId="0" xfId="4" applyFill="1" applyAlignment="1">
      <alignment horizontal="center" vertical="center"/>
    </xf>
    <xf numFmtId="0" fontId="1" fillId="4293" borderId="0" xfId="4" applyFill="1" applyAlignment="1">
      <alignment horizontal="center" vertical="center"/>
    </xf>
    <xf numFmtId="0" fontId="1" fillId="4294" borderId="0" xfId="4" applyFill="1" applyAlignment="1">
      <alignment horizontal="center" vertical="center"/>
    </xf>
    <xf numFmtId="0" fontId="1" fillId="4295" borderId="0" xfId="4" applyFill="1" applyAlignment="1">
      <alignment horizontal="center" vertical="center"/>
    </xf>
    <xf numFmtId="0" fontId="1" fillId="4296" borderId="0" xfId="4" applyFill="1" applyAlignment="1">
      <alignment horizontal="center" vertical="center"/>
    </xf>
    <xf numFmtId="0" fontId="1" fillId="4297" borderId="0" xfId="4" applyFill="1" applyAlignment="1">
      <alignment horizontal="center" vertical="center"/>
    </xf>
    <xf numFmtId="0" fontId="1" fillId="4298" borderId="0" xfId="4" applyFill="1" applyAlignment="1">
      <alignment horizontal="center" vertical="center"/>
    </xf>
    <xf numFmtId="0" fontId="1" fillId="4299" borderId="0" xfId="4" applyFill="1" applyAlignment="1">
      <alignment horizontal="center" vertical="center"/>
    </xf>
    <xf numFmtId="0" fontId="1" fillId="4300" borderId="0" xfId="4" applyFill="1" applyAlignment="1">
      <alignment horizontal="center" vertical="center"/>
    </xf>
    <xf numFmtId="0" fontId="1" fillId="4301" borderId="0" xfId="4" applyFill="1" applyAlignment="1">
      <alignment horizontal="center" vertical="center"/>
    </xf>
    <xf numFmtId="0" fontId="1" fillId="4302" borderId="0" xfId="4" applyFill="1" applyAlignment="1">
      <alignment horizontal="center" vertical="center"/>
    </xf>
    <xf numFmtId="0" fontId="1" fillId="4303" borderId="0" xfId="4" applyFill="1" applyAlignment="1">
      <alignment horizontal="center" vertical="center"/>
    </xf>
    <xf numFmtId="0" fontId="1" fillId="4304" borderId="0" xfId="4" applyFill="1" applyAlignment="1">
      <alignment horizontal="center" vertical="center"/>
    </xf>
    <xf numFmtId="0" fontId="1" fillId="4305" borderId="0" xfId="4" applyFill="1" applyAlignment="1">
      <alignment horizontal="center" vertical="center"/>
    </xf>
    <xf numFmtId="0" fontId="1" fillId="4306" borderId="0" xfId="4" applyFill="1" applyAlignment="1">
      <alignment horizontal="center" vertical="center"/>
    </xf>
    <xf numFmtId="0" fontId="1" fillId="4307" borderId="0" xfId="4" applyFill="1" applyAlignment="1">
      <alignment horizontal="center" vertical="center"/>
    </xf>
    <xf numFmtId="0" fontId="1" fillId="4308" borderId="0" xfId="4" applyFill="1" applyAlignment="1">
      <alignment horizontal="center" vertical="center"/>
    </xf>
    <xf numFmtId="0" fontId="1" fillId="4309" borderId="0" xfId="4" applyFill="1" applyAlignment="1">
      <alignment horizontal="center" vertical="center"/>
    </xf>
    <xf numFmtId="0" fontId="1" fillId="4310" borderId="0" xfId="4" applyFill="1" applyAlignment="1">
      <alignment horizontal="center" vertical="center"/>
    </xf>
    <xf numFmtId="0" fontId="1" fillId="4311" borderId="0" xfId="4" applyFill="1" applyAlignment="1">
      <alignment horizontal="center" vertical="center"/>
    </xf>
    <xf numFmtId="0" fontId="1" fillId="4312" borderId="0" xfId="4" applyFill="1" applyAlignment="1">
      <alignment horizontal="center" vertical="center"/>
    </xf>
    <xf numFmtId="0" fontId="1" fillId="4313" borderId="0" xfId="4" applyFill="1" applyAlignment="1">
      <alignment horizontal="center" vertical="center"/>
    </xf>
    <xf numFmtId="0" fontId="1" fillId="4314" borderId="0" xfId="4" applyFill="1" applyAlignment="1">
      <alignment horizontal="center" vertical="center"/>
    </xf>
    <xf numFmtId="0" fontId="1" fillId="4315" borderId="0" xfId="4" applyFill="1" applyAlignment="1">
      <alignment horizontal="center" vertical="center"/>
    </xf>
    <xf numFmtId="0" fontId="1" fillId="4316" borderId="0" xfId="4" applyFill="1" applyAlignment="1">
      <alignment horizontal="left" vertical="center"/>
    </xf>
    <xf numFmtId="0" fontId="1" fillId="4317" borderId="0" xfId="4" applyFill="1" applyAlignment="1">
      <alignment horizontal="center" vertical="center"/>
    </xf>
    <xf numFmtId="0" fontId="1" fillId="4318" borderId="0" xfId="4" applyFill="1" applyAlignment="1">
      <alignment horizontal="center" vertical="center"/>
    </xf>
    <xf numFmtId="0" fontId="1" fillId="4319" borderId="0" xfId="4" applyFill="1" applyAlignment="1">
      <alignment horizontal="center" vertical="center"/>
    </xf>
    <xf numFmtId="0" fontId="1" fillId="4320" borderId="0" xfId="4" applyFill="1" applyAlignment="1">
      <alignment horizontal="center" vertical="center"/>
    </xf>
    <xf numFmtId="0" fontId="1" fillId="4321" borderId="0" xfId="4" applyFill="1" applyAlignment="1">
      <alignment horizontal="center" vertical="center"/>
    </xf>
    <xf numFmtId="0" fontId="1" fillId="4322" borderId="0" xfId="4" applyFill="1" applyAlignment="1">
      <alignment horizontal="center" vertical="center"/>
    </xf>
    <xf numFmtId="0" fontId="1" fillId="4323" borderId="0" xfId="4" applyFill="1" applyAlignment="1">
      <alignment horizontal="center" vertical="center"/>
    </xf>
    <xf numFmtId="0" fontId="1" fillId="4324" borderId="0" xfId="4" applyFill="1" applyAlignment="1">
      <alignment horizontal="center" vertical="center"/>
    </xf>
    <xf numFmtId="0" fontId="1" fillId="4325" borderId="0" xfId="4" applyFill="1" applyAlignment="1">
      <alignment horizontal="center" vertical="center"/>
    </xf>
    <xf numFmtId="0" fontId="1" fillId="4326" borderId="0" xfId="4" applyFill="1" applyAlignment="1">
      <alignment horizontal="center" vertical="center"/>
    </xf>
    <xf numFmtId="0" fontId="1" fillId="4327" borderId="0" xfId="4" applyFill="1" applyAlignment="1">
      <alignment horizontal="center" vertical="center"/>
    </xf>
    <xf numFmtId="0" fontId="1" fillId="4328" borderId="0" xfId="4" applyFill="1" applyAlignment="1">
      <alignment horizontal="center" vertical="center"/>
    </xf>
    <xf numFmtId="0" fontId="1" fillId="4329" borderId="0" xfId="4" applyFill="1" applyAlignment="1">
      <alignment horizontal="center" vertical="center"/>
    </xf>
    <xf numFmtId="0" fontId="1" fillId="4330" borderId="0" xfId="4" applyFill="1" applyAlignment="1">
      <alignment horizontal="center" vertical="center"/>
    </xf>
    <xf numFmtId="0" fontId="1" fillId="4331" borderId="0" xfId="4" applyFill="1" applyAlignment="1">
      <alignment horizontal="center" vertical="center"/>
    </xf>
    <xf numFmtId="0" fontId="1" fillId="4332" borderId="0" xfId="4" applyFill="1" applyAlignment="1">
      <alignment horizontal="center" vertical="center"/>
    </xf>
    <xf numFmtId="0" fontId="1" fillId="4333" borderId="0" xfId="4" applyFill="1" applyAlignment="1">
      <alignment horizontal="center" vertical="center"/>
    </xf>
    <xf numFmtId="0" fontId="1" fillId="4334" borderId="0" xfId="4" applyFill="1" applyAlignment="1">
      <alignment horizontal="center" vertical="center"/>
    </xf>
    <xf numFmtId="0" fontId="1" fillId="4335" borderId="0" xfId="4" applyFill="1" applyAlignment="1">
      <alignment horizontal="center" vertical="center"/>
    </xf>
    <xf numFmtId="0" fontId="1" fillId="4336" borderId="0" xfId="4" applyFill="1" applyAlignment="1">
      <alignment horizontal="center" vertical="center"/>
    </xf>
    <xf numFmtId="0" fontId="1" fillId="4337" borderId="0" xfId="4" applyFill="1" applyAlignment="1">
      <alignment horizontal="center" vertical="center"/>
    </xf>
    <xf numFmtId="0" fontId="1" fillId="4338" borderId="0" xfId="4" applyFill="1" applyAlignment="1">
      <alignment horizontal="center" vertical="center"/>
    </xf>
    <xf numFmtId="0" fontId="1" fillId="4339" borderId="0" xfId="4" applyFill="1" applyAlignment="1">
      <alignment horizontal="center" vertical="center"/>
    </xf>
    <xf numFmtId="0" fontId="1" fillId="4340" borderId="0" xfId="4" applyFill="1" applyAlignment="1">
      <alignment horizontal="center" vertical="center"/>
    </xf>
    <xf numFmtId="0" fontId="1" fillId="4341" borderId="0" xfId="4" applyFill="1" applyAlignment="1">
      <alignment horizontal="center" vertical="center"/>
    </xf>
    <xf numFmtId="0" fontId="1" fillId="4342" borderId="0" xfId="4" applyFill="1" applyAlignment="1">
      <alignment horizontal="center" vertical="center"/>
    </xf>
    <xf numFmtId="0" fontId="1" fillId="4343" borderId="0" xfId="4" applyFill="1" applyAlignment="1">
      <alignment horizontal="left" vertical="center"/>
    </xf>
    <xf numFmtId="0" fontId="1" fillId="4344" borderId="0" xfId="4" applyFill="1" applyAlignment="1">
      <alignment horizontal="center" vertical="center"/>
    </xf>
    <xf numFmtId="0" fontId="1" fillId="4345" borderId="0" xfId="4" applyFill="1" applyAlignment="1">
      <alignment horizontal="center" vertical="center"/>
    </xf>
    <xf numFmtId="0" fontId="1" fillId="4346" borderId="0" xfId="4" applyFill="1" applyAlignment="1">
      <alignment horizontal="center" vertical="center"/>
    </xf>
    <xf numFmtId="0" fontId="1" fillId="4347" borderId="0" xfId="4" applyFill="1" applyAlignment="1">
      <alignment horizontal="center" vertical="center"/>
    </xf>
    <xf numFmtId="0" fontId="1" fillId="4348" borderId="0" xfId="4" applyFill="1" applyAlignment="1">
      <alignment horizontal="center" vertical="center"/>
    </xf>
    <xf numFmtId="0" fontId="1" fillId="4349" borderId="0" xfId="4" applyFill="1" applyAlignment="1">
      <alignment horizontal="center" vertical="center"/>
    </xf>
    <xf numFmtId="0" fontId="1" fillId="4350" borderId="0" xfId="4" applyFill="1" applyAlignment="1">
      <alignment horizontal="center" vertical="center"/>
    </xf>
    <xf numFmtId="0" fontId="1" fillId="4351" borderId="0" xfId="4" applyFill="1" applyAlignment="1">
      <alignment horizontal="center" vertical="center"/>
    </xf>
    <xf numFmtId="0" fontId="1" fillId="3639" borderId="0" xfId="4" applyFill="1" applyAlignment="1">
      <alignment horizontal="center" vertical="center"/>
    </xf>
    <xf numFmtId="0" fontId="1" fillId="4352" borderId="0" xfId="4" applyFill="1" applyAlignment="1">
      <alignment horizontal="center" vertical="center"/>
    </xf>
    <xf numFmtId="0" fontId="1" fillId="4353" borderId="0" xfId="4" applyFill="1" applyAlignment="1">
      <alignment horizontal="center" vertical="center"/>
    </xf>
    <xf numFmtId="0" fontId="1" fillId="4354" borderId="0" xfId="4" applyFill="1" applyAlignment="1">
      <alignment horizontal="center" vertical="center"/>
    </xf>
    <xf numFmtId="0" fontId="1" fillId="4355" borderId="0" xfId="4" applyFill="1" applyAlignment="1">
      <alignment horizontal="center" vertical="center"/>
    </xf>
    <xf numFmtId="0" fontId="1" fillId="4356" borderId="0" xfId="4" applyFill="1" applyAlignment="1">
      <alignment horizontal="center" vertical="center"/>
    </xf>
    <xf numFmtId="0" fontId="1" fillId="4357" borderId="0" xfId="4" applyFill="1" applyAlignment="1">
      <alignment horizontal="center" vertical="center"/>
    </xf>
    <xf numFmtId="0" fontId="1" fillId="4358" borderId="0" xfId="4" applyFill="1" applyAlignment="1">
      <alignment horizontal="center" vertical="center"/>
    </xf>
    <xf numFmtId="0" fontId="1" fillId="4359" borderId="0" xfId="4" applyFill="1" applyAlignment="1">
      <alignment horizontal="center" vertical="center"/>
    </xf>
    <xf numFmtId="0" fontId="1" fillId="4360" borderId="0" xfId="4" applyFill="1" applyAlignment="1">
      <alignment horizontal="center" vertical="center"/>
    </xf>
    <xf numFmtId="0" fontId="1" fillId="4361" borderId="0" xfId="4" applyFill="1" applyAlignment="1">
      <alignment horizontal="center" vertical="center"/>
    </xf>
    <xf numFmtId="0" fontId="1" fillId="4362" borderId="0" xfId="4" applyFill="1" applyAlignment="1">
      <alignment horizontal="left" vertical="center"/>
    </xf>
    <xf numFmtId="0" fontId="1" fillId="4363" borderId="0" xfId="4" applyFill="1" applyAlignment="1">
      <alignment horizontal="center" vertical="center"/>
    </xf>
    <xf numFmtId="0" fontId="1" fillId="4364" borderId="0" xfId="4" applyFill="1" applyAlignment="1">
      <alignment horizontal="center" vertical="center"/>
    </xf>
    <xf numFmtId="0" fontId="1" fillId="4365" borderId="0" xfId="4" applyFill="1" applyAlignment="1">
      <alignment horizontal="left" vertical="center"/>
    </xf>
    <xf numFmtId="0" fontId="1" fillId="4366" borderId="0" xfId="4" applyFill="1" applyAlignment="1">
      <alignment horizontal="center" vertical="center"/>
    </xf>
    <xf numFmtId="0" fontId="1" fillId="4367" borderId="0" xfId="4" applyFill="1" applyAlignment="1">
      <alignment horizontal="center" vertical="center"/>
    </xf>
    <xf numFmtId="0" fontId="1" fillId="4368" borderId="0" xfId="4" applyFill="1" applyAlignment="1">
      <alignment horizontal="center" vertical="center"/>
    </xf>
    <xf numFmtId="0" fontId="1" fillId="4369" borderId="0" xfId="4" applyFill="1" applyAlignment="1">
      <alignment horizontal="center" vertical="center"/>
    </xf>
    <xf numFmtId="0" fontId="1" fillId="4370" borderId="0" xfId="4" applyFill="1" applyAlignment="1">
      <alignment horizontal="center" vertical="center"/>
    </xf>
    <xf numFmtId="0" fontId="1" fillId="4371" borderId="0" xfId="4" applyFill="1" applyAlignment="1">
      <alignment horizontal="center" vertical="center"/>
    </xf>
    <xf numFmtId="0" fontId="1" fillId="4372" borderId="0" xfId="4" applyFill="1" applyAlignment="1">
      <alignment horizontal="center" vertical="center"/>
    </xf>
    <xf numFmtId="0" fontId="1" fillId="4373" borderId="0" xfId="4" applyFill="1" applyAlignment="1">
      <alignment horizontal="center" vertical="center"/>
    </xf>
    <xf numFmtId="0" fontId="1" fillId="4374" borderId="0" xfId="4" applyFill="1" applyAlignment="1">
      <alignment horizontal="center" vertical="center"/>
    </xf>
    <xf numFmtId="0" fontId="1" fillId="4375" borderId="0" xfId="4" applyFill="1" applyAlignment="1">
      <alignment horizontal="center" vertical="center"/>
    </xf>
    <xf numFmtId="0" fontId="1" fillId="4376" borderId="0" xfId="4" applyFill="1" applyAlignment="1">
      <alignment horizontal="center" vertical="center"/>
    </xf>
    <xf numFmtId="0" fontId="1" fillId="4377" borderId="0" xfId="4" applyFill="1" applyAlignment="1">
      <alignment horizontal="center" vertical="center"/>
    </xf>
    <xf numFmtId="0" fontId="1" fillId="4378" borderId="0" xfId="4" applyFill="1" applyAlignment="1">
      <alignment horizontal="center" vertical="center"/>
    </xf>
    <xf numFmtId="0" fontId="1" fillId="4379" borderId="0" xfId="4" applyFill="1" applyAlignment="1">
      <alignment horizontal="center" vertical="center"/>
    </xf>
    <xf numFmtId="0" fontId="1" fillId="4380" borderId="0" xfId="4" applyFill="1" applyAlignment="1">
      <alignment horizontal="center" vertical="center"/>
    </xf>
    <xf numFmtId="0" fontId="1" fillId="4381" borderId="0" xfId="4" applyFill="1" applyAlignment="1">
      <alignment horizontal="center" vertical="center"/>
    </xf>
    <xf numFmtId="0" fontId="1" fillId="4382" borderId="0" xfId="4" applyFill="1" applyAlignment="1">
      <alignment horizontal="center" vertical="center"/>
    </xf>
    <xf numFmtId="0" fontId="1" fillId="4383" borderId="0" xfId="4" applyFill="1" applyAlignment="1">
      <alignment horizontal="center" vertical="center"/>
    </xf>
    <xf numFmtId="0" fontId="1" fillId="4384" borderId="0" xfId="4" applyFill="1" applyAlignment="1">
      <alignment horizontal="center" vertical="center"/>
    </xf>
    <xf numFmtId="0" fontId="1" fillId="4385" borderId="0" xfId="4" applyFill="1" applyAlignment="1">
      <alignment horizontal="center" vertical="center"/>
    </xf>
    <xf numFmtId="0" fontId="1" fillId="4386" borderId="0" xfId="4" applyFill="1" applyAlignment="1">
      <alignment horizontal="center" vertical="center"/>
    </xf>
    <xf numFmtId="0" fontId="1" fillId="4387" borderId="0" xfId="4" applyFill="1" applyAlignment="1">
      <alignment horizontal="center" vertical="center"/>
    </xf>
    <xf numFmtId="0" fontId="1" fillId="4388" borderId="0" xfId="4" applyFill="1" applyAlignment="1">
      <alignment horizontal="center" vertical="center"/>
    </xf>
    <xf numFmtId="0" fontId="1" fillId="4389" borderId="0" xfId="4" applyFill="1" applyAlignment="1">
      <alignment horizontal="center" vertical="center"/>
    </xf>
    <xf numFmtId="0" fontId="1" fillId="4390" borderId="0" xfId="4" applyFill="1" applyAlignment="1">
      <alignment horizontal="center" vertical="center"/>
    </xf>
    <xf numFmtId="0" fontId="1" fillId="4391" borderId="0" xfId="4" applyFill="1" applyAlignment="1">
      <alignment horizontal="center" vertical="center"/>
    </xf>
    <xf numFmtId="0" fontId="1" fillId="4392" borderId="0" xfId="4" applyFill="1" applyAlignment="1">
      <alignment horizontal="center" vertical="center"/>
    </xf>
    <xf numFmtId="0" fontId="1" fillId="4393" borderId="0" xfId="4" applyFill="1" applyAlignment="1">
      <alignment horizontal="center" vertical="center"/>
    </xf>
    <xf numFmtId="0" fontId="1" fillId="4394" borderId="0" xfId="4" applyFill="1" applyAlignment="1">
      <alignment horizontal="left" vertical="center"/>
    </xf>
    <xf numFmtId="0" fontId="1" fillId="4395" borderId="0" xfId="4" applyFill="1" applyAlignment="1">
      <alignment horizontal="center" vertical="center"/>
    </xf>
    <xf numFmtId="0" fontId="1" fillId="4396" borderId="0" xfId="4" applyFill="1" applyAlignment="1">
      <alignment horizontal="center" vertical="center"/>
    </xf>
    <xf numFmtId="0" fontId="1" fillId="4397" borderId="0" xfId="4" applyFill="1" applyAlignment="1">
      <alignment horizontal="center" vertical="center"/>
    </xf>
    <xf numFmtId="0" fontId="1" fillId="4398" borderId="0" xfId="4" applyFill="1" applyAlignment="1">
      <alignment horizontal="center" vertical="center"/>
    </xf>
    <xf numFmtId="0" fontId="1" fillId="3162" borderId="0" xfId="4" applyFill="1" applyAlignment="1">
      <alignment horizontal="center" vertical="center"/>
    </xf>
    <xf numFmtId="0" fontId="1" fillId="4399" borderId="0" xfId="4" applyFill="1" applyAlignment="1">
      <alignment horizontal="center" vertical="center"/>
    </xf>
    <xf numFmtId="0" fontId="1" fillId="4400" borderId="0" xfId="4" applyFill="1" applyAlignment="1">
      <alignment horizontal="center" vertical="center"/>
    </xf>
    <xf numFmtId="0" fontId="1" fillId="4401" borderId="0" xfId="4" applyFill="1" applyAlignment="1">
      <alignment horizontal="center" vertical="center"/>
    </xf>
    <xf numFmtId="0" fontId="1" fillId="4402" borderId="0" xfId="4" applyFill="1" applyAlignment="1">
      <alignment horizontal="center" vertical="center"/>
    </xf>
    <xf numFmtId="0" fontId="1" fillId="4403" borderId="0" xfId="4" applyFill="1" applyAlignment="1">
      <alignment horizontal="center" vertical="center"/>
    </xf>
    <xf numFmtId="0" fontId="1" fillId="4404" borderId="0" xfId="4" applyFill="1" applyAlignment="1">
      <alignment horizontal="center" vertical="center"/>
    </xf>
    <xf numFmtId="0" fontId="1" fillId="4405" borderId="0" xfId="4" applyFill="1" applyAlignment="1">
      <alignment horizontal="center" vertical="center"/>
    </xf>
    <xf numFmtId="0" fontId="1" fillId="4406" borderId="0" xfId="4" applyFill="1" applyAlignment="1">
      <alignment horizontal="center" vertical="center"/>
    </xf>
    <xf numFmtId="0" fontId="1" fillId="4407" borderId="0" xfId="4" applyFill="1" applyAlignment="1">
      <alignment horizontal="center" vertical="center"/>
    </xf>
    <xf numFmtId="0" fontId="1" fillId="4408" borderId="0" xfId="4" applyFill="1" applyAlignment="1">
      <alignment horizontal="center" vertical="center"/>
    </xf>
    <xf numFmtId="0" fontId="1" fillId="4409" borderId="0" xfId="4" applyFill="1" applyAlignment="1">
      <alignment horizontal="center" vertical="center"/>
    </xf>
    <xf numFmtId="0" fontId="1" fillId="4410" borderId="0" xfId="4" applyFill="1" applyAlignment="1">
      <alignment horizontal="center" vertical="center"/>
    </xf>
    <xf numFmtId="0" fontId="1" fillId="4411" borderId="0" xfId="4" applyFill="1" applyAlignment="1">
      <alignment horizontal="center" vertical="center"/>
    </xf>
    <xf numFmtId="0" fontId="1" fillId="4412" borderId="0" xfId="4" applyFill="1" applyAlignment="1">
      <alignment horizontal="center" vertical="center"/>
    </xf>
    <xf numFmtId="0" fontId="1" fillId="4413" borderId="0" xfId="4" applyFill="1" applyAlignment="1">
      <alignment horizontal="center" vertical="center"/>
    </xf>
    <xf numFmtId="0" fontId="1" fillId="4414" borderId="0" xfId="4" applyFill="1" applyAlignment="1">
      <alignment horizontal="center" vertical="center"/>
    </xf>
    <xf numFmtId="0" fontId="1" fillId="4415" borderId="0" xfId="4" applyFill="1" applyAlignment="1">
      <alignment horizontal="center" vertical="center"/>
    </xf>
    <xf numFmtId="0" fontId="1" fillId="4416" borderId="0" xfId="4" applyFill="1" applyAlignment="1">
      <alignment horizontal="center" vertical="center"/>
    </xf>
    <xf numFmtId="0" fontId="1" fillId="4417" borderId="0" xfId="4" applyFill="1" applyAlignment="1">
      <alignment horizontal="left" vertical="center"/>
    </xf>
    <xf numFmtId="0" fontId="1" fillId="4418" borderId="0" xfId="4" applyFill="1" applyAlignment="1">
      <alignment horizontal="center" vertical="center"/>
    </xf>
    <xf numFmtId="0" fontId="1" fillId="4419" borderId="0" xfId="4" applyFill="1" applyAlignment="1">
      <alignment horizontal="center" vertical="center"/>
    </xf>
    <xf numFmtId="0" fontId="1" fillId="4420" borderId="0" xfId="4" applyFill="1" applyAlignment="1">
      <alignment horizontal="center" vertical="center"/>
    </xf>
    <xf numFmtId="0" fontId="1" fillId="4421" borderId="0" xfId="4" applyFill="1" applyAlignment="1">
      <alignment horizontal="center" vertical="center"/>
    </xf>
    <xf numFmtId="0" fontId="1" fillId="4422" borderId="0" xfId="4" applyFill="1" applyAlignment="1">
      <alignment horizontal="center" vertical="center"/>
    </xf>
    <xf numFmtId="0" fontId="1" fillId="4423" borderId="0" xfId="4" applyFill="1" applyAlignment="1">
      <alignment horizontal="center" vertical="center"/>
    </xf>
    <xf numFmtId="0" fontId="1" fillId="4424" borderId="0" xfId="4" applyFill="1" applyAlignment="1">
      <alignment horizontal="center" vertical="center"/>
    </xf>
    <xf numFmtId="0" fontId="1" fillId="4425" borderId="0" xfId="4" applyFill="1" applyAlignment="1">
      <alignment horizontal="center" vertical="center"/>
    </xf>
    <xf numFmtId="0" fontId="1" fillId="4426" borderId="0" xfId="4" applyFill="1" applyAlignment="1">
      <alignment horizontal="center" vertical="center"/>
    </xf>
    <xf numFmtId="0" fontId="1" fillId="4427" borderId="0" xfId="4" applyFill="1" applyAlignment="1">
      <alignment horizontal="center" vertical="center"/>
    </xf>
    <xf numFmtId="0" fontId="1" fillId="4428" borderId="0" xfId="4" applyFill="1" applyAlignment="1">
      <alignment horizontal="center" vertical="center"/>
    </xf>
    <xf numFmtId="0" fontId="1" fillId="4429" borderId="0" xfId="4" applyFill="1" applyAlignment="1">
      <alignment horizontal="center" vertical="center"/>
    </xf>
    <xf numFmtId="0" fontId="1" fillId="4430" borderId="0" xfId="4" applyFill="1" applyAlignment="1">
      <alignment horizontal="center" vertical="center"/>
    </xf>
    <xf numFmtId="0" fontId="1" fillId="4431" borderId="0" xfId="4" applyFill="1" applyAlignment="1">
      <alignment horizontal="center" vertical="center"/>
    </xf>
    <xf numFmtId="0" fontId="1" fillId="4432" borderId="0" xfId="4" applyFill="1" applyAlignment="1">
      <alignment horizontal="center" vertical="center"/>
    </xf>
    <xf numFmtId="0" fontId="1" fillId="4433" borderId="0" xfId="4" applyFill="1" applyAlignment="1">
      <alignment horizontal="center" vertical="center"/>
    </xf>
    <xf numFmtId="0" fontId="1" fillId="4434" borderId="0" xfId="4" applyFill="1" applyAlignment="1">
      <alignment horizontal="center" vertical="center"/>
    </xf>
    <xf numFmtId="0" fontId="1" fillId="4435" borderId="0" xfId="4" applyFill="1" applyAlignment="1">
      <alignment horizontal="center" vertical="center"/>
    </xf>
    <xf numFmtId="0" fontId="1" fillId="4436" borderId="0" xfId="4" applyFill="1" applyAlignment="1">
      <alignment horizontal="center" vertical="center"/>
    </xf>
    <xf numFmtId="0" fontId="1" fillId="4437" borderId="0" xfId="4" applyFill="1" applyAlignment="1">
      <alignment horizontal="left" vertical="center"/>
    </xf>
    <xf numFmtId="0" fontId="1" fillId="4438" borderId="0" xfId="4" applyFill="1" applyAlignment="1">
      <alignment horizontal="center" vertical="center"/>
    </xf>
    <xf numFmtId="0" fontId="1" fillId="4439" borderId="0" xfId="4" applyFill="1" applyAlignment="1">
      <alignment horizontal="center" vertical="center"/>
    </xf>
    <xf numFmtId="0" fontId="1" fillId="4440" borderId="0" xfId="4" applyFill="1" applyAlignment="1">
      <alignment horizontal="left" vertical="center"/>
    </xf>
    <xf numFmtId="0" fontId="1" fillId="4441" borderId="0" xfId="4" applyFill="1" applyAlignment="1">
      <alignment horizontal="center" vertical="center"/>
    </xf>
    <xf numFmtId="0" fontId="1" fillId="4442" borderId="0" xfId="4" applyFill="1" applyAlignment="1">
      <alignment horizontal="center" vertical="center"/>
    </xf>
    <xf numFmtId="0" fontId="1" fillId="4443" borderId="0" xfId="4" applyFill="1" applyAlignment="1">
      <alignment horizontal="center" vertical="center"/>
    </xf>
    <xf numFmtId="0" fontId="1" fillId="4444" borderId="0" xfId="4" applyFill="1" applyAlignment="1">
      <alignment horizontal="center" vertical="center"/>
    </xf>
    <xf numFmtId="0" fontId="1" fillId="4445" borderId="0" xfId="4" applyFill="1" applyAlignment="1">
      <alignment horizontal="center" vertical="center"/>
    </xf>
    <xf numFmtId="0" fontId="1" fillId="4446" borderId="0" xfId="4" applyFill="1" applyAlignment="1">
      <alignment horizontal="center" vertical="center"/>
    </xf>
    <xf numFmtId="0" fontId="1" fillId="4447" borderId="0" xfId="4" applyFill="1" applyAlignment="1">
      <alignment horizontal="center" vertical="center"/>
    </xf>
    <xf numFmtId="0" fontId="1" fillId="4448" borderId="0" xfId="4" applyFill="1" applyAlignment="1">
      <alignment horizontal="center" vertical="center"/>
    </xf>
    <xf numFmtId="0" fontId="1" fillId="4449" borderId="0" xfId="4" applyFill="1" applyAlignment="1">
      <alignment horizontal="center" vertical="center"/>
    </xf>
    <xf numFmtId="0" fontId="1" fillId="4450" borderId="0" xfId="4" applyFill="1" applyAlignment="1">
      <alignment horizontal="center" vertical="center"/>
    </xf>
    <xf numFmtId="0" fontId="1" fillId="4451" borderId="0" xfId="4" applyFill="1" applyAlignment="1">
      <alignment horizontal="center" vertical="center"/>
    </xf>
    <xf numFmtId="0" fontId="1" fillId="4452" borderId="0" xfId="4" applyFill="1" applyAlignment="1">
      <alignment horizontal="center" vertical="center"/>
    </xf>
    <xf numFmtId="0" fontId="1" fillId="4453" borderId="0" xfId="4" applyFill="1" applyAlignment="1">
      <alignment horizontal="center" vertical="center"/>
    </xf>
    <xf numFmtId="0" fontId="1" fillId="4454" borderId="0" xfId="4" applyFill="1" applyAlignment="1">
      <alignment horizontal="center" vertical="center"/>
    </xf>
    <xf numFmtId="0" fontId="1" fillId="4455" borderId="0" xfId="4" applyFill="1" applyAlignment="1">
      <alignment horizontal="center" vertical="center"/>
    </xf>
    <xf numFmtId="0" fontId="1" fillId="4456" borderId="0" xfId="4" applyFill="1" applyAlignment="1">
      <alignment horizontal="center" vertical="center"/>
    </xf>
    <xf numFmtId="0" fontId="1" fillId="4457" borderId="0" xfId="4" applyFill="1" applyAlignment="1">
      <alignment horizontal="center" vertical="center"/>
    </xf>
    <xf numFmtId="0" fontId="1" fillId="4458" borderId="0" xfId="4" applyFill="1" applyAlignment="1">
      <alignment horizontal="center" vertical="center"/>
    </xf>
    <xf numFmtId="0" fontId="1" fillId="82" borderId="0" xfId="4" applyFill="1" applyAlignment="1">
      <alignment horizontal="center" vertical="center"/>
    </xf>
    <xf numFmtId="0" fontId="1" fillId="4459" borderId="0" xfId="4" applyFill="1" applyAlignment="1">
      <alignment horizontal="center" vertical="center"/>
    </xf>
    <xf numFmtId="0" fontId="1" fillId="4460" borderId="0" xfId="4" applyFill="1" applyAlignment="1">
      <alignment horizontal="center" vertical="center"/>
    </xf>
    <xf numFmtId="0" fontId="1" fillId="4461" borderId="0" xfId="4" applyFill="1" applyAlignment="1">
      <alignment horizontal="center" vertical="center"/>
    </xf>
    <xf numFmtId="0" fontId="1" fillId="4462" borderId="0" xfId="4" applyFill="1" applyAlignment="1">
      <alignment horizontal="center" vertical="center"/>
    </xf>
    <xf numFmtId="0" fontId="1" fillId="4463" borderId="0" xfId="4" applyFill="1" applyAlignment="1">
      <alignment horizontal="center" vertical="center"/>
    </xf>
    <xf numFmtId="0" fontId="1" fillId="4464" borderId="0" xfId="4" applyFill="1" applyAlignment="1">
      <alignment horizontal="center" vertical="center"/>
    </xf>
    <xf numFmtId="0" fontId="1" fillId="4465" borderId="0" xfId="4" applyFill="1" applyAlignment="1">
      <alignment horizontal="center" vertical="center"/>
    </xf>
    <xf numFmtId="0" fontId="1" fillId="4466" borderId="0" xfId="4" applyFill="1" applyAlignment="1">
      <alignment horizontal="left" vertical="center"/>
    </xf>
    <xf numFmtId="0" fontId="1" fillId="4467" borderId="0" xfId="4" applyFill="1" applyAlignment="1">
      <alignment horizontal="center" vertical="center"/>
    </xf>
    <xf numFmtId="0" fontId="1" fillId="4468" borderId="0" xfId="4" applyFill="1" applyAlignment="1">
      <alignment horizontal="center" vertical="center"/>
    </xf>
    <xf numFmtId="0" fontId="1" fillId="4469" borderId="0" xfId="4" applyFill="1" applyAlignment="1">
      <alignment horizontal="center" vertical="center"/>
    </xf>
    <xf numFmtId="0" fontId="1" fillId="4470" borderId="0" xfId="4" applyFill="1" applyAlignment="1">
      <alignment horizontal="center" vertical="center"/>
    </xf>
    <xf numFmtId="0" fontId="1" fillId="4471" borderId="0" xfId="4" applyFill="1" applyAlignment="1">
      <alignment horizontal="center" vertical="center"/>
    </xf>
    <xf numFmtId="0" fontId="1" fillId="4472" borderId="0" xfId="4" applyFill="1" applyAlignment="1">
      <alignment horizontal="center" vertical="center"/>
    </xf>
    <xf numFmtId="0" fontId="1" fillId="4473" borderId="0" xfId="4" applyFill="1" applyAlignment="1">
      <alignment horizontal="center" vertical="center"/>
    </xf>
    <xf numFmtId="0" fontId="1" fillId="4474" borderId="0" xfId="4" applyFill="1" applyAlignment="1">
      <alignment horizontal="center" vertical="center"/>
    </xf>
    <xf numFmtId="0" fontId="1" fillId="4475" borderId="0" xfId="4" applyFill="1" applyAlignment="1">
      <alignment horizontal="center" vertical="center"/>
    </xf>
    <xf numFmtId="0" fontId="1" fillId="4476" borderId="0" xfId="4" applyFill="1" applyAlignment="1">
      <alignment horizontal="center" vertical="center"/>
    </xf>
    <xf numFmtId="0" fontId="1" fillId="4477" borderId="0" xfId="4" applyFill="1" applyAlignment="1">
      <alignment horizontal="center" vertical="center"/>
    </xf>
    <xf numFmtId="0" fontId="1" fillId="4478" borderId="0" xfId="4" applyFill="1" applyAlignment="1">
      <alignment horizontal="center" vertical="center"/>
    </xf>
    <xf numFmtId="0" fontId="1" fillId="4479" borderId="0" xfId="4" applyFill="1" applyAlignment="1">
      <alignment horizontal="center" vertical="center"/>
    </xf>
    <xf numFmtId="0" fontId="1" fillId="4480" borderId="0" xfId="4" applyFill="1" applyAlignment="1">
      <alignment horizontal="center" vertical="center"/>
    </xf>
    <xf numFmtId="0" fontId="1" fillId="3718" borderId="0" xfId="4" applyFill="1" applyAlignment="1">
      <alignment horizontal="center" vertical="center"/>
    </xf>
    <xf numFmtId="0" fontId="1" fillId="4481" borderId="0" xfId="4" applyFill="1" applyAlignment="1">
      <alignment horizontal="center" vertical="center"/>
    </xf>
    <xf numFmtId="0" fontId="1" fillId="4482" borderId="0" xfId="4" applyFill="1" applyAlignment="1">
      <alignment horizontal="center" vertical="center"/>
    </xf>
    <xf numFmtId="0" fontId="1" fillId="4483" borderId="0" xfId="4" applyFill="1" applyAlignment="1">
      <alignment horizontal="center" vertical="center"/>
    </xf>
    <xf numFmtId="0" fontId="1" fillId="4484" borderId="0" xfId="4" applyFill="1" applyAlignment="1">
      <alignment horizontal="center" vertical="center"/>
    </xf>
    <xf numFmtId="0" fontId="1" fillId="4485" borderId="0" xfId="4" applyFill="1" applyAlignment="1">
      <alignment horizontal="center" vertical="center"/>
    </xf>
    <xf numFmtId="0" fontId="1" fillId="4486" borderId="0" xfId="4" applyFill="1" applyAlignment="1">
      <alignment horizontal="center" vertical="center"/>
    </xf>
    <xf numFmtId="0" fontId="1" fillId="4487" borderId="0" xfId="4" applyFill="1" applyAlignment="1">
      <alignment horizontal="left" vertical="center"/>
    </xf>
    <xf numFmtId="0" fontId="1" fillId="4488" borderId="0" xfId="4" applyFill="1" applyAlignment="1">
      <alignment horizontal="center" vertical="center"/>
    </xf>
    <xf numFmtId="0" fontId="1" fillId="4489" borderId="0" xfId="4" applyFill="1" applyAlignment="1">
      <alignment horizontal="center" vertical="center"/>
    </xf>
    <xf numFmtId="0" fontId="1" fillId="4490" borderId="0" xfId="4" applyFill="1" applyAlignment="1">
      <alignment horizontal="center" vertical="center"/>
    </xf>
    <xf numFmtId="0" fontId="1" fillId="4491" borderId="0" xfId="4" applyFill="1" applyAlignment="1">
      <alignment horizontal="center" vertical="center"/>
    </xf>
    <xf numFmtId="0" fontId="1" fillId="4492" borderId="0" xfId="4" applyFill="1" applyAlignment="1">
      <alignment horizontal="center" vertical="center"/>
    </xf>
    <xf numFmtId="0" fontId="1" fillId="4493" borderId="0" xfId="4" applyFill="1" applyAlignment="1">
      <alignment horizontal="center" vertical="center"/>
    </xf>
    <xf numFmtId="0" fontId="1" fillId="4494" borderId="0" xfId="4" applyFill="1" applyAlignment="1">
      <alignment horizontal="center" vertical="center"/>
    </xf>
    <xf numFmtId="0" fontId="1" fillId="4495" borderId="0" xfId="4" applyFill="1" applyAlignment="1">
      <alignment horizontal="center" vertical="center"/>
    </xf>
    <xf numFmtId="0" fontId="1" fillId="4496" borderId="0" xfId="4" applyFill="1" applyAlignment="1">
      <alignment horizontal="center" vertical="center"/>
    </xf>
    <xf numFmtId="0" fontId="1" fillId="4497" borderId="0" xfId="4" applyFill="1" applyAlignment="1">
      <alignment horizontal="center" vertical="center"/>
    </xf>
    <xf numFmtId="0" fontId="1" fillId="4498" borderId="0" xfId="4" applyFill="1" applyAlignment="1">
      <alignment horizontal="center" vertical="center"/>
    </xf>
    <xf numFmtId="0" fontId="1" fillId="4499" borderId="0" xfId="4" applyFill="1" applyAlignment="1">
      <alignment horizontal="center" vertical="center"/>
    </xf>
    <xf numFmtId="0" fontId="1" fillId="4500" borderId="0" xfId="4" applyFill="1" applyAlignment="1">
      <alignment horizontal="center" vertical="center"/>
    </xf>
    <xf numFmtId="0" fontId="1" fillId="4501" borderId="0" xfId="4" applyFill="1" applyAlignment="1">
      <alignment horizontal="center" vertical="center"/>
    </xf>
    <xf numFmtId="0" fontId="1" fillId="4502" borderId="0" xfId="4" applyFill="1" applyAlignment="1">
      <alignment horizontal="center" vertical="center"/>
    </xf>
    <xf numFmtId="0" fontId="1" fillId="4503" borderId="0" xfId="4" applyFill="1" applyAlignment="1">
      <alignment horizontal="center" vertical="center"/>
    </xf>
    <xf numFmtId="0" fontId="1" fillId="4504" borderId="0" xfId="4" applyFill="1" applyAlignment="1">
      <alignment horizontal="center" vertical="center"/>
    </xf>
    <xf numFmtId="0" fontId="1" fillId="4505" borderId="0" xfId="4" applyFill="1" applyAlignment="1">
      <alignment horizontal="center" vertical="center"/>
    </xf>
    <xf numFmtId="0" fontId="1" fillId="4506" borderId="0" xfId="4" applyFill="1" applyAlignment="1">
      <alignment horizontal="center" vertical="center"/>
    </xf>
    <xf numFmtId="0" fontId="1" fillId="4507" borderId="0" xfId="4" applyFill="1" applyAlignment="1">
      <alignment horizontal="center" vertical="center"/>
    </xf>
    <xf numFmtId="0" fontId="1" fillId="4508" borderId="0" xfId="4" applyFill="1" applyAlignment="1">
      <alignment horizontal="left" vertical="center"/>
    </xf>
    <xf numFmtId="0" fontId="1" fillId="4509" borderId="0" xfId="4" applyFill="1" applyAlignment="1">
      <alignment horizontal="center" vertical="center"/>
    </xf>
    <xf numFmtId="0" fontId="1" fillId="4510" borderId="0" xfId="4" applyFill="1" applyAlignment="1">
      <alignment horizontal="center" vertical="center"/>
    </xf>
    <xf numFmtId="0" fontId="1" fillId="4511" borderId="0" xfId="4" applyFill="1" applyAlignment="1">
      <alignment horizontal="left" vertical="center"/>
    </xf>
    <xf numFmtId="0" fontId="1" fillId="4512" borderId="0" xfId="4" applyFill="1" applyAlignment="1">
      <alignment horizontal="center" vertical="center"/>
    </xf>
    <xf numFmtId="0" fontId="1" fillId="4513" borderId="0" xfId="4" applyFill="1" applyAlignment="1">
      <alignment horizontal="center" vertical="center"/>
    </xf>
    <xf numFmtId="0" fontId="1" fillId="4514" borderId="0" xfId="4" applyFill="1" applyAlignment="1">
      <alignment horizontal="center" vertical="center"/>
    </xf>
    <xf numFmtId="0" fontId="1" fillId="4515" borderId="0" xfId="4" applyFill="1" applyAlignment="1">
      <alignment horizontal="center" vertical="center"/>
    </xf>
    <xf numFmtId="0" fontId="1" fillId="4516" borderId="0" xfId="4" applyFill="1" applyAlignment="1">
      <alignment horizontal="center" vertical="center"/>
    </xf>
    <xf numFmtId="0" fontId="1" fillId="4517" borderId="0" xfId="4" applyFill="1" applyAlignment="1">
      <alignment horizontal="center" vertical="center"/>
    </xf>
    <xf numFmtId="0" fontId="1" fillId="4518" borderId="0" xfId="4" applyFill="1" applyAlignment="1">
      <alignment horizontal="center" vertical="center"/>
    </xf>
    <xf numFmtId="0" fontId="1" fillId="4519" borderId="0" xfId="4" applyFill="1" applyAlignment="1">
      <alignment horizontal="center" vertical="center"/>
    </xf>
    <xf numFmtId="0" fontId="1" fillId="4520" borderId="0" xfId="4" applyFill="1" applyAlignment="1">
      <alignment horizontal="center" vertical="center"/>
    </xf>
    <xf numFmtId="0" fontId="1" fillId="4521" borderId="0" xfId="4" applyFill="1" applyAlignment="1">
      <alignment horizontal="center" vertical="center"/>
    </xf>
    <xf numFmtId="0" fontId="1" fillId="4522" borderId="0" xfId="4" applyFill="1" applyAlignment="1">
      <alignment horizontal="center" vertical="center"/>
    </xf>
    <xf numFmtId="0" fontId="1" fillId="4523" borderId="0" xfId="4" applyFill="1" applyAlignment="1">
      <alignment horizontal="center" vertical="center"/>
    </xf>
    <xf numFmtId="0" fontId="1" fillId="4524" borderId="0" xfId="4" applyFill="1" applyAlignment="1">
      <alignment horizontal="center" vertical="center"/>
    </xf>
    <xf numFmtId="0" fontId="1" fillId="569" borderId="0" xfId="4" applyFill="1" applyAlignment="1">
      <alignment horizontal="center" vertical="center"/>
    </xf>
    <xf numFmtId="0" fontId="1" fillId="4525" borderId="0" xfId="4" applyFill="1" applyAlignment="1">
      <alignment horizontal="center" vertical="center"/>
    </xf>
    <xf numFmtId="0" fontId="1" fillId="4526" borderId="0" xfId="4" applyFill="1" applyAlignment="1">
      <alignment horizontal="center" vertical="center"/>
    </xf>
    <xf numFmtId="0" fontId="1" fillId="686" borderId="0" xfId="4" applyFill="1" applyAlignment="1">
      <alignment horizontal="center" vertical="center"/>
    </xf>
    <xf numFmtId="0" fontId="1" fillId="4527" borderId="0" xfId="4" applyFill="1" applyAlignment="1">
      <alignment horizontal="center" vertical="center"/>
    </xf>
    <xf numFmtId="0" fontId="1" fillId="4528" borderId="0" xfId="4" applyFill="1" applyAlignment="1">
      <alignment horizontal="center" vertical="center"/>
    </xf>
    <xf numFmtId="0" fontId="1" fillId="4529" borderId="0" xfId="4" applyFill="1" applyAlignment="1">
      <alignment horizontal="center" vertical="center"/>
    </xf>
    <xf numFmtId="0" fontId="1" fillId="4530" borderId="0" xfId="4" applyFill="1" applyAlignment="1">
      <alignment horizontal="center" vertical="center"/>
    </xf>
    <xf numFmtId="0" fontId="1" fillId="4531" borderId="0" xfId="4" applyFill="1" applyAlignment="1">
      <alignment horizontal="center" vertical="center"/>
    </xf>
    <xf numFmtId="0" fontId="1" fillId="4532" borderId="0" xfId="4" applyFill="1" applyAlignment="1">
      <alignment horizontal="center" vertical="center"/>
    </xf>
    <xf numFmtId="0" fontId="1" fillId="4533" borderId="0" xfId="4" applyFill="1" applyAlignment="1">
      <alignment horizontal="center" vertical="center"/>
    </xf>
    <xf numFmtId="0" fontId="1" fillId="4534" borderId="0" xfId="4" applyFill="1" applyAlignment="1">
      <alignment horizontal="center" vertical="center"/>
    </xf>
    <xf numFmtId="0" fontId="1" fillId="4535" borderId="0" xfId="4" applyFill="1" applyAlignment="1">
      <alignment horizontal="center" vertical="center"/>
    </xf>
    <xf numFmtId="0" fontId="1" fillId="4536" borderId="0" xfId="4" applyFill="1" applyAlignment="1">
      <alignment horizontal="left" vertical="center"/>
    </xf>
    <xf numFmtId="0" fontId="1" fillId="4537" borderId="0" xfId="4" applyFill="1" applyAlignment="1">
      <alignment horizontal="center" vertical="center"/>
    </xf>
    <xf numFmtId="0" fontId="1" fillId="4538" borderId="0" xfId="4" applyFill="1" applyAlignment="1">
      <alignment horizontal="center" vertical="center"/>
    </xf>
    <xf numFmtId="0" fontId="1" fillId="4539" borderId="0" xfId="4" applyFill="1" applyAlignment="1">
      <alignment horizontal="center" vertical="center"/>
    </xf>
    <xf numFmtId="0" fontId="1" fillId="4540" borderId="0" xfId="4" applyFill="1" applyAlignment="1">
      <alignment horizontal="center" vertical="center"/>
    </xf>
    <xf numFmtId="0" fontId="1" fillId="4541" borderId="0" xfId="4" applyFill="1" applyAlignment="1">
      <alignment horizontal="center" vertical="center"/>
    </xf>
    <xf numFmtId="0" fontId="1" fillId="4542" borderId="0" xfId="4" applyFill="1" applyAlignment="1">
      <alignment horizontal="center" vertical="center"/>
    </xf>
    <xf numFmtId="0" fontId="1" fillId="4543" borderId="0" xfId="4" applyFill="1" applyAlignment="1">
      <alignment horizontal="center" vertical="center"/>
    </xf>
    <xf numFmtId="0" fontId="1" fillId="4544" borderId="0" xfId="4" applyFill="1" applyAlignment="1">
      <alignment horizontal="center" vertical="center"/>
    </xf>
    <xf numFmtId="0" fontId="1" fillId="4545" borderId="0" xfId="4" applyFill="1" applyAlignment="1">
      <alignment horizontal="center" vertical="center"/>
    </xf>
    <xf numFmtId="0" fontId="1" fillId="4546" borderId="0" xfId="4" applyFill="1" applyAlignment="1">
      <alignment horizontal="center" vertical="center"/>
    </xf>
    <xf numFmtId="0" fontId="1" fillId="4547" borderId="0" xfId="4" applyFill="1" applyAlignment="1">
      <alignment horizontal="center" vertical="center"/>
    </xf>
    <xf numFmtId="0" fontId="1" fillId="4548" borderId="0" xfId="4" applyFill="1" applyAlignment="1">
      <alignment horizontal="center" vertical="center"/>
    </xf>
    <xf numFmtId="0" fontId="1" fillId="4549" borderId="0" xfId="4" applyFill="1" applyAlignment="1">
      <alignment horizontal="center" vertical="center"/>
    </xf>
    <xf numFmtId="0" fontId="1" fillId="4550" borderId="0" xfId="4" applyFill="1" applyAlignment="1">
      <alignment horizontal="center" vertical="center"/>
    </xf>
    <xf numFmtId="0" fontId="1" fillId="4551" borderId="0" xfId="4" applyFill="1" applyAlignment="1">
      <alignment horizontal="center" vertical="center"/>
    </xf>
    <xf numFmtId="0" fontId="1" fillId="4552" borderId="0" xfId="4" applyFill="1" applyAlignment="1">
      <alignment horizontal="center" vertical="center"/>
    </xf>
    <xf numFmtId="0" fontId="1" fillId="4553" borderId="0" xfId="4" applyFill="1" applyAlignment="1">
      <alignment horizontal="center" vertical="center"/>
    </xf>
    <xf numFmtId="0" fontId="1" fillId="4554" borderId="0" xfId="4" applyFill="1" applyAlignment="1">
      <alignment horizontal="center" vertical="center"/>
    </xf>
    <xf numFmtId="0" fontId="1" fillId="4555" borderId="0" xfId="4" applyFill="1" applyAlignment="1">
      <alignment horizontal="center" vertical="center"/>
    </xf>
    <xf numFmtId="0" fontId="1" fillId="4556" borderId="0" xfId="4" applyFill="1" applyAlignment="1">
      <alignment horizontal="left" vertical="center"/>
    </xf>
    <xf numFmtId="0" fontId="1" fillId="4557" borderId="0" xfId="4" applyFill="1" applyAlignment="1">
      <alignment horizontal="center" vertical="center"/>
    </xf>
    <xf numFmtId="0" fontId="1" fillId="170" borderId="0" xfId="4" applyFill="1" applyAlignment="1">
      <alignment horizontal="center" vertical="center"/>
    </xf>
    <xf numFmtId="0" fontId="1" fillId="4558" borderId="0" xfId="4" applyFill="1" applyAlignment="1">
      <alignment horizontal="center" vertical="center"/>
    </xf>
    <xf numFmtId="0" fontId="1" fillId="4559" borderId="0" xfId="4" applyFill="1" applyAlignment="1">
      <alignment horizontal="center" vertical="center"/>
    </xf>
    <xf numFmtId="0" fontId="1" fillId="4560" borderId="0" xfId="4" applyFill="1" applyAlignment="1">
      <alignment horizontal="center" vertical="center"/>
    </xf>
    <xf numFmtId="0" fontId="1" fillId="4561" borderId="0" xfId="4" applyFill="1" applyAlignment="1">
      <alignment horizontal="center" vertical="center"/>
    </xf>
    <xf numFmtId="0" fontId="1" fillId="4562" borderId="0" xfId="4" applyFill="1" applyAlignment="1">
      <alignment horizontal="center" vertical="center"/>
    </xf>
    <xf numFmtId="0" fontId="1" fillId="4563" borderId="0" xfId="4" applyFill="1" applyAlignment="1">
      <alignment horizontal="center" vertical="center"/>
    </xf>
    <xf numFmtId="0" fontId="1" fillId="4564" borderId="0" xfId="4" applyFill="1" applyAlignment="1">
      <alignment horizontal="center" vertical="center"/>
    </xf>
    <xf numFmtId="0" fontId="1" fillId="4565" borderId="0" xfId="4" applyFill="1" applyAlignment="1">
      <alignment horizontal="center" vertical="center"/>
    </xf>
    <xf numFmtId="0" fontId="1" fillId="4566" borderId="0" xfId="4" applyFill="1" applyAlignment="1">
      <alignment horizontal="center" vertical="center"/>
    </xf>
    <xf numFmtId="0" fontId="1" fillId="4567" borderId="0" xfId="4" applyFill="1" applyAlignment="1">
      <alignment horizontal="center" vertical="center"/>
    </xf>
    <xf numFmtId="0" fontId="1" fillId="4568" borderId="0" xfId="4" applyFill="1" applyAlignment="1">
      <alignment horizontal="center" vertical="center"/>
    </xf>
    <xf numFmtId="0" fontId="1" fillId="4569" borderId="0" xfId="4" applyFill="1" applyAlignment="1">
      <alignment horizontal="center" vertical="center"/>
    </xf>
    <xf numFmtId="0" fontId="1" fillId="4570" borderId="0" xfId="4" applyFill="1" applyAlignment="1">
      <alignment horizontal="center" vertical="center"/>
    </xf>
    <xf numFmtId="0" fontId="1" fillId="4571" borderId="0" xfId="4" applyFill="1" applyAlignment="1">
      <alignment horizontal="center" vertical="center"/>
    </xf>
    <xf numFmtId="0" fontId="1" fillId="4572" borderId="0" xfId="4" applyFill="1" applyAlignment="1">
      <alignment horizontal="center" vertical="center"/>
    </xf>
    <xf numFmtId="0" fontId="1" fillId="4573" borderId="0" xfId="4" applyFill="1" applyAlignment="1">
      <alignment horizontal="center" vertical="center"/>
    </xf>
    <xf numFmtId="0" fontId="1" fillId="4574" borderId="0" xfId="4" applyFill="1" applyAlignment="1">
      <alignment horizontal="center" vertical="center"/>
    </xf>
    <xf numFmtId="0" fontId="1" fillId="4575" borderId="0" xfId="4" applyFill="1" applyAlignment="1">
      <alignment horizontal="left" vertical="center"/>
    </xf>
    <xf numFmtId="0" fontId="1" fillId="4576" borderId="0" xfId="4" applyFill="1" applyAlignment="1">
      <alignment horizontal="center" vertical="center"/>
    </xf>
    <xf numFmtId="0" fontId="1" fillId="4577" borderId="0" xfId="4" applyFill="1" applyAlignment="1">
      <alignment horizontal="center" vertical="center"/>
    </xf>
    <xf numFmtId="0" fontId="1" fillId="4578" borderId="0" xfId="4" applyFill="1" applyAlignment="1">
      <alignment horizontal="left" vertical="center"/>
    </xf>
    <xf numFmtId="0" fontId="1" fillId="4579" borderId="0" xfId="4" applyFill="1" applyAlignment="1">
      <alignment horizontal="center" vertical="center"/>
    </xf>
    <xf numFmtId="0" fontId="1" fillId="4580" borderId="0" xfId="4" applyFill="1" applyAlignment="1">
      <alignment horizontal="center" vertical="center"/>
    </xf>
    <xf numFmtId="0" fontId="1" fillId="4581" borderId="0" xfId="4" applyFill="1" applyAlignment="1">
      <alignment horizontal="center" vertical="center"/>
    </xf>
    <xf numFmtId="0" fontId="1" fillId="4582" borderId="0" xfId="4" applyFill="1" applyAlignment="1">
      <alignment horizontal="center" vertical="center"/>
    </xf>
    <xf numFmtId="0" fontId="1" fillId="4583" borderId="0" xfId="4" applyFill="1" applyAlignment="1">
      <alignment horizontal="center" vertical="center"/>
    </xf>
    <xf numFmtId="0" fontId="1" fillId="4584" borderId="0" xfId="4" applyFill="1" applyAlignment="1">
      <alignment horizontal="center" vertical="center"/>
    </xf>
    <xf numFmtId="0" fontId="1" fillId="4585" borderId="0" xfId="4" applyFill="1" applyAlignment="1">
      <alignment horizontal="center" vertical="center"/>
    </xf>
    <xf numFmtId="0" fontId="1" fillId="4586" borderId="0" xfId="4" applyFill="1" applyAlignment="1">
      <alignment horizontal="center" vertical="center"/>
    </xf>
    <xf numFmtId="0" fontId="1" fillId="4587" borderId="0" xfId="4" applyFill="1" applyAlignment="1">
      <alignment horizontal="center" vertical="center"/>
    </xf>
    <xf numFmtId="0" fontId="1" fillId="4588" borderId="0" xfId="4" applyFill="1" applyAlignment="1">
      <alignment horizontal="center" vertical="center"/>
    </xf>
    <xf numFmtId="0" fontId="1" fillId="4589" borderId="0" xfId="4" applyFill="1" applyAlignment="1">
      <alignment horizontal="center" vertical="center"/>
    </xf>
    <xf numFmtId="0" fontId="1" fillId="4590" borderId="0" xfId="4" applyFill="1" applyAlignment="1">
      <alignment horizontal="center" vertical="center"/>
    </xf>
    <xf numFmtId="0" fontId="1" fillId="1022" borderId="0" xfId="4" applyFill="1" applyAlignment="1">
      <alignment horizontal="center" vertical="center"/>
    </xf>
    <xf numFmtId="0" fontId="1" fillId="642" borderId="0" xfId="4" applyFill="1" applyAlignment="1">
      <alignment horizontal="center" vertical="center"/>
    </xf>
    <xf numFmtId="0" fontId="1" fillId="4591" borderId="0" xfId="4" applyFill="1" applyAlignment="1">
      <alignment horizontal="center" vertical="center"/>
    </xf>
    <xf numFmtId="0" fontId="1" fillId="4592" borderId="0" xfId="4" applyFill="1" applyAlignment="1">
      <alignment horizontal="center" vertical="center"/>
    </xf>
    <xf numFmtId="0" fontId="1" fillId="4593" borderId="0" xfId="4" applyFill="1" applyAlignment="1">
      <alignment horizontal="center" vertical="center"/>
    </xf>
    <xf numFmtId="0" fontId="1" fillId="4594" borderId="0" xfId="4" applyFill="1" applyAlignment="1">
      <alignment horizontal="center" vertical="center"/>
    </xf>
    <xf numFmtId="0" fontId="1" fillId="4595" borderId="0" xfId="4" applyFill="1" applyAlignment="1">
      <alignment horizontal="center" vertical="center"/>
    </xf>
    <xf numFmtId="0" fontId="1" fillId="4596" borderId="0" xfId="4" applyFill="1" applyAlignment="1">
      <alignment horizontal="center" vertical="center"/>
    </xf>
    <xf numFmtId="0" fontId="1" fillId="4597" borderId="0" xfId="4" applyFill="1" applyAlignment="1">
      <alignment horizontal="center" vertical="center"/>
    </xf>
    <xf numFmtId="0" fontId="1" fillId="4598" borderId="0" xfId="4" applyFill="1" applyAlignment="1">
      <alignment horizontal="center" vertical="center"/>
    </xf>
    <xf numFmtId="0" fontId="1" fillId="1444" borderId="0" xfId="4" applyFill="1" applyAlignment="1">
      <alignment horizontal="center" vertical="center"/>
    </xf>
    <xf numFmtId="0" fontId="1" fillId="4599" borderId="0" xfId="4" applyFill="1" applyAlignment="1">
      <alignment horizontal="center" vertical="center"/>
    </xf>
    <xf numFmtId="0" fontId="1" fillId="4600" borderId="0" xfId="4" applyFill="1" applyAlignment="1">
      <alignment horizontal="center" vertical="center"/>
    </xf>
    <xf numFmtId="0" fontId="1" fillId="1369" borderId="0" xfId="4" applyFill="1" applyAlignment="1">
      <alignment horizontal="center" vertical="center"/>
    </xf>
    <xf numFmtId="0" fontId="1" fillId="1368" borderId="0" xfId="4" applyFill="1" applyAlignment="1">
      <alignment horizontal="center" vertical="center"/>
    </xf>
    <xf numFmtId="0" fontId="1" fillId="1448" borderId="0" xfId="4" applyFill="1" applyAlignment="1">
      <alignment horizontal="center" vertical="center"/>
    </xf>
    <xf numFmtId="0" fontId="1" fillId="4601" borderId="0" xfId="4" applyFill="1" applyAlignment="1">
      <alignment horizontal="center" vertical="center"/>
    </xf>
    <xf numFmtId="0" fontId="1" fillId="4602" borderId="0" xfId="4" applyFill="1" applyAlignment="1">
      <alignment horizontal="center" vertical="center"/>
    </xf>
    <xf numFmtId="0" fontId="1" fillId="4603" borderId="0" xfId="4" applyFill="1" applyAlignment="1">
      <alignment horizontal="center" vertical="center"/>
    </xf>
    <xf numFmtId="0" fontId="1" fillId="4604" borderId="0" xfId="4" applyFill="1" applyAlignment="1">
      <alignment horizontal="left" vertical="center"/>
    </xf>
    <xf numFmtId="0" fontId="1" fillId="4605" borderId="0" xfId="4" applyFill="1" applyAlignment="1">
      <alignment horizontal="center" vertical="center"/>
    </xf>
    <xf numFmtId="0" fontId="1" fillId="4606" borderId="0" xfId="4" applyFill="1" applyAlignment="1">
      <alignment horizontal="center" vertical="center"/>
    </xf>
    <xf numFmtId="0" fontId="1" fillId="4607" borderId="0" xfId="4" applyFill="1" applyAlignment="1">
      <alignment horizontal="center" vertical="center"/>
    </xf>
    <xf numFmtId="0" fontId="1" fillId="4608" borderId="0" xfId="4" applyFill="1" applyAlignment="1">
      <alignment horizontal="center" vertical="center"/>
    </xf>
    <xf numFmtId="0" fontId="1" fillId="4609" borderId="0" xfId="4" applyFill="1" applyAlignment="1">
      <alignment horizontal="center" vertical="center"/>
    </xf>
    <xf numFmtId="0" fontId="1" fillId="4610" borderId="0" xfId="4" applyFill="1" applyAlignment="1">
      <alignment horizontal="center" vertical="center"/>
    </xf>
    <xf numFmtId="0" fontId="1" fillId="4611" borderId="0" xfId="4" applyFill="1" applyAlignment="1">
      <alignment horizontal="center" vertical="center"/>
    </xf>
    <xf numFmtId="0" fontId="1" fillId="4612" borderId="0" xfId="4" applyFill="1" applyAlignment="1">
      <alignment horizontal="center" vertical="center"/>
    </xf>
    <xf numFmtId="0" fontId="1" fillId="4613" borderId="0" xfId="4" applyFill="1" applyAlignment="1">
      <alignment horizontal="center" vertical="center"/>
    </xf>
    <xf numFmtId="0" fontId="1" fillId="4614" borderId="0" xfId="4" applyFill="1" applyAlignment="1">
      <alignment horizontal="center" vertical="center"/>
    </xf>
    <xf numFmtId="0" fontId="1" fillId="4615" borderId="0" xfId="4" applyFill="1" applyAlignment="1">
      <alignment horizontal="center" vertical="center"/>
    </xf>
    <xf numFmtId="0" fontId="1" fillId="4616" borderId="0" xfId="4" applyFill="1" applyAlignment="1">
      <alignment horizontal="center" vertical="center"/>
    </xf>
    <xf numFmtId="0" fontId="1" fillId="4617" borderId="0" xfId="4" applyFill="1" applyAlignment="1">
      <alignment horizontal="center" vertical="center"/>
    </xf>
    <xf numFmtId="0" fontId="1" fillId="4618" borderId="0" xfId="4" applyFill="1" applyAlignment="1">
      <alignment horizontal="center" vertical="center"/>
    </xf>
    <xf numFmtId="0" fontId="1" fillId="4619" borderId="0" xfId="4" applyFill="1" applyAlignment="1">
      <alignment horizontal="center" vertical="center"/>
    </xf>
    <xf numFmtId="0" fontId="1" fillId="4620" borderId="0" xfId="4" applyFill="1" applyAlignment="1">
      <alignment horizontal="center" vertical="center"/>
    </xf>
    <xf numFmtId="0" fontId="1" fillId="4621" borderId="0" xfId="4" applyFill="1" applyAlignment="1">
      <alignment horizontal="center" vertical="center"/>
    </xf>
    <xf numFmtId="0" fontId="1" fillId="4622" borderId="0" xfId="4" applyFill="1" applyAlignment="1">
      <alignment horizontal="center" vertical="center"/>
    </xf>
    <xf numFmtId="0" fontId="1" fillId="4623" borderId="0" xfId="4" applyFill="1" applyAlignment="1">
      <alignment horizontal="center" vertical="center"/>
    </xf>
    <xf numFmtId="0" fontId="1" fillId="4624" borderId="0" xfId="4" applyFill="1" applyAlignment="1">
      <alignment horizontal="left" vertical="center"/>
    </xf>
    <xf numFmtId="0" fontId="1" fillId="4625" borderId="0" xfId="4" applyFill="1" applyAlignment="1">
      <alignment horizontal="center" vertical="center"/>
    </xf>
    <xf numFmtId="0" fontId="1" fillId="4626" borderId="0" xfId="4" applyFill="1" applyAlignment="1">
      <alignment horizontal="center" vertical="center"/>
    </xf>
    <xf numFmtId="0" fontId="1" fillId="4627" borderId="0" xfId="4" applyFill="1" applyAlignment="1">
      <alignment horizontal="center" vertical="center"/>
    </xf>
    <xf numFmtId="0" fontId="1" fillId="4628" borderId="0" xfId="4" applyFill="1" applyAlignment="1">
      <alignment horizontal="center" vertical="center"/>
    </xf>
    <xf numFmtId="0" fontId="1" fillId="4629" borderId="0" xfId="4" applyFill="1" applyAlignment="1">
      <alignment horizontal="center" vertical="center"/>
    </xf>
    <xf numFmtId="0" fontId="1" fillId="4630" borderId="0" xfId="4" applyFill="1" applyAlignment="1">
      <alignment horizontal="center" vertical="center"/>
    </xf>
    <xf numFmtId="0" fontId="1" fillId="4631" borderId="0" xfId="4" applyFill="1" applyAlignment="1">
      <alignment horizontal="center" vertical="center"/>
    </xf>
    <xf numFmtId="0" fontId="1" fillId="4632" borderId="0" xfId="4" applyFill="1" applyAlignment="1">
      <alignment horizontal="center" vertical="center"/>
    </xf>
    <xf numFmtId="0" fontId="1" fillId="4633" borderId="0" xfId="4" applyFill="1" applyAlignment="1">
      <alignment horizontal="center" vertical="center"/>
    </xf>
    <xf numFmtId="0" fontId="1" fillId="4634" borderId="0" xfId="4" applyFill="1" applyAlignment="1">
      <alignment horizontal="center" vertical="center"/>
    </xf>
    <xf numFmtId="0" fontId="1" fillId="4635" borderId="0" xfId="4" applyFill="1" applyAlignment="1">
      <alignment horizontal="center" vertical="center"/>
    </xf>
    <xf numFmtId="0" fontId="1" fillId="4636" borderId="0" xfId="4" applyFill="1" applyAlignment="1">
      <alignment horizontal="center" vertical="center"/>
    </xf>
    <xf numFmtId="0" fontId="1" fillId="4637" borderId="0" xfId="4" applyFill="1" applyAlignment="1">
      <alignment horizontal="center" vertical="center"/>
    </xf>
    <xf numFmtId="0" fontId="1" fillId="4638" borderId="0" xfId="4" applyFill="1" applyAlignment="1">
      <alignment horizontal="center" vertical="center"/>
    </xf>
    <xf numFmtId="0" fontId="1" fillId="4639" borderId="0" xfId="4" applyFill="1" applyAlignment="1">
      <alignment horizontal="center" vertical="center"/>
    </xf>
    <xf numFmtId="0" fontId="1" fillId="4640" borderId="0" xfId="4" applyFill="1" applyAlignment="1">
      <alignment horizontal="center" vertical="center"/>
    </xf>
    <xf numFmtId="0" fontId="1" fillId="4641" borderId="0" xfId="4" applyFill="1" applyAlignment="1">
      <alignment horizontal="center" vertical="center"/>
    </xf>
    <xf numFmtId="0" fontId="1" fillId="4642" borderId="0" xfId="4" applyFill="1" applyAlignment="1">
      <alignment horizontal="center" vertical="center"/>
    </xf>
    <xf numFmtId="0" fontId="1" fillId="4643" borderId="0" xfId="4" applyFill="1" applyAlignment="1">
      <alignment horizontal="center" vertical="center"/>
    </xf>
    <xf numFmtId="0" fontId="1" fillId="4644" borderId="0" xfId="4" applyFill="1" applyAlignment="1">
      <alignment horizontal="left" vertical="center"/>
    </xf>
    <xf numFmtId="0" fontId="1" fillId="4645" borderId="0" xfId="4" applyFill="1" applyAlignment="1">
      <alignment horizontal="center" vertical="center"/>
    </xf>
    <xf numFmtId="0" fontId="1" fillId="4646" borderId="0" xfId="4" applyFill="1" applyAlignment="1">
      <alignment horizontal="center" vertical="center"/>
    </xf>
    <xf numFmtId="0" fontId="1" fillId="4647" borderId="0" xfId="4" applyFill="1" applyAlignment="1">
      <alignment horizontal="left" vertical="center"/>
    </xf>
    <xf numFmtId="0" fontId="1" fillId="4648" borderId="0" xfId="4" applyFill="1" applyAlignment="1">
      <alignment horizontal="center" vertical="center"/>
    </xf>
    <xf numFmtId="0" fontId="1" fillId="4649" borderId="0" xfId="4" applyFill="1" applyAlignment="1">
      <alignment horizontal="center" vertical="center"/>
    </xf>
    <xf numFmtId="0" fontId="1" fillId="4650" borderId="0" xfId="4" applyFill="1" applyAlignment="1">
      <alignment horizontal="center" vertical="center"/>
    </xf>
    <xf numFmtId="0" fontId="1" fillId="4651" borderId="0" xfId="4" applyFill="1" applyAlignment="1">
      <alignment horizontal="center" vertical="center"/>
    </xf>
    <xf numFmtId="0" fontId="1" fillId="4652" borderId="0" xfId="4" applyFill="1" applyAlignment="1">
      <alignment horizontal="center" vertical="center"/>
    </xf>
    <xf numFmtId="0" fontId="1" fillId="4653" borderId="0" xfId="4" applyFill="1" applyAlignment="1">
      <alignment horizontal="center" vertical="center"/>
    </xf>
    <xf numFmtId="0" fontId="1" fillId="4654" borderId="0" xfId="4" applyFill="1" applyAlignment="1">
      <alignment horizontal="center" vertical="center"/>
    </xf>
    <xf numFmtId="0" fontId="1" fillId="4655" borderId="0" xfId="4" applyFill="1" applyAlignment="1">
      <alignment horizontal="center" vertical="center"/>
    </xf>
    <xf numFmtId="0" fontId="1" fillId="4656" borderId="0" xfId="4" applyFill="1" applyAlignment="1">
      <alignment horizontal="center" vertical="center"/>
    </xf>
    <xf numFmtId="0" fontId="1" fillId="4657" borderId="0" xfId="4" applyFill="1" applyAlignment="1">
      <alignment horizontal="center" vertical="center"/>
    </xf>
    <xf numFmtId="0" fontId="1" fillId="688" borderId="0" xfId="4" applyFill="1" applyAlignment="1">
      <alignment horizontal="center" vertical="center"/>
    </xf>
    <xf numFmtId="0" fontId="1" fillId="956" borderId="0" xfId="4" applyFill="1" applyAlignment="1">
      <alignment horizontal="center" vertical="center"/>
    </xf>
    <xf numFmtId="0" fontId="1" fillId="4658" borderId="0" xfId="4" applyFill="1" applyAlignment="1">
      <alignment horizontal="center" vertical="center"/>
    </xf>
    <xf numFmtId="0" fontId="1" fillId="752" borderId="0" xfId="4" applyFill="1" applyAlignment="1">
      <alignment horizontal="center" vertical="center"/>
    </xf>
    <xf numFmtId="0" fontId="1" fillId="4659" borderId="0" xfId="4" applyFill="1" applyAlignment="1">
      <alignment horizontal="center" vertical="center"/>
    </xf>
    <xf numFmtId="0" fontId="1" fillId="4660" borderId="0" xfId="4" applyFill="1" applyAlignment="1">
      <alignment horizontal="center" vertical="center"/>
    </xf>
    <xf numFmtId="0" fontId="1" fillId="4661" borderId="0" xfId="4" applyFill="1" applyAlignment="1">
      <alignment horizontal="center" vertical="center"/>
    </xf>
    <xf numFmtId="0" fontId="1" fillId="4662" borderId="0" xfId="4" applyFill="1" applyAlignment="1">
      <alignment horizontal="center" vertical="center"/>
    </xf>
    <xf numFmtId="0" fontId="1" fillId="4663" borderId="0" xfId="4" applyFill="1" applyAlignment="1">
      <alignment horizontal="center" vertical="center"/>
    </xf>
    <xf numFmtId="0" fontId="1" fillId="4664" borderId="0" xfId="4" applyFill="1" applyAlignment="1">
      <alignment horizontal="center" vertical="center"/>
    </xf>
    <xf numFmtId="0" fontId="1" fillId="4665" borderId="0" xfId="4" applyFill="1" applyAlignment="1">
      <alignment horizontal="center" vertical="center"/>
    </xf>
    <xf numFmtId="0" fontId="1" fillId="4666" borderId="0" xfId="4" applyFill="1" applyAlignment="1">
      <alignment horizontal="center" vertical="center"/>
    </xf>
    <xf numFmtId="0" fontId="1" fillId="4667" borderId="0" xfId="4" applyFill="1" applyAlignment="1">
      <alignment horizontal="center" vertical="center"/>
    </xf>
    <xf numFmtId="0" fontId="1" fillId="1365" borderId="0" xfId="4" applyFill="1" applyAlignment="1">
      <alignment horizontal="center" vertical="center"/>
    </xf>
    <xf numFmtId="0" fontId="1" fillId="1370" borderId="0" xfId="4" applyFill="1" applyAlignment="1">
      <alignment horizontal="center" vertical="center"/>
    </xf>
    <xf numFmtId="0" fontId="1" fillId="1366" borderId="0" xfId="4" applyFill="1" applyAlignment="1">
      <alignment horizontal="center" vertical="center"/>
    </xf>
    <xf numFmtId="0" fontId="1" fillId="1449" borderId="0" xfId="4" applyFill="1" applyAlignment="1">
      <alignment horizontal="center" vertical="center"/>
    </xf>
    <xf numFmtId="0" fontId="1" fillId="4668" borderId="0" xfId="4" applyFill="1" applyAlignment="1">
      <alignment horizontal="center" vertical="center"/>
    </xf>
    <xf numFmtId="0" fontId="1" fillId="4669" borderId="0" xfId="4" applyFill="1" applyAlignment="1">
      <alignment horizontal="center" vertical="center"/>
    </xf>
    <xf numFmtId="0" fontId="1" fillId="4670" borderId="0" xfId="4" applyFill="1" applyAlignment="1">
      <alignment horizontal="left" vertical="center"/>
    </xf>
    <xf numFmtId="0" fontId="1" fillId="4671" borderId="0" xfId="4" applyFill="1" applyAlignment="1">
      <alignment horizontal="center" vertical="center"/>
    </xf>
    <xf numFmtId="0" fontId="1" fillId="4672" borderId="0" xfId="4" applyFill="1" applyAlignment="1">
      <alignment horizontal="center" vertical="center"/>
    </xf>
    <xf numFmtId="0" fontId="1" fillId="4673" borderId="0" xfId="4" applyFill="1" applyAlignment="1">
      <alignment horizontal="center" vertical="center"/>
    </xf>
    <xf numFmtId="0" fontId="1" fillId="3682" borderId="0" xfId="4" applyFill="1" applyAlignment="1">
      <alignment horizontal="center" vertical="center"/>
    </xf>
    <xf numFmtId="0" fontId="1" fillId="4674" borderId="0" xfId="4" applyFill="1" applyAlignment="1">
      <alignment horizontal="center" vertical="center"/>
    </xf>
    <xf numFmtId="0" fontId="1" fillId="4675" borderId="0" xfId="4" applyFill="1" applyAlignment="1">
      <alignment horizontal="center" vertical="center"/>
    </xf>
    <xf numFmtId="0" fontId="1" fillId="4676" borderId="0" xfId="4" applyFill="1" applyAlignment="1">
      <alignment horizontal="center" vertical="center"/>
    </xf>
    <xf numFmtId="0" fontId="1" fillId="4677" borderId="0" xfId="4" applyFill="1" applyAlignment="1">
      <alignment horizontal="center" vertical="center"/>
    </xf>
    <xf numFmtId="0" fontId="1" fillId="4678" borderId="0" xfId="4" applyFill="1" applyAlignment="1">
      <alignment horizontal="center" vertical="center"/>
    </xf>
    <xf numFmtId="0" fontId="1" fillId="4679" borderId="0" xfId="4" applyFill="1" applyAlignment="1">
      <alignment horizontal="center" vertical="center"/>
    </xf>
    <xf numFmtId="0" fontId="1" fillId="4680" borderId="0" xfId="4" applyFill="1" applyAlignment="1">
      <alignment horizontal="center" vertical="center"/>
    </xf>
    <xf numFmtId="0" fontId="1" fillId="4681" borderId="0" xfId="4" applyFill="1" applyAlignment="1">
      <alignment horizontal="center" vertical="center"/>
    </xf>
    <xf numFmtId="0" fontId="1" fillId="4682" borderId="0" xfId="4" applyFill="1" applyAlignment="1">
      <alignment horizontal="center" vertical="center"/>
    </xf>
    <xf numFmtId="0" fontId="1" fillId="4683" borderId="0" xfId="4" applyFill="1" applyAlignment="1">
      <alignment horizontal="center" vertical="center"/>
    </xf>
    <xf numFmtId="0" fontId="1" fillId="4684" borderId="0" xfId="4" applyFill="1" applyAlignment="1">
      <alignment horizontal="center" vertical="center"/>
    </xf>
    <xf numFmtId="0" fontId="1" fillId="4685" borderId="0" xfId="4" applyFill="1" applyAlignment="1">
      <alignment horizontal="center" vertical="center"/>
    </xf>
    <xf numFmtId="0" fontId="1" fillId="4686" borderId="0" xfId="4" applyFill="1" applyAlignment="1">
      <alignment horizontal="center" vertical="center"/>
    </xf>
    <xf numFmtId="0" fontId="1" fillId="3598" borderId="0" xfId="4" applyFill="1" applyAlignment="1">
      <alignment horizontal="center" vertical="center"/>
    </xf>
    <xf numFmtId="0" fontId="1" fillId="2675" borderId="0" xfId="4" applyFill="1" applyAlignment="1">
      <alignment horizontal="center" vertical="center"/>
    </xf>
    <xf numFmtId="0" fontId="1" fillId="4687" borderId="0" xfId="4" applyFill="1" applyAlignment="1">
      <alignment horizontal="center" vertical="center"/>
    </xf>
    <xf numFmtId="0" fontId="1" fillId="4688" borderId="0" xfId="4" applyFill="1" applyAlignment="1">
      <alignment horizontal="center" vertical="center"/>
    </xf>
    <xf numFmtId="0" fontId="1" fillId="4689" borderId="0" xfId="4" applyFill="1" applyAlignment="1">
      <alignment horizontal="center" vertical="center"/>
    </xf>
    <xf numFmtId="0" fontId="1" fillId="4690" borderId="0" xfId="4" applyFill="1" applyAlignment="1">
      <alignment horizontal="left" vertical="center"/>
    </xf>
    <xf numFmtId="0" fontId="1" fillId="4691" borderId="0" xfId="4" applyFill="1" applyAlignment="1">
      <alignment horizontal="center" vertical="center"/>
    </xf>
    <xf numFmtId="0" fontId="1" fillId="4692" borderId="0" xfId="4" applyFill="1" applyAlignment="1">
      <alignment horizontal="center" vertical="center"/>
    </xf>
    <xf numFmtId="0" fontId="1" fillId="4693" borderId="0" xfId="4" applyFill="1" applyAlignment="1">
      <alignment horizontal="center" vertical="center"/>
    </xf>
    <xf numFmtId="0" fontId="1" fillId="4694" borderId="0" xfId="4" applyFill="1" applyAlignment="1">
      <alignment horizontal="center" vertical="center"/>
    </xf>
    <xf numFmtId="0" fontId="1" fillId="4695" borderId="0" xfId="4" applyFill="1" applyAlignment="1">
      <alignment horizontal="center" vertical="center"/>
    </xf>
    <xf numFmtId="0" fontId="1" fillId="4696" borderId="0" xfId="4" applyFill="1" applyAlignment="1">
      <alignment horizontal="center" vertical="center"/>
    </xf>
    <xf numFmtId="0" fontId="1" fillId="4697" borderId="0" xfId="4" applyFill="1" applyAlignment="1">
      <alignment horizontal="center" vertical="center"/>
    </xf>
    <xf numFmtId="0" fontId="1" fillId="4698" borderId="0" xfId="4" applyFill="1" applyAlignment="1">
      <alignment horizontal="center" vertical="center"/>
    </xf>
    <xf numFmtId="0" fontId="1" fillId="4699" borderId="0" xfId="4" applyFill="1" applyAlignment="1">
      <alignment horizontal="center" vertical="center"/>
    </xf>
    <xf numFmtId="0" fontId="1" fillId="4700" borderId="0" xfId="4" applyFill="1" applyAlignment="1">
      <alignment horizontal="center" vertical="center"/>
    </xf>
    <xf numFmtId="0" fontId="1" fillId="4701" borderId="0" xfId="4" applyFill="1" applyAlignment="1">
      <alignment horizontal="center" vertical="center"/>
    </xf>
    <xf numFmtId="0" fontId="1" fillId="4702" borderId="0" xfId="4" applyFill="1" applyAlignment="1">
      <alignment horizontal="center" vertical="center"/>
    </xf>
    <xf numFmtId="0" fontId="1" fillId="4703" borderId="0" xfId="4" applyFill="1" applyAlignment="1">
      <alignment horizontal="center" vertical="center"/>
    </xf>
    <xf numFmtId="0" fontId="1" fillId="4704" borderId="0" xfId="4" applyFill="1" applyAlignment="1">
      <alignment horizontal="center" vertical="center"/>
    </xf>
    <xf numFmtId="0" fontId="1" fillId="4705" borderId="0" xfId="4" applyFill="1" applyAlignment="1">
      <alignment horizontal="center" vertical="center"/>
    </xf>
    <xf numFmtId="0" fontId="1" fillId="4706" borderId="0" xfId="4" applyFill="1" applyAlignment="1">
      <alignment horizontal="center" vertical="center"/>
    </xf>
    <xf numFmtId="0" fontId="1" fillId="4707" borderId="0" xfId="4" applyFill="1" applyAlignment="1">
      <alignment horizontal="center" vertical="center"/>
    </xf>
    <xf numFmtId="0" fontId="1" fillId="4708" borderId="0" xfId="4" applyFill="1" applyAlignment="1">
      <alignment horizontal="center" vertical="center"/>
    </xf>
    <xf numFmtId="0" fontId="1" fillId="4709" borderId="0" xfId="4" applyFill="1" applyAlignment="1">
      <alignment horizontal="center" vertical="center"/>
    </xf>
    <xf numFmtId="0" fontId="1" fillId="4710" borderId="0" xfId="4" applyFill="1" applyAlignment="1">
      <alignment horizontal="center" vertical="center"/>
    </xf>
    <xf numFmtId="0" fontId="1" fillId="4711" borderId="0" xfId="4" applyFill="1" applyAlignment="1">
      <alignment horizontal="left" vertical="center"/>
    </xf>
    <xf numFmtId="0" fontId="1" fillId="4712" borderId="0" xfId="4" applyFill="1" applyAlignment="1">
      <alignment horizontal="center" vertical="center"/>
    </xf>
    <xf numFmtId="0" fontId="1" fillId="4713" borderId="0" xfId="4" applyFill="1" applyAlignment="1">
      <alignment horizontal="center" vertical="center"/>
    </xf>
    <xf numFmtId="0" fontId="1" fillId="4714" borderId="0" xfId="4" applyFill="1" applyAlignment="1">
      <alignment horizontal="left" vertical="center"/>
    </xf>
    <xf numFmtId="0" fontId="1" fillId="4715" borderId="0" xfId="4" applyFill="1" applyAlignment="1">
      <alignment horizontal="center" vertical="center"/>
    </xf>
    <xf numFmtId="0" fontId="1" fillId="4716" borderId="0" xfId="4" applyFill="1" applyAlignment="1">
      <alignment horizontal="center" vertical="center"/>
    </xf>
    <xf numFmtId="0" fontId="1" fillId="4717" borderId="0" xfId="4" applyFill="1" applyAlignment="1">
      <alignment horizontal="center" vertical="center"/>
    </xf>
    <xf numFmtId="0" fontId="1" fillId="4718" borderId="0" xfId="4" applyFill="1" applyAlignment="1">
      <alignment horizontal="center" vertical="center"/>
    </xf>
    <xf numFmtId="0" fontId="1" fillId="4719" borderId="0" xfId="4" applyFill="1" applyAlignment="1">
      <alignment horizontal="center" vertical="center"/>
    </xf>
    <xf numFmtId="0" fontId="1" fillId="4720" borderId="0" xfId="4" applyFill="1" applyAlignment="1">
      <alignment horizontal="center" vertical="center"/>
    </xf>
    <xf numFmtId="0" fontId="1" fillId="4721" borderId="0" xfId="4" applyFill="1" applyAlignment="1">
      <alignment horizontal="center" vertical="center"/>
    </xf>
    <xf numFmtId="0" fontId="1" fillId="4722" borderId="0" xfId="4" applyFill="1" applyAlignment="1">
      <alignment horizontal="center" vertical="center"/>
    </xf>
    <xf numFmtId="0" fontId="1" fillId="892" borderId="0" xfId="4" applyFill="1" applyAlignment="1">
      <alignment horizontal="center" vertical="center"/>
    </xf>
    <xf numFmtId="0" fontId="1" fillId="4723" borderId="0" xfId="4" applyFill="1" applyAlignment="1">
      <alignment horizontal="center" vertical="center"/>
    </xf>
    <xf numFmtId="0" fontId="1" fillId="890" borderId="0" xfId="4" applyFill="1" applyAlignment="1">
      <alignment horizontal="center" vertical="center"/>
    </xf>
    <xf numFmtId="0" fontId="1" fillId="4724" borderId="0" xfId="4" applyFill="1" applyAlignment="1">
      <alignment horizontal="center" vertical="center"/>
    </xf>
    <xf numFmtId="0" fontId="1" fillId="4725" borderId="0" xfId="4" applyFill="1" applyAlignment="1">
      <alignment horizontal="center" vertical="center"/>
    </xf>
    <xf numFmtId="0" fontId="1" fillId="4726" borderId="0" xfId="4" applyFill="1" applyAlignment="1">
      <alignment horizontal="center" vertical="center"/>
    </xf>
    <xf numFmtId="0" fontId="1" fillId="4727" borderId="0" xfId="4" applyFill="1" applyAlignment="1">
      <alignment horizontal="center" vertical="center"/>
    </xf>
    <xf numFmtId="0" fontId="1" fillId="4728" borderId="0" xfId="4" applyFill="1" applyAlignment="1">
      <alignment horizontal="center" vertical="center"/>
    </xf>
    <xf numFmtId="0" fontId="1" fillId="4729" borderId="0" xfId="4" applyFill="1" applyAlignment="1">
      <alignment horizontal="center" vertical="center"/>
    </xf>
    <xf numFmtId="0" fontId="1" fillId="4730" borderId="0" xfId="4" applyFill="1" applyAlignment="1">
      <alignment horizontal="center" vertical="center"/>
    </xf>
    <xf numFmtId="0" fontId="1" fillId="4731" borderId="0" xfId="4" applyFill="1" applyAlignment="1">
      <alignment horizontal="center" vertical="center"/>
    </xf>
    <xf numFmtId="0" fontId="1" fillId="4732" borderId="0" xfId="4" applyFill="1" applyAlignment="1">
      <alignment horizontal="center" vertical="center"/>
    </xf>
    <xf numFmtId="0" fontId="1" fillId="4733" borderId="0" xfId="4" applyFill="1" applyAlignment="1">
      <alignment horizontal="center" vertical="center"/>
    </xf>
    <xf numFmtId="0" fontId="1" fillId="4734" borderId="0" xfId="4" applyFill="1" applyAlignment="1">
      <alignment horizontal="center" vertical="center"/>
    </xf>
    <xf numFmtId="0" fontId="1" fillId="4735" borderId="0" xfId="4" applyFill="1" applyAlignment="1">
      <alignment horizontal="center" vertical="center"/>
    </xf>
    <xf numFmtId="0" fontId="1" fillId="4736" borderId="0" xfId="4" applyFill="1" applyAlignment="1">
      <alignment horizontal="center" vertical="center"/>
    </xf>
    <xf numFmtId="0" fontId="1" fillId="4737" borderId="0" xfId="4" applyFill="1" applyAlignment="1">
      <alignment horizontal="center" vertical="center"/>
    </xf>
    <xf numFmtId="0" fontId="1" fillId="4738" borderId="0" xfId="4" applyFill="1" applyAlignment="1">
      <alignment horizontal="center" vertical="center"/>
    </xf>
    <xf numFmtId="0" fontId="1" fillId="4739" borderId="0" xfId="4" applyFill="1" applyAlignment="1">
      <alignment horizontal="center" vertical="center"/>
    </xf>
    <xf numFmtId="0" fontId="1" fillId="4740" borderId="0" xfId="4" applyFill="1" applyAlignment="1">
      <alignment horizontal="center" vertical="center"/>
    </xf>
    <xf numFmtId="0" fontId="1" fillId="4741" borderId="0" xfId="4" applyFill="1" applyAlignment="1">
      <alignment horizontal="center" vertical="center"/>
    </xf>
    <xf numFmtId="0" fontId="1" fillId="4742" borderId="0" xfId="4" applyFill="1" applyAlignment="1">
      <alignment horizontal="center" vertical="center"/>
    </xf>
    <xf numFmtId="0" fontId="1" fillId="4743" borderId="0" xfId="4" applyFill="1" applyAlignment="1">
      <alignment horizontal="center" vertical="center"/>
    </xf>
    <xf numFmtId="0" fontId="1" fillId="4744" borderId="0" xfId="4" applyFill="1" applyAlignment="1">
      <alignment horizontal="left" vertical="center"/>
    </xf>
    <xf numFmtId="0" fontId="1" fillId="4745" borderId="0" xfId="4" applyFill="1" applyAlignment="1">
      <alignment horizontal="center" vertical="center"/>
    </xf>
    <xf numFmtId="0" fontId="1" fillId="3548" borderId="0" xfId="4" applyFill="1" applyAlignment="1">
      <alignment horizontal="center" vertical="center"/>
    </xf>
    <xf numFmtId="0" fontId="1" fillId="2789" borderId="0" xfId="4" applyFill="1" applyAlignment="1">
      <alignment horizontal="center" vertical="center"/>
    </xf>
    <xf numFmtId="0" fontId="1" fillId="4746" borderId="0" xfId="4" applyFill="1" applyAlignment="1">
      <alignment horizontal="center" vertical="center"/>
    </xf>
    <xf numFmtId="0" fontId="1" fillId="4747" borderId="0" xfId="4" applyFill="1" applyAlignment="1">
      <alignment horizontal="center" vertical="center"/>
    </xf>
    <xf numFmtId="0" fontId="1" fillId="4748" borderId="0" xfId="4" applyFill="1" applyAlignment="1">
      <alignment horizontal="center" vertical="center"/>
    </xf>
    <xf numFmtId="0" fontId="1" fillId="4749" borderId="0" xfId="4" applyFill="1" applyAlignment="1">
      <alignment horizontal="center" vertical="center"/>
    </xf>
    <xf numFmtId="0" fontId="1" fillId="4750" borderId="0" xfId="4" applyFill="1" applyAlignment="1">
      <alignment horizontal="center" vertical="center"/>
    </xf>
    <xf numFmtId="0" fontId="1" fillId="4751" borderId="0" xfId="4" applyFill="1" applyAlignment="1">
      <alignment horizontal="center" vertical="center"/>
    </xf>
    <xf numFmtId="0" fontId="1" fillId="4752" borderId="0" xfId="4" applyFill="1" applyAlignment="1">
      <alignment horizontal="center" vertical="center"/>
    </xf>
    <xf numFmtId="0" fontId="1" fillId="4753" borderId="0" xfId="4" applyFill="1" applyAlignment="1">
      <alignment horizontal="center" vertical="center"/>
    </xf>
    <xf numFmtId="0" fontId="1" fillId="4754" borderId="0" xfId="4" applyFill="1" applyAlignment="1">
      <alignment horizontal="center" vertical="center"/>
    </xf>
    <xf numFmtId="0" fontId="1" fillId="4755" borderId="0" xfId="4" applyFill="1" applyAlignment="1">
      <alignment horizontal="center" vertical="center"/>
    </xf>
    <xf numFmtId="0" fontId="1" fillId="4756" borderId="0" xfId="4" applyFill="1" applyAlignment="1">
      <alignment horizontal="center" vertical="center"/>
    </xf>
    <xf numFmtId="0" fontId="1" fillId="2788" borderId="0" xfId="4" applyFill="1" applyAlignment="1">
      <alignment horizontal="center" vertical="center"/>
    </xf>
    <xf numFmtId="0" fontId="1" fillId="4757" borderId="0" xfId="4" applyFill="1" applyAlignment="1">
      <alignment horizontal="center" vertical="center"/>
    </xf>
    <xf numFmtId="0" fontId="1" fillId="4758" borderId="0" xfId="4" applyFill="1" applyAlignment="1">
      <alignment horizontal="center" vertical="center"/>
    </xf>
    <xf numFmtId="0" fontId="1" fillId="4759" borderId="0" xfId="4" applyFill="1" applyAlignment="1">
      <alignment horizontal="center" vertical="center"/>
    </xf>
    <xf numFmtId="0" fontId="1" fillId="4760" borderId="0" xfId="4" applyFill="1" applyAlignment="1">
      <alignment horizontal="center" vertical="center"/>
    </xf>
    <xf numFmtId="0" fontId="1" fillId="4761" borderId="0" xfId="4" applyFill="1" applyAlignment="1">
      <alignment horizontal="left" vertical="center"/>
    </xf>
    <xf numFmtId="0" fontId="1" fillId="4762" borderId="0" xfId="4" applyFill="1" applyAlignment="1">
      <alignment horizontal="center" vertical="center"/>
    </xf>
    <xf numFmtId="0" fontId="1" fillId="4763" borderId="0" xfId="4" applyFill="1" applyAlignment="1">
      <alignment horizontal="center" vertical="center"/>
    </xf>
    <xf numFmtId="0" fontId="1" fillId="4764" borderId="0" xfId="4" applyFill="1" applyAlignment="1">
      <alignment horizontal="center" vertical="center"/>
    </xf>
    <xf numFmtId="0" fontId="1" fillId="4765" borderId="0" xfId="4" applyFill="1" applyAlignment="1">
      <alignment horizontal="center" vertical="center"/>
    </xf>
    <xf numFmtId="0" fontId="1" fillId="4766" borderId="0" xfId="4" applyFill="1" applyAlignment="1">
      <alignment horizontal="center" vertical="center"/>
    </xf>
    <xf numFmtId="0" fontId="1" fillId="4767" borderId="0" xfId="4" applyFill="1" applyAlignment="1">
      <alignment horizontal="center" vertical="center"/>
    </xf>
    <xf numFmtId="0" fontId="1" fillId="4768" borderId="0" xfId="4" applyFill="1" applyAlignment="1">
      <alignment horizontal="center" vertical="center"/>
    </xf>
    <xf numFmtId="0" fontId="1" fillId="4769" borderId="0" xfId="4" applyFill="1" applyAlignment="1">
      <alignment horizontal="center" vertical="center"/>
    </xf>
    <xf numFmtId="0" fontId="1" fillId="4770" borderId="0" xfId="4" applyFill="1" applyAlignment="1">
      <alignment horizontal="center" vertical="center"/>
    </xf>
    <xf numFmtId="0" fontId="1" fillId="4771" borderId="0" xfId="4" applyFill="1" applyAlignment="1">
      <alignment horizontal="center" vertical="center"/>
    </xf>
    <xf numFmtId="0" fontId="1" fillId="4772" borderId="0" xfId="4" applyFill="1" applyAlignment="1">
      <alignment horizontal="center" vertical="center"/>
    </xf>
    <xf numFmtId="0" fontId="1" fillId="4773" borderId="0" xfId="4" applyFill="1" applyAlignment="1">
      <alignment horizontal="center" vertical="center"/>
    </xf>
    <xf numFmtId="0" fontId="1" fillId="4774" borderId="0" xfId="4" applyFill="1" applyAlignment="1">
      <alignment horizontal="center" vertical="center"/>
    </xf>
    <xf numFmtId="0" fontId="1" fillId="4775" borderId="0" xfId="4" applyFill="1" applyAlignment="1">
      <alignment horizontal="center" vertical="center"/>
    </xf>
    <xf numFmtId="0" fontId="1" fillId="4776" borderId="0" xfId="4" applyFill="1" applyAlignment="1">
      <alignment horizontal="center" vertical="center"/>
    </xf>
    <xf numFmtId="0" fontId="1" fillId="4777" borderId="0" xfId="4" applyFill="1" applyAlignment="1">
      <alignment horizontal="center" vertical="center"/>
    </xf>
    <xf numFmtId="0" fontId="1" fillId="4778" borderId="0" xfId="4" applyFill="1" applyAlignment="1">
      <alignment horizontal="center" vertical="center"/>
    </xf>
    <xf numFmtId="0" fontId="1" fillId="4779" borderId="0" xfId="4" applyFill="1" applyAlignment="1">
      <alignment horizontal="center" vertical="center"/>
    </xf>
    <xf numFmtId="0" fontId="1" fillId="4780" borderId="0" xfId="4" applyFill="1" applyAlignment="1">
      <alignment horizontal="center" vertical="center"/>
    </xf>
    <xf numFmtId="0" fontId="1" fillId="4781" borderId="0" xfId="4" applyFill="1" applyAlignment="1">
      <alignment horizontal="center" vertical="center"/>
    </xf>
    <xf numFmtId="0" fontId="1" fillId="4782" borderId="0" xfId="4" applyFill="1" applyAlignment="1">
      <alignment horizontal="left" vertical="center"/>
    </xf>
    <xf numFmtId="0" fontId="1" fillId="4783" borderId="0" xfId="4" applyFill="1" applyAlignment="1">
      <alignment horizontal="center" vertical="center"/>
    </xf>
    <xf numFmtId="0" fontId="1" fillId="4711" borderId="0" xfId="4" applyFill="1" applyAlignment="1">
      <alignment horizontal="center" vertical="center"/>
    </xf>
    <xf numFmtId="0" fontId="1" fillId="4784" borderId="0" xfId="4" applyFill="1" applyAlignment="1">
      <alignment horizontal="left" vertical="center"/>
    </xf>
    <xf numFmtId="0" fontId="1" fillId="4785" borderId="0" xfId="4" applyFill="1" applyAlignment="1">
      <alignment horizontal="center" vertical="center"/>
    </xf>
    <xf numFmtId="0" fontId="1" fillId="4786" borderId="0" xfId="4" applyFill="1" applyAlignment="1">
      <alignment horizontal="center" vertical="center"/>
    </xf>
    <xf numFmtId="0" fontId="1" fillId="4787" borderId="0" xfId="4" applyFill="1" applyAlignment="1">
      <alignment horizontal="center" vertical="center"/>
    </xf>
    <xf numFmtId="0" fontId="1" fillId="4788" borderId="0" xfId="4" applyFill="1" applyAlignment="1">
      <alignment horizontal="center" vertical="center"/>
    </xf>
    <xf numFmtId="0" fontId="1" fillId="4789" borderId="0" xfId="4" applyFill="1" applyAlignment="1">
      <alignment horizontal="center" vertical="center"/>
    </xf>
    <xf numFmtId="0" fontId="1" fillId="4790" borderId="0" xfId="4" applyFill="1" applyAlignment="1">
      <alignment horizontal="center" vertical="center"/>
    </xf>
    <xf numFmtId="0" fontId="1" fillId="4791" borderId="0" xfId="4" applyFill="1" applyAlignment="1">
      <alignment horizontal="center" vertical="center"/>
    </xf>
    <xf numFmtId="0" fontId="1" fillId="4792" borderId="0" xfId="4" applyFill="1" applyAlignment="1">
      <alignment horizontal="center" vertical="center"/>
    </xf>
    <xf numFmtId="0" fontId="1" fillId="4793" borderId="0" xfId="4" applyFill="1" applyAlignment="1">
      <alignment horizontal="center" vertical="center"/>
    </xf>
    <xf numFmtId="0" fontId="1" fillId="4794" borderId="0" xfId="4" applyFill="1" applyAlignment="1">
      <alignment horizontal="center" vertical="center"/>
    </xf>
    <xf numFmtId="0" fontId="1" fillId="4795" borderId="0" xfId="4" applyFill="1" applyAlignment="1">
      <alignment horizontal="center" vertical="center"/>
    </xf>
    <xf numFmtId="0" fontId="1" fillId="506" borderId="0" xfId="4" applyFill="1" applyAlignment="1">
      <alignment horizontal="center" vertical="center"/>
    </xf>
    <xf numFmtId="0" fontId="1" fillId="4796" borderId="0" xfId="4" applyFill="1" applyAlignment="1">
      <alignment horizontal="center" vertical="center"/>
    </xf>
    <xf numFmtId="0" fontId="1" fillId="612" borderId="0" xfId="4" applyFill="1" applyAlignment="1">
      <alignment horizontal="center" vertical="center"/>
    </xf>
    <xf numFmtId="0" fontId="1" fillId="790" borderId="0" xfId="4" applyFill="1" applyAlignment="1">
      <alignment horizontal="center" vertical="center"/>
    </xf>
    <xf numFmtId="0" fontId="1" fillId="4797" borderId="0" xfId="4" applyFill="1" applyAlignment="1">
      <alignment horizontal="center" vertical="center"/>
    </xf>
    <xf numFmtId="0" fontId="1" fillId="4798" borderId="0" xfId="4" applyFill="1" applyAlignment="1">
      <alignment horizontal="center" vertical="center"/>
    </xf>
    <xf numFmtId="0" fontId="1" fillId="4799" borderId="0" xfId="4" applyFill="1" applyAlignment="1">
      <alignment horizontal="center" vertical="center"/>
    </xf>
    <xf numFmtId="0" fontId="1" fillId="4800" borderId="0" xfId="4" applyFill="1" applyAlignment="1">
      <alignment horizontal="center" vertical="center"/>
    </xf>
    <xf numFmtId="0" fontId="1" fillId="4801" borderId="0" xfId="4" applyFill="1" applyAlignment="1">
      <alignment horizontal="center" vertical="center"/>
    </xf>
    <xf numFmtId="0" fontId="1" fillId="4802" borderId="0" xfId="4" applyFill="1" applyAlignment="1">
      <alignment horizontal="center" vertical="center"/>
    </xf>
    <xf numFmtId="0" fontId="1" fillId="4803" borderId="0" xfId="4" applyFill="1" applyAlignment="1">
      <alignment horizontal="center" vertical="center"/>
    </xf>
    <xf numFmtId="0" fontId="1" fillId="4804" borderId="0" xfId="4" applyFill="1" applyAlignment="1">
      <alignment horizontal="center" vertical="center"/>
    </xf>
    <xf numFmtId="0" fontId="1" fillId="4805" borderId="0" xfId="4" applyFill="1" applyAlignment="1">
      <alignment horizontal="center" vertical="center"/>
    </xf>
    <xf numFmtId="0" fontId="1" fillId="4806" borderId="0" xfId="4" applyFill="1" applyAlignment="1">
      <alignment horizontal="center" vertical="center"/>
    </xf>
    <xf numFmtId="0" fontId="1" fillId="4807" borderId="0" xfId="4" applyFill="1" applyAlignment="1">
      <alignment horizontal="center" vertical="center"/>
    </xf>
    <xf numFmtId="0" fontId="1" fillId="4808" borderId="0" xfId="4" applyFill="1" applyAlignment="1">
      <alignment horizontal="center" vertical="center"/>
    </xf>
    <xf numFmtId="0" fontId="1" fillId="4809" borderId="0" xfId="4" applyFill="1" applyAlignment="1">
      <alignment horizontal="center" vertical="center"/>
    </xf>
    <xf numFmtId="0" fontId="1" fillId="4810" borderId="0" xfId="4" applyFill="1" applyAlignment="1">
      <alignment horizontal="left" vertical="center"/>
    </xf>
    <xf numFmtId="0" fontId="1" fillId="4811" borderId="0" xfId="4" applyFill="1" applyAlignment="1">
      <alignment horizontal="center" vertical="center"/>
    </xf>
    <xf numFmtId="0" fontId="1" fillId="4812" borderId="0" xfId="4" applyFill="1" applyAlignment="1">
      <alignment horizontal="center" vertical="center"/>
    </xf>
    <xf numFmtId="0" fontId="1" fillId="4813" borderId="0" xfId="4" applyFill="1" applyAlignment="1">
      <alignment horizontal="center" vertical="center"/>
    </xf>
    <xf numFmtId="0" fontId="1" fillId="4814" borderId="0" xfId="4" applyFill="1" applyAlignment="1">
      <alignment horizontal="center" vertical="center"/>
    </xf>
    <xf numFmtId="0" fontId="1" fillId="4815" borderId="0" xfId="4" applyFill="1" applyAlignment="1">
      <alignment horizontal="center" vertical="center"/>
    </xf>
    <xf numFmtId="0" fontId="1" fillId="4816" borderId="0" xfId="4" applyFill="1" applyAlignment="1">
      <alignment horizontal="center" vertical="center"/>
    </xf>
    <xf numFmtId="0" fontId="1" fillId="4817" borderId="0" xfId="4" applyFill="1" applyAlignment="1">
      <alignment horizontal="center" vertical="center"/>
    </xf>
    <xf numFmtId="0" fontId="1" fillId="4818" borderId="0" xfId="4" applyFill="1" applyAlignment="1">
      <alignment horizontal="center" vertical="center"/>
    </xf>
    <xf numFmtId="0" fontId="1" fillId="4819" borderId="0" xfId="4" applyFill="1" applyAlignment="1">
      <alignment horizontal="center" vertical="center"/>
    </xf>
    <xf numFmtId="0" fontId="1" fillId="4820" borderId="0" xfId="4" applyFill="1" applyAlignment="1">
      <alignment horizontal="center" vertical="center"/>
    </xf>
    <xf numFmtId="0" fontId="1" fillId="4821" borderId="0" xfId="4" applyFill="1" applyAlignment="1">
      <alignment horizontal="center" vertical="center"/>
    </xf>
    <xf numFmtId="0" fontId="1" fillId="4822" borderId="0" xfId="4" applyFill="1" applyAlignment="1">
      <alignment horizontal="center" vertical="center"/>
    </xf>
    <xf numFmtId="0" fontId="1" fillId="4823" borderId="0" xfId="4" applyFill="1" applyAlignment="1">
      <alignment horizontal="center" vertical="center"/>
    </xf>
    <xf numFmtId="0" fontId="1" fillId="4824" borderId="0" xfId="4" applyFill="1" applyAlignment="1">
      <alignment horizontal="center" vertical="center"/>
    </xf>
    <xf numFmtId="0" fontId="1" fillId="4825" borderId="0" xfId="4" applyFill="1" applyAlignment="1">
      <alignment horizontal="center" vertical="center"/>
    </xf>
    <xf numFmtId="0" fontId="1" fillId="3913" borderId="0" xfId="4" applyFill="1" applyAlignment="1">
      <alignment horizontal="center" vertical="center"/>
    </xf>
    <xf numFmtId="0" fontId="1" fillId="4826" borderId="0" xfId="4" applyFill="1" applyAlignment="1">
      <alignment horizontal="center" vertical="center"/>
    </xf>
    <xf numFmtId="0" fontId="1" fillId="4827" borderId="0" xfId="4" applyFill="1" applyAlignment="1">
      <alignment horizontal="center" vertical="center"/>
    </xf>
    <xf numFmtId="0" fontId="1" fillId="4828" borderId="0" xfId="4" applyFill="1" applyAlignment="1">
      <alignment horizontal="center" vertical="center"/>
    </xf>
    <xf numFmtId="0" fontId="1" fillId="4829" borderId="0" xfId="4" applyFill="1" applyAlignment="1">
      <alignment horizontal="center" vertical="center"/>
    </xf>
    <xf numFmtId="0" fontId="1" fillId="4830" borderId="0" xfId="4" applyFill="1" applyAlignment="1">
      <alignment horizontal="center" vertical="center"/>
    </xf>
    <xf numFmtId="0" fontId="1" fillId="4831" borderId="0" xfId="4" applyFill="1" applyAlignment="1">
      <alignment horizontal="center" vertical="center"/>
    </xf>
    <xf numFmtId="0" fontId="1" fillId="4832" borderId="0" xfId="4" applyFill="1" applyAlignment="1">
      <alignment horizontal="left" vertical="center"/>
    </xf>
    <xf numFmtId="0" fontId="1" fillId="4833" borderId="0" xfId="4" applyFill="1" applyAlignment="1">
      <alignment horizontal="center" vertical="center"/>
    </xf>
    <xf numFmtId="0" fontId="1" fillId="4834" borderId="0" xfId="4" applyFill="1" applyAlignment="1">
      <alignment horizontal="center" vertical="center"/>
    </xf>
    <xf numFmtId="0" fontId="1" fillId="4835" borderId="0" xfId="4" applyFill="1" applyAlignment="1">
      <alignment horizontal="center" vertical="center"/>
    </xf>
    <xf numFmtId="0" fontId="1" fillId="4836" borderId="0" xfId="4" applyFill="1" applyAlignment="1">
      <alignment horizontal="center" vertical="center"/>
    </xf>
    <xf numFmtId="0" fontId="1" fillId="4837" borderId="0" xfId="4" applyFill="1" applyAlignment="1">
      <alignment horizontal="center" vertical="center"/>
    </xf>
    <xf numFmtId="0" fontId="1" fillId="4838" borderId="0" xfId="4" applyFill="1" applyAlignment="1">
      <alignment horizontal="center" vertical="center"/>
    </xf>
    <xf numFmtId="0" fontId="1" fillId="4839" borderId="0" xfId="4" applyFill="1" applyAlignment="1">
      <alignment horizontal="center" vertical="center"/>
    </xf>
    <xf numFmtId="0" fontId="1" fillId="4840" borderId="0" xfId="4" applyFill="1" applyAlignment="1">
      <alignment horizontal="center" vertical="center"/>
    </xf>
    <xf numFmtId="0" fontId="1" fillId="4841" borderId="0" xfId="4" applyFill="1" applyAlignment="1">
      <alignment horizontal="center" vertical="center"/>
    </xf>
    <xf numFmtId="0" fontId="1" fillId="4842" borderId="0" xfId="4" applyFill="1" applyAlignment="1">
      <alignment horizontal="center" vertical="center"/>
    </xf>
    <xf numFmtId="0" fontId="1" fillId="4843" borderId="0" xfId="4" applyFill="1" applyAlignment="1">
      <alignment horizontal="center" vertical="center"/>
    </xf>
    <xf numFmtId="0" fontId="1" fillId="4844" borderId="0" xfId="4" applyFill="1" applyAlignment="1">
      <alignment horizontal="center" vertical="center"/>
    </xf>
    <xf numFmtId="0" fontId="1" fillId="4845" borderId="0" xfId="4" applyFill="1" applyAlignment="1">
      <alignment horizontal="center" vertical="center"/>
    </xf>
    <xf numFmtId="0" fontId="1" fillId="4846" borderId="0" xfId="4" applyFill="1" applyAlignment="1">
      <alignment horizontal="center" vertical="center"/>
    </xf>
    <xf numFmtId="0" fontId="1" fillId="4847" borderId="0" xfId="4" applyFill="1" applyAlignment="1">
      <alignment horizontal="center" vertical="center"/>
    </xf>
    <xf numFmtId="0" fontId="1" fillId="4848" borderId="0" xfId="4" applyFill="1" applyAlignment="1">
      <alignment horizontal="center" vertical="center"/>
    </xf>
    <xf numFmtId="0" fontId="1" fillId="4849" borderId="0" xfId="4" applyFill="1" applyAlignment="1">
      <alignment horizontal="center" vertical="center"/>
    </xf>
    <xf numFmtId="0" fontId="1" fillId="4850" borderId="0" xfId="4" applyFill="1" applyAlignment="1">
      <alignment horizontal="center" vertical="center"/>
    </xf>
    <xf numFmtId="0" fontId="1" fillId="4851" borderId="0" xfId="4" applyFill="1" applyAlignment="1">
      <alignment horizontal="center" vertical="center"/>
    </xf>
    <xf numFmtId="0" fontId="1" fillId="4852" borderId="0" xfId="4" applyFill="1" applyAlignment="1">
      <alignment horizontal="center" vertical="center"/>
    </xf>
    <xf numFmtId="0" fontId="1" fillId="4853" borderId="0" xfId="4" applyFill="1" applyAlignment="1">
      <alignment horizontal="left" vertical="center"/>
    </xf>
    <xf numFmtId="0" fontId="1" fillId="4854" borderId="0" xfId="4" applyFill="1" applyAlignment="1">
      <alignment horizontal="center" vertical="center"/>
    </xf>
    <xf numFmtId="0" fontId="1" fillId="4855" borderId="0" xfId="4" applyFill="1" applyAlignment="1">
      <alignment horizontal="center" vertical="center"/>
    </xf>
    <xf numFmtId="0" fontId="1" fillId="4856" borderId="0" xfId="4" applyFill="1" applyAlignment="1">
      <alignment horizontal="left" vertical="center"/>
    </xf>
    <xf numFmtId="0" fontId="1" fillId="4857" borderId="0" xfId="4" applyFill="1" applyAlignment="1">
      <alignment horizontal="center" vertical="center"/>
    </xf>
    <xf numFmtId="0" fontId="1" fillId="4858" borderId="0" xfId="4" applyFill="1" applyAlignment="1">
      <alignment horizontal="center" vertical="center"/>
    </xf>
    <xf numFmtId="0" fontId="1" fillId="878" borderId="0" xfId="4" applyFill="1" applyAlignment="1">
      <alignment horizontal="center" vertical="center"/>
    </xf>
    <xf numFmtId="0" fontId="1" fillId="4859" borderId="0" xfId="4" applyFill="1" applyAlignment="1">
      <alignment horizontal="center" vertical="center"/>
    </xf>
    <xf numFmtId="0" fontId="1" fillId="4860" borderId="0" xfId="4" applyFill="1" applyAlignment="1">
      <alignment horizontal="center" vertical="center"/>
    </xf>
    <xf numFmtId="0" fontId="1" fillId="4861" borderId="0" xfId="4" applyFill="1" applyAlignment="1">
      <alignment horizontal="center" vertical="center"/>
    </xf>
    <xf numFmtId="0" fontId="1" fillId="4862" borderId="0" xfId="4" applyFill="1" applyAlignment="1">
      <alignment horizontal="center" vertical="center"/>
    </xf>
    <xf numFmtId="0" fontId="1" fillId="4863" borderId="0" xfId="4" applyFill="1" applyAlignment="1">
      <alignment horizontal="center" vertical="center"/>
    </xf>
    <xf numFmtId="0" fontId="1" fillId="4864" borderId="0" xfId="4" applyFill="1" applyAlignment="1">
      <alignment horizontal="center" vertical="center"/>
    </xf>
    <xf numFmtId="0" fontId="1" fillId="4865" borderId="0" xfId="4" applyFill="1" applyAlignment="1">
      <alignment horizontal="center" vertical="center"/>
    </xf>
    <xf numFmtId="0" fontId="1" fillId="4866" borderId="0" xfId="4" applyFill="1" applyAlignment="1">
      <alignment horizontal="center" vertical="center"/>
    </xf>
    <xf numFmtId="0" fontId="1" fillId="4867" borderId="0" xfId="4" applyFill="1" applyAlignment="1">
      <alignment horizontal="center" vertical="center"/>
    </xf>
    <xf numFmtId="0" fontId="1" fillId="4868" borderId="0" xfId="4" applyFill="1" applyAlignment="1">
      <alignment horizontal="center" vertical="center"/>
    </xf>
    <xf numFmtId="0" fontId="1" fillId="715" borderId="0" xfId="4" applyFill="1" applyAlignment="1">
      <alignment horizontal="center" vertical="center"/>
    </xf>
    <xf numFmtId="0" fontId="1" fillId="677" borderId="0" xfId="4" applyFill="1" applyAlignment="1">
      <alignment horizontal="center" vertical="center"/>
    </xf>
    <xf numFmtId="0" fontId="1" fillId="955" borderId="0" xfId="4" applyFill="1" applyAlignment="1">
      <alignment horizontal="center" vertical="center"/>
    </xf>
    <xf numFmtId="0" fontId="1" fillId="4869" borderId="0" xfId="4" applyFill="1" applyAlignment="1">
      <alignment horizontal="center" vertical="center"/>
    </xf>
    <xf numFmtId="0" fontId="1" fillId="4870" borderId="0" xfId="4" applyFill="1" applyAlignment="1">
      <alignment horizontal="center" vertical="center"/>
    </xf>
    <xf numFmtId="0" fontId="1" fillId="4871" borderId="0" xfId="4" applyFill="1" applyAlignment="1">
      <alignment horizontal="center" vertical="center"/>
    </xf>
    <xf numFmtId="0" fontId="1" fillId="4872" borderId="0" xfId="4" applyFill="1" applyAlignment="1">
      <alignment horizontal="center" vertical="center"/>
    </xf>
    <xf numFmtId="0" fontId="1" fillId="643" borderId="0" xfId="4" applyFill="1" applyAlignment="1">
      <alignment horizontal="center" vertical="center"/>
    </xf>
    <xf numFmtId="0" fontId="1" fillId="4873" borderId="0" xfId="4" applyFill="1" applyAlignment="1">
      <alignment horizontal="center" vertical="center"/>
    </xf>
    <xf numFmtId="0" fontId="1" fillId="4874" borderId="0" xfId="4" applyFill="1" applyAlignment="1">
      <alignment horizontal="center" vertical="center"/>
    </xf>
    <xf numFmtId="0" fontId="1" fillId="4875" borderId="0" xfId="4" applyFill="1" applyAlignment="1">
      <alignment horizontal="center" vertical="center"/>
    </xf>
    <xf numFmtId="0" fontId="1" fillId="4876" borderId="0" xfId="4" applyFill="1" applyAlignment="1">
      <alignment horizontal="center" vertical="center"/>
    </xf>
    <xf numFmtId="0" fontId="1" fillId="4877" borderId="0" xfId="4" applyFill="1" applyAlignment="1">
      <alignment horizontal="center" vertical="center"/>
    </xf>
    <xf numFmtId="0" fontId="1" fillId="4878" borderId="0" xfId="4" applyFill="1" applyAlignment="1">
      <alignment horizontal="center" vertical="center"/>
    </xf>
    <xf numFmtId="0" fontId="1" fillId="1360" borderId="0" xfId="4" applyFill="1" applyAlignment="1">
      <alignment horizontal="center" vertical="center"/>
    </xf>
    <xf numFmtId="0" fontId="1" fillId="4879" borderId="0" xfId="4" applyFill="1" applyAlignment="1">
      <alignment horizontal="center" vertical="center"/>
    </xf>
    <xf numFmtId="0" fontId="1" fillId="4880" borderId="0" xfId="4" applyFill="1" applyAlignment="1">
      <alignment horizontal="center" vertical="center"/>
    </xf>
    <xf numFmtId="0" fontId="1" fillId="4881" borderId="0" xfId="4" applyFill="1" applyAlignment="1">
      <alignment horizontal="center" vertical="center"/>
    </xf>
    <xf numFmtId="0" fontId="1" fillId="4882" borderId="0" xfId="4" applyFill="1" applyAlignment="1">
      <alignment horizontal="center" vertical="center"/>
    </xf>
    <xf numFmtId="0" fontId="1" fillId="4883" borderId="0" xfId="4" applyFill="1" applyAlignment="1">
      <alignment horizontal="left" vertical="center"/>
    </xf>
    <xf numFmtId="0" fontId="1" fillId="4884" borderId="0" xfId="4" applyFill="1" applyAlignment="1">
      <alignment horizontal="center" vertical="center"/>
    </xf>
    <xf numFmtId="0" fontId="1" fillId="4885" borderId="0" xfId="4" applyFill="1" applyAlignment="1">
      <alignment horizontal="center" vertical="center"/>
    </xf>
    <xf numFmtId="0" fontId="1" fillId="4886" borderId="0" xfId="4" applyFill="1" applyAlignment="1">
      <alignment horizontal="center" vertical="center"/>
    </xf>
    <xf numFmtId="0" fontId="1" fillId="4887" borderId="0" xfId="4" applyFill="1" applyAlignment="1">
      <alignment horizontal="center" vertical="center"/>
    </xf>
    <xf numFmtId="0" fontId="1" fillId="4888" borderId="0" xfId="4" applyFill="1" applyAlignment="1">
      <alignment horizontal="center" vertical="center"/>
    </xf>
    <xf numFmtId="0" fontId="1" fillId="4889" borderId="0" xfId="4" applyFill="1" applyAlignment="1">
      <alignment horizontal="center" vertical="center"/>
    </xf>
    <xf numFmtId="0" fontId="1" fillId="4890" borderId="0" xfId="4" applyFill="1" applyAlignment="1">
      <alignment horizontal="center" vertical="center"/>
    </xf>
    <xf numFmtId="0" fontId="1" fillId="4891" borderId="0" xfId="4" applyFill="1" applyAlignment="1">
      <alignment horizontal="center" vertical="center"/>
    </xf>
    <xf numFmtId="0" fontId="1" fillId="4892" borderId="0" xfId="4" applyFill="1" applyAlignment="1">
      <alignment horizontal="center" vertical="center"/>
    </xf>
    <xf numFmtId="0" fontId="1" fillId="4893" borderId="0" xfId="4" applyFill="1" applyAlignment="1">
      <alignment horizontal="center" vertical="center"/>
    </xf>
    <xf numFmtId="0" fontId="1" fillId="4894" borderId="0" xfId="4" applyFill="1" applyAlignment="1">
      <alignment horizontal="center" vertical="center"/>
    </xf>
    <xf numFmtId="0" fontId="1" fillId="4895" borderId="0" xfId="4" applyFill="1" applyAlignment="1">
      <alignment horizontal="center" vertical="center"/>
    </xf>
    <xf numFmtId="0" fontId="1" fillId="4896" borderId="0" xfId="4" applyFill="1" applyAlignment="1">
      <alignment horizontal="center" vertical="center"/>
    </xf>
    <xf numFmtId="0" fontId="1" fillId="4897" borderId="0" xfId="4" applyFill="1" applyAlignment="1">
      <alignment horizontal="center" vertical="center"/>
    </xf>
    <xf numFmtId="0" fontId="1" fillId="4898" borderId="0" xfId="4" applyFill="1" applyAlignment="1">
      <alignment horizontal="center" vertical="center"/>
    </xf>
    <xf numFmtId="0" fontId="1" fillId="4899" borderId="0" xfId="4" applyFill="1" applyAlignment="1">
      <alignment horizontal="center" vertical="center"/>
    </xf>
    <xf numFmtId="0" fontId="1" fillId="4900" borderId="0" xfId="4" applyFill="1" applyAlignment="1">
      <alignment horizontal="center" vertical="center"/>
    </xf>
    <xf numFmtId="0" fontId="1" fillId="4901" borderId="0" xfId="4" applyFill="1" applyAlignment="1">
      <alignment horizontal="center" vertical="center"/>
    </xf>
    <xf numFmtId="0" fontId="1" fillId="4902" borderId="0" xfId="4" applyFill="1" applyAlignment="1">
      <alignment horizontal="center" vertical="center"/>
    </xf>
    <xf numFmtId="0" fontId="1" fillId="4903" borderId="0" xfId="4" applyFill="1" applyAlignment="1">
      <alignment horizontal="center" vertical="center"/>
    </xf>
    <xf numFmtId="0" fontId="1" fillId="4904" borderId="0" xfId="4" applyFill="1" applyAlignment="1">
      <alignment horizontal="center" vertical="center"/>
    </xf>
    <xf numFmtId="0" fontId="1" fillId="4905" borderId="0" xfId="4" applyFill="1" applyAlignment="1">
      <alignment horizontal="center" vertical="center"/>
    </xf>
    <xf numFmtId="0" fontId="1" fillId="4906" borderId="0" xfId="4" applyFill="1" applyAlignment="1">
      <alignment horizontal="center" vertical="center"/>
    </xf>
    <xf numFmtId="0" fontId="1" fillId="4907" borderId="0" xfId="4" applyFill="1" applyAlignment="1">
      <alignment horizontal="center" vertical="center"/>
    </xf>
    <xf numFmtId="0" fontId="1" fillId="4908" borderId="0" xfId="4" applyFill="1" applyAlignment="1">
      <alignment horizontal="center" vertical="center"/>
    </xf>
    <xf numFmtId="0" fontId="1" fillId="4909" borderId="0" xfId="4" applyFill="1" applyAlignment="1">
      <alignment horizontal="center" vertical="center"/>
    </xf>
    <xf numFmtId="0" fontId="1" fillId="4910" borderId="0" xfId="4" applyFill="1" applyAlignment="1">
      <alignment horizontal="left" vertical="center"/>
    </xf>
    <xf numFmtId="0" fontId="1" fillId="4911" borderId="0" xfId="4" applyFill="1" applyAlignment="1">
      <alignment horizontal="center" vertical="center"/>
    </xf>
    <xf numFmtId="0" fontId="1" fillId="4912" borderId="0" xfId="4" applyFill="1" applyAlignment="1">
      <alignment horizontal="center" vertical="center"/>
    </xf>
    <xf numFmtId="0" fontId="1" fillId="4913" borderId="0" xfId="4" applyFill="1" applyAlignment="1">
      <alignment horizontal="center" vertical="center"/>
    </xf>
    <xf numFmtId="0" fontId="1" fillId="4914" borderId="0" xfId="4" applyFill="1" applyAlignment="1">
      <alignment horizontal="center" vertical="center"/>
    </xf>
    <xf numFmtId="0" fontId="1" fillId="4915" borderId="0" xfId="4" applyFill="1" applyAlignment="1">
      <alignment horizontal="center" vertical="center"/>
    </xf>
    <xf numFmtId="0" fontId="1" fillId="4916" borderId="0" xfId="4" applyFill="1" applyAlignment="1">
      <alignment horizontal="center" vertical="center"/>
    </xf>
    <xf numFmtId="0" fontId="1" fillId="4917" borderId="0" xfId="4" applyFill="1" applyAlignment="1">
      <alignment horizontal="center" vertical="center"/>
    </xf>
    <xf numFmtId="0" fontId="1" fillId="4918" borderId="0" xfId="4" applyFill="1" applyAlignment="1">
      <alignment horizontal="center" vertical="center"/>
    </xf>
    <xf numFmtId="0" fontId="1" fillId="4919" borderId="0" xfId="4" applyFill="1" applyAlignment="1">
      <alignment horizontal="center" vertical="center"/>
    </xf>
    <xf numFmtId="0" fontId="1" fillId="4920" borderId="0" xfId="4" applyFill="1" applyAlignment="1">
      <alignment horizontal="center" vertical="center"/>
    </xf>
    <xf numFmtId="0" fontId="1" fillId="4921" borderId="0" xfId="4" applyFill="1" applyAlignment="1">
      <alignment horizontal="center" vertical="center"/>
    </xf>
    <xf numFmtId="0" fontId="1" fillId="4922" borderId="0" xfId="4" applyFill="1" applyAlignment="1">
      <alignment horizontal="center" vertical="center"/>
    </xf>
    <xf numFmtId="0" fontId="1" fillId="4923" borderId="0" xfId="4" applyFill="1" applyAlignment="1">
      <alignment horizontal="center" vertical="center"/>
    </xf>
    <xf numFmtId="0" fontId="1" fillId="4924" borderId="0" xfId="4" applyFill="1" applyAlignment="1">
      <alignment horizontal="center" vertical="center"/>
    </xf>
    <xf numFmtId="0" fontId="1" fillId="4925" borderId="0" xfId="4" applyFill="1" applyAlignment="1">
      <alignment horizontal="center" vertical="center"/>
    </xf>
    <xf numFmtId="0" fontId="1" fillId="4926" borderId="0" xfId="4" applyFill="1" applyAlignment="1">
      <alignment horizontal="center" vertical="center"/>
    </xf>
    <xf numFmtId="0" fontId="1" fillId="4927" borderId="0" xfId="4" applyFill="1" applyAlignment="1">
      <alignment horizontal="center" vertical="center"/>
    </xf>
    <xf numFmtId="0" fontId="1" fillId="4928" borderId="0" xfId="4" applyFill="1" applyAlignment="1">
      <alignment horizontal="center" vertical="center"/>
    </xf>
    <xf numFmtId="0" fontId="1" fillId="4929" borderId="0" xfId="4" applyFill="1" applyAlignment="1">
      <alignment horizontal="center" vertical="center"/>
    </xf>
    <xf numFmtId="0" fontId="1" fillId="4930" borderId="0" xfId="4" applyFill="1" applyAlignment="1">
      <alignment horizontal="center" vertical="center"/>
    </xf>
    <xf numFmtId="0" fontId="1" fillId="4931" borderId="0" xfId="4" applyFill="1" applyAlignment="1">
      <alignment horizontal="left" vertical="center"/>
    </xf>
    <xf numFmtId="0" fontId="1" fillId="4932" borderId="0" xfId="4" applyFill="1" applyAlignment="1">
      <alignment horizontal="center" vertical="center"/>
    </xf>
    <xf numFmtId="0" fontId="1" fillId="4933" borderId="0" xfId="4" applyFill="1" applyAlignment="1">
      <alignment horizontal="center" vertical="center"/>
    </xf>
    <xf numFmtId="0" fontId="1" fillId="4934" borderId="0" xfId="4" applyFill="1" applyAlignment="1">
      <alignment horizontal="left" vertical="center"/>
    </xf>
    <xf numFmtId="0" fontId="1" fillId="4935" borderId="0" xfId="4" applyFill="1" applyAlignment="1">
      <alignment horizontal="center" vertical="center"/>
    </xf>
    <xf numFmtId="0" fontId="1" fillId="1038" borderId="0" xfId="4" applyFill="1" applyAlignment="1">
      <alignment horizontal="center" vertical="center"/>
    </xf>
    <xf numFmtId="0" fontId="1" fillId="4936" borderId="0" xfId="4" applyFill="1" applyAlignment="1">
      <alignment horizontal="center" vertical="center"/>
    </xf>
    <xf numFmtId="0" fontId="1" fillId="4937" borderId="0" xfId="4" applyFill="1" applyAlignment="1">
      <alignment horizontal="center" vertical="center"/>
    </xf>
    <xf numFmtId="0" fontId="1" fillId="4938" borderId="0" xfId="4" applyFill="1" applyAlignment="1">
      <alignment horizontal="center" vertical="center"/>
    </xf>
    <xf numFmtId="0" fontId="1" fillId="1222" borderId="0" xfId="4" applyFill="1" applyAlignment="1">
      <alignment horizontal="center" vertical="center"/>
    </xf>
    <xf numFmtId="0" fontId="1" fillId="4939" borderId="0" xfId="4" applyFill="1" applyAlignment="1">
      <alignment horizontal="center" vertical="center"/>
    </xf>
    <xf numFmtId="0" fontId="1" fillId="4940" borderId="0" xfId="4" applyFill="1" applyAlignment="1">
      <alignment horizontal="center" vertical="center"/>
    </xf>
    <xf numFmtId="0" fontId="1" fillId="4941" borderId="0" xfId="4" applyFill="1" applyAlignment="1">
      <alignment horizontal="center" vertical="center"/>
    </xf>
    <xf numFmtId="0" fontId="1" fillId="4942" borderId="0" xfId="4" applyFill="1" applyAlignment="1">
      <alignment horizontal="center" vertical="center"/>
    </xf>
    <xf numFmtId="0" fontId="1" fillId="4943" borderId="0" xfId="4" applyFill="1" applyAlignment="1">
      <alignment horizontal="center" vertical="center"/>
    </xf>
    <xf numFmtId="0" fontId="1" fillId="4944" borderId="0" xfId="4" applyFill="1" applyAlignment="1">
      <alignment horizontal="center" vertical="center"/>
    </xf>
    <xf numFmtId="0" fontId="1" fillId="4945" borderId="0" xfId="4" applyFill="1" applyAlignment="1">
      <alignment horizontal="center" vertical="center"/>
    </xf>
    <xf numFmtId="0" fontId="1" fillId="4946" borderId="0" xfId="4" applyFill="1" applyAlignment="1">
      <alignment horizontal="center" vertical="center"/>
    </xf>
    <xf numFmtId="0" fontId="1" fillId="4947" borderId="0" xfId="4" applyFill="1" applyAlignment="1">
      <alignment horizontal="center" vertical="center"/>
    </xf>
    <xf numFmtId="0" fontId="1" fillId="863" borderId="0" xfId="4" applyFill="1" applyAlignment="1">
      <alignment horizontal="center" vertical="center"/>
    </xf>
    <xf numFmtId="0" fontId="1" fillId="4948" borderId="0" xfId="4" applyFill="1" applyAlignment="1">
      <alignment horizontal="center" vertical="center"/>
    </xf>
    <xf numFmtId="0" fontId="1" fillId="4949" borderId="0" xfId="4" applyFill="1" applyAlignment="1">
      <alignment horizontal="center" vertical="center"/>
    </xf>
    <xf numFmtId="0" fontId="1" fillId="4950" borderId="0" xfId="4" applyFill="1" applyAlignment="1">
      <alignment horizontal="center" vertical="center"/>
    </xf>
    <xf numFmtId="0" fontId="1" fillId="862" borderId="0" xfId="4" applyFill="1" applyAlignment="1">
      <alignment horizontal="center" vertical="center"/>
    </xf>
    <xf numFmtId="0" fontId="1" fillId="4951" borderId="0" xfId="4" applyFill="1" applyAlignment="1">
      <alignment horizontal="center" vertical="center"/>
    </xf>
    <xf numFmtId="0" fontId="1" fillId="714" borderId="0" xfId="4" applyFill="1" applyAlignment="1">
      <alignment horizontal="center" vertical="center"/>
    </xf>
    <xf numFmtId="0" fontId="1" fillId="957" borderId="0" xfId="4" applyFill="1" applyAlignment="1">
      <alignment horizontal="center" vertical="center"/>
    </xf>
    <xf numFmtId="0" fontId="1" fillId="4952" borderId="0" xfId="4" applyFill="1" applyAlignment="1">
      <alignment horizontal="center" vertical="center"/>
    </xf>
    <xf numFmtId="0" fontId="1" fillId="4953" borderId="0" xfId="4" applyFill="1" applyAlignment="1">
      <alignment horizontal="center" vertical="center"/>
    </xf>
    <xf numFmtId="0" fontId="1" fillId="4954" borderId="0" xfId="4" applyFill="1" applyAlignment="1">
      <alignment horizontal="center" vertical="center"/>
    </xf>
    <xf numFmtId="0" fontId="1" fillId="4955" borderId="0" xfId="4" applyFill="1" applyAlignment="1">
      <alignment horizontal="center" vertical="center"/>
    </xf>
    <xf numFmtId="0" fontId="1" fillId="4956" borderId="0" xfId="4" applyFill="1" applyAlignment="1">
      <alignment horizontal="center" vertical="center"/>
    </xf>
    <xf numFmtId="0" fontId="1" fillId="1282" borderId="0" xfId="4" applyFill="1" applyAlignment="1">
      <alignment horizontal="center" vertical="center"/>
    </xf>
    <xf numFmtId="0" fontId="1" fillId="4957" borderId="0" xfId="4" applyFill="1" applyAlignment="1">
      <alignment horizontal="center" vertical="center"/>
    </xf>
    <xf numFmtId="0" fontId="1" fillId="1381" borderId="0" xfId="4" applyFill="1" applyAlignment="1">
      <alignment horizontal="center" vertical="center"/>
    </xf>
    <xf numFmtId="0" fontId="1" fillId="4958" borderId="0" xfId="4" applyFill="1" applyAlignment="1">
      <alignment horizontal="center" vertical="center"/>
    </xf>
    <xf numFmtId="0" fontId="1" fillId="4959" borderId="0" xfId="4" applyFill="1" applyAlignment="1">
      <alignment horizontal="center" vertical="center"/>
    </xf>
    <xf numFmtId="0" fontId="1" fillId="4960" borderId="0" xfId="4" applyFill="1" applyAlignment="1">
      <alignment horizontal="center" vertical="center"/>
    </xf>
    <xf numFmtId="0" fontId="1" fillId="4961" borderId="0" xfId="4" applyFill="1" applyAlignment="1">
      <alignment horizontal="center" vertical="center"/>
    </xf>
    <xf numFmtId="0" fontId="1" fillId="4962" borderId="0" xfId="4" applyFill="1" applyAlignment="1">
      <alignment horizontal="left" vertical="center"/>
    </xf>
    <xf numFmtId="0" fontId="1" fillId="4963" borderId="0" xfId="4" applyFill="1" applyAlignment="1">
      <alignment horizontal="center" vertical="center"/>
    </xf>
    <xf numFmtId="0" fontId="1" fillId="4964" borderId="0" xfId="4" applyFill="1" applyAlignment="1">
      <alignment horizontal="center" vertical="center"/>
    </xf>
    <xf numFmtId="0" fontId="1" fillId="4965" borderId="0" xfId="4" applyFill="1" applyAlignment="1">
      <alignment horizontal="center" vertical="center"/>
    </xf>
    <xf numFmtId="0" fontId="1" fillId="3640" borderId="0" xfId="4" applyFill="1" applyAlignment="1">
      <alignment horizontal="center" vertical="center"/>
    </xf>
    <xf numFmtId="0" fontId="1" fillId="4966" borderId="0" xfId="4" applyFill="1" applyAlignment="1">
      <alignment horizontal="center" vertical="center"/>
    </xf>
    <xf numFmtId="0" fontId="1" fillId="4967" borderId="0" xfId="4" applyFill="1" applyAlignment="1">
      <alignment horizontal="center" vertical="center"/>
    </xf>
    <xf numFmtId="0" fontId="1" fillId="4968" borderId="0" xfId="4" applyFill="1" applyAlignment="1">
      <alignment horizontal="center" vertical="center"/>
    </xf>
    <xf numFmtId="0" fontId="1" fillId="4969" borderId="0" xfId="4" applyFill="1" applyAlignment="1">
      <alignment horizontal="center" vertical="center"/>
    </xf>
    <xf numFmtId="0" fontId="1" fillId="4970" borderId="0" xfId="4" applyFill="1" applyAlignment="1">
      <alignment horizontal="center" vertical="center"/>
    </xf>
    <xf numFmtId="0" fontId="1" fillId="4971" borderId="0" xfId="4" applyFill="1" applyAlignment="1">
      <alignment horizontal="center" vertical="center"/>
    </xf>
    <xf numFmtId="0" fontId="1" fillId="4972" borderId="0" xfId="4" applyFill="1" applyAlignment="1">
      <alignment horizontal="center" vertical="center"/>
    </xf>
    <xf numFmtId="0" fontId="1" fillId="4973" borderId="0" xfId="4" applyFill="1" applyAlignment="1">
      <alignment horizontal="center" vertical="center"/>
    </xf>
    <xf numFmtId="0" fontId="1" fillId="4974" borderId="0" xfId="4" applyFill="1" applyAlignment="1">
      <alignment horizontal="center" vertical="center"/>
    </xf>
    <xf numFmtId="0" fontId="1" fillId="4975" borderId="0" xfId="4" applyFill="1" applyAlignment="1">
      <alignment horizontal="center" vertical="center"/>
    </xf>
    <xf numFmtId="0" fontId="1" fillId="4976" borderId="0" xfId="4" applyFill="1" applyAlignment="1">
      <alignment horizontal="center" vertical="center"/>
    </xf>
    <xf numFmtId="0" fontId="1" fillId="4977" borderId="0" xfId="4" applyFill="1" applyAlignment="1">
      <alignment horizontal="center" vertical="center"/>
    </xf>
    <xf numFmtId="0" fontId="1" fillId="4978" borderId="0" xfId="4" applyFill="1" applyAlignment="1">
      <alignment horizontal="center" vertical="center"/>
    </xf>
    <xf numFmtId="0" fontId="1" fillId="4979" borderId="0" xfId="4" applyFill="1" applyAlignment="1">
      <alignment horizontal="center" vertical="center"/>
    </xf>
    <xf numFmtId="0" fontId="1" fillId="4980" borderId="0" xfId="4" applyFill="1" applyAlignment="1">
      <alignment horizontal="center" vertical="center"/>
    </xf>
    <xf numFmtId="0" fontId="1" fillId="4981" borderId="0" xfId="4" applyFill="1" applyAlignment="1">
      <alignment horizontal="center" vertical="center"/>
    </xf>
    <xf numFmtId="0" fontId="1" fillId="4982" borderId="0" xfId="4" applyFill="1" applyAlignment="1">
      <alignment horizontal="center" vertical="center"/>
    </xf>
    <xf numFmtId="0" fontId="1" fillId="4983" borderId="0" xfId="4" applyFill="1" applyAlignment="1">
      <alignment horizontal="center" vertical="center"/>
    </xf>
    <xf numFmtId="0" fontId="1" fillId="4984" borderId="0" xfId="4" applyFill="1" applyAlignment="1">
      <alignment horizontal="center" vertical="center"/>
    </xf>
    <xf numFmtId="0" fontId="1" fillId="4985" borderId="0" xfId="4" applyFill="1" applyAlignment="1">
      <alignment horizontal="center" vertical="center"/>
    </xf>
    <xf numFmtId="0" fontId="1" fillId="4986" borderId="0" xfId="4" applyFill="1" applyAlignment="1">
      <alignment horizontal="center" vertical="center"/>
    </xf>
    <xf numFmtId="0" fontId="1" fillId="4987" borderId="0" xfId="4" applyFill="1" applyAlignment="1">
      <alignment horizontal="center" vertical="center"/>
    </xf>
    <xf numFmtId="0" fontId="1" fillId="4988" borderId="0" xfId="4" applyFill="1" applyAlignment="1">
      <alignment horizontal="center" vertical="center"/>
    </xf>
    <xf numFmtId="0" fontId="1" fillId="4989" borderId="0" xfId="4" applyFill="1" applyAlignment="1">
      <alignment horizontal="left" vertical="center"/>
    </xf>
    <xf numFmtId="0" fontId="1" fillId="4990" borderId="0" xfId="4" applyFill="1" applyAlignment="1">
      <alignment horizontal="center" vertical="center"/>
    </xf>
    <xf numFmtId="0" fontId="1" fillId="4991" borderId="0" xfId="4" applyFill="1" applyAlignment="1">
      <alignment horizontal="center" vertical="center"/>
    </xf>
    <xf numFmtId="0" fontId="1" fillId="4992" borderId="0" xfId="4" applyFill="1" applyAlignment="1">
      <alignment horizontal="center" vertical="center"/>
    </xf>
    <xf numFmtId="0" fontId="1" fillId="4993" borderId="0" xfId="4" applyFill="1" applyAlignment="1">
      <alignment horizontal="center" vertical="center"/>
    </xf>
    <xf numFmtId="0" fontId="1" fillId="4994" borderId="0" xfId="4" applyFill="1" applyAlignment="1">
      <alignment horizontal="center" vertical="center"/>
    </xf>
    <xf numFmtId="0" fontId="1" fillId="4995" borderId="0" xfId="4" applyFill="1" applyAlignment="1">
      <alignment horizontal="center" vertical="center"/>
    </xf>
    <xf numFmtId="0" fontId="1" fillId="4996" borderId="0" xfId="4" applyFill="1" applyAlignment="1">
      <alignment horizontal="center" vertical="center"/>
    </xf>
    <xf numFmtId="0" fontId="1" fillId="4997" borderId="0" xfId="4" applyFill="1" applyAlignment="1">
      <alignment horizontal="center" vertical="center"/>
    </xf>
    <xf numFmtId="0" fontId="1" fillId="4998" borderId="0" xfId="4" applyFill="1" applyAlignment="1">
      <alignment horizontal="center" vertical="center"/>
    </xf>
    <xf numFmtId="0" fontId="1" fillId="4999" borderId="0" xfId="4" applyFill="1" applyAlignment="1">
      <alignment horizontal="center" vertical="center"/>
    </xf>
    <xf numFmtId="0" fontId="1" fillId="5000" borderId="0" xfId="4" applyFill="1" applyAlignment="1">
      <alignment horizontal="center" vertical="center"/>
    </xf>
    <xf numFmtId="0" fontId="1" fillId="5001" borderId="0" xfId="4" applyFill="1" applyAlignment="1">
      <alignment horizontal="center" vertical="center"/>
    </xf>
    <xf numFmtId="0" fontId="1" fillId="5002" borderId="0" xfId="4" applyFill="1" applyAlignment="1">
      <alignment horizontal="center" vertical="center"/>
    </xf>
    <xf numFmtId="0" fontId="1" fillId="5003" borderId="0" xfId="4" applyFill="1" applyAlignment="1">
      <alignment horizontal="center" vertical="center"/>
    </xf>
    <xf numFmtId="0" fontId="1" fillId="5004" borderId="0" xfId="4" applyFill="1" applyAlignment="1">
      <alignment horizontal="center" vertical="center"/>
    </xf>
    <xf numFmtId="0" fontId="1" fillId="5005" borderId="0" xfId="4" applyFill="1" applyAlignment="1">
      <alignment horizontal="center" vertical="center"/>
    </xf>
    <xf numFmtId="0" fontId="1" fillId="5006" borderId="0" xfId="4" applyFill="1" applyAlignment="1">
      <alignment horizontal="center" vertical="center"/>
    </xf>
    <xf numFmtId="0" fontId="1" fillId="5007" borderId="0" xfId="4" applyFill="1" applyAlignment="1">
      <alignment horizontal="center" vertical="center"/>
    </xf>
    <xf numFmtId="0" fontId="1" fillId="5008" borderId="0" xfId="4" applyFill="1" applyAlignment="1">
      <alignment horizontal="center" vertical="center"/>
    </xf>
    <xf numFmtId="0" fontId="1" fillId="5009" borderId="0" xfId="4" applyFill="1" applyAlignment="1">
      <alignment horizontal="center" vertical="center"/>
    </xf>
    <xf numFmtId="0" fontId="1" fillId="5010" borderId="0" xfId="4" applyFill="1" applyAlignment="1">
      <alignment horizontal="left" vertical="center"/>
    </xf>
    <xf numFmtId="0" fontId="1" fillId="5011" borderId="0" xfId="4" applyFill="1" applyAlignment="1">
      <alignment horizontal="center" vertical="center"/>
    </xf>
    <xf numFmtId="0" fontId="1" fillId="5012" borderId="0" xfId="4" applyFill="1" applyAlignment="1">
      <alignment horizontal="center" vertical="center"/>
    </xf>
    <xf numFmtId="0" fontId="1" fillId="931" borderId="0" xfId="4" applyFill="1" applyAlignment="1">
      <alignment horizontal="left" vertical="center"/>
    </xf>
    <xf numFmtId="0" fontId="1" fillId="5013" borderId="0" xfId="4" applyFill="1" applyAlignment="1">
      <alignment horizontal="center" vertical="center"/>
    </xf>
    <xf numFmtId="0" fontId="1" fillId="5014" borderId="0" xfId="4" applyFill="1" applyAlignment="1">
      <alignment horizontal="center" vertical="center"/>
    </xf>
    <xf numFmtId="0" fontId="1" fillId="5015" borderId="0" xfId="4" applyFill="1" applyAlignment="1">
      <alignment horizontal="center" vertical="center"/>
    </xf>
    <xf numFmtId="0" fontId="1" fillId="1077" borderId="0" xfId="4" applyFill="1" applyAlignment="1">
      <alignment horizontal="center" vertical="center"/>
    </xf>
    <xf numFmtId="0" fontId="1" fillId="5016" borderId="0" xfId="4" applyFill="1" applyAlignment="1">
      <alignment horizontal="center" vertical="center"/>
    </xf>
    <xf numFmtId="0" fontId="1" fillId="5017" borderId="0" xfId="4" applyFill="1" applyAlignment="1">
      <alignment horizontal="center" vertical="center"/>
    </xf>
    <xf numFmtId="0" fontId="1" fillId="5018" borderId="0" xfId="4" applyFill="1" applyAlignment="1">
      <alignment horizontal="center" vertical="center"/>
    </xf>
    <xf numFmtId="0" fontId="1" fillId="5019" borderId="0" xfId="4" applyFill="1" applyAlignment="1">
      <alignment horizontal="center" vertical="center"/>
    </xf>
    <xf numFmtId="0" fontId="1" fillId="5020" borderId="0" xfId="4" applyFill="1" applyAlignment="1">
      <alignment horizontal="center" vertical="center"/>
    </xf>
    <xf numFmtId="0" fontId="1" fillId="5021" borderId="0" xfId="4" applyFill="1" applyAlignment="1">
      <alignment horizontal="center" vertical="center"/>
    </xf>
    <xf numFmtId="0" fontId="1" fillId="5022" borderId="0" xfId="4" applyFill="1" applyAlignment="1">
      <alignment horizontal="center" vertical="center"/>
    </xf>
    <xf numFmtId="0" fontId="1" fillId="5023" borderId="0" xfId="4" applyFill="1" applyAlignment="1">
      <alignment horizontal="center" vertical="center"/>
    </xf>
    <xf numFmtId="0" fontId="1" fillId="5024" borderId="0" xfId="4" applyFill="1" applyAlignment="1">
      <alignment horizontal="center" vertical="center"/>
    </xf>
    <xf numFmtId="0" fontId="1" fillId="5025" borderId="0" xfId="4" applyFill="1" applyAlignment="1">
      <alignment horizontal="center" vertical="center"/>
    </xf>
    <xf numFmtId="0" fontId="1" fillId="5026" borderId="0" xfId="4" applyFill="1" applyAlignment="1">
      <alignment horizontal="center" vertical="center"/>
    </xf>
    <xf numFmtId="0" fontId="1" fillId="5027" borderId="0" xfId="4" applyFill="1" applyAlignment="1">
      <alignment horizontal="center" vertical="center"/>
    </xf>
    <xf numFmtId="0" fontId="1" fillId="5028" borderId="0" xfId="4" applyFill="1" applyAlignment="1">
      <alignment horizontal="center" vertical="center"/>
    </xf>
    <xf numFmtId="0" fontId="1" fillId="5029" borderId="0" xfId="4" applyFill="1" applyAlignment="1">
      <alignment horizontal="center" vertical="center"/>
    </xf>
    <xf numFmtId="0" fontId="1" fillId="5030" borderId="0" xfId="4" applyFill="1" applyAlignment="1">
      <alignment horizontal="center" vertical="center"/>
    </xf>
    <xf numFmtId="0" fontId="1" fillId="5031" borderId="0" xfId="4" applyFill="1" applyAlignment="1">
      <alignment horizontal="center" vertical="center"/>
    </xf>
    <xf numFmtId="0" fontId="1" fillId="5032" borderId="0" xfId="4" applyFill="1" applyAlignment="1">
      <alignment horizontal="center" vertical="center"/>
    </xf>
    <xf numFmtId="0" fontId="1" fillId="5033" borderId="0" xfId="4" applyFill="1" applyAlignment="1">
      <alignment horizontal="center" vertical="center"/>
    </xf>
    <xf numFmtId="0" fontId="1" fillId="5034" borderId="0" xfId="4" applyFill="1" applyAlignment="1">
      <alignment horizontal="center" vertical="center"/>
    </xf>
    <xf numFmtId="0" fontId="1" fillId="5035" borderId="0" xfId="4" applyFill="1" applyAlignment="1">
      <alignment horizontal="center" vertical="center"/>
    </xf>
    <xf numFmtId="0" fontId="1" fillId="5036" borderId="0" xfId="4" applyFill="1" applyAlignment="1">
      <alignment horizontal="center" vertical="center"/>
    </xf>
    <xf numFmtId="0" fontId="1" fillId="5037" borderId="0" xfId="4" applyFill="1" applyAlignment="1">
      <alignment horizontal="center" vertical="center"/>
    </xf>
    <xf numFmtId="0" fontId="1" fillId="1375" borderId="0" xfId="4" applyFill="1" applyAlignment="1">
      <alignment horizontal="center" vertical="center"/>
    </xf>
    <xf numFmtId="0" fontId="1" fillId="1364" borderId="0" xfId="4" applyFill="1" applyAlignment="1">
      <alignment horizontal="center" vertical="center"/>
    </xf>
    <xf numFmtId="0" fontId="1" fillId="5038" borderId="0" xfId="4" applyFill="1" applyAlignment="1">
      <alignment horizontal="center" vertical="center"/>
    </xf>
    <xf numFmtId="0" fontId="1" fillId="5039" borderId="0" xfId="4" applyFill="1" applyAlignment="1">
      <alignment horizontal="center" vertical="center"/>
    </xf>
    <xf numFmtId="0" fontId="1" fillId="5040" borderId="0" xfId="4" applyFill="1" applyAlignment="1">
      <alignment horizontal="center" vertical="center"/>
    </xf>
    <xf numFmtId="0" fontId="1" fillId="5041" borderId="0" xfId="4" applyFill="1" applyAlignment="1">
      <alignment horizontal="center" vertical="center"/>
    </xf>
    <xf numFmtId="0" fontId="1" fillId="5042" borderId="0" xfId="4" applyFill="1" applyAlignment="1">
      <alignment horizontal="left" vertical="center"/>
    </xf>
    <xf numFmtId="0" fontId="1" fillId="5043" borderId="0" xfId="4" applyFill="1" applyAlignment="1">
      <alignment horizontal="center" vertical="center"/>
    </xf>
    <xf numFmtId="0" fontId="1" fillId="5044" borderId="0" xfId="4" applyFill="1" applyAlignment="1">
      <alignment horizontal="center" vertical="center"/>
    </xf>
    <xf numFmtId="0" fontId="1" fillId="3597" borderId="0" xfId="4" applyFill="1" applyAlignment="1">
      <alignment horizontal="center" vertical="center"/>
    </xf>
    <xf numFmtId="0" fontId="1" fillId="5045" borderId="0" xfId="4" applyFill="1" applyAlignment="1">
      <alignment horizontal="center" vertical="center"/>
    </xf>
    <xf numFmtId="0" fontId="1" fillId="5046" borderId="0" xfId="4" applyFill="1" applyAlignment="1">
      <alignment horizontal="center" vertical="center"/>
    </xf>
    <xf numFmtId="0" fontId="1" fillId="5047" borderId="0" xfId="4" applyFill="1" applyAlignment="1">
      <alignment horizontal="center" vertical="center"/>
    </xf>
    <xf numFmtId="0" fontId="1" fillId="5048" borderId="0" xfId="4" applyFill="1" applyAlignment="1">
      <alignment horizontal="center" vertical="center"/>
    </xf>
    <xf numFmtId="0" fontId="1" fillId="5049" borderId="0" xfId="4" applyFill="1" applyAlignment="1">
      <alignment horizontal="center" vertical="center"/>
    </xf>
    <xf numFmtId="0" fontId="1" fillId="5050" borderId="0" xfId="4" applyFill="1" applyAlignment="1">
      <alignment horizontal="center" vertical="center"/>
    </xf>
    <xf numFmtId="0" fontId="1" fillId="5051" borderId="0" xfId="4" applyFill="1" applyAlignment="1">
      <alignment horizontal="center" vertical="center"/>
    </xf>
    <xf numFmtId="0" fontId="1" fillId="5052" borderId="0" xfId="4" applyFill="1" applyAlignment="1">
      <alignment horizontal="center" vertical="center"/>
    </xf>
    <xf numFmtId="0" fontId="1" fillId="5053" borderId="0" xfId="4" applyFill="1" applyAlignment="1">
      <alignment horizontal="center" vertical="center"/>
    </xf>
    <xf numFmtId="0" fontId="1" fillId="5054" borderId="0" xfId="4" applyFill="1" applyAlignment="1">
      <alignment horizontal="center" vertical="center"/>
    </xf>
    <xf numFmtId="0" fontId="1" fillId="5055" borderId="0" xfId="4" applyFill="1" applyAlignment="1">
      <alignment horizontal="center" vertical="center"/>
    </xf>
    <xf numFmtId="0" fontId="1" fillId="5056" borderId="0" xfId="4" applyFill="1" applyAlignment="1">
      <alignment horizontal="center" vertical="center"/>
    </xf>
    <xf numFmtId="0" fontId="1" fillId="5057" borderId="0" xfId="4" applyFill="1" applyAlignment="1">
      <alignment horizontal="center" vertical="center"/>
    </xf>
    <xf numFmtId="0" fontId="1" fillId="5058" borderId="0" xfId="4" applyFill="1" applyAlignment="1">
      <alignment horizontal="center" vertical="center"/>
    </xf>
    <xf numFmtId="0" fontId="1" fillId="5059" borderId="0" xfId="4" applyFill="1" applyAlignment="1">
      <alignment horizontal="center" vertical="center"/>
    </xf>
    <xf numFmtId="0" fontId="1" fillId="5060" borderId="0" xfId="4" applyFill="1" applyAlignment="1">
      <alignment horizontal="center" vertical="center"/>
    </xf>
    <xf numFmtId="0" fontId="1" fillId="5061" borderId="0" xfId="4" applyFill="1" applyAlignment="1">
      <alignment horizontal="center" vertical="center"/>
    </xf>
    <xf numFmtId="0" fontId="1" fillId="5062" borderId="0" xfId="4" applyFill="1" applyAlignment="1">
      <alignment horizontal="center" vertical="center"/>
    </xf>
    <xf numFmtId="0" fontId="1" fillId="5063" borderId="0" xfId="4" applyFill="1" applyAlignment="1">
      <alignment horizontal="center" vertical="center"/>
    </xf>
    <xf numFmtId="0" fontId="1" fillId="5064" borderId="0" xfId="4" applyFill="1" applyAlignment="1">
      <alignment horizontal="center" vertical="center"/>
    </xf>
    <xf numFmtId="0" fontId="1" fillId="5065" borderId="0" xfId="4" applyFill="1" applyAlignment="1">
      <alignment horizontal="center" vertical="center"/>
    </xf>
    <xf numFmtId="0" fontId="1" fillId="5066" borderId="0" xfId="4" applyFill="1" applyAlignment="1">
      <alignment horizontal="center" vertical="center"/>
    </xf>
    <xf numFmtId="0" fontId="1" fillId="5067" borderId="0" xfId="4" applyFill="1" applyAlignment="1">
      <alignment horizontal="center" vertical="center"/>
    </xf>
    <xf numFmtId="0" fontId="1" fillId="5068" borderId="0" xfId="4" applyFill="1" applyAlignment="1">
      <alignment horizontal="left" vertical="center"/>
    </xf>
    <xf numFmtId="0" fontId="1" fillId="5069" borderId="0" xfId="4" applyFill="1" applyAlignment="1">
      <alignment horizontal="center" vertical="center"/>
    </xf>
    <xf numFmtId="0" fontId="1" fillId="5070" borderId="0" xfId="4" applyFill="1" applyAlignment="1">
      <alignment horizontal="center" vertical="center"/>
    </xf>
    <xf numFmtId="0" fontId="1" fillId="5071" borderId="0" xfId="4" applyFill="1" applyAlignment="1">
      <alignment horizontal="center" vertical="center"/>
    </xf>
    <xf numFmtId="0" fontId="1" fillId="5072" borderId="0" xfId="4" applyFill="1" applyAlignment="1">
      <alignment horizontal="center" vertical="center"/>
    </xf>
    <xf numFmtId="0" fontId="1" fillId="5073" borderId="0" xfId="4" applyFill="1" applyAlignment="1">
      <alignment horizontal="center" vertical="center"/>
    </xf>
    <xf numFmtId="0" fontId="1" fillId="5074" borderId="0" xfId="4" applyFill="1" applyAlignment="1">
      <alignment horizontal="center" vertical="center"/>
    </xf>
    <xf numFmtId="0" fontId="1" fillId="5075" borderId="0" xfId="4" applyFill="1" applyAlignment="1">
      <alignment horizontal="center" vertical="center"/>
    </xf>
    <xf numFmtId="0" fontId="1" fillId="5076" borderId="0" xfId="4" applyFill="1" applyAlignment="1">
      <alignment horizontal="center" vertical="center"/>
    </xf>
    <xf numFmtId="0" fontId="1" fillId="5077" borderId="0" xfId="4" applyFill="1" applyAlignment="1">
      <alignment horizontal="center" vertical="center"/>
    </xf>
    <xf numFmtId="0" fontId="1" fillId="5078" borderId="0" xfId="4" applyFill="1" applyAlignment="1">
      <alignment horizontal="center" vertical="center"/>
    </xf>
    <xf numFmtId="0" fontId="1" fillId="5079" borderId="0" xfId="4" applyFill="1" applyAlignment="1">
      <alignment horizontal="center" vertical="center"/>
    </xf>
    <xf numFmtId="0" fontId="1" fillId="5080" borderId="0" xfId="4" applyFill="1" applyAlignment="1">
      <alignment horizontal="center" vertical="center"/>
    </xf>
    <xf numFmtId="0" fontId="1" fillId="5081" borderId="0" xfId="4" applyFill="1" applyAlignment="1">
      <alignment horizontal="center" vertical="center"/>
    </xf>
    <xf numFmtId="0" fontId="1" fillId="5082" borderId="0" xfId="4" applyFill="1" applyAlignment="1">
      <alignment horizontal="center" vertical="center"/>
    </xf>
    <xf numFmtId="0" fontId="1" fillId="5083" borderId="0" xfId="4" applyFill="1" applyAlignment="1">
      <alignment horizontal="center" vertical="center"/>
    </xf>
    <xf numFmtId="0" fontId="1" fillId="5084" borderId="0" xfId="4" applyFill="1" applyAlignment="1">
      <alignment horizontal="center" vertical="center"/>
    </xf>
    <xf numFmtId="0" fontId="1" fillId="5085" borderId="0" xfId="4" applyFill="1" applyAlignment="1">
      <alignment horizontal="center" vertical="center"/>
    </xf>
    <xf numFmtId="0" fontId="1" fillId="5086" borderId="0" xfId="4" applyFill="1" applyAlignment="1">
      <alignment horizontal="center" vertical="center"/>
    </xf>
    <xf numFmtId="0" fontId="1" fillId="5087" borderId="0" xfId="4" applyFill="1" applyAlignment="1">
      <alignment horizontal="center" vertical="center"/>
    </xf>
    <xf numFmtId="0" fontId="1" fillId="5088" borderId="0" xfId="4" applyFill="1" applyAlignment="1">
      <alignment horizontal="center" vertical="center"/>
    </xf>
    <xf numFmtId="0" fontId="1" fillId="5089" borderId="0" xfId="4" applyFill="1" applyAlignment="1">
      <alignment horizontal="left" vertical="center"/>
    </xf>
    <xf numFmtId="0" fontId="1" fillId="5090" borderId="0" xfId="4" applyFill="1" applyAlignment="1">
      <alignment horizontal="center" vertical="center"/>
    </xf>
    <xf numFmtId="0" fontId="1" fillId="5091" borderId="0" xfId="4" applyFill="1" applyAlignment="1">
      <alignment horizontal="center" vertical="center"/>
    </xf>
    <xf numFmtId="0" fontId="1" fillId="1215" borderId="0" xfId="4" applyFill="1" applyAlignment="1">
      <alignment horizontal="left" vertical="center"/>
    </xf>
    <xf numFmtId="0" fontId="1" fillId="5092" borderId="0" xfId="4" applyFill="1" applyAlignment="1">
      <alignment horizontal="center" vertical="center"/>
    </xf>
    <xf numFmtId="0" fontId="1" fillId="908" borderId="0" xfId="4" applyFill="1" applyAlignment="1">
      <alignment horizontal="center" vertical="center"/>
    </xf>
    <xf numFmtId="0" fontId="1" fillId="5093" borderId="0" xfId="4" applyFill="1" applyAlignment="1">
      <alignment horizontal="center" vertical="center"/>
    </xf>
    <xf numFmtId="0" fontId="1" fillId="1041" borderId="0" xfId="4" applyFill="1" applyAlignment="1">
      <alignment horizontal="center" vertical="center"/>
    </xf>
    <xf numFmtId="0" fontId="1" fillId="5094" borderId="0" xfId="4" applyFill="1" applyAlignment="1">
      <alignment horizontal="center" vertical="center"/>
    </xf>
    <xf numFmtId="0" fontId="1" fillId="1008" borderId="0" xfId="4" applyFill="1" applyAlignment="1">
      <alignment horizontal="center" vertical="center"/>
    </xf>
    <xf numFmtId="0" fontId="1" fillId="5095" borderId="0" xfId="4" applyFill="1" applyAlignment="1">
      <alignment horizontal="center" vertical="center"/>
    </xf>
    <xf numFmtId="0" fontId="1" fillId="5096" borderId="0" xfId="4" applyFill="1" applyAlignment="1">
      <alignment horizontal="center" vertical="center"/>
    </xf>
    <xf numFmtId="0" fontId="1" fillId="5097" borderId="0" xfId="4" applyFill="1" applyAlignment="1">
      <alignment horizontal="center" vertical="center"/>
    </xf>
    <xf numFmtId="0" fontId="1" fillId="5098" borderId="0" xfId="4" applyFill="1" applyAlignment="1">
      <alignment horizontal="center" vertical="center"/>
    </xf>
    <xf numFmtId="0" fontId="1" fillId="5099" borderId="0" xfId="4" applyFill="1" applyAlignment="1">
      <alignment horizontal="center" vertical="center"/>
    </xf>
    <xf numFmtId="0" fontId="1" fillId="5100" borderId="0" xfId="4" applyFill="1" applyAlignment="1">
      <alignment horizontal="center" vertical="center"/>
    </xf>
    <xf numFmtId="0" fontId="1" fillId="5101" borderId="0" xfId="4" applyFill="1" applyAlignment="1">
      <alignment horizontal="center" vertical="center"/>
    </xf>
    <xf numFmtId="0" fontId="1" fillId="5102" borderId="0" xfId="4" applyFill="1" applyAlignment="1">
      <alignment horizontal="center" vertical="center"/>
    </xf>
    <xf numFmtId="0" fontId="1" fillId="5103" borderId="0" xfId="4" applyFill="1" applyAlignment="1">
      <alignment horizontal="center" vertical="center"/>
    </xf>
    <xf numFmtId="0" fontId="1" fillId="5104" borderId="0" xfId="4" applyFill="1" applyAlignment="1">
      <alignment horizontal="center" vertical="center"/>
    </xf>
    <xf numFmtId="0" fontId="1" fillId="5105" borderId="0" xfId="4" applyFill="1" applyAlignment="1">
      <alignment horizontal="center" vertical="center"/>
    </xf>
    <xf numFmtId="0" fontId="1" fillId="5106" borderId="0" xfId="4" applyFill="1" applyAlignment="1">
      <alignment horizontal="center" vertical="center"/>
    </xf>
    <xf numFmtId="0" fontId="1" fillId="5107" borderId="0" xfId="4" applyFill="1" applyAlignment="1">
      <alignment horizontal="center" vertical="center"/>
    </xf>
    <xf numFmtId="0" fontId="1" fillId="5108" borderId="0" xfId="4" applyFill="1" applyAlignment="1">
      <alignment horizontal="center" vertical="center"/>
    </xf>
    <xf numFmtId="0" fontId="1" fillId="5109" borderId="0" xfId="4" applyFill="1" applyAlignment="1">
      <alignment horizontal="center" vertical="center"/>
    </xf>
    <xf numFmtId="0" fontId="1" fillId="5110" borderId="0" xfId="4" applyFill="1" applyAlignment="1">
      <alignment horizontal="center" vertical="center"/>
    </xf>
    <xf numFmtId="0" fontId="1" fillId="5111" borderId="0" xfId="4" applyFill="1" applyAlignment="1">
      <alignment horizontal="center" vertical="center"/>
    </xf>
    <xf numFmtId="0" fontId="1" fillId="5112" borderId="0" xfId="4" applyFill="1" applyAlignment="1">
      <alignment horizontal="center" vertical="center"/>
    </xf>
    <xf numFmtId="0" fontId="1" fillId="5113" borderId="0" xfId="4" applyFill="1" applyAlignment="1">
      <alignment horizontal="center" vertical="center"/>
    </xf>
    <xf numFmtId="0" fontId="1" fillId="5114" borderId="0" xfId="4" applyFill="1" applyAlignment="1">
      <alignment horizontal="center" vertical="center"/>
    </xf>
    <xf numFmtId="0" fontId="1" fillId="5115" borderId="0" xfId="4" applyFill="1" applyAlignment="1">
      <alignment horizontal="center" vertical="center"/>
    </xf>
    <xf numFmtId="0" fontId="1" fillId="5116" borderId="0" xfId="4" applyFill="1" applyAlignment="1">
      <alignment horizontal="center" vertical="center"/>
    </xf>
    <xf numFmtId="0" fontId="1" fillId="5117" borderId="0" xfId="4" applyFill="1" applyAlignment="1">
      <alignment horizontal="center" vertical="center"/>
    </xf>
    <xf numFmtId="0" fontId="1" fillId="5118" borderId="0" xfId="4" applyFill="1" applyAlignment="1">
      <alignment horizontal="center" vertical="center"/>
    </xf>
    <xf numFmtId="0" fontId="1" fillId="5119" borderId="0" xfId="4" applyFill="1" applyAlignment="1">
      <alignment horizontal="center" vertical="center"/>
    </xf>
    <xf numFmtId="0" fontId="1" fillId="5120" borderId="0" xfId="4" applyFill="1" applyAlignment="1">
      <alignment horizontal="left" vertical="center"/>
    </xf>
    <xf numFmtId="0" fontId="1" fillId="5121" borderId="0" xfId="4" applyFill="1" applyAlignment="1">
      <alignment horizontal="center" vertical="center"/>
    </xf>
    <xf numFmtId="0" fontId="1" fillId="5122" borderId="0" xfId="4" applyFill="1" applyAlignment="1">
      <alignment horizontal="center" vertical="center"/>
    </xf>
    <xf numFmtId="0" fontId="1" fillId="5123" borderId="0" xfId="4" applyFill="1" applyAlignment="1">
      <alignment horizontal="center" vertical="center"/>
    </xf>
    <xf numFmtId="0" fontId="1" fillId="5124" borderId="0" xfId="4" applyFill="1" applyAlignment="1">
      <alignment horizontal="center" vertical="center"/>
    </xf>
    <xf numFmtId="0" fontId="1" fillId="5125" borderId="0" xfId="4" applyFill="1" applyAlignment="1">
      <alignment horizontal="center" vertical="center"/>
    </xf>
    <xf numFmtId="0" fontId="1" fillId="5126" borderId="0" xfId="4" applyFill="1" applyAlignment="1">
      <alignment horizontal="center" vertical="center"/>
    </xf>
    <xf numFmtId="0" fontId="1" fillId="5127" borderId="0" xfId="4" applyFill="1" applyAlignment="1">
      <alignment horizontal="center" vertical="center"/>
    </xf>
    <xf numFmtId="0" fontId="1" fillId="5128" borderId="0" xfId="4" applyFill="1" applyAlignment="1">
      <alignment horizontal="center" vertical="center"/>
    </xf>
    <xf numFmtId="0" fontId="1" fillId="5129" borderId="0" xfId="4" applyFill="1" applyAlignment="1">
      <alignment horizontal="center" vertical="center"/>
    </xf>
    <xf numFmtId="0" fontId="1" fillId="5130" borderId="0" xfId="4" applyFill="1" applyAlignment="1">
      <alignment horizontal="center" vertical="center"/>
    </xf>
    <xf numFmtId="0" fontId="1" fillId="5131" borderId="0" xfId="4" applyFill="1" applyAlignment="1">
      <alignment horizontal="center" vertical="center"/>
    </xf>
    <xf numFmtId="0" fontId="1" fillId="5132" borderId="0" xfId="4" applyFill="1" applyAlignment="1">
      <alignment horizontal="center" vertical="center"/>
    </xf>
    <xf numFmtId="0" fontId="1" fillId="5133" borderId="0" xfId="4" applyFill="1" applyAlignment="1">
      <alignment horizontal="center" vertical="center"/>
    </xf>
    <xf numFmtId="0" fontId="1" fillId="5134" borderId="0" xfId="4" applyFill="1" applyAlignment="1">
      <alignment horizontal="center" vertical="center"/>
    </xf>
    <xf numFmtId="0" fontId="1" fillId="5135" borderId="0" xfId="4" applyFill="1" applyAlignment="1">
      <alignment horizontal="center" vertical="center"/>
    </xf>
    <xf numFmtId="0" fontId="1" fillId="5136" borderId="0" xfId="4" applyFill="1" applyAlignment="1">
      <alignment horizontal="center" vertical="center"/>
    </xf>
    <xf numFmtId="0" fontId="1" fillId="5137" borderId="0" xfId="4" applyFill="1" applyAlignment="1">
      <alignment horizontal="center" vertical="center"/>
    </xf>
    <xf numFmtId="0" fontId="1" fillId="5138" borderId="0" xfId="4" applyFill="1" applyAlignment="1">
      <alignment horizontal="center" vertical="center"/>
    </xf>
    <xf numFmtId="0" fontId="1" fillId="5139" borderId="0" xfId="4" applyFill="1" applyAlignment="1">
      <alignment horizontal="center" vertical="center"/>
    </xf>
    <xf numFmtId="0" fontId="1" fillId="5140" borderId="0" xfId="4" applyFill="1" applyAlignment="1">
      <alignment horizontal="center" vertical="center"/>
    </xf>
    <xf numFmtId="0" fontId="1" fillId="5141" borderId="0" xfId="4" applyFill="1" applyAlignment="1">
      <alignment horizontal="center" vertical="center"/>
    </xf>
    <xf numFmtId="0" fontId="1" fillId="5142" borderId="0" xfId="4" applyFill="1" applyAlignment="1">
      <alignment horizontal="center" vertical="center"/>
    </xf>
    <xf numFmtId="0" fontId="1" fillId="5143" borderId="0" xfId="4" applyFill="1" applyAlignment="1">
      <alignment horizontal="center" vertical="center"/>
    </xf>
    <xf numFmtId="0" fontId="1" fillId="5144" borderId="0" xfId="4" applyFill="1" applyAlignment="1">
      <alignment horizontal="center" vertical="center"/>
    </xf>
    <xf numFmtId="0" fontId="1" fillId="5145" borderId="0" xfId="4" applyFill="1" applyAlignment="1">
      <alignment horizontal="center" vertical="center"/>
    </xf>
    <xf numFmtId="0" fontId="1" fillId="5146" borderId="0" xfId="4" applyFill="1" applyAlignment="1">
      <alignment horizontal="center" vertical="center"/>
    </xf>
    <xf numFmtId="0" fontId="1" fillId="5147" borderId="0" xfId="4" applyFill="1" applyAlignment="1">
      <alignment horizontal="left" vertical="center"/>
    </xf>
    <xf numFmtId="0" fontId="1" fillId="5148" borderId="0" xfId="4" applyFill="1" applyAlignment="1">
      <alignment horizontal="center" vertical="center"/>
    </xf>
    <xf numFmtId="0" fontId="1" fillId="5149" borderId="0" xfId="4" applyFill="1" applyAlignment="1">
      <alignment horizontal="center" vertical="center"/>
    </xf>
    <xf numFmtId="0" fontId="1" fillId="5150" borderId="0" xfId="4" applyFill="1" applyAlignment="1">
      <alignment horizontal="center" vertical="center"/>
    </xf>
    <xf numFmtId="0" fontId="1" fillId="5151" borderId="0" xfId="4" applyFill="1" applyAlignment="1">
      <alignment horizontal="center" vertical="center"/>
    </xf>
    <xf numFmtId="0" fontId="1" fillId="5152" borderId="0" xfId="4" applyFill="1" applyAlignment="1">
      <alignment horizontal="center" vertical="center"/>
    </xf>
    <xf numFmtId="0" fontId="1" fillId="5153" borderId="0" xfId="4" applyFill="1" applyAlignment="1">
      <alignment horizontal="center" vertical="center"/>
    </xf>
    <xf numFmtId="0" fontId="1" fillId="5154" borderId="0" xfId="4" applyFill="1" applyAlignment="1">
      <alignment horizontal="center" vertical="center"/>
    </xf>
    <xf numFmtId="0" fontId="1" fillId="5155" borderId="0" xfId="4" applyFill="1" applyAlignment="1">
      <alignment horizontal="center" vertical="center"/>
    </xf>
    <xf numFmtId="0" fontId="1" fillId="5156" borderId="0" xfId="4" applyFill="1" applyAlignment="1">
      <alignment horizontal="center" vertical="center"/>
    </xf>
    <xf numFmtId="0" fontId="1" fillId="5157" borderId="0" xfId="4" applyFill="1" applyAlignment="1">
      <alignment horizontal="center" vertical="center"/>
    </xf>
    <xf numFmtId="0" fontId="1" fillId="5158" borderId="0" xfId="4" applyFill="1" applyAlignment="1">
      <alignment horizontal="center" vertical="center"/>
    </xf>
    <xf numFmtId="0" fontId="1" fillId="5159" borderId="0" xfId="4" applyFill="1" applyAlignment="1">
      <alignment horizontal="center" vertical="center"/>
    </xf>
    <xf numFmtId="0" fontId="1" fillId="5160" borderId="0" xfId="4" applyFill="1" applyAlignment="1">
      <alignment horizontal="center" vertical="center"/>
    </xf>
    <xf numFmtId="0" fontId="1" fillId="5161" borderId="0" xfId="4" applyFill="1" applyAlignment="1">
      <alignment horizontal="center" vertical="center"/>
    </xf>
    <xf numFmtId="0" fontId="1" fillId="5162" borderId="0" xfId="4" applyFill="1" applyAlignment="1">
      <alignment horizontal="center" vertical="center"/>
    </xf>
    <xf numFmtId="0" fontId="1" fillId="5163" borderId="0" xfId="4" applyFill="1" applyAlignment="1">
      <alignment horizontal="center" vertical="center"/>
    </xf>
    <xf numFmtId="0" fontId="1" fillId="5164" borderId="0" xfId="4" applyFill="1" applyAlignment="1">
      <alignment horizontal="center" vertical="center"/>
    </xf>
    <xf numFmtId="0" fontId="1" fillId="5165" borderId="0" xfId="4" applyFill="1" applyAlignment="1">
      <alignment horizontal="center" vertical="center"/>
    </xf>
    <xf numFmtId="0" fontId="1" fillId="5166" borderId="0" xfId="4" applyFill="1" applyAlignment="1">
      <alignment horizontal="center" vertical="center"/>
    </xf>
    <xf numFmtId="0" fontId="1" fillId="5167" borderId="0" xfId="4" applyFill="1" applyAlignment="1">
      <alignment horizontal="center" vertical="center"/>
    </xf>
    <xf numFmtId="0" fontId="1" fillId="5168" borderId="0" xfId="4" applyFill="1" applyAlignment="1">
      <alignment horizontal="left" vertical="center"/>
    </xf>
    <xf numFmtId="0" fontId="1" fillId="5169" borderId="0" xfId="4" applyFill="1" applyAlignment="1">
      <alignment horizontal="center" vertical="center"/>
    </xf>
    <xf numFmtId="0" fontId="1" fillId="5170" borderId="0" xfId="4" applyFill="1" applyAlignment="1">
      <alignment horizontal="center" vertical="center"/>
    </xf>
    <xf numFmtId="0" fontId="1" fillId="5171" borderId="0" xfId="4" applyFill="1" applyAlignment="1">
      <alignment horizontal="left" vertical="center"/>
    </xf>
    <xf numFmtId="0" fontId="1" fillId="5172" borderId="0" xfId="4" applyFill="1" applyAlignment="1">
      <alignment horizontal="center" vertical="center"/>
    </xf>
    <xf numFmtId="0" fontId="1" fillId="5173" borderId="0" xfId="4" applyFill="1" applyAlignment="1">
      <alignment horizontal="center" vertical="center"/>
    </xf>
    <xf numFmtId="0" fontId="1" fillId="5174" borderId="0" xfId="4" applyFill="1" applyAlignment="1">
      <alignment horizontal="center" vertical="center"/>
    </xf>
    <xf numFmtId="0" fontId="1" fillId="5175" borderId="0" xfId="4" applyFill="1" applyAlignment="1">
      <alignment horizontal="center" vertical="center"/>
    </xf>
    <xf numFmtId="0" fontId="1" fillId="1078" borderId="0" xfId="4" applyFill="1" applyAlignment="1">
      <alignment horizontal="center" vertical="center"/>
    </xf>
    <xf numFmtId="0" fontId="1" fillId="5176" borderId="0" xfId="4" applyFill="1" applyAlignment="1">
      <alignment horizontal="center" vertical="center"/>
    </xf>
    <xf numFmtId="0" fontId="1" fillId="5177" borderId="0" xfId="4" applyFill="1" applyAlignment="1">
      <alignment horizontal="center" vertical="center"/>
    </xf>
    <xf numFmtId="0" fontId="1" fillId="5178" borderId="0" xfId="4" applyFill="1" applyAlignment="1">
      <alignment horizontal="center" vertical="center"/>
    </xf>
    <xf numFmtId="0" fontId="1" fillId="5179" borderId="0" xfId="4" applyFill="1" applyAlignment="1">
      <alignment horizontal="center" vertical="center"/>
    </xf>
    <xf numFmtId="0" fontId="1" fillId="5180" borderId="0" xfId="4" applyFill="1" applyAlignment="1">
      <alignment horizontal="center" vertical="center"/>
    </xf>
    <xf numFmtId="0" fontId="1" fillId="5181" borderId="0" xfId="4" applyFill="1" applyAlignment="1">
      <alignment horizontal="center" vertical="center"/>
    </xf>
    <xf numFmtId="0" fontId="1" fillId="5182" borderId="0" xfId="4" applyFill="1" applyAlignment="1">
      <alignment horizontal="center" vertical="center"/>
    </xf>
    <xf numFmtId="0" fontId="1" fillId="5183" borderId="0" xfId="4" applyFill="1" applyAlignment="1">
      <alignment horizontal="center" vertical="center"/>
    </xf>
    <xf numFmtId="0" fontId="1" fillId="5184" borderId="0" xfId="4" applyFill="1" applyAlignment="1">
      <alignment horizontal="center" vertical="center"/>
    </xf>
    <xf numFmtId="0" fontId="1" fillId="5185" borderId="0" xfId="4" applyFill="1" applyAlignment="1">
      <alignment horizontal="center" vertical="center"/>
    </xf>
    <xf numFmtId="0" fontId="1" fillId="5186" borderId="0" xfId="4" applyFill="1" applyAlignment="1">
      <alignment horizontal="center" vertical="center"/>
    </xf>
    <xf numFmtId="0" fontId="1" fillId="5187" borderId="0" xfId="4" applyFill="1" applyAlignment="1">
      <alignment horizontal="center" vertical="center"/>
    </xf>
    <xf numFmtId="0" fontId="1" fillId="5188" borderId="0" xfId="4" applyFill="1" applyAlignment="1">
      <alignment horizontal="center" vertical="center"/>
    </xf>
    <xf numFmtId="0" fontId="1" fillId="5189" borderId="0" xfId="4" applyFill="1" applyAlignment="1">
      <alignment horizontal="center" vertical="center"/>
    </xf>
    <xf numFmtId="0" fontId="1" fillId="5190" borderId="0" xfId="4" applyFill="1" applyAlignment="1">
      <alignment horizontal="center" vertical="center"/>
    </xf>
    <xf numFmtId="0" fontId="1" fillId="5191" borderId="0" xfId="4" applyFill="1" applyAlignment="1">
      <alignment horizontal="center" vertical="center"/>
    </xf>
    <xf numFmtId="0" fontId="1" fillId="5192" borderId="0" xfId="4" applyFill="1" applyAlignment="1">
      <alignment horizontal="center" vertical="center"/>
    </xf>
    <xf numFmtId="0" fontId="1" fillId="5193" borderId="0" xfId="4" applyFill="1" applyAlignment="1">
      <alignment horizontal="center" vertical="center"/>
    </xf>
    <xf numFmtId="0" fontId="1" fillId="5194" borderId="0" xfId="4" applyFill="1" applyAlignment="1">
      <alignment horizontal="center" vertical="center"/>
    </xf>
    <xf numFmtId="0" fontId="1" fillId="5195" borderId="0" xfId="4" applyFill="1" applyAlignment="1">
      <alignment horizontal="center" vertical="center"/>
    </xf>
    <xf numFmtId="0" fontId="1" fillId="5196" borderId="0" xfId="4" applyFill="1" applyAlignment="1">
      <alignment horizontal="center" vertical="center"/>
    </xf>
    <xf numFmtId="0" fontId="1" fillId="5197" borderId="0" xfId="4" applyFill="1" applyAlignment="1">
      <alignment horizontal="center" vertical="center"/>
    </xf>
    <xf numFmtId="0" fontId="1" fillId="5198" borderId="0" xfId="4" applyFill="1" applyAlignment="1">
      <alignment horizontal="center" vertical="center"/>
    </xf>
    <xf numFmtId="0" fontId="1" fillId="5199" borderId="0" xfId="4" applyFill="1" applyAlignment="1">
      <alignment horizontal="center" vertical="center"/>
    </xf>
    <xf numFmtId="0" fontId="1" fillId="5200" borderId="0" xfId="4" applyFill="1" applyAlignment="1">
      <alignment horizontal="center" vertical="center"/>
    </xf>
    <xf numFmtId="0" fontId="1" fillId="5201" borderId="0" xfId="4" applyFill="1" applyAlignment="1">
      <alignment horizontal="center" vertical="center"/>
    </xf>
    <xf numFmtId="0" fontId="1" fillId="5202" borderId="0" xfId="4" applyFill="1" applyAlignment="1">
      <alignment horizontal="center" vertical="center"/>
    </xf>
    <xf numFmtId="0" fontId="1" fillId="5203" borderId="0" xfId="4" applyFill="1" applyAlignment="1">
      <alignment horizontal="left" vertical="center"/>
    </xf>
    <xf numFmtId="0" fontId="1" fillId="5204" borderId="0" xfId="4" applyFill="1" applyAlignment="1">
      <alignment horizontal="center" vertical="center"/>
    </xf>
    <xf numFmtId="0" fontId="1" fillId="5205" borderId="0" xfId="4" applyFill="1" applyAlignment="1">
      <alignment horizontal="center" vertical="center"/>
    </xf>
    <xf numFmtId="0" fontId="1" fillId="5206" borderId="0" xfId="4" applyFill="1" applyAlignment="1">
      <alignment horizontal="center" vertical="center"/>
    </xf>
    <xf numFmtId="0" fontId="1" fillId="5207" borderId="0" xfId="4" applyFill="1" applyAlignment="1">
      <alignment horizontal="center" vertical="center"/>
    </xf>
    <xf numFmtId="0" fontId="1" fillId="5208" borderId="0" xfId="4" applyFill="1" applyAlignment="1">
      <alignment horizontal="center" vertical="center"/>
    </xf>
    <xf numFmtId="0" fontId="1" fillId="5209" borderId="0" xfId="4" applyFill="1" applyAlignment="1">
      <alignment horizontal="center" vertical="center"/>
    </xf>
    <xf numFmtId="0" fontId="1" fillId="5210" borderId="0" xfId="4" applyFill="1" applyAlignment="1">
      <alignment horizontal="center" vertical="center"/>
    </xf>
    <xf numFmtId="0" fontId="1" fillId="5211" borderId="0" xfId="4" applyFill="1" applyAlignment="1">
      <alignment horizontal="center" vertical="center"/>
    </xf>
    <xf numFmtId="0" fontId="1" fillId="5212" borderId="0" xfId="4" applyFill="1" applyAlignment="1">
      <alignment horizontal="center" vertical="center"/>
    </xf>
    <xf numFmtId="0" fontId="1" fillId="5213" borderId="0" xfId="4" applyFill="1" applyAlignment="1">
      <alignment horizontal="center" vertical="center"/>
    </xf>
    <xf numFmtId="0" fontId="1" fillId="5214" borderId="0" xfId="4" applyFill="1" applyAlignment="1">
      <alignment horizontal="center" vertical="center"/>
    </xf>
    <xf numFmtId="0" fontId="1" fillId="5215" borderId="0" xfId="4" applyFill="1" applyAlignment="1">
      <alignment horizontal="center" vertical="center"/>
    </xf>
    <xf numFmtId="0" fontId="1" fillId="5216" borderId="0" xfId="4" applyFill="1" applyAlignment="1">
      <alignment horizontal="center" vertical="center"/>
    </xf>
    <xf numFmtId="0" fontId="1" fillId="5217" borderId="0" xfId="4" applyFill="1" applyAlignment="1">
      <alignment horizontal="center" vertical="center"/>
    </xf>
    <xf numFmtId="0" fontId="1" fillId="5218" borderId="0" xfId="4" applyFill="1" applyAlignment="1">
      <alignment horizontal="center" vertical="center"/>
    </xf>
    <xf numFmtId="0" fontId="1" fillId="5219" borderId="0" xfId="4" applyFill="1" applyAlignment="1">
      <alignment horizontal="center" vertical="center"/>
    </xf>
    <xf numFmtId="0" fontId="1" fillId="5220" borderId="0" xfId="4" applyFill="1" applyAlignment="1">
      <alignment horizontal="center" vertical="center"/>
    </xf>
    <xf numFmtId="0" fontId="1" fillId="5221" borderId="0" xfId="4" applyFill="1" applyAlignment="1">
      <alignment horizontal="center" vertical="center"/>
    </xf>
    <xf numFmtId="0" fontId="1" fillId="5222" borderId="0" xfId="4" applyFill="1" applyAlignment="1">
      <alignment horizontal="center" vertical="center"/>
    </xf>
    <xf numFmtId="0" fontId="1" fillId="5223" borderId="0" xfId="4" applyFill="1" applyAlignment="1">
      <alignment horizontal="center" vertical="center"/>
    </xf>
    <xf numFmtId="0" fontId="1" fillId="5224" borderId="0" xfId="4" applyFill="1" applyAlignment="1">
      <alignment horizontal="center" vertical="center"/>
    </xf>
    <xf numFmtId="0" fontId="1" fillId="5225" borderId="0" xfId="4" applyFill="1" applyAlignment="1">
      <alignment horizontal="center" vertical="center"/>
    </xf>
    <xf numFmtId="0" fontId="1" fillId="5226" borderId="0" xfId="4" applyFill="1" applyAlignment="1">
      <alignment horizontal="center" vertical="center"/>
    </xf>
    <xf numFmtId="0" fontId="1" fillId="5227" borderId="0" xfId="4" applyFill="1" applyAlignment="1">
      <alignment horizontal="center" vertical="center"/>
    </xf>
    <xf numFmtId="0" fontId="1" fillId="5228" borderId="0" xfId="4" applyFill="1" applyAlignment="1">
      <alignment horizontal="center" vertical="center"/>
    </xf>
    <xf numFmtId="0" fontId="1" fillId="5229" borderId="0" xfId="4" applyFill="1" applyAlignment="1">
      <alignment horizontal="left" vertical="center"/>
    </xf>
    <xf numFmtId="0" fontId="1" fillId="5230" borderId="0" xfId="4" applyFill="1" applyAlignment="1">
      <alignment horizontal="center" vertical="center"/>
    </xf>
    <xf numFmtId="0" fontId="1" fillId="5231" borderId="0" xfId="4" applyFill="1" applyAlignment="1">
      <alignment horizontal="center" vertical="center"/>
    </xf>
    <xf numFmtId="0" fontId="1" fillId="5232" borderId="0" xfId="4" applyFill="1" applyAlignment="1">
      <alignment horizontal="center" vertical="center"/>
    </xf>
    <xf numFmtId="0" fontId="1" fillId="5233" borderId="0" xfId="4" applyFill="1" applyAlignment="1">
      <alignment horizontal="center" vertical="center"/>
    </xf>
    <xf numFmtId="0" fontId="1" fillId="5234" borderId="0" xfId="4" applyFill="1" applyAlignment="1">
      <alignment horizontal="center" vertical="center"/>
    </xf>
    <xf numFmtId="0" fontId="1" fillId="5235" borderId="0" xfId="4" applyFill="1" applyAlignment="1">
      <alignment horizontal="center" vertical="center"/>
    </xf>
    <xf numFmtId="0" fontId="1" fillId="5236" borderId="0" xfId="4" applyFill="1" applyAlignment="1">
      <alignment horizontal="center" vertical="center"/>
    </xf>
    <xf numFmtId="0" fontId="1" fillId="5237" borderId="0" xfId="4" applyFill="1" applyAlignment="1">
      <alignment horizontal="center" vertical="center"/>
    </xf>
    <xf numFmtId="0" fontId="1" fillId="5238" borderId="0" xfId="4" applyFill="1" applyAlignment="1">
      <alignment horizontal="center" vertical="center"/>
    </xf>
    <xf numFmtId="0" fontId="1" fillId="5239" borderId="0" xfId="4" applyFill="1" applyAlignment="1">
      <alignment horizontal="center" vertical="center"/>
    </xf>
    <xf numFmtId="0" fontId="1" fillId="5240" borderId="0" xfId="4" applyFill="1" applyAlignment="1">
      <alignment horizontal="center" vertical="center"/>
    </xf>
    <xf numFmtId="0" fontId="1" fillId="5241" borderId="0" xfId="4" applyFill="1" applyAlignment="1">
      <alignment horizontal="center" vertical="center"/>
    </xf>
    <xf numFmtId="0" fontId="1" fillId="5242" borderId="0" xfId="4" applyFill="1" applyAlignment="1">
      <alignment horizontal="center" vertical="center"/>
    </xf>
    <xf numFmtId="0" fontId="1" fillId="5243" borderId="0" xfId="4" applyFill="1" applyAlignment="1">
      <alignment horizontal="center" vertical="center"/>
    </xf>
    <xf numFmtId="0" fontId="1" fillId="5244" borderId="0" xfId="4" applyFill="1" applyAlignment="1">
      <alignment horizontal="center" vertical="center"/>
    </xf>
    <xf numFmtId="0" fontId="1" fillId="5245" borderId="0" xfId="4" applyFill="1" applyAlignment="1">
      <alignment horizontal="center" vertical="center"/>
    </xf>
    <xf numFmtId="0" fontId="1" fillId="5246" borderId="0" xfId="4" applyFill="1" applyAlignment="1">
      <alignment horizontal="center" vertical="center"/>
    </xf>
    <xf numFmtId="0" fontId="1" fillId="5247" borderId="0" xfId="4" applyFill="1" applyAlignment="1">
      <alignment horizontal="center" vertical="center"/>
    </xf>
    <xf numFmtId="0" fontId="1" fillId="5248" borderId="0" xfId="4" applyFill="1" applyAlignment="1">
      <alignment horizontal="center" vertical="center"/>
    </xf>
    <xf numFmtId="0" fontId="1" fillId="5249" borderId="0" xfId="4" applyFill="1" applyAlignment="1">
      <alignment horizontal="center" vertical="center"/>
    </xf>
    <xf numFmtId="0" fontId="1" fillId="5250" borderId="0" xfId="4" applyFill="1" applyAlignment="1">
      <alignment horizontal="left" vertical="center"/>
    </xf>
    <xf numFmtId="0" fontId="1" fillId="5251" borderId="0" xfId="4" applyFill="1" applyAlignment="1">
      <alignment horizontal="center" vertical="center"/>
    </xf>
    <xf numFmtId="0" fontId="1" fillId="5252" borderId="0" xfId="4" applyFill="1" applyAlignment="1">
      <alignment horizontal="center" vertical="center"/>
    </xf>
    <xf numFmtId="0" fontId="1" fillId="5253" borderId="0" xfId="4" applyFill="1" applyAlignment="1">
      <alignment horizontal="left" vertical="center"/>
    </xf>
    <xf numFmtId="0" fontId="1" fillId="5254" borderId="0" xfId="4" applyFill="1" applyAlignment="1">
      <alignment horizontal="center" vertical="center"/>
    </xf>
    <xf numFmtId="0" fontId="1" fillId="5255" borderId="0" xfId="4" applyFill="1" applyAlignment="1">
      <alignment horizontal="center" vertical="center"/>
    </xf>
    <xf numFmtId="0" fontId="1" fillId="974" borderId="0" xfId="4" applyFill="1" applyAlignment="1">
      <alignment horizontal="center" vertical="center"/>
    </xf>
    <xf numFmtId="0" fontId="1" fillId="5256" borderId="0" xfId="4" applyFill="1" applyAlignment="1">
      <alignment horizontal="center" vertical="center"/>
    </xf>
    <xf numFmtId="0" fontId="1" fillId="5257" borderId="0" xfId="4" applyFill="1" applyAlignment="1">
      <alignment horizontal="center" vertical="center"/>
    </xf>
    <xf numFmtId="0" fontId="1" fillId="5258" borderId="0" xfId="4" applyFill="1" applyAlignment="1">
      <alignment horizontal="center" vertical="center"/>
    </xf>
    <xf numFmtId="0" fontId="1" fillId="5259" borderId="0" xfId="4" applyFill="1" applyAlignment="1">
      <alignment horizontal="center" vertical="center"/>
    </xf>
    <xf numFmtId="0" fontId="1" fillId="5260" borderId="0" xfId="4" applyFill="1" applyAlignment="1">
      <alignment horizontal="center" vertical="center"/>
    </xf>
    <xf numFmtId="0" fontId="1" fillId="5261" borderId="0" xfId="4" applyFill="1" applyAlignment="1">
      <alignment horizontal="center" vertical="center"/>
    </xf>
    <xf numFmtId="0" fontId="1" fillId="5262" borderId="0" xfId="4" applyFill="1" applyAlignment="1">
      <alignment horizontal="center" vertical="center"/>
    </xf>
    <xf numFmtId="0" fontId="1" fillId="5263" borderId="0" xfId="4" applyFill="1" applyAlignment="1">
      <alignment horizontal="center" vertical="center"/>
    </xf>
    <xf numFmtId="0" fontId="1" fillId="5264" borderId="0" xfId="4" applyFill="1" applyAlignment="1">
      <alignment horizontal="center" vertical="center"/>
    </xf>
    <xf numFmtId="0" fontId="1" fillId="5265" borderId="0" xfId="4" applyFill="1" applyAlignment="1">
      <alignment horizontal="center" vertical="center"/>
    </xf>
    <xf numFmtId="0" fontId="1" fillId="5266" borderId="0" xfId="4" applyFill="1" applyAlignment="1">
      <alignment horizontal="center" vertical="center"/>
    </xf>
    <xf numFmtId="0" fontId="1" fillId="5267" borderId="0" xfId="4" applyFill="1" applyAlignment="1">
      <alignment horizontal="center" vertical="center"/>
    </xf>
    <xf numFmtId="0" fontId="1" fillId="5268" borderId="0" xfId="4" applyFill="1" applyAlignment="1">
      <alignment horizontal="center" vertical="center"/>
    </xf>
    <xf numFmtId="0" fontId="1" fillId="5269" borderId="0" xfId="4" applyFill="1" applyAlignment="1">
      <alignment horizontal="center" vertical="center"/>
    </xf>
    <xf numFmtId="0" fontId="1" fillId="5270" borderId="0" xfId="4" applyFill="1" applyAlignment="1">
      <alignment horizontal="center" vertical="center"/>
    </xf>
    <xf numFmtId="0" fontId="1" fillId="5271" borderId="0" xfId="4" applyFill="1" applyAlignment="1">
      <alignment horizontal="center" vertical="center"/>
    </xf>
    <xf numFmtId="0" fontId="1" fillId="5272" borderId="0" xfId="4" applyFill="1" applyAlignment="1">
      <alignment horizontal="center" vertical="center"/>
    </xf>
    <xf numFmtId="0" fontId="1" fillId="5273" borderId="0" xfId="4" applyFill="1" applyAlignment="1">
      <alignment horizontal="center" vertical="center"/>
    </xf>
    <xf numFmtId="0" fontId="1" fillId="5274" borderId="0" xfId="4" applyFill="1" applyAlignment="1">
      <alignment horizontal="center" vertical="center"/>
    </xf>
    <xf numFmtId="0" fontId="1" fillId="5275" borderId="0" xfId="4" applyFill="1" applyAlignment="1">
      <alignment horizontal="center" vertical="center"/>
    </xf>
    <xf numFmtId="0" fontId="1" fillId="5276" borderId="0" xfId="4" applyFill="1" applyAlignment="1">
      <alignment horizontal="center" vertical="center"/>
    </xf>
    <xf numFmtId="0" fontId="1" fillId="5277" borderId="0" xfId="4" applyFill="1" applyAlignment="1">
      <alignment horizontal="center" vertical="center"/>
    </xf>
    <xf numFmtId="0" fontId="1" fillId="5278" borderId="0" xfId="4" applyFill="1" applyAlignment="1">
      <alignment horizontal="center" vertical="center"/>
    </xf>
    <xf numFmtId="0" fontId="1" fillId="5279" borderId="0" xfId="4" applyFill="1" applyAlignment="1">
      <alignment horizontal="center" vertical="center"/>
    </xf>
    <xf numFmtId="0" fontId="1" fillId="5280" borderId="0" xfId="4" applyFill="1" applyAlignment="1">
      <alignment horizontal="center" vertical="center"/>
    </xf>
    <xf numFmtId="0" fontId="1" fillId="5281" borderId="0" xfId="4" applyFill="1" applyAlignment="1">
      <alignment horizontal="center" vertical="center"/>
    </xf>
    <xf numFmtId="0" fontId="1" fillId="5282" borderId="0" xfId="4" applyFill="1" applyAlignment="1">
      <alignment horizontal="center" vertical="center"/>
    </xf>
    <xf numFmtId="0" fontId="1" fillId="5283" borderId="0" xfId="4" applyFill="1" applyAlignment="1">
      <alignment horizontal="center" vertical="center"/>
    </xf>
    <xf numFmtId="0" fontId="1" fillId="5284" borderId="0" xfId="4" applyFill="1" applyAlignment="1">
      <alignment horizontal="center" vertical="center"/>
    </xf>
    <xf numFmtId="0" fontId="1" fillId="5285" borderId="0" xfId="4" applyFill="1" applyAlignment="1">
      <alignment horizontal="left" vertical="center"/>
    </xf>
    <xf numFmtId="0" fontId="1" fillId="5286" borderId="0" xfId="4" applyFill="1" applyAlignment="1">
      <alignment horizontal="center" vertical="center"/>
    </xf>
    <xf numFmtId="0" fontId="1" fillId="5287" borderId="0" xfId="4" applyFill="1" applyAlignment="1">
      <alignment horizontal="center" vertical="center"/>
    </xf>
    <xf numFmtId="0" fontId="1" fillId="5288" borderId="0" xfId="4" applyFill="1" applyAlignment="1">
      <alignment horizontal="center" vertical="center"/>
    </xf>
    <xf numFmtId="0" fontId="1" fillId="5289" borderId="0" xfId="4" applyFill="1" applyAlignment="1">
      <alignment horizontal="center" vertical="center"/>
    </xf>
    <xf numFmtId="0" fontId="1" fillId="5290" borderId="0" xfId="4" applyFill="1" applyAlignment="1">
      <alignment horizontal="center" vertical="center"/>
    </xf>
    <xf numFmtId="0" fontId="1" fillId="2971" borderId="0" xfId="4" applyFill="1" applyAlignment="1">
      <alignment horizontal="center" vertical="center"/>
    </xf>
    <xf numFmtId="0" fontId="1" fillId="5291" borderId="0" xfId="4" applyFill="1" applyAlignment="1">
      <alignment horizontal="center" vertical="center"/>
    </xf>
    <xf numFmtId="0" fontId="1" fillId="5292" borderId="0" xfId="4" applyFill="1" applyAlignment="1">
      <alignment horizontal="center" vertical="center"/>
    </xf>
    <xf numFmtId="0" fontId="1" fillId="5293" borderId="0" xfId="4" applyFill="1" applyAlignment="1">
      <alignment horizontal="center" vertical="center"/>
    </xf>
    <xf numFmtId="0" fontId="1" fillId="5294" borderId="0" xfId="4" applyFill="1" applyAlignment="1">
      <alignment horizontal="center" vertical="center"/>
    </xf>
    <xf numFmtId="0" fontId="1" fillId="5295" borderId="0" xfId="4" applyFill="1" applyAlignment="1">
      <alignment horizontal="center" vertical="center"/>
    </xf>
    <xf numFmtId="0" fontId="1" fillId="5296" borderId="0" xfId="4" applyFill="1" applyAlignment="1">
      <alignment horizontal="center" vertical="center"/>
    </xf>
    <xf numFmtId="0" fontId="1" fillId="5297" borderId="0" xfId="4" applyFill="1" applyAlignment="1">
      <alignment horizontal="center" vertical="center"/>
    </xf>
    <xf numFmtId="0" fontId="1" fillId="5298" borderId="0" xfId="4" applyFill="1" applyAlignment="1">
      <alignment horizontal="center" vertical="center"/>
    </xf>
    <xf numFmtId="0" fontId="1" fillId="5299" borderId="0" xfId="4" applyFill="1" applyAlignment="1">
      <alignment horizontal="center" vertical="center"/>
    </xf>
    <xf numFmtId="0" fontId="1" fillId="5300" borderId="0" xfId="4" applyFill="1" applyAlignment="1">
      <alignment horizontal="center" vertical="center"/>
    </xf>
    <xf numFmtId="0" fontId="1" fillId="5301" borderId="0" xfId="4" applyFill="1" applyAlignment="1">
      <alignment horizontal="center" vertical="center"/>
    </xf>
    <xf numFmtId="0" fontId="1" fillId="5302" borderId="0" xfId="4" applyFill="1" applyAlignment="1">
      <alignment horizontal="center" vertical="center"/>
    </xf>
    <xf numFmtId="0" fontId="1" fillId="5303" borderId="0" xfId="4" applyFill="1" applyAlignment="1">
      <alignment horizontal="center" vertical="center"/>
    </xf>
    <xf numFmtId="0" fontId="1" fillId="5304" borderId="0" xfId="4" applyFill="1" applyAlignment="1">
      <alignment horizontal="center" vertical="center"/>
    </xf>
    <xf numFmtId="0" fontId="1" fillId="5305" borderId="0" xfId="4" applyFill="1" applyAlignment="1">
      <alignment horizontal="center" vertical="center"/>
    </xf>
    <xf numFmtId="0" fontId="1" fillId="5306" borderId="0" xfId="4" applyFill="1" applyAlignment="1">
      <alignment horizontal="center" vertical="center"/>
    </xf>
    <xf numFmtId="0" fontId="1" fillId="5307" borderId="0" xfId="4" applyFill="1" applyAlignment="1">
      <alignment horizontal="center" vertical="center"/>
    </xf>
    <xf numFmtId="0" fontId="1" fillId="5308" borderId="0" xfId="4" applyFill="1" applyAlignment="1">
      <alignment horizontal="center" vertical="center"/>
    </xf>
    <xf numFmtId="0" fontId="1" fillId="5309" borderId="0" xfId="4" applyFill="1" applyAlignment="1">
      <alignment horizontal="center" vertical="center"/>
    </xf>
    <xf numFmtId="0" fontId="1" fillId="5310" borderId="0" xfId="4" applyFill="1" applyAlignment="1">
      <alignment horizontal="left" vertical="center"/>
    </xf>
    <xf numFmtId="0" fontId="1" fillId="5311" borderId="0" xfId="4" applyFill="1" applyAlignment="1">
      <alignment horizontal="center" vertical="center"/>
    </xf>
    <xf numFmtId="0" fontId="1" fillId="5312" borderId="0" xfId="4" applyFill="1" applyAlignment="1">
      <alignment horizontal="center" vertical="center"/>
    </xf>
    <xf numFmtId="0" fontId="1" fillId="5313" borderId="0" xfId="4" applyFill="1" applyAlignment="1">
      <alignment horizontal="center" vertical="center"/>
    </xf>
    <xf numFmtId="0" fontId="1" fillId="5314" borderId="0" xfId="4" applyFill="1" applyAlignment="1">
      <alignment horizontal="center" vertical="center"/>
    </xf>
    <xf numFmtId="0" fontId="1" fillId="5315" borderId="0" xfId="4" applyFill="1" applyAlignment="1">
      <alignment horizontal="center" vertical="center"/>
    </xf>
    <xf numFmtId="0" fontId="1" fillId="5316" borderId="0" xfId="4" applyFill="1" applyAlignment="1">
      <alignment horizontal="center" vertical="center"/>
    </xf>
    <xf numFmtId="0" fontId="1" fillId="5317" borderId="0" xfId="4" applyFill="1" applyAlignment="1">
      <alignment horizontal="center" vertical="center"/>
    </xf>
    <xf numFmtId="0" fontId="1" fillId="5318" borderId="0" xfId="4" applyFill="1" applyAlignment="1">
      <alignment horizontal="center" vertical="center"/>
    </xf>
    <xf numFmtId="0" fontId="1" fillId="5319" borderId="0" xfId="4" applyFill="1" applyAlignment="1">
      <alignment horizontal="center" vertical="center"/>
    </xf>
    <xf numFmtId="0" fontId="1" fillId="5320" borderId="0" xfId="4" applyFill="1" applyAlignment="1">
      <alignment horizontal="center" vertical="center"/>
    </xf>
    <xf numFmtId="0" fontId="1" fillId="5321" borderId="0" xfId="4" applyFill="1" applyAlignment="1">
      <alignment horizontal="center" vertical="center"/>
    </xf>
    <xf numFmtId="0" fontId="1" fillId="5322" borderId="0" xfId="4" applyFill="1" applyAlignment="1">
      <alignment horizontal="center" vertical="center"/>
    </xf>
    <xf numFmtId="0" fontId="1" fillId="5323" borderId="0" xfId="4" applyFill="1" applyAlignment="1">
      <alignment horizontal="center" vertical="center"/>
    </xf>
    <xf numFmtId="0" fontId="1" fillId="5324" borderId="0" xfId="4" applyFill="1" applyAlignment="1">
      <alignment horizontal="center" vertical="center"/>
    </xf>
    <xf numFmtId="0" fontId="1" fillId="5325" borderId="0" xfId="4" applyFill="1" applyAlignment="1">
      <alignment horizontal="center" vertical="center"/>
    </xf>
    <xf numFmtId="0" fontId="1" fillId="5326" borderId="0" xfId="4" applyFill="1" applyAlignment="1">
      <alignment horizontal="center" vertical="center"/>
    </xf>
    <xf numFmtId="0" fontId="1" fillId="5327" borderId="0" xfId="4" applyFill="1" applyAlignment="1">
      <alignment horizontal="center" vertical="center"/>
    </xf>
    <xf numFmtId="0" fontId="1" fillId="5328" borderId="0" xfId="4" applyFill="1" applyAlignment="1">
      <alignment horizontal="center" vertical="center"/>
    </xf>
    <xf numFmtId="0" fontId="1" fillId="5329" borderId="0" xfId="4" applyFill="1" applyAlignment="1">
      <alignment horizontal="center" vertical="center"/>
    </xf>
    <xf numFmtId="0" fontId="1" fillId="5330" borderId="0" xfId="4" applyFill="1" applyAlignment="1">
      <alignment horizontal="center" vertical="center"/>
    </xf>
    <xf numFmtId="0" fontId="1" fillId="5331" borderId="0" xfId="4" applyFill="1" applyAlignment="1">
      <alignment horizontal="left" vertical="center"/>
    </xf>
    <xf numFmtId="0" fontId="1" fillId="5332" borderId="0" xfId="4" applyFill="1" applyAlignment="1">
      <alignment horizontal="center" vertical="center"/>
    </xf>
    <xf numFmtId="0" fontId="1" fillId="5333" borderId="0" xfId="4" applyFill="1" applyAlignment="1">
      <alignment horizontal="center" vertical="center"/>
    </xf>
    <xf numFmtId="0" fontId="1" fillId="5334" borderId="0" xfId="4" applyFill="1" applyAlignment="1">
      <alignment horizontal="left" vertical="center"/>
    </xf>
    <xf numFmtId="0" fontId="1" fillId="5335" borderId="0" xfId="4" applyFill="1" applyAlignment="1">
      <alignment horizontal="center" vertical="center"/>
    </xf>
    <xf numFmtId="0" fontId="1" fillId="5336" borderId="0" xfId="4" applyFill="1" applyAlignment="1">
      <alignment horizontal="center" vertical="center"/>
    </xf>
    <xf numFmtId="0" fontId="1" fillId="5337" borderId="0" xfId="4" applyFill="1" applyAlignment="1">
      <alignment horizontal="center" vertical="center"/>
    </xf>
    <xf numFmtId="0" fontId="1" fillId="5338" borderId="0" xfId="4" applyFill="1" applyAlignment="1">
      <alignment horizontal="center" vertical="center"/>
    </xf>
    <xf numFmtId="0" fontId="1" fillId="5339" borderId="0" xfId="4" applyFill="1" applyAlignment="1">
      <alignment horizontal="center" vertical="center"/>
    </xf>
    <xf numFmtId="0" fontId="1" fillId="907" borderId="0" xfId="4" applyFill="1" applyAlignment="1">
      <alignment horizontal="center" vertical="center"/>
    </xf>
    <xf numFmtId="0" fontId="1" fillId="807" borderId="0" xfId="4" applyFill="1" applyAlignment="1">
      <alignment horizontal="center" vertical="center"/>
    </xf>
    <xf numFmtId="0" fontId="1" fillId="5340" borderId="0" xfId="4" applyFill="1" applyAlignment="1">
      <alignment horizontal="center" vertical="center"/>
    </xf>
    <xf numFmtId="0" fontId="1" fillId="5341" borderId="0" xfId="4" applyFill="1" applyAlignment="1">
      <alignment horizontal="center" vertical="center"/>
    </xf>
    <xf numFmtId="0" fontId="1" fillId="5342" borderId="0" xfId="4" applyFill="1" applyAlignment="1">
      <alignment horizontal="center" vertical="center"/>
    </xf>
    <xf numFmtId="0" fontId="1" fillId="5343" borderId="0" xfId="4" applyFill="1" applyAlignment="1">
      <alignment horizontal="center" vertical="center"/>
    </xf>
    <xf numFmtId="0" fontId="1" fillId="5344" borderId="0" xfId="4" applyFill="1" applyAlignment="1">
      <alignment horizontal="center" vertical="center"/>
    </xf>
    <xf numFmtId="0" fontId="1" fillId="5345" borderId="0" xfId="4" applyFill="1" applyAlignment="1">
      <alignment horizontal="center" vertical="center"/>
    </xf>
    <xf numFmtId="0" fontId="1" fillId="5346" borderId="0" xfId="4" applyFill="1" applyAlignment="1">
      <alignment horizontal="center" vertical="center"/>
    </xf>
    <xf numFmtId="0" fontId="1" fillId="5347" borderId="0" xfId="4" applyFill="1" applyAlignment="1">
      <alignment horizontal="center" vertical="center"/>
    </xf>
    <xf numFmtId="0" fontId="1" fillId="5348" borderId="0" xfId="4" applyFill="1" applyAlignment="1">
      <alignment horizontal="center" vertical="center"/>
    </xf>
    <xf numFmtId="0" fontId="1" fillId="5349" borderId="0" xfId="4" applyFill="1" applyAlignment="1">
      <alignment horizontal="center" vertical="center"/>
    </xf>
    <xf numFmtId="0" fontId="1" fillId="5350" borderId="0" xfId="4" applyFill="1" applyAlignment="1">
      <alignment horizontal="center" vertical="center"/>
    </xf>
    <xf numFmtId="0" fontId="1" fillId="5351" borderId="0" xfId="4" applyFill="1" applyAlignment="1">
      <alignment horizontal="center" vertical="center"/>
    </xf>
    <xf numFmtId="0" fontId="1" fillId="5352" borderId="0" xfId="4" applyFill="1" applyAlignment="1">
      <alignment horizontal="center" vertical="center"/>
    </xf>
    <xf numFmtId="0" fontId="1" fillId="5353" borderId="0" xfId="4" applyFill="1" applyAlignment="1">
      <alignment horizontal="center" vertical="center"/>
    </xf>
    <xf numFmtId="0" fontId="1" fillId="5354" borderId="0" xfId="4" applyFill="1" applyAlignment="1">
      <alignment horizontal="center" vertical="center"/>
    </xf>
    <xf numFmtId="0" fontId="1" fillId="5355" borderId="0" xfId="4" applyFill="1" applyAlignment="1">
      <alignment horizontal="center" vertical="center"/>
    </xf>
    <xf numFmtId="0" fontId="1" fillId="5356" borderId="0" xfId="4" applyFill="1" applyAlignment="1">
      <alignment horizontal="center" vertical="center"/>
    </xf>
    <xf numFmtId="0" fontId="1" fillId="5357" borderId="0" xfId="4" applyFill="1" applyAlignment="1">
      <alignment horizontal="center" vertical="center"/>
    </xf>
    <xf numFmtId="0" fontId="1" fillId="5358" borderId="0" xfId="4" applyFill="1" applyAlignment="1">
      <alignment horizontal="center" vertical="center"/>
    </xf>
    <xf numFmtId="0" fontId="1" fillId="5359" borderId="0" xfId="4" applyFill="1" applyAlignment="1">
      <alignment horizontal="center" vertical="center"/>
    </xf>
    <xf numFmtId="0" fontId="1" fillId="1367" borderId="0" xfId="4" applyFill="1" applyAlignment="1">
      <alignment horizontal="center" vertical="center"/>
    </xf>
    <xf numFmtId="0" fontId="1" fillId="5360" borderId="0" xfId="4" applyFill="1" applyAlignment="1">
      <alignment horizontal="center" vertical="center"/>
    </xf>
    <xf numFmtId="0" fontId="1" fillId="5361" borderId="0" xfId="4" applyFill="1" applyAlignment="1">
      <alignment horizontal="center" vertical="center"/>
    </xf>
    <xf numFmtId="0" fontId="1" fillId="5362" borderId="0" xfId="4" applyFill="1" applyAlignment="1">
      <alignment horizontal="center" vertical="center"/>
    </xf>
    <xf numFmtId="0" fontId="1" fillId="5363" borderId="0" xfId="4" applyFill="1" applyAlignment="1">
      <alignment horizontal="left" vertical="center"/>
    </xf>
    <xf numFmtId="0" fontId="1" fillId="5364" borderId="0" xfId="4" applyFill="1" applyAlignment="1">
      <alignment horizontal="center" vertical="center"/>
    </xf>
    <xf numFmtId="0" fontId="1" fillId="5365" borderId="0" xfId="4" applyFill="1" applyAlignment="1">
      <alignment horizontal="center" vertical="center"/>
    </xf>
    <xf numFmtId="0" fontId="1" fillId="5366" borderId="0" xfId="4" applyFill="1" applyAlignment="1">
      <alignment horizontal="center" vertical="center"/>
    </xf>
    <xf numFmtId="0" fontId="1" fillId="5367" borderId="0" xfId="4" applyFill="1" applyAlignment="1">
      <alignment horizontal="center" vertical="center"/>
    </xf>
    <xf numFmtId="0" fontId="1" fillId="5368" borderId="0" xfId="4" applyFill="1" applyAlignment="1">
      <alignment horizontal="center" vertical="center"/>
    </xf>
    <xf numFmtId="0" fontId="1" fillId="5369" borderId="0" xfId="4" applyFill="1" applyAlignment="1">
      <alignment horizontal="center" vertical="center"/>
    </xf>
    <xf numFmtId="0" fontId="1" fillId="5370" borderId="0" xfId="4" applyFill="1" applyAlignment="1">
      <alignment horizontal="center" vertical="center"/>
    </xf>
    <xf numFmtId="0" fontId="1" fillId="5371" borderId="0" xfId="4" applyFill="1" applyAlignment="1">
      <alignment horizontal="center" vertical="center"/>
    </xf>
    <xf numFmtId="0" fontId="1" fillId="5372" borderId="0" xfId="4" applyFill="1" applyAlignment="1">
      <alignment horizontal="center" vertical="center"/>
    </xf>
    <xf numFmtId="0" fontId="1" fillId="5373" borderId="0" xfId="4" applyFill="1" applyAlignment="1">
      <alignment horizontal="center" vertical="center"/>
    </xf>
    <xf numFmtId="0" fontId="1" fillId="5374" borderId="0" xfId="4" applyFill="1" applyAlignment="1">
      <alignment horizontal="center" vertical="center"/>
    </xf>
    <xf numFmtId="0" fontId="1" fillId="5375" borderId="0" xfId="4" applyFill="1" applyAlignment="1">
      <alignment horizontal="center" vertical="center"/>
    </xf>
    <xf numFmtId="0" fontId="1" fillId="5376" borderId="0" xfId="4" applyFill="1" applyAlignment="1">
      <alignment horizontal="center" vertical="center"/>
    </xf>
    <xf numFmtId="0" fontId="1" fillId="5377" borderId="0" xfId="4" applyFill="1" applyAlignment="1">
      <alignment horizontal="center" vertical="center"/>
    </xf>
    <xf numFmtId="0" fontId="1" fillId="5378" borderId="0" xfId="4" applyFill="1" applyAlignment="1">
      <alignment horizontal="center" vertical="center"/>
    </xf>
    <xf numFmtId="0" fontId="1" fillId="5379" borderId="0" xfId="4" applyFill="1" applyAlignment="1">
      <alignment horizontal="center" vertical="center"/>
    </xf>
    <xf numFmtId="0" fontId="1" fillId="5380" borderId="0" xfId="4" applyFill="1" applyAlignment="1">
      <alignment horizontal="center" vertical="center"/>
    </xf>
    <xf numFmtId="0" fontId="1" fillId="5381" borderId="0" xfId="4" applyFill="1" applyAlignment="1">
      <alignment horizontal="center" vertical="center"/>
    </xf>
    <xf numFmtId="0" fontId="1" fillId="5382" borderId="0" xfId="4" applyFill="1" applyAlignment="1">
      <alignment horizontal="center" vertical="center"/>
    </xf>
    <xf numFmtId="0" fontId="1" fillId="5383" borderId="0" xfId="4" applyFill="1" applyAlignment="1">
      <alignment horizontal="center" vertical="center"/>
    </xf>
    <xf numFmtId="0" fontId="1" fillId="5384" borderId="0" xfId="4" applyFill="1" applyAlignment="1">
      <alignment horizontal="center" vertical="center"/>
    </xf>
    <xf numFmtId="0" fontId="1" fillId="5385" borderId="0" xfId="4" applyFill="1" applyAlignment="1">
      <alignment horizontal="center" vertical="center"/>
    </xf>
    <xf numFmtId="0" fontId="1" fillId="5386" borderId="0" xfId="4" applyFill="1" applyAlignment="1">
      <alignment horizontal="center" vertical="center"/>
    </xf>
    <xf numFmtId="0" fontId="1" fillId="5387" borderId="0" xfId="4" applyFill="1" applyAlignment="1">
      <alignment horizontal="left" vertical="center"/>
    </xf>
    <xf numFmtId="0" fontId="1" fillId="5388" borderId="0" xfId="4" applyFill="1" applyAlignment="1">
      <alignment horizontal="center" vertical="center"/>
    </xf>
    <xf numFmtId="0" fontId="1" fillId="5389" borderId="0" xfId="4" applyFill="1" applyAlignment="1">
      <alignment horizontal="center" vertical="center"/>
    </xf>
    <xf numFmtId="0" fontId="1" fillId="5390" borderId="0" xfId="4" applyFill="1" applyAlignment="1">
      <alignment horizontal="center" vertical="center"/>
    </xf>
    <xf numFmtId="0" fontId="1" fillId="5391" borderId="0" xfId="4" applyFill="1" applyAlignment="1">
      <alignment horizontal="center" vertical="center"/>
    </xf>
    <xf numFmtId="0" fontId="1" fillId="5392" borderId="0" xfId="4" applyFill="1" applyAlignment="1">
      <alignment horizontal="center" vertical="center"/>
    </xf>
    <xf numFmtId="0" fontId="1" fillId="5393" borderId="0" xfId="4" applyFill="1" applyAlignment="1">
      <alignment horizontal="center" vertical="center"/>
    </xf>
    <xf numFmtId="0" fontId="1" fillId="5394" borderId="0" xfId="4" applyFill="1" applyAlignment="1">
      <alignment horizontal="center" vertical="center"/>
    </xf>
    <xf numFmtId="0" fontId="1" fillId="5395" borderId="0" xfId="4" applyFill="1" applyAlignment="1">
      <alignment horizontal="center" vertical="center"/>
    </xf>
    <xf numFmtId="0" fontId="1" fillId="5396" borderId="0" xfId="4" applyFill="1" applyAlignment="1">
      <alignment horizontal="center" vertical="center"/>
    </xf>
    <xf numFmtId="0" fontId="1" fillId="5397" borderId="0" xfId="4" applyFill="1" applyAlignment="1">
      <alignment horizontal="center" vertical="center"/>
    </xf>
    <xf numFmtId="0" fontId="1" fillId="5398" borderId="0" xfId="4" applyFill="1" applyAlignment="1">
      <alignment horizontal="center" vertical="center"/>
    </xf>
    <xf numFmtId="0" fontId="1" fillId="5399" borderId="0" xfId="4" applyFill="1" applyAlignment="1">
      <alignment horizontal="center" vertical="center"/>
    </xf>
    <xf numFmtId="0" fontId="1" fillId="5400" borderId="0" xfId="4" applyFill="1" applyAlignment="1">
      <alignment horizontal="center" vertical="center"/>
    </xf>
    <xf numFmtId="0" fontId="1" fillId="5401" borderId="0" xfId="4" applyFill="1" applyAlignment="1">
      <alignment horizontal="center" vertical="center"/>
    </xf>
    <xf numFmtId="0" fontId="1" fillId="5402" borderId="0" xfId="4" applyFill="1" applyAlignment="1">
      <alignment horizontal="center" vertical="center"/>
    </xf>
    <xf numFmtId="0" fontId="1" fillId="5403" borderId="0" xfId="4" applyFill="1" applyAlignment="1">
      <alignment horizontal="center" vertical="center"/>
    </xf>
    <xf numFmtId="0" fontId="1" fillId="5404" borderId="0" xfId="4" applyFill="1" applyAlignment="1">
      <alignment horizontal="center" vertical="center"/>
    </xf>
    <xf numFmtId="0" fontId="1" fillId="5405" borderId="0" xfId="4" applyFill="1" applyAlignment="1">
      <alignment horizontal="center" vertical="center"/>
    </xf>
    <xf numFmtId="0" fontId="1" fillId="5406" borderId="0" xfId="4" applyFill="1" applyAlignment="1">
      <alignment horizontal="center" vertical="center"/>
    </xf>
    <xf numFmtId="0" fontId="1" fillId="5407" borderId="0" xfId="4" applyFill="1" applyAlignment="1">
      <alignment horizontal="left" vertical="center"/>
    </xf>
    <xf numFmtId="0" fontId="1" fillId="5408" borderId="0" xfId="4" applyFill="1" applyAlignment="1">
      <alignment horizontal="center" vertical="center"/>
    </xf>
    <xf numFmtId="0" fontId="1" fillId="5409" borderId="0" xfId="4" applyFill="1" applyAlignment="1">
      <alignment horizontal="center" vertical="center"/>
    </xf>
    <xf numFmtId="0" fontId="1" fillId="5410" borderId="0" xfId="4" applyFill="1" applyAlignment="1">
      <alignment horizontal="left" vertical="center"/>
    </xf>
    <xf numFmtId="0" fontId="1" fillId="5411" borderId="0" xfId="4" applyFill="1" applyAlignment="1">
      <alignment horizontal="center" vertical="center"/>
    </xf>
    <xf numFmtId="0" fontId="1" fillId="5412" borderId="0" xfId="4" applyFill="1" applyAlignment="1">
      <alignment horizontal="center" vertical="center"/>
    </xf>
    <xf numFmtId="0" fontId="1" fillId="5413" borderId="0" xfId="4" applyFill="1" applyAlignment="1">
      <alignment horizontal="center" vertical="center"/>
    </xf>
    <xf numFmtId="0" fontId="1" fillId="5414" borderId="0" xfId="4" applyFill="1" applyAlignment="1">
      <alignment horizontal="center" vertical="center"/>
    </xf>
    <xf numFmtId="0" fontId="1" fillId="5415" borderId="0" xfId="4" applyFill="1" applyAlignment="1">
      <alignment horizontal="center" vertical="center"/>
    </xf>
    <xf numFmtId="0" fontId="1" fillId="972" borderId="0" xfId="4" applyFill="1" applyAlignment="1">
      <alignment horizontal="center" vertical="center"/>
    </xf>
    <xf numFmtId="0" fontId="1" fillId="5416" borderId="0" xfId="4" applyFill="1" applyAlignment="1">
      <alignment horizontal="center" vertical="center"/>
    </xf>
    <xf numFmtId="0" fontId="1" fillId="5417" borderId="0" xfId="4" applyFill="1" applyAlignment="1">
      <alignment horizontal="center" vertical="center"/>
    </xf>
    <xf numFmtId="0" fontId="1" fillId="5418" borderId="0" xfId="4" applyFill="1" applyAlignment="1">
      <alignment horizontal="center" vertical="center"/>
    </xf>
    <xf numFmtId="0" fontId="1" fillId="5419" borderId="0" xfId="4" applyFill="1" applyAlignment="1">
      <alignment horizontal="center" vertical="center"/>
    </xf>
    <xf numFmtId="0" fontId="1" fillId="5420" borderId="0" xfId="4" applyFill="1" applyAlignment="1">
      <alignment horizontal="center" vertical="center"/>
    </xf>
    <xf numFmtId="0" fontId="1" fillId="5421" borderId="0" xfId="4" applyFill="1" applyAlignment="1">
      <alignment horizontal="center" vertical="center"/>
    </xf>
    <xf numFmtId="0" fontId="1" fillId="5422" borderId="0" xfId="4" applyFill="1" applyAlignment="1">
      <alignment horizontal="center" vertical="center"/>
    </xf>
    <xf numFmtId="0" fontId="1" fillId="1210" borderId="0" xfId="4" applyFill="1" applyAlignment="1">
      <alignment horizontal="center" vertical="center"/>
    </xf>
    <xf numFmtId="0" fontId="1" fillId="354" borderId="0" xfId="4" applyFill="1" applyAlignment="1">
      <alignment horizontal="center" vertical="center"/>
    </xf>
    <xf numFmtId="0" fontId="1" fillId="5423" borderId="0" xfId="4" applyFill="1" applyAlignment="1">
      <alignment horizontal="center" vertical="center"/>
    </xf>
    <xf numFmtId="0" fontId="1" fillId="5424" borderId="0" xfId="4" applyFill="1" applyAlignment="1">
      <alignment horizontal="center" vertical="center"/>
    </xf>
    <xf numFmtId="0" fontId="1" fillId="1266" borderId="0" xfId="4" applyFill="1" applyAlignment="1">
      <alignment horizontal="center" vertical="center"/>
    </xf>
    <xf numFmtId="0" fontId="1" fillId="1357" borderId="0" xfId="4" applyFill="1" applyAlignment="1">
      <alignment horizontal="center" vertical="center"/>
    </xf>
    <xf numFmtId="0" fontId="1" fillId="5425" borderId="0" xfId="4" applyFill="1" applyAlignment="1">
      <alignment horizontal="center" vertical="center"/>
    </xf>
    <xf numFmtId="0" fontId="1" fillId="5426" borderId="0" xfId="4" applyFill="1" applyAlignment="1">
      <alignment horizontal="center" vertical="center"/>
    </xf>
    <xf numFmtId="0" fontId="1" fillId="5427" borderId="0" xfId="4" applyFill="1" applyAlignment="1">
      <alignment horizontal="center" vertical="center"/>
    </xf>
    <xf numFmtId="0" fontId="1" fillId="5428" borderId="0" xfId="4" applyFill="1" applyAlignment="1">
      <alignment horizontal="center" vertical="center"/>
    </xf>
    <xf numFmtId="0" fontId="1" fillId="5429" borderId="0" xfId="4" applyFill="1" applyAlignment="1">
      <alignment horizontal="center" vertical="center"/>
    </xf>
    <xf numFmtId="0" fontId="1" fillId="5430" borderId="0" xfId="4" applyFill="1" applyAlignment="1">
      <alignment horizontal="center" vertical="center"/>
    </xf>
    <xf numFmtId="0" fontId="1" fillId="5431" borderId="0" xfId="4" applyFill="1" applyAlignment="1">
      <alignment horizontal="center" vertical="center"/>
    </xf>
    <xf numFmtId="0" fontId="1" fillId="5432" borderId="0" xfId="4" applyFill="1" applyAlignment="1">
      <alignment horizontal="center" vertical="center"/>
    </xf>
    <xf numFmtId="0" fontId="1" fillId="1361" borderId="0" xfId="4" applyFill="1" applyAlignment="1">
      <alignment horizontal="center" vertical="center"/>
    </xf>
    <xf numFmtId="0" fontId="1" fillId="5433" borderId="0" xfId="4" applyFill="1" applyAlignment="1">
      <alignment horizontal="center" vertical="center"/>
    </xf>
    <xf numFmtId="0" fontId="1" fillId="5434" borderId="0" xfId="4" applyFill="1" applyAlignment="1">
      <alignment horizontal="center" vertical="center"/>
    </xf>
    <xf numFmtId="0" fontId="1" fillId="5435" borderId="0" xfId="4" applyFill="1" applyAlignment="1">
      <alignment horizontal="center" vertical="center"/>
    </xf>
    <xf numFmtId="0" fontId="1" fillId="5436" borderId="0" xfId="4" applyFill="1" applyAlignment="1">
      <alignment horizontal="left" vertical="center"/>
    </xf>
    <xf numFmtId="0" fontId="1" fillId="5437" borderId="0" xfId="4" applyFill="1" applyAlignment="1">
      <alignment horizontal="center" vertical="center"/>
    </xf>
    <xf numFmtId="0" fontId="1" fillId="5438" borderId="0" xfId="4" applyFill="1" applyAlignment="1">
      <alignment horizontal="center" vertical="center"/>
    </xf>
    <xf numFmtId="0" fontId="1" fillId="5439" borderId="0" xfId="4" applyFill="1" applyAlignment="1">
      <alignment horizontal="center" vertical="center"/>
    </xf>
    <xf numFmtId="0" fontId="1" fillId="5440" borderId="0" xfId="4" applyFill="1" applyAlignment="1">
      <alignment horizontal="center" vertical="center"/>
    </xf>
    <xf numFmtId="0" fontId="1" fillId="5441" borderId="0" xfId="4" applyFill="1" applyAlignment="1">
      <alignment horizontal="center" vertical="center"/>
    </xf>
    <xf numFmtId="0" fontId="1" fillId="5442" borderId="0" xfId="4" applyFill="1" applyAlignment="1">
      <alignment horizontal="center" vertical="center"/>
    </xf>
    <xf numFmtId="0" fontId="1" fillId="5443" borderId="0" xfId="4" applyFill="1" applyAlignment="1">
      <alignment horizontal="center" vertical="center"/>
    </xf>
    <xf numFmtId="0" fontId="1" fillId="5444" borderId="0" xfId="4" applyFill="1" applyAlignment="1">
      <alignment horizontal="center" vertical="center"/>
    </xf>
    <xf numFmtId="0" fontId="1" fillId="5445" borderId="0" xfId="4" applyFill="1" applyAlignment="1">
      <alignment horizontal="center" vertical="center"/>
    </xf>
    <xf numFmtId="0" fontId="1" fillId="5446" borderId="0" xfId="4" applyFill="1" applyAlignment="1">
      <alignment horizontal="center" vertical="center"/>
    </xf>
    <xf numFmtId="0" fontId="1" fillId="5447" borderId="0" xfId="4" applyFill="1" applyAlignment="1">
      <alignment horizontal="center" vertical="center"/>
    </xf>
    <xf numFmtId="0" fontId="1" fillId="5448" borderId="0" xfId="4" applyFill="1" applyAlignment="1">
      <alignment horizontal="center" vertical="center"/>
    </xf>
    <xf numFmtId="0" fontId="1" fillId="5449" borderId="0" xfId="4" applyFill="1" applyAlignment="1">
      <alignment horizontal="center" vertical="center"/>
    </xf>
    <xf numFmtId="0" fontId="1" fillId="5450" borderId="0" xfId="4" applyFill="1" applyAlignment="1">
      <alignment horizontal="center" vertical="center"/>
    </xf>
    <xf numFmtId="0" fontId="1" fillId="5451" borderId="0" xfId="4" applyFill="1" applyAlignment="1">
      <alignment horizontal="center" vertical="center"/>
    </xf>
    <xf numFmtId="0" fontId="1" fillId="5452" borderId="0" xfId="4" applyFill="1" applyAlignment="1">
      <alignment horizontal="center" vertical="center"/>
    </xf>
    <xf numFmtId="0" fontId="1" fillId="5453" borderId="0" xfId="4" applyFill="1" applyAlignment="1">
      <alignment horizontal="center" vertical="center"/>
    </xf>
    <xf numFmtId="0" fontId="1" fillId="5454" borderId="0" xfId="4" applyFill="1" applyAlignment="1">
      <alignment horizontal="center" vertical="center"/>
    </xf>
    <xf numFmtId="0" fontId="1" fillId="5455" borderId="0" xfId="4" applyFill="1" applyAlignment="1">
      <alignment horizontal="center" vertical="center"/>
    </xf>
    <xf numFmtId="0" fontId="1" fillId="5456" borderId="0" xfId="4" applyFill="1" applyAlignment="1">
      <alignment horizontal="center" vertical="center"/>
    </xf>
    <xf numFmtId="0" fontId="1" fillId="5457" borderId="0" xfId="4" applyFill="1" applyAlignment="1">
      <alignment horizontal="center" vertical="center"/>
    </xf>
    <xf numFmtId="0" fontId="1" fillId="5458" borderId="0" xfId="4" applyFill="1" applyAlignment="1">
      <alignment horizontal="center" vertical="center"/>
    </xf>
    <xf numFmtId="0" fontId="1" fillId="5459" borderId="0" xfId="4" applyFill="1" applyAlignment="1">
      <alignment horizontal="center" vertical="center"/>
    </xf>
    <xf numFmtId="0" fontId="1" fillId="5460" borderId="0" xfId="4" applyFill="1" applyAlignment="1">
      <alignment horizontal="center" vertical="center"/>
    </xf>
    <xf numFmtId="0" fontId="1" fillId="5461" borderId="0" xfId="4" applyFill="1" applyAlignment="1">
      <alignment horizontal="center" vertical="center"/>
    </xf>
    <xf numFmtId="0" fontId="1" fillId="5462" borderId="0" xfId="4" applyFill="1" applyAlignment="1">
      <alignment horizontal="center" vertical="center"/>
    </xf>
    <xf numFmtId="0" fontId="1" fillId="5463" borderId="0" xfId="4" applyFill="1" applyAlignment="1">
      <alignment horizontal="center" vertical="center"/>
    </xf>
    <xf numFmtId="0" fontId="1" fillId="1045" borderId="0" xfId="4" applyFill="1" applyAlignment="1">
      <alignment horizontal="center" vertical="center"/>
    </xf>
    <xf numFmtId="0" fontId="1" fillId="5464" borderId="0" xfId="4" applyFill="1" applyAlignment="1">
      <alignment horizontal="left" vertical="center"/>
    </xf>
    <xf numFmtId="0" fontId="1" fillId="5465" borderId="0" xfId="4" applyFill="1" applyAlignment="1">
      <alignment horizontal="center" vertical="center"/>
    </xf>
    <xf numFmtId="0" fontId="1" fillId="5466" borderId="0" xfId="4" applyFill="1" applyAlignment="1">
      <alignment horizontal="center" vertical="center"/>
    </xf>
    <xf numFmtId="0" fontId="1" fillId="5467" borderId="0" xfId="4" applyFill="1" applyAlignment="1">
      <alignment horizontal="center" vertical="center"/>
    </xf>
    <xf numFmtId="0" fontId="1" fillId="5468" borderId="0" xfId="4" applyFill="1" applyAlignment="1">
      <alignment horizontal="center" vertical="center"/>
    </xf>
    <xf numFmtId="0" fontId="1" fillId="5469" borderId="0" xfId="4" applyFill="1" applyAlignment="1">
      <alignment horizontal="center" vertical="center"/>
    </xf>
    <xf numFmtId="0" fontId="1" fillId="5470" borderId="0" xfId="4" applyFill="1" applyAlignment="1">
      <alignment horizontal="center" vertical="center"/>
    </xf>
    <xf numFmtId="0" fontId="1" fillId="5471" borderId="0" xfId="4" applyFill="1" applyAlignment="1">
      <alignment horizontal="center" vertical="center"/>
    </xf>
    <xf numFmtId="0" fontId="1" fillId="5472" borderId="0" xfId="4" applyFill="1" applyAlignment="1">
      <alignment horizontal="center" vertical="center"/>
    </xf>
    <xf numFmtId="0" fontId="1" fillId="5473" borderId="0" xfId="4" applyFill="1" applyAlignment="1">
      <alignment horizontal="center" vertical="center"/>
    </xf>
    <xf numFmtId="0" fontId="1" fillId="5474" borderId="0" xfId="4" applyFill="1" applyAlignment="1">
      <alignment horizontal="center" vertical="center"/>
    </xf>
    <xf numFmtId="0" fontId="1" fillId="5475" borderId="0" xfId="4" applyFill="1" applyAlignment="1">
      <alignment horizontal="center" vertical="center"/>
    </xf>
    <xf numFmtId="0" fontId="1" fillId="5476" borderId="0" xfId="4" applyFill="1" applyAlignment="1">
      <alignment horizontal="center" vertical="center"/>
    </xf>
    <xf numFmtId="0" fontId="1" fillId="5477" borderId="0" xfId="4" applyFill="1" applyAlignment="1">
      <alignment horizontal="center" vertical="center"/>
    </xf>
    <xf numFmtId="0" fontId="1" fillId="5478" borderId="0" xfId="4" applyFill="1" applyAlignment="1">
      <alignment horizontal="center" vertical="center"/>
    </xf>
    <xf numFmtId="0" fontId="1" fillId="5479" borderId="0" xfId="4" applyFill="1" applyAlignment="1">
      <alignment horizontal="center" vertical="center"/>
    </xf>
    <xf numFmtId="0" fontId="1" fillId="5480" borderId="0" xfId="4" applyFill="1" applyAlignment="1">
      <alignment horizontal="center" vertical="center"/>
    </xf>
    <xf numFmtId="0" fontId="1" fillId="5481" borderId="0" xfId="4" applyFill="1" applyAlignment="1">
      <alignment horizontal="center" vertical="center"/>
    </xf>
    <xf numFmtId="0" fontId="1" fillId="5482" borderId="0" xfId="4" applyFill="1" applyAlignment="1">
      <alignment horizontal="left" vertical="center"/>
    </xf>
    <xf numFmtId="0" fontId="1" fillId="5410" borderId="0" xfId="4" applyFill="1" applyAlignment="1">
      <alignment horizontal="center" vertical="center"/>
    </xf>
    <xf numFmtId="0" fontId="1" fillId="5483" borderId="0" xfId="4" applyFill="1" applyAlignment="1">
      <alignment horizontal="center" vertical="center"/>
    </xf>
    <xf numFmtId="0" fontId="1" fillId="5484" borderId="0" xfId="4" applyFill="1" applyAlignment="1">
      <alignment horizontal="left" vertical="center"/>
    </xf>
    <xf numFmtId="0" fontId="1" fillId="5485" borderId="0" xfId="4" applyFill="1" applyAlignment="1">
      <alignment horizontal="center" vertical="center"/>
    </xf>
    <xf numFmtId="0" fontId="1" fillId="5486" borderId="0" xfId="4" applyFill="1" applyAlignment="1">
      <alignment horizontal="center" vertical="center"/>
    </xf>
    <xf numFmtId="0" fontId="1" fillId="1153" borderId="0" xfId="4" applyFill="1" applyAlignment="1">
      <alignment horizontal="center" vertical="center"/>
    </xf>
    <xf numFmtId="0" fontId="1" fillId="5487" borderId="0" xfId="4" applyFill="1" applyAlignment="1">
      <alignment horizontal="center" vertical="center"/>
    </xf>
    <xf numFmtId="0" fontId="1" fillId="5488" borderId="0" xfId="4" applyFill="1" applyAlignment="1">
      <alignment horizontal="center" vertical="center"/>
    </xf>
    <xf numFmtId="0" fontId="1" fillId="5489" borderId="0" xfId="4" applyFill="1" applyAlignment="1">
      <alignment horizontal="center" vertical="center"/>
    </xf>
    <xf numFmtId="0" fontId="1" fillId="5490" borderId="0" xfId="4" applyFill="1" applyAlignment="1">
      <alignment horizontal="center" vertical="center"/>
    </xf>
    <xf numFmtId="0" fontId="1" fillId="5491" borderId="0" xfId="4" applyFill="1" applyAlignment="1">
      <alignment horizontal="center" vertical="center"/>
    </xf>
    <xf numFmtId="0" fontId="1" fillId="5492" borderId="0" xfId="4" applyFill="1" applyAlignment="1">
      <alignment horizontal="center" vertical="center"/>
    </xf>
    <xf numFmtId="0" fontId="1" fillId="5493" borderId="0" xfId="4" applyFill="1" applyAlignment="1">
      <alignment horizontal="center" vertical="center"/>
    </xf>
    <xf numFmtId="0" fontId="1" fillId="5494" borderId="0" xfId="4" applyFill="1" applyAlignment="1">
      <alignment horizontal="center" vertical="center"/>
    </xf>
    <xf numFmtId="0" fontId="1" fillId="5495" borderId="0" xfId="4" applyFill="1" applyAlignment="1">
      <alignment horizontal="center" vertical="center"/>
    </xf>
    <xf numFmtId="0" fontId="1" fillId="287" borderId="0" xfId="4" applyFill="1" applyAlignment="1">
      <alignment horizontal="center" vertical="center"/>
    </xf>
    <xf numFmtId="0" fontId="1" fillId="5496" borderId="0" xfId="4" applyFill="1" applyAlignment="1">
      <alignment horizontal="center" vertical="center"/>
    </xf>
    <xf numFmtId="0" fontId="1" fillId="5497" borderId="0" xfId="4" applyFill="1" applyAlignment="1">
      <alignment horizontal="center" vertical="center"/>
    </xf>
    <xf numFmtId="0" fontId="1" fillId="5498" borderId="0" xfId="4" applyFill="1" applyAlignment="1">
      <alignment horizontal="center" vertical="center"/>
    </xf>
    <xf numFmtId="0" fontId="1" fillId="5499" borderId="0" xfId="4" applyFill="1" applyAlignment="1">
      <alignment horizontal="center" vertical="center"/>
    </xf>
    <xf numFmtId="0" fontId="1" fillId="5500" borderId="0" xfId="4" applyFill="1" applyAlignment="1">
      <alignment horizontal="center" vertical="center"/>
    </xf>
    <xf numFmtId="0" fontId="1" fillId="5501" borderId="0" xfId="4" applyFill="1" applyAlignment="1">
      <alignment horizontal="center" vertical="center"/>
    </xf>
    <xf numFmtId="0" fontId="1" fillId="5502" borderId="0" xfId="4" applyFill="1" applyAlignment="1">
      <alignment horizontal="center" vertical="center"/>
    </xf>
    <xf numFmtId="0" fontId="1" fillId="5503" borderId="0" xfId="4" applyFill="1" applyAlignment="1">
      <alignment horizontal="center" vertical="center"/>
    </xf>
    <xf numFmtId="0" fontId="1" fillId="5504" borderId="0" xfId="4" applyFill="1" applyAlignment="1">
      <alignment horizontal="center" vertical="center"/>
    </xf>
    <xf numFmtId="0" fontId="1" fillId="5505" borderId="0" xfId="4" applyFill="1" applyAlignment="1">
      <alignment horizontal="center" vertical="center"/>
    </xf>
    <xf numFmtId="0" fontId="1" fillId="5506" borderId="0" xfId="4" applyFill="1" applyAlignment="1">
      <alignment horizontal="center" vertical="center"/>
    </xf>
    <xf numFmtId="0" fontId="1" fillId="5507" borderId="0" xfId="4" applyFill="1" applyAlignment="1">
      <alignment horizontal="center" vertical="center"/>
    </xf>
    <xf numFmtId="0" fontId="1" fillId="5508" borderId="0" xfId="4" applyFill="1" applyAlignment="1">
      <alignment horizontal="center" vertical="center"/>
    </xf>
    <xf numFmtId="0" fontId="1" fillId="307" borderId="0" xfId="4" applyFill="1" applyAlignment="1">
      <alignment horizontal="center" vertical="center"/>
    </xf>
    <xf numFmtId="0" fontId="1" fillId="5509" borderId="0" xfId="4" applyFill="1" applyAlignment="1">
      <alignment horizontal="center" vertical="center"/>
    </xf>
    <xf numFmtId="0" fontId="1" fillId="5510" borderId="0" xfId="4" applyFill="1" applyAlignment="1">
      <alignment horizontal="center" vertical="center"/>
    </xf>
    <xf numFmtId="0" fontId="1" fillId="5511" borderId="0" xfId="4" applyFill="1" applyAlignment="1">
      <alignment horizontal="center" vertical="center"/>
    </xf>
    <xf numFmtId="0" fontId="1" fillId="5512" borderId="0" xfId="4" applyFill="1" applyAlignment="1">
      <alignment horizontal="center" vertical="center"/>
    </xf>
    <xf numFmtId="0" fontId="1" fillId="5513" borderId="0" xfId="4" applyFill="1" applyAlignment="1">
      <alignment horizontal="center" vertical="center"/>
    </xf>
    <xf numFmtId="0" fontId="1" fillId="5514" borderId="0" xfId="4" applyFill="1" applyAlignment="1">
      <alignment horizontal="center" vertical="center"/>
    </xf>
    <xf numFmtId="0" fontId="1" fillId="5515" borderId="0" xfId="4" applyFill="1" applyAlignment="1">
      <alignment horizontal="center" vertical="center"/>
    </xf>
    <xf numFmtId="0" fontId="1" fillId="5516" borderId="0" xfId="4" applyFill="1" applyAlignment="1">
      <alignment horizontal="left" vertical="center"/>
    </xf>
    <xf numFmtId="0" fontId="1" fillId="5517" borderId="0" xfId="4" applyFill="1" applyAlignment="1">
      <alignment horizontal="center" vertical="center"/>
    </xf>
    <xf numFmtId="0" fontId="1" fillId="5518" borderId="0" xfId="4" applyFill="1" applyAlignment="1">
      <alignment horizontal="center" vertical="center"/>
    </xf>
    <xf numFmtId="0" fontId="1" fillId="5519" borderId="0" xfId="4" applyFill="1" applyAlignment="1">
      <alignment horizontal="center" vertical="center"/>
    </xf>
    <xf numFmtId="0" fontId="1" fillId="5520" borderId="0" xfId="4" applyFill="1" applyAlignment="1">
      <alignment horizontal="center" vertical="center"/>
    </xf>
    <xf numFmtId="0" fontId="1" fillId="5521" borderId="0" xfId="4" applyFill="1" applyAlignment="1">
      <alignment horizontal="center" vertical="center"/>
    </xf>
    <xf numFmtId="0" fontId="1" fillId="5522" borderId="0" xfId="4" applyFill="1" applyAlignment="1">
      <alignment horizontal="center" vertical="center"/>
    </xf>
    <xf numFmtId="0" fontId="1" fillId="5523" borderId="0" xfId="4" applyFill="1" applyAlignment="1">
      <alignment horizontal="center" vertical="center"/>
    </xf>
    <xf numFmtId="0" fontId="1" fillId="5524" borderId="0" xfId="4" applyFill="1" applyAlignment="1">
      <alignment horizontal="center" vertical="center"/>
    </xf>
    <xf numFmtId="0" fontId="1" fillId="5525" borderId="0" xfId="4" applyFill="1" applyAlignment="1">
      <alignment horizontal="center" vertical="center"/>
    </xf>
    <xf numFmtId="0" fontId="1" fillId="5526" borderId="0" xfId="4" applyFill="1" applyAlignment="1">
      <alignment horizontal="center" vertical="center"/>
    </xf>
    <xf numFmtId="0" fontId="1" fillId="5527" borderId="0" xfId="4" applyFill="1" applyAlignment="1">
      <alignment horizontal="center" vertical="center"/>
    </xf>
    <xf numFmtId="0" fontId="1" fillId="5528" borderId="0" xfId="4" applyFill="1" applyAlignment="1">
      <alignment horizontal="center" vertical="center"/>
    </xf>
    <xf numFmtId="0" fontId="1" fillId="5529" borderId="0" xfId="4" applyFill="1" applyAlignment="1">
      <alignment horizontal="center" vertical="center"/>
    </xf>
    <xf numFmtId="0" fontId="1" fillId="5530" borderId="0" xfId="4" applyFill="1" applyAlignment="1">
      <alignment horizontal="center" vertical="center"/>
    </xf>
    <xf numFmtId="0" fontId="1" fillId="5531" borderId="0" xfId="4" applyFill="1" applyAlignment="1">
      <alignment horizontal="center" vertical="center"/>
    </xf>
    <xf numFmtId="0" fontId="1" fillId="5532" borderId="0" xfId="4" applyFill="1" applyAlignment="1">
      <alignment horizontal="center" vertical="center"/>
    </xf>
    <xf numFmtId="0" fontId="1" fillId="5533" borderId="0" xfId="4" applyFill="1" applyAlignment="1">
      <alignment horizontal="center" vertical="center"/>
    </xf>
    <xf numFmtId="0" fontId="1" fillId="5534" borderId="0" xfId="4" applyFill="1" applyAlignment="1">
      <alignment horizontal="center" vertical="center"/>
    </xf>
    <xf numFmtId="0" fontId="1" fillId="5535" borderId="0" xfId="4" applyFill="1" applyAlignment="1">
      <alignment horizontal="center" vertical="center"/>
    </xf>
    <xf numFmtId="0" fontId="1" fillId="5536" borderId="0" xfId="4" applyFill="1" applyAlignment="1">
      <alignment horizontal="center" vertical="center"/>
    </xf>
    <xf numFmtId="0" fontId="1" fillId="5537" borderId="0" xfId="4" applyFill="1" applyAlignment="1">
      <alignment horizontal="center" vertical="center"/>
    </xf>
    <xf numFmtId="0" fontId="1" fillId="5538" borderId="0" xfId="4" applyFill="1" applyAlignment="1">
      <alignment horizontal="center" vertical="center"/>
    </xf>
    <xf numFmtId="0" fontId="1" fillId="5539" borderId="0" xfId="4" applyFill="1" applyAlignment="1">
      <alignment horizontal="center" vertical="center"/>
    </xf>
    <xf numFmtId="0" fontId="1" fillId="5540" borderId="0" xfId="4" applyFill="1" applyAlignment="1">
      <alignment horizontal="center" vertical="center"/>
    </xf>
    <xf numFmtId="0" fontId="1" fillId="5541" borderId="0" xfId="4" applyFill="1" applyAlignment="1">
      <alignment horizontal="center" vertical="center"/>
    </xf>
    <xf numFmtId="0" fontId="1" fillId="5542" borderId="0" xfId="4" applyFill="1" applyAlignment="1">
      <alignment horizontal="center" vertical="center"/>
    </xf>
    <xf numFmtId="0" fontId="1" fillId="5543" borderId="0" xfId="4" applyFill="1" applyAlignment="1">
      <alignment horizontal="center" vertical="center"/>
    </xf>
    <xf numFmtId="0" fontId="1" fillId="5544" borderId="0" xfId="4" applyFill="1" applyAlignment="1">
      <alignment horizontal="center" vertical="center"/>
    </xf>
    <xf numFmtId="0" fontId="1" fillId="5545" borderId="0" xfId="4" applyFill="1" applyAlignment="1">
      <alignment horizontal="left" vertical="center"/>
    </xf>
    <xf numFmtId="0" fontId="1" fillId="5546" borderId="0" xfId="4" applyFill="1" applyAlignment="1">
      <alignment horizontal="center" vertical="center"/>
    </xf>
    <xf numFmtId="0" fontId="1" fillId="5547" borderId="0" xfId="4" applyFill="1" applyAlignment="1">
      <alignment horizontal="center" vertical="center"/>
    </xf>
    <xf numFmtId="0" fontId="1" fillId="5548" borderId="0" xfId="4" applyFill="1" applyAlignment="1">
      <alignment horizontal="center" vertical="center"/>
    </xf>
    <xf numFmtId="0" fontId="1" fillId="5549" borderId="0" xfId="4" applyFill="1" applyAlignment="1">
      <alignment horizontal="center" vertical="center"/>
    </xf>
    <xf numFmtId="0" fontId="1" fillId="5550" borderId="0" xfId="4" applyFill="1" applyAlignment="1">
      <alignment horizontal="center" vertical="center"/>
    </xf>
    <xf numFmtId="0" fontId="1" fillId="5551" borderId="0" xfId="4" applyFill="1" applyAlignment="1">
      <alignment horizontal="center" vertical="center"/>
    </xf>
    <xf numFmtId="0" fontId="1" fillId="5552" borderId="0" xfId="4" applyFill="1" applyAlignment="1">
      <alignment horizontal="center" vertical="center"/>
    </xf>
    <xf numFmtId="0" fontId="1" fillId="5553" borderId="0" xfId="4" applyFill="1" applyAlignment="1">
      <alignment horizontal="center" vertical="center"/>
    </xf>
    <xf numFmtId="0" fontId="1" fillId="5554" borderId="0" xfId="4" applyFill="1" applyAlignment="1">
      <alignment horizontal="center" vertical="center"/>
    </xf>
    <xf numFmtId="0" fontId="1" fillId="5555" borderId="0" xfId="4" applyFill="1" applyAlignment="1">
      <alignment horizontal="center" vertical="center"/>
    </xf>
    <xf numFmtId="0" fontId="1" fillId="5556" borderId="0" xfId="4" applyFill="1" applyAlignment="1">
      <alignment horizontal="center" vertical="center"/>
    </xf>
    <xf numFmtId="0" fontId="1" fillId="5557" borderId="0" xfId="4" applyFill="1" applyAlignment="1">
      <alignment horizontal="center" vertical="center"/>
    </xf>
    <xf numFmtId="0" fontId="1" fillId="5558" borderId="0" xfId="4" applyFill="1" applyAlignment="1">
      <alignment horizontal="center" vertical="center"/>
    </xf>
    <xf numFmtId="0" fontId="1" fillId="5559" borderId="0" xfId="4" applyFill="1" applyAlignment="1">
      <alignment horizontal="center" vertical="center"/>
    </xf>
    <xf numFmtId="0" fontId="1" fillId="5560" borderId="0" xfId="4" applyFill="1" applyAlignment="1">
      <alignment horizontal="center" vertical="center"/>
    </xf>
    <xf numFmtId="0" fontId="1" fillId="5561" borderId="0" xfId="4" applyFill="1" applyAlignment="1">
      <alignment horizontal="center" vertical="center"/>
    </xf>
    <xf numFmtId="0" fontId="1" fillId="5562" borderId="0" xfId="4" applyFill="1" applyAlignment="1">
      <alignment horizontal="center" vertical="center"/>
    </xf>
    <xf numFmtId="0" fontId="1" fillId="5563" borderId="0" xfId="4" applyFill="1" applyAlignment="1">
      <alignment horizontal="center" vertical="center"/>
    </xf>
    <xf numFmtId="0" fontId="1" fillId="5564" borderId="0" xfId="4" applyFill="1" applyAlignment="1">
      <alignment horizontal="center" vertical="center"/>
    </xf>
    <xf numFmtId="0" fontId="1" fillId="5565" borderId="0" xfId="4" applyFill="1" applyAlignment="1">
      <alignment horizontal="center" vertical="center"/>
    </xf>
    <xf numFmtId="0" fontId="1" fillId="5566" borderId="0" xfId="4" applyFill="1" applyAlignment="1">
      <alignment horizontal="left" vertical="center"/>
    </xf>
    <xf numFmtId="0" fontId="1" fillId="5567" borderId="0" xfId="4" applyFill="1" applyAlignment="1">
      <alignment horizontal="center" vertical="center"/>
    </xf>
    <xf numFmtId="0" fontId="1" fillId="1228" borderId="0" xfId="4" applyFill="1" applyAlignment="1">
      <alignment horizontal="center" vertical="center"/>
    </xf>
    <xf numFmtId="0" fontId="1" fillId="5568" borderId="0" xfId="4" applyFill="1" applyAlignment="1">
      <alignment horizontal="left" vertical="center"/>
    </xf>
    <xf numFmtId="0" fontId="1" fillId="5569" borderId="0" xfId="4" applyFill="1" applyAlignment="1">
      <alignment horizontal="center" vertical="center"/>
    </xf>
    <xf numFmtId="0" fontId="1" fillId="5570" borderId="0" xfId="4" applyFill="1" applyAlignment="1">
      <alignment horizontal="center" vertical="center"/>
    </xf>
    <xf numFmtId="0" fontId="1" fillId="5571" borderId="0" xfId="4" applyFill="1" applyAlignment="1">
      <alignment horizontal="center" vertical="center"/>
    </xf>
    <xf numFmtId="0" fontId="1" fillId="5572" borderId="0" xfId="4" applyFill="1" applyAlignment="1">
      <alignment horizontal="center" vertical="center"/>
    </xf>
    <xf numFmtId="0" fontId="1" fillId="5573" borderId="0" xfId="4" applyFill="1" applyAlignment="1">
      <alignment horizontal="center" vertical="center"/>
    </xf>
    <xf numFmtId="0" fontId="1" fillId="5574" borderId="0" xfId="4" applyFill="1" applyAlignment="1">
      <alignment horizontal="center" vertical="center"/>
    </xf>
    <xf numFmtId="0" fontId="1" fillId="5575" borderId="0" xfId="4" applyFill="1" applyAlignment="1">
      <alignment horizontal="center" vertical="center"/>
    </xf>
    <xf numFmtId="0" fontId="1" fillId="5576" borderId="0" xfId="4" applyFill="1" applyAlignment="1">
      <alignment horizontal="center" vertical="center"/>
    </xf>
    <xf numFmtId="0" fontId="1" fillId="5577" borderId="0" xfId="4" applyFill="1" applyAlignment="1">
      <alignment horizontal="center" vertical="center"/>
    </xf>
    <xf numFmtId="0" fontId="1" fillId="5578" borderId="0" xfId="4" applyFill="1" applyAlignment="1">
      <alignment horizontal="center" vertical="center"/>
    </xf>
    <xf numFmtId="0" fontId="1" fillId="5579" borderId="0" xfId="4" applyFill="1" applyAlignment="1">
      <alignment horizontal="center" vertical="center"/>
    </xf>
    <xf numFmtId="0" fontId="1" fillId="5580" borderId="0" xfId="4" applyFill="1" applyAlignment="1">
      <alignment horizontal="center" vertical="center"/>
    </xf>
    <xf numFmtId="0" fontId="1" fillId="5581" borderId="0" xfId="4" applyFill="1" applyAlignment="1">
      <alignment horizontal="center" vertical="center"/>
    </xf>
    <xf numFmtId="0" fontId="1" fillId="5582" borderId="0" xfId="4" applyFill="1" applyAlignment="1">
      <alignment horizontal="center" vertical="center"/>
    </xf>
    <xf numFmtId="0" fontId="1" fillId="5583" borderId="0" xfId="4" applyFill="1" applyAlignment="1">
      <alignment horizontal="center" vertical="center"/>
    </xf>
    <xf numFmtId="0" fontId="1" fillId="5584" borderId="0" xfId="4" applyFill="1" applyAlignment="1">
      <alignment horizontal="center" vertical="center"/>
    </xf>
    <xf numFmtId="0" fontId="1" fillId="5585" borderId="0" xfId="4" applyFill="1" applyAlignment="1">
      <alignment horizontal="center" vertical="center"/>
    </xf>
    <xf numFmtId="0" fontId="1" fillId="5586" borderId="0" xfId="4" applyFill="1" applyAlignment="1">
      <alignment horizontal="center" vertical="center"/>
    </xf>
    <xf numFmtId="0" fontId="1" fillId="5587" borderId="0" xfId="4" applyFill="1" applyAlignment="1">
      <alignment horizontal="center" vertical="center"/>
    </xf>
    <xf numFmtId="0" fontId="1" fillId="5588" borderId="0" xfId="4" applyFill="1" applyAlignment="1">
      <alignment horizontal="center" vertical="center"/>
    </xf>
    <xf numFmtId="0" fontId="1" fillId="5589" borderId="0" xfId="4" applyFill="1" applyAlignment="1">
      <alignment horizontal="center" vertical="center"/>
    </xf>
    <xf numFmtId="0" fontId="1" fillId="5590" borderId="0" xfId="4" applyFill="1" applyAlignment="1">
      <alignment horizontal="center" vertical="center"/>
    </xf>
    <xf numFmtId="0" fontId="1" fillId="5591" borderId="0" xfId="4" applyFill="1" applyAlignment="1">
      <alignment horizontal="center" vertical="center"/>
    </xf>
    <xf numFmtId="0" fontId="1" fillId="5592" borderId="0" xfId="4" applyFill="1" applyAlignment="1">
      <alignment horizontal="center" vertical="center"/>
    </xf>
    <xf numFmtId="0" fontId="1" fillId="5593" borderId="0" xfId="4" applyFill="1" applyAlignment="1">
      <alignment horizontal="center" vertical="center"/>
    </xf>
    <xf numFmtId="0" fontId="1" fillId="5594" borderId="0" xfId="4" applyFill="1" applyAlignment="1">
      <alignment horizontal="center" vertical="center"/>
    </xf>
    <xf numFmtId="0" fontId="1" fillId="5595" borderId="0" xfId="4" applyFill="1" applyAlignment="1">
      <alignment horizontal="center" vertical="center"/>
    </xf>
    <xf numFmtId="0" fontId="1" fillId="5596" borderId="0" xfId="4" applyFill="1" applyAlignment="1">
      <alignment horizontal="center" vertical="center"/>
    </xf>
    <xf numFmtId="0" fontId="1" fillId="5597" borderId="0" xfId="4" applyFill="1" applyAlignment="1">
      <alignment horizontal="center" vertical="center"/>
    </xf>
    <xf numFmtId="0" fontId="1" fillId="5598" borderId="0" xfId="4" applyFill="1" applyAlignment="1">
      <alignment horizontal="center" vertical="center"/>
    </xf>
    <xf numFmtId="0" fontId="1" fillId="5599" borderId="0" xfId="4" applyFill="1" applyAlignment="1">
      <alignment horizontal="center" vertical="center"/>
    </xf>
    <xf numFmtId="0" fontId="1" fillId="5600" borderId="0" xfId="4" applyFill="1" applyAlignment="1">
      <alignment horizontal="center" vertical="center"/>
    </xf>
    <xf numFmtId="0" fontId="1" fillId="5601" borderId="0" xfId="4" applyFill="1" applyAlignment="1">
      <alignment horizontal="center" vertical="center"/>
    </xf>
    <xf numFmtId="0" fontId="1" fillId="5602" borderId="0" xfId="4" applyFill="1" applyAlignment="1">
      <alignment horizontal="center" vertical="center"/>
    </xf>
    <xf numFmtId="0" fontId="1" fillId="5603" borderId="0" xfId="4" applyFill="1" applyAlignment="1">
      <alignment horizontal="center" vertical="center"/>
    </xf>
    <xf numFmtId="0" fontId="1" fillId="5604" borderId="0" xfId="4" applyFill="1" applyAlignment="1">
      <alignment horizontal="left" vertical="center"/>
    </xf>
    <xf numFmtId="0" fontId="1" fillId="5605" borderId="0" xfId="4" applyFill="1" applyAlignment="1">
      <alignment horizontal="center" vertical="center"/>
    </xf>
    <xf numFmtId="0" fontId="1" fillId="5606" borderId="0" xfId="4" applyFill="1" applyAlignment="1">
      <alignment horizontal="center" vertical="center"/>
    </xf>
    <xf numFmtId="0" fontId="1" fillId="5607" borderId="0" xfId="4" applyFill="1" applyAlignment="1">
      <alignment horizontal="center" vertical="center"/>
    </xf>
    <xf numFmtId="0" fontId="1" fillId="5608" borderId="0" xfId="4" applyFill="1" applyAlignment="1">
      <alignment horizontal="center" vertical="center"/>
    </xf>
    <xf numFmtId="0" fontId="1" fillId="5609" borderId="0" xfId="4" applyFill="1" applyAlignment="1">
      <alignment horizontal="center" vertical="center"/>
    </xf>
    <xf numFmtId="0" fontId="1" fillId="5610" borderId="0" xfId="4" applyFill="1" applyAlignment="1">
      <alignment horizontal="center" vertical="center"/>
    </xf>
    <xf numFmtId="0" fontId="1" fillId="5611" borderId="0" xfId="4" applyFill="1" applyAlignment="1">
      <alignment horizontal="center" vertical="center"/>
    </xf>
    <xf numFmtId="0" fontId="1" fillId="5612" borderId="0" xfId="4" applyFill="1" applyAlignment="1">
      <alignment horizontal="center" vertical="center"/>
    </xf>
    <xf numFmtId="0" fontId="1" fillId="5613" borderId="0" xfId="4" applyFill="1" applyAlignment="1">
      <alignment horizontal="center" vertical="center"/>
    </xf>
    <xf numFmtId="0" fontId="1" fillId="5614" borderId="0" xfId="4" applyFill="1" applyAlignment="1">
      <alignment horizontal="center" vertical="center"/>
    </xf>
    <xf numFmtId="0" fontId="1" fillId="5615" borderId="0" xfId="4" applyFill="1" applyAlignment="1">
      <alignment horizontal="center" vertical="center"/>
    </xf>
    <xf numFmtId="0" fontId="1" fillId="5616" borderId="0" xfId="4" applyFill="1" applyAlignment="1">
      <alignment horizontal="center" vertical="center"/>
    </xf>
    <xf numFmtId="0" fontId="1" fillId="5617" borderId="0" xfId="4" applyFill="1" applyAlignment="1">
      <alignment horizontal="center" vertical="center"/>
    </xf>
    <xf numFmtId="0" fontId="1" fillId="5618" borderId="0" xfId="4" applyFill="1" applyAlignment="1">
      <alignment horizontal="center" vertical="center"/>
    </xf>
    <xf numFmtId="0" fontId="1" fillId="5619" borderId="0" xfId="4" applyFill="1" applyAlignment="1">
      <alignment horizontal="center" vertical="center"/>
    </xf>
    <xf numFmtId="0" fontId="1" fillId="5620" borderId="0" xfId="4" applyFill="1" applyAlignment="1">
      <alignment horizontal="center" vertical="center"/>
    </xf>
    <xf numFmtId="0" fontId="1" fillId="5621" borderId="0" xfId="4" applyFill="1" applyAlignment="1">
      <alignment horizontal="center" vertical="center"/>
    </xf>
    <xf numFmtId="0" fontId="1" fillId="5622" borderId="0" xfId="4" applyFill="1" applyAlignment="1">
      <alignment horizontal="center" vertical="center"/>
    </xf>
    <xf numFmtId="0" fontId="1" fillId="5623" borderId="0" xfId="4" applyFill="1" applyAlignment="1">
      <alignment horizontal="center" vertical="center"/>
    </xf>
    <xf numFmtId="0" fontId="1" fillId="5624" borderId="0" xfId="4" applyFill="1" applyAlignment="1">
      <alignment horizontal="center" vertical="center"/>
    </xf>
    <xf numFmtId="0" fontId="1" fillId="5625" borderId="0" xfId="4" applyFill="1" applyAlignment="1">
      <alignment horizontal="center" vertical="center"/>
    </xf>
    <xf numFmtId="0" fontId="1" fillId="5626" borderId="0" xfId="4" applyFill="1" applyAlignment="1">
      <alignment horizontal="center" vertical="center"/>
    </xf>
    <xf numFmtId="0" fontId="1" fillId="5627" borderId="0" xfId="4" applyFill="1" applyAlignment="1">
      <alignment horizontal="center" vertical="center"/>
    </xf>
    <xf numFmtId="0" fontId="1" fillId="5628" borderId="0" xfId="4" applyFill="1" applyAlignment="1">
      <alignment horizontal="center" vertical="center"/>
    </xf>
    <xf numFmtId="0" fontId="1" fillId="5629" borderId="0" xfId="4" applyFill="1" applyAlignment="1">
      <alignment horizontal="center" vertical="center"/>
    </xf>
    <xf numFmtId="0" fontId="1" fillId="5630" borderId="0" xfId="4" applyFill="1" applyAlignment="1">
      <alignment horizontal="center" vertical="center"/>
    </xf>
    <xf numFmtId="0" fontId="1" fillId="5631" borderId="0" xfId="4" applyFill="1" applyAlignment="1">
      <alignment horizontal="center" vertical="center"/>
    </xf>
    <xf numFmtId="0" fontId="1" fillId="5632" borderId="0" xfId="4" applyFill="1" applyAlignment="1">
      <alignment horizontal="center" vertical="center"/>
    </xf>
    <xf numFmtId="0" fontId="1" fillId="5633" borderId="0" xfId="4" applyFill="1" applyAlignment="1">
      <alignment horizontal="center" vertical="center"/>
    </xf>
    <xf numFmtId="0" fontId="1" fillId="5634" borderId="0" xfId="4" applyFill="1" applyAlignment="1">
      <alignment horizontal="center" vertical="center"/>
    </xf>
    <xf numFmtId="0" fontId="1" fillId="1003" borderId="0" xfId="4" applyFill="1" applyAlignment="1">
      <alignment horizontal="center" vertical="center"/>
    </xf>
    <xf numFmtId="0" fontId="1" fillId="5635" borderId="0" xfId="4" applyFill="1" applyAlignment="1">
      <alignment horizontal="left" vertical="center"/>
    </xf>
    <xf numFmtId="0" fontId="1" fillId="5636" borderId="0" xfId="4" applyFill="1" applyAlignment="1">
      <alignment horizontal="center" vertical="center"/>
    </xf>
    <xf numFmtId="0" fontId="1" fillId="5637" borderId="0" xfId="4" applyFill="1" applyAlignment="1">
      <alignment horizontal="center" vertical="center"/>
    </xf>
    <xf numFmtId="0" fontId="1" fillId="5638" borderId="0" xfId="4" applyFill="1" applyAlignment="1">
      <alignment horizontal="center" vertical="center"/>
    </xf>
    <xf numFmtId="0" fontId="1" fillId="5639" borderId="0" xfId="4" applyFill="1" applyAlignment="1">
      <alignment horizontal="center" vertical="center"/>
    </xf>
    <xf numFmtId="0" fontId="1" fillId="5640" borderId="0" xfId="4" applyFill="1" applyAlignment="1">
      <alignment horizontal="center" vertical="center"/>
    </xf>
    <xf numFmtId="0" fontId="1" fillId="5641" borderId="0" xfId="4" applyFill="1" applyAlignment="1">
      <alignment horizontal="center" vertical="center"/>
    </xf>
    <xf numFmtId="0" fontId="1" fillId="5642" borderId="0" xfId="4" applyFill="1" applyAlignment="1">
      <alignment horizontal="center" vertical="center"/>
    </xf>
    <xf numFmtId="0" fontId="1" fillId="5643" borderId="0" xfId="4" applyFill="1" applyAlignment="1">
      <alignment horizontal="center" vertical="center"/>
    </xf>
    <xf numFmtId="0" fontId="1" fillId="5644" borderId="0" xfId="4" applyFill="1" applyAlignment="1">
      <alignment horizontal="center" vertical="center"/>
    </xf>
    <xf numFmtId="0" fontId="1" fillId="5645" borderId="0" xfId="4" applyFill="1" applyAlignment="1">
      <alignment horizontal="center" vertical="center"/>
    </xf>
    <xf numFmtId="0" fontId="1" fillId="5646" borderId="0" xfId="4" applyFill="1" applyAlignment="1">
      <alignment horizontal="center" vertical="center"/>
    </xf>
    <xf numFmtId="0" fontId="1" fillId="5647" borderId="0" xfId="4" applyFill="1" applyAlignment="1">
      <alignment horizontal="center" vertical="center"/>
    </xf>
    <xf numFmtId="0" fontId="1" fillId="5648" borderId="0" xfId="4" applyFill="1" applyAlignment="1">
      <alignment horizontal="center" vertical="center"/>
    </xf>
    <xf numFmtId="0" fontId="1" fillId="5649" borderId="0" xfId="4" applyFill="1" applyAlignment="1">
      <alignment horizontal="center" vertical="center"/>
    </xf>
    <xf numFmtId="0" fontId="1" fillId="5650" borderId="0" xfId="4" applyFill="1" applyAlignment="1">
      <alignment horizontal="center" vertical="center"/>
    </xf>
    <xf numFmtId="0" fontId="1" fillId="5651" borderId="0" xfId="4" applyFill="1" applyAlignment="1">
      <alignment horizontal="center" vertical="center"/>
    </xf>
    <xf numFmtId="0" fontId="1" fillId="5652" borderId="0" xfId="4" applyFill="1" applyAlignment="1">
      <alignment horizontal="center" vertical="center"/>
    </xf>
    <xf numFmtId="0" fontId="1" fillId="5653" borderId="0" xfId="4" applyFill="1" applyAlignment="1">
      <alignment horizontal="left" vertical="center"/>
    </xf>
    <xf numFmtId="0" fontId="1" fillId="5654" borderId="0" xfId="4" applyFill="1" applyAlignment="1">
      <alignment horizontal="center" vertical="center"/>
    </xf>
    <xf numFmtId="0" fontId="1" fillId="5655" borderId="0" xfId="4" applyFill="1" applyAlignment="1">
      <alignment horizontal="center" vertical="center"/>
    </xf>
    <xf numFmtId="0" fontId="1" fillId="5656" borderId="0" xfId="4" applyFill="1" applyAlignment="1">
      <alignment horizontal="left" vertical="center"/>
    </xf>
    <xf numFmtId="0" fontId="1" fillId="5657" borderId="0" xfId="4" applyFill="1" applyAlignment="1">
      <alignment horizontal="center" vertical="center"/>
    </xf>
    <xf numFmtId="0" fontId="1" fillId="5658" borderId="0" xfId="4" applyFill="1" applyAlignment="1">
      <alignment horizontal="center" vertical="center"/>
    </xf>
    <xf numFmtId="0" fontId="1" fillId="5659" borderId="0" xfId="4" applyFill="1" applyAlignment="1">
      <alignment horizontal="center" vertical="center"/>
    </xf>
    <xf numFmtId="0" fontId="1" fillId="5660" borderId="0" xfId="4" applyFill="1" applyAlignment="1">
      <alignment horizontal="center" vertical="center"/>
    </xf>
    <xf numFmtId="0" fontId="1" fillId="5661" borderId="0" xfId="4" applyFill="1" applyAlignment="1">
      <alignment horizontal="center" vertical="center"/>
    </xf>
    <xf numFmtId="0" fontId="1" fillId="5662" borderId="0" xfId="4" applyFill="1" applyAlignment="1">
      <alignment horizontal="center" vertical="center"/>
    </xf>
    <xf numFmtId="0" fontId="1" fillId="5663" borderId="0" xfId="4" applyFill="1" applyAlignment="1">
      <alignment horizontal="center" vertical="center"/>
    </xf>
    <xf numFmtId="0" fontId="1" fillId="5664" borderId="0" xfId="4" applyFill="1" applyAlignment="1">
      <alignment horizontal="center" vertical="center"/>
    </xf>
    <xf numFmtId="0" fontId="1" fillId="5665" borderId="0" xfId="4" applyFill="1" applyAlignment="1">
      <alignment horizontal="center" vertical="center"/>
    </xf>
    <xf numFmtId="0" fontId="1" fillId="5666" borderId="0" xfId="4" applyFill="1" applyAlignment="1">
      <alignment horizontal="center" vertical="center"/>
    </xf>
    <xf numFmtId="0" fontId="1" fillId="5667" borderId="0" xfId="4" applyFill="1" applyAlignment="1">
      <alignment horizontal="center" vertical="center"/>
    </xf>
    <xf numFmtId="0" fontId="1" fillId="5668" borderId="0" xfId="4" applyFill="1" applyAlignment="1">
      <alignment horizontal="center" vertical="center"/>
    </xf>
    <xf numFmtId="0" fontId="1" fillId="321" borderId="0" xfId="4" applyFill="1" applyAlignment="1">
      <alignment horizontal="center" vertical="center"/>
    </xf>
    <xf numFmtId="0" fontId="1" fillId="5669" borderId="0" xfId="4" applyFill="1" applyAlignment="1">
      <alignment horizontal="center" vertical="center"/>
    </xf>
    <xf numFmtId="0" fontId="1" fillId="5670" borderId="0" xfId="4" applyFill="1" applyAlignment="1">
      <alignment horizontal="center" vertical="center"/>
    </xf>
    <xf numFmtId="0" fontId="1" fillId="5671" borderId="0" xfId="4" applyFill="1" applyAlignment="1">
      <alignment horizontal="center" vertical="center"/>
    </xf>
    <xf numFmtId="0" fontId="1" fillId="5672" borderId="0" xfId="4" applyFill="1" applyAlignment="1">
      <alignment horizontal="center" vertical="center"/>
    </xf>
    <xf numFmtId="0" fontId="1" fillId="5673" borderId="0" xfId="4" applyFill="1" applyAlignment="1">
      <alignment horizontal="center" vertical="center"/>
    </xf>
    <xf numFmtId="0" fontId="1" fillId="5674" borderId="0" xfId="4" applyFill="1" applyAlignment="1">
      <alignment horizontal="center" vertical="center"/>
    </xf>
    <xf numFmtId="0" fontId="1" fillId="5675" borderId="0" xfId="4" applyFill="1" applyAlignment="1">
      <alignment horizontal="center" vertical="center"/>
    </xf>
    <xf numFmtId="0" fontId="1" fillId="5676" borderId="0" xfId="4" applyFill="1" applyAlignment="1">
      <alignment horizontal="center" vertical="center"/>
    </xf>
    <xf numFmtId="0" fontId="1" fillId="5677" borderId="0" xfId="4" applyFill="1" applyAlignment="1">
      <alignment horizontal="center" vertical="center"/>
    </xf>
    <xf numFmtId="0" fontId="1" fillId="5678" borderId="0" xfId="4" applyFill="1" applyAlignment="1">
      <alignment horizontal="center" vertical="center"/>
    </xf>
    <xf numFmtId="0" fontId="1" fillId="5679" borderId="0" xfId="4" applyFill="1" applyAlignment="1">
      <alignment horizontal="center" vertical="center"/>
    </xf>
    <xf numFmtId="0" fontId="1" fillId="5680" borderId="0" xfId="4" applyFill="1" applyAlignment="1">
      <alignment horizontal="center" vertical="center"/>
    </xf>
    <xf numFmtId="0" fontId="1" fillId="5681" borderId="0" xfId="4" applyFill="1" applyAlignment="1">
      <alignment horizontal="center" vertical="center"/>
    </xf>
    <xf numFmtId="0" fontId="1" fillId="5682" borderId="0" xfId="4" applyFill="1" applyAlignment="1">
      <alignment horizontal="center" vertical="center"/>
    </xf>
    <xf numFmtId="0" fontId="1" fillId="5683" borderId="0" xfId="4" applyFill="1" applyAlignment="1">
      <alignment horizontal="center" vertical="center"/>
    </xf>
    <xf numFmtId="0" fontId="1" fillId="5684" borderId="0" xfId="4" applyFill="1" applyAlignment="1">
      <alignment horizontal="center" vertical="center"/>
    </xf>
    <xf numFmtId="0" fontId="1" fillId="5685" borderId="0" xfId="4" applyFill="1" applyAlignment="1">
      <alignment horizontal="center" vertical="center"/>
    </xf>
    <xf numFmtId="0" fontId="1" fillId="5686" borderId="0" xfId="4" applyFill="1" applyAlignment="1">
      <alignment horizontal="center" vertical="center"/>
    </xf>
    <xf numFmtId="0" fontId="1" fillId="5687" borderId="0" xfId="4" applyFill="1" applyAlignment="1">
      <alignment horizontal="center" vertical="center"/>
    </xf>
    <xf numFmtId="0" fontId="1" fillId="5688" borderId="0" xfId="4" applyFill="1" applyAlignment="1">
      <alignment horizontal="center" vertical="center"/>
    </xf>
    <xf numFmtId="0" fontId="1" fillId="5689" borderId="0" xfId="4" applyFill="1" applyAlignment="1">
      <alignment horizontal="center" vertical="center"/>
    </xf>
    <xf numFmtId="0" fontId="1" fillId="5690" borderId="0" xfId="4" applyFill="1" applyAlignment="1">
      <alignment horizontal="center" vertical="center"/>
    </xf>
    <xf numFmtId="0" fontId="1" fillId="5691" borderId="0" xfId="4" applyFill="1" applyAlignment="1">
      <alignment horizontal="left" vertical="center"/>
    </xf>
    <xf numFmtId="0" fontId="1" fillId="5692" borderId="0" xfId="4" applyFill="1" applyAlignment="1">
      <alignment horizontal="center" vertical="center"/>
    </xf>
    <xf numFmtId="0" fontId="1" fillId="5693" borderId="0" xfId="4" applyFill="1" applyAlignment="1">
      <alignment horizontal="center" vertical="center"/>
    </xf>
    <xf numFmtId="0" fontId="1" fillId="5694" borderId="0" xfId="4" applyFill="1" applyAlignment="1">
      <alignment horizontal="center" vertical="center"/>
    </xf>
    <xf numFmtId="0" fontId="1" fillId="5695" borderId="0" xfId="4" applyFill="1" applyAlignment="1">
      <alignment horizontal="center" vertical="center"/>
    </xf>
    <xf numFmtId="0" fontId="1" fillId="5696" borderId="0" xfId="4" applyFill="1" applyAlignment="1">
      <alignment horizontal="center" vertical="center"/>
    </xf>
    <xf numFmtId="0" fontId="1" fillId="5697" borderId="0" xfId="4" applyFill="1" applyAlignment="1">
      <alignment horizontal="center" vertical="center"/>
    </xf>
    <xf numFmtId="0" fontId="1" fillId="5698" borderId="0" xfId="4" applyFill="1" applyAlignment="1">
      <alignment horizontal="center" vertical="center"/>
    </xf>
    <xf numFmtId="0" fontId="1" fillId="5699" borderId="0" xfId="4" applyFill="1" applyAlignment="1">
      <alignment horizontal="center" vertical="center"/>
    </xf>
    <xf numFmtId="0" fontId="1" fillId="5700" borderId="0" xfId="4" applyFill="1" applyAlignment="1">
      <alignment horizontal="center" vertical="center"/>
    </xf>
    <xf numFmtId="0" fontId="1" fillId="5701" borderId="0" xfId="4" applyFill="1" applyAlignment="1">
      <alignment horizontal="center" vertical="center"/>
    </xf>
    <xf numFmtId="0" fontId="1" fillId="5702" borderId="0" xfId="4" applyFill="1" applyAlignment="1">
      <alignment horizontal="center" vertical="center"/>
    </xf>
    <xf numFmtId="0" fontId="1" fillId="5703" borderId="0" xfId="4" applyFill="1" applyAlignment="1">
      <alignment horizontal="center" vertical="center"/>
    </xf>
    <xf numFmtId="0" fontId="1" fillId="5704" borderId="0" xfId="4" applyFill="1" applyAlignment="1">
      <alignment horizontal="center" vertical="center"/>
    </xf>
    <xf numFmtId="0" fontId="1" fillId="5705" borderId="0" xfId="4" applyFill="1" applyAlignment="1">
      <alignment horizontal="center" vertical="center"/>
    </xf>
    <xf numFmtId="0" fontId="1" fillId="5706" borderId="0" xfId="4" applyFill="1" applyAlignment="1">
      <alignment horizontal="center" vertical="center"/>
    </xf>
    <xf numFmtId="0" fontId="1" fillId="5707" borderId="0" xfId="4" applyFill="1" applyAlignment="1">
      <alignment horizontal="center" vertical="center"/>
    </xf>
    <xf numFmtId="0" fontId="1" fillId="5708" borderId="0" xfId="4" applyFill="1" applyAlignment="1">
      <alignment horizontal="center" vertical="center"/>
    </xf>
    <xf numFmtId="0" fontId="1" fillId="5709" borderId="0" xfId="4" applyFill="1" applyAlignment="1">
      <alignment horizontal="center" vertical="center"/>
    </xf>
    <xf numFmtId="0" fontId="1" fillId="5710" borderId="0" xfId="4" applyFill="1" applyAlignment="1">
      <alignment horizontal="center" vertical="center"/>
    </xf>
    <xf numFmtId="0" fontId="1" fillId="5711" borderId="0" xfId="4" applyFill="1" applyAlignment="1">
      <alignment horizontal="center" vertical="center"/>
    </xf>
    <xf numFmtId="0" fontId="1" fillId="5712" borderId="0" xfId="4" applyFill="1" applyAlignment="1">
      <alignment horizontal="center" vertical="center"/>
    </xf>
    <xf numFmtId="0" fontId="1" fillId="5713" borderId="0" xfId="4" applyFill="1" applyAlignment="1">
      <alignment horizontal="center" vertical="center"/>
    </xf>
    <xf numFmtId="0" fontId="1" fillId="5714" borderId="0" xfId="4" applyFill="1" applyAlignment="1">
      <alignment horizontal="center" vertical="center"/>
    </xf>
    <xf numFmtId="0" fontId="1" fillId="5715" borderId="0" xfId="4" applyFill="1" applyAlignment="1">
      <alignment horizontal="center" vertical="center"/>
    </xf>
    <xf numFmtId="0" fontId="1" fillId="5716" borderId="0" xfId="4" applyFill="1" applyAlignment="1">
      <alignment horizontal="center" vertical="center"/>
    </xf>
    <xf numFmtId="0" fontId="1" fillId="5717" borderId="0" xfId="4" applyFill="1" applyAlignment="1">
      <alignment horizontal="center" vertical="center"/>
    </xf>
    <xf numFmtId="0" fontId="1" fillId="5718" borderId="0" xfId="4" applyFill="1" applyAlignment="1">
      <alignment horizontal="center" vertical="center"/>
    </xf>
    <xf numFmtId="0" fontId="1" fillId="5719" borderId="0" xfId="4" applyFill="1" applyAlignment="1">
      <alignment horizontal="center" vertical="center"/>
    </xf>
    <xf numFmtId="0" fontId="1" fillId="5720" borderId="0" xfId="4" applyFill="1" applyAlignment="1">
      <alignment horizontal="center" vertical="center"/>
    </xf>
    <xf numFmtId="0" fontId="1" fillId="5721" borderId="0" xfId="4" applyFill="1" applyAlignment="1">
      <alignment horizontal="center" vertical="center"/>
    </xf>
    <xf numFmtId="0" fontId="1" fillId="936" borderId="0" xfId="4" applyFill="1" applyAlignment="1">
      <alignment horizontal="center" vertical="center"/>
    </xf>
    <xf numFmtId="0" fontId="1" fillId="5722" borderId="0" xfId="4" applyFill="1" applyAlignment="1">
      <alignment horizontal="left" vertical="center"/>
    </xf>
    <xf numFmtId="0" fontId="1" fillId="5723" borderId="0" xfId="4" applyFill="1" applyAlignment="1">
      <alignment horizontal="center" vertical="center"/>
    </xf>
    <xf numFmtId="0" fontId="1" fillId="5724" borderId="0" xfId="4" applyFill="1" applyAlignment="1">
      <alignment horizontal="center" vertical="center"/>
    </xf>
    <xf numFmtId="0" fontId="1" fillId="5725" borderId="0" xfId="4" applyFill="1" applyAlignment="1">
      <alignment horizontal="center" vertical="center"/>
    </xf>
    <xf numFmtId="0" fontId="1" fillId="5726" borderId="0" xfId="4" applyFill="1" applyAlignment="1">
      <alignment horizontal="center" vertical="center"/>
    </xf>
    <xf numFmtId="0" fontId="1" fillId="5727" borderId="0" xfId="4" applyFill="1" applyAlignment="1">
      <alignment horizontal="center" vertical="center"/>
    </xf>
    <xf numFmtId="0" fontId="1" fillId="5728" borderId="0" xfId="4" applyFill="1" applyAlignment="1">
      <alignment horizontal="center" vertical="center"/>
    </xf>
    <xf numFmtId="0" fontId="1" fillId="5729" borderId="0" xfId="4" applyFill="1" applyAlignment="1">
      <alignment horizontal="center" vertical="center"/>
    </xf>
    <xf numFmtId="0" fontId="1" fillId="5730" borderId="0" xfId="4" applyFill="1" applyAlignment="1">
      <alignment horizontal="center" vertical="center"/>
    </xf>
    <xf numFmtId="0" fontId="1" fillId="5731" borderId="0" xfId="4" applyFill="1" applyAlignment="1">
      <alignment horizontal="center" vertical="center"/>
    </xf>
    <xf numFmtId="0" fontId="1" fillId="5732" borderId="0" xfId="4" applyFill="1" applyAlignment="1">
      <alignment horizontal="center" vertical="center"/>
    </xf>
    <xf numFmtId="0" fontId="1" fillId="5733" borderId="0" xfId="4" applyFill="1" applyAlignment="1">
      <alignment horizontal="center" vertical="center"/>
    </xf>
    <xf numFmtId="0" fontId="1" fillId="5734" borderId="0" xfId="4" applyFill="1" applyAlignment="1">
      <alignment horizontal="center" vertical="center"/>
    </xf>
    <xf numFmtId="0" fontId="1" fillId="5735" borderId="0" xfId="4" applyFill="1" applyAlignment="1">
      <alignment horizontal="center" vertical="center"/>
    </xf>
    <xf numFmtId="0" fontId="1" fillId="5736" borderId="0" xfId="4" applyFill="1" applyAlignment="1">
      <alignment horizontal="center" vertical="center"/>
    </xf>
    <xf numFmtId="0" fontId="1" fillId="5737" borderId="0" xfId="4" applyFill="1" applyAlignment="1">
      <alignment horizontal="center" vertical="center"/>
    </xf>
    <xf numFmtId="0" fontId="1" fillId="5738" borderId="0" xfId="4" applyFill="1" applyAlignment="1">
      <alignment horizontal="center" vertical="center"/>
    </xf>
    <xf numFmtId="0" fontId="1" fillId="5739" borderId="0" xfId="4" applyFill="1" applyAlignment="1">
      <alignment horizontal="center" vertical="center"/>
    </xf>
    <xf numFmtId="0" fontId="1" fillId="5740" borderId="0" xfId="4" applyFill="1" applyAlignment="1">
      <alignment horizontal="center" vertical="center"/>
    </xf>
    <xf numFmtId="0" fontId="1" fillId="5741" borderId="0" xfId="4" applyFill="1" applyAlignment="1">
      <alignment horizontal="left" vertical="center"/>
    </xf>
    <xf numFmtId="0" fontId="1" fillId="5742" borderId="0" xfId="4" applyFill="1" applyAlignment="1">
      <alignment horizontal="center" vertical="center"/>
    </xf>
    <xf numFmtId="0" fontId="1" fillId="5743" borderId="0" xfId="4" applyFill="1" applyAlignment="1">
      <alignment horizontal="left" vertical="center"/>
    </xf>
    <xf numFmtId="0" fontId="1" fillId="5744" borderId="0" xfId="4" applyFill="1" applyAlignment="1">
      <alignment horizontal="center" vertical="center"/>
    </xf>
    <xf numFmtId="0" fontId="1" fillId="5745" borderId="0" xfId="4" applyFill="1" applyAlignment="1">
      <alignment horizontal="center" vertical="center"/>
    </xf>
    <xf numFmtId="0" fontId="1" fillId="1152" borderId="0" xfId="4" applyFill="1" applyAlignment="1">
      <alignment horizontal="center" vertical="center"/>
    </xf>
    <xf numFmtId="0" fontId="1" fillId="5746" borderId="0" xfId="4" applyFill="1" applyAlignment="1">
      <alignment horizontal="center" vertical="center"/>
    </xf>
    <xf numFmtId="0" fontId="1" fillId="5747" borderId="0" xfId="4" applyFill="1" applyAlignment="1">
      <alignment horizontal="center" vertical="center"/>
    </xf>
    <xf numFmtId="0" fontId="1" fillId="5748" borderId="0" xfId="4" applyFill="1" applyAlignment="1">
      <alignment horizontal="center" vertical="center"/>
    </xf>
    <xf numFmtId="0" fontId="1" fillId="5749" borderId="0" xfId="4" applyFill="1" applyAlignment="1">
      <alignment horizontal="center" vertical="center"/>
    </xf>
    <xf numFmtId="0" fontId="1" fillId="5750" borderId="0" xfId="4" applyFill="1" applyAlignment="1">
      <alignment horizontal="center" vertical="center"/>
    </xf>
    <xf numFmtId="0" fontId="1" fillId="5751" borderId="0" xfId="4" applyFill="1" applyAlignment="1">
      <alignment horizontal="center" vertical="center"/>
    </xf>
    <xf numFmtId="0" fontId="1" fillId="1248" borderId="0" xfId="4" applyFill="1" applyAlignment="1">
      <alignment horizontal="center" vertical="center"/>
    </xf>
    <xf numFmtId="0" fontId="1" fillId="5752" borderId="0" xfId="4" applyFill="1" applyAlignment="1">
      <alignment horizontal="center" vertical="center"/>
    </xf>
    <xf numFmtId="0" fontId="1" fillId="5753" borderId="0" xfId="4" applyFill="1" applyAlignment="1">
      <alignment horizontal="center" vertical="center"/>
    </xf>
    <xf numFmtId="0" fontId="1" fillId="5754" borderId="0" xfId="4" applyFill="1" applyAlignment="1">
      <alignment horizontal="center" vertical="center"/>
    </xf>
    <xf numFmtId="0" fontId="1" fillId="5755" borderId="0" xfId="4" applyFill="1" applyAlignment="1">
      <alignment horizontal="center" vertical="center"/>
    </xf>
    <xf numFmtId="0" fontId="1" fillId="5756" borderId="0" xfId="4" applyFill="1" applyAlignment="1">
      <alignment horizontal="center" vertical="center"/>
    </xf>
    <xf numFmtId="0" fontId="1" fillId="5757" borderId="0" xfId="4" applyFill="1" applyAlignment="1">
      <alignment horizontal="center" vertical="center"/>
    </xf>
    <xf numFmtId="0" fontId="1" fillId="5758" borderId="0" xfId="4" applyFill="1" applyAlignment="1">
      <alignment horizontal="center" vertical="center"/>
    </xf>
    <xf numFmtId="0" fontId="1" fillId="5759" borderId="0" xfId="4" applyFill="1" applyAlignment="1">
      <alignment horizontal="center" vertical="center"/>
    </xf>
    <xf numFmtId="0" fontId="1" fillId="5760" borderId="0" xfId="4" applyFill="1" applyAlignment="1">
      <alignment horizontal="center" vertical="center"/>
    </xf>
    <xf numFmtId="0" fontId="1" fillId="5761" borderId="0" xfId="4" applyFill="1" applyAlignment="1">
      <alignment horizontal="center" vertical="center"/>
    </xf>
    <xf numFmtId="0" fontId="1" fillId="5762" borderId="0" xfId="4" applyFill="1" applyAlignment="1">
      <alignment horizontal="center" vertical="center"/>
    </xf>
    <xf numFmtId="0" fontId="1" fillId="5763" borderId="0" xfId="4" applyFill="1" applyAlignment="1">
      <alignment horizontal="center" vertical="center"/>
    </xf>
    <xf numFmtId="0" fontId="1" fillId="5764" borderId="0" xfId="4" applyFill="1" applyAlignment="1">
      <alignment horizontal="center" vertical="center"/>
    </xf>
    <xf numFmtId="0" fontId="1" fillId="5765" borderId="0" xfId="4" applyFill="1" applyAlignment="1">
      <alignment horizontal="center" vertical="center"/>
    </xf>
    <xf numFmtId="0" fontId="1" fillId="5766" borderId="0" xfId="4" applyFill="1" applyAlignment="1">
      <alignment horizontal="center" vertical="center"/>
    </xf>
    <xf numFmtId="0" fontId="1" fillId="5767" borderId="0" xfId="4" applyFill="1" applyAlignment="1">
      <alignment horizontal="center" vertical="center"/>
    </xf>
    <xf numFmtId="0" fontId="1" fillId="5768" borderId="0" xfId="4" applyFill="1" applyAlignment="1">
      <alignment horizontal="center" vertical="center"/>
    </xf>
    <xf numFmtId="0" fontId="1" fillId="5769" borderId="0" xfId="4" applyFill="1" applyAlignment="1">
      <alignment horizontal="center" vertical="center"/>
    </xf>
    <xf numFmtId="0" fontId="1" fillId="5770" borderId="0" xfId="4" applyFill="1" applyAlignment="1">
      <alignment horizontal="center" vertical="center"/>
    </xf>
    <xf numFmtId="0" fontId="1" fillId="5771" borderId="0" xfId="4" applyFill="1" applyAlignment="1">
      <alignment horizontal="center" vertical="center"/>
    </xf>
    <xf numFmtId="0" fontId="1" fillId="5772" borderId="0" xfId="4" applyFill="1" applyAlignment="1">
      <alignment horizontal="center" vertical="center"/>
    </xf>
    <xf numFmtId="0" fontId="1" fillId="5773" borderId="0" xfId="4" applyFill="1" applyAlignment="1">
      <alignment horizontal="center" vertical="center"/>
    </xf>
    <xf numFmtId="0" fontId="1" fillId="5774" borderId="0" xfId="4" applyFill="1" applyAlignment="1">
      <alignment horizontal="center" vertical="center"/>
    </xf>
    <xf numFmtId="0" fontId="1" fillId="5775" borderId="0" xfId="4" applyFill="1" applyAlignment="1">
      <alignment horizontal="center" vertical="center"/>
    </xf>
    <xf numFmtId="0" fontId="1" fillId="5776" borderId="0" xfId="4" applyFill="1" applyAlignment="1">
      <alignment horizontal="center" vertical="center"/>
    </xf>
    <xf numFmtId="0" fontId="1" fillId="5777" borderId="0" xfId="4" applyFill="1" applyAlignment="1">
      <alignment horizontal="center" vertical="center"/>
    </xf>
    <xf numFmtId="0" fontId="1" fillId="5778" borderId="0" xfId="4" applyFill="1" applyAlignment="1">
      <alignment horizontal="left" vertical="center"/>
    </xf>
    <xf numFmtId="0" fontId="1" fillId="5779" borderId="0" xfId="4" applyFill="1" applyAlignment="1">
      <alignment horizontal="center" vertical="center"/>
    </xf>
    <xf numFmtId="0" fontId="1" fillId="5780" borderId="0" xfId="4" applyFill="1" applyAlignment="1">
      <alignment horizontal="center" vertical="center"/>
    </xf>
    <xf numFmtId="0" fontId="1" fillId="5781" borderId="0" xfId="4" applyFill="1" applyAlignment="1">
      <alignment horizontal="center" vertical="center"/>
    </xf>
    <xf numFmtId="0" fontId="1" fillId="5782" borderId="0" xfId="4" applyFill="1" applyAlignment="1">
      <alignment horizontal="center" vertical="center"/>
    </xf>
    <xf numFmtId="0" fontId="1" fillId="5783" borderId="0" xfId="4" applyFill="1" applyAlignment="1">
      <alignment horizontal="center" vertical="center"/>
    </xf>
    <xf numFmtId="0" fontId="1" fillId="5784" borderId="0" xfId="4" applyFill="1" applyAlignment="1">
      <alignment horizontal="center" vertical="center"/>
    </xf>
    <xf numFmtId="0" fontId="1" fillId="5785" borderId="0" xfId="4" applyFill="1" applyAlignment="1">
      <alignment horizontal="center" vertical="center"/>
    </xf>
    <xf numFmtId="0" fontId="1" fillId="5786" borderId="0" xfId="4" applyFill="1" applyAlignment="1">
      <alignment horizontal="center" vertical="center"/>
    </xf>
    <xf numFmtId="0" fontId="1" fillId="5787" borderId="0" xfId="4" applyFill="1" applyAlignment="1">
      <alignment horizontal="center" vertical="center"/>
    </xf>
    <xf numFmtId="0" fontId="1" fillId="5788" borderId="0" xfId="4" applyFill="1" applyAlignment="1">
      <alignment horizontal="center" vertical="center"/>
    </xf>
    <xf numFmtId="0" fontId="1" fillId="5789" borderId="0" xfId="4" applyFill="1" applyAlignment="1">
      <alignment horizontal="center" vertical="center"/>
    </xf>
    <xf numFmtId="0" fontId="1" fillId="5790" borderId="0" xfId="4" applyFill="1" applyAlignment="1">
      <alignment horizontal="center" vertical="center"/>
    </xf>
    <xf numFmtId="0" fontId="1" fillId="5791" borderId="0" xfId="4" applyFill="1" applyAlignment="1">
      <alignment horizontal="center" vertical="center"/>
    </xf>
    <xf numFmtId="0" fontId="1" fillId="5792" borderId="0" xfId="4" applyFill="1" applyAlignment="1">
      <alignment horizontal="center" vertical="center"/>
    </xf>
    <xf numFmtId="0" fontId="1" fillId="5793" borderId="0" xfId="4" applyFill="1" applyAlignment="1">
      <alignment horizontal="center" vertical="center"/>
    </xf>
    <xf numFmtId="0" fontId="1" fillId="5794" borderId="0" xfId="4" applyFill="1" applyAlignment="1">
      <alignment horizontal="center" vertical="center"/>
    </xf>
    <xf numFmtId="0" fontId="1" fillId="5795" borderId="0" xfId="4" applyFill="1" applyAlignment="1">
      <alignment horizontal="center" vertical="center"/>
    </xf>
    <xf numFmtId="0" fontId="1" fillId="5796" borderId="0" xfId="4" applyFill="1" applyAlignment="1">
      <alignment horizontal="center" vertical="center"/>
    </xf>
    <xf numFmtId="0" fontId="1" fillId="5797" borderId="0" xfId="4" applyFill="1" applyAlignment="1">
      <alignment horizontal="center" vertical="center"/>
    </xf>
    <xf numFmtId="0" fontId="1" fillId="5798" borderId="0" xfId="4" applyFill="1" applyAlignment="1">
      <alignment horizontal="center" vertical="center"/>
    </xf>
    <xf numFmtId="0" fontId="1" fillId="5799" borderId="0" xfId="4" applyFill="1" applyAlignment="1">
      <alignment horizontal="center" vertical="center"/>
    </xf>
    <xf numFmtId="0" fontId="1" fillId="5800" borderId="0" xfId="4" applyFill="1" applyAlignment="1">
      <alignment horizontal="center" vertical="center"/>
    </xf>
    <xf numFmtId="0" fontId="1" fillId="5801" borderId="0" xfId="4" applyFill="1" applyAlignment="1">
      <alignment horizontal="center" vertical="center"/>
    </xf>
    <xf numFmtId="0" fontId="1" fillId="5802" borderId="0" xfId="4" applyFill="1" applyAlignment="1">
      <alignment horizontal="center" vertical="center"/>
    </xf>
    <xf numFmtId="0" fontId="1" fillId="5803" borderId="0" xfId="4" applyFill="1" applyAlignment="1">
      <alignment horizontal="center" vertical="center"/>
    </xf>
    <xf numFmtId="0" fontId="1" fillId="5804" borderId="0" xfId="4" applyFill="1" applyAlignment="1">
      <alignment horizontal="center" vertical="center"/>
    </xf>
    <xf numFmtId="0" fontId="1" fillId="5805" borderId="0" xfId="4" applyFill="1" applyAlignment="1">
      <alignment horizontal="center" vertical="center"/>
    </xf>
    <xf numFmtId="0" fontId="1" fillId="5806" borderId="0" xfId="4" applyFill="1" applyAlignment="1">
      <alignment horizontal="center" vertical="center"/>
    </xf>
    <xf numFmtId="0" fontId="1" fillId="5807" borderId="0" xfId="4" applyFill="1" applyAlignment="1">
      <alignment horizontal="center" vertical="center"/>
    </xf>
    <xf numFmtId="0" fontId="1" fillId="5808" borderId="0" xfId="4" applyFill="1" applyAlignment="1">
      <alignment horizontal="left" vertical="center"/>
    </xf>
    <xf numFmtId="0" fontId="1" fillId="5809" borderId="0" xfId="4" applyFill="1" applyAlignment="1">
      <alignment horizontal="center" vertical="center"/>
    </xf>
    <xf numFmtId="0" fontId="1" fillId="5810" borderId="0" xfId="4" applyFill="1" applyAlignment="1">
      <alignment horizontal="center" vertical="center"/>
    </xf>
    <xf numFmtId="0" fontId="1" fillId="5811" borderId="0" xfId="4" applyFill="1" applyAlignment="1">
      <alignment horizontal="center" vertical="center"/>
    </xf>
    <xf numFmtId="0" fontId="1" fillId="5812" borderId="0" xfId="4" applyFill="1" applyAlignment="1">
      <alignment horizontal="center" vertical="center"/>
    </xf>
    <xf numFmtId="0" fontId="1" fillId="5813" borderId="0" xfId="4" applyFill="1" applyAlignment="1">
      <alignment horizontal="center" vertical="center"/>
    </xf>
    <xf numFmtId="0" fontId="1" fillId="5814" borderId="0" xfId="4" applyFill="1" applyAlignment="1">
      <alignment horizontal="center" vertical="center"/>
    </xf>
    <xf numFmtId="0" fontId="1" fillId="5815" borderId="0" xfId="4" applyFill="1" applyAlignment="1">
      <alignment horizontal="center" vertical="center"/>
    </xf>
    <xf numFmtId="0" fontId="1" fillId="5816" borderId="0" xfId="4" applyFill="1" applyAlignment="1">
      <alignment horizontal="center" vertical="center"/>
    </xf>
    <xf numFmtId="0" fontId="1" fillId="5817" borderId="0" xfId="4" applyFill="1" applyAlignment="1">
      <alignment horizontal="center" vertical="center"/>
    </xf>
    <xf numFmtId="0" fontId="1" fillId="5818" borderId="0" xfId="4" applyFill="1" applyAlignment="1">
      <alignment horizontal="center" vertical="center"/>
    </xf>
    <xf numFmtId="0" fontId="1" fillId="5819" borderId="0" xfId="4" applyFill="1" applyAlignment="1">
      <alignment horizontal="center" vertical="center"/>
    </xf>
    <xf numFmtId="0" fontId="1" fillId="5820" borderId="0" xfId="4" applyFill="1" applyAlignment="1">
      <alignment horizontal="center" vertical="center"/>
    </xf>
    <xf numFmtId="0" fontId="1" fillId="5821" borderId="0" xfId="4" applyFill="1" applyAlignment="1">
      <alignment horizontal="center" vertical="center"/>
    </xf>
    <xf numFmtId="0" fontId="1" fillId="5822" borderId="0" xfId="4" applyFill="1" applyAlignment="1">
      <alignment horizontal="center" vertical="center"/>
    </xf>
    <xf numFmtId="0" fontId="1" fillId="5823" borderId="0" xfId="4" applyFill="1" applyAlignment="1">
      <alignment horizontal="center" vertical="center"/>
    </xf>
    <xf numFmtId="0" fontId="1" fillId="5824" borderId="0" xfId="4" applyFill="1" applyAlignment="1">
      <alignment horizontal="center" vertical="center"/>
    </xf>
    <xf numFmtId="0" fontId="1" fillId="5825" borderId="0" xfId="4" applyFill="1" applyAlignment="1">
      <alignment horizontal="center" vertical="center"/>
    </xf>
    <xf numFmtId="0" fontId="1" fillId="5826" borderId="0" xfId="4" applyFill="1" applyAlignment="1">
      <alignment horizontal="center" vertical="center"/>
    </xf>
    <xf numFmtId="0" fontId="1" fillId="5827" borderId="0" xfId="4" applyFill="1" applyAlignment="1">
      <alignment horizontal="center" vertical="center"/>
    </xf>
    <xf numFmtId="0" fontId="1" fillId="5828" borderId="0" xfId="4" applyFill="1" applyAlignment="1">
      <alignment horizontal="center" vertical="center"/>
    </xf>
    <xf numFmtId="0" fontId="1" fillId="5829" borderId="0" xfId="4" applyFill="1" applyAlignment="1">
      <alignment horizontal="left" vertical="center"/>
    </xf>
    <xf numFmtId="0" fontId="1" fillId="5743" borderId="0" xfId="4" applyFill="1" applyAlignment="1">
      <alignment horizontal="center" vertical="center"/>
    </xf>
    <xf numFmtId="0" fontId="1" fillId="5830" borderId="0" xfId="4" applyFill="1" applyAlignment="1">
      <alignment horizontal="center" vertical="center"/>
    </xf>
    <xf numFmtId="0" fontId="1" fillId="5550" borderId="0" xfId="4" applyFill="1" applyAlignment="1">
      <alignment horizontal="left" vertical="center"/>
    </xf>
    <xf numFmtId="0" fontId="1" fillId="5831" borderId="0" xfId="4" applyFill="1" applyAlignment="1">
      <alignment horizontal="center" vertical="center"/>
    </xf>
    <xf numFmtId="0" fontId="1" fillId="5832" borderId="0" xfId="4" applyFill="1" applyAlignment="1">
      <alignment horizontal="center" vertical="center"/>
    </xf>
    <xf numFmtId="0" fontId="1" fillId="5833" borderId="0" xfId="4" applyFill="1" applyAlignment="1">
      <alignment horizontal="center" vertical="center"/>
    </xf>
    <xf numFmtId="0" fontId="1" fillId="5834" borderId="0" xfId="4" applyFill="1" applyAlignment="1">
      <alignment horizontal="center" vertical="center"/>
    </xf>
    <xf numFmtId="0" fontId="1" fillId="5835" borderId="0" xfId="4" applyFill="1" applyAlignment="1">
      <alignment horizontal="center" vertical="center"/>
    </xf>
    <xf numFmtId="0" fontId="1" fillId="5836" borderId="0" xfId="4" applyFill="1" applyAlignment="1">
      <alignment horizontal="center" vertical="center"/>
    </xf>
    <xf numFmtId="0" fontId="1" fillId="5837" borderId="0" xfId="4" applyFill="1" applyAlignment="1">
      <alignment horizontal="center" vertical="center"/>
    </xf>
    <xf numFmtId="0" fontId="1" fillId="5838" borderId="0" xfId="4" applyFill="1" applyAlignment="1">
      <alignment horizontal="center" vertical="center"/>
    </xf>
    <xf numFmtId="0" fontId="1" fillId="5839" borderId="0" xfId="4" applyFill="1" applyAlignment="1">
      <alignment horizontal="center" vertical="center"/>
    </xf>
    <xf numFmtId="0" fontId="1" fillId="5840" borderId="0" xfId="4" applyFill="1" applyAlignment="1">
      <alignment horizontal="center" vertical="center"/>
    </xf>
    <xf numFmtId="0" fontId="1" fillId="5841" borderId="0" xfId="4" applyFill="1" applyAlignment="1">
      <alignment horizontal="center" vertical="center"/>
    </xf>
    <xf numFmtId="0" fontId="1" fillId="5842" borderId="0" xfId="4" applyFill="1" applyAlignment="1">
      <alignment horizontal="center" vertical="center"/>
    </xf>
    <xf numFmtId="0" fontId="1" fillId="5843" borderId="0" xfId="4" applyFill="1" applyAlignment="1">
      <alignment horizontal="center" vertical="center"/>
    </xf>
    <xf numFmtId="0" fontId="1" fillId="5844" borderId="0" xfId="4" applyFill="1" applyAlignment="1">
      <alignment horizontal="center" vertical="center"/>
    </xf>
    <xf numFmtId="0" fontId="1" fillId="5845" borderId="0" xfId="4" applyFill="1" applyAlignment="1">
      <alignment horizontal="center" vertical="center"/>
    </xf>
    <xf numFmtId="0" fontId="1" fillId="5846" borderId="0" xfId="4" applyFill="1" applyAlignment="1">
      <alignment horizontal="center" vertical="center"/>
    </xf>
    <xf numFmtId="0" fontId="1" fillId="5847" borderId="0" xfId="4" applyFill="1" applyAlignment="1">
      <alignment horizontal="center" vertical="center"/>
    </xf>
    <xf numFmtId="0" fontId="1" fillId="5848" borderId="0" xfId="4" applyFill="1" applyAlignment="1">
      <alignment horizontal="center" vertical="center"/>
    </xf>
    <xf numFmtId="0" fontId="1" fillId="5849" borderId="0" xfId="4" applyFill="1" applyAlignment="1">
      <alignment horizontal="center" vertical="center"/>
    </xf>
    <xf numFmtId="0" fontId="1" fillId="5850" borderId="0" xfId="4" applyFill="1" applyAlignment="1">
      <alignment horizontal="center" vertical="center"/>
    </xf>
    <xf numFmtId="0" fontId="1" fillId="5851" borderId="0" xfId="4" applyFill="1" applyAlignment="1">
      <alignment horizontal="center" vertical="center"/>
    </xf>
    <xf numFmtId="0" fontId="1" fillId="5852" borderId="0" xfId="4" applyFill="1" applyAlignment="1">
      <alignment horizontal="center" vertical="center"/>
    </xf>
    <xf numFmtId="0" fontId="1" fillId="5853" borderId="0" xfId="4" applyFill="1" applyAlignment="1">
      <alignment horizontal="center" vertical="center"/>
    </xf>
    <xf numFmtId="0" fontId="1" fillId="5854" borderId="0" xfId="4" applyFill="1" applyAlignment="1">
      <alignment horizontal="center" vertical="center"/>
    </xf>
    <xf numFmtId="0" fontId="1" fillId="5855" borderId="0" xfId="4" applyFill="1" applyAlignment="1">
      <alignment horizontal="center" vertical="center"/>
    </xf>
    <xf numFmtId="0" fontId="1" fillId="5856" borderId="0" xfId="4" applyFill="1" applyAlignment="1">
      <alignment horizontal="center" vertical="center"/>
    </xf>
    <xf numFmtId="0" fontId="1" fillId="5857" borderId="0" xfId="4" applyFill="1" applyAlignment="1">
      <alignment horizontal="center" vertical="center"/>
    </xf>
    <xf numFmtId="0" fontId="1" fillId="5858" borderId="0" xfId="4" applyFill="1" applyAlignment="1">
      <alignment horizontal="center" vertical="center"/>
    </xf>
    <xf numFmtId="0" fontId="1" fillId="5859" borderId="0" xfId="4" applyFill="1" applyAlignment="1">
      <alignment horizontal="center" vertical="center"/>
    </xf>
    <xf numFmtId="0" fontId="1" fillId="5860" borderId="0" xfId="4" applyFill="1" applyAlignment="1">
      <alignment horizontal="center" vertical="center"/>
    </xf>
    <xf numFmtId="0" fontId="1" fillId="5861" borderId="0" xfId="4" applyFill="1" applyAlignment="1">
      <alignment horizontal="center" vertical="center"/>
    </xf>
    <xf numFmtId="0" fontId="1" fillId="5862" borderId="0" xfId="4" applyFill="1" applyAlignment="1">
      <alignment horizontal="center" vertical="center"/>
    </xf>
    <xf numFmtId="0" fontId="1" fillId="5863" borderId="0" xfId="4" applyFill="1" applyAlignment="1">
      <alignment horizontal="center" vertical="center"/>
    </xf>
    <xf numFmtId="0" fontId="1" fillId="5864" borderId="0" xfId="4" applyFill="1" applyAlignment="1">
      <alignment horizontal="center" vertical="center"/>
    </xf>
    <xf numFmtId="0" fontId="1" fillId="5865" borderId="0" xfId="4" applyFill="1" applyAlignment="1">
      <alignment horizontal="center" vertical="center"/>
    </xf>
    <xf numFmtId="0" fontId="1" fillId="5866" borderId="0" xfId="4" applyFill="1" applyAlignment="1">
      <alignment horizontal="center" vertical="center"/>
    </xf>
    <xf numFmtId="0" fontId="1" fillId="5867" borderId="0" xfId="4" applyFill="1" applyAlignment="1">
      <alignment horizontal="left" vertical="center"/>
    </xf>
    <xf numFmtId="0" fontId="1" fillId="5868" borderId="0" xfId="4" applyFill="1" applyAlignment="1">
      <alignment horizontal="center" vertical="center"/>
    </xf>
    <xf numFmtId="0" fontId="1" fillId="5869" borderId="0" xfId="4" applyFill="1" applyAlignment="1">
      <alignment horizontal="center" vertical="center"/>
    </xf>
    <xf numFmtId="0" fontId="1" fillId="5870" borderId="0" xfId="4" applyFill="1" applyAlignment="1">
      <alignment horizontal="center" vertical="center"/>
    </xf>
    <xf numFmtId="0" fontId="1" fillId="5871" borderId="0" xfId="4" applyFill="1" applyAlignment="1">
      <alignment horizontal="center" vertical="center"/>
    </xf>
    <xf numFmtId="0" fontId="1" fillId="5872" borderId="0" xfId="4" applyFill="1" applyAlignment="1">
      <alignment horizontal="center" vertical="center"/>
    </xf>
    <xf numFmtId="0" fontId="1" fillId="5873" borderId="0" xfId="4" applyFill="1" applyAlignment="1">
      <alignment horizontal="center" vertical="center"/>
    </xf>
    <xf numFmtId="0" fontId="1" fillId="5874" borderId="0" xfId="4" applyFill="1" applyAlignment="1">
      <alignment horizontal="center" vertical="center"/>
    </xf>
    <xf numFmtId="0" fontId="1" fillId="5875" borderId="0" xfId="4" applyFill="1" applyAlignment="1">
      <alignment horizontal="center" vertical="center"/>
    </xf>
    <xf numFmtId="0" fontId="1" fillId="5876" borderId="0" xfId="4" applyFill="1" applyAlignment="1">
      <alignment horizontal="center" vertical="center"/>
    </xf>
    <xf numFmtId="0" fontId="1" fillId="5877" borderId="0" xfId="4" applyFill="1" applyAlignment="1">
      <alignment horizontal="center" vertical="center"/>
    </xf>
    <xf numFmtId="0" fontId="1" fillId="5878" borderId="0" xfId="4" applyFill="1" applyAlignment="1">
      <alignment horizontal="center" vertical="center"/>
    </xf>
    <xf numFmtId="0" fontId="1" fillId="5879" borderId="0" xfId="4" applyFill="1" applyAlignment="1">
      <alignment horizontal="center" vertical="center"/>
    </xf>
    <xf numFmtId="0" fontId="1" fillId="5880" borderId="0" xfId="4" applyFill="1" applyAlignment="1">
      <alignment horizontal="center" vertical="center"/>
    </xf>
    <xf numFmtId="0" fontId="1" fillId="5881" borderId="0" xfId="4" applyFill="1" applyAlignment="1">
      <alignment horizontal="center" vertical="center"/>
    </xf>
    <xf numFmtId="0" fontId="1" fillId="5882" borderId="0" xfId="4" applyFill="1" applyAlignment="1">
      <alignment horizontal="center" vertical="center"/>
    </xf>
    <xf numFmtId="0" fontId="1" fillId="5883" borderId="0" xfId="4" applyFill="1" applyAlignment="1">
      <alignment horizontal="center" vertical="center"/>
    </xf>
    <xf numFmtId="0" fontId="1" fillId="5884" borderId="0" xfId="4" applyFill="1" applyAlignment="1">
      <alignment horizontal="center" vertical="center"/>
    </xf>
    <xf numFmtId="0" fontId="1" fillId="5885" borderId="0" xfId="4" applyFill="1" applyAlignment="1">
      <alignment horizontal="center" vertical="center"/>
    </xf>
    <xf numFmtId="0" fontId="1" fillId="5886" borderId="0" xfId="4" applyFill="1" applyAlignment="1">
      <alignment horizontal="center" vertical="center"/>
    </xf>
    <xf numFmtId="0" fontId="1" fillId="5887" borderId="0" xfId="4" applyFill="1" applyAlignment="1">
      <alignment horizontal="center" vertical="center"/>
    </xf>
    <xf numFmtId="0" fontId="1" fillId="5888" borderId="0" xfId="4" applyFill="1" applyAlignment="1">
      <alignment horizontal="center" vertical="center"/>
    </xf>
    <xf numFmtId="0" fontId="1" fillId="5889" borderId="0" xfId="4" applyFill="1" applyAlignment="1">
      <alignment horizontal="center" vertical="center"/>
    </xf>
    <xf numFmtId="0" fontId="1" fillId="5890" borderId="0" xfId="4" applyFill="1" applyAlignment="1">
      <alignment horizontal="center" vertical="center"/>
    </xf>
    <xf numFmtId="0" fontId="1" fillId="5891" borderId="0" xfId="4" applyFill="1" applyAlignment="1">
      <alignment horizontal="center" vertical="center"/>
    </xf>
    <xf numFmtId="0" fontId="1" fillId="5892" borderId="0" xfId="4" applyFill="1" applyAlignment="1">
      <alignment horizontal="center" vertical="center"/>
    </xf>
    <xf numFmtId="0" fontId="1" fillId="5893" borderId="0" xfId="4" applyFill="1" applyAlignment="1">
      <alignment horizontal="center" vertical="center"/>
    </xf>
    <xf numFmtId="0" fontId="1" fillId="5894" borderId="0" xfId="4" applyFill="1" applyAlignment="1">
      <alignment horizontal="center" vertical="center"/>
    </xf>
    <xf numFmtId="0" fontId="1" fillId="5895" borderId="0" xfId="4" applyFill="1" applyAlignment="1">
      <alignment horizontal="center" vertical="center"/>
    </xf>
    <xf numFmtId="0" fontId="1" fillId="5896" borderId="0" xfId="4" applyFill="1" applyAlignment="1">
      <alignment horizontal="left" vertical="center"/>
    </xf>
    <xf numFmtId="0" fontId="1" fillId="5897" borderId="0" xfId="4" applyFill="1" applyAlignment="1">
      <alignment horizontal="center" vertical="center"/>
    </xf>
    <xf numFmtId="0" fontId="1" fillId="5898" borderId="0" xfId="4" applyFill="1" applyAlignment="1">
      <alignment horizontal="center" vertical="center"/>
    </xf>
    <xf numFmtId="0" fontId="1" fillId="5899" borderId="0" xfId="4" applyFill="1" applyAlignment="1">
      <alignment horizontal="center" vertical="center"/>
    </xf>
    <xf numFmtId="0" fontId="1" fillId="5900" borderId="0" xfId="4" applyFill="1" applyAlignment="1">
      <alignment horizontal="center" vertical="center"/>
    </xf>
    <xf numFmtId="0" fontId="1" fillId="5901" borderId="0" xfId="4" applyFill="1" applyAlignment="1">
      <alignment horizontal="center" vertical="center"/>
    </xf>
    <xf numFmtId="0" fontId="1" fillId="5902" borderId="0" xfId="4" applyFill="1" applyAlignment="1">
      <alignment horizontal="center" vertical="center"/>
    </xf>
    <xf numFmtId="0" fontId="1" fillId="5903" borderId="0" xfId="4" applyFill="1" applyAlignment="1">
      <alignment horizontal="center" vertical="center"/>
    </xf>
    <xf numFmtId="0" fontId="1" fillId="5904" borderId="0" xfId="4" applyFill="1" applyAlignment="1">
      <alignment horizontal="center" vertical="center"/>
    </xf>
    <xf numFmtId="0" fontId="1" fillId="5905" borderId="0" xfId="4" applyFill="1" applyAlignment="1">
      <alignment horizontal="center" vertical="center"/>
    </xf>
    <xf numFmtId="0" fontId="1" fillId="5906" borderId="0" xfId="4" applyFill="1" applyAlignment="1">
      <alignment horizontal="center" vertical="center"/>
    </xf>
    <xf numFmtId="0" fontId="1" fillId="5907" borderId="0" xfId="4" applyFill="1" applyAlignment="1">
      <alignment horizontal="center" vertical="center"/>
    </xf>
    <xf numFmtId="0" fontId="1" fillId="5908" borderId="0" xfId="4" applyFill="1" applyAlignment="1">
      <alignment horizontal="center" vertical="center"/>
    </xf>
    <xf numFmtId="0" fontId="1" fillId="5909" borderId="0" xfId="4" applyFill="1" applyAlignment="1">
      <alignment horizontal="center" vertical="center"/>
    </xf>
    <xf numFmtId="0" fontId="1" fillId="5910" borderId="0" xfId="4" applyFill="1" applyAlignment="1">
      <alignment horizontal="center" vertical="center"/>
    </xf>
    <xf numFmtId="0" fontId="1" fillId="5911" borderId="0" xfId="4" applyFill="1" applyAlignment="1">
      <alignment horizontal="center" vertical="center"/>
    </xf>
    <xf numFmtId="0" fontId="1" fillId="5912" borderId="0" xfId="4" applyFill="1" applyAlignment="1">
      <alignment horizontal="center" vertical="center"/>
    </xf>
    <xf numFmtId="0" fontId="1" fillId="5913" borderId="0" xfId="4" applyFill="1" applyAlignment="1">
      <alignment horizontal="center" vertical="center"/>
    </xf>
    <xf numFmtId="0" fontId="1" fillId="5914" borderId="0" xfId="4" applyFill="1" applyAlignment="1">
      <alignment horizontal="left" vertical="center"/>
    </xf>
    <xf numFmtId="0" fontId="1" fillId="5915" borderId="0" xfId="4" applyFill="1" applyAlignment="1">
      <alignment horizontal="center" vertical="center"/>
    </xf>
    <xf numFmtId="0" fontId="1" fillId="844" borderId="0" xfId="4" applyFill="1" applyAlignment="1">
      <alignment horizontal="left" vertical="center"/>
    </xf>
    <xf numFmtId="0" fontId="1" fillId="5916" borderId="0" xfId="4" applyFill="1" applyAlignment="1">
      <alignment horizontal="center" vertical="center"/>
    </xf>
    <xf numFmtId="0" fontId="1" fillId="5917" borderId="0" xfId="4" applyFill="1" applyAlignment="1">
      <alignment horizontal="center" vertical="center"/>
    </xf>
    <xf numFmtId="0" fontId="1" fillId="5918" borderId="0" xfId="4" applyFill="1" applyAlignment="1">
      <alignment horizontal="center" vertical="center"/>
    </xf>
    <xf numFmtId="0" fontId="1" fillId="5919" borderId="0" xfId="4" applyFill="1" applyAlignment="1">
      <alignment horizontal="center" vertical="center"/>
    </xf>
    <xf numFmtId="0" fontId="1" fillId="5920" borderId="0" xfId="4" applyFill="1" applyAlignment="1">
      <alignment horizontal="center" vertical="center"/>
    </xf>
    <xf numFmtId="0" fontId="1" fillId="5921" borderId="0" xfId="4" applyFill="1" applyAlignment="1">
      <alignment horizontal="center" vertical="center"/>
    </xf>
    <xf numFmtId="0" fontId="1" fillId="5922" borderId="0" xfId="4" applyFill="1" applyAlignment="1">
      <alignment horizontal="center" vertical="center"/>
    </xf>
    <xf numFmtId="0" fontId="1" fillId="5923" borderId="0" xfId="4" applyFill="1" applyAlignment="1">
      <alignment horizontal="center" vertical="center"/>
    </xf>
    <xf numFmtId="0" fontId="1" fillId="5924" borderId="0" xfId="4" applyFill="1" applyAlignment="1">
      <alignment horizontal="center" vertical="center"/>
    </xf>
    <xf numFmtId="0" fontId="1" fillId="5925" borderId="0" xfId="4" applyFill="1" applyAlignment="1">
      <alignment horizontal="center" vertical="center"/>
    </xf>
    <xf numFmtId="0" fontId="1" fillId="5926" borderId="0" xfId="4" applyFill="1" applyAlignment="1">
      <alignment horizontal="center" vertical="center"/>
    </xf>
    <xf numFmtId="0" fontId="1" fillId="5927" borderId="0" xfId="4" applyFill="1" applyAlignment="1">
      <alignment horizontal="center" vertical="center"/>
    </xf>
    <xf numFmtId="0" fontId="1" fillId="5928" borderId="0" xfId="4" applyFill="1" applyAlignment="1">
      <alignment horizontal="center" vertical="center"/>
    </xf>
    <xf numFmtId="0" fontId="1" fillId="5929" borderId="0" xfId="4" applyFill="1" applyAlignment="1">
      <alignment horizontal="center" vertical="center"/>
    </xf>
    <xf numFmtId="0" fontId="1" fillId="5930" borderId="0" xfId="4" applyFill="1" applyAlignment="1">
      <alignment horizontal="center" vertical="center"/>
    </xf>
    <xf numFmtId="0" fontId="1" fillId="5931" borderId="0" xfId="4" applyFill="1" applyAlignment="1">
      <alignment horizontal="center" vertical="center"/>
    </xf>
    <xf numFmtId="0" fontId="1" fillId="5932" borderId="0" xfId="4" applyFill="1" applyAlignment="1">
      <alignment horizontal="center" vertical="center"/>
    </xf>
    <xf numFmtId="0" fontId="1" fillId="5933" borderId="0" xfId="4" applyFill="1" applyAlignment="1">
      <alignment horizontal="center" vertical="center"/>
    </xf>
    <xf numFmtId="0" fontId="1" fillId="5934" borderId="0" xfId="4" applyFill="1" applyAlignment="1">
      <alignment horizontal="center" vertical="center"/>
    </xf>
    <xf numFmtId="0" fontId="1" fillId="5935" borderId="0" xfId="4" applyFill="1" applyAlignment="1">
      <alignment horizontal="center" vertical="center"/>
    </xf>
    <xf numFmtId="0" fontId="1" fillId="5936" borderId="0" xfId="4" applyFill="1" applyAlignment="1">
      <alignment horizontal="center" vertical="center"/>
    </xf>
    <xf numFmtId="0" fontId="1" fillId="5937" borderId="0" xfId="4" applyFill="1" applyAlignment="1">
      <alignment horizontal="center" vertical="center"/>
    </xf>
    <xf numFmtId="0" fontId="1" fillId="5938" borderId="0" xfId="4" applyFill="1" applyAlignment="1">
      <alignment horizontal="center" vertical="center"/>
    </xf>
    <xf numFmtId="0" fontId="1" fillId="5939" borderId="0" xfId="4" applyFill="1" applyAlignment="1">
      <alignment horizontal="center" vertical="center"/>
    </xf>
    <xf numFmtId="0" fontId="1" fillId="5940" borderId="0" xfId="4" applyFill="1" applyAlignment="1">
      <alignment horizontal="center" vertical="center"/>
    </xf>
    <xf numFmtId="0" fontId="1" fillId="5941" borderId="0" xfId="4" applyFill="1" applyAlignment="1">
      <alignment horizontal="center" vertical="center"/>
    </xf>
    <xf numFmtId="0" fontId="1" fillId="5942" borderId="0" xfId="4" applyFill="1" applyAlignment="1">
      <alignment horizontal="center" vertical="center"/>
    </xf>
    <xf numFmtId="0" fontId="1" fillId="5943" borderId="0" xfId="4" applyFill="1" applyAlignment="1">
      <alignment horizontal="center" vertical="center"/>
    </xf>
    <xf numFmtId="0" fontId="1" fillId="5944" borderId="0" xfId="4" applyFill="1" applyAlignment="1">
      <alignment horizontal="center" vertical="center"/>
    </xf>
    <xf numFmtId="0" fontId="1" fillId="5945" borderId="0" xfId="4" applyFill="1" applyAlignment="1">
      <alignment horizontal="center" vertical="center"/>
    </xf>
    <xf numFmtId="0" fontId="1" fillId="5946" borderId="0" xfId="4" applyFill="1" applyAlignment="1">
      <alignment horizontal="center" vertical="center"/>
    </xf>
    <xf numFmtId="0" fontId="1" fillId="5947" borderId="0" xfId="4" applyFill="1" applyAlignment="1">
      <alignment horizontal="center" vertical="center"/>
    </xf>
    <xf numFmtId="0" fontId="1" fillId="5948" borderId="0" xfId="4" applyFill="1" applyAlignment="1">
      <alignment horizontal="center" vertical="center"/>
    </xf>
    <xf numFmtId="0" fontId="1" fillId="5949" borderId="0" xfId="4" applyFill="1" applyAlignment="1">
      <alignment horizontal="center" vertical="center"/>
    </xf>
    <xf numFmtId="0" fontId="1" fillId="5950" borderId="0" xfId="4" applyFill="1" applyAlignment="1">
      <alignment horizontal="center" vertical="center"/>
    </xf>
    <xf numFmtId="0" fontId="1" fillId="5951" borderId="0" xfId="4" applyFill="1" applyAlignment="1">
      <alignment horizontal="center" vertical="center"/>
    </xf>
    <xf numFmtId="0" fontId="1" fillId="5952" borderId="0" xfId="4" applyFill="1" applyAlignment="1">
      <alignment horizontal="left" vertical="center"/>
    </xf>
    <xf numFmtId="0" fontId="1" fillId="5953" borderId="0" xfId="4" applyFill="1" applyAlignment="1">
      <alignment horizontal="center" vertical="center"/>
    </xf>
    <xf numFmtId="0" fontId="1" fillId="5954" borderId="0" xfId="4" applyFill="1" applyAlignment="1">
      <alignment horizontal="center" vertical="center"/>
    </xf>
    <xf numFmtId="0" fontId="1" fillId="5955" borderId="0" xfId="4" applyFill="1" applyAlignment="1">
      <alignment horizontal="center" vertical="center"/>
    </xf>
    <xf numFmtId="0" fontId="1" fillId="5956" borderId="0" xfId="4" applyFill="1" applyAlignment="1">
      <alignment horizontal="center" vertical="center"/>
    </xf>
    <xf numFmtId="0" fontId="1" fillId="5957" borderId="0" xfId="4" applyFill="1" applyAlignment="1">
      <alignment horizontal="center" vertical="center"/>
    </xf>
    <xf numFmtId="0" fontId="1" fillId="5958" borderId="0" xfId="4" applyFill="1" applyAlignment="1">
      <alignment horizontal="center" vertical="center"/>
    </xf>
    <xf numFmtId="0" fontId="1" fillId="5959" borderId="0" xfId="4" applyFill="1" applyAlignment="1">
      <alignment horizontal="center" vertical="center"/>
    </xf>
    <xf numFmtId="0" fontId="1" fillId="5960" borderId="0" xfId="4" applyFill="1" applyAlignment="1">
      <alignment horizontal="center" vertical="center"/>
    </xf>
    <xf numFmtId="0" fontId="1" fillId="5961" borderId="0" xfId="4" applyFill="1" applyAlignment="1">
      <alignment horizontal="center" vertical="center"/>
    </xf>
    <xf numFmtId="0" fontId="1" fillId="5962" borderId="0" xfId="4" applyFill="1" applyAlignment="1">
      <alignment horizontal="center" vertical="center"/>
    </xf>
    <xf numFmtId="0" fontId="1" fillId="5963" borderId="0" xfId="4" applyFill="1" applyAlignment="1">
      <alignment horizontal="center" vertical="center"/>
    </xf>
    <xf numFmtId="0" fontId="1" fillId="5964" borderId="0" xfId="4" applyFill="1" applyAlignment="1">
      <alignment horizontal="center" vertical="center"/>
    </xf>
    <xf numFmtId="0" fontId="1" fillId="5965" borderId="0" xfId="4" applyFill="1" applyAlignment="1">
      <alignment horizontal="center" vertical="center"/>
    </xf>
    <xf numFmtId="0" fontId="1" fillId="5966" borderId="0" xfId="4" applyFill="1" applyAlignment="1">
      <alignment horizontal="center" vertical="center"/>
    </xf>
    <xf numFmtId="0" fontId="1" fillId="5967" borderId="0" xfId="4" applyFill="1" applyAlignment="1">
      <alignment horizontal="center" vertical="center"/>
    </xf>
    <xf numFmtId="0" fontId="1" fillId="5968" borderId="0" xfId="4" applyFill="1" applyAlignment="1">
      <alignment horizontal="center" vertical="center"/>
    </xf>
    <xf numFmtId="0" fontId="1" fillId="5969" borderId="0" xfId="4" applyFill="1" applyAlignment="1">
      <alignment horizontal="center" vertical="center"/>
    </xf>
    <xf numFmtId="0" fontId="1" fillId="5970" borderId="0" xfId="4" applyFill="1" applyAlignment="1">
      <alignment horizontal="center" vertical="center"/>
    </xf>
    <xf numFmtId="0" fontId="1" fillId="5971" borderId="0" xfId="4" applyFill="1" applyAlignment="1">
      <alignment horizontal="center" vertical="center"/>
    </xf>
    <xf numFmtId="0" fontId="1" fillId="5972" borderId="0" xfId="4" applyFill="1" applyAlignment="1">
      <alignment horizontal="center" vertical="center"/>
    </xf>
    <xf numFmtId="0" fontId="1" fillId="5973" borderId="0" xfId="4" applyFill="1" applyAlignment="1">
      <alignment horizontal="center" vertical="center"/>
    </xf>
    <xf numFmtId="0" fontId="1" fillId="5974" borderId="0" xfId="4" applyFill="1" applyAlignment="1">
      <alignment horizontal="center" vertical="center"/>
    </xf>
    <xf numFmtId="0" fontId="1" fillId="5975" borderId="0" xfId="4" applyFill="1" applyAlignment="1">
      <alignment horizontal="center" vertical="center"/>
    </xf>
    <xf numFmtId="0" fontId="1" fillId="5976" borderId="0" xfId="4" applyFill="1" applyAlignment="1">
      <alignment horizontal="center" vertical="center"/>
    </xf>
    <xf numFmtId="0" fontId="1" fillId="5977" borderId="0" xfId="4" applyFill="1" applyAlignment="1">
      <alignment horizontal="center" vertical="center"/>
    </xf>
    <xf numFmtId="0" fontId="1" fillId="5978" borderId="0" xfId="4" applyFill="1" applyAlignment="1">
      <alignment horizontal="center" vertical="center"/>
    </xf>
    <xf numFmtId="0" fontId="1" fillId="5979" borderId="0" xfId="4" applyFill="1" applyAlignment="1">
      <alignment horizontal="center" vertical="center"/>
    </xf>
    <xf numFmtId="0" fontId="1" fillId="5980" borderId="0" xfId="4" applyFill="1" applyAlignment="1">
      <alignment horizontal="left" vertical="center"/>
    </xf>
    <xf numFmtId="0" fontId="1" fillId="5981" borderId="0" xfId="4" applyFill="1" applyAlignment="1">
      <alignment horizontal="center" vertical="center"/>
    </xf>
    <xf numFmtId="0" fontId="1" fillId="5982" borderId="0" xfId="4" applyFill="1" applyAlignment="1">
      <alignment horizontal="center" vertical="center"/>
    </xf>
    <xf numFmtId="0" fontId="1" fillId="5983" borderId="0" xfId="4" applyFill="1" applyAlignment="1">
      <alignment horizontal="center" vertical="center"/>
    </xf>
    <xf numFmtId="0" fontId="1" fillId="5984" borderId="0" xfId="4" applyFill="1" applyAlignment="1">
      <alignment horizontal="center" vertical="center"/>
    </xf>
    <xf numFmtId="0" fontId="1" fillId="5985" borderId="0" xfId="4" applyFill="1" applyAlignment="1">
      <alignment horizontal="center" vertical="center"/>
    </xf>
    <xf numFmtId="0" fontId="1" fillId="5986" borderId="0" xfId="4" applyFill="1" applyAlignment="1">
      <alignment horizontal="center" vertical="center"/>
    </xf>
    <xf numFmtId="0" fontId="1" fillId="5987" borderId="0" xfId="4" applyFill="1" applyAlignment="1">
      <alignment horizontal="center" vertical="center"/>
    </xf>
    <xf numFmtId="0" fontId="1" fillId="5988" borderId="0" xfId="4" applyFill="1" applyAlignment="1">
      <alignment horizontal="center" vertical="center"/>
    </xf>
    <xf numFmtId="0" fontId="1" fillId="5989" borderId="0" xfId="4" applyFill="1" applyAlignment="1">
      <alignment horizontal="center" vertical="center"/>
    </xf>
    <xf numFmtId="0" fontId="1" fillId="5990" borderId="0" xfId="4" applyFill="1" applyAlignment="1">
      <alignment horizontal="center" vertical="center"/>
    </xf>
    <xf numFmtId="0" fontId="1" fillId="5991" borderId="0" xfId="4" applyFill="1" applyAlignment="1">
      <alignment horizontal="center" vertical="center"/>
    </xf>
    <xf numFmtId="0" fontId="1" fillId="5992" borderId="0" xfId="4" applyFill="1" applyAlignment="1">
      <alignment horizontal="center" vertical="center"/>
    </xf>
    <xf numFmtId="0" fontId="1" fillId="5993" borderId="0" xfId="4" applyFill="1" applyAlignment="1">
      <alignment horizontal="center" vertical="center"/>
    </xf>
    <xf numFmtId="0" fontId="1" fillId="5994" borderId="0" xfId="4" applyFill="1" applyAlignment="1">
      <alignment horizontal="center" vertical="center"/>
    </xf>
    <xf numFmtId="0" fontId="1" fillId="5995" borderId="0" xfId="4" applyFill="1" applyAlignment="1">
      <alignment horizontal="center" vertical="center"/>
    </xf>
    <xf numFmtId="0" fontId="1" fillId="5996" borderId="0" xfId="4" applyFill="1" applyAlignment="1">
      <alignment horizontal="center" vertical="center"/>
    </xf>
    <xf numFmtId="0" fontId="1" fillId="5997" borderId="0" xfId="4" applyFill="1" applyAlignment="1">
      <alignment horizontal="center" vertical="center"/>
    </xf>
    <xf numFmtId="0" fontId="1" fillId="5998" borderId="0" xfId="4" applyFill="1" applyAlignment="1">
      <alignment horizontal="center" vertical="center"/>
    </xf>
    <xf numFmtId="0" fontId="1" fillId="5999" borderId="0" xfId="4" applyFill="1" applyAlignment="1">
      <alignment horizontal="left" vertical="center"/>
    </xf>
    <xf numFmtId="0" fontId="1" fillId="6000" borderId="0" xfId="4" applyFill="1" applyAlignment="1">
      <alignment horizontal="center" vertical="center"/>
    </xf>
    <xf numFmtId="0" fontId="1" fillId="6001" borderId="0" xfId="4" applyFill="1" applyAlignment="1">
      <alignment horizontal="center" vertical="center"/>
    </xf>
    <xf numFmtId="0" fontId="1" fillId="6002" borderId="0" xfId="4" applyFill="1" applyAlignment="1">
      <alignment horizontal="left" vertical="center"/>
    </xf>
    <xf numFmtId="0" fontId="1" fillId="6003" borderId="0" xfId="4" applyFill="1" applyAlignment="1">
      <alignment horizontal="center" vertical="center"/>
    </xf>
    <xf numFmtId="0" fontId="1" fillId="6004" borderId="0" xfId="4" applyFill="1" applyAlignment="1">
      <alignment horizontal="center" vertical="center"/>
    </xf>
    <xf numFmtId="0" fontId="1" fillId="6005" borderId="0" xfId="4" applyFill="1" applyAlignment="1">
      <alignment horizontal="center" vertical="center"/>
    </xf>
    <xf numFmtId="0" fontId="1" fillId="6006" borderId="0" xfId="4" applyFill="1" applyAlignment="1">
      <alignment horizontal="center" vertical="center"/>
    </xf>
    <xf numFmtId="0" fontId="1" fillId="6007" borderId="0" xfId="4" applyFill="1" applyAlignment="1">
      <alignment horizontal="center" vertical="center"/>
    </xf>
    <xf numFmtId="0" fontId="1" fillId="6008" borderId="0" xfId="4" applyFill="1" applyAlignment="1">
      <alignment horizontal="center" vertical="center"/>
    </xf>
    <xf numFmtId="0" fontId="1" fillId="6009" borderId="0" xfId="4" applyFill="1" applyAlignment="1">
      <alignment horizontal="center" vertical="center"/>
    </xf>
    <xf numFmtId="0" fontId="1" fillId="6010" borderId="0" xfId="4" applyFill="1" applyAlignment="1">
      <alignment horizontal="center" vertical="center"/>
    </xf>
    <xf numFmtId="0" fontId="1" fillId="6011" borderId="0" xfId="4" applyFill="1" applyAlignment="1">
      <alignment horizontal="center" vertical="center"/>
    </xf>
    <xf numFmtId="0" fontId="1" fillId="6012" borderId="0" xfId="4" applyFill="1" applyAlignment="1">
      <alignment horizontal="center" vertical="center"/>
    </xf>
    <xf numFmtId="0" fontId="1" fillId="6013" borderId="0" xfId="4" applyFill="1" applyAlignment="1">
      <alignment horizontal="center" vertical="center"/>
    </xf>
    <xf numFmtId="0" fontId="1" fillId="6014" borderId="0" xfId="4" applyFill="1" applyAlignment="1">
      <alignment horizontal="center" vertical="center"/>
    </xf>
    <xf numFmtId="0" fontId="1" fillId="6015" borderId="0" xfId="4" applyFill="1" applyAlignment="1">
      <alignment horizontal="center" vertical="center"/>
    </xf>
    <xf numFmtId="0" fontId="1" fillId="6016" borderId="0" xfId="4" applyFill="1" applyAlignment="1">
      <alignment horizontal="center" vertical="center"/>
    </xf>
    <xf numFmtId="0" fontId="1" fillId="6017" borderId="0" xfId="4" applyFill="1" applyAlignment="1">
      <alignment horizontal="center" vertical="center"/>
    </xf>
    <xf numFmtId="0" fontId="1" fillId="6018" borderId="0" xfId="4" applyFill="1" applyAlignment="1">
      <alignment horizontal="center" vertical="center"/>
    </xf>
    <xf numFmtId="0" fontId="1" fillId="6019" borderId="0" xfId="4" applyFill="1" applyAlignment="1">
      <alignment horizontal="center" vertical="center"/>
    </xf>
    <xf numFmtId="0" fontId="1" fillId="6020" borderId="0" xfId="4" applyFill="1" applyAlignment="1">
      <alignment horizontal="center" vertical="center"/>
    </xf>
    <xf numFmtId="0" fontId="1" fillId="6021" borderId="0" xfId="4" applyFill="1" applyAlignment="1">
      <alignment horizontal="center" vertical="center"/>
    </xf>
    <xf numFmtId="0" fontId="1" fillId="6022" borderId="0" xfId="4" applyFill="1" applyAlignment="1">
      <alignment horizontal="center" vertical="center"/>
    </xf>
    <xf numFmtId="0" fontId="1" fillId="6023" borderId="0" xfId="4" applyFill="1" applyAlignment="1">
      <alignment horizontal="center" vertical="center"/>
    </xf>
    <xf numFmtId="0" fontId="1" fillId="6024" borderId="0" xfId="4" applyFill="1" applyAlignment="1">
      <alignment horizontal="center" vertical="center"/>
    </xf>
    <xf numFmtId="0" fontId="1" fillId="6025" borderId="0" xfId="4" applyFill="1" applyAlignment="1">
      <alignment horizontal="center" vertical="center"/>
    </xf>
    <xf numFmtId="0" fontId="1" fillId="6026" borderId="0" xfId="4" applyFill="1" applyAlignment="1">
      <alignment horizontal="center" vertical="center"/>
    </xf>
    <xf numFmtId="0" fontId="1" fillId="6027" borderId="0" xfId="4" applyFill="1" applyAlignment="1">
      <alignment horizontal="center" vertical="center"/>
    </xf>
    <xf numFmtId="0" fontId="1" fillId="6028" borderId="0" xfId="4" applyFill="1" applyAlignment="1">
      <alignment horizontal="center" vertical="center"/>
    </xf>
    <xf numFmtId="0" fontId="1" fillId="6029" borderId="0" xfId="4" applyFill="1" applyAlignment="1">
      <alignment horizontal="center" vertical="center"/>
    </xf>
    <xf numFmtId="0" fontId="1" fillId="6030" borderId="0" xfId="4" applyFill="1" applyAlignment="1">
      <alignment horizontal="center" vertical="center"/>
    </xf>
    <xf numFmtId="0" fontId="1" fillId="6031" borderId="0" xfId="4" applyFill="1" applyAlignment="1">
      <alignment horizontal="center" vertical="center"/>
    </xf>
    <xf numFmtId="0" fontId="1" fillId="6032" borderId="0" xfId="4" applyFill="1" applyAlignment="1">
      <alignment horizontal="center" vertical="center"/>
    </xf>
    <xf numFmtId="0" fontId="1" fillId="6033" borderId="0" xfId="4" applyFill="1" applyAlignment="1">
      <alignment horizontal="center" vertical="center"/>
    </xf>
    <xf numFmtId="0" fontId="1" fillId="6034" borderId="0" xfId="4" applyFill="1" applyAlignment="1">
      <alignment horizontal="center" vertical="center"/>
    </xf>
    <xf numFmtId="0" fontId="1" fillId="6035" borderId="0" xfId="4" applyFill="1" applyAlignment="1">
      <alignment horizontal="center" vertical="center"/>
    </xf>
    <xf numFmtId="0" fontId="1" fillId="6036" borderId="0" xfId="4" applyFill="1" applyAlignment="1">
      <alignment horizontal="left" vertical="center"/>
    </xf>
    <xf numFmtId="0" fontId="1" fillId="6037" borderId="0" xfId="4" applyFill="1" applyAlignment="1">
      <alignment horizontal="center" vertical="center"/>
    </xf>
    <xf numFmtId="0" fontId="1" fillId="10" borderId="0" xfId="4" applyFill="1" applyAlignment="1">
      <alignment horizontal="center" vertical="center"/>
    </xf>
    <xf numFmtId="0" fontId="1" fillId="6038" borderId="0" xfId="4" applyFill="1" applyAlignment="1">
      <alignment horizontal="center" vertical="center"/>
    </xf>
    <xf numFmtId="0" fontId="1" fillId="6039" borderId="0" xfId="4" applyFill="1" applyAlignment="1">
      <alignment horizontal="center" vertical="center"/>
    </xf>
    <xf numFmtId="0" fontId="1" fillId="6040" borderId="0" xfId="4" applyFill="1" applyAlignment="1">
      <alignment horizontal="center" vertical="center"/>
    </xf>
    <xf numFmtId="0" fontId="1" fillId="6041" borderId="0" xfId="4" applyFill="1" applyAlignment="1">
      <alignment horizontal="center" vertical="center"/>
    </xf>
    <xf numFmtId="0" fontId="1" fillId="6042" borderId="0" xfId="4" applyFill="1" applyAlignment="1">
      <alignment horizontal="center" vertical="center"/>
    </xf>
    <xf numFmtId="0" fontId="1" fillId="6043" borderId="0" xfId="4" applyFill="1" applyAlignment="1">
      <alignment horizontal="center" vertical="center"/>
    </xf>
    <xf numFmtId="0" fontId="1" fillId="6044" borderId="0" xfId="4" applyFill="1" applyAlignment="1">
      <alignment horizontal="center" vertical="center"/>
    </xf>
    <xf numFmtId="0" fontId="1" fillId="6045" borderId="0" xfId="4" applyFill="1" applyAlignment="1">
      <alignment horizontal="center" vertical="center"/>
    </xf>
    <xf numFmtId="0" fontId="1" fillId="6046" borderId="0" xfId="4" applyFill="1" applyAlignment="1">
      <alignment horizontal="center" vertical="center"/>
    </xf>
    <xf numFmtId="0" fontId="1" fillId="6047" borderId="0" xfId="4" applyFill="1" applyAlignment="1">
      <alignment horizontal="center" vertical="center"/>
    </xf>
    <xf numFmtId="0" fontId="1" fillId="6048" borderId="0" xfId="4" applyFill="1" applyAlignment="1">
      <alignment horizontal="center" vertical="center"/>
    </xf>
    <xf numFmtId="0" fontId="1" fillId="6049" borderId="0" xfId="4" applyFill="1" applyAlignment="1">
      <alignment horizontal="center" vertical="center"/>
    </xf>
    <xf numFmtId="0" fontId="1" fillId="6050" borderId="0" xfId="4" applyFill="1" applyAlignment="1">
      <alignment horizontal="center" vertical="center"/>
    </xf>
    <xf numFmtId="0" fontId="1" fillId="6051" borderId="0" xfId="4" applyFill="1" applyAlignment="1">
      <alignment horizontal="center" vertical="center"/>
    </xf>
    <xf numFmtId="0" fontId="1" fillId="6052" borderId="0" xfId="4" applyFill="1" applyAlignment="1">
      <alignment horizontal="center" vertical="center"/>
    </xf>
    <xf numFmtId="0" fontId="1" fillId="6053" borderId="0" xfId="4" applyFill="1" applyAlignment="1">
      <alignment horizontal="center" vertical="center"/>
    </xf>
    <xf numFmtId="0" fontId="1" fillId="6054" borderId="0" xfId="4" applyFill="1" applyAlignment="1">
      <alignment horizontal="center" vertical="center"/>
    </xf>
    <xf numFmtId="0" fontId="1" fillId="6055" borderId="0" xfId="4" applyFill="1" applyAlignment="1">
      <alignment horizontal="center" vertical="center"/>
    </xf>
    <xf numFmtId="0" fontId="1" fillId="6056" borderId="0" xfId="4" applyFill="1" applyAlignment="1">
      <alignment horizontal="center" vertical="center"/>
    </xf>
    <xf numFmtId="0" fontId="1" fillId="6057" borderId="0" xfId="4" applyFill="1" applyAlignment="1">
      <alignment horizontal="center" vertical="center"/>
    </xf>
    <xf numFmtId="0" fontId="1" fillId="6058" borderId="0" xfId="4" applyFill="1" applyAlignment="1">
      <alignment horizontal="center" vertical="center"/>
    </xf>
    <xf numFmtId="0" fontId="1" fillId="6059" borderId="0" xfId="4" applyFill="1" applyAlignment="1">
      <alignment horizontal="center" vertical="center"/>
    </xf>
    <xf numFmtId="0" fontId="1" fillId="6060" borderId="0" xfId="4" applyFill="1" applyAlignment="1">
      <alignment horizontal="center" vertical="center"/>
    </xf>
    <xf numFmtId="0" fontId="1" fillId="6061" borderId="0" xfId="4" applyFill="1" applyAlignment="1">
      <alignment horizontal="center" vertical="center"/>
    </xf>
    <xf numFmtId="0" fontId="1" fillId="6062" borderId="0" xfId="4" applyFill="1" applyAlignment="1">
      <alignment horizontal="center" vertical="center"/>
    </xf>
    <xf numFmtId="0" fontId="1" fillId="6063" borderId="0" xfId="4" applyFill="1" applyAlignment="1">
      <alignment horizontal="center" vertical="center"/>
    </xf>
    <xf numFmtId="0" fontId="1" fillId="6064" borderId="0" xfId="4" applyFill="1" applyAlignment="1">
      <alignment horizontal="center" vertical="center"/>
    </xf>
    <xf numFmtId="0" fontId="1" fillId="6065" borderId="0" xfId="4" applyFill="1" applyAlignment="1">
      <alignment horizontal="center" vertical="center"/>
    </xf>
    <xf numFmtId="0" fontId="1" fillId="6066" borderId="0" xfId="4" applyFill="1" applyAlignment="1">
      <alignment horizontal="center" vertical="center"/>
    </xf>
    <xf numFmtId="0" fontId="1" fillId="6067" borderId="0" xfId="4" applyFill="1" applyAlignment="1">
      <alignment horizontal="center" vertical="center"/>
    </xf>
    <xf numFmtId="0" fontId="1" fillId="6068" borderId="0" xfId="4" applyFill="1" applyAlignment="1">
      <alignment horizontal="center" vertical="center"/>
    </xf>
    <xf numFmtId="0" fontId="1" fillId="6069" borderId="0" xfId="4" applyFill="1" applyAlignment="1">
      <alignment horizontal="left" vertical="center"/>
    </xf>
    <xf numFmtId="0" fontId="1" fillId="6070" borderId="0" xfId="4" applyFill="1" applyAlignment="1">
      <alignment horizontal="center" vertical="center"/>
    </xf>
    <xf numFmtId="0" fontId="1" fillId="6071" borderId="0" xfId="4" applyFill="1" applyAlignment="1">
      <alignment horizontal="center" vertical="center"/>
    </xf>
    <xf numFmtId="0" fontId="1" fillId="6072" borderId="0" xfId="4" applyFill="1" applyAlignment="1">
      <alignment horizontal="center" vertical="center"/>
    </xf>
    <xf numFmtId="0" fontId="1" fillId="6073" borderId="0" xfId="4" applyFill="1" applyAlignment="1">
      <alignment horizontal="center" vertical="center"/>
    </xf>
    <xf numFmtId="0" fontId="1" fillId="6074" borderId="0" xfId="4" applyFill="1" applyAlignment="1">
      <alignment horizontal="center" vertical="center"/>
    </xf>
    <xf numFmtId="0" fontId="1" fillId="6075" borderId="0" xfId="4" applyFill="1" applyAlignment="1">
      <alignment horizontal="center" vertical="center"/>
    </xf>
    <xf numFmtId="0" fontId="1" fillId="6076" borderId="0" xfId="4" applyFill="1" applyAlignment="1">
      <alignment horizontal="center" vertical="center"/>
    </xf>
    <xf numFmtId="0" fontId="1" fillId="6077" borderId="0" xfId="4" applyFill="1" applyAlignment="1">
      <alignment horizontal="center" vertical="center"/>
    </xf>
    <xf numFmtId="0" fontId="1" fillId="6078" borderId="0" xfId="4" applyFill="1" applyAlignment="1">
      <alignment horizontal="center" vertical="center"/>
    </xf>
    <xf numFmtId="0" fontId="1" fillId="6079" borderId="0" xfId="4" applyFill="1" applyAlignment="1">
      <alignment horizontal="center" vertical="center"/>
    </xf>
    <xf numFmtId="0" fontId="1" fillId="6080" borderId="0" xfId="4" applyFill="1" applyAlignment="1">
      <alignment horizontal="center" vertical="center"/>
    </xf>
    <xf numFmtId="0" fontId="1" fillId="6081" borderId="0" xfId="4" applyFill="1" applyAlignment="1">
      <alignment horizontal="center" vertical="center"/>
    </xf>
    <xf numFmtId="0" fontId="1" fillId="6082" borderId="0" xfId="4" applyFill="1" applyAlignment="1">
      <alignment horizontal="center" vertical="center"/>
    </xf>
    <xf numFmtId="0" fontId="1" fillId="6083" borderId="0" xfId="4" applyFill="1" applyAlignment="1">
      <alignment horizontal="center" vertical="center"/>
    </xf>
    <xf numFmtId="0" fontId="1" fillId="6084" borderId="0" xfId="4" applyFill="1" applyAlignment="1">
      <alignment horizontal="center" vertical="center"/>
    </xf>
    <xf numFmtId="0" fontId="1" fillId="6085" borderId="0" xfId="4" applyFill="1" applyAlignment="1">
      <alignment horizontal="center" vertical="center"/>
    </xf>
    <xf numFmtId="0" fontId="1" fillId="6086" borderId="0" xfId="4" applyFill="1" applyAlignment="1">
      <alignment horizontal="center" vertical="center"/>
    </xf>
    <xf numFmtId="0" fontId="1" fillId="6087" borderId="0" xfId="4" applyFill="1" applyAlignment="1">
      <alignment horizontal="center" vertical="center"/>
    </xf>
    <xf numFmtId="0" fontId="1" fillId="6088" borderId="0" xfId="4" applyFill="1" applyAlignment="1">
      <alignment horizontal="center" vertical="center"/>
    </xf>
    <xf numFmtId="0" fontId="1" fillId="6089" borderId="0" xfId="4" applyFill="1" applyAlignment="1">
      <alignment horizontal="center" vertical="center"/>
    </xf>
    <xf numFmtId="0" fontId="1" fillId="6090" borderId="0" xfId="4" applyFill="1" applyAlignment="1">
      <alignment horizontal="left" vertical="center"/>
    </xf>
    <xf numFmtId="0" fontId="1" fillId="6091" borderId="0" xfId="4" applyFill="1" applyAlignment="1">
      <alignment horizontal="center" vertical="center"/>
    </xf>
    <xf numFmtId="0" fontId="1" fillId="6092" borderId="0" xfId="4" applyFill="1" applyAlignment="1">
      <alignment horizontal="center" vertical="center"/>
    </xf>
    <xf numFmtId="0" fontId="1" fillId="6093" borderId="0" xfId="4" applyFill="1" applyAlignment="1">
      <alignment horizontal="left" vertical="center"/>
    </xf>
    <xf numFmtId="0" fontId="1" fillId="6094" borderId="0" xfId="4" applyFill="1" applyAlignment="1">
      <alignment horizontal="center" vertical="center"/>
    </xf>
    <xf numFmtId="0" fontId="1" fillId="6095" borderId="0" xfId="4" applyFill="1" applyAlignment="1">
      <alignment horizontal="center" vertical="center"/>
    </xf>
    <xf numFmtId="0" fontId="1" fillId="6096" borderId="0" xfId="4" applyFill="1" applyAlignment="1">
      <alignment horizontal="center" vertical="center"/>
    </xf>
    <xf numFmtId="0" fontId="1" fillId="6097" borderId="0" xfId="4" applyFill="1" applyAlignment="1">
      <alignment horizontal="center" vertical="center"/>
    </xf>
    <xf numFmtId="0" fontId="1" fillId="1150" borderId="0" xfId="4" applyFill="1" applyAlignment="1">
      <alignment horizontal="center" vertical="center"/>
    </xf>
    <xf numFmtId="0" fontId="1" fillId="6098" borderId="0" xfId="4" applyFill="1" applyAlignment="1">
      <alignment horizontal="center" vertical="center"/>
    </xf>
    <xf numFmtId="0" fontId="1" fillId="6099" borderId="0" xfId="4" applyFill="1" applyAlignment="1">
      <alignment horizontal="center" vertical="center"/>
    </xf>
    <xf numFmtId="0" fontId="1" fillId="6100" borderId="0" xfId="4" applyFill="1" applyAlignment="1">
      <alignment horizontal="center" vertical="center"/>
    </xf>
    <xf numFmtId="0" fontId="1" fillId="6101" borderId="0" xfId="4" applyFill="1" applyAlignment="1">
      <alignment horizontal="center" vertical="center"/>
    </xf>
    <xf numFmtId="0" fontId="1" fillId="6102" borderId="0" xfId="4" applyFill="1" applyAlignment="1">
      <alignment horizontal="center" vertical="center"/>
    </xf>
    <xf numFmtId="0" fontId="1" fillId="6103" borderId="0" xfId="4" applyFill="1" applyAlignment="1">
      <alignment horizontal="center" vertical="center"/>
    </xf>
    <xf numFmtId="0" fontId="1" fillId="6104" borderId="0" xfId="4" applyFill="1" applyAlignment="1">
      <alignment horizontal="center" vertical="center"/>
    </xf>
    <xf numFmtId="0" fontId="1" fillId="6105" borderId="0" xfId="4" applyFill="1" applyAlignment="1">
      <alignment horizontal="center" vertical="center"/>
    </xf>
    <xf numFmtId="0" fontId="1" fillId="6106" borderId="0" xfId="4" applyFill="1" applyAlignment="1">
      <alignment horizontal="center" vertical="center"/>
    </xf>
    <xf numFmtId="0" fontId="1" fillId="6107" borderId="0" xfId="4" applyFill="1" applyAlignment="1">
      <alignment horizontal="center" vertical="center"/>
    </xf>
    <xf numFmtId="0" fontId="1" fillId="6108" borderId="0" xfId="4" applyFill="1" applyAlignment="1">
      <alignment horizontal="center" vertical="center"/>
    </xf>
    <xf numFmtId="0" fontId="1" fillId="6109" borderId="0" xfId="4" applyFill="1" applyAlignment="1">
      <alignment horizontal="center" vertical="center"/>
    </xf>
    <xf numFmtId="0" fontId="1" fillId="6110" borderId="0" xfId="4" applyFill="1" applyAlignment="1">
      <alignment horizontal="center" vertical="center"/>
    </xf>
    <xf numFmtId="0" fontId="1" fillId="6111" borderId="0" xfId="4" applyFill="1" applyAlignment="1">
      <alignment horizontal="center" vertical="center"/>
    </xf>
    <xf numFmtId="0" fontId="1" fillId="6112" borderId="0" xfId="4" applyFill="1" applyAlignment="1">
      <alignment horizontal="center" vertical="center"/>
    </xf>
    <xf numFmtId="0" fontId="1" fillId="6113" borderId="0" xfId="4" applyFill="1" applyAlignment="1">
      <alignment horizontal="center" vertical="center"/>
    </xf>
    <xf numFmtId="0" fontId="1" fillId="6114" borderId="0" xfId="4" applyFill="1" applyAlignment="1">
      <alignment horizontal="center" vertical="center"/>
    </xf>
    <xf numFmtId="0" fontId="1" fillId="6115" borderId="0" xfId="4" applyFill="1" applyAlignment="1">
      <alignment horizontal="center" vertical="center"/>
    </xf>
    <xf numFmtId="0" fontId="1" fillId="6116" borderId="0" xfId="4" applyFill="1" applyAlignment="1">
      <alignment horizontal="center" vertical="center"/>
    </xf>
    <xf numFmtId="0" fontId="1" fillId="6117" borderId="0" xfId="4" applyFill="1" applyAlignment="1">
      <alignment horizontal="center" vertical="center"/>
    </xf>
    <xf numFmtId="0" fontId="1" fillId="6118" borderId="0" xfId="4" applyFill="1" applyAlignment="1">
      <alignment horizontal="center" vertical="center"/>
    </xf>
    <xf numFmtId="0" fontId="1" fillId="6119" borderId="0" xfId="4" applyFill="1" applyAlignment="1">
      <alignment horizontal="center" vertical="center"/>
    </xf>
    <xf numFmtId="0" fontId="1" fillId="6120" borderId="0" xfId="4" applyFill="1" applyAlignment="1">
      <alignment horizontal="center" vertical="center"/>
    </xf>
    <xf numFmtId="0" fontId="1" fillId="6121" borderId="0" xfId="4" applyFill="1" applyAlignment="1">
      <alignment horizontal="center" vertical="center"/>
    </xf>
    <xf numFmtId="0" fontId="1" fillId="6122" borderId="0" xfId="4" applyFill="1" applyAlignment="1">
      <alignment horizontal="center" vertical="center"/>
    </xf>
    <xf numFmtId="0" fontId="1" fillId="6123" borderId="0" xfId="4" applyFill="1" applyAlignment="1">
      <alignment horizontal="center" vertical="center"/>
    </xf>
    <xf numFmtId="0" fontId="1" fillId="6124" borderId="0" xfId="4" applyFill="1" applyAlignment="1">
      <alignment horizontal="center" vertical="center"/>
    </xf>
    <xf numFmtId="0" fontId="1" fillId="6125" borderId="0" xfId="4" applyFill="1" applyAlignment="1">
      <alignment horizontal="center" vertical="center"/>
    </xf>
    <xf numFmtId="0" fontId="1" fillId="6126" borderId="0" xfId="4" applyFill="1" applyAlignment="1">
      <alignment horizontal="left" vertical="center"/>
    </xf>
    <xf numFmtId="0" fontId="1" fillId="6127" borderId="0" xfId="4" applyFill="1" applyAlignment="1">
      <alignment horizontal="center" vertical="center"/>
    </xf>
    <xf numFmtId="0" fontId="1" fillId="6128" borderId="0" xfId="4" applyFill="1" applyAlignment="1">
      <alignment horizontal="center" vertical="center"/>
    </xf>
    <xf numFmtId="0" fontId="1" fillId="6129" borderId="0" xfId="4" applyFill="1" applyAlignment="1">
      <alignment horizontal="center" vertical="center"/>
    </xf>
    <xf numFmtId="0" fontId="1" fillId="6130" borderId="0" xfId="4" applyFill="1" applyAlignment="1">
      <alignment horizontal="center" vertical="center"/>
    </xf>
    <xf numFmtId="0" fontId="1" fillId="6131" borderId="0" xfId="4" applyFill="1" applyAlignment="1">
      <alignment horizontal="center" vertical="center"/>
    </xf>
    <xf numFmtId="0" fontId="1" fillId="6132" borderId="0" xfId="4" applyFill="1" applyAlignment="1">
      <alignment horizontal="center" vertical="center"/>
    </xf>
    <xf numFmtId="0" fontId="1" fillId="6133" borderId="0" xfId="4" applyFill="1" applyAlignment="1">
      <alignment horizontal="center" vertical="center"/>
    </xf>
    <xf numFmtId="0" fontId="1" fillId="6134" borderId="0" xfId="4" applyFill="1" applyAlignment="1">
      <alignment horizontal="center" vertical="center"/>
    </xf>
    <xf numFmtId="0" fontId="1" fillId="6135" borderId="0" xfId="4" applyFill="1" applyAlignment="1">
      <alignment horizontal="center" vertical="center"/>
    </xf>
    <xf numFmtId="0" fontId="1" fillId="6136" borderId="0" xfId="4" applyFill="1" applyAlignment="1">
      <alignment horizontal="center" vertical="center"/>
    </xf>
    <xf numFmtId="0" fontId="1" fillId="6137" borderId="0" xfId="4" applyFill="1" applyAlignment="1">
      <alignment horizontal="center" vertical="center"/>
    </xf>
    <xf numFmtId="0" fontId="1" fillId="6138" borderId="0" xfId="4" applyFill="1" applyAlignment="1">
      <alignment horizontal="center" vertical="center"/>
    </xf>
    <xf numFmtId="0" fontId="1" fillId="6139" borderId="0" xfId="4" applyFill="1" applyAlignment="1">
      <alignment horizontal="center" vertical="center"/>
    </xf>
    <xf numFmtId="0" fontId="1" fillId="6140" borderId="0" xfId="4" applyFill="1" applyAlignment="1">
      <alignment horizontal="center" vertical="center"/>
    </xf>
    <xf numFmtId="0" fontId="1" fillId="6141" borderId="0" xfId="4" applyFill="1" applyAlignment="1">
      <alignment horizontal="center" vertical="center"/>
    </xf>
    <xf numFmtId="0" fontId="1" fillId="6142" borderId="0" xfId="4" applyFill="1" applyAlignment="1">
      <alignment horizontal="center" vertical="center"/>
    </xf>
    <xf numFmtId="0" fontId="1" fillId="6143" borderId="0" xfId="4" applyFill="1" applyAlignment="1">
      <alignment horizontal="center" vertical="center"/>
    </xf>
    <xf numFmtId="0" fontId="1" fillId="6144" borderId="0" xfId="4" applyFill="1" applyAlignment="1">
      <alignment horizontal="center" vertical="center"/>
    </xf>
    <xf numFmtId="0" fontId="1" fillId="6145" borderId="0" xfId="4" applyFill="1" applyAlignment="1">
      <alignment horizontal="center" vertical="center"/>
    </xf>
    <xf numFmtId="0" fontId="1" fillId="6146" borderId="0" xfId="4" applyFill="1" applyAlignment="1">
      <alignment horizontal="center" vertical="center"/>
    </xf>
    <xf numFmtId="0" fontId="1" fillId="6147" borderId="0" xfId="4" applyFill="1" applyAlignment="1">
      <alignment horizontal="center" vertical="center"/>
    </xf>
    <xf numFmtId="0" fontId="1" fillId="6148" borderId="0" xfId="4" applyFill="1" applyAlignment="1">
      <alignment horizontal="center" vertical="center"/>
    </xf>
    <xf numFmtId="0" fontId="1" fillId="6149" borderId="0" xfId="4" applyFill="1" applyAlignment="1">
      <alignment horizontal="center" vertical="center"/>
    </xf>
    <xf numFmtId="0" fontId="1" fillId="6150" borderId="0" xfId="4" applyFill="1" applyAlignment="1">
      <alignment horizontal="center" vertical="center"/>
    </xf>
    <xf numFmtId="0" fontId="1" fillId="6151" borderId="0" xfId="4" applyFill="1" applyAlignment="1">
      <alignment horizontal="center" vertical="center"/>
    </xf>
    <xf numFmtId="0" fontId="1" fillId="6152" borderId="0" xfId="4" applyFill="1" applyAlignment="1">
      <alignment horizontal="center" vertical="center"/>
    </xf>
    <xf numFmtId="0" fontId="1" fillId="6153" borderId="0" xfId="4" applyFill="1" applyAlignment="1">
      <alignment horizontal="center" vertical="center"/>
    </xf>
    <xf numFmtId="0" fontId="1" fillId="6154" borderId="0" xfId="4" applyFill="1" applyAlignment="1">
      <alignment horizontal="center" vertical="center"/>
    </xf>
    <xf numFmtId="0" fontId="1" fillId="6155" borderId="0" xfId="4" applyFill="1" applyAlignment="1">
      <alignment horizontal="center" vertical="center"/>
    </xf>
    <xf numFmtId="0" fontId="1" fillId="6156" borderId="0" xfId="4" applyFill="1" applyAlignment="1">
      <alignment horizontal="center" vertical="center"/>
    </xf>
    <xf numFmtId="0" fontId="1" fillId="6157" borderId="0" xfId="4" applyFill="1" applyAlignment="1">
      <alignment horizontal="center" vertical="center"/>
    </xf>
    <xf numFmtId="0" fontId="1" fillId="6158" borderId="0" xfId="4" applyFill="1" applyAlignment="1">
      <alignment horizontal="center" vertical="center"/>
    </xf>
    <xf numFmtId="0" fontId="1" fillId="6159" borderId="0" xfId="4" applyFill="1" applyAlignment="1">
      <alignment horizontal="center" vertical="center"/>
    </xf>
    <xf numFmtId="0" fontId="1" fillId="6160" borderId="0" xfId="4" applyFill="1" applyAlignment="1">
      <alignment horizontal="left" vertical="center"/>
    </xf>
    <xf numFmtId="0" fontId="1" fillId="6161" borderId="0" xfId="4" applyFill="1" applyAlignment="1">
      <alignment horizontal="center" vertical="center"/>
    </xf>
    <xf numFmtId="0" fontId="1" fillId="6162" borderId="0" xfId="4" applyFill="1" applyAlignment="1">
      <alignment horizontal="center" vertical="center"/>
    </xf>
    <xf numFmtId="0" fontId="1" fillId="6163" borderId="0" xfId="4" applyFill="1" applyAlignment="1">
      <alignment horizontal="center" vertical="center"/>
    </xf>
    <xf numFmtId="0" fontId="1" fillId="6164" borderId="0" xfId="4" applyFill="1" applyAlignment="1">
      <alignment horizontal="center" vertical="center"/>
    </xf>
    <xf numFmtId="0" fontId="1" fillId="6165" borderId="0" xfId="4" applyFill="1" applyAlignment="1">
      <alignment horizontal="center" vertical="center"/>
    </xf>
    <xf numFmtId="0" fontId="1" fillId="6166" borderId="0" xfId="4" applyFill="1" applyAlignment="1">
      <alignment horizontal="center" vertical="center"/>
    </xf>
    <xf numFmtId="0" fontId="1" fillId="6167" borderId="0" xfId="4" applyFill="1" applyAlignment="1">
      <alignment horizontal="center" vertical="center"/>
    </xf>
    <xf numFmtId="0" fontId="1" fillId="6168" borderId="0" xfId="4" applyFill="1" applyAlignment="1">
      <alignment horizontal="center" vertical="center"/>
    </xf>
    <xf numFmtId="0" fontId="1" fillId="6169" borderId="0" xfId="4" applyFill="1" applyAlignment="1">
      <alignment horizontal="center" vertical="center"/>
    </xf>
    <xf numFmtId="0" fontId="1" fillId="6170" borderId="0" xfId="4" applyFill="1" applyAlignment="1">
      <alignment horizontal="center" vertical="center"/>
    </xf>
    <xf numFmtId="0" fontId="1" fillId="6171" borderId="0" xfId="4" applyFill="1" applyAlignment="1">
      <alignment horizontal="center" vertical="center"/>
    </xf>
    <xf numFmtId="0" fontId="1" fillId="6172" borderId="0" xfId="4" applyFill="1" applyAlignment="1">
      <alignment horizontal="center" vertical="center"/>
    </xf>
    <xf numFmtId="0" fontId="1" fillId="6173" borderId="0" xfId="4" applyFill="1" applyAlignment="1">
      <alignment horizontal="center" vertical="center"/>
    </xf>
    <xf numFmtId="0" fontId="1" fillId="6174" borderId="0" xfId="4" applyFill="1" applyAlignment="1">
      <alignment horizontal="center" vertical="center"/>
    </xf>
    <xf numFmtId="0" fontId="1" fillId="6175" borderId="0" xfId="4" applyFill="1" applyAlignment="1">
      <alignment horizontal="center" vertical="center"/>
    </xf>
    <xf numFmtId="0" fontId="1" fillId="6176" borderId="0" xfId="4" applyFill="1" applyAlignment="1">
      <alignment horizontal="center" vertical="center"/>
    </xf>
    <xf numFmtId="0" fontId="1" fillId="6177" borderId="0" xfId="4" applyFill="1" applyAlignment="1">
      <alignment horizontal="center" vertical="center"/>
    </xf>
    <xf numFmtId="0" fontId="1" fillId="6178" borderId="0" xfId="4" applyFill="1" applyAlignment="1">
      <alignment horizontal="center" vertical="center"/>
    </xf>
    <xf numFmtId="0" fontId="1" fillId="6179" borderId="0" xfId="4" applyFill="1" applyAlignment="1">
      <alignment horizontal="center" vertical="center"/>
    </xf>
    <xf numFmtId="0" fontId="1" fillId="6180" borderId="0" xfId="4" applyFill="1" applyAlignment="1">
      <alignment horizontal="center" vertical="center"/>
    </xf>
    <xf numFmtId="0" fontId="1" fillId="6181" borderId="0" xfId="4" applyFill="1" applyAlignment="1">
      <alignment horizontal="left" vertical="center"/>
    </xf>
    <xf numFmtId="0" fontId="1" fillId="6182" borderId="0" xfId="4" applyFill="1" applyAlignment="1">
      <alignment horizontal="center" vertical="center"/>
    </xf>
    <xf numFmtId="0" fontId="1" fillId="6183" borderId="0" xfId="4" applyFill="1" applyAlignment="1">
      <alignment horizontal="center" vertical="center"/>
    </xf>
    <xf numFmtId="0" fontId="1" fillId="6184" borderId="0" xfId="4" applyFill="1" applyAlignment="1">
      <alignment horizontal="left" vertical="center"/>
    </xf>
    <xf numFmtId="0" fontId="1" fillId="6185" borderId="0" xfId="4" applyFill="1" applyAlignment="1">
      <alignment horizontal="center" vertical="center"/>
    </xf>
    <xf numFmtId="0" fontId="1" fillId="6186" borderId="0" xfId="4" applyFill="1" applyAlignment="1">
      <alignment horizontal="center" vertical="center"/>
    </xf>
    <xf numFmtId="0" fontId="1" fillId="6187" borderId="0" xfId="4" applyFill="1" applyAlignment="1">
      <alignment horizontal="center" vertical="center"/>
    </xf>
    <xf numFmtId="0" fontId="1" fillId="6188" borderId="0" xfId="4" applyFill="1" applyAlignment="1">
      <alignment horizontal="center" vertical="center"/>
    </xf>
    <xf numFmtId="0" fontId="1" fillId="6189" borderId="0" xfId="4" applyFill="1" applyAlignment="1">
      <alignment horizontal="center" vertical="center"/>
    </xf>
    <xf numFmtId="0" fontId="1" fillId="6190" borderId="0" xfId="4" applyFill="1" applyAlignment="1">
      <alignment horizontal="center" vertical="center"/>
    </xf>
    <xf numFmtId="0" fontId="1" fillId="6191" borderId="0" xfId="4" applyFill="1" applyAlignment="1">
      <alignment horizontal="center" vertical="center"/>
    </xf>
    <xf numFmtId="0" fontId="1" fillId="6192" borderId="0" xfId="4" applyFill="1" applyAlignment="1">
      <alignment horizontal="center" vertical="center"/>
    </xf>
    <xf numFmtId="0" fontId="1" fillId="6193" borderId="0" xfId="4" applyFill="1" applyAlignment="1">
      <alignment horizontal="center" vertical="center"/>
    </xf>
    <xf numFmtId="0" fontId="1" fillId="6194" borderId="0" xfId="4" applyFill="1" applyAlignment="1">
      <alignment horizontal="center" vertical="center"/>
    </xf>
    <xf numFmtId="0" fontId="1" fillId="6195" borderId="0" xfId="4" applyFill="1" applyAlignment="1">
      <alignment horizontal="center" vertical="center"/>
    </xf>
    <xf numFmtId="0" fontId="1" fillId="6196" borderId="0" xfId="4" applyFill="1" applyAlignment="1">
      <alignment horizontal="center" vertical="center"/>
    </xf>
    <xf numFmtId="0" fontId="1" fillId="6197" borderId="0" xfId="4" applyFill="1" applyAlignment="1">
      <alignment horizontal="center" vertical="center"/>
    </xf>
    <xf numFmtId="0" fontId="1" fillId="6198" borderId="0" xfId="4" applyFill="1" applyAlignment="1">
      <alignment horizontal="center" vertical="center"/>
    </xf>
    <xf numFmtId="0" fontId="1" fillId="6199" borderId="0" xfId="4" applyFill="1" applyAlignment="1">
      <alignment horizontal="center" vertical="center"/>
    </xf>
    <xf numFmtId="0" fontId="1" fillId="6200" borderId="0" xfId="4" applyFill="1" applyAlignment="1">
      <alignment horizontal="center" vertical="center"/>
    </xf>
    <xf numFmtId="0" fontId="1" fillId="6201" borderId="0" xfId="4" applyFill="1" applyAlignment="1">
      <alignment horizontal="center" vertical="center"/>
    </xf>
    <xf numFmtId="0" fontId="1" fillId="6202" borderId="0" xfId="4" applyFill="1" applyAlignment="1">
      <alignment horizontal="center" vertical="center"/>
    </xf>
    <xf numFmtId="0" fontId="1" fillId="6203" borderId="0" xfId="4" applyFill="1" applyAlignment="1">
      <alignment horizontal="center" vertical="center"/>
    </xf>
    <xf numFmtId="0" fontId="1" fillId="6204" borderId="0" xfId="4" applyFill="1" applyAlignment="1">
      <alignment horizontal="center" vertical="center"/>
    </xf>
    <xf numFmtId="0" fontId="1" fillId="6205" borderId="0" xfId="4" applyFill="1" applyAlignment="1">
      <alignment horizontal="center" vertical="center"/>
    </xf>
    <xf numFmtId="0" fontId="1" fillId="6206" borderId="0" xfId="4" applyFill="1" applyAlignment="1">
      <alignment horizontal="center" vertical="center"/>
    </xf>
    <xf numFmtId="0" fontId="1" fillId="6207" borderId="0" xfId="4" applyFill="1" applyAlignment="1">
      <alignment horizontal="center" vertical="center"/>
    </xf>
    <xf numFmtId="0" fontId="1" fillId="6208" borderId="0" xfId="4" applyFill="1" applyAlignment="1">
      <alignment horizontal="center" vertical="center"/>
    </xf>
    <xf numFmtId="0" fontId="1" fillId="6209" borderId="0" xfId="4" applyFill="1" applyAlignment="1">
      <alignment horizontal="center" vertical="center"/>
    </xf>
    <xf numFmtId="0" fontId="1" fillId="6210" borderId="0" xfId="4" applyFill="1" applyAlignment="1">
      <alignment horizontal="center" vertical="center"/>
    </xf>
    <xf numFmtId="0" fontId="1" fillId="6211" borderId="0" xfId="4" applyFill="1" applyAlignment="1">
      <alignment horizontal="center" vertical="center"/>
    </xf>
    <xf numFmtId="0" fontId="1" fillId="6212" borderId="0" xfId="4" applyFill="1" applyAlignment="1">
      <alignment horizontal="center" vertical="center"/>
    </xf>
    <xf numFmtId="0" fontId="1" fillId="6213" borderId="0" xfId="4" applyFill="1" applyAlignment="1">
      <alignment horizontal="center" vertical="center"/>
    </xf>
    <xf numFmtId="0" fontId="1" fillId="6214" borderId="0" xfId="4" applyFill="1" applyAlignment="1">
      <alignment horizontal="center" vertical="center"/>
    </xf>
    <xf numFmtId="0" fontId="1" fillId="6215" borderId="0" xfId="4" applyFill="1" applyAlignment="1">
      <alignment horizontal="center" vertical="center"/>
    </xf>
    <xf numFmtId="0" fontId="1" fillId="6216" borderId="0" xfId="4" applyFill="1" applyAlignment="1">
      <alignment horizontal="center" vertical="center"/>
    </xf>
    <xf numFmtId="0" fontId="1" fillId="6217" borderId="0" xfId="4" applyFill="1" applyAlignment="1">
      <alignment horizontal="center" vertical="center"/>
    </xf>
    <xf numFmtId="0" fontId="1" fillId="6218" borderId="0" xfId="4" applyFill="1" applyAlignment="1">
      <alignment horizontal="center" vertical="center"/>
    </xf>
    <xf numFmtId="0" fontId="1" fillId="6219" borderId="0" xfId="4" applyFill="1" applyAlignment="1">
      <alignment horizontal="center" vertical="center"/>
    </xf>
    <xf numFmtId="0" fontId="1" fillId="6220" borderId="0" xfId="4" applyFill="1" applyAlignment="1">
      <alignment horizontal="left" vertical="center"/>
    </xf>
    <xf numFmtId="0" fontId="1" fillId="6221" borderId="0" xfId="4" applyFill="1" applyAlignment="1">
      <alignment horizontal="center" vertical="center"/>
    </xf>
    <xf numFmtId="0" fontId="1" fillId="6222" borderId="0" xfId="4" applyFill="1" applyAlignment="1">
      <alignment horizontal="center" vertical="center"/>
    </xf>
    <xf numFmtId="0" fontId="1" fillId="6223" borderId="0" xfId="4" applyFill="1" applyAlignment="1">
      <alignment horizontal="center" vertical="center"/>
    </xf>
    <xf numFmtId="0" fontId="1" fillId="6224" borderId="0" xfId="4" applyFill="1" applyAlignment="1">
      <alignment horizontal="center" vertical="center"/>
    </xf>
    <xf numFmtId="0" fontId="1" fillId="6225" borderId="0" xfId="4" applyFill="1" applyAlignment="1">
      <alignment horizontal="center" vertical="center"/>
    </xf>
    <xf numFmtId="0" fontId="1" fillId="6226" borderId="0" xfId="4" applyFill="1" applyAlignment="1">
      <alignment horizontal="center" vertical="center"/>
    </xf>
    <xf numFmtId="0" fontId="1" fillId="6227" borderId="0" xfId="4" applyFill="1" applyAlignment="1">
      <alignment horizontal="center" vertical="center"/>
    </xf>
    <xf numFmtId="0" fontId="1" fillId="6228" borderId="0" xfId="4" applyFill="1" applyAlignment="1">
      <alignment horizontal="center" vertical="center"/>
    </xf>
    <xf numFmtId="0" fontId="1" fillId="6229" borderId="0" xfId="4" applyFill="1" applyAlignment="1">
      <alignment horizontal="center" vertical="center"/>
    </xf>
    <xf numFmtId="0" fontId="1" fillId="6230" borderId="0" xfId="4" applyFill="1" applyAlignment="1">
      <alignment horizontal="center" vertical="center"/>
    </xf>
    <xf numFmtId="0" fontId="1" fillId="6231" borderId="0" xfId="4" applyFill="1" applyAlignment="1">
      <alignment horizontal="center" vertical="center"/>
    </xf>
    <xf numFmtId="0" fontId="1" fillId="6232" borderId="0" xfId="4" applyFill="1" applyAlignment="1">
      <alignment horizontal="center" vertical="center"/>
    </xf>
    <xf numFmtId="0" fontId="1" fillId="6233" borderId="0" xfId="4" applyFill="1" applyAlignment="1">
      <alignment horizontal="center" vertical="center"/>
    </xf>
    <xf numFmtId="0" fontId="1" fillId="6234" borderId="0" xfId="4" applyFill="1" applyAlignment="1">
      <alignment horizontal="center" vertical="center"/>
    </xf>
    <xf numFmtId="0" fontId="1" fillId="6235" borderId="0" xfId="4" applyFill="1" applyAlignment="1">
      <alignment horizontal="center" vertical="center"/>
    </xf>
    <xf numFmtId="0" fontId="1" fillId="6236" borderId="0" xfId="4" applyFill="1" applyAlignment="1">
      <alignment horizontal="center" vertical="center"/>
    </xf>
    <xf numFmtId="0" fontId="1" fillId="6237" borderId="0" xfId="4" applyFill="1" applyAlignment="1">
      <alignment horizontal="center" vertical="center"/>
    </xf>
    <xf numFmtId="0" fontId="1" fillId="6238" borderId="0" xfId="4" applyFill="1" applyAlignment="1">
      <alignment horizontal="center" vertical="center"/>
    </xf>
    <xf numFmtId="0" fontId="1" fillId="6239" borderId="0" xfId="4" applyFill="1" applyAlignment="1">
      <alignment horizontal="center" vertical="center"/>
    </xf>
    <xf numFmtId="0" fontId="1" fillId="6240" borderId="0" xfId="4" applyFill="1" applyAlignment="1">
      <alignment horizontal="center" vertical="center"/>
    </xf>
    <xf numFmtId="0" fontId="1" fillId="6241" borderId="0" xfId="4" applyFill="1" applyAlignment="1">
      <alignment horizontal="center" vertical="center"/>
    </xf>
    <xf numFmtId="0" fontId="1" fillId="6242" borderId="0" xfId="4" applyFill="1" applyAlignment="1">
      <alignment horizontal="center" vertical="center"/>
    </xf>
    <xf numFmtId="0" fontId="1" fillId="6243" borderId="0" xfId="4" applyFill="1" applyAlignment="1">
      <alignment horizontal="center" vertical="center"/>
    </xf>
    <xf numFmtId="0" fontId="1" fillId="6244" borderId="0" xfId="4" applyFill="1" applyAlignment="1">
      <alignment horizontal="center" vertical="center"/>
    </xf>
    <xf numFmtId="0" fontId="1" fillId="6245" borderId="0" xfId="4" applyFill="1" applyAlignment="1">
      <alignment horizontal="center" vertical="center"/>
    </xf>
    <xf numFmtId="0" fontId="1" fillId="6246" borderId="0" xfId="4" applyFill="1" applyAlignment="1">
      <alignment horizontal="center" vertical="center"/>
    </xf>
    <xf numFmtId="0" fontId="1" fillId="6247" borderId="0" xfId="4" applyFill="1" applyAlignment="1">
      <alignment horizontal="center" vertical="center"/>
    </xf>
    <xf numFmtId="0" fontId="1" fillId="6248" borderId="0" xfId="4" applyFill="1" applyAlignment="1">
      <alignment horizontal="center" vertical="center"/>
    </xf>
    <xf numFmtId="0" fontId="1" fillId="6249" borderId="0" xfId="4" applyFill="1" applyAlignment="1">
      <alignment horizontal="center" vertical="center"/>
    </xf>
    <xf numFmtId="0" fontId="1" fillId="6250" borderId="0" xfId="4" applyFill="1" applyAlignment="1">
      <alignment horizontal="center" vertical="center"/>
    </xf>
    <xf numFmtId="0" fontId="1" fillId="6251" borderId="0" xfId="4" applyFill="1" applyAlignment="1">
      <alignment horizontal="left" vertical="center"/>
    </xf>
    <xf numFmtId="0" fontId="1" fillId="6252" borderId="0" xfId="4" applyFill="1" applyAlignment="1">
      <alignment horizontal="center" vertical="center"/>
    </xf>
    <xf numFmtId="0" fontId="1" fillId="6253" borderId="0" xfId="4" applyFill="1" applyAlignment="1">
      <alignment horizontal="center" vertical="center"/>
    </xf>
    <xf numFmtId="0" fontId="1" fillId="6254" borderId="0" xfId="4" applyFill="1" applyAlignment="1">
      <alignment horizontal="center" vertical="center"/>
    </xf>
    <xf numFmtId="0" fontId="1" fillId="6255" borderId="0" xfId="4" applyFill="1" applyAlignment="1">
      <alignment horizontal="center" vertical="center"/>
    </xf>
    <xf numFmtId="0" fontId="1" fillId="6256" borderId="0" xfId="4" applyFill="1" applyAlignment="1">
      <alignment horizontal="center" vertical="center"/>
    </xf>
    <xf numFmtId="0" fontId="1" fillId="6257" borderId="0" xfId="4" applyFill="1" applyAlignment="1">
      <alignment horizontal="center" vertical="center"/>
    </xf>
    <xf numFmtId="0" fontId="1" fillId="6258" borderId="0" xfId="4" applyFill="1" applyAlignment="1">
      <alignment horizontal="center" vertical="center"/>
    </xf>
    <xf numFmtId="0" fontId="1" fillId="6259" borderId="0" xfId="4" applyFill="1" applyAlignment="1">
      <alignment horizontal="center" vertical="center"/>
    </xf>
    <xf numFmtId="0" fontId="1" fillId="6260" borderId="0" xfId="4" applyFill="1" applyAlignment="1">
      <alignment horizontal="center" vertical="center"/>
    </xf>
    <xf numFmtId="0" fontId="1" fillId="6261" borderId="0" xfId="4" applyFill="1" applyAlignment="1">
      <alignment horizontal="center" vertical="center"/>
    </xf>
    <xf numFmtId="0" fontId="1" fillId="6262" borderId="0" xfId="4" applyFill="1" applyAlignment="1">
      <alignment horizontal="center" vertical="center"/>
    </xf>
    <xf numFmtId="0" fontId="1" fillId="6263" borderId="0" xfId="4" applyFill="1" applyAlignment="1">
      <alignment horizontal="center" vertical="center"/>
    </xf>
    <xf numFmtId="0" fontId="1" fillId="6264" borderId="0" xfId="4" applyFill="1" applyAlignment="1">
      <alignment horizontal="center" vertical="center"/>
    </xf>
    <xf numFmtId="0" fontId="1" fillId="6265" borderId="0" xfId="4" applyFill="1" applyAlignment="1">
      <alignment horizontal="center" vertical="center"/>
    </xf>
    <xf numFmtId="0" fontId="1" fillId="6266" borderId="0" xfId="4" applyFill="1" applyAlignment="1">
      <alignment horizontal="center" vertical="center"/>
    </xf>
    <xf numFmtId="0" fontId="1" fillId="6267" borderId="0" xfId="4" applyFill="1" applyAlignment="1">
      <alignment horizontal="center" vertical="center"/>
    </xf>
    <xf numFmtId="0" fontId="1" fillId="6268" borderId="0" xfId="4" applyFill="1" applyAlignment="1">
      <alignment horizontal="center" vertical="center"/>
    </xf>
    <xf numFmtId="0" fontId="1" fillId="6269" borderId="0" xfId="4" applyFill="1" applyAlignment="1">
      <alignment horizontal="center" vertical="center"/>
    </xf>
    <xf numFmtId="0" fontId="1" fillId="6270" borderId="0" xfId="4" applyFill="1" applyAlignment="1">
      <alignment horizontal="center" vertical="center"/>
    </xf>
    <xf numFmtId="0" fontId="1" fillId="6271" borderId="0" xfId="4" applyFill="1" applyAlignment="1">
      <alignment horizontal="center" vertical="center"/>
    </xf>
    <xf numFmtId="0" fontId="1" fillId="6272" borderId="0" xfId="4" applyFill="1" applyAlignment="1">
      <alignment horizontal="left" vertical="center"/>
    </xf>
    <xf numFmtId="0" fontId="1" fillId="6273" borderId="0" xfId="4" applyFill="1" applyAlignment="1">
      <alignment horizontal="center" vertical="center"/>
    </xf>
    <xf numFmtId="0" fontId="1" fillId="6274" borderId="0" xfId="4" applyFill="1" applyAlignment="1">
      <alignment horizontal="center" vertical="center"/>
    </xf>
    <xf numFmtId="0" fontId="1" fillId="6275" borderId="0" xfId="4" applyFill="1" applyAlignment="1">
      <alignment horizontal="left" vertical="center"/>
    </xf>
    <xf numFmtId="0" fontId="1" fillId="6276" borderId="0" xfId="4" applyFill="1" applyAlignment="1">
      <alignment horizontal="center" vertical="center"/>
    </xf>
    <xf numFmtId="0" fontId="1" fillId="6277" borderId="0" xfId="4" applyFill="1" applyAlignment="1">
      <alignment horizontal="center" vertical="center"/>
    </xf>
    <xf numFmtId="0" fontId="1" fillId="6278" borderId="0" xfId="4" applyFill="1" applyAlignment="1">
      <alignment horizontal="center" vertical="center"/>
    </xf>
    <xf numFmtId="0" fontId="1" fillId="6279" borderId="0" xfId="4" applyFill="1" applyAlignment="1">
      <alignment horizontal="center" vertical="center"/>
    </xf>
    <xf numFmtId="0" fontId="1" fillId="6280" borderId="0" xfId="4" applyFill="1" applyAlignment="1">
      <alignment horizontal="center" vertical="center"/>
    </xf>
    <xf numFmtId="0" fontId="1" fillId="6281" borderId="0" xfId="4" applyFill="1" applyAlignment="1">
      <alignment horizontal="center" vertical="center"/>
    </xf>
    <xf numFmtId="0" fontId="1" fillId="6282" borderId="0" xfId="4" applyFill="1" applyAlignment="1">
      <alignment horizontal="center" vertical="center"/>
    </xf>
    <xf numFmtId="0" fontId="1" fillId="6283" borderId="0" xfId="4" applyFill="1" applyAlignment="1">
      <alignment horizontal="center" vertical="center"/>
    </xf>
    <xf numFmtId="0" fontId="1" fillId="6284" borderId="0" xfId="4" applyFill="1" applyAlignment="1">
      <alignment horizontal="center" vertical="center"/>
    </xf>
    <xf numFmtId="0" fontId="1" fillId="6285" borderId="0" xfId="4" applyFill="1" applyAlignment="1">
      <alignment horizontal="center" vertical="center"/>
    </xf>
    <xf numFmtId="0" fontId="1" fillId="6286" borderId="0" xfId="4" applyFill="1" applyAlignment="1">
      <alignment horizontal="center" vertical="center"/>
    </xf>
    <xf numFmtId="0" fontId="1" fillId="6287" borderId="0" xfId="4" applyFill="1" applyAlignment="1">
      <alignment horizontal="center" vertical="center"/>
    </xf>
    <xf numFmtId="0" fontId="1" fillId="6288" borderId="0" xfId="4" applyFill="1" applyAlignment="1">
      <alignment horizontal="center" vertical="center"/>
    </xf>
    <xf numFmtId="0" fontId="1" fillId="6289" borderId="0" xfId="4" applyFill="1" applyAlignment="1">
      <alignment horizontal="center" vertical="center"/>
    </xf>
    <xf numFmtId="0" fontId="1" fillId="6290" borderId="0" xfId="4" applyFill="1" applyAlignment="1">
      <alignment horizontal="center" vertical="center"/>
    </xf>
    <xf numFmtId="0" fontId="1" fillId="6291" borderId="0" xfId="4" applyFill="1" applyAlignment="1">
      <alignment horizontal="center" vertical="center"/>
    </xf>
    <xf numFmtId="0" fontId="1" fillId="6292" borderId="0" xfId="4" applyFill="1" applyAlignment="1">
      <alignment horizontal="center" vertical="center"/>
    </xf>
    <xf numFmtId="0" fontId="1" fillId="6293" borderId="0" xfId="4" applyFill="1" applyAlignment="1">
      <alignment horizontal="center" vertical="center"/>
    </xf>
    <xf numFmtId="0" fontId="1" fillId="6294" borderId="0" xfId="4" applyFill="1" applyAlignment="1">
      <alignment horizontal="center" vertical="center"/>
    </xf>
    <xf numFmtId="0" fontId="1" fillId="6295" borderId="0" xfId="4" applyFill="1" applyAlignment="1">
      <alignment horizontal="center" vertical="center"/>
    </xf>
    <xf numFmtId="0" fontId="1" fillId="6296" borderId="0" xfId="4" applyFill="1" applyAlignment="1">
      <alignment horizontal="center" vertical="center"/>
    </xf>
    <xf numFmtId="0" fontId="1" fillId="6297" borderId="0" xfId="4" applyFill="1" applyAlignment="1">
      <alignment horizontal="center" vertical="center"/>
    </xf>
    <xf numFmtId="0" fontId="1" fillId="6298" borderId="0" xfId="4" applyFill="1" applyAlignment="1">
      <alignment horizontal="center" vertical="center"/>
    </xf>
    <xf numFmtId="0" fontId="1" fillId="6299" borderId="0" xfId="4" applyFill="1" applyAlignment="1">
      <alignment horizontal="center" vertical="center"/>
    </xf>
    <xf numFmtId="0" fontId="1" fillId="6300" borderId="0" xfId="4" applyFill="1" applyAlignment="1">
      <alignment horizontal="center" vertical="center"/>
    </xf>
    <xf numFmtId="0" fontId="1" fillId="6301" borderId="0" xfId="4" applyFill="1" applyAlignment="1">
      <alignment horizontal="center" vertical="center"/>
    </xf>
    <xf numFmtId="0" fontId="1" fillId="6302" borderId="0" xfId="4" applyFill="1" applyAlignment="1">
      <alignment horizontal="center" vertical="center"/>
    </xf>
    <xf numFmtId="0" fontId="1" fillId="6303" borderId="0" xfId="4" applyFill="1" applyAlignment="1">
      <alignment horizontal="center" vertical="center"/>
    </xf>
    <xf numFmtId="0" fontId="1" fillId="6304" borderId="0" xfId="4" applyFill="1" applyAlignment="1">
      <alignment horizontal="center" vertical="center"/>
    </xf>
    <xf numFmtId="0" fontId="1" fillId="6305" borderId="0" xfId="4" applyFill="1" applyAlignment="1">
      <alignment horizontal="center" vertical="center"/>
    </xf>
    <xf numFmtId="0" fontId="1" fillId="6306" borderId="0" xfId="4" applyFill="1" applyAlignment="1">
      <alignment horizontal="center" vertical="center"/>
    </xf>
    <xf numFmtId="0" fontId="1" fillId="6307" borderId="0" xfId="4" applyFill="1" applyAlignment="1">
      <alignment horizontal="center" vertical="center"/>
    </xf>
    <xf numFmtId="0" fontId="1" fillId="6308" borderId="0" xfId="4" applyFill="1" applyAlignment="1">
      <alignment horizontal="center" vertical="center"/>
    </xf>
    <xf numFmtId="0" fontId="1" fillId="6309" borderId="0" xfId="4" applyFill="1" applyAlignment="1">
      <alignment horizontal="center" vertical="center"/>
    </xf>
    <xf numFmtId="0" fontId="1" fillId="6310" borderId="0" xfId="4" applyFill="1" applyAlignment="1">
      <alignment horizontal="center" vertical="center"/>
    </xf>
    <xf numFmtId="0" fontId="1" fillId="6311" borderId="0" xfId="4" applyFill="1" applyAlignment="1">
      <alignment horizontal="left" vertical="center"/>
    </xf>
    <xf numFmtId="0" fontId="1" fillId="6312" borderId="0" xfId="4" applyFill="1" applyAlignment="1">
      <alignment horizontal="center" vertical="center"/>
    </xf>
    <xf numFmtId="0" fontId="1" fillId="6313" borderId="0" xfId="4" applyFill="1" applyAlignment="1">
      <alignment horizontal="center" vertical="center"/>
    </xf>
    <xf numFmtId="0" fontId="1" fillId="6314" borderId="0" xfId="4" applyFill="1" applyAlignment="1">
      <alignment horizontal="center" vertical="center"/>
    </xf>
    <xf numFmtId="0" fontId="1" fillId="6315" borderId="0" xfId="4" applyFill="1" applyAlignment="1">
      <alignment horizontal="center" vertical="center"/>
    </xf>
    <xf numFmtId="0" fontId="1" fillId="6316" borderId="0" xfId="4" applyFill="1" applyAlignment="1">
      <alignment horizontal="center" vertical="center"/>
    </xf>
    <xf numFmtId="0" fontId="1" fillId="6317" borderId="0" xfId="4" applyFill="1" applyAlignment="1">
      <alignment horizontal="center" vertical="center"/>
    </xf>
    <xf numFmtId="0" fontId="1" fillId="6318" borderId="0" xfId="4" applyFill="1" applyAlignment="1">
      <alignment horizontal="center" vertical="center"/>
    </xf>
    <xf numFmtId="0" fontId="1" fillId="6319" borderId="0" xfId="4" applyFill="1" applyAlignment="1">
      <alignment horizontal="center" vertical="center"/>
    </xf>
    <xf numFmtId="0" fontId="1" fillId="6320" borderId="0" xfId="4" applyFill="1" applyAlignment="1">
      <alignment horizontal="center" vertical="center"/>
    </xf>
    <xf numFmtId="0" fontId="1" fillId="6321" borderId="0" xfId="4" applyFill="1" applyAlignment="1">
      <alignment horizontal="center" vertical="center"/>
    </xf>
    <xf numFmtId="0" fontId="1" fillId="6322" borderId="0" xfId="4" applyFill="1" applyAlignment="1">
      <alignment horizontal="center" vertical="center"/>
    </xf>
    <xf numFmtId="0" fontId="1" fillId="6323" borderId="0" xfId="4" applyFill="1" applyAlignment="1">
      <alignment horizontal="center" vertical="center"/>
    </xf>
    <xf numFmtId="0" fontId="1" fillId="6324" borderId="0" xfId="4" applyFill="1" applyAlignment="1">
      <alignment horizontal="center" vertical="center"/>
    </xf>
    <xf numFmtId="0" fontId="1" fillId="6325" borderId="0" xfId="4" applyFill="1" applyAlignment="1">
      <alignment horizontal="center" vertical="center"/>
    </xf>
    <xf numFmtId="0" fontId="1" fillId="6326" borderId="0" xfId="4" applyFill="1" applyAlignment="1">
      <alignment horizontal="center" vertical="center"/>
    </xf>
    <xf numFmtId="0" fontId="1" fillId="6327" borderId="0" xfId="4" applyFill="1" applyAlignment="1">
      <alignment horizontal="center" vertical="center"/>
    </xf>
    <xf numFmtId="0" fontId="1" fillId="6328" borderId="0" xfId="4" applyFill="1" applyAlignment="1">
      <alignment horizontal="center" vertical="center"/>
    </xf>
    <xf numFmtId="0" fontId="1" fillId="6329" borderId="0" xfId="4" applyFill="1" applyAlignment="1">
      <alignment horizontal="center" vertical="center"/>
    </xf>
    <xf numFmtId="0" fontId="1" fillId="6330" borderId="0" xfId="4" applyFill="1" applyAlignment="1">
      <alignment horizontal="center" vertical="center"/>
    </xf>
    <xf numFmtId="0" fontId="1" fillId="6331" borderId="0" xfId="4" applyFill="1" applyAlignment="1">
      <alignment horizontal="center" vertical="center"/>
    </xf>
    <xf numFmtId="0" fontId="1" fillId="6332" borderId="0" xfId="4" applyFill="1" applyAlignment="1">
      <alignment horizontal="center" vertical="center"/>
    </xf>
    <xf numFmtId="0" fontId="1" fillId="6333" borderId="0" xfId="4" applyFill="1" applyAlignment="1">
      <alignment horizontal="center" vertical="center"/>
    </xf>
    <xf numFmtId="0" fontId="1" fillId="6334" borderId="0" xfId="4" applyFill="1" applyAlignment="1">
      <alignment horizontal="center" vertical="center"/>
    </xf>
    <xf numFmtId="0" fontId="1" fillId="6335" borderId="0" xfId="4" applyFill="1" applyAlignment="1">
      <alignment horizontal="center" vertical="center"/>
    </xf>
    <xf numFmtId="0" fontId="1" fillId="6336" borderId="0" xfId="4" applyFill="1" applyAlignment="1">
      <alignment horizontal="center" vertical="center"/>
    </xf>
    <xf numFmtId="0" fontId="1" fillId="6337" borderId="0" xfId="4" applyFill="1" applyAlignment="1">
      <alignment horizontal="center" vertical="center"/>
    </xf>
    <xf numFmtId="0" fontId="1" fillId="6338" borderId="0" xfId="4" applyFill="1" applyAlignment="1">
      <alignment horizontal="center" vertical="center"/>
    </xf>
    <xf numFmtId="0" fontId="1" fillId="6339" borderId="0" xfId="4" applyFill="1" applyAlignment="1">
      <alignment horizontal="center" vertical="center"/>
    </xf>
    <xf numFmtId="0" fontId="1" fillId="6340" borderId="0" xfId="4" applyFill="1" applyAlignment="1">
      <alignment horizontal="center" vertical="center"/>
    </xf>
    <xf numFmtId="0" fontId="1" fillId="6341" borderId="0" xfId="4" applyFill="1" applyAlignment="1">
      <alignment horizontal="left" vertical="center"/>
    </xf>
    <xf numFmtId="0" fontId="1" fillId="6342" borderId="0" xfId="4" applyFill="1" applyAlignment="1">
      <alignment horizontal="center" vertical="center"/>
    </xf>
    <xf numFmtId="0" fontId="1" fillId="6343" borderId="0" xfId="4" applyFill="1" applyAlignment="1">
      <alignment horizontal="center" vertical="center"/>
    </xf>
    <xf numFmtId="0" fontId="1" fillId="6344" borderId="0" xfId="4" applyFill="1" applyAlignment="1">
      <alignment horizontal="center" vertical="center"/>
    </xf>
    <xf numFmtId="0" fontId="1" fillId="6345" borderId="0" xfId="4" applyFill="1" applyAlignment="1">
      <alignment horizontal="center" vertical="center"/>
    </xf>
    <xf numFmtId="0" fontId="1" fillId="6346" borderId="0" xfId="4" applyFill="1" applyAlignment="1">
      <alignment horizontal="center" vertical="center"/>
    </xf>
    <xf numFmtId="0" fontId="1" fillId="6347" borderId="0" xfId="4" applyFill="1" applyAlignment="1">
      <alignment horizontal="center" vertical="center"/>
    </xf>
    <xf numFmtId="0" fontId="1" fillId="6348" borderId="0" xfId="4" applyFill="1" applyAlignment="1">
      <alignment horizontal="center" vertical="center"/>
    </xf>
    <xf numFmtId="0" fontId="1" fillId="6349" borderId="0" xfId="4" applyFill="1" applyAlignment="1">
      <alignment horizontal="center" vertical="center"/>
    </xf>
    <xf numFmtId="0" fontId="1" fillId="6350" borderId="0" xfId="4" applyFill="1" applyAlignment="1">
      <alignment horizontal="center" vertical="center"/>
    </xf>
    <xf numFmtId="0" fontId="1" fillId="6351" borderId="0" xfId="4" applyFill="1" applyAlignment="1">
      <alignment horizontal="center" vertical="center"/>
    </xf>
    <xf numFmtId="0" fontId="1" fillId="6352" borderId="0" xfId="4" applyFill="1" applyAlignment="1">
      <alignment horizontal="center" vertical="center"/>
    </xf>
    <xf numFmtId="0" fontId="1" fillId="6353" borderId="0" xfId="4" applyFill="1" applyAlignment="1">
      <alignment horizontal="center" vertical="center"/>
    </xf>
    <xf numFmtId="0" fontId="1" fillId="6354" borderId="0" xfId="4" applyFill="1" applyAlignment="1">
      <alignment horizontal="center" vertical="center"/>
    </xf>
    <xf numFmtId="0" fontId="1" fillId="6355" borderId="0" xfId="4" applyFill="1" applyAlignment="1">
      <alignment horizontal="center" vertical="center"/>
    </xf>
    <xf numFmtId="0" fontId="1" fillId="6356" borderId="0" xfId="4" applyFill="1" applyAlignment="1">
      <alignment horizontal="center" vertical="center"/>
    </xf>
    <xf numFmtId="0" fontId="1" fillId="6357" borderId="0" xfId="4" applyFill="1" applyAlignment="1">
      <alignment horizontal="center" vertical="center"/>
    </xf>
    <xf numFmtId="0" fontId="1" fillId="6358" borderId="0" xfId="4" applyFill="1" applyAlignment="1">
      <alignment horizontal="center" vertical="center"/>
    </xf>
    <xf numFmtId="0" fontId="1" fillId="6359" borderId="0" xfId="4" applyFill="1" applyAlignment="1">
      <alignment horizontal="center" vertical="center"/>
    </xf>
    <xf numFmtId="0" fontId="1" fillId="6360" borderId="0" xfId="4" applyFill="1" applyAlignment="1">
      <alignment horizontal="center" vertical="center"/>
    </xf>
    <xf numFmtId="0" fontId="1" fillId="6361" borderId="0" xfId="4" applyFill="1" applyAlignment="1">
      <alignment horizontal="left" vertical="center"/>
    </xf>
    <xf numFmtId="0" fontId="1" fillId="6362" borderId="0" xfId="4" applyFill="1" applyAlignment="1">
      <alignment horizontal="center" vertical="center"/>
    </xf>
    <xf numFmtId="0" fontId="1" fillId="6363" borderId="0" xfId="4" applyFill="1" applyAlignment="1">
      <alignment horizontal="center" vertical="center"/>
    </xf>
    <xf numFmtId="0" fontId="1" fillId="6364" borderId="0" xfId="4" applyFill="1" applyAlignment="1">
      <alignment horizontal="left" vertical="center"/>
    </xf>
    <xf numFmtId="0" fontId="1" fillId="6365" borderId="0" xfId="4" applyFill="1" applyAlignment="1">
      <alignment horizontal="center" vertical="center"/>
    </xf>
    <xf numFmtId="0" fontId="1" fillId="6366" borderId="0" xfId="4" applyFill="1" applyAlignment="1">
      <alignment horizontal="center" vertical="center"/>
    </xf>
    <xf numFmtId="0" fontId="1" fillId="6367" borderId="0" xfId="4" applyFill="1" applyAlignment="1">
      <alignment horizontal="center" vertical="center"/>
    </xf>
    <xf numFmtId="0" fontId="1" fillId="6368" borderId="0" xfId="4" applyFill="1" applyAlignment="1">
      <alignment horizontal="center" vertical="center"/>
    </xf>
    <xf numFmtId="0" fontId="1" fillId="6369" borderId="0" xfId="4" applyFill="1" applyAlignment="1">
      <alignment horizontal="center" vertical="center"/>
    </xf>
    <xf numFmtId="0" fontId="1" fillId="6370" borderId="0" xfId="4" applyFill="1" applyAlignment="1">
      <alignment horizontal="center" vertical="center"/>
    </xf>
    <xf numFmtId="0" fontId="1" fillId="6371" borderId="0" xfId="4" applyFill="1" applyAlignment="1">
      <alignment horizontal="center" vertical="center"/>
    </xf>
    <xf numFmtId="0" fontId="1" fillId="6372" borderId="0" xfId="4" applyFill="1" applyAlignment="1">
      <alignment horizontal="center" vertical="center"/>
    </xf>
    <xf numFmtId="0" fontId="1" fillId="6373" borderId="0" xfId="4" applyFill="1" applyAlignment="1">
      <alignment horizontal="center" vertical="center"/>
    </xf>
    <xf numFmtId="0" fontId="1" fillId="6374" borderId="0" xfId="4" applyFill="1" applyAlignment="1">
      <alignment horizontal="center" vertical="center"/>
    </xf>
    <xf numFmtId="0" fontId="1" fillId="6375" borderId="0" xfId="4" applyFill="1" applyAlignment="1">
      <alignment horizontal="center" vertical="center"/>
    </xf>
    <xf numFmtId="0" fontId="1" fillId="6376" borderId="0" xfId="4" applyFill="1" applyAlignment="1">
      <alignment horizontal="center" vertical="center"/>
    </xf>
    <xf numFmtId="0" fontId="1" fillId="6377" borderId="0" xfId="4" applyFill="1" applyAlignment="1">
      <alignment horizontal="center" vertical="center"/>
    </xf>
    <xf numFmtId="0" fontId="1" fillId="6378" borderId="0" xfId="4" applyFill="1" applyAlignment="1">
      <alignment horizontal="center" vertical="center"/>
    </xf>
    <xf numFmtId="0" fontId="1" fillId="6379" borderId="0" xfId="4" applyFill="1" applyAlignment="1">
      <alignment horizontal="center" vertical="center"/>
    </xf>
    <xf numFmtId="0" fontId="1" fillId="6380" borderId="0" xfId="4" applyFill="1" applyAlignment="1">
      <alignment horizontal="center" vertical="center"/>
    </xf>
    <xf numFmtId="0" fontId="1" fillId="6381" borderId="0" xfId="4" applyFill="1" applyAlignment="1">
      <alignment horizontal="center" vertical="center"/>
    </xf>
    <xf numFmtId="0" fontId="1" fillId="6382" borderId="0" xfId="4" applyFill="1" applyAlignment="1">
      <alignment horizontal="center" vertical="center"/>
    </xf>
    <xf numFmtId="0" fontId="1" fillId="6383" borderId="0" xfId="4" applyFill="1" applyAlignment="1">
      <alignment horizontal="center" vertical="center"/>
    </xf>
    <xf numFmtId="0" fontId="1" fillId="6384" borderId="0" xfId="4" applyFill="1" applyAlignment="1">
      <alignment horizontal="center" vertical="center"/>
    </xf>
    <xf numFmtId="0" fontId="1" fillId="6385" borderId="0" xfId="4" applyFill="1" applyAlignment="1">
      <alignment horizontal="center" vertical="center"/>
    </xf>
    <xf numFmtId="0" fontId="1" fillId="6386" borderId="0" xfId="4" applyFill="1" applyAlignment="1">
      <alignment horizontal="center" vertical="center"/>
    </xf>
    <xf numFmtId="0" fontId="1" fillId="6387" borderId="0" xfId="4" applyFill="1" applyAlignment="1">
      <alignment horizontal="center" vertical="center"/>
    </xf>
    <xf numFmtId="0" fontId="1" fillId="6388" borderId="0" xfId="4" applyFill="1" applyAlignment="1">
      <alignment horizontal="center" vertical="center"/>
    </xf>
    <xf numFmtId="0" fontId="1" fillId="6389" borderId="0" xfId="4" applyFill="1" applyAlignment="1">
      <alignment horizontal="center" vertical="center"/>
    </xf>
    <xf numFmtId="0" fontId="1" fillId="6390" borderId="0" xfId="4" applyFill="1" applyAlignment="1">
      <alignment horizontal="center" vertical="center"/>
    </xf>
    <xf numFmtId="0" fontId="1" fillId="6391" borderId="0" xfId="4" applyFill="1" applyAlignment="1">
      <alignment horizontal="center" vertical="center"/>
    </xf>
    <xf numFmtId="0" fontId="1" fillId="6392" borderId="0" xfId="4" applyFill="1" applyAlignment="1">
      <alignment horizontal="center" vertical="center"/>
    </xf>
    <xf numFmtId="0" fontId="1" fillId="6393" borderId="0" xfId="4" applyFill="1" applyAlignment="1">
      <alignment horizontal="center" vertical="center"/>
    </xf>
    <xf numFmtId="0" fontId="1" fillId="6394" borderId="0" xfId="4" applyFill="1" applyAlignment="1">
      <alignment horizontal="center" vertical="center"/>
    </xf>
    <xf numFmtId="0" fontId="1" fillId="6395" borderId="0" xfId="4" applyFill="1" applyAlignment="1">
      <alignment horizontal="center" vertical="center"/>
    </xf>
    <xf numFmtId="0" fontId="1" fillId="6396" borderId="0" xfId="4" applyFill="1" applyAlignment="1">
      <alignment horizontal="center" vertical="center"/>
    </xf>
    <xf numFmtId="0" fontId="1" fillId="6397" borderId="0" xfId="4" applyFill="1" applyAlignment="1">
      <alignment horizontal="center" vertical="center"/>
    </xf>
    <xf numFmtId="0" fontId="1" fillId="6398" borderId="0" xfId="4" applyFill="1" applyAlignment="1">
      <alignment horizontal="center" vertical="center"/>
    </xf>
    <xf numFmtId="0" fontId="1" fillId="6399" borderId="0" xfId="4" applyFill="1" applyAlignment="1">
      <alignment horizontal="center" vertical="center"/>
    </xf>
    <xf numFmtId="0" fontId="1" fillId="6400" borderId="0" xfId="4" applyFill="1" applyAlignment="1">
      <alignment horizontal="left" vertical="center"/>
    </xf>
    <xf numFmtId="0" fontId="1" fillId="6401" borderId="0" xfId="4" applyFill="1" applyAlignment="1">
      <alignment horizontal="center" vertical="center"/>
    </xf>
    <xf numFmtId="0" fontId="1" fillId="6402" borderId="0" xfId="4" applyFill="1" applyAlignment="1">
      <alignment horizontal="center" vertical="center"/>
    </xf>
    <xf numFmtId="0" fontId="1" fillId="6403" borderId="0" xfId="4" applyFill="1" applyAlignment="1">
      <alignment horizontal="center" vertical="center"/>
    </xf>
    <xf numFmtId="0" fontId="1" fillId="6404" borderId="0" xfId="4" applyFill="1" applyAlignment="1">
      <alignment horizontal="center" vertical="center"/>
    </xf>
    <xf numFmtId="0" fontId="1" fillId="6405" borderId="0" xfId="4" applyFill="1" applyAlignment="1">
      <alignment horizontal="center" vertical="center"/>
    </xf>
    <xf numFmtId="0" fontId="1" fillId="6406" borderId="0" xfId="4" applyFill="1" applyAlignment="1">
      <alignment horizontal="center" vertical="center"/>
    </xf>
    <xf numFmtId="0" fontId="1" fillId="6407" borderId="0" xfId="4" applyFill="1" applyAlignment="1">
      <alignment horizontal="center" vertical="center"/>
    </xf>
    <xf numFmtId="0" fontId="1" fillId="6408" borderId="0" xfId="4" applyFill="1" applyAlignment="1">
      <alignment horizontal="center" vertical="center"/>
    </xf>
    <xf numFmtId="0" fontId="1" fillId="6409" borderId="0" xfId="4" applyFill="1" applyAlignment="1">
      <alignment horizontal="center" vertical="center"/>
    </xf>
    <xf numFmtId="0" fontId="1" fillId="6410" borderId="0" xfId="4" applyFill="1" applyAlignment="1">
      <alignment horizontal="center" vertical="center"/>
    </xf>
    <xf numFmtId="0" fontId="1" fillId="6411" borderId="0" xfId="4" applyFill="1" applyAlignment="1">
      <alignment horizontal="center" vertical="center"/>
    </xf>
    <xf numFmtId="0" fontId="1" fillId="6412" borderId="0" xfId="4" applyFill="1" applyAlignment="1">
      <alignment horizontal="center" vertical="center"/>
    </xf>
    <xf numFmtId="0" fontId="1" fillId="6413" borderId="0" xfId="4" applyFill="1" applyAlignment="1">
      <alignment horizontal="center" vertical="center"/>
    </xf>
    <xf numFmtId="0" fontId="1" fillId="6414" borderId="0" xfId="4" applyFill="1" applyAlignment="1">
      <alignment horizontal="center" vertical="center"/>
    </xf>
    <xf numFmtId="0" fontId="1" fillId="6415" borderId="0" xfId="4" applyFill="1" applyAlignment="1">
      <alignment horizontal="center" vertical="center"/>
    </xf>
    <xf numFmtId="0" fontId="1" fillId="6416" borderId="0" xfId="4" applyFill="1" applyAlignment="1">
      <alignment horizontal="center" vertical="center"/>
    </xf>
    <xf numFmtId="0" fontId="1" fillId="6417" borderId="0" xfId="4" applyFill="1" applyAlignment="1">
      <alignment horizontal="center" vertical="center"/>
    </xf>
    <xf numFmtId="0" fontId="1" fillId="6418" borderId="0" xfId="4" applyFill="1" applyAlignment="1">
      <alignment horizontal="center" vertical="center"/>
    </xf>
    <xf numFmtId="0" fontId="1" fillId="6419" borderId="0" xfId="4" applyFill="1" applyAlignment="1">
      <alignment horizontal="center" vertical="center"/>
    </xf>
    <xf numFmtId="0" fontId="1" fillId="6420" borderId="0" xfId="4" applyFill="1" applyAlignment="1">
      <alignment horizontal="center" vertical="center"/>
    </xf>
    <xf numFmtId="0" fontId="1" fillId="6421" borderId="0" xfId="4" applyFill="1" applyAlignment="1">
      <alignment horizontal="center" vertical="center"/>
    </xf>
    <xf numFmtId="0" fontId="1" fillId="6422" borderId="0" xfId="4" applyFill="1" applyAlignment="1">
      <alignment horizontal="center" vertical="center"/>
    </xf>
    <xf numFmtId="0" fontId="1" fillId="6423" borderId="0" xfId="4" applyFill="1" applyAlignment="1">
      <alignment horizontal="center" vertical="center"/>
    </xf>
    <xf numFmtId="0" fontId="1" fillId="6424" borderId="0" xfId="4" applyFill="1" applyAlignment="1">
      <alignment horizontal="center" vertical="center"/>
    </xf>
    <xf numFmtId="0" fontId="1" fillId="6425" borderId="0" xfId="4" applyFill="1" applyAlignment="1">
      <alignment horizontal="center" vertical="center"/>
    </xf>
    <xf numFmtId="0" fontId="1" fillId="6426" borderId="0" xfId="4" applyFill="1" applyAlignment="1">
      <alignment horizontal="center" vertical="center"/>
    </xf>
    <xf numFmtId="0" fontId="1" fillId="6427" borderId="0" xfId="4" applyFill="1" applyAlignment="1">
      <alignment horizontal="center" vertical="center"/>
    </xf>
    <xf numFmtId="0" fontId="1" fillId="6428" borderId="0" xfId="4" applyFill="1" applyAlignment="1">
      <alignment horizontal="center" vertical="center"/>
    </xf>
    <xf numFmtId="0" fontId="1" fillId="6429" borderId="0" xfId="4" applyFill="1" applyAlignment="1">
      <alignment horizontal="center" vertical="center"/>
    </xf>
    <xf numFmtId="0" fontId="1" fillId="6430" borderId="0" xfId="4" applyFill="1" applyAlignment="1">
      <alignment horizontal="center" vertical="center"/>
    </xf>
    <xf numFmtId="0" fontId="1" fillId="6431" borderId="0" xfId="4" applyFill="1" applyAlignment="1">
      <alignment horizontal="center" vertical="center"/>
    </xf>
    <xf numFmtId="0" fontId="1" fillId="6432" borderId="0" xfId="4" applyFill="1" applyAlignment="1">
      <alignment horizontal="left" vertical="center"/>
    </xf>
    <xf numFmtId="0" fontId="1" fillId="6433" borderId="0" xfId="4" applyFill="1" applyAlignment="1">
      <alignment horizontal="center" vertical="center"/>
    </xf>
    <xf numFmtId="0" fontId="1" fillId="6434" borderId="0" xfId="4" applyFill="1" applyAlignment="1">
      <alignment horizontal="center" vertical="center"/>
    </xf>
    <xf numFmtId="0" fontId="1" fillId="6435" borderId="0" xfId="4" applyFill="1" applyAlignment="1">
      <alignment horizontal="center" vertical="center"/>
    </xf>
    <xf numFmtId="0" fontId="1" fillId="6436" borderId="0" xfId="4" applyFill="1" applyAlignment="1">
      <alignment horizontal="center" vertical="center"/>
    </xf>
    <xf numFmtId="0" fontId="1" fillId="6437" borderId="0" xfId="4" applyFill="1" applyAlignment="1">
      <alignment horizontal="center" vertical="center"/>
    </xf>
    <xf numFmtId="0" fontId="1" fillId="6438" borderId="0" xfId="4" applyFill="1" applyAlignment="1">
      <alignment horizontal="center" vertical="center"/>
    </xf>
    <xf numFmtId="0" fontId="1" fillId="6439" borderId="0" xfId="4" applyFill="1" applyAlignment="1">
      <alignment horizontal="center" vertical="center"/>
    </xf>
    <xf numFmtId="0" fontId="1" fillId="6440" borderId="0" xfId="4" applyFill="1" applyAlignment="1">
      <alignment horizontal="center" vertical="center"/>
    </xf>
    <xf numFmtId="0" fontId="1" fillId="6441" borderId="0" xfId="4" applyFill="1" applyAlignment="1">
      <alignment horizontal="center" vertical="center"/>
    </xf>
    <xf numFmtId="0" fontId="1" fillId="6442" borderId="0" xfId="4" applyFill="1" applyAlignment="1">
      <alignment horizontal="center" vertical="center"/>
    </xf>
    <xf numFmtId="0" fontId="1" fillId="6443" borderId="0" xfId="4" applyFill="1" applyAlignment="1">
      <alignment horizontal="center" vertical="center"/>
    </xf>
    <xf numFmtId="0" fontId="1" fillId="6444" borderId="0" xfId="4" applyFill="1" applyAlignment="1">
      <alignment horizontal="center" vertical="center"/>
    </xf>
    <xf numFmtId="0" fontId="1" fillId="6445" borderId="0" xfId="4" applyFill="1" applyAlignment="1">
      <alignment horizontal="center" vertical="center"/>
    </xf>
    <xf numFmtId="0" fontId="1" fillId="6446" borderId="0" xfId="4" applyFill="1" applyAlignment="1">
      <alignment horizontal="center" vertical="center"/>
    </xf>
    <xf numFmtId="0" fontId="1" fillId="6447" borderId="0" xfId="4" applyFill="1" applyAlignment="1">
      <alignment horizontal="center" vertical="center"/>
    </xf>
    <xf numFmtId="0" fontId="1" fillId="6448" borderId="0" xfId="4" applyFill="1" applyAlignment="1">
      <alignment horizontal="center" vertical="center"/>
    </xf>
    <xf numFmtId="0" fontId="1" fillId="6449" borderId="0" xfId="4" applyFill="1" applyAlignment="1">
      <alignment horizontal="center" vertical="center"/>
    </xf>
    <xf numFmtId="0" fontId="1" fillId="6450" borderId="0" xfId="4" applyFill="1" applyAlignment="1">
      <alignment horizontal="center" vertical="center"/>
    </xf>
    <xf numFmtId="0" fontId="1" fillId="6451" borderId="0" xfId="4" applyFill="1" applyAlignment="1">
      <alignment horizontal="center" vertical="center"/>
    </xf>
    <xf numFmtId="0" fontId="1" fillId="6452" borderId="0" xfId="4" applyFill="1" applyAlignment="1">
      <alignment horizontal="center" vertical="center"/>
    </xf>
    <xf numFmtId="0" fontId="1" fillId="6453" borderId="0" xfId="4" applyFill="1" applyAlignment="1">
      <alignment horizontal="left" vertical="center"/>
    </xf>
    <xf numFmtId="0" fontId="1" fillId="6454" borderId="0" xfId="4" applyFill="1" applyAlignment="1">
      <alignment horizontal="center" vertical="center"/>
    </xf>
    <xf numFmtId="0" fontId="1" fillId="6455" borderId="0" xfId="4" applyFill="1" applyAlignment="1">
      <alignment horizontal="center" vertical="center"/>
    </xf>
    <xf numFmtId="0" fontId="1" fillId="6456" borderId="0" xfId="4" applyFill="1" applyAlignment="1">
      <alignment horizontal="left" vertical="center"/>
    </xf>
    <xf numFmtId="0" fontId="1" fillId="6457" borderId="0" xfId="4" applyFill="1" applyAlignment="1">
      <alignment horizontal="center" vertical="center"/>
    </xf>
    <xf numFmtId="0" fontId="1" fillId="6458" borderId="0" xfId="4" applyFill="1" applyAlignment="1">
      <alignment horizontal="center" vertical="center"/>
    </xf>
    <xf numFmtId="0" fontId="1" fillId="6459" borderId="0" xfId="4" applyFill="1" applyAlignment="1">
      <alignment horizontal="center" vertical="center"/>
    </xf>
    <xf numFmtId="0" fontId="1" fillId="6460" borderId="0" xfId="4" applyFill="1" applyAlignment="1">
      <alignment horizontal="center" vertical="center"/>
    </xf>
    <xf numFmtId="0" fontId="1" fillId="6461" borderId="0" xfId="4" applyFill="1" applyAlignment="1">
      <alignment horizontal="center" vertical="center"/>
    </xf>
    <xf numFmtId="0" fontId="1" fillId="6462" borderId="0" xfId="4" applyFill="1" applyAlignment="1">
      <alignment horizontal="center" vertical="center"/>
    </xf>
    <xf numFmtId="0" fontId="1" fillId="6463" borderId="0" xfId="4" applyFill="1" applyAlignment="1">
      <alignment horizontal="center" vertical="center"/>
    </xf>
    <xf numFmtId="0" fontId="1" fillId="6464" borderId="0" xfId="4" applyFill="1" applyAlignment="1">
      <alignment horizontal="center" vertical="center"/>
    </xf>
    <xf numFmtId="0" fontId="1" fillId="6465" borderId="0" xfId="4" applyFill="1" applyAlignment="1">
      <alignment horizontal="center" vertical="center"/>
    </xf>
    <xf numFmtId="0" fontId="1" fillId="6466" borderId="0" xfId="4" applyFill="1" applyAlignment="1">
      <alignment horizontal="center" vertical="center"/>
    </xf>
    <xf numFmtId="0" fontId="1" fillId="6467" borderId="0" xfId="4" applyFill="1" applyAlignment="1">
      <alignment horizontal="center" vertical="center"/>
    </xf>
    <xf numFmtId="0" fontId="1" fillId="6468" borderId="0" xfId="4" applyFill="1" applyAlignment="1">
      <alignment horizontal="center" vertical="center"/>
    </xf>
    <xf numFmtId="0" fontId="1" fillId="6469" borderId="0" xfId="4" applyFill="1" applyAlignment="1">
      <alignment horizontal="center" vertical="center"/>
    </xf>
    <xf numFmtId="0" fontId="1" fillId="6470" borderId="0" xfId="4" applyFill="1" applyAlignment="1">
      <alignment horizontal="center" vertical="center"/>
    </xf>
    <xf numFmtId="0" fontId="1" fillId="6471" borderId="0" xfId="4" applyFill="1" applyAlignment="1">
      <alignment horizontal="center" vertical="center"/>
    </xf>
    <xf numFmtId="0" fontId="1" fillId="6472" borderId="0" xfId="4" applyFill="1" applyAlignment="1">
      <alignment horizontal="center" vertical="center"/>
    </xf>
    <xf numFmtId="0" fontId="1" fillId="6473" borderId="0" xfId="4" applyFill="1" applyAlignment="1">
      <alignment horizontal="center" vertical="center"/>
    </xf>
    <xf numFmtId="0" fontId="1" fillId="6474" borderId="0" xfId="4" applyFill="1" applyAlignment="1">
      <alignment horizontal="center" vertical="center"/>
    </xf>
    <xf numFmtId="0" fontId="1" fillId="6475" borderId="0" xfId="4" applyFill="1" applyAlignment="1">
      <alignment horizontal="center" vertical="center"/>
    </xf>
    <xf numFmtId="0" fontId="1" fillId="6476" borderId="0" xfId="4" applyFill="1" applyAlignment="1">
      <alignment horizontal="center" vertical="center"/>
    </xf>
    <xf numFmtId="0" fontId="1" fillId="6477" borderId="0" xfId="4" applyFill="1" applyAlignment="1">
      <alignment horizontal="center" vertical="center"/>
    </xf>
    <xf numFmtId="0" fontId="1" fillId="6478" borderId="0" xfId="4" applyFill="1" applyAlignment="1">
      <alignment horizontal="center" vertical="center"/>
    </xf>
    <xf numFmtId="0" fontId="1" fillId="6479" borderId="0" xfId="4" applyFill="1" applyAlignment="1">
      <alignment horizontal="center" vertical="center"/>
    </xf>
    <xf numFmtId="0" fontId="1" fillId="6480" borderId="0" xfId="4" applyFill="1" applyAlignment="1">
      <alignment horizontal="center" vertical="center"/>
    </xf>
    <xf numFmtId="0" fontId="1" fillId="6481" borderId="0" xfId="4" applyFill="1" applyAlignment="1">
      <alignment horizontal="center" vertical="center"/>
    </xf>
    <xf numFmtId="0" fontId="1" fillId="6482" borderId="0" xfId="4" applyFill="1" applyAlignment="1">
      <alignment horizontal="center" vertical="center"/>
    </xf>
    <xf numFmtId="0" fontId="1" fillId="6483" borderId="0" xfId="4" applyFill="1" applyAlignment="1">
      <alignment horizontal="center" vertical="center"/>
    </xf>
    <xf numFmtId="0" fontId="1" fillId="6484" borderId="0" xfId="4" applyFill="1" applyAlignment="1">
      <alignment horizontal="center" vertical="center"/>
    </xf>
    <xf numFmtId="0" fontId="1" fillId="6485" borderId="0" xfId="4" applyFill="1" applyAlignment="1">
      <alignment horizontal="center" vertical="center"/>
    </xf>
    <xf numFmtId="0" fontId="1" fillId="6486" borderId="0" xfId="4" applyFill="1" applyAlignment="1">
      <alignment horizontal="center" vertical="center"/>
    </xf>
    <xf numFmtId="0" fontId="1" fillId="6487" borderId="0" xfId="4" applyFill="1" applyAlignment="1">
      <alignment horizontal="center" vertical="center"/>
    </xf>
    <xf numFmtId="0" fontId="1" fillId="6488" borderId="0" xfId="4" applyFill="1" applyAlignment="1">
      <alignment horizontal="center" vertical="center"/>
    </xf>
    <xf numFmtId="0" fontId="1" fillId="6489" borderId="0" xfId="4" applyFill="1" applyAlignment="1">
      <alignment horizontal="center" vertical="center"/>
    </xf>
    <xf numFmtId="0" fontId="1" fillId="6490" borderId="0" xfId="4" applyFill="1" applyAlignment="1">
      <alignment horizontal="center" vertical="center"/>
    </xf>
    <xf numFmtId="0" fontId="1" fillId="6491" borderId="0" xfId="4" applyFill="1" applyAlignment="1">
      <alignment horizontal="center" vertical="center"/>
    </xf>
    <xf numFmtId="0" fontId="1" fillId="6492" borderId="0" xfId="4" applyFill="1" applyAlignment="1">
      <alignment horizontal="left" vertical="center"/>
    </xf>
    <xf numFmtId="0" fontId="1" fillId="6493" borderId="0" xfId="4" applyFill="1" applyAlignment="1">
      <alignment horizontal="center" vertical="center"/>
    </xf>
    <xf numFmtId="0" fontId="1" fillId="6494" borderId="0" xfId="4" applyFill="1" applyAlignment="1">
      <alignment horizontal="center" vertical="center"/>
    </xf>
    <xf numFmtId="0" fontId="1" fillId="6495" borderId="0" xfId="4" applyFill="1" applyAlignment="1">
      <alignment horizontal="center" vertical="center"/>
    </xf>
    <xf numFmtId="0" fontId="1" fillId="6496" borderId="0" xfId="4" applyFill="1" applyAlignment="1">
      <alignment horizontal="center" vertical="center"/>
    </xf>
    <xf numFmtId="0" fontId="1" fillId="6497" borderId="0" xfId="4" applyFill="1" applyAlignment="1">
      <alignment horizontal="center" vertical="center"/>
    </xf>
    <xf numFmtId="0" fontId="1" fillId="6498" borderId="0" xfId="4" applyFill="1" applyAlignment="1">
      <alignment horizontal="center" vertical="center"/>
    </xf>
    <xf numFmtId="0" fontId="1" fillId="6499" borderId="0" xfId="4" applyFill="1" applyAlignment="1">
      <alignment horizontal="center" vertical="center"/>
    </xf>
    <xf numFmtId="0" fontId="1" fillId="6500" borderId="0" xfId="4" applyFill="1" applyAlignment="1">
      <alignment horizontal="center" vertical="center"/>
    </xf>
    <xf numFmtId="0" fontId="1" fillId="6501" borderId="0" xfId="4" applyFill="1" applyAlignment="1">
      <alignment horizontal="center" vertical="center"/>
    </xf>
    <xf numFmtId="0" fontId="1" fillId="6502" borderId="0" xfId="4" applyFill="1" applyAlignment="1">
      <alignment horizontal="center" vertical="center"/>
    </xf>
    <xf numFmtId="0" fontId="1" fillId="6503" borderId="0" xfId="4" applyFill="1" applyAlignment="1">
      <alignment horizontal="center" vertical="center"/>
    </xf>
    <xf numFmtId="0" fontId="1" fillId="6504" borderId="0" xfId="4" applyFill="1" applyAlignment="1">
      <alignment horizontal="center" vertical="center"/>
    </xf>
    <xf numFmtId="0" fontId="1" fillId="6505" borderId="0" xfId="4" applyFill="1" applyAlignment="1">
      <alignment horizontal="center" vertical="center"/>
    </xf>
    <xf numFmtId="0" fontId="1" fillId="6506" borderId="0" xfId="4" applyFill="1" applyAlignment="1">
      <alignment horizontal="center" vertical="center"/>
    </xf>
    <xf numFmtId="0" fontId="1" fillId="6507" borderId="0" xfId="4" applyFill="1" applyAlignment="1">
      <alignment horizontal="center" vertical="center"/>
    </xf>
    <xf numFmtId="0" fontId="1" fillId="6508" borderId="0" xfId="4" applyFill="1" applyAlignment="1">
      <alignment horizontal="center" vertical="center"/>
    </xf>
    <xf numFmtId="0" fontId="1" fillId="6509" borderId="0" xfId="4" applyFill="1" applyAlignment="1">
      <alignment horizontal="center" vertical="center"/>
    </xf>
    <xf numFmtId="0" fontId="1" fillId="6510" borderId="0" xfId="4" applyFill="1" applyAlignment="1">
      <alignment horizontal="center" vertical="center"/>
    </xf>
    <xf numFmtId="0" fontId="1" fillId="6511" borderId="0" xfId="4" applyFill="1" applyAlignment="1">
      <alignment horizontal="center" vertical="center"/>
    </xf>
    <xf numFmtId="0" fontId="1" fillId="6512" borderId="0" xfId="4" applyFill="1" applyAlignment="1">
      <alignment horizontal="center" vertical="center"/>
    </xf>
    <xf numFmtId="0" fontId="1" fillId="6513" borderId="0" xfId="4" applyFill="1" applyAlignment="1">
      <alignment horizontal="center" vertical="center"/>
    </xf>
    <xf numFmtId="0" fontId="1" fillId="6514" borderId="0" xfId="4" applyFill="1" applyAlignment="1">
      <alignment horizontal="center" vertical="center"/>
    </xf>
    <xf numFmtId="0" fontId="1" fillId="6515" borderId="0" xfId="4" applyFill="1" applyAlignment="1">
      <alignment horizontal="center" vertical="center"/>
    </xf>
    <xf numFmtId="0" fontId="1" fillId="6516" borderId="0" xfId="4" applyFill="1" applyAlignment="1">
      <alignment horizontal="center" vertical="center"/>
    </xf>
    <xf numFmtId="0" fontId="1" fillId="6517" borderId="0" xfId="4" applyFill="1" applyAlignment="1">
      <alignment horizontal="center" vertical="center"/>
    </xf>
    <xf numFmtId="0" fontId="1" fillId="6518" borderId="0" xfId="4" applyFill="1" applyAlignment="1">
      <alignment horizontal="center" vertical="center"/>
    </xf>
    <xf numFmtId="0" fontId="1" fillId="6519" borderId="0" xfId="4" applyFill="1" applyAlignment="1">
      <alignment horizontal="center" vertical="center"/>
    </xf>
    <xf numFmtId="0" fontId="1" fillId="6520" borderId="0" xfId="4" applyFill="1" applyAlignment="1">
      <alignment horizontal="center" vertical="center"/>
    </xf>
    <xf numFmtId="0" fontId="1" fillId="6521" borderId="0" xfId="4" applyFill="1" applyAlignment="1">
      <alignment horizontal="center" vertical="center"/>
    </xf>
    <xf numFmtId="0" fontId="1" fillId="6522" borderId="0" xfId="4" applyFill="1" applyAlignment="1">
      <alignment horizontal="center" vertical="center"/>
    </xf>
    <xf numFmtId="0" fontId="1" fillId="6523" borderId="0" xfId="4" applyFill="1" applyAlignment="1">
      <alignment horizontal="left" vertical="center"/>
    </xf>
    <xf numFmtId="0" fontId="1" fillId="6524" borderId="0" xfId="4" applyFill="1" applyAlignment="1">
      <alignment horizontal="center" vertical="center"/>
    </xf>
    <xf numFmtId="0" fontId="1" fillId="6525" borderId="0" xfId="4" applyFill="1" applyAlignment="1">
      <alignment horizontal="center" vertical="center"/>
    </xf>
    <xf numFmtId="0" fontId="1" fillId="6526" borderId="0" xfId="4" applyFill="1" applyAlignment="1">
      <alignment horizontal="center" vertical="center"/>
    </xf>
    <xf numFmtId="0" fontId="1" fillId="6527" borderId="0" xfId="4" applyFill="1" applyAlignment="1">
      <alignment horizontal="center" vertical="center"/>
    </xf>
    <xf numFmtId="0" fontId="1" fillId="6528" borderId="0" xfId="4" applyFill="1" applyAlignment="1">
      <alignment horizontal="center" vertical="center"/>
    </xf>
    <xf numFmtId="0" fontId="1" fillId="6529" borderId="0" xfId="4" applyFill="1" applyAlignment="1">
      <alignment horizontal="center" vertical="center"/>
    </xf>
    <xf numFmtId="0" fontId="1" fillId="6530" borderId="0" xfId="4" applyFill="1" applyAlignment="1">
      <alignment horizontal="center" vertical="center"/>
    </xf>
    <xf numFmtId="0" fontId="1" fillId="6531" borderId="0" xfId="4" applyFill="1" applyAlignment="1">
      <alignment horizontal="center" vertical="center"/>
    </xf>
    <xf numFmtId="0" fontId="1" fillId="6532" borderId="0" xfId="4" applyFill="1" applyAlignment="1">
      <alignment horizontal="center" vertical="center"/>
    </xf>
    <xf numFmtId="0" fontId="1" fillId="6533" borderId="0" xfId="4" applyFill="1" applyAlignment="1">
      <alignment horizontal="center" vertical="center"/>
    </xf>
    <xf numFmtId="0" fontId="1" fillId="6534" borderId="0" xfId="4" applyFill="1" applyAlignment="1">
      <alignment horizontal="center" vertical="center"/>
    </xf>
    <xf numFmtId="0" fontId="1" fillId="6535" borderId="0" xfId="4" applyFill="1" applyAlignment="1">
      <alignment horizontal="center" vertical="center"/>
    </xf>
    <xf numFmtId="0" fontId="1" fillId="6536" borderId="0" xfId="4" applyFill="1" applyAlignment="1">
      <alignment horizontal="center" vertical="center"/>
    </xf>
    <xf numFmtId="0" fontId="1" fillId="6537" borderId="0" xfId="4" applyFill="1" applyAlignment="1">
      <alignment horizontal="center" vertical="center"/>
    </xf>
    <xf numFmtId="0" fontId="1" fillId="6538" borderId="0" xfId="4" applyFill="1" applyAlignment="1">
      <alignment horizontal="center" vertical="center"/>
    </xf>
    <xf numFmtId="0" fontId="1" fillId="6539" borderId="0" xfId="4" applyFill="1" applyAlignment="1">
      <alignment horizontal="center" vertical="center"/>
    </xf>
    <xf numFmtId="0" fontId="1" fillId="6540" borderId="0" xfId="4" applyFill="1" applyAlignment="1">
      <alignment horizontal="center" vertical="center"/>
    </xf>
    <xf numFmtId="0" fontId="1" fillId="6541" borderId="0" xfId="4" applyFill="1" applyAlignment="1">
      <alignment horizontal="center" vertical="center"/>
    </xf>
    <xf numFmtId="0" fontId="1" fillId="6542" borderId="0" xfId="4" applyFill="1" applyAlignment="1">
      <alignment horizontal="center" vertical="center"/>
    </xf>
    <xf numFmtId="0" fontId="1" fillId="6543" borderId="0" xfId="4" applyFill="1" applyAlignment="1">
      <alignment horizontal="center" vertical="center"/>
    </xf>
    <xf numFmtId="0" fontId="1" fillId="6544" borderId="0" xfId="4" applyFill="1" applyAlignment="1">
      <alignment horizontal="left" vertical="center"/>
    </xf>
    <xf numFmtId="0" fontId="1" fillId="6545" borderId="0" xfId="4" applyFill="1" applyAlignment="1">
      <alignment horizontal="center" vertical="center"/>
    </xf>
    <xf numFmtId="0" fontId="1" fillId="6546" borderId="0" xfId="4" applyFill="1" applyAlignment="1">
      <alignment horizontal="center" vertical="center"/>
    </xf>
    <xf numFmtId="0" fontId="1" fillId="6547" borderId="0" xfId="4" applyFill="1" applyAlignment="1">
      <alignment horizontal="left" vertical="center"/>
    </xf>
    <xf numFmtId="0" fontId="1" fillId="6548" borderId="0" xfId="4" applyFill="1" applyAlignment="1">
      <alignment horizontal="center" vertical="center"/>
    </xf>
    <xf numFmtId="0" fontId="1" fillId="6549" borderId="0" xfId="4" applyFill="1" applyAlignment="1">
      <alignment horizontal="center" vertical="center"/>
    </xf>
    <xf numFmtId="0" fontId="1" fillId="6550" borderId="0" xfId="4" applyFill="1" applyAlignment="1">
      <alignment horizontal="center" vertical="center"/>
    </xf>
    <xf numFmtId="0" fontId="1" fillId="6551" borderId="0" xfId="4" applyFill="1" applyAlignment="1">
      <alignment horizontal="center" vertical="center"/>
    </xf>
    <xf numFmtId="0" fontId="1" fillId="6552" borderId="0" xfId="4" applyFill="1" applyAlignment="1">
      <alignment horizontal="center" vertical="center"/>
    </xf>
    <xf numFmtId="0" fontId="1" fillId="6553" borderId="0" xfId="4" applyFill="1" applyAlignment="1">
      <alignment horizontal="center" vertical="center"/>
    </xf>
    <xf numFmtId="0" fontId="1" fillId="6554" borderId="0" xfId="4" applyFill="1" applyAlignment="1">
      <alignment horizontal="center" vertical="center"/>
    </xf>
    <xf numFmtId="0" fontId="1" fillId="6555" borderId="0" xfId="4" applyFill="1" applyAlignment="1">
      <alignment horizontal="center" vertical="center"/>
    </xf>
    <xf numFmtId="0" fontId="1" fillId="6556" borderId="0" xfId="4" applyFill="1" applyAlignment="1">
      <alignment horizontal="center" vertical="center"/>
    </xf>
    <xf numFmtId="0" fontId="1" fillId="6557" borderId="0" xfId="4" applyFill="1" applyAlignment="1">
      <alignment horizontal="center" vertical="center"/>
    </xf>
    <xf numFmtId="0" fontId="1" fillId="6558" borderId="0" xfId="4" applyFill="1" applyAlignment="1">
      <alignment horizontal="center" vertical="center"/>
    </xf>
    <xf numFmtId="0" fontId="1" fillId="6559" borderId="0" xfId="4" applyFill="1" applyAlignment="1">
      <alignment horizontal="center" vertical="center"/>
    </xf>
    <xf numFmtId="0" fontId="1" fillId="6560" borderId="0" xfId="4" applyFill="1" applyAlignment="1">
      <alignment horizontal="center" vertical="center"/>
    </xf>
    <xf numFmtId="0" fontId="1" fillId="6561" borderId="0" xfId="4" applyFill="1" applyAlignment="1">
      <alignment horizontal="center" vertical="center"/>
    </xf>
    <xf numFmtId="0" fontId="1" fillId="6562" borderId="0" xfId="4" applyFill="1" applyAlignment="1">
      <alignment horizontal="center" vertical="center"/>
    </xf>
    <xf numFmtId="0" fontId="1" fillId="6563" borderId="0" xfId="4" applyFill="1" applyAlignment="1">
      <alignment horizontal="center" vertical="center"/>
    </xf>
    <xf numFmtId="0" fontId="1" fillId="6564" borderId="0" xfId="4" applyFill="1" applyAlignment="1">
      <alignment horizontal="center" vertical="center"/>
    </xf>
    <xf numFmtId="0" fontId="1" fillId="6565" borderId="0" xfId="4" applyFill="1" applyAlignment="1">
      <alignment horizontal="center" vertical="center"/>
    </xf>
    <xf numFmtId="0" fontId="1" fillId="6566" borderId="0" xfId="4" applyFill="1" applyAlignment="1">
      <alignment horizontal="center" vertical="center"/>
    </xf>
    <xf numFmtId="0" fontId="1" fillId="6567" borderId="0" xfId="4" applyFill="1" applyAlignment="1">
      <alignment horizontal="center" vertical="center"/>
    </xf>
    <xf numFmtId="0" fontId="1" fillId="6568" borderId="0" xfId="4" applyFill="1" applyAlignment="1">
      <alignment horizontal="center" vertical="center"/>
    </xf>
    <xf numFmtId="0" fontId="1" fillId="6569" borderId="0" xfId="4" applyFill="1" applyAlignment="1">
      <alignment horizontal="center" vertical="center"/>
    </xf>
    <xf numFmtId="0" fontId="1" fillId="6570" borderId="0" xfId="4" applyFill="1" applyAlignment="1">
      <alignment horizontal="center" vertical="center"/>
    </xf>
    <xf numFmtId="0" fontId="1" fillId="6571" borderId="0" xfId="4" applyFill="1" applyAlignment="1">
      <alignment horizontal="center" vertical="center"/>
    </xf>
    <xf numFmtId="0" fontId="1" fillId="6572" borderId="0" xfId="4" applyFill="1" applyAlignment="1">
      <alignment horizontal="center" vertical="center"/>
    </xf>
    <xf numFmtId="0" fontId="1" fillId="6573" borderId="0" xfId="4" applyFill="1" applyAlignment="1">
      <alignment horizontal="center" vertical="center"/>
    </xf>
    <xf numFmtId="0" fontId="1" fillId="6574" borderId="0" xfId="4" applyFill="1" applyAlignment="1">
      <alignment horizontal="center" vertical="center"/>
    </xf>
    <xf numFmtId="0" fontId="1" fillId="6575" borderId="0" xfId="4" applyFill="1" applyAlignment="1">
      <alignment horizontal="center" vertical="center"/>
    </xf>
    <xf numFmtId="0" fontId="1" fillId="6576" borderId="0" xfId="4" applyFill="1" applyAlignment="1">
      <alignment horizontal="center" vertical="center"/>
    </xf>
    <xf numFmtId="0" fontId="1" fillId="6577" borderId="0" xfId="4" applyFill="1" applyAlignment="1">
      <alignment horizontal="center" vertical="center"/>
    </xf>
    <xf numFmtId="0" fontId="1" fillId="6578" borderId="0" xfId="4" applyFill="1" applyAlignment="1">
      <alignment horizontal="center" vertical="center"/>
    </xf>
    <xf numFmtId="0" fontId="1" fillId="6579" borderId="0" xfId="4" applyFill="1" applyAlignment="1">
      <alignment horizontal="center" vertical="center"/>
    </xf>
    <xf numFmtId="0" fontId="1" fillId="6580" borderId="0" xfId="4" applyFill="1" applyAlignment="1">
      <alignment horizontal="center" vertical="center"/>
    </xf>
    <xf numFmtId="0" fontId="1" fillId="6581" borderId="0" xfId="4" applyFill="1" applyAlignment="1">
      <alignment horizontal="center" vertical="center"/>
    </xf>
    <xf numFmtId="0" fontId="1" fillId="6582" borderId="0" xfId="4" applyFill="1" applyAlignment="1">
      <alignment horizontal="left" vertical="center"/>
    </xf>
    <xf numFmtId="0" fontId="1" fillId="6583" borderId="0" xfId="4" applyFill="1" applyAlignment="1">
      <alignment horizontal="center" vertical="center"/>
    </xf>
    <xf numFmtId="0" fontId="1" fillId="6584" borderId="0" xfId="4" applyFill="1" applyAlignment="1">
      <alignment horizontal="center" vertical="center"/>
    </xf>
    <xf numFmtId="0" fontId="1" fillId="6585" borderId="0" xfId="4" applyFill="1" applyAlignment="1">
      <alignment horizontal="center" vertical="center"/>
    </xf>
    <xf numFmtId="0" fontId="1" fillId="6586" borderId="0" xfId="4" applyFill="1" applyAlignment="1">
      <alignment horizontal="center" vertical="center"/>
    </xf>
    <xf numFmtId="0" fontId="1" fillId="6587" borderId="0" xfId="4" applyFill="1" applyAlignment="1">
      <alignment horizontal="center" vertical="center"/>
    </xf>
    <xf numFmtId="0" fontId="1" fillId="6588" borderId="0" xfId="4" applyFill="1" applyAlignment="1">
      <alignment horizontal="center" vertical="center"/>
    </xf>
    <xf numFmtId="0" fontId="1" fillId="6589" borderId="0" xfId="4" applyFill="1" applyAlignment="1">
      <alignment horizontal="center" vertical="center"/>
    </xf>
    <xf numFmtId="0" fontId="1" fillId="6590" borderId="0" xfId="4" applyFill="1" applyAlignment="1">
      <alignment horizontal="center" vertical="center"/>
    </xf>
    <xf numFmtId="0" fontId="1" fillId="6591" borderId="0" xfId="4" applyFill="1" applyAlignment="1">
      <alignment horizontal="center" vertical="center"/>
    </xf>
    <xf numFmtId="0" fontId="1" fillId="6592" borderId="0" xfId="4" applyFill="1" applyAlignment="1">
      <alignment horizontal="center" vertical="center"/>
    </xf>
    <xf numFmtId="0" fontId="1" fillId="6593" borderId="0" xfId="4" applyFill="1" applyAlignment="1">
      <alignment horizontal="center" vertical="center"/>
    </xf>
    <xf numFmtId="0" fontId="1" fillId="6594" borderId="0" xfId="4" applyFill="1" applyAlignment="1">
      <alignment horizontal="center" vertical="center"/>
    </xf>
    <xf numFmtId="0" fontId="1" fillId="6595" borderId="0" xfId="4" applyFill="1" applyAlignment="1">
      <alignment horizontal="center" vertical="center"/>
    </xf>
    <xf numFmtId="0" fontId="1" fillId="6596" borderId="0" xfId="4" applyFill="1" applyAlignment="1">
      <alignment horizontal="center" vertical="center"/>
    </xf>
    <xf numFmtId="0" fontId="1" fillId="6597" borderId="0" xfId="4" applyFill="1" applyAlignment="1">
      <alignment horizontal="center" vertical="center"/>
    </xf>
    <xf numFmtId="0" fontId="1" fillId="6598" borderId="0" xfId="4" applyFill="1" applyAlignment="1">
      <alignment horizontal="center" vertical="center"/>
    </xf>
    <xf numFmtId="0" fontId="1" fillId="6599" borderId="0" xfId="4" applyFill="1" applyAlignment="1">
      <alignment horizontal="center" vertical="center"/>
    </xf>
    <xf numFmtId="0" fontId="1" fillId="6600" borderId="0" xfId="4" applyFill="1" applyAlignment="1">
      <alignment horizontal="center" vertical="center"/>
    </xf>
    <xf numFmtId="0" fontId="1" fillId="6601" borderId="0" xfId="4" applyFill="1" applyAlignment="1">
      <alignment horizontal="center" vertical="center"/>
    </xf>
    <xf numFmtId="0" fontId="1" fillId="6602" borderId="0" xfId="4" applyFill="1" applyAlignment="1">
      <alignment horizontal="center" vertical="center"/>
    </xf>
    <xf numFmtId="0" fontId="1" fillId="6603" borderId="0" xfId="4" applyFill="1" applyAlignment="1">
      <alignment horizontal="center" vertical="center"/>
    </xf>
    <xf numFmtId="0" fontId="1" fillId="6604" borderId="0" xfId="4" applyFill="1" applyAlignment="1">
      <alignment horizontal="center" vertical="center"/>
    </xf>
    <xf numFmtId="0" fontId="1" fillId="6605" borderId="0" xfId="4" applyFill="1" applyAlignment="1">
      <alignment horizontal="center" vertical="center"/>
    </xf>
    <xf numFmtId="0" fontId="1" fillId="6606" borderId="0" xfId="4" applyFill="1" applyAlignment="1">
      <alignment horizontal="center" vertical="center"/>
    </xf>
    <xf numFmtId="0" fontId="1" fillId="6607" borderId="0" xfId="4" applyFill="1" applyAlignment="1">
      <alignment horizontal="center" vertical="center"/>
    </xf>
    <xf numFmtId="0" fontId="1" fillId="6608" borderId="0" xfId="4" applyFill="1" applyAlignment="1">
      <alignment horizontal="center" vertical="center"/>
    </xf>
    <xf numFmtId="0" fontId="1" fillId="6609" borderId="0" xfId="4" applyFill="1" applyAlignment="1">
      <alignment horizontal="center" vertical="center"/>
    </xf>
    <xf numFmtId="0" fontId="1" fillId="6610" borderId="0" xfId="4" applyFill="1" applyAlignment="1">
      <alignment horizontal="center" vertical="center"/>
    </xf>
    <xf numFmtId="0" fontId="1" fillId="6611" borderId="0" xfId="4" applyFill="1" applyAlignment="1">
      <alignment horizontal="center" vertical="center"/>
    </xf>
    <xf numFmtId="0" fontId="1" fillId="6612" borderId="0" xfId="4" applyFill="1" applyAlignment="1">
      <alignment horizontal="left" vertical="center"/>
    </xf>
    <xf numFmtId="0" fontId="1" fillId="6613" borderId="0" xfId="4" applyFill="1" applyAlignment="1">
      <alignment horizontal="center" vertical="center"/>
    </xf>
    <xf numFmtId="0" fontId="1" fillId="6614" borderId="0" xfId="4" applyFill="1" applyAlignment="1">
      <alignment horizontal="center" vertical="center"/>
    </xf>
    <xf numFmtId="0" fontId="1" fillId="6615" borderId="0" xfId="4" applyFill="1" applyAlignment="1">
      <alignment horizontal="center" vertical="center"/>
    </xf>
    <xf numFmtId="0" fontId="1" fillId="6616" borderId="0" xfId="4" applyFill="1" applyAlignment="1">
      <alignment horizontal="center" vertical="center"/>
    </xf>
    <xf numFmtId="0" fontId="1" fillId="6617" borderId="0" xfId="4" applyFill="1" applyAlignment="1">
      <alignment horizontal="center" vertical="center"/>
    </xf>
    <xf numFmtId="0" fontId="1" fillId="6618" borderId="0" xfId="4" applyFill="1" applyAlignment="1">
      <alignment horizontal="center" vertical="center"/>
    </xf>
    <xf numFmtId="0" fontId="1" fillId="6619" borderId="0" xfId="4" applyFill="1" applyAlignment="1">
      <alignment horizontal="center" vertical="center"/>
    </xf>
    <xf numFmtId="0" fontId="1" fillId="6620" borderId="0" xfId="4" applyFill="1" applyAlignment="1">
      <alignment horizontal="center" vertical="center"/>
    </xf>
    <xf numFmtId="0" fontId="1" fillId="6621" borderId="0" xfId="4" applyFill="1" applyAlignment="1">
      <alignment horizontal="center" vertical="center"/>
    </xf>
    <xf numFmtId="0" fontId="1" fillId="6622" borderId="0" xfId="4" applyFill="1" applyAlignment="1">
      <alignment horizontal="center" vertical="center"/>
    </xf>
    <xf numFmtId="0" fontId="1" fillId="6623" borderId="0" xfId="4" applyFill="1" applyAlignment="1">
      <alignment horizontal="center" vertical="center"/>
    </xf>
    <xf numFmtId="0" fontId="1" fillId="6624" borderId="0" xfId="4" applyFill="1" applyAlignment="1">
      <alignment horizontal="center" vertical="center"/>
    </xf>
    <xf numFmtId="0" fontId="1" fillId="6625" borderId="0" xfId="4" applyFill="1" applyAlignment="1">
      <alignment horizontal="center" vertical="center"/>
    </xf>
    <xf numFmtId="0" fontId="1" fillId="6626" borderId="0" xfId="4" applyFill="1" applyAlignment="1">
      <alignment horizontal="center" vertical="center"/>
    </xf>
    <xf numFmtId="0" fontId="1" fillId="6627" borderId="0" xfId="4" applyFill="1" applyAlignment="1">
      <alignment horizontal="center" vertical="center"/>
    </xf>
    <xf numFmtId="0" fontId="1" fillId="6628" borderId="0" xfId="4" applyFill="1" applyAlignment="1">
      <alignment horizontal="center" vertical="center"/>
    </xf>
    <xf numFmtId="0" fontId="1" fillId="6629" borderId="0" xfId="4" applyFill="1" applyAlignment="1">
      <alignment horizontal="center" vertical="center"/>
    </xf>
    <xf numFmtId="0" fontId="1" fillId="6630" borderId="0" xfId="4" applyFill="1" applyAlignment="1">
      <alignment horizontal="center" vertical="center"/>
    </xf>
    <xf numFmtId="0" fontId="1" fillId="6631" borderId="0" xfId="4" applyFill="1" applyAlignment="1">
      <alignment horizontal="center" vertical="center"/>
    </xf>
    <xf numFmtId="0" fontId="1" fillId="6632" borderId="0" xfId="4" applyFill="1" applyAlignment="1">
      <alignment horizontal="center" vertical="center"/>
    </xf>
    <xf numFmtId="0" fontId="1" fillId="6633" borderId="0" xfId="4" applyFill="1" applyAlignment="1">
      <alignment horizontal="left" vertical="center"/>
    </xf>
    <xf numFmtId="0" fontId="1" fillId="6634" borderId="0" xfId="4" applyFill="1" applyAlignment="1">
      <alignment horizontal="center" vertical="center"/>
    </xf>
    <xf numFmtId="0" fontId="1" fillId="6635" borderId="0" xfId="4" applyFill="1" applyAlignment="1">
      <alignment horizontal="center" vertical="center"/>
    </xf>
    <xf numFmtId="0" fontId="1" fillId="6636" borderId="0" xfId="4" applyFill="1" applyAlignment="1">
      <alignment horizontal="left" vertical="center"/>
    </xf>
    <xf numFmtId="0" fontId="1" fillId="6637" borderId="0" xfId="4" applyFill="1" applyAlignment="1">
      <alignment horizontal="center" vertical="center"/>
    </xf>
    <xf numFmtId="0" fontId="1" fillId="6638" borderId="0" xfId="4" applyFill="1" applyAlignment="1">
      <alignment horizontal="center" vertical="center"/>
    </xf>
    <xf numFmtId="0" fontId="1" fillId="6639" borderId="0" xfId="4" applyFill="1" applyAlignment="1">
      <alignment horizontal="center" vertical="center"/>
    </xf>
    <xf numFmtId="0" fontId="1" fillId="6640" borderId="0" xfId="4" applyFill="1" applyAlignment="1">
      <alignment horizontal="center" vertical="center"/>
    </xf>
    <xf numFmtId="0" fontId="1" fillId="6641" borderId="0" xfId="4" applyFill="1" applyAlignment="1">
      <alignment horizontal="center" vertical="center"/>
    </xf>
    <xf numFmtId="0" fontId="1" fillId="6642" borderId="0" xfId="4" applyFill="1" applyAlignment="1">
      <alignment horizontal="center" vertical="center"/>
    </xf>
    <xf numFmtId="0" fontId="1" fillId="6643" borderId="0" xfId="4" applyFill="1" applyAlignment="1">
      <alignment horizontal="center" vertical="center"/>
    </xf>
    <xf numFmtId="0" fontId="1" fillId="6644" borderId="0" xfId="4" applyFill="1" applyAlignment="1">
      <alignment horizontal="center" vertical="center"/>
    </xf>
    <xf numFmtId="0" fontId="1" fillId="6645" borderId="0" xfId="4" applyFill="1" applyAlignment="1">
      <alignment horizontal="center" vertical="center"/>
    </xf>
    <xf numFmtId="0" fontId="1" fillId="6646" borderId="0" xfId="4" applyFill="1" applyAlignment="1">
      <alignment horizontal="center" vertical="center"/>
    </xf>
    <xf numFmtId="0" fontId="1" fillId="6647" borderId="0" xfId="4" applyFill="1" applyAlignment="1">
      <alignment horizontal="center" vertical="center"/>
    </xf>
    <xf numFmtId="0" fontId="1" fillId="6648" borderId="0" xfId="4" applyFill="1" applyAlignment="1">
      <alignment horizontal="center" vertical="center"/>
    </xf>
    <xf numFmtId="0" fontId="1" fillId="6649" borderId="0" xfId="4" applyFill="1" applyAlignment="1">
      <alignment horizontal="center" vertical="center"/>
    </xf>
    <xf numFmtId="0" fontId="1" fillId="6650" borderId="0" xfId="4" applyFill="1" applyAlignment="1">
      <alignment horizontal="center" vertical="center"/>
    </xf>
    <xf numFmtId="0" fontId="1" fillId="6651" borderId="0" xfId="4" applyFill="1" applyAlignment="1">
      <alignment horizontal="center" vertical="center"/>
    </xf>
    <xf numFmtId="0" fontId="1" fillId="6652" borderId="0" xfId="4" applyFill="1" applyAlignment="1">
      <alignment horizontal="center" vertical="center"/>
    </xf>
    <xf numFmtId="0" fontId="1" fillId="6653" borderId="0" xfId="4" applyFill="1" applyAlignment="1">
      <alignment horizontal="center" vertical="center"/>
    </xf>
    <xf numFmtId="0" fontId="1" fillId="6654" borderId="0" xfId="4" applyFill="1" applyAlignment="1">
      <alignment horizontal="center" vertical="center"/>
    </xf>
    <xf numFmtId="0" fontId="1" fillId="6655" borderId="0" xfId="4" applyFill="1" applyAlignment="1">
      <alignment horizontal="center" vertical="center"/>
    </xf>
    <xf numFmtId="0" fontId="1" fillId="6656" borderId="0" xfId="4" applyFill="1" applyAlignment="1">
      <alignment horizontal="center" vertical="center"/>
    </xf>
    <xf numFmtId="0" fontId="1" fillId="6657" borderId="0" xfId="4" applyFill="1" applyAlignment="1">
      <alignment horizontal="center" vertical="center"/>
    </xf>
    <xf numFmtId="0" fontId="1" fillId="6658" borderId="0" xfId="4" applyFill="1" applyAlignment="1">
      <alignment horizontal="center" vertical="center"/>
    </xf>
    <xf numFmtId="0" fontId="1" fillId="6659" borderId="0" xfId="4" applyFill="1" applyAlignment="1">
      <alignment horizontal="center" vertical="center"/>
    </xf>
    <xf numFmtId="0" fontId="1" fillId="6660" borderId="0" xfId="4" applyFill="1" applyAlignment="1">
      <alignment horizontal="center" vertical="center"/>
    </xf>
    <xf numFmtId="0" fontId="1" fillId="6661" borderId="0" xfId="4" applyFill="1" applyAlignment="1">
      <alignment horizontal="center" vertical="center"/>
    </xf>
    <xf numFmtId="0" fontId="1" fillId="6662" borderId="0" xfId="4" applyFill="1" applyAlignment="1">
      <alignment horizontal="center" vertical="center"/>
    </xf>
    <xf numFmtId="0" fontId="1" fillId="6663" borderId="0" xfId="4" applyFill="1" applyAlignment="1">
      <alignment horizontal="center" vertical="center"/>
    </xf>
    <xf numFmtId="0" fontId="1" fillId="6664" borderId="0" xfId="4" applyFill="1" applyAlignment="1">
      <alignment horizontal="center" vertical="center"/>
    </xf>
    <xf numFmtId="0" fontId="1" fillId="6665" borderId="0" xfId="4" applyFill="1" applyAlignment="1">
      <alignment horizontal="center" vertical="center"/>
    </xf>
    <xf numFmtId="0" fontId="1" fillId="6666" borderId="0" xfId="4" applyFill="1" applyAlignment="1">
      <alignment horizontal="center" vertical="center"/>
    </xf>
    <xf numFmtId="0" fontId="1" fillId="6667" borderId="0" xfId="4" applyFill="1" applyAlignment="1">
      <alignment horizontal="center" vertical="center"/>
    </xf>
    <xf numFmtId="0" fontId="1" fillId="6668" borderId="0" xfId="4" applyFill="1" applyAlignment="1">
      <alignment horizontal="center" vertical="center"/>
    </xf>
    <xf numFmtId="0" fontId="1" fillId="6669" borderId="0" xfId="4" applyFill="1" applyAlignment="1">
      <alignment horizontal="center" vertical="center"/>
    </xf>
    <xf numFmtId="0" fontId="1" fillId="6670" borderId="0" xfId="4" applyFill="1" applyAlignment="1">
      <alignment horizontal="center" vertical="center"/>
    </xf>
    <xf numFmtId="0" fontId="1" fillId="6671" borderId="0" xfId="4" applyFill="1" applyAlignment="1">
      <alignment horizontal="center" vertical="center"/>
    </xf>
    <xf numFmtId="0" fontId="1" fillId="6672" borderId="0" xfId="4" applyFill="1" applyAlignment="1">
      <alignment horizontal="left" vertical="center"/>
    </xf>
    <xf numFmtId="0" fontId="1" fillId="6673" borderId="0" xfId="4" applyFill="1" applyAlignment="1">
      <alignment horizontal="center" vertical="center"/>
    </xf>
    <xf numFmtId="0" fontId="1" fillId="6674" borderId="0" xfId="4" applyFill="1" applyAlignment="1">
      <alignment horizontal="center" vertical="center"/>
    </xf>
    <xf numFmtId="0" fontId="1" fillId="6675" borderId="0" xfId="4" applyFill="1" applyAlignment="1">
      <alignment horizontal="center" vertical="center"/>
    </xf>
    <xf numFmtId="0" fontId="1" fillId="6676" borderId="0" xfId="4" applyFill="1" applyAlignment="1">
      <alignment horizontal="center" vertical="center"/>
    </xf>
    <xf numFmtId="0" fontId="1" fillId="6677" borderId="0" xfId="4" applyFill="1" applyAlignment="1">
      <alignment horizontal="center" vertical="center"/>
    </xf>
    <xf numFmtId="0" fontId="1" fillId="6678" borderId="0" xfId="4" applyFill="1" applyAlignment="1">
      <alignment horizontal="center" vertical="center"/>
    </xf>
    <xf numFmtId="0" fontId="1" fillId="6679" borderId="0" xfId="4" applyFill="1" applyAlignment="1">
      <alignment horizontal="center" vertical="center"/>
    </xf>
    <xf numFmtId="0" fontId="1" fillId="6680" borderId="0" xfId="4" applyFill="1" applyAlignment="1">
      <alignment horizontal="center" vertical="center"/>
    </xf>
    <xf numFmtId="0" fontId="1" fillId="6681" borderId="0" xfId="4" applyFill="1" applyAlignment="1">
      <alignment horizontal="center" vertical="center"/>
    </xf>
    <xf numFmtId="0" fontId="1" fillId="6682" borderId="0" xfId="4" applyFill="1" applyAlignment="1">
      <alignment horizontal="center" vertical="center"/>
    </xf>
    <xf numFmtId="0" fontId="1" fillId="6683" borderId="0" xfId="4" applyFill="1" applyAlignment="1">
      <alignment horizontal="center" vertical="center"/>
    </xf>
    <xf numFmtId="0" fontId="1" fillId="6684" borderId="0" xfId="4" applyFill="1" applyAlignment="1">
      <alignment horizontal="center" vertical="center"/>
    </xf>
    <xf numFmtId="0" fontId="1" fillId="6685" borderId="0" xfId="4" applyFill="1" applyAlignment="1">
      <alignment horizontal="center" vertical="center"/>
    </xf>
    <xf numFmtId="0" fontId="1" fillId="6686" borderId="0" xfId="4" applyFill="1" applyAlignment="1">
      <alignment horizontal="center" vertical="center"/>
    </xf>
    <xf numFmtId="0" fontId="1" fillId="6687" borderId="0" xfId="4" applyFill="1" applyAlignment="1">
      <alignment horizontal="center" vertical="center"/>
    </xf>
    <xf numFmtId="0" fontId="1" fillId="6688" borderId="0" xfId="4" applyFill="1" applyAlignment="1">
      <alignment horizontal="center" vertical="center"/>
    </xf>
    <xf numFmtId="0" fontId="1" fillId="6689" borderId="0" xfId="4" applyFill="1" applyAlignment="1">
      <alignment horizontal="center" vertical="center"/>
    </xf>
    <xf numFmtId="0" fontId="1" fillId="6690" borderId="0" xfId="4" applyFill="1" applyAlignment="1">
      <alignment horizontal="center" vertical="center"/>
    </xf>
    <xf numFmtId="0" fontId="1" fillId="6691" borderId="0" xfId="4" applyFill="1" applyAlignment="1">
      <alignment horizontal="center" vertical="center"/>
    </xf>
    <xf numFmtId="0" fontId="1" fillId="6692" borderId="0" xfId="4" applyFill="1" applyAlignment="1">
      <alignment horizontal="center" vertical="center"/>
    </xf>
    <xf numFmtId="0" fontId="1" fillId="6693" borderId="0" xfId="4" applyFill="1" applyAlignment="1">
      <alignment horizontal="center" vertical="center"/>
    </xf>
    <xf numFmtId="0" fontId="1" fillId="6694" borderId="0" xfId="4" applyFill="1" applyAlignment="1">
      <alignment horizontal="center" vertical="center"/>
    </xf>
    <xf numFmtId="0" fontId="1" fillId="6695" borderId="0" xfId="4" applyFill="1" applyAlignment="1">
      <alignment horizontal="center" vertical="center"/>
    </xf>
    <xf numFmtId="0" fontId="1" fillId="6696" borderId="0" xfId="4" applyFill="1" applyAlignment="1">
      <alignment horizontal="center" vertical="center"/>
    </xf>
    <xf numFmtId="0" fontId="1" fillId="6697" borderId="0" xfId="4" applyFill="1" applyAlignment="1">
      <alignment horizontal="center" vertical="center"/>
    </xf>
    <xf numFmtId="0" fontId="1" fillId="6698" borderId="0" xfId="4" applyFill="1" applyAlignment="1">
      <alignment horizontal="center" vertical="center"/>
    </xf>
    <xf numFmtId="0" fontId="1" fillId="6699" borderId="0" xfId="4" applyFill="1" applyAlignment="1">
      <alignment horizontal="center" vertical="center"/>
    </xf>
    <xf numFmtId="0" fontId="1" fillId="6700" borderId="0" xfId="4" applyFill="1" applyAlignment="1">
      <alignment horizontal="center" vertical="center"/>
    </xf>
    <xf numFmtId="0" fontId="1" fillId="6701" borderId="0" xfId="4" applyFill="1" applyAlignment="1">
      <alignment horizontal="left" vertical="center"/>
    </xf>
    <xf numFmtId="0" fontId="1" fillId="6702" borderId="0" xfId="4" applyFill="1" applyAlignment="1">
      <alignment horizontal="center" vertical="center"/>
    </xf>
    <xf numFmtId="0" fontId="1" fillId="6703" borderId="0" xfId="4" applyFill="1" applyAlignment="1">
      <alignment horizontal="center" vertical="center"/>
    </xf>
    <xf numFmtId="0" fontId="1" fillId="6704" borderId="0" xfId="4" applyFill="1" applyAlignment="1">
      <alignment horizontal="center" vertical="center"/>
    </xf>
    <xf numFmtId="0" fontId="1" fillId="6705" borderId="0" xfId="4" applyFill="1" applyAlignment="1">
      <alignment horizontal="center" vertical="center"/>
    </xf>
    <xf numFmtId="0" fontId="1" fillId="6706" borderId="0" xfId="4" applyFill="1" applyAlignment="1">
      <alignment horizontal="center" vertical="center"/>
    </xf>
    <xf numFmtId="0" fontId="1" fillId="6707" borderId="0" xfId="4" applyFill="1" applyAlignment="1">
      <alignment horizontal="center" vertical="center"/>
    </xf>
    <xf numFmtId="0" fontId="1" fillId="6708" borderId="0" xfId="4" applyFill="1" applyAlignment="1">
      <alignment horizontal="center" vertical="center"/>
    </xf>
    <xf numFmtId="0" fontId="1" fillId="6709" borderId="0" xfId="4" applyFill="1" applyAlignment="1">
      <alignment horizontal="center" vertical="center"/>
    </xf>
    <xf numFmtId="0" fontId="1" fillId="6710" borderId="0" xfId="4" applyFill="1" applyAlignment="1">
      <alignment horizontal="center" vertical="center"/>
    </xf>
    <xf numFmtId="0" fontId="1" fillId="6711" borderId="0" xfId="4" applyFill="1" applyAlignment="1">
      <alignment horizontal="center" vertical="center"/>
    </xf>
    <xf numFmtId="0" fontId="1" fillId="6712" borderId="0" xfId="4" applyFill="1" applyAlignment="1">
      <alignment horizontal="center" vertical="center"/>
    </xf>
    <xf numFmtId="0" fontId="1" fillId="6713" borderId="0" xfId="4" applyFill="1" applyAlignment="1">
      <alignment horizontal="center" vertical="center"/>
    </xf>
    <xf numFmtId="0" fontId="1" fillId="6714" borderId="0" xfId="4" applyFill="1" applyAlignment="1">
      <alignment horizontal="center" vertical="center"/>
    </xf>
    <xf numFmtId="0" fontId="1" fillId="6715" borderId="0" xfId="4" applyFill="1" applyAlignment="1">
      <alignment horizontal="center" vertical="center"/>
    </xf>
    <xf numFmtId="0" fontId="1" fillId="6716" borderId="0" xfId="4" applyFill="1" applyAlignment="1">
      <alignment horizontal="center" vertical="center"/>
    </xf>
    <xf numFmtId="0" fontId="1" fillId="6717" borderId="0" xfId="4" applyFill="1" applyAlignment="1">
      <alignment horizontal="center" vertical="center"/>
    </xf>
    <xf numFmtId="0" fontId="1" fillId="6718" borderId="0" xfId="4" applyFill="1" applyAlignment="1">
      <alignment horizontal="center" vertical="center"/>
    </xf>
    <xf numFmtId="0" fontId="1" fillId="6719" borderId="0" xfId="4" applyFill="1" applyAlignment="1">
      <alignment horizontal="center" vertical="center"/>
    </xf>
    <xf numFmtId="0" fontId="1" fillId="6720" borderId="0" xfId="4" applyFill="1" applyAlignment="1">
      <alignment horizontal="center" vertical="center"/>
    </xf>
    <xf numFmtId="0" fontId="1" fillId="6721" borderId="0" xfId="4" applyFill="1" applyAlignment="1">
      <alignment horizontal="center" vertical="center"/>
    </xf>
    <xf numFmtId="0" fontId="1" fillId="6722" borderId="0" xfId="4" applyFill="1" applyAlignment="1">
      <alignment horizontal="left" vertical="center"/>
    </xf>
    <xf numFmtId="0" fontId="1" fillId="6723" borderId="0" xfId="4" applyFill="1" applyAlignment="1">
      <alignment horizontal="center" vertical="center"/>
    </xf>
    <xf numFmtId="0" fontId="1" fillId="6724" borderId="0" xfId="4" applyFill="1" applyAlignment="1">
      <alignment horizontal="center" vertical="center"/>
    </xf>
    <xf numFmtId="0" fontId="1" fillId="6725" borderId="0" xfId="4" applyFill="1" applyAlignment="1">
      <alignment horizontal="left" vertical="center"/>
    </xf>
    <xf numFmtId="0" fontId="1" fillId="6726" borderId="0" xfId="4" applyFill="1" applyAlignment="1">
      <alignment horizontal="center" vertical="center"/>
    </xf>
    <xf numFmtId="0" fontId="1" fillId="6727" borderId="0" xfId="4" applyFill="1" applyAlignment="1">
      <alignment horizontal="center" vertical="center"/>
    </xf>
    <xf numFmtId="0" fontId="1" fillId="6728" borderId="0" xfId="4" applyFill="1" applyAlignment="1">
      <alignment horizontal="center" vertical="center"/>
    </xf>
    <xf numFmtId="0" fontId="1" fillId="6729" borderId="0" xfId="4" applyFill="1" applyAlignment="1">
      <alignment horizontal="center" vertical="center"/>
    </xf>
    <xf numFmtId="0" fontId="1" fillId="6730" borderId="0" xfId="4" applyFill="1" applyAlignment="1">
      <alignment horizontal="center" vertical="center"/>
    </xf>
    <xf numFmtId="0" fontId="1" fillId="6731" borderId="0" xfId="4" applyFill="1" applyAlignment="1">
      <alignment horizontal="center" vertical="center"/>
    </xf>
    <xf numFmtId="0" fontId="1" fillId="6732" borderId="0" xfId="4" applyFill="1" applyAlignment="1">
      <alignment horizontal="center" vertical="center"/>
    </xf>
    <xf numFmtId="0" fontId="1" fillId="6733" borderId="0" xfId="4" applyFill="1" applyAlignment="1">
      <alignment horizontal="center" vertical="center"/>
    </xf>
    <xf numFmtId="0" fontId="1" fillId="6734" borderId="0" xfId="4" applyFill="1" applyAlignment="1">
      <alignment horizontal="center" vertical="center"/>
    </xf>
    <xf numFmtId="0" fontId="1" fillId="6735" borderId="0" xfId="4" applyFill="1" applyAlignment="1">
      <alignment horizontal="center" vertical="center"/>
    </xf>
    <xf numFmtId="0" fontId="1" fillId="6736" borderId="0" xfId="4" applyFill="1" applyAlignment="1">
      <alignment horizontal="center" vertical="center"/>
    </xf>
    <xf numFmtId="0" fontId="1" fillId="6737" borderId="0" xfId="4" applyFill="1" applyAlignment="1">
      <alignment horizontal="center" vertical="center"/>
    </xf>
    <xf numFmtId="0" fontId="1" fillId="6738" borderId="0" xfId="4" applyFill="1" applyAlignment="1">
      <alignment horizontal="center" vertical="center"/>
    </xf>
    <xf numFmtId="0" fontId="1" fillId="6739" borderId="0" xfId="4" applyFill="1" applyAlignment="1">
      <alignment horizontal="center" vertical="center"/>
    </xf>
    <xf numFmtId="0" fontId="1" fillId="6740" borderId="0" xfId="4" applyFill="1" applyAlignment="1">
      <alignment horizontal="center" vertical="center"/>
    </xf>
    <xf numFmtId="0" fontId="1" fillId="6741" borderId="0" xfId="4" applyFill="1" applyAlignment="1">
      <alignment horizontal="center" vertical="center"/>
    </xf>
    <xf numFmtId="0" fontId="1" fillId="6742" borderId="0" xfId="4" applyFill="1" applyAlignment="1">
      <alignment horizontal="center" vertical="center"/>
    </xf>
    <xf numFmtId="0" fontId="1" fillId="6743" borderId="0" xfId="4" applyFill="1" applyAlignment="1">
      <alignment horizontal="center" vertical="center"/>
    </xf>
    <xf numFmtId="0" fontId="1" fillId="6744" borderId="0" xfId="4" applyFill="1" applyAlignment="1">
      <alignment horizontal="center" vertical="center"/>
    </xf>
    <xf numFmtId="0" fontId="1" fillId="6745" borderId="0" xfId="4" applyFill="1" applyAlignment="1">
      <alignment horizontal="center" vertical="center"/>
    </xf>
    <xf numFmtId="0" fontId="1" fillId="6746" borderId="0" xfId="4" applyFill="1" applyAlignment="1">
      <alignment horizontal="center" vertical="center"/>
    </xf>
    <xf numFmtId="0" fontId="1" fillId="6747" borderId="0" xfId="4" applyFill="1" applyAlignment="1">
      <alignment horizontal="center" vertical="center"/>
    </xf>
    <xf numFmtId="0" fontId="1" fillId="6748" borderId="0" xfId="4" applyFill="1" applyAlignment="1">
      <alignment horizontal="center" vertical="center"/>
    </xf>
    <xf numFmtId="0" fontId="1" fillId="6749" borderId="0" xfId="4" applyFill="1" applyAlignment="1">
      <alignment horizontal="center" vertical="center"/>
    </xf>
    <xf numFmtId="0" fontId="1" fillId="6750" borderId="0" xfId="4" applyFill="1" applyAlignment="1">
      <alignment horizontal="center" vertical="center"/>
    </xf>
    <xf numFmtId="0" fontId="1" fillId="6751" borderId="0" xfId="4" applyFill="1" applyAlignment="1">
      <alignment horizontal="center" vertical="center"/>
    </xf>
    <xf numFmtId="0" fontId="1" fillId="6752" borderId="0" xfId="4" applyFill="1" applyAlignment="1">
      <alignment horizontal="center" vertical="center"/>
    </xf>
    <xf numFmtId="0" fontId="1" fillId="6753" borderId="0" xfId="4" applyFill="1" applyAlignment="1">
      <alignment horizontal="center" vertical="center"/>
    </xf>
    <xf numFmtId="0" fontId="1" fillId="6754" borderId="0" xfId="4" applyFill="1" applyAlignment="1">
      <alignment horizontal="center" vertical="center"/>
    </xf>
    <xf numFmtId="0" fontId="1" fillId="6755" borderId="0" xfId="4" applyFill="1" applyAlignment="1">
      <alignment horizontal="center" vertical="center"/>
    </xf>
    <xf numFmtId="0" fontId="1" fillId="6756" borderId="0" xfId="4" applyFill="1" applyAlignment="1">
      <alignment horizontal="center" vertical="center"/>
    </xf>
    <xf numFmtId="0" fontId="1" fillId="6757" borderId="0" xfId="4" applyFill="1" applyAlignment="1">
      <alignment horizontal="center" vertical="center"/>
    </xf>
    <xf numFmtId="0" fontId="1" fillId="6758" borderId="0" xfId="4" applyFill="1" applyAlignment="1">
      <alignment horizontal="center" vertical="center"/>
    </xf>
    <xf numFmtId="0" fontId="1" fillId="6759" borderId="0" xfId="4" applyFill="1" applyAlignment="1">
      <alignment horizontal="center" vertical="center"/>
    </xf>
    <xf numFmtId="0" fontId="1" fillId="6760" borderId="0" xfId="4" applyFill="1" applyAlignment="1">
      <alignment horizontal="center" vertical="center"/>
    </xf>
    <xf numFmtId="0" fontId="1" fillId="6761" borderId="0" xfId="4" applyFill="1" applyAlignment="1">
      <alignment horizontal="center" vertical="center"/>
    </xf>
    <xf numFmtId="0" fontId="1" fillId="6762" borderId="0" xfId="4" applyFill="1" applyAlignment="1">
      <alignment horizontal="center" vertical="center"/>
    </xf>
    <xf numFmtId="0" fontId="1" fillId="6763" borderId="0" xfId="4" applyFill="1" applyAlignment="1">
      <alignment horizontal="center" vertical="center"/>
    </xf>
    <xf numFmtId="0" fontId="1" fillId="6764" borderId="0" xfId="4" applyFill="1" applyAlignment="1">
      <alignment horizontal="center" vertical="center"/>
    </xf>
    <xf numFmtId="0" fontId="1" fillId="6765" borderId="0" xfId="4" applyFill="1" applyAlignment="1">
      <alignment horizontal="center" vertical="center"/>
    </xf>
    <xf numFmtId="0" fontId="1" fillId="6766" borderId="0" xfId="4" applyFill="1" applyAlignment="1">
      <alignment horizontal="center" vertical="center"/>
    </xf>
    <xf numFmtId="0" fontId="1" fillId="6767" borderId="0" xfId="4" applyFill="1" applyAlignment="1">
      <alignment horizontal="center" vertical="center"/>
    </xf>
    <xf numFmtId="0" fontId="1" fillId="6768" borderId="0" xfId="4" applyFill="1" applyAlignment="1">
      <alignment horizontal="center" vertical="center"/>
    </xf>
    <xf numFmtId="0" fontId="1" fillId="6769" borderId="0" xfId="4" applyFill="1" applyAlignment="1">
      <alignment horizontal="center" vertical="center"/>
    </xf>
    <xf numFmtId="0" fontId="1" fillId="6770" borderId="0" xfId="4" applyFill="1" applyAlignment="1">
      <alignment horizontal="center" vertical="center"/>
    </xf>
    <xf numFmtId="0" fontId="1" fillId="6771" borderId="0" xfId="4" applyFill="1" applyAlignment="1">
      <alignment horizontal="center" vertical="center"/>
    </xf>
    <xf numFmtId="0" fontId="1" fillId="6772" borderId="0" xfId="4" applyFill="1" applyAlignment="1">
      <alignment horizontal="center" vertical="center"/>
    </xf>
    <xf numFmtId="0" fontId="1" fillId="6773" borderId="0" xfId="4" applyFill="1" applyAlignment="1">
      <alignment horizontal="center" vertical="center"/>
    </xf>
    <xf numFmtId="0" fontId="1" fillId="6774" borderId="0" xfId="4" applyFill="1" applyAlignment="1">
      <alignment horizontal="center" vertical="center"/>
    </xf>
    <xf numFmtId="0" fontId="1" fillId="6775" borderId="0" xfId="4" applyFill="1" applyAlignment="1">
      <alignment horizontal="center" vertical="center"/>
    </xf>
    <xf numFmtId="0" fontId="1" fillId="6776" borderId="0" xfId="4" applyFill="1" applyAlignment="1">
      <alignment horizontal="center" vertical="center"/>
    </xf>
    <xf numFmtId="0" fontId="1" fillId="6777" borderId="0" xfId="4" applyFill="1" applyAlignment="1">
      <alignment horizontal="center" vertical="center"/>
    </xf>
    <xf numFmtId="0" fontId="1" fillId="6778" borderId="0" xfId="4" applyFill="1" applyAlignment="1">
      <alignment horizontal="center" vertical="center"/>
    </xf>
    <xf numFmtId="0" fontId="1" fillId="6779" borderId="0" xfId="4" applyFill="1" applyAlignment="1">
      <alignment horizontal="center" vertical="center"/>
    </xf>
    <xf numFmtId="0" fontId="1" fillId="6780" borderId="0" xfId="4" applyFill="1" applyAlignment="1">
      <alignment horizontal="center" vertical="center"/>
    </xf>
    <xf numFmtId="0" fontId="1" fillId="6781" borderId="0" xfId="4" applyFill="1" applyAlignment="1">
      <alignment horizontal="center" vertical="center"/>
    </xf>
    <xf numFmtId="0" fontId="1" fillId="6782" borderId="0" xfId="4" applyFill="1" applyAlignment="1">
      <alignment horizontal="center" vertical="center"/>
    </xf>
    <xf numFmtId="0" fontId="1" fillId="6783" borderId="0" xfId="4" applyFill="1" applyAlignment="1">
      <alignment horizontal="center" vertical="center"/>
    </xf>
    <xf numFmtId="0" fontId="1" fillId="6784" borderId="0" xfId="4" applyFill="1" applyAlignment="1">
      <alignment horizontal="center" vertical="center"/>
    </xf>
    <xf numFmtId="0" fontId="1" fillId="6785" borderId="0" xfId="4" applyFill="1" applyAlignment="1">
      <alignment horizontal="center" vertical="center"/>
    </xf>
    <xf numFmtId="0" fontId="1" fillId="6786" borderId="0" xfId="4" applyFill="1" applyAlignment="1">
      <alignment horizontal="center" vertical="center"/>
    </xf>
    <xf numFmtId="0" fontId="1" fillId="6787" borderId="0" xfId="4" applyFill="1" applyAlignment="1">
      <alignment horizontal="center" vertical="center"/>
    </xf>
    <xf numFmtId="0" fontId="1" fillId="6788" borderId="0" xfId="4" applyFill="1" applyAlignment="1">
      <alignment horizontal="center" vertical="center"/>
    </xf>
    <xf numFmtId="0" fontId="1" fillId="6789" borderId="0" xfId="4" applyFill="1" applyAlignment="1">
      <alignment horizontal="center" vertical="center"/>
    </xf>
    <xf numFmtId="0" fontId="1" fillId="6790" borderId="0" xfId="4" applyFill="1" applyAlignment="1">
      <alignment horizontal="center" vertical="center"/>
    </xf>
    <xf numFmtId="0" fontId="1" fillId="6791" borderId="0" xfId="4" applyFill="1" applyAlignment="1">
      <alignment horizontal="left" vertical="center"/>
    </xf>
    <xf numFmtId="0" fontId="1" fillId="6792" borderId="0" xfId="4" applyFill="1" applyAlignment="1">
      <alignment horizontal="center" vertical="center"/>
    </xf>
    <xf numFmtId="0" fontId="1" fillId="6793" borderId="0" xfId="4" applyFill="1" applyAlignment="1">
      <alignment horizontal="center" vertical="center"/>
    </xf>
    <xf numFmtId="0" fontId="1" fillId="6794" borderId="0" xfId="4" applyFill="1" applyAlignment="1">
      <alignment horizontal="center" vertical="center"/>
    </xf>
    <xf numFmtId="0" fontId="1" fillId="6795" borderId="0" xfId="4" applyFill="1" applyAlignment="1">
      <alignment horizontal="center" vertical="center"/>
    </xf>
    <xf numFmtId="0" fontId="1" fillId="6796" borderId="0" xfId="4" applyFill="1" applyAlignment="1">
      <alignment horizontal="center" vertical="center"/>
    </xf>
    <xf numFmtId="0" fontId="1" fillId="6797" borderId="0" xfId="4" applyFill="1" applyAlignment="1">
      <alignment horizontal="center" vertical="center"/>
    </xf>
    <xf numFmtId="0" fontId="1" fillId="6798" borderId="0" xfId="4" applyFill="1" applyAlignment="1">
      <alignment horizontal="center" vertical="center"/>
    </xf>
    <xf numFmtId="0" fontId="1" fillId="6799" borderId="0" xfId="4" applyFill="1" applyAlignment="1">
      <alignment horizontal="center" vertical="center"/>
    </xf>
    <xf numFmtId="0" fontId="1" fillId="6800" borderId="0" xfId="4" applyFill="1" applyAlignment="1">
      <alignment horizontal="center" vertical="center"/>
    </xf>
    <xf numFmtId="0" fontId="1" fillId="6801" borderId="0" xfId="4" applyFill="1" applyAlignment="1">
      <alignment horizontal="center" vertical="center"/>
    </xf>
    <xf numFmtId="0" fontId="1" fillId="6802" borderId="0" xfId="4" applyFill="1" applyAlignment="1">
      <alignment horizontal="center" vertical="center"/>
    </xf>
    <xf numFmtId="0" fontId="1" fillId="6803" borderId="0" xfId="4" applyFill="1" applyAlignment="1">
      <alignment horizontal="center" vertical="center"/>
    </xf>
    <xf numFmtId="0" fontId="1" fillId="6804" borderId="0" xfId="4" applyFill="1" applyAlignment="1">
      <alignment horizontal="center" vertical="center"/>
    </xf>
    <xf numFmtId="0" fontId="1" fillId="6805" borderId="0" xfId="4" applyFill="1" applyAlignment="1">
      <alignment horizontal="center" vertical="center"/>
    </xf>
    <xf numFmtId="0" fontId="1" fillId="6806" borderId="0" xfId="4" applyFill="1" applyAlignment="1">
      <alignment horizontal="center" vertical="center"/>
    </xf>
    <xf numFmtId="0" fontId="1" fillId="6807" borderId="0" xfId="4" applyFill="1" applyAlignment="1">
      <alignment horizontal="center" vertical="center"/>
    </xf>
    <xf numFmtId="0" fontId="1" fillId="6808" borderId="0" xfId="4" applyFill="1" applyAlignment="1">
      <alignment horizontal="center" vertical="center"/>
    </xf>
    <xf numFmtId="0" fontId="1" fillId="6809" borderId="0" xfId="4" applyFill="1" applyAlignment="1">
      <alignment horizontal="center" vertical="center"/>
    </xf>
    <xf numFmtId="0" fontId="1" fillId="6810" borderId="0" xfId="4" applyFill="1" applyAlignment="1">
      <alignment horizontal="center" vertical="center"/>
    </xf>
    <xf numFmtId="0" fontId="1" fillId="6811" borderId="0" xfId="4" applyFill="1" applyAlignment="1">
      <alignment horizontal="center" vertical="center"/>
    </xf>
    <xf numFmtId="0" fontId="1" fillId="6812" borderId="0" xfId="4" applyFill="1" applyAlignment="1">
      <alignment horizontal="left" vertical="center"/>
    </xf>
    <xf numFmtId="0" fontId="1" fillId="6813" borderId="0" xfId="4" applyFill="1" applyAlignment="1">
      <alignment horizontal="center" vertical="center"/>
    </xf>
    <xf numFmtId="0" fontId="1" fillId="6814" borderId="0" xfId="4" applyFill="1" applyAlignment="1">
      <alignment horizontal="center" vertical="center"/>
    </xf>
    <xf numFmtId="0" fontId="1" fillId="6815" borderId="0" xfId="4" applyFill="1" applyAlignment="1">
      <alignment horizontal="left" vertical="center"/>
    </xf>
    <xf numFmtId="0" fontId="1" fillId="6816" borderId="0" xfId="4" applyFill="1" applyAlignment="1">
      <alignment horizontal="center" vertical="center"/>
    </xf>
    <xf numFmtId="0" fontId="1" fillId="6817" borderId="0" xfId="4" applyFill="1" applyAlignment="1">
      <alignment horizontal="center" vertical="center"/>
    </xf>
    <xf numFmtId="0" fontId="1" fillId="6818" borderId="0" xfId="4" applyFill="1" applyAlignment="1">
      <alignment horizontal="center" vertical="center"/>
    </xf>
    <xf numFmtId="0" fontId="1" fillId="6819" borderId="0" xfId="4" applyFill="1" applyAlignment="1">
      <alignment horizontal="center" vertical="center"/>
    </xf>
    <xf numFmtId="0" fontId="1" fillId="6820" borderId="0" xfId="4" applyFill="1" applyAlignment="1">
      <alignment horizontal="center" vertical="center"/>
    </xf>
    <xf numFmtId="0" fontId="1" fillId="6821" borderId="0" xfId="4" applyFill="1" applyAlignment="1">
      <alignment horizontal="center" vertical="center"/>
    </xf>
    <xf numFmtId="0" fontId="1" fillId="6822" borderId="0" xfId="4" applyFill="1" applyAlignment="1">
      <alignment horizontal="center" vertical="center"/>
    </xf>
    <xf numFmtId="0" fontId="1" fillId="6823" borderId="0" xfId="4" applyFill="1" applyAlignment="1">
      <alignment horizontal="center" vertical="center"/>
    </xf>
    <xf numFmtId="0" fontId="1" fillId="6824" borderId="0" xfId="4" applyFill="1" applyAlignment="1">
      <alignment horizontal="center" vertical="center"/>
    </xf>
    <xf numFmtId="0" fontId="1" fillId="6825" borderId="0" xfId="4" applyFill="1" applyAlignment="1">
      <alignment horizontal="center" vertical="center"/>
    </xf>
    <xf numFmtId="0" fontId="1" fillId="6826" borderId="0" xfId="4" applyFill="1" applyAlignment="1">
      <alignment horizontal="center" vertical="center"/>
    </xf>
    <xf numFmtId="0" fontId="1" fillId="6827" borderId="0" xfId="4" applyFill="1" applyAlignment="1">
      <alignment horizontal="center" vertical="center"/>
    </xf>
    <xf numFmtId="0" fontId="1" fillId="6828" borderId="0" xfId="4" applyFill="1" applyAlignment="1">
      <alignment horizontal="center" vertical="center"/>
    </xf>
    <xf numFmtId="0" fontId="1" fillId="6829" borderId="0" xfId="4" applyFill="1" applyAlignment="1">
      <alignment horizontal="center" vertical="center"/>
    </xf>
    <xf numFmtId="0" fontId="1" fillId="6830" borderId="0" xfId="4" applyFill="1" applyAlignment="1">
      <alignment horizontal="center" vertical="center"/>
    </xf>
    <xf numFmtId="0" fontId="1" fillId="6831" borderId="0" xfId="4" applyFill="1" applyAlignment="1">
      <alignment horizontal="center" vertical="center"/>
    </xf>
    <xf numFmtId="0" fontId="1" fillId="6832" borderId="0" xfId="4" applyFill="1" applyAlignment="1">
      <alignment horizontal="center" vertical="center"/>
    </xf>
    <xf numFmtId="0" fontId="1" fillId="6833" borderId="0" xfId="4" applyFill="1" applyAlignment="1">
      <alignment horizontal="center" vertical="center"/>
    </xf>
    <xf numFmtId="0" fontId="1" fillId="6834" borderId="0" xfId="4" applyFill="1" applyAlignment="1">
      <alignment horizontal="center" vertical="center"/>
    </xf>
    <xf numFmtId="0" fontId="1" fillId="6835" borderId="0" xfId="4" applyFill="1" applyAlignment="1">
      <alignment horizontal="center" vertical="center"/>
    </xf>
    <xf numFmtId="0" fontId="1" fillId="6836" borderId="0" xfId="4" applyFill="1" applyAlignment="1">
      <alignment horizontal="center" vertical="center"/>
    </xf>
    <xf numFmtId="0" fontId="1" fillId="6837" borderId="0" xfId="4" applyFill="1" applyAlignment="1">
      <alignment horizontal="center" vertical="center"/>
    </xf>
    <xf numFmtId="0" fontId="1" fillId="6838" borderId="0" xfId="4" applyFill="1" applyAlignment="1">
      <alignment horizontal="center" vertical="center"/>
    </xf>
    <xf numFmtId="0" fontId="1" fillId="6839" borderId="0" xfId="4" applyFill="1" applyAlignment="1">
      <alignment horizontal="center" vertical="center"/>
    </xf>
    <xf numFmtId="0" fontId="1" fillId="6840" borderId="0" xfId="4" applyFill="1" applyAlignment="1">
      <alignment horizontal="center" vertical="center"/>
    </xf>
    <xf numFmtId="0" fontId="1" fillId="6841" borderId="0" xfId="4" applyFill="1" applyAlignment="1">
      <alignment horizontal="center" vertical="center"/>
    </xf>
    <xf numFmtId="0" fontId="1" fillId="6842" borderId="0" xfId="4" applyFill="1" applyAlignment="1">
      <alignment horizontal="center" vertical="center"/>
    </xf>
    <xf numFmtId="0" fontId="1" fillId="6843" borderId="0" xfId="4" applyFill="1" applyAlignment="1">
      <alignment horizontal="center" vertical="center"/>
    </xf>
    <xf numFmtId="0" fontId="1" fillId="6844" borderId="0" xfId="4" applyFill="1" applyAlignment="1">
      <alignment horizontal="center" vertical="center"/>
    </xf>
    <xf numFmtId="0" fontId="1" fillId="6845" borderId="0" xfId="4" applyFill="1" applyAlignment="1">
      <alignment horizontal="center" vertical="center"/>
    </xf>
    <xf numFmtId="0" fontId="1" fillId="6846" borderId="0" xfId="4" applyFill="1" applyAlignment="1">
      <alignment horizontal="center" vertical="center"/>
    </xf>
    <xf numFmtId="0" fontId="1" fillId="6847" borderId="0" xfId="4" applyFill="1" applyAlignment="1">
      <alignment horizontal="center" vertical="center"/>
    </xf>
    <xf numFmtId="0" fontId="1" fillId="6848" borderId="0" xfId="4" applyFill="1" applyAlignment="1">
      <alignment horizontal="center" vertical="center"/>
    </xf>
    <xf numFmtId="0" fontId="1" fillId="6849" borderId="0" xfId="4" applyFill="1" applyAlignment="1">
      <alignment horizontal="center" vertical="center"/>
    </xf>
    <xf numFmtId="0" fontId="1" fillId="6850" borderId="0" xfId="4" applyFill="1" applyAlignment="1">
      <alignment horizontal="left" vertical="center"/>
    </xf>
    <xf numFmtId="0" fontId="1" fillId="6851" borderId="0" xfId="4" applyFill="1" applyAlignment="1">
      <alignment horizontal="center" vertical="center"/>
    </xf>
    <xf numFmtId="0" fontId="1" fillId="6852" borderId="0" xfId="4" applyFill="1" applyAlignment="1">
      <alignment horizontal="center" vertical="center"/>
    </xf>
    <xf numFmtId="0" fontId="1" fillId="6853" borderId="0" xfId="4" applyFill="1" applyAlignment="1">
      <alignment horizontal="center" vertical="center"/>
    </xf>
    <xf numFmtId="0" fontId="1" fillId="6854" borderId="0" xfId="4" applyFill="1" applyAlignment="1">
      <alignment horizontal="center" vertical="center"/>
    </xf>
    <xf numFmtId="0" fontId="1" fillId="6855" borderId="0" xfId="4" applyFill="1" applyAlignment="1">
      <alignment horizontal="center" vertical="center"/>
    </xf>
    <xf numFmtId="0" fontId="1" fillId="6856" borderId="0" xfId="4" applyFill="1" applyAlignment="1">
      <alignment horizontal="center" vertical="center"/>
    </xf>
    <xf numFmtId="0" fontId="1" fillId="6857" borderId="0" xfId="4" applyFill="1" applyAlignment="1">
      <alignment horizontal="center" vertical="center"/>
    </xf>
    <xf numFmtId="0" fontId="1" fillId="6858" borderId="0" xfId="4" applyFill="1" applyAlignment="1">
      <alignment horizontal="center" vertical="center"/>
    </xf>
    <xf numFmtId="0" fontId="1" fillId="6859" borderId="0" xfId="4" applyFill="1" applyAlignment="1">
      <alignment horizontal="center" vertical="center"/>
    </xf>
    <xf numFmtId="0" fontId="1" fillId="6860" borderId="0" xfId="4" applyFill="1" applyAlignment="1">
      <alignment horizontal="center" vertical="center"/>
    </xf>
    <xf numFmtId="0" fontId="1" fillId="6861" borderId="0" xfId="4" applyFill="1" applyAlignment="1">
      <alignment horizontal="center" vertical="center"/>
    </xf>
    <xf numFmtId="0" fontId="1" fillId="6862" borderId="0" xfId="4" applyFill="1" applyAlignment="1">
      <alignment horizontal="center" vertical="center"/>
    </xf>
    <xf numFmtId="0" fontId="1" fillId="6863" borderId="0" xfId="4" applyFill="1" applyAlignment="1">
      <alignment horizontal="center" vertical="center"/>
    </xf>
    <xf numFmtId="0" fontId="1" fillId="6864" borderId="0" xfId="4" applyFill="1" applyAlignment="1">
      <alignment horizontal="center" vertical="center"/>
    </xf>
    <xf numFmtId="0" fontId="1" fillId="6865" borderId="0" xfId="4" applyFill="1" applyAlignment="1">
      <alignment horizontal="center" vertical="center"/>
    </xf>
    <xf numFmtId="0" fontId="1" fillId="6866" borderId="0" xfId="4" applyFill="1" applyAlignment="1">
      <alignment horizontal="center" vertical="center"/>
    </xf>
    <xf numFmtId="0" fontId="1" fillId="6867" borderId="0" xfId="4" applyFill="1" applyAlignment="1">
      <alignment horizontal="center" vertical="center"/>
    </xf>
    <xf numFmtId="0" fontId="1" fillId="6868" borderId="0" xfId="4" applyFill="1" applyAlignment="1">
      <alignment horizontal="center" vertical="center"/>
    </xf>
    <xf numFmtId="0" fontId="1" fillId="6869" borderId="0" xfId="4" applyFill="1" applyAlignment="1">
      <alignment horizontal="center" vertical="center"/>
    </xf>
    <xf numFmtId="0" fontId="1" fillId="6870" borderId="0" xfId="4" applyFill="1" applyAlignment="1">
      <alignment horizontal="center" vertical="center"/>
    </xf>
    <xf numFmtId="0" fontId="1" fillId="6871" borderId="0" xfId="4" applyFill="1" applyAlignment="1">
      <alignment horizontal="center" vertical="center"/>
    </xf>
    <xf numFmtId="0" fontId="1" fillId="6872" borderId="0" xfId="4" applyFill="1" applyAlignment="1">
      <alignment horizontal="center" vertical="center"/>
    </xf>
    <xf numFmtId="0" fontId="1" fillId="6873" borderId="0" xfId="4" applyFill="1" applyAlignment="1">
      <alignment horizontal="center" vertical="center"/>
    </xf>
    <xf numFmtId="0" fontId="1" fillId="6874" borderId="0" xfId="4" applyFill="1" applyAlignment="1">
      <alignment horizontal="center" vertical="center"/>
    </xf>
    <xf numFmtId="0" fontId="1" fillId="6875" borderId="0" xfId="4" applyFill="1" applyAlignment="1">
      <alignment horizontal="center" vertical="center"/>
    </xf>
    <xf numFmtId="0" fontId="1" fillId="6876" borderId="0" xfId="4" applyFill="1" applyAlignment="1">
      <alignment horizontal="center" vertical="center"/>
    </xf>
    <xf numFmtId="0" fontId="1" fillId="6877" borderId="0" xfId="4" applyFill="1" applyAlignment="1">
      <alignment horizontal="center" vertical="center"/>
    </xf>
    <xf numFmtId="0" fontId="1" fillId="6878" borderId="0" xfId="4" applyFill="1" applyAlignment="1">
      <alignment horizontal="center" vertical="center"/>
    </xf>
    <xf numFmtId="0" fontId="1" fillId="6879" borderId="0" xfId="4" applyFill="1" applyAlignment="1">
      <alignment horizontal="center" vertical="center"/>
    </xf>
    <xf numFmtId="0" fontId="1" fillId="6880" borderId="0" xfId="4" applyFill="1" applyAlignment="1">
      <alignment horizontal="center" vertical="center"/>
    </xf>
    <xf numFmtId="0" fontId="1" fillId="6881" borderId="0" xfId="4" applyFill="1" applyAlignment="1">
      <alignment horizontal="center" vertical="center"/>
    </xf>
    <xf numFmtId="0" fontId="1" fillId="6882" borderId="0" xfId="4" applyFill="1" applyAlignment="1">
      <alignment horizontal="left" vertical="center"/>
    </xf>
    <xf numFmtId="0" fontId="1" fillId="6883" borderId="0" xfId="4" applyFill="1" applyAlignment="1">
      <alignment horizontal="center" vertical="center"/>
    </xf>
    <xf numFmtId="0" fontId="1" fillId="6884" borderId="0" xfId="4" applyFill="1" applyAlignment="1">
      <alignment horizontal="center" vertical="center"/>
    </xf>
    <xf numFmtId="0" fontId="1" fillId="6885" borderId="0" xfId="4" applyFill="1" applyAlignment="1">
      <alignment horizontal="center" vertical="center"/>
    </xf>
    <xf numFmtId="0" fontId="1" fillId="6886" borderId="0" xfId="4" applyFill="1" applyAlignment="1">
      <alignment horizontal="center" vertical="center"/>
    </xf>
    <xf numFmtId="0" fontId="1" fillId="1086" borderId="0" xfId="4" applyFill="1" applyAlignment="1">
      <alignment horizontal="center" vertical="center"/>
    </xf>
    <xf numFmtId="0" fontId="1" fillId="6887" borderId="0" xfId="4" applyFill="1" applyAlignment="1">
      <alignment horizontal="center" vertical="center"/>
    </xf>
    <xf numFmtId="0" fontId="1" fillId="6888" borderId="0" xfId="4" applyFill="1" applyAlignment="1">
      <alignment horizontal="center" vertical="center"/>
    </xf>
    <xf numFmtId="0" fontId="1" fillId="6889" borderId="0" xfId="4" applyFill="1" applyAlignment="1">
      <alignment horizontal="center" vertical="center"/>
    </xf>
    <xf numFmtId="0" fontId="1" fillId="6890" borderId="0" xfId="4" applyFill="1" applyAlignment="1">
      <alignment horizontal="center" vertical="center"/>
    </xf>
    <xf numFmtId="0" fontId="1" fillId="6891" borderId="0" xfId="4" applyFill="1" applyAlignment="1">
      <alignment horizontal="center" vertical="center"/>
    </xf>
    <xf numFmtId="0" fontId="1" fillId="6892" borderId="0" xfId="4" applyFill="1" applyAlignment="1">
      <alignment horizontal="center" vertical="center"/>
    </xf>
    <xf numFmtId="0" fontId="1" fillId="6893" borderId="0" xfId="4" applyFill="1" applyAlignment="1">
      <alignment horizontal="center" vertical="center"/>
    </xf>
    <xf numFmtId="0" fontId="1" fillId="6894" borderId="0" xfId="4" applyFill="1" applyAlignment="1">
      <alignment horizontal="center" vertical="center"/>
    </xf>
    <xf numFmtId="0" fontId="1" fillId="6895" borderId="0" xfId="4" applyFill="1" applyAlignment="1">
      <alignment horizontal="center" vertical="center"/>
    </xf>
    <xf numFmtId="0" fontId="1" fillId="6896" borderId="0" xfId="4" applyFill="1" applyAlignment="1">
      <alignment horizontal="center" vertical="center"/>
    </xf>
    <xf numFmtId="0" fontId="1" fillId="6897" borderId="0" xfId="4" applyFill="1" applyAlignment="1">
      <alignment horizontal="center" vertical="center"/>
    </xf>
    <xf numFmtId="0" fontId="1" fillId="6898" borderId="0" xfId="4" applyFill="1" applyAlignment="1">
      <alignment horizontal="center" vertical="center"/>
    </xf>
    <xf numFmtId="0" fontId="1" fillId="6899" borderId="0" xfId="4" applyFill="1" applyAlignment="1">
      <alignment horizontal="center" vertical="center"/>
    </xf>
    <xf numFmtId="0" fontId="1" fillId="6900" borderId="0" xfId="4" applyFill="1" applyAlignment="1">
      <alignment horizontal="center" vertical="center"/>
    </xf>
    <xf numFmtId="0" fontId="1" fillId="6901" borderId="0" xfId="4" applyFill="1" applyAlignment="1">
      <alignment horizontal="center" vertical="center"/>
    </xf>
    <xf numFmtId="0" fontId="1" fillId="6902" borderId="0" xfId="4" applyFill="1" applyAlignment="1">
      <alignment horizontal="left" vertical="center"/>
    </xf>
    <xf numFmtId="0" fontId="1" fillId="6903" borderId="0" xfId="4" applyFill="1" applyAlignment="1">
      <alignment horizontal="center" vertical="center"/>
    </xf>
    <xf numFmtId="0" fontId="1" fillId="6904" borderId="0" xfId="4" applyFill="1" applyAlignment="1">
      <alignment horizontal="center" vertical="center"/>
    </xf>
    <xf numFmtId="0" fontId="1" fillId="6905" borderId="0" xfId="4" applyFill="1" applyAlignment="1">
      <alignment horizontal="left" vertical="center"/>
    </xf>
    <xf numFmtId="0" fontId="1" fillId="6906" borderId="0" xfId="4" applyFill="1" applyAlignment="1">
      <alignment horizontal="center" vertical="center"/>
    </xf>
    <xf numFmtId="0" fontId="1" fillId="6907" borderId="0" xfId="4" applyFill="1" applyAlignment="1">
      <alignment horizontal="center" vertical="center"/>
    </xf>
    <xf numFmtId="0" fontId="1" fillId="6908" borderId="0" xfId="4" applyFill="1" applyAlignment="1">
      <alignment horizontal="center" vertical="center"/>
    </xf>
    <xf numFmtId="0" fontId="1" fillId="6909" borderId="0" xfId="4" applyFill="1" applyAlignment="1">
      <alignment horizontal="center" vertical="center"/>
    </xf>
    <xf numFmtId="0" fontId="1" fillId="6910" borderId="0" xfId="4" applyFill="1" applyAlignment="1">
      <alignment horizontal="center" vertical="center"/>
    </xf>
    <xf numFmtId="0" fontId="1" fillId="6911" borderId="0" xfId="4" applyFill="1" applyAlignment="1">
      <alignment horizontal="center" vertical="center"/>
    </xf>
    <xf numFmtId="0" fontId="1" fillId="6912" borderId="0" xfId="4" applyFill="1" applyAlignment="1">
      <alignment horizontal="center" vertical="center"/>
    </xf>
    <xf numFmtId="0" fontId="1" fillId="6913" borderId="0" xfId="4" applyFill="1" applyAlignment="1">
      <alignment horizontal="center" vertical="center"/>
    </xf>
    <xf numFmtId="0" fontId="1" fillId="6914" borderId="0" xfId="4" applyFill="1" applyAlignment="1">
      <alignment horizontal="center" vertical="center"/>
    </xf>
    <xf numFmtId="0" fontId="1" fillId="6915" borderId="0" xfId="4" applyFill="1" applyAlignment="1">
      <alignment horizontal="center" vertical="center"/>
    </xf>
    <xf numFmtId="0" fontId="1" fillId="6916" borderId="0" xfId="4" applyFill="1" applyAlignment="1">
      <alignment horizontal="center" vertical="center"/>
    </xf>
    <xf numFmtId="0" fontId="1" fillId="6917" borderId="0" xfId="4" applyFill="1" applyAlignment="1">
      <alignment horizontal="center" vertical="center"/>
    </xf>
    <xf numFmtId="0" fontId="1" fillId="6918" borderId="0" xfId="4" applyFill="1" applyAlignment="1">
      <alignment horizontal="center" vertical="center"/>
    </xf>
    <xf numFmtId="0" fontId="1" fillId="6919" borderId="0" xfId="4" applyFill="1" applyAlignment="1">
      <alignment horizontal="center" vertical="center"/>
    </xf>
    <xf numFmtId="0" fontId="1" fillId="6920" borderId="0" xfId="4" applyFill="1" applyAlignment="1">
      <alignment horizontal="center" vertical="center"/>
    </xf>
    <xf numFmtId="0" fontId="1" fillId="6921" borderId="0" xfId="4" applyFill="1" applyAlignment="1">
      <alignment horizontal="center" vertical="center"/>
    </xf>
    <xf numFmtId="0" fontId="1" fillId="6922" borderId="0" xfId="4" applyFill="1" applyAlignment="1">
      <alignment horizontal="center" vertical="center"/>
    </xf>
    <xf numFmtId="0" fontId="1" fillId="6923" borderId="0" xfId="4" applyFill="1" applyAlignment="1">
      <alignment horizontal="center" vertical="center"/>
    </xf>
    <xf numFmtId="0" fontId="1" fillId="6924" borderId="0" xfId="4" applyFill="1" applyAlignment="1">
      <alignment horizontal="center" vertical="center"/>
    </xf>
    <xf numFmtId="0" fontId="1" fillId="6925" borderId="0" xfId="4" applyFill="1" applyAlignment="1">
      <alignment horizontal="center" vertical="center"/>
    </xf>
    <xf numFmtId="0" fontId="1" fillId="6926" borderId="0" xfId="4" applyFill="1" applyAlignment="1">
      <alignment horizontal="center" vertical="center"/>
    </xf>
    <xf numFmtId="0" fontId="1" fillId="6927" borderId="0" xfId="4" applyFill="1" applyAlignment="1">
      <alignment horizontal="center" vertical="center"/>
    </xf>
    <xf numFmtId="0" fontId="1" fillId="6928" borderId="0" xfId="4" applyFill="1" applyAlignment="1">
      <alignment horizontal="center" vertical="center"/>
    </xf>
    <xf numFmtId="0" fontId="1" fillId="6929" borderId="0" xfId="4" applyFill="1" applyAlignment="1">
      <alignment horizontal="center" vertical="center"/>
    </xf>
    <xf numFmtId="0" fontId="1" fillId="6930" borderId="0" xfId="4" applyFill="1" applyAlignment="1">
      <alignment horizontal="center" vertical="center"/>
    </xf>
    <xf numFmtId="0" fontId="1" fillId="6931" borderId="0" xfId="4" applyFill="1" applyAlignment="1">
      <alignment horizontal="center" vertical="center"/>
    </xf>
    <xf numFmtId="0" fontId="1" fillId="6932" borderId="0" xfId="4" applyFill="1" applyAlignment="1">
      <alignment horizontal="center" vertical="center"/>
    </xf>
    <xf numFmtId="0" fontId="1" fillId="6933" borderId="0" xfId="4" applyFill="1" applyAlignment="1">
      <alignment horizontal="center" vertical="center"/>
    </xf>
    <xf numFmtId="0" fontId="1" fillId="6934" borderId="0" xfId="4" applyFill="1" applyAlignment="1">
      <alignment horizontal="center" vertical="center"/>
    </xf>
    <xf numFmtId="0" fontId="1" fillId="6935" borderId="0" xfId="4" applyFill="1" applyAlignment="1">
      <alignment horizontal="center" vertical="center"/>
    </xf>
    <xf numFmtId="0" fontId="1" fillId="6936" borderId="0" xfId="4" applyFill="1" applyAlignment="1">
      <alignment horizontal="center" vertical="center"/>
    </xf>
    <xf numFmtId="0" fontId="1" fillId="6937" borderId="0" xfId="4" applyFill="1" applyAlignment="1">
      <alignment horizontal="center" vertical="center"/>
    </xf>
    <xf numFmtId="0" fontId="1" fillId="6938" borderId="0" xfId="4" applyFill="1" applyAlignment="1">
      <alignment horizontal="center" vertical="center"/>
    </xf>
    <xf numFmtId="0" fontId="1" fillId="6939" borderId="0" xfId="4" applyFill="1" applyAlignment="1">
      <alignment horizontal="center" vertical="center"/>
    </xf>
    <xf numFmtId="0" fontId="1" fillId="6940" borderId="0" xfId="4" applyFill="1" applyAlignment="1">
      <alignment horizontal="left" vertical="center"/>
    </xf>
    <xf numFmtId="0" fontId="1" fillId="6941" borderId="0" xfId="4" applyFill="1" applyAlignment="1">
      <alignment horizontal="center" vertical="center"/>
    </xf>
    <xf numFmtId="0" fontId="1" fillId="6942" borderId="0" xfId="4" applyFill="1" applyAlignment="1">
      <alignment horizontal="center" vertical="center"/>
    </xf>
    <xf numFmtId="0" fontId="1" fillId="6943" borderId="0" xfId="4" applyFill="1" applyAlignment="1">
      <alignment horizontal="center" vertical="center"/>
    </xf>
    <xf numFmtId="0" fontId="1" fillId="6944" borderId="0" xfId="4" applyFill="1" applyAlignment="1">
      <alignment horizontal="center" vertical="center"/>
    </xf>
    <xf numFmtId="0" fontId="1" fillId="6945" borderId="0" xfId="4" applyFill="1" applyAlignment="1">
      <alignment horizontal="center" vertical="center"/>
    </xf>
    <xf numFmtId="0" fontId="1" fillId="6946" borderId="0" xfId="4" applyFill="1" applyAlignment="1">
      <alignment horizontal="center" vertical="center"/>
    </xf>
    <xf numFmtId="0" fontId="1" fillId="6947" borderId="0" xfId="4" applyFill="1" applyAlignment="1">
      <alignment horizontal="center" vertical="center"/>
    </xf>
    <xf numFmtId="0" fontId="1" fillId="6948" borderId="0" xfId="4" applyFill="1" applyAlignment="1">
      <alignment horizontal="center" vertical="center"/>
    </xf>
    <xf numFmtId="0" fontId="1" fillId="6949" borderId="0" xfId="4" applyFill="1" applyAlignment="1">
      <alignment horizontal="center" vertical="center"/>
    </xf>
    <xf numFmtId="0" fontId="1" fillId="6950" borderId="0" xfId="4" applyFill="1" applyAlignment="1">
      <alignment horizontal="center" vertical="center"/>
    </xf>
    <xf numFmtId="0" fontId="1" fillId="6951" borderId="0" xfId="4" applyFill="1" applyAlignment="1">
      <alignment horizontal="center" vertical="center"/>
    </xf>
    <xf numFmtId="0" fontId="1" fillId="6952" borderId="0" xfId="4" applyFill="1" applyAlignment="1">
      <alignment horizontal="center" vertical="center"/>
    </xf>
    <xf numFmtId="0" fontId="1" fillId="6953" borderId="0" xfId="4" applyFill="1" applyAlignment="1">
      <alignment horizontal="center" vertical="center"/>
    </xf>
    <xf numFmtId="0" fontId="1" fillId="6954" borderId="0" xfId="4" applyFill="1" applyAlignment="1">
      <alignment horizontal="center" vertical="center"/>
    </xf>
    <xf numFmtId="0" fontId="1" fillId="6955" borderId="0" xfId="4" applyFill="1" applyAlignment="1">
      <alignment horizontal="center" vertical="center"/>
    </xf>
    <xf numFmtId="0" fontId="1" fillId="6956" borderId="0" xfId="4" applyFill="1" applyAlignment="1">
      <alignment horizontal="center" vertical="center"/>
    </xf>
    <xf numFmtId="0" fontId="1" fillId="6957" borderId="0" xfId="4" applyFill="1" applyAlignment="1">
      <alignment horizontal="center" vertical="center"/>
    </xf>
    <xf numFmtId="0" fontId="1" fillId="6958" borderId="0" xfId="4" applyFill="1" applyAlignment="1">
      <alignment horizontal="center" vertical="center"/>
    </xf>
    <xf numFmtId="0" fontId="1" fillId="6959" borderId="0" xfId="4" applyFill="1" applyAlignment="1">
      <alignment horizontal="center" vertical="center"/>
    </xf>
    <xf numFmtId="0" fontId="1" fillId="6960" borderId="0" xfId="4" applyFill="1" applyAlignment="1">
      <alignment horizontal="center" vertical="center"/>
    </xf>
    <xf numFmtId="0" fontId="1" fillId="6961" borderId="0" xfId="4" applyFill="1" applyAlignment="1">
      <alignment horizontal="center" vertical="center"/>
    </xf>
    <xf numFmtId="0" fontId="1" fillId="6962" borderId="0" xfId="4" applyFill="1" applyAlignment="1">
      <alignment horizontal="center" vertical="center"/>
    </xf>
    <xf numFmtId="0" fontId="1" fillId="6963" borderId="0" xfId="4" applyFill="1" applyAlignment="1">
      <alignment horizontal="center" vertical="center"/>
    </xf>
    <xf numFmtId="0" fontId="1" fillId="6964" borderId="0" xfId="4" applyFill="1" applyAlignment="1">
      <alignment horizontal="center" vertical="center"/>
    </xf>
    <xf numFmtId="0" fontId="1" fillId="6965" borderId="0" xfId="4" applyFill="1" applyAlignment="1">
      <alignment horizontal="center" vertical="center"/>
    </xf>
    <xf numFmtId="0" fontId="1" fillId="6966" borderId="0" xfId="4" applyFill="1" applyAlignment="1">
      <alignment horizontal="center" vertical="center"/>
    </xf>
    <xf numFmtId="0" fontId="1" fillId="6967" borderId="0" xfId="4" applyFill="1" applyAlignment="1">
      <alignment horizontal="center" vertical="center"/>
    </xf>
    <xf numFmtId="0" fontId="1" fillId="6968" borderId="0" xfId="4" applyFill="1" applyAlignment="1">
      <alignment horizontal="center" vertical="center"/>
    </xf>
    <xf numFmtId="0" fontId="1" fillId="6969" borderId="0" xfId="4" applyFill="1" applyAlignment="1">
      <alignment horizontal="center" vertical="center"/>
    </xf>
    <xf numFmtId="0" fontId="1" fillId="6970" borderId="0" xfId="4" applyFill="1" applyAlignment="1">
      <alignment horizontal="center" vertical="center"/>
    </xf>
    <xf numFmtId="0" fontId="1" fillId="6971" borderId="0" xfId="4" applyFill="1" applyAlignment="1">
      <alignment horizontal="center" vertical="center"/>
    </xf>
    <xf numFmtId="0" fontId="1" fillId="6972" borderId="0" xfId="4" applyFill="1" applyAlignment="1">
      <alignment horizontal="left" vertical="center"/>
    </xf>
    <xf numFmtId="0" fontId="1" fillId="6973" borderId="0" xfId="4" applyFill="1" applyAlignment="1">
      <alignment horizontal="center" vertical="center"/>
    </xf>
    <xf numFmtId="0" fontId="1" fillId="6974" borderId="0" xfId="4" applyFill="1" applyAlignment="1">
      <alignment horizontal="center" vertical="center"/>
    </xf>
    <xf numFmtId="0" fontId="1" fillId="6975" borderId="0" xfId="4" applyFill="1" applyAlignment="1">
      <alignment horizontal="center" vertical="center"/>
    </xf>
    <xf numFmtId="0" fontId="1" fillId="6976" borderId="0" xfId="4" applyFill="1" applyAlignment="1">
      <alignment horizontal="center" vertical="center"/>
    </xf>
    <xf numFmtId="0" fontId="1" fillId="6977" borderId="0" xfId="4" applyFill="1" applyAlignment="1">
      <alignment horizontal="center" vertical="center"/>
    </xf>
    <xf numFmtId="0" fontId="1" fillId="6978" borderId="0" xfId="4" applyFill="1" applyAlignment="1">
      <alignment horizontal="center" vertical="center"/>
    </xf>
    <xf numFmtId="0" fontId="1" fillId="6979" borderId="0" xfId="4" applyFill="1" applyAlignment="1">
      <alignment horizontal="center" vertical="center"/>
    </xf>
    <xf numFmtId="0" fontId="1" fillId="6980" borderId="0" xfId="4" applyFill="1" applyAlignment="1">
      <alignment horizontal="center" vertical="center"/>
    </xf>
    <xf numFmtId="0" fontId="1" fillId="6981" borderId="0" xfId="4" applyFill="1" applyAlignment="1">
      <alignment horizontal="center" vertical="center"/>
    </xf>
    <xf numFmtId="0" fontId="1" fillId="6982" borderId="0" xfId="4" applyFill="1" applyAlignment="1">
      <alignment horizontal="center" vertical="center"/>
    </xf>
    <xf numFmtId="0" fontId="1" fillId="6983" borderId="0" xfId="4" applyFill="1" applyAlignment="1">
      <alignment horizontal="center" vertical="center"/>
    </xf>
    <xf numFmtId="0" fontId="1" fillId="6984" borderId="0" xfId="4" applyFill="1" applyAlignment="1">
      <alignment horizontal="center" vertical="center"/>
    </xf>
    <xf numFmtId="0" fontId="1" fillId="6985" borderId="0" xfId="4" applyFill="1" applyAlignment="1">
      <alignment horizontal="center" vertical="center"/>
    </xf>
    <xf numFmtId="0" fontId="1" fillId="6986" borderId="0" xfId="4" applyFill="1" applyAlignment="1">
      <alignment horizontal="center" vertical="center"/>
    </xf>
    <xf numFmtId="0" fontId="1" fillId="6987" borderId="0" xfId="4" applyFill="1" applyAlignment="1">
      <alignment horizontal="center" vertical="center"/>
    </xf>
    <xf numFmtId="0" fontId="1" fillId="6988" borderId="0" xfId="4" applyFill="1" applyAlignment="1">
      <alignment horizontal="center" vertical="center"/>
    </xf>
    <xf numFmtId="0" fontId="1" fillId="6989" borderId="0" xfId="4" applyFill="1" applyAlignment="1">
      <alignment horizontal="center" vertical="center"/>
    </xf>
    <xf numFmtId="0" fontId="1" fillId="6990" borderId="0" xfId="4" applyFill="1" applyAlignment="1">
      <alignment horizontal="center" vertical="center"/>
    </xf>
    <xf numFmtId="0" fontId="1" fillId="6991" borderId="0" xfId="4" applyFill="1" applyAlignment="1">
      <alignment horizontal="center" vertical="center"/>
    </xf>
    <xf numFmtId="0" fontId="1" fillId="6992" borderId="0" xfId="4" applyFill="1" applyAlignment="1">
      <alignment horizontal="center" vertical="center"/>
    </xf>
    <xf numFmtId="0" fontId="1" fillId="6993" borderId="0" xfId="4" applyFill="1" applyAlignment="1">
      <alignment horizontal="left" vertical="center"/>
    </xf>
    <xf numFmtId="0" fontId="1" fillId="6994" borderId="0" xfId="4" applyFill="1" applyAlignment="1">
      <alignment horizontal="center" vertical="center"/>
    </xf>
    <xf numFmtId="0" fontId="1" fillId="6995" borderId="0" xfId="4" applyFill="1" applyAlignment="1">
      <alignment horizontal="center" vertical="center"/>
    </xf>
    <xf numFmtId="0" fontId="1" fillId="6996" borderId="0" xfId="4" applyFill="1" applyAlignment="1">
      <alignment horizontal="left" vertical="center"/>
    </xf>
    <xf numFmtId="0" fontId="1" fillId="6997" borderId="0" xfId="4" applyFill="1" applyAlignment="1">
      <alignment horizontal="center" vertical="center"/>
    </xf>
    <xf numFmtId="0" fontId="1" fillId="6998" borderId="0" xfId="4" applyFill="1" applyAlignment="1">
      <alignment horizontal="center" vertical="center"/>
    </xf>
    <xf numFmtId="0" fontId="1" fillId="6999" borderId="0" xfId="4" applyFill="1" applyAlignment="1">
      <alignment horizontal="center" vertical="center"/>
    </xf>
    <xf numFmtId="0" fontId="1" fillId="7000" borderId="0" xfId="4" applyFill="1" applyAlignment="1">
      <alignment horizontal="center" vertical="center"/>
    </xf>
    <xf numFmtId="0" fontId="1" fillId="7001" borderId="0" xfId="4" applyFill="1" applyAlignment="1">
      <alignment horizontal="center" vertical="center"/>
    </xf>
    <xf numFmtId="0" fontId="1" fillId="7002" borderId="0" xfId="4" applyFill="1" applyAlignment="1">
      <alignment horizontal="center" vertical="center"/>
    </xf>
    <xf numFmtId="0" fontId="1" fillId="7003" borderId="0" xfId="4" applyFill="1" applyAlignment="1">
      <alignment horizontal="center" vertical="center"/>
    </xf>
    <xf numFmtId="0" fontId="1" fillId="7004" borderId="0" xfId="4" applyFill="1" applyAlignment="1">
      <alignment horizontal="center" vertical="center"/>
    </xf>
    <xf numFmtId="0" fontId="1" fillId="7005" borderId="0" xfId="4" applyFill="1" applyAlignment="1">
      <alignment horizontal="center" vertical="center"/>
    </xf>
    <xf numFmtId="0" fontId="1" fillId="7006" borderId="0" xfId="4" applyFill="1" applyAlignment="1">
      <alignment horizontal="center" vertical="center"/>
    </xf>
    <xf numFmtId="0" fontId="1" fillId="7007" borderId="0" xfId="4" applyFill="1" applyAlignment="1">
      <alignment horizontal="center" vertical="center"/>
    </xf>
    <xf numFmtId="0" fontId="1" fillId="7008" borderId="0" xfId="4" applyFill="1" applyAlignment="1">
      <alignment horizontal="center" vertical="center"/>
    </xf>
    <xf numFmtId="0" fontId="1" fillId="7009" borderId="0" xfId="4" applyFill="1" applyAlignment="1">
      <alignment horizontal="center" vertical="center"/>
    </xf>
    <xf numFmtId="0" fontId="1" fillId="7010" borderId="0" xfId="4" applyFill="1" applyAlignment="1">
      <alignment horizontal="center" vertical="center"/>
    </xf>
    <xf numFmtId="0" fontId="1" fillId="7011" borderId="0" xfId="4" applyFill="1" applyAlignment="1">
      <alignment horizontal="center" vertical="center"/>
    </xf>
    <xf numFmtId="0" fontId="1" fillId="7012" borderId="0" xfId="4" applyFill="1" applyAlignment="1">
      <alignment horizontal="center" vertical="center"/>
    </xf>
    <xf numFmtId="0" fontId="1" fillId="7013" borderId="0" xfId="4" applyFill="1" applyAlignment="1">
      <alignment horizontal="center" vertical="center"/>
    </xf>
    <xf numFmtId="0" fontId="1" fillId="7014" borderId="0" xfId="4" applyFill="1" applyAlignment="1">
      <alignment horizontal="center" vertical="center"/>
    </xf>
    <xf numFmtId="0" fontId="1" fillId="7015" borderId="0" xfId="4" applyFill="1" applyAlignment="1">
      <alignment horizontal="center" vertical="center"/>
    </xf>
    <xf numFmtId="0" fontId="1" fillId="7016" borderId="0" xfId="4" applyFill="1" applyAlignment="1">
      <alignment horizontal="center" vertical="center"/>
    </xf>
    <xf numFmtId="0" fontId="1" fillId="7017" borderId="0" xfId="4" applyFill="1" applyAlignment="1">
      <alignment horizontal="center" vertical="center"/>
    </xf>
    <xf numFmtId="0" fontId="1" fillId="7018" borderId="0" xfId="4" applyFill="1" applyAlignment="1">
      <alignment horizontal="center" vertical="center"/>
    </xf>
    <xf numFmtId="0" fontId="1" fillId="7019" borderId="0" xfId="4" applyFill="1" applyAlignment="1">
      <alignment horizontal="center" vertical="center"/>
    </xf>
    <xf numFmtId="0" fontId="1" fillId="7020" borderId="0" xfId="4" applyFill="1" applyAlignment="1">
      <alignment horizontal="center" vertical="center"/>
    </xf>
    <xf numFmtId="0" fontId="1" fillId="7021" borderId="0" xfId="4" applyFill="1" applyAlignment="1">
      <alignment horizontal="center" vertical="center"/>
    </xf>
    <xf numFmtId="0" fontId="1" fillId="7022" borderId="0" xfId="4" applyFill="1" applyAlignment="1">
      <alignment horizontal="center" vertical="center"/>
    </xf>
    <xf numFmtId="0" fontId="1" fillId="7023" borderId="0" xfId="4" applyFill="1" applyAlignment="1">
      <alignment horizontal="center" vertical="center"/>
    </xf>
    <xf numFmtId="0" fontId="1" fillId="7024" borderId="0" xfId="4" applyFill="1" applyAlignment="1">
      <alignment horizontal="center" vertical="center"/>
    </xf>
    <xf numFmtId="0" fontId="1" fillId="7025" borderId="0" xfId="4" applyFill="1" applyAlignment="1">
      <alignment horizontal="center" vertical="center"/>
    </xf>
    <xf numFmtId="0" fontId="1" fillId="7026" borderId="0" xfId="4" applyFill="1" applyAlignment="1">
      <alignment horizontal="center" vertical="center"/>
    </xf>
    <xf numFmtId="0" fontId="1" fillId="7027" borderId="0" xfId="4" applyFill="1" applyAlignment="1">
      <alignment horizontal="center" vertical="center"/>
    </xf>
    <xf numFmtId="0" fontId="1" fillId="7028" borderId="0" xfId="4" applyFill="1" applyAlignment="1">
      <alignment horizontal="left" vertical="center"/>
    </xf>
    <xf numFmtId="0" fontId="1" fillId="7029" borderId="0" xfId="4" applyFill="1" applyAlignment="1">
      <alignment horizontal="center" vertical="center"/>
    </xf>
    <xf numFmtId="0" fontId="1" fillId="7030" borderId="0" xfId="4" applyFill="1" applyAlignment="1">
      <alignment horizontal="center" vertical="center"/>
    </xf>
    <xf numFmtId="0" fontId="1" fillId="7031" borderId="0" xfId="4" applyFill="1" applyAlignment="1">
      <alignment horizontal="center" vertical="center"/>
    </xf>
    <xf numFmtId="0" fontId="1" fillId="7032" borderId="0" xfId="4" applyFill="1" applyAlignment="1">
      <alignment horizontal="center" vertical="center"/>
    </xf>
    <xf numFmtId="0" fontId="1" fillId="7033" borderId="0" xfId="4" applyFill="1" applyAlignment="1">
      <alignment horizontal="center" vertical="center"/>
    </xf>
    <xf numFmtId="0" fontId="1" fillId="7034" borderId="0" xfId="4" applyFill="1" applyAlignment="1">
      <alignment horizontal="center" vertical="center"/>
    </xf>
    <xf numFmtId="0" fontId="1" fillId="7035" borderId="0" xfId="4" applyFill="1" applyAlignment="1">
      <alignment horizontal="center" vertical="center"/>
    </xf>
    <xf numFmtId="0" fontId="1" fillId="7036" borderId="0" xfId="4" applyFill="1" applyAlignment="1">
      <alignment horizontal="center" vertical="center"/>
    </xf>
    <xf numFmtId="0" fontId="1" fillId="7037" borderId="0" xfId="4" applyFill="1" applyAlignment="1">
      <alignment horizontal="center" vertical="center"/>
    </xf>
    <xf numFmtId="0" fontId="1" fillId="7038" borderId="0" xfId="4" applyFill="1" applyAlignment="1">
      <alignment horizontal="center" vertical="center"/>
    </xf>
    <xf numFmtId="0" fontId="1" fillId="7039" borderId="0" xfId="4" applyFill="1" applyAlignment="1">
      <alignment horizontal="center" vertical="center"/>
    </xf>
    <xf numFmtId="0" fontId="1" fillId="7040" borderId="0" xfId="4" applyFill="1" applyAlignment="1">
      <alignment horizontal="center" vertical="center"/>
    </xf>
    <xf numFmtId="0" fontId="1" fillId="7041" borderId="0" xfId="4" applyFill="1" applyAlignment="1">
      <alignment horizontal="center" vertical="center"/>
    </xf>
    <xf numFmtId="0" fontId="1" fillId="7042" borderId="0" xfId="4" applyFill="1" applyAlignment="1">
      <alignment horizontal="center" vertical="center"/>
    </xf>
    <xf numFmtId="0" fontId="1" fillId="7043" borderId="0" xfId="4" applyFill="1" applyAlignment="1">
      <alignment horizontal="center" vertical="center"/>
    </xf>
    <xf numFmtId="0" fontId="1" fillId="7044" borderId="0" xfId="4" applyFill="1" applyAlignment="1">
      <alignment horizontal="center" vertical="center"/>
    </xf>
    <xf numFmtId="0" fontId="1" fillId="7045" borderId="0" xfId="4" applyFill="1" applyAlignment="1">
      <alignment horizontal="center" vertical="center"/>
    </xf>
    <xf numFmtId="0" fontId="1" fillId="7046" borderId="0" xfId="4" applyFill="1" applyAlignment="1">
      <alignment horizontal="center" vertical="center"/>
    </xf>
    <xf numFmtId="0" fontId="1" fillId="7047" borderId="0" xfId="4" applyFill="1" applyAlignment="1">
      <alignment horizontal="center" vertical="center"/>
    </xf>
    <xf numFmtId="0" fontId="1" fillId="7048" borderId="0" xfId="4" applyFill="1" applyAlignment="1">
      <alignment horizontal="center" vertical="center"/>
    </xf>
    <xf numFmtId="0" fontId="1" fillId="7049" borderId="0" xfId="4" applyFill="1" applyAlignment="1">
      <alignment horizontal="center" vertical="center"/>
    </xf>
    <xf numFmtId="0" fontId="1" fillId="7050" borderId="0" xfId="4" applyFill="1" applyAlignment="1">
      <alignment horizontal="center" vertical="center"/>
    </xf>
    <xf numFmtId="0" fontId="1" fillId="7051" borderId="0" xfId="4" applyFill="1" applyAlignment="1">
      <alignment horizontal="center" vertical="center"/>
    </xf>
    <xf numFmtId="0" fontId="1" fillId="7052" borderId="0" xfId="4" applyFill="1" applyAlignment="1">
      <alignment horizontal="center" vertical="center"/>
    </xf>
    <xf numFmtId="0" fontId="1" fillId="7053" borderId="0" xfId="4" applyFill="1" applyAlignment="1">
      <alignment horizontal="center" vertical="center"/>
    </xf>
    <xf numFmtId="0" fontId="1" fillId="7054" borderId="0" xfId="4" applyFill="1" applyAlignment="1">
      <alignment horizontal="center" vertical="center"/>
    </xf>
    <xf numFmtId="0" fontId="1" fillId="7055" borderId="0" xfId="4" applyFill="1" applyAlignment="1">
      <alignment horizontal="center" vertical="center"/>
    </xf>
    <xf numFmtId="0" fontId="1" fillId="7056" borderId="0" xfId="4" applyFill="1" applyAlignment="1">
      <alignment horizontal="center" vertical="center"/>
    </xf>
    <xf numFmtId="0" fontId="1" fillId="7057" borderId="0" xfId="4" applyFill="1" applyAlignment="1">
      <alignment horizontal="center" vertical="center"/>
    </xf>
    <xf numFmtId="0" fontId="1" fillId="7058" borderId="0" xfId="4" applyFill="1" applyAlignment="1">
      <alignment horizontal="center" vertical="center"/>
    </xf>
    <xf numFmtId="0" fontId="1" fillId="7059" borderId="0" xfId="4" applyFill="1" applyAlignment="1">
      <alignment horizontal="left" vertical="center"/>
    </xf>
    <xf numFmtId="0" fontId="1" fillId="7060" borderId="0" xfId="4" applyFill="1" applyAlignment="1">
      <alignment horizontal="center" vertical="center"/>
    </xf>
    <xf numFmtId="0" fontId="1" fillId="7061" borderId="0" xfId="4" applyFill="1" applyAlignment="1">
      <alignment horizontal="center" vertical="center"/>
    </xf>
    <xf numFmtId="0" fontId="1" fillId="7062" borderId="0" xfId="4" applyFill="1" applyAlignment="1">
      <alignment horizontal="center" vertical="center"/>
    </xf>
    <xf numFmtId="0" fontId="1" fillId="7063" borderId="0" xfId="4" applyFill="1" applyAlignment="1">
      <alignment horizontal="center" vertical="center"/>
    </xf>
    <xf numFmtId="0" fontId="1" fillId="7064" borderId="0" xfId="4" applyFill="1" applyAlignment="1">
      <alignment horizontal="center" vertical="center"/>
    </xf>
    <xf numFmtId="0" fontId="1" fillId="7065" borderId="0" xfId="4" applyFill="1" applyAlignment="1">
      <alignment horizontal="center" vertical="center"/>
    </xf>
    <xf numFmtId="0" fontId="1" fillId="7066" borderId="0" xfId="4" applyFill="1" applyAlignment="1">
      <alignment horizontal="center" vertical="center"/>
    </xf>
    <xf numFmtId="0" fontId="1" fillId="7067" borderId="0" xfId="4" applyFill="1" applyAlignment="1">
      <alignment horizontal="center" vertical="center"/>
    </xf>
    <xf numFmtId="0" fontId="1" fillId="7068" borderId="0" xfId="4" applyFill="1" applyAlignment="1">
      <alignment horizontal="center" vertical="center"/>
    </xf>
    <xf numFmtId="0" fontId="1" fillId="7069" borderId="0" xfId="4" applyFill="1" applyAlignment="1">
      <alignment horizontal="center" vertical="center"/>
    </xf>
    <xf numFmtId="0" fontId="1" fillId="7070" borderId="0" xfId="4" applyFill="1" applyAlignment="1">
      <alignment horizontal="center" vertical="center"/>
    </xf>
    <xf numFmtId="0" fontId="1" fillId="7071" borderId="0" xfId="4" applyFill="1" applyAlignment="1">
      <alignment horizontal="center" vertical="center"/>
    </xf>
    <xf numFmtId="0" fontId="1" fillId="7072" borderId="0" xfId="4" applyFill="1" applyAlignment="1">
      <alignment horizontal="center" vertical="center"/>
    </xf>
    <xf numFmtId="0" fontId="1" fillId="7073" borderId="0" xfId="4" applyFill="1" applyAlignment="1">
      <alignment horizontal="center" vertical="center"/>
    </xf>
    <xf numFmtId="0" fontId="1" fillId="7074" borderId="0" xfId="4" applyFill="1" applyAlignment="1">
      <alignment horizontal="center" vertical="center"/>
    </xf>
    <xf numFmtId="0" fontId="1" fillId="7075" borderId="0" xfId="4" applyFill="1" applyAlignment="1">
      <alignment horizontal="center" vertical="center"/>
    </xf>
    <xf numFmtId="0" fontId="1" fillId="7076" borderId="0" xfId="4" applyFill="1" applyAlignment="1">
      <alignment horizontal="center" vertical="center"/>
    </xf>
    <xf numFmtId="0" fontId="1" fillId="7077" borderId="0" xfId="4" applyFill="1" applyAlignment="1">
      <alignment horizontal="center" vertical="center"/>
    </xf>
    <xf numFmtId="0" fontId="1" fillId="7078" borderId="0" xfId="4" applyFill="1" applyAlignment="1">
      <alignment horizontal="center" vertical="center"/>
    </xf>
    <xf numFmtId="0" fontId="1" fillId="7079" borderId="0" xfId="4" applyFill="1" applyAlignment="1">
      <alignment horizontal="center" vertical="center"/>
    </xf>
    <xf numFmtId="0" fontId="1" fillId="7080" borderId="0" xfId="4" applyFill="1" applyAlignment="1">
      <alignment horizontal="center" vertical="center"/>
    </xf>
    <xf numFmtId="0" fontId="1" fillId="7081" borderId="0" xfId="4" applyFill="1" applyAlignment="1">
      <alignment horizontal="center" vertical="center"/>
    </xf>
    <xf numFmtId="0" fontId="1" fillId="7082" borderId="0" xfId="4" applyFill="1" applyAlignment="1">
      <alignment horizontal="left" vertical="center"/>
    </xf>
    <xf numFmtId="0" fontId="1" fillId="7083" borderId="0" xfId="4" applyFill="1" applyAlignment="1">
      <alignment horizontal="center" vertical="center"/>
    </xf>
    <xf numFmtId="0" fontId="1" fillId="7084" borderId="0" xfId="4" applyFill="1" applyAlignment="1">
      <alignment horizontal="center" vertical="center"/>
    </xf>
    <xf numFmtId="0" fontId="1" fillId="7085" borderId="0" xfId="4" applyFill="1" applyAlignment="1">
      <alignment horizontal="center" vertical="center"/>
    </xf>
    <xf numFmtId="0" fontId="1" fillId="7086" borderId="0" xfId="4" applyFill="1" applyAlignment="1">
      <alignment horizontal="center" vertical="center"/>
    </xf>
    <xf numFmtId="0" fontId="1" fillId="7087" borderId="0" xfId="4" applyFill="1" applyAlignment="1">
      <alignment horizontal="center" vertical="center"/>
    </xf>
    <xf numFmtId="0" fontId="1" fillId="7088" borderId="0" xfId="4" applyFill="1" applyAlignment="1">
      <alignment horizontal="center" vertical="center"/>
    </xf>
    <xf numFmtId="0" fontId="1" fillId="7089" borderId="0" xfId="4" applyFill="1" applyAlignment="1">
      <alignment horizontal="center" vertical="center"/>
    </xf>
    <xf numFmtId="0" fontId="1" fillId="7090" borderId="0" xfId="4" applyFill="1" applyAlignment="1">
      <alignment horizontal="center" vertical="center"/>
    </xf>
    <xf numFmtId="0" fontId="1" fillId="7091" borderId="0" xfId="4" applyFill="1" applyAlignment="1">
      <alignment horizontal="center" vertical="center"/>
    </xf>
    <xf numFmtId="0" fontId="1" fillId="7092" borderId="0" xfId="4" applyFill="1" applyAlignment="1">
      <alignment horizontal="center" vertical="center"/>
    </xf>
    <xf numFmtId="0" fontId="1" fillId="7093" borderId="0" xfId="4" applyFill="1" applyAlignment="1">
      <alignment horizontal="center" vertical="center"/>
    </xf>
    <xf numFmtId="0" fontId="1" fillId="7094" borderId="0" xfId="4" applyFill="1" applyAlignment="1">
      <alignment horizontal="center" vertical="center"/>
    </xf>
    <xf numFmtId="0" fontId="1" fillId="7095" borderId="0" xfId="4" applyFill="1" applyAlignment="1">
      <alignment horizontal="center" vertical="center"/>
    </xf>
    <xf numFmtId="0" fontId="1" fillId="7096" borderId="0" xfId="4" applyFill="1" applyAlignment="1">
      <alignment horizontal="center" vertical="center"/>
    </xf>
    <xf numFmtId="0" fontId="1" fillId="7097" borderId="0" xfId="4" applyFill="1" applyAlignment="1">
      <alignment horizontal="center" vertical="center"/>
    </xf>
    <xf numFmtId="0" fontId="1" fillId="7098" borderId="0" xfId="4" applyFill="1" applyAlignment="1">
      <alignment horizontal="center" vertical="center"/>
    </xf>
    <xf numFmtId="0" fontId="1" fillId="7099" borderId="0" xfId="4" applyFill="1" applyAlignment="1">
      <alignment horizontal="center" vertical="center"/>
    </xf>
    <xf numFmtId="0" fontId="1" fillId="7100" borderId="0" xfId="4" applyFill="1" applyAlignment="1">
      <alignment horizontal="center" vertical="center"/>
    </xf>
    <xf numFmtId="0" fontId="1" fillId="7101" borderId="0" xfId="4" applyFill="1" applyAlignment="1">
      <alignment horizontal="center" vertical="center"/>
    </xf>
    <xf numFmtId="0" fontId="1" fillId="7102" borderId="0" xfId="4" applyFill="1" applyAlignment="1">
      <alignment horizontal="center" vertical="center"/>
    </xf>
    <xf numFmtId="0" fontId="1" fillId="7103" borderId="0" xfId="4" applyFill="1" applyAlignment="1">
      <alignment horizontal="center" vertical="center"/>
    </xf>
    <xf numFmtId="0" fontId="1" fillId="7104" borderId="0" xfId="4" applyFill="1" applyAlignment="1">
      <alignment horizontal="center" vertical="center"/>
    </xf>
    <xf numFmtId="0" fontId="1" fillId="7105" borderId="0" xfId="4" applyFill="1" applyAlignment="1">
      <alignment horizontal="center" vertical="center"/>
    </xf>
    <xf numFmtId="0" fontId="1" fillId="7106" borderId="0" xfId="4" applyFill="1" applyAlignment="1">
      <alignment horizontal="center" vertical="center"/>
    </xf>
    <xf numFmtId="0" fontId="1" fillId="7107" borderId="0" xfId="4" applyFill="1" applyAlignment="1">
      <alignment horizontal="center" vertical="center"/>
    </xf>
    <xf numFmtId="0" fontId="1" fillId="7108" borderId="0" xfId="4" applyFill="1" applyAlignment="1">
      <alignment horizontal="center" vertical="center"/>
    </xf>
    <xf numFmtId="0" fontId="1" fillId="7109" borderId="0" xfId="4" applyFill="1" applyAlignment="1">
      <alignment horizontal="center" vertical="center"/>
    </xf>
    <xf numFmtId="0" fontId="1" fillId="7110" borderId="0" xfId="4" applyFill="1" applyAlignment="1">
      <alignment horizontal="center" vertical="center"/>
    </xf>
    <xf numFmtId="0" fontId="1" fillId="7111" borderId="0" xfId="4" applyFill="1" applyAlignment="1">
      <alignment horizontal="center" vertical="center"/>
    </xf>
    <xf numFmtId="0" fontId="1" fillId="7112" borderId="0" xfId="4" applyFill="1" applyAlignment="1">
      <alignment horizontal="center" vertical="center"/>
    </xf>
    <xf numFmtId="0" fontId="1" fillId="7113" borderId="0" xfId="4" applyFill="1" applyAlignment="1">
      <alignment horizontal="center" vertical="center"/>
    </xf>
    <xf numFmtId="0" fontId="1" fillId="7114" borderId="0" xfId="4" applyFill="1" applyAlignment="1">
      <alignment horizontal="center" vertical="center"/>
    </xf>
    <xf numFmtId="0" fontId="1" fillId="7115" borderId="0" xfId="4" applyFill="1" applyAlignment="1">
      <alignment horizontal="center" vertical="center"/>
    </xf>
    <xf numFmtId="0" fontId="1" fillId="7116" borderId="0" xfId="4" applyFill="1" applyAlignment="1">
      <alignment horizontal="center" vertical="center"/>
    </xf>
    <xf numFmtId="0" fontId="1" fillId="7117" borderId="0" xfId="4" applyFill="1" applyAlignment="1">
      <alignment horizontal="center" vertical="center"/>
    </xf>
    <xf numFmtId="0" fontId="1" fillId="7118" borderId="0" xfId="4" applyFill="1" applyAlignment="1">
      <alignment horizontal="left" vertical="center"/>
    </xf>
    <xf numFmtId="0" fontId="1" fillId="7119" borderId="0" xfId="4" applyFill="1" applyAlignment="1">
      <alignment horizontal="center" vertical="center"/>
    </xf>
    <xf numFmtId="0" fontId="1" fillId="7120" borderId="0" xfId="4" applyFill="1" applyAlignment="1">
      <alignment horizontal="center" vertical="center"/>
    </xf>
    <xf numFmtId="0" fontId="1" fillId="7121" borderId="0" xfId="4" applyFill="1" applyAlignment="1">
      <alignment horizontal="center" vertical="center"/>
    </xf>
    <xf numFmtId="0" fontId="1" fillId="7122" borderId="0" xfId="4" applyFill="1" applyAlignment="1">
      <alignment horizontal="center" vertical="center"/>
    </xf>
    <xf numFmtId="0" fontId="1" fillId="7123" borderId="0" xfId="4" applyFill="1" applyAlignment="1">
      <alignment horizontal="center" vertical="center"/>
    </xf>
    <xf numFmtId="0" fontId="1" fillId="7124" borderId="0" xfId="4" applyFill="1" applyAlignment="1">
      <alignment horizontal="center" vertical="center"/>
    </xf>
    <xf numFmtId="0" fontId="1" fillId="7125" borderId="0" xfId="4" applyFill="1" applyAlignment="1">
      <alignment horizontal="center" vertical="center"/>
    </xf>
    <xf numFmtId="0" fontId="1" fillId="7126" borderId="0" xfId="4" applyFill="1" applyAlignment="1">
      <alignment horizontal="center" vertical="center"/>
    </xf>
    <xf numFmtId="0" fontId="1" fillId="7127" borderId="0" xfId="4" applyFill="1" applyAlignment="1">
      <alignment horizontal="center" vertical="center"/>
    </xf>
    <xf numFmtId="0" fontId="1" fillId="7128" borderId="0" xfId="4" applyFill="1" applyAlignment="1">
      <alignment horizontal="center" vertical="center"/>
    </xf>
    <xf numFmtId="0" fontId="1" fillId="7129" borderId="0" xfId="4" applyFill="1" applyAlignment="1">
      <alignment horizontal="center" vertical="center"/>
    </xf>
    <xf numFmtId="0" fontId="1" fillId="7130" borderId="0" xfId="4" applyFill="1" applyAlignment="1">
      <alignment horizontal="center" vertical="center"/>
    </xf>
    <xf numFmtId="0" fontId="1" fillId="7131" borderId="0" xfId="4" applyFill="1" applyAlignment="1">
      <alignment horizontal="center" vertical="center"/>
    </xf>
    <xf numFmtId="0" fontId="1" fillId="7132" borderId="0" xfId="4" applyFill="1" applyAlignment="1">
      <alignment horizontal="center" vertical="center"/>
    </xf>
    <xf numFmtId="0" fontId="1" fillId="7133" borderId="0" xfId="4" applyFill="1" applyAlignment="1">
      <alignment horizontal="center" vertical="center"/>
    </xf>
    <xf numFmtId="0" fontId="1" fillId="7134" borderId="0" xfId="4" applyFill="1" applyAlignment="1">
      <alignment horizontal="center" vertical="center"/>
    </xf>
    <xf numFmtId="0" fontId="1" fillId="7135" borderId="0" xfId="4" applyFill="1" applyAlignment="1">
      <alignment horizontal="center" vertical="center"/>
    </xf>
    <xf numFmtId="0" fontId="1" fillId="7136" borderId="0" xfId="4" applyFill="1" applyAlignment="1">
      <alignment horizontal="center" vertical="center"/>
    </xf>
    <xf numFmtId="0" fontId="1" fillId="7137" borderId="0" xfId="4" applyFill="1" applyAlignment="1">
      <alignment horizontal="center" vertical="center"/>
    </xf>
    <xf numFmtId="0" fontId="1" fillId="7138" borderId="0" xfId="4" applyFill="1" applyAlignment="1">
      <alignment horizontal="center" vertical="center"/>
    </xf>
    <xf numFmtId="0" fontId="1" fillId="7139" borderId="0" xfId="4" applyFill="1" applyAlignment="1">
      <alignment horizontal="center" vertical="center"/>
    </xf>
    <xf numFmtId="0" fontId="1" fillId="7140" borderId="0" xfId="4" applyFill="1" applyAlignment="1">
      <alignment horizontal="center" vertical="center"/>
    </xf>
    <xf numFmtId="0" fontId="1" fillId="7141" borderId="0" xfId="4" applyFill="1" applyAlignment="1">
      <alignment horizontal="center" vertical="center"/>
    </xf>
    <xf numFmtId="0" fontId="1" fillId="7142" borderId="0" xfId="4" applyFill="1" applyAlignment="1">
      <alignment horizontal="center" vertical="center"/>
    </xf>
    <xf numFmtId="0" fontId="1" fillId="7143" borderId="0" xfId="4" applyFill="1" applyAlignment="1">
      <alignment horizontal="center" vertical="center"/>
    </xf>
    <xf numFmtId="0" fontId="1" fillId="7144" borderId="0" xfId="4" applyFill="1" applyAlignment="1">
      <alignment horizontal="center" vertical="center"/>
    </xf>
    <xf numFmtId="0" fontId="1" fillId="7145" borderId="0" xfId="4" applyFill="1" applyAlignment="1">
      <alignment horizontal="center" vertical="center"/>
    </xf>
    <xf numFmtId="0" fontId="1" fillId="7146" borderId="0" xfId="4" applyFill="1" applyAlignment="1">
      <alignment horizontal="center" vertical="center"/>
    </xf>
    <xf numFmtId="0" fontId="1" fillId="7147" borderId="0" xfId="4" applyFill="1" applyAlignment="1">
      <alignment horizontal="center" vertical="center"/>
    </xf>
    <xf numFmtId="0" fontId="1" fillId="7148" borderId="0" xfId="4" applyFill="1" applyAlignment="1">
      <alignment horizontal="center" vertical="center"/>
    </xf>
    <xf numFmtId="0" fontId="1" fillId="7149" borderId="0" xfId="4" applyFill="1" applyAlignment="1">
      <alignment horizontal="center" vertical="center"/>
    </xf>
    <xf numFmtId="0" fontId="1" fillId="7150" borderId="0" xfId="4" applyFill="1" applyAlignment="1">
      <alignment horizontal="center" vertical="center"/>
    </xf>
    <xf numFmtId="0" fontId="1" fillId="7151" borderId="0" xfId="4" applyFill="1" applyAlignment="1">
      <alignment horizontal="left" vertical="center"/>
    </xf>
    <xf numFmtId="0" fontId="1" fillId="7152" borderId="0" xfId="4" applyFill="1" applyAlignment="1">
      <alignment horizontal="center" vertical="center"/>
    </xf>
    <xf numFmtId="0" fontId="1" fillId="7153" borderId="0" xfId="4" applyFill="1" applyAlignment="1">
      <alignment horizontal="center" vertical="center"/>
    </xf>
    <xf numFmtId="0" fontId="1" fillId="7154" borderId="0" xfId="4" applyFill="1" applyAlignment="1">
      <alignment horizontal="center" vertical="center"/>
    </xf>
    <xf numFmtId="0" fontId="1" fillId="7155" borderId="0" xfId="4" applyFill="1" applyAlignment="1">
      <alignment horizontal="center" vertical="center"/>
    </xf>
    <xf numFmtId="0" fontId="1" fillId="7156" borderId="0" xfId="4" applyFill="1" applyAlignment="1">
      <alignment horizontal="center" vertical="center"/>
    </xf>
    <xf numFmtId="0" fontId="1" fillId="7157" borderId="0" xfId="4" applyFill="1" applyAlignment="1">
      <alignment horizontal="center" vertical="center"/>
    </xf>
    <xf numFmtId="0" fontId="1" fillId="7158" borderId="0" xfId="4" applyFill="1" applyAlignment="1">
      <alignment horizontal="center" vertical="center"/>
    </xf>
    <xf numFmtId="0" fontId="1" fillId="7159" borderId="0" xfId="4" applyFill="1" applyAlignment="1">
      <alignment horizontal="center" vertical="center"/>
    </xf>
    <xf numFmtId="0" fontId="1" fillId="7160" borderId="0" xfId="4" applyFill="1" applyAlignment="1">
      <alignment horizontal="center" vertical="center"/>
    </xf>
    <xf numFmtId="0" fontId="1" fillId="7161" borderId="0" xfId="4" applyFill="1" applyAlignment="1">
      <alignment horizontal="center" vertical="center"/>
    </xf>
    <xf numFmtId="0" fontId="1" fillId="7162" borderId="0" xfId="4" applyFill="1" applyAlignment="1">
      <alignment horizontal="center" vertical="center"/>
    </xf>
    <xf numFmtId="0" fontId="1" fillId="7163" borderId="0" xfId="4" applyFill="1" applyAlignment="1">
      <alignment horizontal="center" vertical="center"/>
    </xf>
    <xf numFmtId="0" fontId="1" fillId="7164" borderId="0" xfId="4" applyFill="1" applyAlignment="1">
      <alignment horizontal="center" vertical="center"/>
    </xf>
    <xf numFmtId="0" fontId="1" fillId="7165" borderId="0" xfId="4" applyFill="1" applyAlignment="1">
      <alignment horizontal="center" vertical="center"/>
    </xf>
    <xf numFmtId="0" fontId="1" fillId="7166" borderId="0" xfId="4" applyFill="1" applyAlignment="1">
      <alignment horizontal="center" vertical="center"/>
    </xf>
    <xf numFmtId="0" fontId="1" fillId="7167" borderId="0" xfId="4" applyFill="1" applyAlignment="1">
      <alignment horizontal="center" vertical="center"/>
    </xf>
    <xf numFmtId="0" fontId="1" fillId="7168" borderId="0" xfId="4" applyFill="1" applyAlignment="1">
      <alignment horizontal="center" vertical="center"/>
    </xf>
    <xf numFmtId="0" fontId="1" fillId="7169" borderId="0" xfId="4" applyFill="1" applyAlignment="1">
      <alignment horizontal="center" vertical="center"/>
    </xf>
    <xf numFmtId="0" fontId="1" fillId="7170" borderId="0" xfId="4" applyFill="1" applyAlignment="1">
      <alignment horizontal="center" vertical="center"/>
    </xf>
    <xf numFmtId="0" fontId="1" fillId="7171" borderId="0" xfId="4" applyFill="1" applyAlignment="1">
      <alignment horizontal="center" vertical="center"/>
    </xf>
    <xf numFmtId="0" fontId="1" fillId="7175" borderId="0" xfId="4" applyFill="1" applyAlignment="1">
      <alignment horizontal="center" vertical="center"/>
    </xf>
    <xf numFmtId="0" fontId="1" fillId="7176" borderId="0" xfId="4" applyFill="1" applyAlignment="1">
      <alignment horizontal="center" vertical="center"/>
    </xf>
    <xf numFmtId="0" fontId="1" fillId="7177" borderId="0" xfId="4" applyFill="1" applyAlignment="1">
      <alignment horizontal="center" vertical="center"/>
    </xf>
    <xf numFmtId="0" fontId="1" fillId="7178" borderId="0" xfId="4" applyFill="1" applyAlignment="1">
      <alignment horizontal="center" vertical="center"/>
    </xf>
    <xf numFmtId="0" fontId="1" fillId="7179" borderId="0" xfId="4" applyFill="1" applyAlignment="1">
      <alignment horizontal="center" vertical="center"/>
    </xf>
    <xf numFmtId="0" fontId="1" fillId="7180" borderId="0" xfId="4" applyFill="1" applyAlignment="1">
      <alignment horizontal="center" vertical="center"/>
    </xf>
    <xf numFmtId="0" fontId="1" fillId="7181" borderId="0" xfId="4" applyFill="1" applyAlignment="1">
      <alignment horizontal="center" vertical="center"/>
    </xf>
    <xf numFmtId="0" fontId="1" fillId="7182" borderId="0" xfId="4" applyFill="1" applyAlignment="1">
      <alignment horizontal="center" vertical="center"/>
    </xf>
    <xf numFmtId="0" fontId="1" fillId="7183" borderId="0" xfId="4" applyFill="1" applyAlignment="1">
      <alignment horizontal="center" vertical="center"/>
    </xf>
    <xf numFmtId="0" fontId="1" fillId="7184" borderId="0" xfId="4" applyFill="1" applyAlignment="1">
      <alignment horizontal="center" vertical="center"/>
    </xf>
    <xf numFmtId="0" fontId="1" fillId="7185" borderId="0" xfId="4" applyFill="1" applyAlignment="1">
      <alignment horizontal="center" vertical="center"/>
    </xf>
    <xf numFmtId="0" fontId="1" fillId="7186" borderId="0" xfId="4" applyFill="1" applyAlignment="1">
      <alignment horizontal="center" vertical="center"/>
    </xf>
    <xf numFmtId="0" fontId="1" fillId="7187" borderId="0" xfId="4" applyFill="1" applyAlignment="1">
      <alignment horizontal="center" vertical="center"/>
    </xf>
    <xf numFmtId="0" fontId="1" fillId="7188" borderId="0" xfId="4" applyFill="1" applyAlignment="1">
      <alignment horizontal="center" vertical="center"/>
    </xf>
    <xf numFmtId="0" fontId="1" fillId="7189" borderId="0" xfId="4" applyFill="1" applyAlignment="1">
      <alignment horizontal="center" vertical="center"/>
    </xf>
    <xf numFmtId="0" fontId="1" fillId="7190" borderId="0" xfId="4" applyFill="1" applyAlignment="1">
      <alignment horizontal="center" vertical="center"/>
    </xf>
    <xf numFmtId="0" fontId="1" fillId="7191" borderId="0" xfId="4" applyFill="1" applyAlignment="1">
      <alignment horizontal="center" vertical="center"/>
    </xf>
    <xf numFmtId="0" fontId="1" fillId="7192" borderId="0" xfId="4" applyFill="1" applyAlignment="1">
      <alignment horizontal="center" vertical="center"/>
    </xf>
    <xf numFmtId="0" fontId="1" fillId="7193" borderId="0" xfId="4" applyFill="1" applyAlignment="1">
      <alignment horizontal="center" vertical="center"/>
    </xf>
    <xf numFmtId="0" fontId="1" fillId="7194" borderId="0" xfId="4" applyFill="1" applyAlignment="1">
      <alignment horizontal="center" vertical="center"/>
    </xf>
    <xf numFmtId="0" fontId="1" fillId="7195" borderId="0" xfId="4" applyFill="1" applyAlignment="1">
      <alignment horizontal="center" vertical="center"/>
    </xf>
    <xf numFmtId="0" fontId="1" fillId="7196" borderId="0" xfId="4" applyFill="1" applyAlignment="1">
      <alignment horizontal="center" vertical="center"/>
    </xf>
    <xf numFmtId="0" fontId="1" fillId="7197" borderId="0" xfId="4" applyFill="1" applyAlignment="1">
      <alignment horizontal="center" vertical="center"/>
    </xf>
    <xf numFmtId="0" fontId="1" fillId="7198" borderId="0" xfId="4" applyFill="1" applyAlignment="1">
      <alignment horizontal="center" vertical="center"/>
    </xf>
    <xf numFmtId="0" fontId="1" fillId="7199" borderId="0" xfId="4" applyFill="1" applyAlignment="1">
      <alignment horizontal="center" vertical="center"/>
    </xf>
    <xf numFmtId="0" fontId="1" fillId="7200" borderId="0" xfId="4" applyFill="1" applyAlignment="1">
      <alignment horizontal="center" vertical="center"/>
    </xf>
    <xf numFmtId="0" fontId="1" fillId="7201" borderId="0" xfId="4" applyFill="1" applyAlignment="1">
      <alignment horizontal="center" vertical="center"/>
    </xf>
    <xf numFmtId="0" fontId="1" fillId="7202" borderId="0" xfId="4" applyFill="1" applyAlignment="1">
      <alignment horizontal="center" vertical="center"/>
    </xf>
    <xf numFmtId="0" fontId="1" fillId="7203" borderId="0" xfId="4" applyFill="1" applyAlignment="1">
      <alignment horizontal="center" vertical="center"/>
    </xf>
    <xf numFmtId="0" fontId="1" fillId="7204" borderId="0" xfId="4" applyFill="1" applyAlignment="1">
      <alignment horizontal="center" vertical="center"/>
    </xf>
    <xf numFmtId="0" fontId="1" fillId="7205" borderId="0" xfId="4" applyFill="1" applyAlignment="1">
      <alignment horizontal="center" vertical="center"/>
    </xf>
    <xf numFmtId="0" fontId="1" fillId="7206" borderId="0" xfId="4" applyFill="1" applyAlignment="1">
      <alignment horizontal="left" vertical="center"/>
    </xf>
    <xf numFmtId="0" fontId="1" fillId="7207" borderId="0" xfId="4" applyFill="1" applyAlignment="1">
      <alignment horizontal="center" vertical="center"/>
    </xf>
    <xf numFmtId="0" fontId="1" fillId="7208" borderId="0" xfId="4" applyFill="1" applyAlignment="1">
      <alignment horizontal="center" vertical="center"/>
    </xf>
    <xf numFmtId="0" fontId="1" fillId="7209" borderId="0" xfId="4" applyFill="1" applyAlignment="1">
      <alignment horizontal="center" vertical="center"/>
    </xf>
    <xf numFmtId="0" fontId="1" fillId="7210" borderId="0" xfId="4" applyFill="1" applyAlignment="1">
      <alignment horizontal="center" vertical="center"/>
    </xf>
    <xf numFmtId="0" fontId="1" fillId="7211" borderId="0" xfId="4" applyFill="1" applyAlignment="1">
      <alignment horizontal="center" vertical="center"/>
    </xf>
    <xf numFmtId="0" fontId="1" fillId="7212" borderId="0" xfId="4" applyFill="1" applyAlignment="1">
      <alignment horizontal="center" vertical="center"/>
    </xf>
    <xf numFmtId="0" fontId="1" fillId="7213" borderId="0" xfId="4" applyFill="1" applyAlignment="1">
      <alignment horizontal="center" vertical="center"/>
    </xf>
    <xf numFmtId="0" fontId="1" fillId="7214" borderId="0" xfId="4" applyFill="1" applyAlignment="1">
      <alignment horizontal="center" vertical="center"/>
    </xf>
    <xf numFmtId="0" fontId="1" fillId="7215" borderId="0" xfId="4" applyFill="1" applyAlignment="1">
      <alignment horizontal="center" vertical="center"/>
    </xf>
    <xf numFmtId="0" fontId="1" fillId="7216" borderId="0" xfId="4" applyFill="1" applyAlignment="1">
      <alignment horizontal="center" vertical="center"/>
    </xf>
    <xf numFmtId="0" fontId="1" fillId="7217" borderId="0" xfId="4" applyFill="1" applyAlignment="1">
      <alignment horizontal="center" vertical="center"/>
    </xf>
    <xf numFmtId="0" fontId="1" fillId="7218" borderId="0" xfId="4" applyFill="1" applyAlignment="1">
      <alignment horizontal="center" vertical="center"/>
    </xf>
    <xf numFmtId="0" fontId="1" fillId="7219" borderId="0" xfId="4" applyFill="1" applyAlignment="1">
      <alignment horizontal="center" vertical="center"/>
    </xf>
    <xf numFmtId="0" fontId="1" fillId="7220" borderId="0" xfId="4" applyFill="1" applyAlignment="1">
      <alignment horizontal="center" vertical="center"/>
    </xf>
    <xf numFmtId="0" fontId="1" fillId="7221" borderId="0" xfId="4" applyFill="1" applyAlignment="1">
      <alignment horizontal="center" vertical="center"/>
    </xf>
    <xf numFmtId="0" fontId="1" fillId="7222" borderId="0" xfId="4" applyFill="1" applyAlignment="1">
      <alignment horizontal="center" vertical="center"/>
    </xf>
    <xf numFmtId="0" fontId="1" fillId="7223" borderId="0" xfId="4" applyFill="1" applyAlignment="1">
      <alignment horizontal="center" vertical="center"/>
    </xf>
    <xf numFmtId="0" fontId="1" fillId="7224" borderId="0" xfId="4" applyFill="1" applyAlignment="1">
      <alignment horizontal="center" vertical="center"/>
    </xf>
    <xf numFmtId="0" fontId="1" fillId="7225" borderId="0" xfId="4" applyFill="1" applyAlignment="1">
      <alignment horizontal="center" vertical="center"/>
    </xf>
    <xf numFmtId="0" fontId="1" fillId="7226" borderId="0" xfId="4" applyFill="1" applyAlignment="1">
      <alignment horizontal="center" vertical="center"/>
    </xf>
    <xf numFmtId="0" fontId="1" fillId="7227" borderId="0" xfId="4" applyFill="1" applyAlignment="1">
      <alignment horizontal="center" vertical="center"/>
    </xf>
    <xf numFmtId="0" fontId="1" fillId="7228" borderId="0" xfId="4" applyFill="1" applyAlignment="1">
      <alignment horizontal="center" vertical="center"/>
    </xf>
    <xf numFmtId="0" fontId="1" fillId="7229" borderId="0" xfId="4" applyFill="1" applyAlignment="1">
      <alignment horizontal="center" vertical="center"/>
    </xf>
    <xf numFmtId="0" fontId="1" fillId="7230" borderId="0" xfId="4" applyFill="1" applyAlignment="1">
      <alignment horizontal="center" vertical="center"/>
    </xf>
    <xf numFmtId="0" fontId="1" fillId="7231" borderId="0" xfId="4" applyFill="1" applyAlignment="1">
      <alignment horizontal="center" vertical="center"/>
    </xf>
    <xf numFmtId="0" fontId="1" fillId="7232" borderId="0" xfId="4" applyFill="1" applyAlignment="1">
      <alignment horizontal="center" vertical="center"/>
    </xf>
    <xf numFmtId="0" fontId="1" fillId="7233" borderId="0" xfId="4" applyFill="1" applyAlignment="1">
      <alignment horizontal="center" vertical="center"/>
    </xf>
    <xf numFmtId="0" fontId="1" fillId="7234" borderId="0" xfId="4" applyFill="1" applyAlignment="1">
      <alignment horizontal="center" vertical="center"/>
    </xf>
    <xf numFmtId="0" fontId="1" fillId="7235" borderId="0" xfId="4" applyFill="1" applyAlignment="1">
      <alignment horizontal="center" vertical="center"/>
    </xf>
    <xf numFmtId="0" fontId="1" fillId="7236" borderId="0" xfId="4" applyFill="1" applyAlignment="1">
      <alignment horizontal="center" vertical="center"/>
    </xf>
    <xf numFmtId="0" fontId="1" fillId="7237" borderId="0" xfId="4" applyFill="1" applyAlignment="1">
      <alignment horizontal="left" vertical="center"/>
    </xf>
    <xf numFmtId="0" fontId="1" fillId="7238" borderId="0" xfId="4" applyFill="1" applyAlignment="1">
      <alignment horizontal="center" vertical="center"/>
    </xf>
    <xf numFmtId="0" fontId="1" fillId="7239" borderId="0" xfId="4" applyFill="1" applyAlignment="1">
      <alignment horizontal="center" vertical="center"/>
    </xf>
    <xf numFmtId="0" fontId="1" fillId="7240" borderId="0" xfId="4" applyFill="1" applyAlignment="1">
      <alignment horizontal="center" vertical="center"/>
    </xf>
    <xf numFmtId="0" fontId="1" fillId="7241" borderId="0" xfId="4" applyFill="1" applyAlignment="1">
      <alignment horizontal="center" vertical="center"/>
    </xf>
    <xf numFmtId="0" fontId="1" fillId="7242" borderId="0" xfId="4" applyFill="1" applyAlignment="1">
      <alignment horizontal="center" vertical="center"/>
    </xf>
    <xf numFmtId="0" fontId="1" fillId="7243" borderId="0" xfId="4" applyFill="1" applyAlignment="1">
      <alignment horizontal="center" vertical="center"/>
    </xf>
    <xf numFmtId="0" fontId="1" fillId="7244" borderId="0" xfId="4" applyFill="1" applyAlignment="1">
      <alignment horizontal="center" vertical="center"/>
    </xf>
    <xf numFmtId="0" fontId="1" fillId="7245" borderId="0" xfId="4" applyFill="1" applyAlignment="1">
      <alignment horizontal="center" vertical="center"/>
    </xf>
    <xf numFmtId="0" fontId="1" fillId="7246" borderId="0" xfId="4" applyFill="1" applyAlignment="1">
      <alignment horizontal="center" vertical="center"/>
    </xf>
    <xf numFmtId="0" fontId="1" fillId="7247" borderId="0" xfId="4" applyFill="1" applyAlignment="1">
      <alignment horizontal="center" vertical="center"/>
    </xf>
    <xf numFmtId="0" fontId="1" fillId="7248" borderId="0" xfId="4" applyFill="1" applyAlignment="1">
      <alignment horizontal="center" vertical="center"/>
    </xf>
    <xf numFmtId="0" fontId="1" fillId="7249" borderId="0" xfId="4" applyFill="1" applyAlignment="1">
      <alignment horizontal="center" vertical="center"/>
    </xf>
    <xf numFmtId="0" fontId="1" fillId="7250" borderId="0" xfId="4" applyFill="1" applyAlignment="1">
      <alignment horizontal="center" vertical="center"/>
    </xf>
    <xf numFmtId="0" fontId="1" fillId="7251" borderId="0" xfId="4" applyFill="1" applyAlignment="1">
      <alignment horizontal="center" vertical="center"/>
    </xf>
    <xf numFmtId="0" fontId="1" fillId="7252" borderId="0" xfId="4" applyFill="1" applyAlignment="1">
      <alignment horizontal="center" vertical="center"/>
    </xf>
    <xf numFmtId="0" fontId="1" fillId="7253" borderId="0" xfId="4" applyFill="1" applyAlignment="1">
      <alignment horizontal="center" vertical="center"/>
    </xf>
    <xf numFmtId="0" fontId="1" fillId="7254" borderId="0" xfId="4" applyFill="1" applyAlignment="1">
      <alignment horizontal="center" vertical="center"/>
    </xf>
    <xf numFmtId="0" fontId="1" fillId="7255" borderId="0" xfId="4" applyFill="1" applyAlignment="1">
      <alignment horizontal="center" vertical="center"/>
    </xf>
    <xf numFmtId="0" fontId="1" fillId="7173" borderId="0" xfId="4" applyFill="1" applyAlignment="1">
      <alignment horizontal="center" vertical="center"/>
    </xf>
    <xf numFmtId="0" fontId="1" fillId="7258" borderId="0" xfId="4" applyFill="1" applyAlignment="1">
      <alignment horizontal="center" vertical="center"/>
    </xf>
    <xf numFmtId="0" fontId="1" fillId="7261" borderId="0" xfId="4" applyFill="1" applyAlignment="1">
      <alignment horizontal="center" vertical="center"/>
    </xf>
    <xf numFmtId="0" fontId="1" fillId="7262" borderId="0" xfId="4" applyFill="1" applyAlignment="1">
      <alignment horizontal="center" vertical="center"/>
    </xf>
    <xf numFmtId="0" fontId="1" fillId="7263" borderId="0" xfId="4" applyFill="1" applyAlignment="1">
      <alignment horizontal="center" vertical="center"/>
    </xf>
    <xf numFmtId="0" fontId="1" fillId="7264" borderId="0" xfId="4" applyFill="1" applyAlignment="1">
      <alignment horizontal="center" vertical="center"/>
    </xf>
    <xf numFmtId="0" fontId="1" fillId="7265" borderId="0" xfId="4" applyFill="1" applyAlignment="1">
      <alignment horizontal="center" vertical="center"/>
    </xf>
    <xf numFmtId="0" fontId="1" fillId="7266" borderId="0" xfId="4" applyFill="1" applyAlignment="1">
      <alignment horizontal="center" vertical="center"/>
    </xf>
    <xf numFmtId="0" fontId="1" fillId="7267" borderId="0" xfId="4" applyFill="1" applyAlignment="1">
      <alignment horizontal="center" vertical="center"/>
    </xf>
    <xf numFmtId="0" fontId="1" fillId="7268" borderId="0" xfId="4" applyFill="1" applyAlignment="1">
      <alignment horizontal="center" vertical="center"/>
    </xf>
    <xf numFmtId="0" fontId="1" fillId="7269" borderId="0" xfId="4" applyFill="1" applyAlignment="1">
      <alignment horizontal="center" vertical="center"/>
    </xf>
    <xf numFmtId="0" fontId="1" fillId="7270" borderId="0" xfId="4" applyFill="1" applyAlignment="1">
      <alignment horizontal="center" vertical="center"/>
    </xf>
    <xf numFmtId="0" fontId="1" fillId="7271" borderId="0" xfId="4" applyFill="1" applyAlignment="1">
      <alignment horizontal="center" vertical="center"/>
    </xf>
    <xf numFmtId="0" fontId="1" fillId="7272" borderId="0" xfId="4" applyFill="1" applyAlignment="1">
      <alignment horizontal="center" vertical="center"/>
    </xf>
    <xf numFmtId="0" fontId="1" fillId="7273" borderId="0" xfId="4" applyFill="1" applyAlignment="1">
      <alignment horizontal="center" vertical="center"/>
    </xf>
    <xf numFmtId="0" fontId="1" fillId="7274" borderId="0" xfId="4" applyFill="1" applyAlignment="1">
      <alignment horizontal="center" vertical="center"/>
    </xf>
    <xf numFmtId="0" fontId="1" fillId="7275" borderId="0" xfId="4" applyFill="1" applyAlignment="1">
      <alignment horizontal="center" vertical="center"/>
    </xf>
    <xf numFmtId="0" fontId="1" fillId="7276" borderId="0" xfId="4" applyFill="1" applyAlignment="1">
      <alignment horizontal="center" vertical="center"/>
    </xf>
    <xf numFmtId="0" fontId="1" fillId="7277" borderId="0" xfId="4" applyFill="1" applyAlignment="1">
      <alignment horizontal="center" vertical="center"/>
    </xf>
    <xf numFmtId="0" fontId="1" fillId="7278" borderId="0" xfId="4" applyFill="1" applyAlignment="1">
      <alignment horizontal="center" vertical="center"/>
    </xf>
    <xf numFmtId="0" fontId="1" fillId="7279" borderId="0" xfId="4" applyFill="1" applyAlignment="1">
      <alignment horizontal="center" vertical="center"/>
    </xf>
    <xf numFmtId="0" fontId="1" fillId="7280" borderId="0" xfId="4" applyFill="1" applyAlignment="1">
      <alignment horizontal="center" vertical="center"/>
    </xf>
    <xf numFmtId="0" fontId="1" fillId="7281" borderId="0" xfId="4" applyFill="1" applyAlignment="1">
      <alignment horizontal="center" vertical="center"/>
    </xf>
    <xf numFmtId="0" fontId="1" fillId="7282" borderId="0" xfId="4" applyFill="1" applyAlignment="1">
      <alignment horizontal="center" vertical="center"/>
    </xf>
    <xf numFmtId="0" fontId="1" fillId="7283" borderId="0" xfId="4" applyFill="1" applyAlignment="1">
      <alignment horizontal="center" vertical="center"/>
    </xf>
    <xf numFmtId="0" fontId="1" fillId="7284" borderId="0" xfId="4" applyFill="1" applyAlignment="1">
      <alignment horizontal="center" vertical="center"/>
    </xf>
    <xf numFmtId="0" fontId="1" fillId="7285" borderId="0" xfId="4" applyFill="1" applyAlignment="1">
      <alignment horizontal="center" vertical="center"/>
    </xf>
    <xf numFmtId="0" fontId="1" fillId="7286" borderId="0" xfId="4" applyFill="1" applyAlignment="1">
      <alignment horizontal="center" vertical="center"/>
    </xf>
    <xf numFmtId="0" fontId="1" fillId="7287" borderId="0" xfId="4" applyFill="1" applyAlignment="1">
      <alignment horizontal="center" vertical="center"/>
    </xf>
    <xf numFmtId="0" fontId="1" fillId="7288" borderId="0" xfId="4" applyFill="1" applyAlignment="1">
      <alignment horizontal="center" vertical="center"/>
    </xf>
    <xf numFmtId="0" fontId="1" fillId="7289" borderId="0" xfId="4" applyFill="1" applyAlignment="1">
      <alignment horizontal="center" vertical="center"/>
    </xf>
    <xf numFmtId="0" fontId="1" fillId="7290" borderId="0" xfId="4" applyFill="1" applyAlignment="1">
      <alignment horizontal="center" vertical="center"/>
    </xf>
    <xf numFmtId="0" fontId="1" fillId="7291" borderId="0" xfId="4" applyFill="1" applyAlignment="1">
      <alignment horizontal="left" vertical="center"/>
    </xf>
    <xf numFmtId="0" fontId="1" fillId="7292" borderId="0" xfId="4" applyFill="1" applyAlignment="1">
      <alignment horizontal="center" vertical="center"/>
    </xf>
    <xf numFmtId="0" fontId="1" fillId="7293" borderId="0" xfId="4" applyFill="1" applyAlignment="1">
      <alignment horizontal="center" vertical="center"/>
    </xf>
    <xf numFmtId="0" fontId="1" fillId="7294" borderId="0" xfId="4" applyFill="1" applyAlignment="1">
      <alignment horizontal="center" vertical="center"/>
    </xf>
    <xf numFmtId="0" fontId="1" fillId="7295" borderId="0" xfId="4" applyFill="1" applyAlignment="1">
      <alignment horizontal="center" vertical="center"/>
    </xf>
    <xf numFmtId="0" fontId="1" fillId="7296" borderId="0" xfId="4" applyFill="1" applyAlignment="1">
      <alignment horizontal="center" vertical="center"/>
    </xf>
    <xf numFmtId="0" fontId="1" fillId="7297" borderId="0" xfId="4" applyFill="1" applyAlignment="1">
      <alignment horizontal="center" vertical="center"/>
    </xf>
    <xf numFmtId="0" fontId="1" fillId="7298" borderId="0" xfId="4" applyFill="1" applyAlignment="1">
      <alignment horizontal="center" vertical="center"/>
    </xf>
    <xf numFmtId="0" fontId="1" fillId="7299" borderId="0" xfId="4" applyFill="1" applyAlignment="1">
      <alignment horizontal="center" vertical="center"/>
    </xf>
    <xf numFmtId="0" fontId="1" fillId="7300" borderId="0" xfId="4" applyFill="1" applyAlignment="1">
      <alignment horizontal="center" vertical="center"/>
    </xf>
    <xf numFmtId="0" fontId="1" fillId="7301" borderId="0" xfId="4" applyFill="1" applyAlignment="1">
      <alignment horizontal="center" vertical="center"/>
    </xf>
    <xf numFmtId="0" fontId="1" fillId="7302" borderId="0" xfId="4" applyFill="1" applyAlignment="1">
      <alignment horizontal="center" vertical="center"/>
    </xf>
    <xf numFmtId="0" fontId="1" fillId="7303" borderId="0" xfId="4" applyFill="1" applyAlignment="1">
      <alignment horizontal="center" vertical="center"/>
    </xf>
    <xf numFmtId="0" fontId="1" fillId="7304" borderId="0" xfId="4" applyFill="1" applyAlignment="1">
      <alignment horizontal="center" vertical="center"/>
    </xf>
    <xf numFmtId="0" fontId="1" fillId="7305" borderId="0" xfId="4" applyFill="1" applyAlignment="1">
      <alignment horizontal="center" vertical="center"/>
    </xf>
    <xf numFmtId="0" fontId="1" fillId="7306" borderId="0" xfId="4" applyFill="1" applyAlignment="1">
      <alignment horizontal="center" vertical="center"/>
    </xf>
    <xf numFmtId="0" fontId="1" fillId="7307" borderId="0" xfId="4" applyFill="1" applyAlignment="1">
      <alignment horizontal="center" vertical="center"/>
    </xf>
    <xf numFmtId="0" fontId="1" fillId="7308" borderId="0" xfId="4" applyFill="1" applyAlignment="1">
      <alignment horizontal="center" vertical="center"/>
    </xf>
    <xf numFmtId="0" fontId="1" fillId="7309" borderId="0" xfId="4" applyFill="1" applyAlignment="1">
      <alignment horizontal="center" vertical="center"/>
    </xf>
    <xf numFmtId="0" fontId="1" fillId="7310" borderId="0" xfId="4" applyFill="1" applyAlignment="1">
      <alignment horizontal="center" vertical="center"/>
    </xf>
    <xf numFmtId="0" fontId="1" fillId="7311" borderId="0" xfId="4" applyFill="1" applyAlignment="1">
      <alignment horizontal="center" vertical="center"/>
    </xf>
    <xf numFmtId="0" fontId="1" fillId="7312" borderId="0" xfId="4" applyFill="1" applyAlignment="1">
      <alignment horizontal="center" vertical="center"/>
    </xf>
    <xf numFmtId="0" fontId="1" fillId="7313" borderId="0" xfId="4" applyFill="1" applyAlignment="1">
      <alignment horizontal="center" vertical="center"/>
    </xf>
    <xf numFmtId="0" fontId="1" fillId="7314" borderId="0" xfId="4" applyFill="1" applyAlignment="1">
      <alignment horizontal="center" vertical="center"/>
    </xf>
    <xf numFmtId="0" fontId="1" fillId="7315" borderId="0" xfId="4" applyFill="1" applyAlignment="1">
      <alignment horizontal="center" vertical="center"/>
    </xf>
    <xf numFmtId="0" fontId="1" fillId="7316" borderId="0" xfId="4" applyFill="1" applyAlignment="1">
      <alignment horizontal="center" vertical="center"/>
    </xf>
    <xf numFmtId="0" fontId="1" fillId="7317" borderId="0" xfId="4" applyFill="1" applyAlignment="1">
      <alignment horizontal="center" vertical="center"/>
    </xf>
    <xf numFmtId="0" fontId="1" fillId="7318" borderId="0" xfId="4" applyFill="1" applyAlignment="1">
      <alignment horizontal="center" vertical="center"/>
    </xf>
    <xf numFmtId="0" fontId="1" fillId="7319" borderId="0" xfId="4" applyFill="1" applyAlignment="1">
      <alignment horizontal="center" vertical="center"/>
    </xf>
    <xf numFmtId="0" fontId="1" fillId="7320" borderId="0" xfId="4" applyFill="1" applyAlignment="1">
      <alignment horizontal="center" vertical="center"/>
    </xf>
    <xf numFmtId="0" fontId="1" fillId="7321" borderId="0" xfId="4" applyFill="1" applyAlignment="1">
      <alignment horizontal="center" vertical="center"/>
    </xf>
    <xf numFmtId="0" fontId="1" fillId="7322" borderId="0" xfId="4" applyFill="1" applyAlignment="1">
      <alignment horizontal="center" vertical="center"/>
    </xf>
    <xf numFmtId="0" fontId="1" fillId="7323" borderId="0" xfId="4" applyFill="1" applyAlignment="1">
      <alignment horizontal="center" vertical="center"/>
    </xf>
    <xf numFmtId="0" fontId="1" fillId="7324" borderId="0" xfId="4" applyFill="1" applyAlignment="1">
      <alignment horizontal="center" vertical="center"/>
    </xf>
    <xf numFmtId="0" fontId="1" fillId="7325" borderId="0" xfId="4" applyFill="1" applyAlignment="1">
      <alignment horizontal="left" vertical="center"/>
    </xf>
    <xf numFmtId="0" fontId="1" fillId="7326" borderId="0" xfId="4" applyFill="1" applyAlignment="1">
      <alignment horizontal="center" vertical="center"/>
    </xf>
    <xf numFmtId="0" fontId="1" fillId="7327" borderId="0" xfId="4" applyFill="1" applyAlignment="1">
      <alignment horizontal="center" vertical="center"/>
    </xf>
    <xf numFmtId="0" fontId="1" fillId="7328" borderId="0" xfId="4" applyFill="1" applyAlignment="1">
      <alignment horizontal="center" vertical="center"/>
    </xf>
    <xf numFmtId="0" fontId="1" fillId="7329" borderId="0" xfId="4" applyFill="1" applyAlignment="1">
      <alignment horizontal="center" vertical="center"/>
    </xf>
    <xf numFmtId="0" fontId="1" fillId="7330" borderId="0" xfId="4" applyFill="1" applyAlignment="1">
      <alignment horizontal="center" vertical="center"/>
    </xf>
    <xf numFmtId="0" fontId="1" fillId="7331" borderId="0" xfId="4" applyFill="1" applyAlignment="1">
      <alignment horizontal="center" vertical="center"/>
    </xf>
    <xf numFmtId="0" fontId="1" fillId="7332" borderId="0" xfId="4" applyFill="1" applyAlignment="1">
      <alignment horizontal="center" vertical="center"/>
    </xf>
    <xf numFmtId="0" fontId="1" fillId="7333" borderId="0" xfId="4" applyFill="1" applyAlignment="1">
      <alignment horizontal="center" vertical="center"/>
    </xf>
    <xf numFmtId="0" fontId="1" fillId="7334" borderId="0" xfId="4" applyFill="1" applyAlignment="1">
      <alignment horizontal="center" vertical="center"/>
    </xf>
    <xf numFmtId="0" fontId="1" fillId="7335" borderId="0" xfId="4" applyFill="1" applyAlignment="1">
      <alignment horizontal="center" vertical="center"/>
    </xf>
    <xf numFmtId="0" fontId="1" fillId="7336" borderId="0" xfId="4" applyFill="1" applyAlignment="1">
      <alignment horizontal="center" vertical="center"/>
    </xf>
    <xf numFmtId="0" fontId="1" fillId="7337" borderId="0" xfId="4" applyFill="1" applyAlignment="1">
      <alignment horizontal="center" vertical="center"/>
    </xf>
    <xf numFmtId="0" fontId="1" fillId="7338" borderId="0" xfId="4" applyFill="1" applyAlignment="1">
      <alignment horizontal="center" vertical="center"/>
    </xf>
    <xf numFmtId="0" fontId="1" fillId="7339" borderId="0" xfId="4" applyFill="1" applyAlignment="1">
      <alignment horizontal="center" vertical="center"/>
    </xf>
    <xf numFmtId="0" fontId="1" fillId="7340" borderId="0" xfId="4" applyFill="1" applyAlignment="1">
      <alignment horizontal="center" vertical="center"/>
    </xf>
    <xf numFmtId="0" fontId="1" fillId="7341" borderId="0" xfId="4" applyFill="1" applyAlignment="1">
      <alignment horizontal="center" vertical="center"/>
    </xf>
    <xf numFmtId="0" fontId="1" fillId="7342" borderId="0" xfId="4" applyFill="1" applyAlignment="1">
      <alignment horizontal="center" vertical="center"/>
    </xf>
    <xf numFmtId="0" fontId="1" fillId="7343" borderId="0" xfId="4" applyFill="1" applyAlignment="1">
      <alignment horizontal="center" vertical="center"/>
    </xf>
    <xf numFmtId="0" fontId="1" fillId="7344" borderId="0" xfId="4" applyFill="1" applyAlignment="1">
      <alignment horizontal="center" vertical="center"/>
    </xf>
    <xf numFmtId="0" fontId="1" fillId="7345" borderId="0" xfId="4" applyFill="1" applyAlignment="1">
      <alignment horizontal="center" vertical="center"/>
    </xf>
    <xf numFmtId="0" fontId="1" fillId="7348" borderId="0" xfId="4" applyFill="1" applyAlignment="1">
      <alignment horizontal="center" vertical="center"/>
    </xf>
    <xf numFmtId="0" fontId="1" fillId="7349" borderId="0" xfId="4" applyFill="1" applyAlignment="1">
      <alignment horizontal="center" vertical="center"/>
    </xf>
    <xf numFmtId="0" fontId="1" fillId="7350" borderId="0" xfId="4" applyFill="1" applyAlignment="1">
      <alignment horizontal="center" vertical="center"/>
    </xf>
    <xf numFmtId="0" fontId="1" fillId="7351" borderId="0" xfId="4" applyFill="1" applyAlignment="1">
      <alignment horizontal="center" vertical="center"/>
    </xf>
    <xf numFmtId="0" fontId="1" fillId="7352" borderId="0" xfId="4" applyFill="1" applyAlignment="1">
      <alignment horizontal="center" vertical="center"/>
    </xf>
    <xf numFmtId="0" fontId="1" fillId="7353" borderId="0" xfId="4" applyFill="1" applyAlignment="1">
      <alignment horizontal="center" vertical="center"/>
    </xf>
    <xf numFmtId="0" fontId="1" fillId="7354" borderId="0" xfId="4" applyFill="1" applyAlignment="1">
      <alignment horizontal="center" vertical="center"/>
    </xf>
    <xf numFmtId="0" fontId="1" fillId="7355" borderId="0" xfId="4" applyFill="1" applyAlignment="1">
      <alignment horizontal="center" vertical="center"/>
    </xf>
    <xf numFmtId="0" fontId="1" fillId="7356" borderId="0" xfId="4" applyFill="1" applyAlignment="1">
      <alignment horizontal="center" vertical="center"/>
    </xf>
    <xf numFmtId="0" fontId="1" fillId="7357" borderId="0" xfId="4" applyFill="1" applyAlignment="1">
      <alignment horizontal="center" vertical="center"/>
    </xf>
    <xf numFmtId="0" fontId="1" fillId="7358" borderId="0" xfId="4" applyFill="1" applyAlignment="1">
      <alignment horizontal="center" vertical="center"/>
    </xf>
    <xf numFmtId="0" fontId="1" fillId="7359" borderId="0" xfId="4" applyFill="1" applyAlignment="1">
      <alignment horizontal="center" vertical="center"/>
    </xf>
    <xf numFmtId="0" fontId="1" fillId="7360" borderId="0" xfId="4" applyFill="1" applyAlignment="1">
      <alignment horizontal="center" vertical="center"/>
    </xf>
    <xf numFmtId="0" fontId="1" fillId="7361" borderId="0" xfId="4" applyFill="1" applyAlignment="1">
      <alignment horizontal="center" vertical="center"/>
    </xf>
    <xf numFmtId="0" fontId="1" fillId="7362" borderId="0" xfId="4" applyFill="1" applyAlignment="1">
      <alignment horizontal="center" vertical="center"/>
    </xf>
    <xf numFmtId="0" fontId="1" fillId="7363" borderId="0" xfId="4" applyFill="1" applyAlignment="1">
      <alignment horizontal="center" vertical="center"/>
    </xf>
    <xf numFmtId="0" fontId="1" fillId="7364" borderId="0" xfId="4" applyFill="1" applyAlignment="1">
      <alignment horizontal="center" vertical="center"/>
    </xf>
    <xf numFmtId="0" fontId="1" fillId="7365" borderId="0" xfId="4" applyFill="1" applyAlignment="1">
      <alignment horizontal="center" vertical="center"/>
    </xf>
    <xf numFmtId="0" fontId="1" fillId="7366" borderId="0" xfId="4" applyFill="1" applyAlignment="1">
      <alignment horizontal="center" vertical="center"/>
    </xf>
    <xf numFmtId="0" fontId="1" fillId="7367" borderId="0" xfId="4" applyFill="1" applyAlignment="1">
      <alignment horizontal="center" vertical="center"/>
    </xf>
    <xf numFmtId="0" fontId="1" fillId="7368" borderId="0" xfId="4" applyFill="1" applyAlignment="1">
      <alignment horizontal="center" vertical="center"/>
    </xf>
    <xf numFmtId="0" fontId="1" fillId="7369" borderId="0" xfId="4" applyFill="1" applyAlignment="1">
      <alignment horizontal="center" vertical="center"/>
    </xf>
    <xf numFmtId="0" fontId="1" fillId="7370" borderId="0" xfId="4" applyFill="1" applyAlignment="1">
      <alignment horizontal="center" vertical="center"/>
    </xf>
    <xf numFmtId="0" fontId="1" fillId="7371" borderId="0" xfId="4" applyFill="1" applyAlignment="1">
      <alignment horizontal="center" vertical="center"/>
    </xf>
    <xf numFmtId="0" fontId="1" fillId="7372" borderId="0" xfId="4" applyFill="1" applyAlignment="1">
      <alignment horizontal="center" vertical="center"/>
    </xf>
    <xf numFmtId="0" fontId="1" fillId="7373" borderId="0" xfId="4" applyFill="1" applyAlignment="1">
      <alignment horizontal="center" vertical="center"/>
    </xf>
    <xf numFmtId="0" fontId="1" fillId="7374" borderId="0" xfId="4" applyFill="1" applyAlignment="1">
      <alignment horizontal="center" vertical="center"/>
    </xf>
    <xf numFmtId="0" fontId="1" fillId="7375" borderId="0" xfId="4" applyFill="1" applyAlignment="1">
      <alignment horizontal="center" vertical="center"/>
    </xf>
    <xf numFmtId="0" fontId="1" fillId="7376" borderId="0" xfId="4" applyFill="1" applyAlignment="1">
      <alignment horizontal="center" vertical="center"/>
    </xf>
    <xf numFmtId="0" fontId="1" fillId="7377" borderId="0" xfId="4" applyFill="1" applyAlignment="1">
      <alignment horizontal="center" vertical="center"/>
    </xf>
    <xf numFmtId="0" fontId="1" fillId="7378" borderId="0" xfId="4" applyFill="1" applyAlignment="1">
      <alignment horizontal="center" vertical="center"/>
    </xf>
    <xf numFmtId="0" fontId="1" fillId="7379" borderId="0" xfId="4" applyFill="1" applyAlignment="1">
      <alignment horizontal="left" vertical="center"/>
    </xf>
    <xf numFmtId="0" fontId="1" fillId="7380" borderId="0" xfId="4" applyFill="1" applyAlignment="1">
      <alignment horizontal="center" vertical="center"/>
    </xf>
    <xf numFmtId="0" fontId="1" fillId="7381" borderId="0" xfId="4" applyFill="1" applyAlignment="1">
      <alignment horizontal="center" vertical="center"/>
    </xf>
    <xf numFmtId="0" fontId="1" fillId="7382" borderId="0" xfId="4" applyFill="1" applyAlignment="1">
      <alignment horizontal="center" vertical="center"/>
    </xf>
    <xf numFmtId="0" fontId="1" fillId="7383" borderId="0" xfId="4" applyFill="1" applyAlignment="1">
      <alignment horizontal="center" vertical="center"/>
    </xf>
    <xf numFmtId="0" fontId="1" fillId="7384" borderId="0" xfId="4" applyFill="1" applyAlignment="1">
      <alignment horizontal="center" vertical="center"/>
    </xf>
    <xf numFmtId="0" fontId="1" fillId="7385" borderId="0" xfId="4" applyFill="1" applyAlignment="1">
      <alignment horizontal="center" vertical="center"/>
    </xf>
    <xf numFmtId="0" fontId="1" fillId="7386" borderId="0" xfId="4" applyFill="1" applyAlignment="1">
      <alignment horizontal="center" vertical="center"/>
    </xf>
    <xf numFmtId="0" fontId="1" fillId="7387" borderId="0" xfId="4" applyFill="1" applyAlignment="1">
      <alignment horizontal="center" vertical="center"/>
    </xf>
    <xf numFmtId="0" fontId="1" fillId="7388" borderId="0" xfId="4" applyFill="1" applyAlignment="1">
      <alignment horizontal="center" vertical="center"/>
    </xf>
    <xf numFmtId="0" fontId="1" fillId="7389" borderId="0" xfId="4" applyFill="1" applyAlignment="1">
      <alignment horizontal="center" vertical="center"/>
    </xf>
    <xf numFmtId="0" fontId="1" fillId="7390" borderId="0" xfId="4" applyFill="1" applyAlignment="1">
      <alignment horizontal="center" vertical="center"/>
    </xf>
    <xf numFmtId="0" fontId="1" fillId="7391" borderId="0" xfId="4" applyFill="1" applyAlignment="1">
      <alignment horizontal="center" vertical="center"/>
    </xf>
    <xf numFmtId="0" fontId="1" fillId="7392" borderId="0" xfId="4" applyFill="1" applyAlignment="1">
      <alignment horizontal="center" vertical="center"/>
    </xf>
    <xf numFmtId="0" fontId="1" fillId="7393" borderId="0" xfId="4" applyFill="1" applyAlignment="1">
      <alignment horizontal="center" vertical="center"/>
    </xf>
    <xf numFmtId="0" fontId="1" fillId="7394" borderId="0" xfId="4" applyFill="1" applyAlignment="1">
      <alignment horizontal="center" vertical="center"/>
    </xf>
    <xf numFmtId="0" fontId="1" fillId="7395" borderId="0" xfId="4" applyFill="1" applyAlignment="1">
      <alignment horizontal="center" vertical="center"/>
    </xf>
    <xf numFmtId="0" fontId="1" fillId="7396" borderId="0" xfId="4" applyFill="1" applyAlignment="1">
      <alignment horizontal="center" vertical="center"/>
    </xf>
    <xf numFmtId="0" fontId="1" fillId="7397" borderId="0" xfId="4" applyFill="1" applyAlignment="1">
      <alignment horizontal="center" vertical="center"/>
    </xf>
    <xf numFmtId="0" fontId="1" fillId="7398" borderId="0" xfId="4" applyFill="1" applyAlignment="1">
      <alignment horizontal="center" vertical="center"/>
    </xf>
    <xf numFmtId="0" fontId="1" fillId="7399" borderId="0" xfId="4" applyFill="1" applyAlignment="1">
      <alignment horizontal="center" vertical="center"/>
    </xf>
    <xf numFmtId="0" fontId="1" fillId="7400" borderId="0" xfId="4" applyFill="1" applyAlignment="1">
      <alignment horizontal="center" vertical="center"/>
    </xf>
    <xf numFmtId="0" fontId="1" fillId="7401" borderId="0" xfId="4" applyFill="1" applyAlignment="1">
      <alignment horizontal="center" vertical="center"/>
    </xf>
    <xf numFmtId="0" fontId="1" fillId="7402" borderId="0" xfId="4" applyFill="1" applyAlignment="1">
      <alignment horizontal="center" vertical="center"/>
    </xf>
    <xf numFmtId="0" fontId="1" fillId="7403" borderId="0" xfId="4" applyFill="1" applyAlignment="1">
      <alignment horizontal="center" vertical="center"/>
    </xf>
    <xf numFmtId="0" fontId="1" fillId="7404" borderId="0" xfId="4" applyFill="1" applyAlignment="1">
      <alignment horizontal="center" vertical="center"/>
    </xf>
    <xf numFmtId="0" fontId="1" fillId="7405" borderId="0" xfId="4" applyFill="1" applyAlignment="1">
      <alignment horizontal="center" vertical="center"/>
    </xf>
    <xf numFmtId="0" fontId="1" fillId="7406" borderId="0" xfId="4" applyFill="1" applyAlignment="1">
      <alignment horizontal="center" vertical="center"/>
    </xf>
    <xf numFmtId="0" fontId="1" fillId="7407" borderId="0" xfId="4" applyFill="1" applyAlignment="1">
      <alignment horizontal="center" vertical="center"/>
    </xf>
    <xf numFmtId="0" fontId="1" fillId="7408" borderId="0" xfId="4" applyFill="1" applyAlignment="1">
      <alignment horizontal="center" vertical="center"/>
    </xf>
    <xf numFmtId="0" fontId="1" fillId="7409" borderId="0" xfId="4" applyFill="1" applyAlignment="1">
      <alignment horizontal="center" vertical="center"/>
    </xf>
    <xf numFmtId="0" fontId="1" fillId="7410" borderId="0" xfId="4" applyFill="1" applyAlignment="1">
      <alignment horizontal="center" vertical="center"/>
    </xf>
    <xf numFmtId="0" fontId="1" fillId="7411" borderId="0" xfId="4" applyFill="1" applyAlignment="1">
      <alignment horizontal="left" vertical="center"/>
    </xf>
    <xf numFmtId="0" fontId="1" fillId="7412" borderId="0" xfId="4" applyFill="1" applyAlignment="1">
      <alignment horizontal="center" vertical="center"/>
    </xf>
    <xf numFmtId="0" fontId="1" fillId="7413" borderId="0" xfId="4" applyFill="1" applyAlignment="1">
      <alignment horizontal="center" vertical="center"/>
    </xf>
    <xf numFmtId="0" fontId="1" fillId="7414" borderId="0" xfId="4" applyFill="1" applyAlignment="1">
      <alignment horizontal="center" vertical="center"/>
    </xf>
    <xf numFmtId="0" fontId="1" fillId="7415" borderId="0" xfId="4" applyFill="1" applyAlignment="1">
      <alignment horizontal="center" vertical="center"/>
    </xf>
    <xf numFmtId="0" fontId="1" fillId="7416" borderId="0" xfId="4" applyFill="1" applyAlignment="1">
      <alignment horizontal="center" vertical="center"/>
    </xf>
    <xf numFmtId="0" fontId="1" fillId="7417" borderId="0" xfId="4" applyFill="1" applyAlignment="1">
      <alignment horizontal="center" vertical="center"/>
    </xf>
    <xf numFmtId="0" fontId="1" fillId="7418" borderId="0" xfId="4" applyFill="1" applyAlignment="1">
      <alignment horizontal="center" vertical="center"/>
    </xf>
    <xf numFmtId="0" fontId="1" fillId="7419" borderId="0" xfId="4" applyFill="1" applyAlignment="1">
      <alignment horizontal="center" vertical="center"/>
    </xf>
    <xf numFmtId="0" fontId="1" fillId="7420" borderId="0" xfId="4" applyFill="1" applyAlignment="1">
      <alignment horizontal="center" vertical="center"/>
    </xf>
    <xf numFmtId="0" fontId="1" fillId="7421" borderId="0" xfId="4" applyFill="1" applyAlignment="1">
      <alignment horizontal="center" vertical="center"/>
    </xf>
    <xf numFmtId="0" fontId="1" fillId="7422" borderId="0" xfId="4" applyFill="1" applyAlignment="1">
      <alignment horizontal="center" vertical="center"/>
    </xf>
    <xf numFmtId="0" fontId="1" fillId="7423" borderId="0" xfId="4" applyFill="1" applyAlignment="1">
      <alignment horizontal="center" vertical="center"/>
    </xf>
    <xf numFmtId="0" fontId="1" fillId="7424" borderId="0" xfId="4" applyFill="1" applyAlignment="1">
      <alignment horizontal="center" vertical="center"/>
    </xf>
    <xf numFmtId="0" fontId="1" fillId="7425" borderId="0" xfId="4" applyFill="1" applyAlignment="1">
      <alignment horizontal="center" vertical="center"/>
    </xf>
    <xf numFmtId="0" fontId="1" fillId="7426" borderId="0" xfId="4" applyFill="1" applyAlignment="1">
      <alignment horizontal="center" vertical="center"/>
    </xf>
    <xf numFmtId="0" fontId="1" fillId="7427" borderId="0" xfId="4" applyFill="1" applyAlignment="1">
      <alignment horizontal="center" vertical="center"/>
    </xf>
    <xf numFmtId="0" fontId="1" fillId="7428" borderId="0" xfId="4" applyFill="1" applyAlignment="1">
      <alignment horizontal="center" vertical="center"/>
    </xf>
    <xf numFmtId="0" fontId="1" fillId="7429" borderId="0" xfId="4" applyFill="1" applyAlignment="1">
      <alignment horizontal="center" vertical="center"/>
    </xf>
    <xf numFmtId="0" fontId="1" fillId="7430" borderId="0" xfId="4" applyFill="1" applyAlignment="1">
      <alignment horizontal="center" vertical="center"/>
    </xf>
    <xf numFmtId="0" fontId="1" fillId="7431" borderId="0" xfId="4" applyFill="1" applyAlignment="1">
      <alignment horizontal="center" vertical="center"/>
    </xf>
    <xf numFmtId="0" fontId="1" fillId="7435" borderId="0" xfId="4" applyFill="1" applyAlignment="1">
      <alignment horizontal="center" vertical="center"/>
    </xf>
    <xf numFmtId="0" fontId="1" fillId="7436" borderId="0" xfId="4" applyFill="1" applyAlignment="1">
      <alignment horizontal="center" vertical="center"/>
    </xf>
    <xf numFmtId="0" fontId="1" fillId="7437" borderId="0" xfId="4" applyFill="1" applyAlignment="1">
      <alignment horizontal="center" vertical="center"/>
    </xf>
    <xf numFmtId="0" fontId="1" fillId="7438" borderId="0" xfId="4" applyFill="1" applyAlignment="1">
      <alignment horizontal="center" vertical="center"/>
    </xf>
    <xf numFmtId="0" fontId="1" fillId="7439" borderId="0" xfId="4" applyFill="1" applyAlignment="1">
      <alignment horizontal="center" vertical="center"/>
    </xf>
    <xf numFmtId="0" fontId="1" fillId="7440" borderId="0" xfId="4" applyFill="1" applyAlignment="1">
      <alignment horizontal="center" vertical="center"/>
    </xf>
    <xf numFmtId="0" fontId="1" fillId="7441" borderId="0" xfId="4" applyFill="1" applyAlignment="1">
      <alignment horizontal="center" vertical="center"/>
    </xf>
    <xf numFmtId="0" fontId="1" fillId="7442" borderId="0" xfId="4" applyFill="1" applyAlignment="1">
      <alignment horizontal="center" vertical="center"/>
    </xf>
    <xf numFmtId="0" fontId="1" fillId="7443" borderId="0" xfId="4" applyFill="1" applyAlignment="1">
      <alignment horizontal="center" vertical="center"/>
    </xf>
    <xf numFmtId="0" fontId="1" fillId="7444" borderId="0" xfId="4" applyFill="1" applyAlignment="1">
      <alignment horizontal="center" vertical="center"/>
    </xf>
    <xf numFmtId="0" fontId="1" fillId="7445" borderId="0" xfId="4" applyFill="1" applyAlignment="1">
      <alignment horizontal="center" vertical="center"/>
    </xf>
    <xf numFmtId="0" fontId="1" fillId="7446" borderId="0" xfId="4" applyFill="1" applyAlignment="1">
      <alignment horizontal="center" vertical="center"/>
    </xf>
    <xf numFmtId="0" fontId="1" fillId="7447" borderId="0" xfId="4" applyFill="1" applyAlignment="1">
      <alignment horizontal="center" vertical="center"/>
    </xf>
    <xf numFmtId="0" fontId="1" fillId="7448" borderId="0" xfId="4" applyFill="1" applyAlignment="1">
      <alignment horizontal="center" vertical="center"/>
    </xf>
    <xf numFmtId="0" fontId="1" fillId="7449" borderId="0" xfId="4" applyFill="1" applyAlignment="1">
      <alignment horizontal="center" vertical="center"/>
    </xf>
    <xf numFmtId="0" fontId="1" fillId="7450" borderId="0" xfId="4" applyFill="1" applyAlignment="1">
      <alignment horizontal="center" vertical="center"/>
    </xf>
    <xf numFmtId="0" fontId="1" fillId="7451" borderId="0" xfId="4" applyFill="1" applyAlignment="1">
      <alignment horizontal="center" vertical="center"/>
    </xf>
    <xf numFmtId="0" fontId="1" fillId="7452" borderId="0" xfId="4" applyFill="1" applyAlignment="1">
      <alignment horizontal="center" vertical="center"/>
    </xf>
    <xf numFmtId="0" fontId="1" fillId="7453" borderId="0" xfId="4" applyFill="1" applyAlignment="1">
      <alignment horizontal="center" vertical="center"/>
    </xf>
    <xf numFmtId="0" fontId="1" fillId="7454" borderId="0" xfId="4" applyFill="1" applyAlignment="1">
      <alignment horizontal="center" vertical="center"/>
    </xf>
    <xf numFmtId="0" fontId="1" fillId="7455" borderId="0" xfId="4" applyFill="1" applyAlignment="1">
      <alignment horizontal="center" vertical="center"/>
    </xf>
    <xf numFmtId="0" fontId="1" fillId="7456" borderId="0" xfId="4" applyFill="1" applyAlignment="1">
      <alignment horizontal="center" vertical="center"/>
    </xf>
    <xf numFmtId="0" fontId="1" fillId="7457" borderId="0" xfId="4" applyFill="1" applyAlignment="1">
      <alignment horizontal="center" vertical="center"/>
    </xf>
    <xf numFmtId="0" fontId="1" fillId="7458" borderId="0" xfId="4" applyFill="1" applyAlignment="1">
      <alignment horizontal="center" vertical="center"/>
    </xf>
    <xf numFmtId="0" fontId="1" fillId="7459" borderId="0" xfId="4" applyFill="1" applyAlignment="1">
      <alignment horizontal="center" vertical="center"/>
    </xf>
    <xf numFmtId="0" fontId="1" fillId="7460" borderId="0" xfId="4" applyFill="1" applyAlignment="1">
      <alignment horizontal="center" vertical="center"/>
    </xf>
    <xf numFmtId="0" fontId="1" fillId="7461" borderId="0" xfId="4" applyFill="1" applyAlignment="1">
      <alignment horizontal="center" vertical="center"/>
    </xf>
    <xf numFmtId="0" fontId="1" fillId="7462" borderId="0" xfId="4" applyFill="1" applyAlignment="1">
      <alignment horizontal="center" vertical="center"/>
    </xf>
    <xf numFmtId="0" fontId="1" fillId="7463" borderId="0" xfId="4" applyFill="1" applyAlignment="1">
      <alignment horizontal="center" vertical="center"/>
    </xf>
    <xf numFmtId="0" fontId="1" fillId="7464" borderId="0" xfId="4" applyFill="1" applyAlignment="1">
      <alignment horizontal="center" vertical="center"/>
    </xf>
    <xf numFmtId="0" fontId="1" fillId="7465" borderId="0" xfId="4" applyFill="1" applyAlignment="1">
      <alignment horizontal="center" vertical="center"/>
    </xf>
    <xf numFmtId="0" fontId="1" fillId="7466" borderId="0" xfId="4" applyFill="1" applyAlignment="1">
      <alignment horizontal="left" vertical="center"/>
    </xf>
    <xf numFmtId="0" fontId="1" fillId="7467" borderId="0" xfId="4" applyFill="1" applyAlignment="1">
      <alignment horizontal="center" vertical="center"/>
    </xf>
    <xf numFmtId="0" fontId="1" fillId="7468" borderId="0" xfId="4" applyFill="1" applyAlignment="1">
      <alignment horizontal="center" vertical="center"/>
    </xf>
    <xf numFmtId="0" fontId="1" fillId="7469" borderId="0" xfId="4" applyFill="1" applyAlignment="1">
      <alignment horizontal="center" vertical="center"/>
    </xf>
    <xf numFmtId="0" fontId="1" fillId="7470" borderId="0" xfId="4" applyFill="1" applyAlignment="1">
      <alignment horizontal="center" vertical="center"/>
    </xf>
    <xf numFmtId="0" fontId="1" fillId="7471" borderId="0" xfId="4" applyFill="1" applyAlignment="1">
      <alignment horizontal="center" vertical="center"/>
    </xf>
    <xf numFmtId="0" fontId="1" fillId="7472" borderId="0" xfId="4" applyFill="1" applyAlignment="1">
      <alignment horizontal="center" vertical="center"/>
    </xf>
    <xf numFmtId="0" fontId="1" fillId="7473" borderId="0" xfId="4" applyFill="1" applyAlignment="1">
      <alignment horizontal="center" vertical="center"/>
    </xf>
    <xf numFmtId="0" fontId="1" fillId="7474" borderId="0" xfId="4" applyFill="1" applyAlignment="1">
      <alignment horizontal="center" vertical="center"/>
    </xf>
    <xf numFmtId="0" fontId="1" fillId="7475" borderId="0" xfId="4" applyFill="1" applyAlignment="1">
      <alignment horizontal="center" vertical="center"/>
    </xf>
    <xf numFmtId="0" fontId="1" fillId="7476" borderId="0" xfId="4" applyFill="1" applyAlignment="1">
      <alignment horizontal="center" vertical="center"/>
    </xf>
    <xf numFmtId="0" fontId="1" fillId="7477" borderId="0" xfId="4" applyFill="1" applyAlignment="1">
      <alignment horizontal="center" vertical="center"/>
    </xf>
    <xf numFmtId="0" fontId="1" fillId="7478" borderId="0" xfId="4" applyFill="1" applyAlignment="1">
      <alignment horizontal="center" vertical="center"/>
    </xf>
    <xf numFmtId="0" fontId="1" fillId="7479" borderId="0" xfId="4" applyFill="1" applyAlignment="1">
      <alignment horizontal="center" vertical="center"/>
    </xf>
    <xf numFmtId="0" fontId="1" fillId="7480" borderId="0" xfId="4" applyFill="1" applyAlignment="1">
      <alignment horizontal="center" vertical="center"/>
    </xf>
    <xf numFmtId="0" fontId="1" fillId="7481" borderId="0" xfId="4" applyFill="1" applyAlignment="1">
      <alignment horizontal="center" vertical="center"/>
    </xf>
    <xf numFmtId="0" fontId="1" fillId="7482" borderId="0" xfId="4" applyFill="1" applyAlignment="1">
      <alignment horizontal="center" vertical="center"/>
    </xf>
    <xf numFmtId="0" fontId="1" fillId="7483" borderId="0" xfId="4" applyFill="1" applyAlignment="1">
      <alignment horizontal="center" vertical="center"/>
    </xf>
    <xf numFmtId="0" fontId="1" fillId="7484" borderId="0" xfId="4" applyFill="1" applyAlignment="1">
      <alignment horizontal="center" vertical="center"/>
    </xf>
    <xf numFmtId="0" fontId="1" fillId="7485" borderId="0" xfId="4" applyFill="1" applyAlignment="1">
      <alignment horizontal="center" vertical="center"/>
    </xf>
    <xf numFmtId="0" fontId="1" fillId="7486" borderId="0" xfId="4" applyFill="1" applyAlignment="1">
      <alignment horizontal="center" vertical="center"/>
    </xf>
    <xf numFmtId="0" fontId="1" fillId="7487" borderId="0" xfId="4" applyFill="1" applyAlignment="1">
      <alignment horizontal="center" vertical="center"/>
    </xf>
    <xf numFmtId="0" fontId="1" fillId="7488" borderId="0" xfId="4" applyFill="1" applyAlignment="1">
      <alignment horizontal="center" vertical="center"/>
    </xf>
    <xf numFmtId="0" fontId="1" fillId="7489" borderId="0" xfId="4" applyFill="1" applyAlignment="1">
      <alignment horizontal="center" vertical="center"/>
    </xf>
    <xf numFmtId="0" fontId="1" fillId="7490" borderId="0" xfId="4" applyFill="1" applyAlignment="1">
      <alignment horizontal="center" vertical="center"/>
    </xf>
    <xf numFmtId="0" fontId="1" fillId="7491" borderId="0" xfId="4" applyFill="1" applyAlignment="1">
      <alignment horizontal="center" vertical="center"/>
    </xf>
    <xf numFmtId="0" fontId="1" fillId="7492" borderId="0" xfId="4" applyFill="1" applyAlignment="1">
      <alignment horizontal="center" vertical="center"/>
    </xf>
    <xf numFmtId="0" fontId="1" fillId="7493" borderId="0" xfId="4" applyFill="1" applyAlignment="1">
      <alignment horizontal="center" vertical="center"/>
    </xf>
    <xf numFmtId="0" fontId="1" fillId="7494" borderId="0" xfId="4" applyFill="1" applyAlignment="1">
      <alignment horizontal="center" vertical="center"/>
    </xf>
    <xf numFmtId="0" fontId="1" fillId="7495" borderId="0" xfId="4" applyFill="1" applyAlignment="1">
      <alignment horizontal="center" vertical="center"/>
    </xf>
    <xf numFmtId="0" fontId="1" fillId="7496" borderId="0" xfId="4" applyFill="1" applyAlignment="1">
      <alignment horizontal="center" vertical="center"/>
    </xf>
    <xf numFmtId="0" fontId="1" fillId="7497" borderId="0" xfId="4" applyFill="1" applyAlignment="1">
      <alignment horizontal="center" vertical="center"/>
    </xf>
    <xf numFmtId="0" fontId="1" fillId="7498" borderId="0" xfId="4" applyFill="1" applyAlignment="1">
      <alignment horizontal="left" vertical="center"/>
    </xf>
    <xf numFmtId="0" fontId="1" fillId="7499" borderId="0" xfId="4" applyFill="1" applyAlignment="1">
      <alignment horizontal="center" vertical="center"/>
    </xf>
    <xf numFmtId="0" fontId="1" fillId="7500" borderId="0" xfId="4" applyFill="1" applyAlignment="1">
      <alignment horizontal="center" vertical="center"/>
    </xf>
    <xf numFmtId="0" fontId="1" fillId="7501" borderId="0" xfId="4" applyFill="1" applyAlignment="1">
      <alignment horizontal="center" vertical="center"/>
    </xf>
    <xf numFmtId="0" fontId="1" fillId="7502" borderId="0" xfId="4" applyFill="1" applyAlignment="1">
      <alignment horizontal="center" vertical="center"/>
    </xf>
    <xf numFmtId="0" fontId="1" fillId="7503" borderId="0" xfId="4" applyFill="1" applyAlignment="1">
      <alignment horizontal="center" vertical="center"/>
    </xf>
    <xf numFmtId="0" fontId="1" fillId="7504" borderId="0" xfId="4" applyFill="1" applyAlignment="1">
      <alignment horizontal="center" vertical="center"/>
    </xf>
    <xf numFmtId="0" fontId="1" fillId="7505" borderId="0" xfId="4" applyFill="1" applyAlignment="1">
      <alignment horizontal="center" vertical="center"/>
    </xf>
    <xf numFmtId="0" fontId="1" fillId="7506" borderId="0" xfId="4" applyFill="1" applyAlignment="1">
      <alignment horizontal="center" vertical="center"/>
    </xf>
    <xf numFmtId="0" fontId="1" fillId="7507" borderId="0" xfId="4" applyFill="1" applyAlignment="1">
      <alignment horizontal="center" vertical="center"/>
    </xf>
    <xf numFmtId="0" fontId="1" fillId="7508" borderId="0" xfId="4" applyFill="1" applyAlignment="1">
      <alignment horizontal="center" vertical="center"/>
    </xf>
    <xf numFmtId="0" fontId="1" fillId="7509" borderId="0" xfId="4" applyFill="1" applyAlignment="1">
      <alignment horizontal="center" vertical="center"/>
    </xf>
    <xf numFmtId="0" fontId="1" fillId="7510" borderId="0" xfId="4" applyFill="1" applyAlignment="1">
      <alignment horizontal="center" vertical="center"/>
    </xf>
    <xf numFmtId="0" fontId="1" fillId="7511" borderId="0" xfId="4" applyFill="1" applyAlignment="1">
      <alignment horizontal="center" vertical="center"/>
    </xf>
    <xf numFmtId="0" fontId="1" fillId="7512" borderId="0" xfId="4" applyFill="1" applyAlignment="1">
      <alignment horizontal="center" vertical="center"/>
    </xf>
    <xf numFmtId="0" fontId="1" fillId="7513" borderId="0" xfId="4" applyFill="1" applyAlignment="1">
      <alignment horizontal="center" vertical="center"/>
    </xf>
    <xf numFmtId="0" fontId="1" fillId="7514" borderId="0" xfId="4" applyFill="1" applyAlignment="1">
      <alignment horizontal="center" vertical="center"/>
    </xf>
    <xf numFmtId="0" fontId="1" fillId="7515" borderId="0" xfId="4" applyFill="1" applyAlignment="1">
      <alignment horizontal="center" vertical="center"/>
    </xf>
    <xf numFmtId="0" fontId="1" fillId="7516" borderId="0" xfId="4" applyFill="1" applyAlignment="1">
      <alignment horizontal="center" vertical="center"/>
    </xf>
    <xf numFmtId="0" fontId="1" fillId="7517" borderId="0" xfId="4" applyFill="1" applyAlignment="1">
      <alignment horizontal="center" vertical="center"/>
    </xf>
    <xf numFmtId="0" fontId="1" fillId="7519" borderId="0" xfId="4" applyFill="1" applyAlignment="1">
      <alignment horizontal="center" vertical="center"/>
    </xf>
    <xf numFmtId="0" fontId="1" fillId="7520" borderId="0" xfId="4" applyFill="1" applyAlignment="1">
      <alignment horizontal="center" vertical="center"/>
    </xf>
    <xf numFmtId="0" fontId="1" fillId="7521" borderId="0" xfId="4" applyFill="1" applyAlignment="1">
      <alignment horizontal="center" vertical="center"/>
    </xf>
    <xf numFmtId="0" fontId="1" fillId="7522" borderId="0" xfId="4" applyFill="1" applyAlignment="1">
      <alignment horizontal="center" vertical="center"/>
    </xf>
    <xf numFmtId="0" fontId="1" fillId="7523" borderId="0" xfId="4" applyFill="1" applyAlignment="1">
      <alignment horizontal="center" vertical="center"/>
    </xf>
    <xf numFmtId="0" fontId="1" fillId="7524" borderId="0" xfId="4" applyFill="1" applyAlignment="1">
      <alignment horizontal="center" vertical="center"/>
    </xf>
    <xf numFmtId="0" fontId="1" fillId="7525" borderId="0" xfId="4" applyFill="1" applyAlignment="1">
      <alignment horizontal="center" vertical="center"/>
    </xf>
    <xf numFmtId="0" fontId="1" fillId="7526" borderId="0" xfId="4" applyFill="1" applyAlignment="1">
      <alignment horizontal="center" vertical="center"/>
    </xf>
    <xf numFmtId="0" fontId="1" fillId="7527" borderId="0" xfId="4" applyFill="1" applyAlignment="1">
      <alignment horizontal="center" vertical="center"/>
    </xf>
    <xf numFmtId="0" fontId="1" fillId="7528" borderId="0" xfId="4" applyFill="1" applyAlignment="1">
      <alignment horizontal="center" vertical="center"/>
    </xf>
    <xf numFmtId="0" fontId="1" fillId="7529" borderId="0" xfId="4" applyFill="1" applyAlignment="1">
      <alignment horizontal="center" vertical="center"/>
    </xf>
    <xf numFmtId="0" fontId="1" fillId="7530" borderId="0" xfId="4" applyFill="1" applyAlignment="1">
      <alignment horizontal="center" vertical="center"/>
    </xf>
    <xf numFmtId="0" fontId="1" fillId="7531" borderId="0" xfId="4" applyFill="1" applyAlignment="1">
      <alignment horizontal="center" vertical="center"/>
    </xf>
    <xf numFmtId="0" fontId="1" fillId="7532" borderId="0" xfId="4" applyFill="1" applyAlignment="1">
      <alignment horizontal="center" vertical="center"/>
    </xf>
    <xf numFmtId="0" fontId="1" fillId="7533" borderId="0" xfId="4" applyFill="1" applyAlignment="1">
      <alignment horizontal="center" vertical="center"/>
    </xf>
    <xf numFmtId="0" fontId="1" fillId="7534" borderId="0" xfId="4" applyFill="1" applyAlignment="1">
      <alignment horizontal="center" vertical="center"/>
    </xf>
    <xf numFmtId="0" fontId="1" fillId="7535" borderId="0" xfId="4" applyFill="1" applyAlignment="1">
      <alignment horizontal="center" vertical="center"/>
    </xf>
    <xf numFmtId="0" fontId="1" fillId="7536" borderId="0" xfId="4" applyFill="1" applyAlignment="1">
      <alignment horizontal="center" vertical="center"/>
    </xf>
    <xf numFmtId="0" fontId="1" fillId="7537" borderId="0" xfId="4" applyFill="1" applyAlignment="1">
      <alignment horizontal="center" vertical="center"/>
    </xf>
    <xf numFmtId="0" fontId="1" fillId="7538" borderId="0" xfId="4" applyFill="1" applyAlignment="1">
      <alignment horizontal="center" vertical="center"/>
    </xf>
    <xf numFmtId="0" fontId="1" fillId="7539" borderId="0" xfId="4" applyFill="1" applyAlignment="1">
      <alignment horizontal="center" vertical="center"/>
    </xf>
    <xf numFmtId="0" fontId="1" fillId="7540" borderId="0" xfId="4" applyFill="1" applyAlignment="1">
      <alignment horizontal="center" vertical="center"/>
    </xf>
    <xf numFmtId="0" fontId="1" fillId="7541" borderId="0" xfId="4" applyFill="1" applyAlignment="1">
      <alignment horizontal="center" vertical="center"/>
    </xf>
    <xf numFmtId="0" fontId="1" fillId="7542" borderId="0" xfId="4" applyFill="1" applyAlignment="1">
      <alignment horizontal="center" vertical="center"/>
    </xf>
    <xf numFmtId="0" fontId="1" fillId="7543" borderId="0" xfId="4" applyFill="1" applyAlignment="1">
      <alignment horizontal="center" vertical="center"/>
    </xf>
    <xf numFmtId="0" fontId="1" fillId="7544" borderId="0" xfId="4" applyFill="1" applyAlignment="1">
      <alignment horizontal="center" vertical="center"/>
    </xf>
    <xf numFmtId="0" fontId="1" fillId="7545" borderId="0" xfId="4" applyFill="1" applyAlignment="1">
      <alignment horizontal="center" vertical="center"/>
    </xf>
    <xf numFmtId="0" fontId="1" fillId="7546" borderId="0" xfId="4" applyFill="1" applyAlignment="1">
      <alignment horizontal="center" vertical="center"/>
    </xf>
    <xf numFmtId="0" fontId="1" fillId="7547" borderId="0" xfId="4" applyFill="1" applyAlignment="1">
      <alignment horizontal="center" vertical="center"/>
    </xf>
    <xf numFmtId="0" fontId="1" fillId="7548" borderId="0" xfId="4" applyFill="1" applyAlignment="1">
      <alignment horizontal="center" vertical="center"/>
    </xf>
    <xf numFmtId="0" fontId="1" fillId="7549" borderId="0" xfId="4" applyFill="1" applyAlignment="1">
      <alignment horizontal="center" vertical="center"/>
    </xf>
    <xf numFmtId="0" fontId="1" fillId="7550" borderId="0" xfId="4" applyFill="1" applyAlignment="1">
      <alignment horizontal="center" vertical="center"/>
    </xf>
    <xf numFmtId="0" fontId="1" fillId="7551" borderId="0" xfId="4" applyFill="1" applyAlignment="1">
      <alignment horizontal="left" vertical="center"/>
    </xf>
    <xf numFmtId="0" fontId="1" fillId="7552" borderId="0" xfId="4" applyFill="1" applyAlignment="1">
      <alignment horizontal="center" vertical="center"/>
    </xf>
    <xf numFmtId="0" fontId="1" fillId="7553" borderId="0" xfId="4" applyFill="1" applyAlignment="1">
      <alignment horizontal="center" vertical="center"/>
    </xf>
    <xf numFmtId="0" fontId="1" fillId="7554" borderId="0" xfId="4" applyFill="1" applyAlignment="1">
      <alignment horizontal="center" vertical="center"/>
    </xf>
    <xf numFmtId="0" fontId="1" fillId="7555" borderId="0" xfId="4" applyFill="1" applyAlignment="1">
      <alignment horizontal="center" vertical="center"/>
    </xf>
    <xf numFmtId="0" fontId="1" fillId="7556" borderId="0" xfId="4" applyFill="1" applyAlignment="1">
      <alignment horizontal="center" vertical="center"/>
    </xf>
    <xf numFmtId="0" fontId="1" fillId="7557" borderId="0" xfId="4" applyFill="1" applyAlignment="1">
      <alignment horizontal="center" vertical="center"/>
    </xf>
    <xf numFmtId="0" fontId="1" fillId="7558" borderId="0" xfId="4" applyFill="1" applyAlignment="1">
      <alignment horizontal="center" vertical="center"/>
    </xf>
    <xf numFmtId="0" fontId="1" fillId="7559" borderId="0" xfId="4" applyFill="1" applyAlignment="1">
      <alignment horizontal="center" vertical="center"/>
    </xf>
    <xf numFmtId="0" fontId="1" fillId="7560" borderId="0" xfId="4" applyFill="1" applyAlignment="1">
      <alignment horizontal="center" vertical="center"/>
    </xf>
    <xf numFmtId="0" fontId="1" fillId="7561" borderId="0" xfId="4" applyFill="1" applyAlignment="1">
      <alignment horizontal="center" vertical="center"/>
    </xf>
    <xf numFmtId="0" fontId="1" fillId="7562" borderId="0" xfId="4" applyFill="1" applyAlignment="1">
      <alignment horizontal="center" vertical="center"/>
    </xf>
    <xf numFmtId="0" fontId="1" fillId="7563" borderId="0" xfId="4" applyFill="1" applyAlignment="1">
      <alignment horizontal="center" vertical="center"/>
    </xf>
    <xf numFmtId="0" fontId="1" fillId="7564" borderId="0" xfId="4" applyFill="1" applyAlignment="1">
      <alignment horizontal="center" vertical="center"/>
    </xf>
    <xf numFmtId="0" fontId="1" fillId="7565" borderId="0" xfId="4" applyFill="1" applyAlignment="1">
      <alignment horizontal="center" vertical="center"/>
    </xf>
    <xf numFmtId="0" fontId="1" fillId="7566" borderId="0" xfId="4" applyFill="1" applyAlignment="1">
      <alignment horizontal="center" vertical="center"/>
    </xf>
    <xf numFmtId="0" fontId="1" fillId="7567" borderId="0" xfId="4" applyFill="1" applyAlignment="1">
      <alignment horizontal="center" vertical="center"/>
    </xf>
    <xf numFmtId="0" fontId="1" fillId="7568" borderId="0" xfId="4" applyFill="1" applyAlignment="1">
      <alignment horizontal="center" vertical="center"/>
    </xf>
    <xf numFmtId="0" fontId="1" fillId="7569" borderId="0" xfId="4" applyFill="1" applyAlignment="1">
      <alignment horizontal="center" vertical="center"/>
    </xf>
    <xf numFmtId="0" fontId="1" fillId="7570" borderId="0" xfId="4" applyFill="1" applyAlignment="1">
      <alignment horizontal="center" vertical="center"/>
    </xf>
    <xf numFmtId="0" fontId="1" fillId="7571" borderId="0" xfId="4" applyFill="1" applyAlignment="1">
      <alignment horizontal="center" vertical="center"/>
    </xf>
    <xf numFmtId="0" fontId="1" fillId="7572" borderId="0" xfId="4" applyFill="1" applyAlignment="1">
      <alignment horizontal="center" vertical="center"/>
    </xf>
    <xf numFmtId="0" fontId="1" fillId="7573" borderId="0" xfId="4" applyFill="1" applyAlignment="1">
      <alignment horizontal="center" vertical="center"/>
    </xf>
    <xf numFmtId="0" fontId="1" fillId="7574" borderId="0" xfId="4" applyFill="1" applyAlignment="1">
      <alignment horizontal="center" vertical="center"/>
    </xf>
    <xf numFmtId="0" fontId="1" fillId="7575" borderId="0" xfId="4" applyFill="1" applyAlignment="1">
      <alignment horizontal="center" vertical="center"/>
    </xf>
    <xf numFmtId="0" fontId="1" fillId="7576" borderId="0" xfId="4" applyFill="1" applyAlignment="1">
      <alignment horizontal="center" vertical="center"/>
    </xf>
    <xf numFmtId="0" fontId="1" fillId="7577" borderId="0" xfId="4" applyFill="1" applyAlignment="1">
      <alignment horizontal="center" vertical="center"/>
    </xf>
    <xf numFmtId="0" fontId="1" fillId="7578" borderId="0" xfId="4" applyFill="1" applyAlignment="1">
      <alignment horizontal="center" vertical="center"/>
    </xf>
    <xf numFmtId="0" fontId="1" fillId="7579" borderId="0" xfId="4" applyFill="1" applyAlignment="1">
      <alignment horizontal="center" vertical="center"/>
    </xf>
    <xf numFmtId="0" fontId="1" fillId="7580" borderId="0" xfId="4" applyFill="1" applyAlignment="1">
      <alignment horizontal="center" vertical="center"/>
    </xf>
    <xf numFmtId="0" fontId="1" fillId="7581" borderId="0" xfId="4" applyFill="1" applyAlignment="1">
      <alignment horizontal="center" vertical="center"/>
    </xf>
    <xf numFmtId="0" fontId="1" fillId="7582" borderId="0" xfId="4" applyFill="1" applyAlignment="1">
      <alignment horizontal="center" vertical="center"/>
    </xf>
    <xf numFmtId="0" fontId="1" fillId="7583" borderId="0" xfId="4" applyFill="1" applyAlignment="1">
      <alignment horizontal="center" vertical="center"/>
    </xf>
    <xf numFmtId="0" fontId="1" fillId="7584" borderId="0" xfId="4" applyFill="1" applyAlignment="1">
      <alignment horizontal="left" vertical="center"/>
    </xf>
    <xf numFmtId="0" fontId="1" fillId="7585" borderId="0" xfId="4" applyFill="1" applyAlignment="1">
      <alignment horizontal="center" vertical="center"/>
    </xf>
    <xf numFmtId="0" fontId="1" fillId="7586" borderId="0" xfId="4" applyFill="1" applyAlignment="1">
      <alignment horizontal="center" vertical="center"/>
    </xf>
    <xf numFmtId="0" fontId="1" fillId="7587" borderId="0" xfId="4" applyFill="1" applyAlignment="1">
      <alignment horizontal="center" vertical="center"/>
    </xf>
    <xf numFmtId="0" fontId="1" fillId="7588" borderId="0" xfId="4" applyFill="1" applyAlignment="1">
      <alignment horizontal="center" vertical="center"/>
    </xf>
    <xf numFmtId="0" fontId="1" fillId="7589" borderId="0" xfId="4" applyFill="1" applyAlignment="1">
      <alignment horizontal="center" vertical="center"/>
    </xf>
    <xf numFmtId="0" fontId="1" fillId="7590" borderId="0" xfId="4" applyFill="1" applyAlignment="1">
      <alignment horizontal="center" vertical="center"/>
    </xf>
    <xf numFmtId="0" fontId="1" fillId="7591" borderId="0" xfId="4" applyFill="1" applyAlignment="1">
      <alignment horizontal="center" vertical="center"/>
    </xf>
    <xf numFmtId="0" fontId="1" fillId="7592" borderId="0" xfId="4" applyFill="1" applyAlignment="1">
      <alignment horizontal="center" vertical="center"/>
    </xf>
    <xf numFmtId="0" fontId="1" fillId="7593" borderId="0" xfId="4" applyFill="1" applyAlignment="1">
      <alignment horizontal="center" vertical="center"/>
    </xf>
    <xf numFmtId="0" fontId="1" fillId="7594" borderId="0" xfId="4" applyFill="1" applyAlignment="1">
      <alignment horizontal="center" vertical="center"/>
    </xf>
    <xf numFmtId="0" fontId="1" fillId="7595" borderId="0" xfId="4" applyFill="1" applyAlignment="1">
      <alignment horizontal="center" vertical="center"/>
    </xf>
    <xf numFmtId="0" fontId="1" fillId="7596" borderId="0" xfId="4" applyFill="1" applyAlignment="1">
      <alignment horizontal="center" vertical="center"/>
    </xf>
    <xf numFmtId="0" fontId="1" fillId="7597" borderId="0" xfId="4" applyFill="1" applyAlignment="1">
      <alignment horizontal="center" vertical="center"/>
    </xf>
    <xf numFmtId="0" fontId="1" fillId="7598" borderId="0" xfId="4" applyFill="1" applyAlignment="1">
      <alignment horizontal="center" vertical="center"/>
    </xf>
    <xf numFmtId="0" fontId="1" fillId="7599" borderId="0" xfId="4" applyFill="1" applyAlignment="1">
      <alignment horizontal="center" vertical="center"/>
    </xf>
    <xf numFmtId="0" fontId="1" fillId="7600" borderId="0" xfId="4" applyFill="1" applyAlignment="1">
      <alignment horizontal="center" vertical="center"/>
    </xf>
    <xf numFmtId="0" fontId="1" fillId="7601" borderId="0" xfId="4" applyFill="1" applyAlignment="1">
      <alignment horizontal="center" vertical="center"/>
    </xf>
    <xf numFmtId="0" fontId="1" fillId="7602" borderId="0" xfId="4" applyFill="1" applyAlignment="1">
      <alignment horizontal="center" vertical="center"/>
    </xf>
    <xf numFmtId="0" fontId="1" fillId="7603" borderId="0" xfId="4" applyFill="1" applyAlignment="1">
      <alignment horizontal="center" vertical="center"/>
    </xf>
    <xf numFmtId="0" fontId="1" fillId="7604" borderId="0" xfId="4" applyFill="1" applyAlignment="1">
      <alignment horizontal="center" vertical="center"/>
    </xf>
    <xf numFmtId="0" fontId="1" fillId="7605" borderId="0" xfId="4" applyFill="1" applyAlignment="1">
      <alignment horizontal="center" vertical="center"/>
    </xf>
    <xf numFmtId="0" fontId="1" fillId="7172" borderId="0" xfId="4" applyFill="1" applyAlignment="1">
      <alignment horizontal="center" vertical="center"/>
    </xf>
    <xf numFmtId="0" fontId="1" fillId="7606" borderId="0" xfId="4" applyFill="1" applyAlignment="1">
      <alignment horizontal="center" vertical="center"/>
    </xf>
    <xf numFmtId="0" fontId="1" fillId="7607" borderId="0" xfId="4" applyFill="1" applyAlignment="1">
      <alignment horizontal="center" vertical="center"/>
    </xf>
    <xf numFmtId="0" fontId="1" fillId="7608" borderId="0" xfId="4" applyFill="1" applyAlignment="1">
      <alignment horizontal="center" vertical="center"/>
    </xf>
    <xf numFmtId="0" fontId="1" fillId="7609" borderId="0" xfId="4" applyFill="1" applyAlignment="1">
      <alignment horizontal="center" vertical="center"/>
    </xf>
    <xf numFmtId="0" fontId="1" fillId="7610" borderId="0" xfId="4" applyFill="1" applyAlignment="1">
      <alignment horizontal="center" vertical="center"/>
    </xf>
    <xf numFmtId="0" fontId="1" fillId="7611" borderId="0" xfId="4" applyFill="1" applyAlignment="1">
      <alignment horizontal="center" vertical="center"/>
    </xf>
    <xf numFmtId="0" fontId="1" fillId="7612" borderId="0" xfId="4" applyFill="1" applyAlignment="1">
      <alignment horizontal="center" vertical="center"/>
    </xf>
    <xf numFmtId="0" fontId="1" fillId="7613" borderId="0" xfId="4" applyFill="1" applyAlignment="1">
      <alignment horizontal="center" vertical="center"/>
    </xf>
    <xf numFmtId="0" fontId="1" fillId="7614" borderId="0" xfId="4" applyFill="1" applyAlignment="1">
      <alignment horizontal="center" vertical="center"/>
    </xf>
    <xf numFmtId="0" fontId="1" fillId="7615" borderId="0" xfId="4" applyFill="1" applyAlignment="1">
      <alignment horizontal="center" vertical="center"/>
    </xf>
    <xf numFmtId="0" fontId="1" fillId="7616" borderId="0" xfId="4" applyFill="1" applyAlignment="1">
      <alignment horizontal="center" vertical="center"/>
    </xf>
    <xf numFmtId="0" fontId="1" fillId="7617" borderId="0" xfId="4" applyFill="1" applyAlignment="1">
      <alignment horizontal="center" vertical="center"/>
    </xf>
    <xf numFmtId="0" fontId="1" fillId="7618" borderId="0" xfId="4" applyFill="1" applyAlignment="1">
      <alignment horizontal="center" vertical="center"/>
    </xf>
    <xf numFmtId="0" fontId="1" fillId="7619" borderId="0" xfId="4" applyFill="1" applyAlignment="1">
      <alignment horizontal="center" vertical="center"/>
    </xf>
    <xf numFmtId="0" fontId="1" fillId="7620" borderId="0" xfId="4" applyFill="1" applyAlignment="1">
      <alignment horizontal="center" vertical="center"/>
    </xf>
    <xf numFmtId="0" fontId="1" fillId="7621" borderId="0" xfId="4" applyFill="1" applyAlignment="1">
      <alignment horizontal="center" vertical="center"/>
    </xf>
    <xf numFmtId="0" fontId="1" fillId="7622" borderId="0" xfId="4" applyFill="1" applyAlignment="1">
      <alignment horizontal="center" vertical="center"/>
    </xf>
    <xf numFmtId="0" fontId="1" fillId="7623" borderId="0" xfId="4" applyFill="1" applyAlignment="1">
      <alignment horizontal="center" vertical="center"/>
    </xf>
    <xf numFmtId="0" fontId="1" fillId="7624" borderId="0" xfId="4" applyFill="1" applyAlignment="1">
      <alignment horizontal="center" vertical="center"/>
    </xf>
    <xf numFmtId="0" fontId="1" fillId="7625" borderId="0" xfId="4" applyFill="1" applyAlignment="1">
      <alignment horizontal="center" vertical="center"/>
    </xf>
    <xf numFmtId="0" fontId="1" fillId="7626" borderId="0" xfId="4" applyFill="1" applyAlignment="1">
      <alignment horizontal="center" vertical="center"/>
    </xf>
    <xf numFmtId="0" fontId="1" fillId="7627" borderId="0" xfId="4" applyFill="1" applyAlignment="1">
      <alignment horizontal="center" vertical="center"/>
    </xf>
    <xf numFmtId="0" fontId="1" fillId="7628" borderId="0" xfId="4" applyFill="1" applyAlignment="1">
      <alignment horizontal="center" vertical="center"/>
    </xf>
    <xf numFmtId="0" fontId="1" fillId="7629" borderId="0" xfId="4" applyFill="1" applyAlignment="1">
      <alignment horizontal="center" vertical="center"/>
    </xf>
    <xf numFmtId="0" fontId="1" fillId="7630" borderId="0" xfId="4" applyFill="1" applyAlignment="1">
      <alignment horizontal="center" vertical="center"/>
    </xf>
    <xf numFmtId="0" fontId="1" fillId="7631" borderId="0" xfId="4" applyFill="1" applyAlignment="1">
      <alignment horizontal="center" vertical="center"/>
    </xf>
    <xf numFmtId="0" fontId="1" fillId="7632" borderId="0" xfId="4" applyFill="1" applyAlignment="1">
      <alignment horizontal="center" vertical="center"/>
    </xf>
    <xf numFmtId="0" fontId="1" fillId="7633" borderId="0" xfId="4" applyFill="1" applyAlignment="1">
      <alignment horizontal="center" vertical="center"/>
    </xf>
    <xf numFmtId="0" fontId="1" fillId="7634" borderId="0" xfId="4" applyFill="1" applyAlignment="1">
      <alignment horizontal="center" vertical="center"/>
    </xf>
    <xf numFmtId="0" fontId="1" fillId="7635" borderId="0" xfId="4" applyFill="1" applyAlignment="1">
      <alignment horizontal="center" vertical="center"/>
    </xf>
    <xf numFmtId="0" fontId="1" fillId="7636" borderId="0" xfId="4" applyFill="1" applyAlignment="1">
      <alignment horizontal="center" vertical="center"/>
    </xf>
    <xf numFmtId="0" fontId="1" fillId="7637" borderId="0" xfId="4" applyFill="1" applyAlignment="1">
      <alignment horizontal="center" vertical="center"/>
    </xf>
    <xf numFmtId="0" fontId="1" fillId="7638" borderId="0" xfId="4" applyFill="1" applyAlignment="1">
      <alignment horizontal="center" vertical="center"/>
    </xf>
    <xf numFmtId="0" fontId="1" fillId="7639" borderId="0" xfId="4" applyFill="1" applyAlignment="1">
      <alignment horizontal="left" vertical="center"/>
    </xf>
    <xf numFmtId="0" fontId="1" fillId="7640" borderId="0" xfId="4" applyFill="1" applyAlignment="1">
      <alignment horizontal="center" vertical="center"/>
    </xf>
    <xf numFmtId="0" fontId="1" fillId="7641" borderId="0" xfId="4" applyFill="1" applyAlignment="1">
      <alignment horizontal="center" vertical="center"/>
    </xf>
    <xf numFmtId="0" fontId="1" fillId="7642" borderId="0" xfId="4" applyFill="1" applyAlignment="1">
      <alignment horizontal="center" vertical="center"/>
    </xf>
    <xf numFmtId="0" fontId="1" fillId="7643" borderId="0" xfId="4" applyFill="1" applyAlignment="1">
      <alignment horizontal="center" vertical="center"/>
    </xf>
    <xf numFmtId="0" fontId="1" fillId="7644" borderId="0" xfId="4" applyFill="1" applyAlignment="1">
      <alignment horizontal="center" vertical="center"/>
    </xf>
    <xf numFmtId="0" fontId="1" fillId="7645" borderId="0" xfId="4" applyFill="1" applyAlignment="1">
      <alignment horizontal="center" vertical="center"/>
    </xf>
    <xf numFmtId="0" fontId="1" fillId="7646" borderId="0" xfId="4" applyFill="1" applyAlignment="1">
      <alignment horizontal="center" vertical="center"/>
    </xf>
    <xf numFmtId="0" fontId="1" fillId="7647" borderId="0" xfId="4" applyFill="1" applyAlignment="1">
      <alignment horizontal="center" vertical="center"/>
    </xf>
    <xf numFmtId="0" fontId="1" fillId="7648" borderId="0" xfId="4" applyFill="1" applyAlignment="1">
      <alignment horizontal="center" vertical="center"/>
    </xf>
    <xf numFmtId="0" fontId="1" fillId="7649" borderId="0" xfId="4" applyFill="1" applyAlignment="1">
      <alignment horizontal="center" vertical="center"/>
    </xf>
    <xf numFmtId="0" fontId="1" fillId="7650" borderId="0" xfId="4" applyFill="1" applyAlignment="1">
      <alignment horizontal="center" vertical="center"/>
    </xf>
    <xf numFmtId="0" fontId="1" fillId="7651" borderId="0" xfId="4" applyFill="1" applyAlignment="1">
      <alignment horizontal="center" vertical="center"/>
    </xf>
    <xf numFmtId="0" fontId="1" fillId="7652" borderId="0" xfId="4" applyFill="1" applyAlignment="1">
      <alignment horizontal="center" vertical="center"/>
    </xf>
    <xf numFmtId="0" fontId="1" fillId="7653" borderId="0" xfId="4" applyFill="1" applyAlignment="1">
      <alignment horizontal="center" vertical="center"/>
    </xf>
    <xf numFmtId="0" fontId="1" fillId="7654" borderId="0" xfId="4" applyFill="1" applyAlignment="1">
      <alignment horizontal="center" vertical="center"/>
    </xf>
    <xf numFmtId="0" fontId="1" fillId="7655" borderId="0" xfId="4" applyFill="1" applyAlignment="1">
      <alignment horizontal="center" vertical="center"/>
    </xf>
    <xf numFmtId="0" fontId="1" fillId="7656" borderId="0" xfId="4" applyFill="1" applyAlignment="1">
      <alignment horizontal="center" vertical="center"/>
    </xf>
    <xf numFmtId="0" fontId="1" fillId="7657" borderId="0" xfId="4" applyFill="1" applyAlignment="1">
      <alignment horizontal="center" vertical="center"/>
    </xf>
    <xf numFmtId="0" fontId="1" fillId="7658" borderId="0" xfId="4" applyFill="1" applyAlignment="1">
      <alignment horizontal="center" vertical="center"/>
    </xf>
    <xf numFmtId="0" fontId="1" fillId="7659" borderId="0" xfId="4" applyFill="1" applyAlignment="1">
      <alignment horizontal="center" vertical="center"/>
    </xf>
    <xf numFmtId="0" fontId="1" fillId="7660" borderId="0" xfId="4" applyFill="1" applyAlignment="1">
      <alignment horizontal="center" vertical="center"/>
    </xf>
    <xf numFmtId="0" fontId="1" fillId="7661" borderId="0" xfId="4" applyFill="1" applyAlignment="1">
      <alignment horizontal="center" vertical="center"/>
    </xf>
    <xf numFmtId="0" fontId="1" fillId="7662" borderId="0" xfId="4" applyFill="1" applyAlignment="1">
      <alignment horizontal="center" vertical="center"/>
    </xf>
    <xf numFmtId="0" fontId="1" fillId="7663" borderId="0" xfId="4" applyFill="1" applyAlignment="1">
      <alignment horizontal="center" vertical="center"/>
    </xf>
    <xf numFmtId="0" fontId="1" fillId="7664" borderId="0" xfId="4" applyFill="1" applyAlignment="1">
      <alignment horizontal="center" vertical="center"/>
    </xf>
    <xf numFmtId="0" fontId="1" fillId="7665" borderId="0" xfId="4" applyFill="1" applyAlignment="1">
      <alignment horizontal="center" vertical="center"/>
    </xf>
    <xf numFmtId="0" fontId="1" fillId="7666" borderId="0" xfId="4" applyFill="1" applyAlignment="1">
      <alignment horizontal="center" vertical="center"/>
    </xf>
    <xf numFmtId="0" fontId="1" fillId="7667" borderId="0" xfId="4" applyFill="1" applyAlignment="1">
      <alignment horizontal="center" vertical="center"/>
    </xf>
    <xf numFmtId="0" fontId="1" fillId="7668" borderId="0" xfId="4" applyFill="1" applyAlignment="1">
      <alignment horizontal="center" vertical="center"/>
    </xf>
    <xf numFmtId="0" fontId="1" fillId="7669" borderId="0" xfId="4" applyFill="1" applyAlignment="1">
      <alignment horizontal="center" vertical="center"/>
    </xf>
    <xf numFmtId="0" fontId="1" fillId="7670" borderId="0" xfId="4" applyFill="1" applyAlignment="1">
      <alignment horizontal="center" vertical="center"/>
    </xf>
    <xf numFmtId="0" fontId="1" fillId="7671" borderId="0" xfId="4" applyFill="1" applyAlignment="1">
      <alignment horizontal="left" vertical="center"/>
    </xf>
    <xf numFmtId="0" fontId="1" fillId="7672" borderId="0" xfId="4" applyFill="1" applyAlignment="1">
      <alignment horizontal="center" vertical="center"/>
    </xf>
    <xf numFmtId="0" fontId="1" fillId="7673" borderId="0" xfId="4" applyFill="1" applyAlignment="1">
      <alignment horizontal="center" vertical="center"/>
    </xf>
    <xf numFmtId="0" fontId="1" fillId="7674" borderId="0" xfId="4" applyFill="1" applyAlignment="1">
      <alignment horizontal="center" vertical="center"/>
    </xf>
    <xf numFmtId="0" fontId="1" fillId="7675" borderId="0" xfId="4" applyFill="1" applyAlignment="1">
      <alignment horizontal="center" vertical="center"/>
    </xf>
    <xf numFmtId="0" fontId="1" fillId="7676" borderId="0" xfId="4" applyFill="1" applyAlignment="1">
      <alignment horizontal="center" vertical="center"/>
    </xf>
    <xf numFmtId="0" fontId="1" fillId="7677" borderId="0" xfId="4" applyFill="1" applyAlignment="1">
      <alignment horizontal="center" vertical="center"/>
    </xf>
    <xf numFmtId="0" fontId="1" fillId="7678" borderId="0" xfId="4" applyFill="1" applyAlignment="1">
      <alignment horizontal="center" vertical="center"/>
    </xf>
    <xf numFmtId="0" fontId="1" fillId="7679" borderId="0" xfId="4" applyFill="1" applyAlignment="1">
      <alignment horizontal="center" vertical="center"/>
    </xf>
    <xf numFmtId="0" fontId="1" fillId="7680" borderId="0" xfId="4" applyFill="1" applyAlignment="1">
      <alignment horizontal="center" vertical="center"/>
    </xf>
    <xf numFmtId="0" fontId="1" fillId="7681" borderId="0" xfId="4" applyFill="1" applyAlignment="1">
      <alignment horizontal="center" vertical="center"/>
    </xf>
    <xf numFmtId="0" fontId="1" fillId="7682" borderId="0" xfId="4" applyFill="1" applyAlignment="1">
      <alignment horizontal="center" vertical="center"/>
    </xf>
    <xf numFmtId="0" fontId="1" fillId="7683" borderId="0" xfId="4" applyFill="1" applyAlignment="1">
      <alignment horizontal="center" vertical="center"/>
    </xf>
    <xf numFmtId="0" fontId="1" fillId="7684" borderId="0" xfId="4" applyFill="1" applyAlignment="1">
      <alignment horizontal="center" vertical="center"/>
    </xf>
    <xf numFmtId="0" fontId="1" fillId="7685" borderId="0" xfId="4" applyFill="1" applyAlignment="1">
      <alignment horizontal="center" vertical="center"/>
    </xf>
    <xf numFmtId="0" fontId="1" fillId="7686" borderId="0" xfId="4" applyFill="1" applyAlignment="1">
      <alignment horizontal="center" vertical="center"/>
    </xf>
    <xf numFmtId="0" fontId="1" fillId="7687" borderId="0" xfId="4" applyFill="1" applyAlignment="1">
      <alignment horizontal="center" vertical="center"/>
    </xf>
    <xf numFmtId="0" fontId="1" fillId="7688" borderId="0" xfId="4" applyFill="1" applyAlignment="1">
      <alignment horizontal="center" vertical="center"/>
    </xf>
    <xf numFmtId="0" fontId="1" fillId="7689" borderId="0" xfId="4" applyFill="1" applyAlignment="1">
      <alignment horizontal="center" vertical="center"/>
    </xf>
    <xf numFmtId="0" fontId="1" fillId="7690" borderId="0" xfId="4" applyFill="1" applyAlignment="1">
      <alignment horizontal="center" vertical="center"/>
    </xf>
    <xf numFmtId="0" fontId="1" fillId="7691" borderId="0" xfId="4" applyFill="1" applyAlignment="1">
      <alignment horizontal="center" vertical="center"/>
    </xf>
    <xf numFmtId="0" fontId="1" fillId="7434" borderId="0" xfId="4" applyFill="1" applyAlignment="1">
      <alignment horizontal="center" vertical="center"/>
    </xf>
    <xf numFmtId="0" fontId="1" fillId="7692" borderId="0" xfId="4" applyFill="1" applyAlignment="1">
      <alignment horizontal="center" vertical="center"/>
    </xf>
    <xf numFmtId="0" fontId="1" fillId="7693" borderId="0" xfId="4" applyFill="1" applyAlignment="1">
      <alignment horizontal="center" vertical="center"/>
    </xf>
    <xf numFmtId="0" fontId="1" fillId="7694" borderId="0" xfId="4" applyFill="1" applyAlignment="1">
      <alignment horizontal="center" vertical="center"/>
    </xf>
    <xf numFmtId="0" fontId="1" fillId="7695" borderId="0" xfId="4" applyFill="1" applyAlignment="1">
      <alignment horizontal="center" vertical="center"/>
    </xf>
    <xf numFmtId="0" fontId="1" fillId="7696" borderId="0" xfId="4" applyFill="1" applyAlignment="1">
      <alignment horizontal="center" vertical="center"/>
    </xf>
    <xf numFmtId="0" fontId="1" fillId="7697" borderId="0" xfId="4" applyFill="1" applyAlignment="1">
      <alignment horizontal="center" vertical="center"/>
    </xf>
    <xf numFmtId="0" fontId="1" fillId="7698" borderId="0" xfId="4" applyFill="1" applyAlignment="1">
      <alignment horizontal="center" vertical="center"/>
    </xf>
    <xf numFmtId="0" fontId="1" fillId="7699" borderId="0" xfId="4" applyFill="1" applyAlignment="1">
      <alignment horizontal="center" vertical="center"/>
    </xf>
    <xf numFmtId="0" fontId="1" fillId="7700" borderId="0" xfId="4" applyFill="1" applyAlignment="1">
      <alignment horizontal="center" vertical="center"/>
    </xf>
    <xf numFmtId="0" fontId="1" fillId="7701" borderId="0" xfId="4" applyFill="1" applyAlignment="1">
      <alignment horizontal="center" vertical="center"/>
    </xf>
    <xf numFmtId="0" fontId="1" fillId="7702" borderId="0" xfId="4" applyFill="1" applyAlignment="1">
      <alignment horizontal="center" vertical="center"/>
    </xf>
    <xf numFmtId="0" fontId="1" fillId="7703" borderId="0" xfId="4" applyFill="1" applyAlignment="1">
      <alignment horizontal="center" vertical="center"/>
    </xf>
    <xf numFmtId="0" fontId="1" fillId="7704" borderId="0" xfId="4" applyFill="1" applyAlignment="1">
      <alignment horizontal="center" vertical="center"/>
    </xf>
    <xf numFmtId="0" fontId="1" fillId="7705" borderId="0" xfId="4" applyFill="1" applyAlignment="1">
      <alignment horizontal="center" vertical="center"/>
    </xf>
    <xf numFmtId="0" fontId="1" fillId="7706" borderId="0" xfId="4" applyFill="1" applyAlignment="1">
      <alignment horizontal="center" vertical="center"/>
    </xf>
    <xf numFmtId="0" fontId="1" fillId="7707" borderId="0" xfId="4" applyFill="1" applyAlignment="1">
      <alignment horizontal="center" vertical="center"/>
    </xf>
    <xf numFmtId="0" fontId="1" fillId="7708" borderId="0" xfId="4" applyFill="1" applyAlignment="1">
      <alignment horizontal="center" vertical="center"/>
    </xf>
    <xf numFmtId="0" fontId="1" fillId="7709" borderId="0" xfId="4" applyFill="1" applyAlignment="1">
      <alignment horizontal="center" vertical="center"/>
    </xf>
    <xf numFmtId="0" fontId="1" fillId="7710" borderId="0" xfId="4" applyFill="1" applyAlignment="1">
      <alignment horizontal="center" vertical="center"/>
    </xf>
    <xf numFmtId="0" fontId="1" fillId="7711" borderId="0" xfId="4" applyFill="1" applyAlignment="1">
      <alignment horizontal="center" vertical="center"/>
    </xf>
    <xf numFmtId="0" fontId="1" fillId="7712" borderId="0" xfId="4" applyFill="1" applyAlignment="1">
      <alignment horizontal="center" vertical="center"/>
    </xf>
    <xf numFmtId="0" fontId="1" fillId="7713" borderId="0" xfId="4" applyFill="1" applyAlignment="1">
      <alignment horizontal="center" vertical="center"/>
    </xf>
    <xf numFmtId="0" fontId="1" fillId="7714" borderId="0" xfId="4" applyFill="1" applyAlignment="1">
      <alignment horizontal="center" vertical="center"/>
    </xf>
    <xf numFmtId="0" fontId="1" fillId="7715" borderId="0" xfId="4" applyFill="1" applyAlignment="1">
      <alignment horizontal="center" vertical="center"/>
    </xf>
    <xf numFmtId="0" fontId="1" fillId="7716" borderId="0" xfId="4" applyFill="1" applyAlignment="1">
      <alignment horizontal="center" vertical="center"/>
    </xf>
    <xf numFmtId="0" fontId="1" fillId="7717" borderId="0" xfId="4" applyFill="1" applyAlignment="1">
      <alignment horizontal="center" vertical="center"/>
    </xf>
    <xf numFmtId="0" fontId="1" fillId="7718" borderId="0" xfId="4" applyFill="1" applyAlignment="1">
      <alignment horizontal="center" vertical="center"/>
    </xf>
    <xf numFmtId="0" fontId="1" fillId="7719" borderId="0" xfId="4" applyFill="1" applyAlignment="1">
      <alignment horizontal="center" vertical="center"/>
    </xf>
    <xf numFmtId="0" fontId="1" fillId="7720" borderId="0" xfId="4" applyFill="1" applyAlignment="1">
      <alignment horizontal="center" vertical="center"/>
    </xf>
    <xf numFmtId="0" fontId="1" fillId="7721" borderId="0" xfId="4" applyFill="1" applyAlignment="1">
      <alignment horizontal="center" vertical="center"/>
    </xf>
    <xf numFmtId="0" fontId="1" fillId="7722" borderId="0" xfId="4" applyFill="1" applyAlignment="1">
      <alignment horizontal="left" vertical="center"/>
    </xf>
    <xf numFmtId="0" fontId="1" fillId="7723" borderId="0" xfId="4" applyFill="1" applyAlignment="1">
      <alignment horizontal="center" vertical="center"/>
    </xf>
    <xf numFmtId="0" fontId="1" fillId="7724" borderId="0" xfId="4" applyFill="1" applyAlignment="1">
      <alignment horizontal="center" vertical="center"/>
    </xf>
    <xf numFmtId="0" fontId="1" fillId="7725" borderId="0" xfId="4" applyFill="1" applyAlignment="1">
      <alignment horizontal="center" vertical="center"/>
    </xf>
    <xf numFmtId="0" fontId="1" fillId="7726" borderId="0" xfId="4" applyFill="1" applyAlignment="1">
      <alignment horizontal="center" vertical="center"/>
    </xf>
    <xf numFmtId="0" fontId="1" fillId="7727" borderId="0" xfId="4" applyFill="1" applyAlignment="1">
      <alignment horizontal="center" vertical="center"/>
    </xf>
    <xf numFmtId="0" fontId="1" fillId="7728" borderId="0" xfId="4" applyFill="1" applyAlignment="1">
      <alignment horizontal="center" vertical="center"/>
    </xf>
    <xf numFmtId="0" fontId="1" fillId="7729" borderId="0" xfId="4" applyFill="1" applyAlignment="1">
      <alignment horizontal="center" vertical="center"/>
    </xf>
    <xf numFmtId="0" fontId="1" fillId="7730" borderId="0" xfId="4" applyFill="1" applyAlignment="1">
      <alignment horizontal="center" vertical="center"/>
    </xf>
    <xf numFmtId="0" fontId="1" fillId="7731" borderId="0" xfId="4" applyFill="1" applyAlignment="1">
      <alignment horizontal="center" vertical="center"/>
    </xf>
    <xf numFmtId="0" fontId="1" fillId="7732" borderId="0" xfId="4" applyFill="1" applyAlignment="1">
      <alignment horizontal="center" vertical="center"/>
    </xf>
    <xf numFmtId="0" fontId="1" fillId="7733" borderId="0" xfId="4" applyFill="1" applyAlignment="1">
      <alignment horizontal="center" vertical="center"/>
    </xf>
    <xf numFmtId="0" fontId="1" fillId="7734" borderId="0" xfId="4" applyFill="1" applyAlignment="1">
      <alignment horizontal="center" vertical="center"/>
    </xf>
    <xf numFmtId="0" fontId="1" fillId="7735" borderId="0" xfId="4" applyFill="1" applyAlignment="1">
      <alignment horizontal="center" vertical="center"/>
    </xf>
    <xf numFmtId="0" fontId="1" fillId="7736" borderId="0" xfId="4" applyFill="1" applyAlignment="1">
      <alignment horizontal="center" vertical="center"/>
    </xf>
    <xf numFmtId="0" fontId="1" fillId="7737" borderId="0" xfId="4" applyFill="1" applyAlignment="1">
      <alignment horizontal="center" vertical="center"/>
    </xf>
    <xf numFmtId="0" fontId="1" fillId="7738" borderId="0" xfId="4" applyFill="1" applyAlignment="1">
      <alignment horizontal="center" vertical="center"/>
    </xf>
    <xf numFmtId="0" fontId="1" fillId="7739" borderId="0" xfId="4" applyFill="1" applyAlignment="1">
      <alignment horizontal="center" vertical="center"/>
    </xf>
    <xf numFmtId="0" fontId="1" fillId="7740" borderId="0" xfId="4" applyFill="1" applyAlignment="1">
      <alignment horizontal="center" vertical="center"/>
    </xf>
    <xf numFmtId="0" fontId="1" fillId="7741" borderId="0" xfId="4" applyFill="1" applyAlignment="1">
      <alignment horizontal="center" vertical="center"/>
    </xf>
    <xf numFmtId="0" fontId="1" fillId="7742" borderId="0" xfId="4" applyFill="1" applyAlignment="1">
      <alignment horizontal="center" vertical="center"/>
    </xf>
    <xf numFmtId="0" fontId="1" fillId="7743" borderId="0" xfId="4" applyFill="1" applyAlignment="1">
      <alignment horizontal="center" vertical="center"/>
    </xf>
    <xf numFmtId="0" fontId="1" fillId="7744" borderId="0" xfId="4" applyFill="1" applyAlignment="1">
      <alignment horizontal="center" vertical="center"/>
    </xf>
    <xf numFmtId="0" fontId="1" fillId="7745" borderId="0" xfId="4" applyFill="1" applyAlignment="1">
      <alignment horizontal="center" vertical="center"/>
    </xf>
    <xf numFmtId="0" fontId="1" fillId="7746" borderId="0" xfId="4" applyFill="1" applyAlignment="1">
      <alignment horizontal="center" vertical="center"/>
    </xf>
    <xf numFmtId="0" fontId="1" fillId="7747" borderId="0" xfId="4" applyFill="1" applyAlignment="1">
      <alignment horizontal="center" vertical="center"/>
    </xf>
    <xf numFmtId="0" fontId="1" fillId="7748" borderId="0" xfId="4" applyFill="1" applyAlignment="1">
      <alignment horizontal="center" vertical="center"/>
    </xf>
    <xf numFmtId="0" fontId="1" fillId="7749" borderId="0" xfId="4" applyFill="1" applyAlignment="1">
      <alignment horizontal="center" vertical="center"/>
    </xf>
    <xf numFmtId="0" fontId="1" fillId="7750" borderId="0" xfId="4" applyFill="1" applyAlignment="1">
      <alignment horizontal="center" vertical="center"/>
    </xf>
    <xf numFmtId="0" fontId="1" fillId="7751" borderId="0" xfId="4" applyFill="1" applyAlignment="1">
      <alignment horizontal="center" vertical="center"/>
    </xf>
    <xf numFmtId="0" fontId="1" fillId="7752" borderId="0" xfId="4" applyFill="1" applyAlignment="1">
      <alignment horizontal="center" vertical="center"/>
    </xf>
    <xf numFmtId="0" fontId="1" fillId="7753" borderId="0" xfId="4" applyFill="1" applyAlignment="1">
      <alignment horizontal="left" vertical="center"/>
    </xf>
    <xf numFmtId="0" fontId="1" fillId="7754" borderId="0" xfId="4" applyFill="1" applyAlignment="1">
      <alignment horizontal="center" vertical="center"/>
    </xf>
    <xf numFmtId="0" fontId="1" fillId="7755" borderId="0" xfId="4" applyFill="1" applyAlignment="1">
      <alignment horizontal="center" vertical="center"/>
    </xf>
    <xf numFmtId="0" fontId="1" fillId="7756" borderId="0" xfId="4" applyFill="1" applyAlignment="1">
      <alignment horizontal="center" vertical="center"/>
    </xf>
    <xf numFmtId="0" fontId="1" fillId="7757" borderId="0" xfId="4" applyFill="1" applyAlignment="1">
      <alignment horizontal="center" vertical="center"/>
    </xf>
    <xf numFmtId="0" fontId="1" fillId="7758" borderId="0" xfId="4" applyFill="1" applyAlignment="1">
      <alignment horizontal="center" vertical="center"/>
    </xf>
    <xf numFmtId="0" fontId="1" fillId="7759" borderId="0" xfId="4" applyFill="1" applyAlignment="1">
      <alignment horizontal="center" vertical="center"/>
    </xf>
    <xf numFmtId="0" fontId="1" fillId="7760" borderId="0" xfId="4" applyFill="1" applyAlignment="1">
      <alignment horizontal="center" vertical="center"/>
    </xf>
    <xf numFmtId="0" fontId="1" fillId="7761" borderId="0" xfId="4" applyFill="1" applyAlignment="1">
      <alignment horizontal="center" vertical="center"/>
    </xf>
    <xf numFmtId="0" fontId="1" fillId="7762" borderId="0" xfId="4" applyFill="1" applyAlignment="1">
      <alignment horizontal="center" vertical="center"/>
    </xf>
    <xf numFmtId="0" fontId="1" fillId="7763" borderId="0" xfId="4" applyFill="1" applyAlignment="1">
      <alignment horizontal="center" vertical="center"/>
    </xf>
    <xf numFmtId="0" fontId="1" fillId="7764" borderId="0" xfId="4" applyFill="1" applyAlignment="1">
      <alignment horizontal="center" vertical="center"/>
    </xf>
    <xf numFmtId="0" fontId="1" fillId="7765" borderId="0" xfId="4" applyFill="1" applyAlignment="1">
      <alignment horizontal="center" vertical="center"/>
    </xf>
    <xf numFmtId="0" fontId="1" fillId="7766" borderId="0" xfId="4" applyFill="1" applyAlignment="1">
      <alignment horizontal="center" vertical="center"/>
    </xf>
    <xf numFmtId="0" fontId="1" fillId="7767" borderId="0" xfId="4" applyFill="1" applyAlignment="1">
      <alignment horizontal="center" vertical="center"/>
    </xf>
    <xf numFmtId="0" fontId="1" fillId="7768" borderId="0" xfId="4" applyFill="1" applyAlignment="1">
      <alignment horizontal="center" vertical="center"/>
    </xf>
    <xf numFmtId="0" fontId="1" fillId="7769" borderId="0" xfId="4" applyFill="1" applyAlignment="1">
      <alignment horizontal="center" vertical="center"/>
    </xf>
    <xf numFmtId="0" fontId="1" fillId="7770" borderId="0" xfId="4" applyFill="1" applyAlignment="1">
      <alignment horizontal="center" vertical="center"/>
    </xf>
    <xf numFmtId="0" fontId="1" fillId="7771" borderId="0" xfId="4" applyFill="1" applyAlignment="1">
      <alignment horizontal="center" vertical="center"/>
    </xf>
    <xf numFmtId="0" fontId="1" fillId="7772" borderId="0" xfId="4" applyFill="1" applyAlignment="1">
      <alignment horizontal="center" vertical="center"/>
    </xf>
    <xf numFmtId="0" fontId="1" fillId="7773" borderId="0" xfId="4" applyFill="1" applyAlignment="1">
      <alignment horizontal="center" vertical="center"/>
    </xf>
    <xf numFmtId="0" fontId="1" fillId="7774" borderId="0" xfId="4" applyFill="1" applyAlignment="1">
      <alignment horizontal="center" vertical="center"/>
    </xf>
    <xf numFmtId="0" fontId="1" fillId="7775" borderId="0" xfId="4" applyFill="1" applyAlignment="1">
      <alignment horizontal="center" vertical="center"/>
    </xf>
    <xf numFmtId="0" fontId="1" fillId="7776" borderId="0" xfId="4" applyFill="1" applyAlignment="1">
      <alignment horizontal="center" vertical="center"/>
    </xf>
    <xf numFmtId="0" fontId="1" fillId="7777" borderId="0" xfId="4" applyFill="1" applyAlignment="1">
      <alignment horizontal="center" vertical="center"/>
    </xf>
    <xf numFmtId="0" fontId="1" fillId="7778" borderId="0" xfId="4" applyFill="1" applyAlignment="1">
      <alignment horizontal="center" vertical="center"/>
    </xf>
    <xf numFmtId="0" fontId="1" fillId="7779" borderId="0" xfId="4" applyFill="1" applyAlignment="1">
      <alignment horizontal="center" vertical="center"/>
    </xf>
    <xf numFmtId="0" fontId="1" fillId="7780" borderId="0" xfId="4" applyFill="1" applyAlignment="1">
      <alignment horizontal="center" vertical="center"/>
    </xf>
    <xf numFmtId="0" fontId="1" fillId="7781" borderId="0" xfId="4" applyFill="1" applyAlignment="1">
      <alignment horizontal="center" vertical="center"/>
    </xf>
    <xf numFmtId="0" fontId="1" fillId="7782" borderId="0" xfId="4" applyFill="1" applyAlignment="1">
      <alignment horizontal="center" vertical="center"/>
    </xf>
    <xf numFmtId="0" fontId="1" fillId="7783" borderId="0" xfId="4" applyFill="1" applyAlignment="1">
      <alignment horizontal="center" vertical="center"/>
    </xf>
    <xf numFmtId="0" fontId="1" fillId="7784" borderId="0" xfId="4" applyFill="1" applyAlignment="1">
      <alignment horizontal="center" vertical="center"/>
    </xf>
    <xf numFmtId="0" fontId="1" fillId="7785" borderId="0" xfId="4" applyFill="1" applyAlignment="1">
      <alignment horizontal="center" vertical="center"/>
    </xf>
    <xf numFmtId="0" fontId="1" fillId="7786" borderId="0" xfId="4" applyFill="1" applyAlignment="1">
      <alignment horizontal="center" vertical="center"/>
    </xf>
    <xf numFmtId="0" fontId="1" fillId="7787" borderId="0" xfId="4" applyFill="1" applyAlignment="1">
      <alignment horizontal="center" vertical="center"/>
    </xf>
    <xf numFmtId="0" fontId="1" fillId="7788" borderId="0" xfId="4" applyFill="1" applyAlignment="1">
      <alignment horizontal="center" vertical="center"/>
    </xf>
    <xf numFmtId="0" fontId="1" fillId="7789" borderId="0" xfId="4" applyFill="1" applyAlignment="1">
      <alignment horizontal="center" vertical="center"/>
    </xf>
    <xf numFmtId="0" fontId="1" fillId="7790" borderId="0" xfId="4" applyFill="1" applyAlignment="1">
      <alignment horizontal="center" vertical="center"/>
    </xf>
    <xf numFmtId="0" fontId="1" fillId="7791" borderId="0" xfId="4" applyFill="1" applyAlignment="1">
      <alignment horizontal="center" vertical="center"/>
    </xf>
    <xf numFmtId="0" fontId="1" fillId="7792" borderId="0" xfId="4" applyFill="1" applyAlignment="1">
      <alignment horizontal="center" vertical="center"/>
    </xf>
    <xf numFmtId="0" fontId="1" fillId="7793" borderId="0" xfId="4" applyFill="1" applyAlignment="1">
      <alignment horizontal="center" vertical="center"/>
    </xf>
    <xf numFmtId="0" fontId="1" fillId="7794" borderId="0" xfId="4" applyFill="1" applyAlignment="1">
      <alignment horizontal="center" vertical="center"/>
    </xf>
    <xf numFmtId="0" fontId="1" fillId="7795" borderId="0" xfId="4" applyFill="1" applyAlignment="1">
      <alignment horizontal="center" vertical="center"/>
    </xf>
    <xf numFmtId="0" fontId="1" fillId="7796" borderId="0" xfId="4" applyFill="1" applyAlignment="1">
      <alignment horizontal="center" vertical="center"/>
    </xf>
    <xf numFmtId="0" fontId="1" fillId="7797" borderId="0" xfId="4" applyFill="1" applyAlignment="1">
      <alignment horizontal="center" vertical="center"/>
    </xf>
    <xf numFmtId="0" fontId="1" fillId="7798" borderId="0" xfId="4" applyFill="1" applyAlignment="1">
      <alignment horizontal="center" vertical="center"/>
    </xf>
    <xf numFmtId="0" fontId="1" fillId="7799" borderId="0" xfId="4" applyFill="1" applyAlignment="1">
      <alignment horizontal="center" vertical="center"/>
    </xf>
    <xf numFmtId="0" fontId="1" fillId="7800" borderId="0" xfId="4" applyFill="1" applyAlignment="1">
      <alignment horizontal="center" vertical="center"/>
    </xf>
    <xf numFmtId="0" fontId="1" fillId="7801" borderId="0" xfId="4" applyFill="1" applyAlignment="1">
      <alignment horizontal="center" vertical="center"/>
    </xf>
    <xf numFmtId="0" fontId="1" fillId="7802" borderId="0" xfId="4" applyFill="1" applyAlignment="1">
      <alignment horizontal="center" vertical="center"/>
    </xf>
    <xf numFmtId="0" fontId="1" fillId="7803" borderId="0" xfId="4" applyFill="1" applyAlignment="1">
      <alignment horizontal="left" vertical="center"/>
    </xf>
    <xf numFmtId="0" fontId="1" fillId="7804" borderId="0" xfId="4" applyFill="1" applyAlignment="1">
      <alignment horizontal="center" vertical="center"/>
    </xf>
    <xf numFmtId="0" fontId="1" fillId="7805" borderId="0" xfId="4" applyFill="1" applyAlignment="1">
      <alignment horizontal="center" vertical="center"/>
    </xf>
    <xf numFmtId="0" fontId="1" fillId="7806" borderId="0" xfId="4" applyFill="1" applyAlignment="1">
      <alignment horizontal="center" vertical="center"/>
    </xf>
    <xf numFmtId="0" fontId="1" fillId="7807" borderId="0" xfId="4" applyFill="1" applyAlignment="1">
      <alignment horizontal="center" vertical="center"/>
    </xf>
    <xf numFmtId="0" fontId="1" fillId="7808" borderId="0" xfId="4" applyFill="1" applyAlignment="1">
      <alignment horizontal="center" vertical="center"/>
    </xf>
    <xf numFmtId="0" fontId="1" fillId="7809" borderId="0" xfId="4" applyFill="1" applyAlignment="1">
      <alignment horizontal="center" vertical="center"/>
    </xf>
    <xf numFmtId="0" fontId="1" fillId="7810" borderId="0" xfId="4" applyFill="1" applyAlignment="1">
      <alignment horizontal="center" vertical="center"/>
    </xf>
    <xf numFmtId="0" fontId="1" fillId="7811" borderId="0" xfId="4" applyFill="1" applyAlignment="1">
      <alignment horizontal="center" vertical="center"/>
    </xf>
    <xf numFmtId="0" fontId="1" fillId="7812" borderId="0" xfId="4" applyFill="1" applyAlignment="1">
      <alignment horizontal="center" vertical="center"/>
    </xf>
    <xf numFmtId="0" fontId="1" fillId="7813" borderId="0" xfId="4" applyFill="1" applyAlignment="1">
      <alignment horizontal="center" vertical="center"/>
    </xf>
    <xf numFmtId="0" fontId="1" fillId="7814" borderId="0" xfId="4" applyFill="1" applyAlignment="1">
      <alignment horizontal="center" vertical="center"/>
    </xf>
    <xf numFmtId="0" fontId="1" fillId="7815" borderId="0" xfId="4" applyFill="1" applyAlignment="1">
      <alignment horizontal="center" vertical="center"/>
    </xf>
    <xf numFmtId="0" fontId="1" fillId="7816" borderId="0" xfId="4" applyFill="1" applyAlignment="1">
      <alignment horizontal="center" vertical="center"/>
    </xf>
    <xf numFmtId="0" fontId="1" fillId="7817" borderId="0" xfId="4" applyFill="1" applyAlignment="1">
      <alignment horizontal="center" vertical="center"/>
    </xf>
    <xf numFmtId="0" fontId="1" fillId="7818" borderId="0" xfId="4" applyFill="1" applyAlignment="1">
      <alignment horizontal="center" vertical="center"/>
    </xf>
    <xf numFmtId="0" fontId="1" fillId="7819" borderId="0" xfId="4" applyFill="1" applyAlignment="1">
      <alignment horizontal="center" vertical="center"/>
    </xf>
    <xf numFmtId="0" fontId="1" fillId="7820" borderId="0" xfId="4" applyFill="1" applyAlignment="1">
      <alignment horizontal="center" vertical="center"/>
    </xf>
    <xf numFmtId="0" fontId="1" fillId="7821" borderId="0" xfId="4" applyFill="1" applyAlignment="1">
      <alignment horizontal="center" vertical="center"/>
    </xf>
    <xf numFmtId="0" fontId="1" fillId="7822" borderId="0" xfId="4" applyFill="1" applyAlignment="1">
      <alignment horizontal="center" vertical="center"/>
    </xf>
    <xf numFmtId="0" fontId="1" fillId="7823" borderId="0" xfId="4" applyFill="1" applyAlignment="1">
      <alignment horizontal="center" vertical="center"/>
    </xf>
    <xf numFmtId="0" fontId="1" fillId="7824" borderId="0" xfId="4" applyFill="1" applyAlignment="1">
      <alignment horizontal="center" vertical="center"/>
    </xf>
    <xf numFmtId="0" fontId="1" fillId="7825" borderId="0" xfId="4" applyFill="1" applyAlignment="1">
      <alignment horizontal="center" vertical="center"/>
    </xf>
    <xf numFmtId="0" fontId="1" fillId="7826" borderId="0" xfId="4" applyFill="1" applyAlignment="1">
      <alignment horizontal="center" vertical="center"/>
    </xf>
    <xf numFmtId="0" fontId="1" fillId="7827" borderId="0" xfId="4" applyFill="1" applyAlignment="1">
      <alignment horizontal="center" vertical="center"/>
    </xf>
    <xf numFmtId="0" fontId="1" fillId="7828" borderId="0" xfId="4" applyFill="1" applyAlignment="1">
      <alignment horizontal="center" vertical="center"/>
    </xf>
    <xf numFmtId="0" fontId="1" fillId="7829" borderId="0" xfId="4" applyFill="1" applyAlignment="1">
      <alignment horizontal="center" vertical="center"/>
    </xf>
    <xf numFmtId="0" fontId="1" fillId="7830" borderId="0" xfId="4" applyFill="1" applyAlignment="1">
      <alignment horizontal="center" vertical="center"/>
    </xf>
    <xf numFmtId="0" fontId="1" fillId="7831" borderId="0" xfId="4" applyFill="1" applyAlignment="1">
      <alignment horizontal="center" vertical="center"/>
    </xf>
    <xf numFmtId="0" fontId="1" fillId="7832" borderId="0" xfId="4" applyFill="1" applyAlignment="1">
      <alignment horizontal="left" vertical="center"/>
    </xf>
    <xf numFmtId="0" fontId="1" fillId="7833" borderId="0" xfId="4" applyFill="1" applyAlignment="1">
      <alignment horizontal="center" vertical="center"/>
    </xf>
    <xf numFmtId="0" fontId="1" fillId="7834" borderId="0" xfId="4" applyFill="1" applyAlignment="1">
      <alignment horizontal="center" vertical="center"/>
    </xf>
    <xf numFmtId="0" fontId="1" fillId="7835" borderId="0" xfId="4" applyFill="1" applyAlignment="1">
      <alignment horizontal="center" vertical="center"/>
    </xf>
    <xf numFmtId="0" fontId="1" fillId="7836" borderId="0" xfId="4" applyFill="1" applyAlignment="1">
      <alignment horizontal="center" vertical="center"/>
    </xf>
    <xf numFmtId="0" fontId="1" fillId="7837" borderId="0" xfId="4" applyFill="1" applyAlignment="1">
      <alignment horizontal="center" vertical="center"/>
    </xf>
    <xf numFmtId="0" fontId="1" fillId="7838" borderId="0" xfId="4" applyFill="1" applyAlignment="1">
      <alignment horizontal="center" vertical="center"/>
    </xf>
    <xf numFmtId="0" fontId="1" fillId="7839" borderId="0" xfId="4" applyFill="1" applyAlignment="1">
      <alignment horizontal="center" vertical="center"/>
    </xf>
    <xf numFmtId="0" fontId="1" fillId="7840" borderId="0" xfId="4" applyFill="1" applyAlignment="1">
      <alignment horizontal="center" vertical="center"/>
    </xf>
    <xf numFmtId="0" fontId="1" fillId="7841" borderId="0" xfId="4" applyFill="1" applyAlignment="1">
      <alignment horizontal="center" vertical="center"/>
    </xf>
    <xf numFmtId="0" fontId="1" fillId="7842" borderId="0" xfId="4" applyFill="1" applyAlignment="1">
      <alignment horizontal="center" vertical="center"/>
    </xf>
    <xf numFmtId="0" fontId="1" fillId="7843" borderId="0" xfId="4" applyFill="1" applyAlignment="1">
      <alignment horizontal="center" vertical="center"/>
    </xf>
    <xf numFmtId="0" fontId="1" fillId="7844" borderId="0" xfId="4" applyFill="1" applyAlignment="1">
      <alignment horizontal="center" vertical="center"/>
    </xf>
    <xf numFmtId="0" fontId="1" fillId="7845" borderId="0" xfId="4" applyFill="1" applyAlignment="1">
      <alignment horizontal="center" vertical="center"/>
    </xf>
    <xf numFmtId="0" fontId="1" fillId="7846" borderId="0" xfId="4" applyFill="1" applyAlignment="1">
      <alignment horizontal="center" vertical="center"/>
    </xf>
    <xf numFmtId="0" fontId="1" fillId="7847" borderId="0" xfId="4" applyFill="1" applyAlignment="1">
      <alignment horizontal="center" vertical="center"/>
    </xf>
    <xf numFmtId="0" fontId="1" fillId="7848" borderId="0" xfId="4" applyFill="1" applyAlignment="1">
      <alignment horizontal="center" vertical="center"/>
    </xf>
    <xf numFmtId="0" fontId="1" fillId="7849" borderId="0" xfId="4" applyFill="1" applyAlignment="1">
      <alignment horizontal="center" vertical="center"/>
    </xf>
    <xf numFmtId="0" fontId="1" fillId="7850" borderId="0" xfId="4" applyFill="1" applyAlignment="1">
      <alignment horizontal="center" vertical="center"/>
    </xf>
    <xf numFmtId="0" fontId="1" fillId="7851" borderId="0" xfId="4" applyFill="1" applyAlignment="1">
      <alignment horizontal="center" vertical="center"/>
    </xf>
    <xf numFmtId="0" fontId="1" fillId="7852" borderId="0" xfId="4" applyFill="1" applyAlignment="1">
      <alignment horizontal="center" vertical="center"/>
    </xf>
    <xf numFmtId="0" fontId="1" fillId="7853" borderId="0" xfId="4" applyFill="1" applyAlignment="1">
      <alignment horizontal="center" vertical="center"/>
    </xf>
    <xf numFmtId="0" fontId="1" fillId="7854" borderId="0" xfId="4" applyFill="1" applyAlignment="1">
      <alignment horizontal="center" vertical="center"/>
    </xf>
    <xf numFmtId="0" fontId="1" fillId="7855" borderId="0" xfId="4" applyFill="1" applyAlignment="1">
      <alignment horizontal="center" vertical="center"/>
    </xf>
    <xf numFmtId="0" fontId="1" fillId="7856" borderId="0" xfId="4" applyFill="1" applyAlignment="1">
      <alignment horizontal="center" vertical="center"/>
    </xf>
    <xf numFmtId="0" fontId="1" fillId="7857" borderId="0" xfId="4" applyFill="1" applyAlignment="1">
      <alignment horizontal="center" vertical="center"/>
    </xf>
    <xf numFmtId="0" fontId="1" fillId="7858" borderId="0" xfId="4" applyFill="1" applyAlignment="1">
      <alignment horizontal="center" vertical="center"/>
    </xf>
    <xf numFmtId="0" fontId="1" fillId="7859" borderId="0" xfId="4" applyFill="1" applyAlignment="1">
      <alignment horizontal="center" vertical="center"/>
    </xf>
    <xf numFmtId="0" fontId="1" fillId="7860" borderId="0" xfId="4" applyFill="1" applyAlignment="1">
      <alignment horizontal="center" vertical="center"/>
    </xf>
    <xf numFmtId="0" fontId="1" fillId="7861" borderId="0" xfId="4" applyFill="1" applyAlignment="1">
      <alignment horizontal="center" vertical="center"/>
    </xf>
    <xf numFmtId="0" fontId="1" fillId="7862" borderId="0" xfId="4" applyFill="1" applyAlignment="1">
      <alignment horizontal="center" vertical="center"/>
    </xf>
    <xf numFmtId="0" fontId="1" fillId="7863" borderId="0" xfId="4" applyFill="1" applyAlignment="1">
      <alignment horizontal="center" vertical="center"/>
    </xf>
    <xf numFmtId="0" fontId="1" fillId="7864" borderId="0" xfId="4" applyFill="1" applyAlignment="1">
      <alignment horizontal="center" vertical="center"/>
    </xf>
    <xf numFmtId="0" fontId="1" fillId="7865" borderId="0" xfId="4" applyFill="1" applyAlignment="1">
      <alignment horizontal="center" vertical="center"/>
    </xf>
    <xf numFmtId="0" fontId="1" fillId="7866" borderId="0" xfId="4" applyFill="1" applyAlignment="1">
      <alignment horizontal="center" vertical="center"/>
    </xf>
    <xf numFmtId="0" fontId="1" fillId="7867" borderId="0" xfId="4" applyFill="1" applyAlignment="1">
      <alignment horizontal="center" vertical="center"/>
    </xf>
    <xf numFmtId="0" fontId="1" fillId="7868" borderId="0" xfId="4" applyFill="1" applyAlignment="1">
      <alignment horizontal="center" vertical="center"/>
    </xf>
    <xf numFmtId="0" fontId="1" fillId="7869" borderId="0" xfId="4" applyFill="1" applyAlignment="1">
      <alignment horizontal="center" vertical="center"/>
    </xf>
    <xf numFmtId="0" fontId="1" fillId="7870" borderId="0" xfId="4" applyFill="1" applyAlignment="1">
      <alignment horizontal="center" vertical="center"/>
    </xf>
    <xf numFmtId="0" fontId="1" fillId="7871" borderId="0" xfId="4" applyFill="1" applyAlignment="1">
      <alignment horizontal="center" vertical="center"/>
    </xf>
    <xf numFmtId="0" fontId="1" fillId="7872" borderId="0" xfId="4" applyFill="1" applyAlignment="1">
      <alignment horizontal="center" vertical="center"/>
    </xf>
    <xf numFmtId="0" fontId="1" fillId="7873" borderId="0" xfId="4" applyFill="1" applyAlignment="1">
      <alignment horizontal="center" vertical="center"/>
    </xf>
    <xf numFmtId="0" fontId="1" fillId="7874" borderId="0" xfId="4" applyFill="1" applyAlignment="1">
      <alignment horizontal="center" vertical="center"/>
    </xf>
    <xf numFmtId="0" fontId="1" fillId="7875" borderId="0" xfId="4" applyFill="1" applyAlignment="1">
      <alignment horizontal="center" vertical="center"/>
    </xf>
    <xf numFmtId="0" fontId="1" fillId="7876" borderId="0" xfId="4" applyFill="1" applyAlignment="1">
      <alignment horizontal="center" vertical="center"/>
    </xf>
    <xf numFmtId="0" fontId="1" fillId="7877" borderId="0" xfId="4" applyFill="1" applyAlignment="1">
      <alignment horizontal="center" vertical="center"/>
    </xf>
    <xf numFmtId="0" fontId="1" fillId="7878" borderId="0" xfId="4" applyFill="1" applyAlignment="1">
      <alignment horizontal="center" vertical="center"/>
    </xf>
    <xf numFmtId="0" fontId="1" fillId="7879" borderId="0" xfId="4" applyFill="1" applyAlignment="1">
      <alignment horizontal="center" vertical="center"/>
    </xf>
    <xf numFmtId="0" fontId="1" fillId="7880" borderId="0" xfId="4" applyFill="1" applyAlignment="1">
      <alignment horizontal="center" vertical="center"/>
    </xf>
    <xf numFmtId="0" fontId="1" fillId="7881" borderId="0" xfId="4" applyFill="1" applyAlignment="1">
      <alignment horizontal="center" vertical="center"/>
    </xf>
    <xf numFmtId="0" fontId="1" fillId="7882" borderId="0" xfId="4" applyFill="1" applyAlignment="1">
      <alignment horizontal="center" vertical="center"/>
    </xf>
    <xf numFmtId="0" fontId="1" fillId="7883" borderId="0" xfId="4" applyFill="1" applyAlignment="1">
      <alignment horizontal="center" vertical="center"/>
    </xf>
    <xf numFmtId="0" fontId="1" fillId="7884" borderId="0" xfId="4" applyFill="1" applyAlignment="1">
      <alignment horizontal="left" vertical="center"/>
    </xf>
    <xf numFmtId="0" fontId="1" fillId="7885" borderId="0" xfId="4" applyFill="1" applyAlignment="1">
      <alignment horizontal="center" vertical="center"/>
    </xf>
    <xf numFmtId="0" fontId="1" fillId="7886" borderId="0" xfId="4" applyFill="1" applyAlignment="1">
      <alignment horizontal="center" vertical="center"/>
    </xf>
    <xf numFmtId="0" fontId="1" fillId="7887" borderId="0" xfId="4" applyFill="1" applyAlignment="1">
      <alignment horizontal="center" vertical="center"/>
    </xf>
    <xf numFmtId="0" fontId="1" fillId="7888" borderId="0" xfId="4" applyFill="1" applyAlignment="1">
      <alignment horizontal="center" vertical="center"/>
    </xf>
    <xf numFmtId="0" fontId="1" fillId="7889" borderId="0" xfId="4" applyFill="1" applyAlignment="1">
      <alignment horizontal="center" vertical="center"/>
    </xf>
    <xf numFmtId="0" fontId="1" fillId="7890" borderId="0" xfId="4" applyFill="1" applyAlignment="1">
      <alignment horizontal="center" vertical="center"/>
    </xf>
    <xf numFmtId="0" fontId="1" fillId="7891" borderId="0" xfId="4" applyFill="1" applyAlignment="1">
      <alignment horizontal="center" vertical="center"/>
    </xf>
    <xf numFmtId="0" fontId="1" fillId="7892" borderId="0" xfId="4" applyFill="1" applyAlignment="1">
      <alignment horizontal="center" vertical="center"/>
    </xf>
    <xf numFmtId="0" fontId="1" fillId="7893" borderId="0" xfId="4" applyFill="1" applyAlignment="1">
      <alignment horizontal="center" vertical="center"/>
    </xf>
    <xf numFmtId="0" fontId="1" fillId="7894" borderId="0" xfId="4" applyFill="1" applyAlignment="1">
      <alignment horizontal="center" vertical="center"/>
    </xf>
    <xf numFmtId="0" fontId="1" fillId="7895" borderId="0" xfId="4" applyFill="1" applyAlignment="1">
      <alignment horizontal="center" vertical="center"/>
    </xf>
    <xf numFmtId="0" fontId="1" fillId="7896" borderId="0" xfId="4" applyFill="1" applyAlignment="1">
      <alignment horizontal="center" vertical="center"/>
    </xf>
    <xf numFmtId="0" fontId="1" fillId="7897" borderId="0" xfId="4" applyFill="1" applyAlignment="1">
      <alignment horizontal="center" vertical="center"/>
    </xf>
    <xf numFmtId="0" fontId="1" fillId="7898" borderId="0" xfId="4" applyFill="1" applyAlignment="1">
      <alignment horizontal="center" vertical="center"/>
    </xf>
    <xf numFmtId="0" fontId="1" fillId="7899" borderId="0" xfId="4" applyFill="1" applyAlignment="1">
      <alignment horizontal="center" vertical="center"/>
    </xf>
    <xf numFmtId="0" fontId="1" fillId="7900" borderId="0" xfId="4" applyFill="1" applyAlignment="1">
      <alignment horizontal="center" vertical="center"/>
    </xf>
    <xf numFmtId="0" fontId="1" fillId="7901" borderId="0" xfId="4" applyFill="1" applyAlignment="1">
      <alignment horizontal="center" vertical="center"/>
    </xf>
    <xf numFmtId="0" fontId="1" fillId="7902" borderId="0" xfId="4" applyFill="1" applyAlignment="1">
      <alignment horizontal="center" vertical="center"/>
    </xf>
    <xf numFmtId="0" fontId="1" fillId="7903" borderId="0" xfId="4" applyFill="1" applyAlignment="1">
      <alignment horizontal="center" vertical="center"/>
    </xf>
    <xf numFmtId="0" fontId="1" fillId="7904" borderId="0" xfId="4" applyFill="1" applyAlignment="1">
      <alignment horizontal="center" vertical="center"/>
    </xf>
    <xf numFmtId="0" fontId="1" fillId="7905" borderId="0" xfId="4" applyFill="1" applyAlignment="1">
      <alignment horizontal="center" vertical="center"/>
    </xf>
    <xf numFmtId="0" fontId="1" fillId="7906" borderId="0" xfId="4" applyFill="1" applyAlignment="1">
      <alignment horizontal="center" vertical="center"/>
    </xf>
    <xf numFmtId="0" fontId="1" fillId="7907" borderId="0" xfId="4" applyFill="1" applyAlignment="1">
      <alignment horizontal="center" vertical="center"/>
    </xf>
    <xf numFmtId="0" fontId="1" fillId="7908" borderId="0" xfId="4" applyFill="1" applyAlignment="1">
      <alignment horizontal="center" vertical="center"/>
    </xf>
    <xf numFmtId="0" fontId="1" fillId="7909" borderId="0" xfId="4" applyFill="1" applyAlignment="1">
      <alignment horizontal="center" vertical="center"/>
    </xf>
    <xf numFmtId="0" fontId="1" fillId="7910" borderId="0" xfId="4" applyFill="1" applyAlignment="1">
      <alignment horizontal="center" vertical="center"/>
    </xf>
    <xf numFmtId="0" fontId="1" fillId="7911" borderId="0" xfId="4" applyFill="1" applyAlignment="1">
      <alignment horizontal="center" vertical="center"/>
    </xf>
    <xf numFmtId="0" fontId="1" fillId="7912" borderId="0" xfId="4" applyFill="1" applyAlignment="1">
      <alignment horizontal="center" vertical="center"/>
    </xf>
    <xf numFmtId="0" fontId="1" fillId="7913" borderId="0" xfId="4" applyFill="1" applyAlignment="1">
      <alignment horizontal="center" vertical="center"/>
    </xf>
    <xf numFmtId="0" fontId="1" fillId="7914" borderId="0" xfId="4" applyFill="1" applyAlignment="1">
      <alignment horizontal="center" vertical="center"/>
    </xf>
    <xf numFmtId="0" fontId="1" fillId="7915" borderId="0" xfId="4" applyFill="1" applyAlignment="1">
      <alignment horizontal="center" vertical="center"/>
    </xf>
    <xf numFmtId="0" fontId="1" fillId="7916" borderId="0" xfId="4" applyFill="1" applyAlignment="1">
      <alignment horizontal="center" vertical="center"/>
    </xf>
    <xf numFmtId="0" fontId="1" fillId="7917" borderId="0" xfId="4" applyFill="1" applyAlignment="1">
      <alignment horizontal="center" vertical="center"/>
    </xf>
    <xf numFmtId="0" fontId="1" fillId="3605" borderId="0" xfId="4" applyFill="1" applyAlignment="1">
      <alignment horizontal="left" vertical="center"/>
    </xf>
    <xf numFmtId="0" fontId="1" fillId="7918" borderId="0" xfId="4" applyFill="1" applyAlignment="1">
      <alignment horizontal="center" vertical="center"/>
    </xf>
    <xf numFmtId="0" fontId="1" fillId="7919" borderId="0" xfId="4" applyFill="1" applyAlignment="1">
      <alignment horizontal="center" vertical="center"/>
    </xf>
    <xf numFmtId="0" fontId="1" fillId="7920" borderId="0" xfId="4" applyFill="1" applyAlignment="1">
      <alignment horizontal="center" vertical="center"/>
    </xf>
    <xf numFmtId="0" fontId="1" fillId="7921" borderId="0" xfId="4" applyFill="1" applyAlignment="1">
      <alignment horizontal="center" vertical="center"/>
    </xf>
    <xf numFmtId="0" fontId="1" fillId="7922" borderId="0" xfId="4" applyFill="1" applyAlignment="1">
      <alignment horizontal="center" vertical="center"/>
    </xf>
    <xf numFmtId="0" fontId="1" fillId="7923" borderId="0" xfId="4" applyFill="1" applyAlignment="1">
      <alignment horizontal="center" vertical="center"/>
    </xf>
    <xf numFmtId="0" fontId="1" fillId="7924" borderId="0" xfId="4" applyFill="1" applyAlignment="1">
      <alignment horizontal="center" vertical="center"/>
    </xf>
    <xf numFmtId="0" fontId="1" fillId="7925" borderId="0" xfId="4" applyFill="1" applyAlignment="1">
      <alignment horizontal="center" vertical="center"/>
    </xf>
    <xf numFmtId="0" fontId="1" fillId="7926" borderId="0" xfId="4" applyFill="1" applyAlignment="1">
      <alignment horizontal="center" vertical="center"/>
    </xf>
    <xf numFmtId="0" fontId="1" fillId="7927" borderId="0" xfId="4" applyFill="1" applyAlignment="1">
      <alignment horizontal="center" vertical="center"/>
    </xf>
    <xf numFmtId="0" fontId="1" fillId="7928" borderId="0" xfId="4" applyFill="1" applyAlignment="1">
      <alignment horizontal="center" vertical="center"/>
    </xf>
    <xf numFmtId="0" fontId="1" fillId="7929" borderId="0" xfId="4" applyFill="1" applyAlignment="1">
      <alignment horizontal="center" vertical="center"/>
    </xf>
    <xf numFmtId="0" fontId="1" fillId="7930" borderId="0" xfId="4" applyFill="1" applyAlignment="1">
      <alignment horizontal="center" vertical="center"/>
    </xf>
    <xf numFmtId="0" fontId="1" fillId="7931" borderId="0" xfId="4" applyFill="1" applyAlignment="1">
      <alignment horizontal="center" vertical="center"/>
    </xf>
    <xf numFmtId="0" fontId="1" fillId="7932" borderId="0" xfId="4" applyFill="1" applyAlignment="1">
      <alignment horizontal="center" vertical="center"/>
    </xf>
    <xf numFmtId="0" fontId="1" fillId="7933" borderId="0" xfId="4" applyFill="1" applyAlignment="1">
      <alignment horizontal="center" vertical="center"/>
    </xf>
    <xf numFmtId="0" fontId="1" fillId="7934" borderId="0" xfId="4" applyFill="1" applyAlignment="1">
      <alignment horizontal="center" vertical="center"/>
    </xf>
    <xf numFmtId="0" fontId="1" fillId="7935" borderId="0" xfId="4" applyFill="1" applyAlignment="1">
      <alignment horizontal="center" vertical="center"/>
    </xf>
    <xf numFmtId="0" fontId="1" fillId="7936" borderId="0" xfId="4" applyFill="1" applyAlignment="1">
      <alignment horizontal="center" vertical="center"/>
    </xf>
    <xf numFmtId="0" fontId="1" fillId="7937" borderId="0" xfId="4" applyFill="1" applyAlignment="1">
      <alignment horizontal="center" vertical="center"/>
    </xf>
    <xf numFmtId="0" fontId="1" fillId="7938" borderId="0" xfId="4" applyFill="1" applyAlignment="1">
      <alignment horizontal="center" vertical="center"/>
    </xf>
    <xf numFmtId="0" fontId="1" fillId="7939" borderId="0" xfId="4" applyFill="1" applyAlignment="1">
      <alignment horizontal="center" vertical="center"/>
    </xf>
    <xf numFmtId="0" fontId="1" fillId="7940" borderId="0" xfId="4" applyFill="1" applyAlignment="1">
      <alignment horizontal="center" vertical="center"/>
    </xf>
    <xf numFmtId="0" fontId="1" fillId="7941" borderId="0" xfId="4" applyFill="1" applyAlignment="1">
      <alignment horizontal="center" vertical="center"/>
    </xf>
    <xf numFmtId="0" fontId="1" fillId="7942" borderId="0" xfId="4" applyFill="1" applyAlignment="1">
      <alignment horizontal="center" vertical="center"/>
    </xf>
    <xf numFmtId="0" fontId="1" fillId="7943" borderId="0" xfId="4" applyFill="1" applyAlignment="1">
      <alignment horizontal="center" vertical="center"/>
    </xf>
    <xf numFmtId="0" fontId="1" fillId="7944" borderId="0" xfId="4" applyFill="1" applyAlignment="1">
      <alignment horizontal="center" vertical="center"/>
    </xf>
    <xf numFmtId="0" fontId="1" fillId="7945" borderId="0" xfId="4" applyFill="1" applyAlignment="1">
      <alignment horizontal="center" vertical="center"/>
    </xf>
    <xf numFmtId="0" fontId="1" fillId="7946" borderId="0" xfId="4" applyFill="1" applyAlignment="1">
      <alignment horizontal="center" vertical="center"/>
    </xf>
    <xf numFmtId="0" fontId="1" fillId="7947" borderId="0" xfId="4" applyFill="1" applyAlignment="1">
      <alignment horizontal="center" vertical="center"/>
    </xf>
    <xf numFmtId="0" fontId="1" fillId="7948" borderId="0" xfId="4" applyFill="1" applyAlignment="1">
      <alignment horizontal="center" vertical="center"/>
    </xf>
    <xf numFmtId="0" fontId="1" fillId="7949" borderId="0" xfId="4" applyFill="1" applyAlignment="1">
      <alignment horizontal="center" vertical="center"/>
    </xf>
    <xf numFmtId="0" fontId="1" fillId="7950" borderId="0" xfId="4" applyFill="1" applyAlignment="1">
      <alignment horizontal="center" vertical="center"/>
    </xf>
    <xf numFmtId="0" fontId="1" fillId="7951" borderId="0" xfId="4" applyFill="1" applyAlignment="1">
      <alignment horizontal="center" vertical="center"/>
    </xf>
    <xf numFmtId="0" fontId="1" fillId="7952" borderId="0" xfId="4" applyFill="1" applyAlignment="1">
      <alignment horizontal="center" vertical="center"/>
    </xf>
    <xf numFmtId="0" fontId="1" fillId="7953" borderId="0" xfId="4" applyFill="1" applyAlignment="1">
      <alignment horizontal="center" vertical="center"/>
    </xf>
    <xf numFmtId="0" fontId="1" fillId="7954" borderId="0" xfId="4" applyFill="1" applyAlignment="1">
      <alignment horizontal="center" vertical="center"/>
    </xf>
    <xf numFmtId="0" fontId="1" fillId="7955" borderId="0" xfId="4" applyFill="1" applyAlignment="1">
      <alignment horizontal="center" vertical="center"/>
    </xf>
    <xf numFmtId="0" fontId="1" fillId="7956" borderId="0" xfId="4" applyFill="1" applyAlignment="1">
      <alignment horizontal="center" vertical="center"/>
    </xf>
    <xf numFmtId="0" fontId="1" fillId="7957" borderId="0" xfId="4" applyFill="1" applyAlignment="1">
      <alignment horizontal="center" vertical="center"/>
    </xf>
    <xf numFmtId="0" fontId="1" fillId="7958" borderId="0" xfId="4" applyFill="1" applyAlignment="1">
      <alignment horizontal="center" vertical="center"/>
    </xf>
    <xf numFmtId="0" fontId="1" fillId="7959" borderId="0" xfId="4" applyFill="1" applyAlignment="1">
      <alignment horizontal="center" vertical="center"/>
    </xf>
    <xf numFmtId="0" fontId="1" fillId="7960" borderId="0" xfId="4" applyFill="1" applyAlignment="1">
      <alignment horizontal="center" vertical="center"/>
    </xf>
    <xf numFmtId="0" fontId="1" fillId="7961" borderId="0" xfId="4" applyFill="1" applyAlignment="1">
      <alignment horizontal="center" vertical="center"/>
    </xf>
    <xf numFmtId="0" fontId="1" fillId="7962" borderId="0" xfId="4" applyFill="1" applyAlignment="1">
      <alignment horizontal="center" vertical="center"/>
    </xf>
    <xf numFmtId="0" fontId="1" fillId="7963" borderId="0" xfId="4" applyFill="1" applyAlignment="1">
      <alignment horizontal="center" vertical="center"/>
    </xf>
    <xf numFmtId="0" fontId="1" fillId="7964" borderId="0" xfId="4" applyFill="1" applyAlignment="1">
      <alignment horizontal="left" vertical="center"/>
    </xf>
    <xf numFmtId="0" fontId="1" fillId="7965" borderId="0" xfId="4" applyFill="1" applyAlignment="1">
      <alignment horizontal="center" vertical="center"/>
    </xf>
    <xf numFmtId="0" fontId="1" fillId="7966" borderId="0" xfId="4" applyFill="1" applyAlignment="1">
      <alignment horizontal="center" vertical="center"/>
    </xf>
    <xf numFmtId="0" fontId="1" fillId="7967" borderId="0" xfId="4" applyFill="1" applyAlignment="1">
      <alignment horizontal="center" vertical="center"/>
    </xf>
    <xf numFmtId="0" fontId="1" fillId="7968" borderId="0" xfId="4" applyFill="1" applyAlignment="1">
      <alignment horizontal="center" vertical="center"/>
    </xf>
    <xf numFmtId="0" fontId="1" fillId="7969" borderId="0" xfId="4" applyFill="1" applyAlignment="1">
      <alignment horizontal="center" vertical="center"/>
    </xf>
    <xf numFmtId="0" fontId="1" fillId="7970" borderId="0" xfId="4" applyFill="1" applyAlignment="1">
      <alignment horizontal="center" vertical="center"/>
    </xf>
    <xf numFmtId="0" fontId="1" fillId="7971" borderId="0" xfId="4" applyFill="1" applyAlignment="1">
      <alignment horizontal="center" vertical="center"/>
    </xf>
    <xf numFmtId="0" fontId="1" fillId="7972" borderId="0" xfId="4" applyFill="1" applyAlignment="1">
      <alignment horizontal="center" vertical="center"/>
    </xf>
    <xf numFmtId="0" fontId="1" fillId="7973" borderId="0" xfId="4" applyFill="1" applyAlignment="1">
      <alignment horizontal="center" vertical="center"/>
    </xf>
    <xf numFmtId="0" fontId="1" fillId="7974" borderId="0" xfId="4" applyFill="1" applyAlignment="1">
      <alignment horizontal="center" vertical="center"/>
    </xf>
    <xf numFmtId="0" fontId="1" fillId="7975" borderId="0" xfId="4" applyFill="1" applyAlignment="1">
      <alignment horizontal="center" vertical="center"/>
    </xf>
    <xf numFmtId="0" fontId="1" fillId="7976" borderId="0" xfId="4" applyFill="1" applyAlignment="1">
      <alignment horizontal="center" vertical="center"/>
    </xf>
    <xf numFmtId="0" fontId="1" fillId="7977" borderId="0" xfId="4" applyFill="1" applyAlignment="1">
      <alignment horizontal="center" vertical="center"/>
    </xf>
    <xf numFmtId="0" fontId="1" fillId="7978" borderId="0" xfId="4" applyFill="1" applyAlignment="1">
      <alignment horizontal="center" vertical="center"/>
    </xf>
    <xf numFmtId="0" fontId="1" fillId="7979" borderId="0" xfId="4" applyFill="1" applyAlignment="1">
      <alignment horizontal="center" vertical="center"/>
    </xf>
    <xf numFmtId="0" fontId="1" fillId="7980" borderId="0" xfId="4" applyFill="1" applyAlignment="1">
      <alignment horizontal="center" vertical="center"/>
    </xf>
    <xf numFmtId="0" fontId="1" fillId="7981" borderId="0" xfId="4" applyFill="1" applyAlignment="1">
      <alignment horizontal="center" vertical="center"/>
    </xf>
    <xf numFmtId="0" fontId="1" fillId="7982" borderId="0" xfId="4" applyFill="1" applyAlignment="1">
      <alignment horizontal="center" vertical="center"/>
    </xf>
    <xf numFmtId="0" fontId="1" fillId="7983" borderId="0" xfId="4" applyFill="1" applyAlignment="1">
      <alignment horizontal="center" vertical="center"/>
    </xf>
    <xf numFmtId="0" fontId="1" fillId="7984" borderId="0" xfId="4" applyFill="1" applyAlignment="1">
      <alignment horizontal="center" vertical="center"/>
    </xf>
    <xf numFmtId="0" fontId="1" fillId="7985" borderId="0" xfId="4" applyFill="1" applyAlignment="1">
      <alignment horizontal="center" vertical="center"/>
    </xf>
    <xf numFmtId="0" fontId="1" fillId="7986" borderId="0" xfId="4" applyFill="1" applyAlignment="1">
      <alignment horizontal="center" vertical="center"/>
    </xf>
    <xf numFmtId="0" fontId="1" fillId="7987" borderId="0" xfId="4" applyFill="1" applyAlignment="1">
      <alignment horizontal="center" vertical="center"/>
    </xf>
    <xf numFmtId="0" fontId="1" fillId="7988" borderId="0" xfId="4" applyFill="1" applyAlignment="1">
      <alignment horizontal="center" vertical="center"/>
    </xf>
    <xf numFmtId="0" fontId="1" fillId="7989" borderId="0" xfId="4" applyFill="1" applyAlignment="1">
      <alignment horizontal="center" vertical="center"/>
    </xf>
    <xf numFmtId="0" fontId="1" fillId="7990" borderId="0" xfId="4" applyFill="1" applyAlignment="1">
      <alignment horizontal="center" vertical="center"/>
    </xf>
    <xf numFmtId="0" fontId="1" fillId="7991" borderId="0" xfId="4" applyFill="1" applyAlignment="1">
      <alignment horizontal="center" vertical="center"/>
    </xf>
    <xf numFmtId="0" fontId="1" fillId="7992" borderId="0" xfId="4" applyFill="1" applyAlignment="1">
      <alignment horizontal="center" vertical="center"/>
    </xf>
    <xf numFmtId="0" fontId="1" fillId="7993" borderId="0" xfId="4" applyFill="1" applyAlignment="1">
      <alignment horizontal="center" vertical="center"/>
    </xf>
    <xf numFmtId="0" fontId="1" fillId="7994" borderId="0" xfId="4" applyFill="1" applyAlignment="1">
      <alignment horizontal="center" vertical="center"/>
    </xf>
    <xf numFmtId="0" fontId="1" fillId="7995" borderId="0" xfId="4" applyFill="1" applyAlignment="1">
      <alignment horizontal="center" vertical="center"/>
    </xf>
    <xf numFmtId="0" fontId="1" fillId="7996" borderId="0" xfId="4" applyFill="1" applyAlignment="1">
      <alignment horizontal="center" vertical="center"/>
    </xf>
    <xf numFmtId="0" fontId="1" fillId="7997" borderId="0" xfId="4" applyFill="1" applyAlignment="1">
      <alignment horizontal="left" vertical="center"/>
    </xf>
    <xf numFmtId="0" fontId="1" fillId="7998" borderId="0" xfId="4" applyFill="1" applyAlignment="1">
      <alignment horizontal="center" vertical="center"/>
    </xf>
    <xf numFmtId="0" fontId="1" fillId="7999" borderId="0" xfId="4" applyFill="1" applyAlignment="1">
      <alignment horizontal="center" vertical="center"/>
    </xf>
    <xf numFmtId="0" fontId="1" fillId="8000" borderId="0" xfId="4" applyFill="1" applyAlignment="1">
      <alignment horizontal="center" vertical="center"/>
    </xf>
    <xf numFmtId="0" fontId="1" fillId="8001" borderId="0" xfId="4" applyFill="1" applyAlignment="1">
      <alignment horizontal="center" vertical="center"/>
    </xf>
    <xf numFmtId="0" fontId="1" fillId="8002" borderId="0" xfId="4" applyFill="1" applyAlignment="1">
      <alignment horizontal="center" vertical="center"/>
    </xf>
    <xf numFmtId="0" fontId="1" fillId="8003" borderId="0" xfId="4" applyFill="1" applyAlignment="1">
      <alignment horizontal="center" vertical="center"/>
    </xf>
    <xf numFmtId="0" fontId="1" fillId="8004" borderId="0" xfId="4" applyFill="1" applyAlignment="1">
      <alignment horizontal="center" vertical="center"/>
    </xf>
    <xf numFmtId="0" fontId="1" fillId="8005" borderId="0" xfId="4" applyFill="1" applyAlignment="1">
      <alignment horizontal="center" vertical="center"/>
    </xf>
    <xf numFmtId="0" fontId="1" fillId="8006" borderId="0" xfId="4" applyFill="1" applyAlignment="1">
      <alignment horizontal="center" vertical="center"/>
    </xf>
    <xf numFmtId="0" fontId="1" fillId="8007" borderId="0" xfId="4" applyFill="1" applyAlignment="1">
      <alignment horizontal="center" vertical="center"/>
    </xf>
    <xf numFmtId="0" fontId="1" fillId="8008" borderId="0" xfId="4" applyFill="1" applyAlignment="1">
      <alignment horizontal="center" vertical="center"/>
    </xf>
    <xf numFmtId="0" fontId="1" fillId="8009" borderId="0" xfId="4" applyFill="1" applyAlignment="1">
      <alignment horizontal="center" vertical="center"/>
    </xf>
    <xf numFmtId="0" fontId="1" fillId="8010" borderId="0" xfId="4" applyFill="1" applyAlignment="1">
      <alignment horizontal="center" vertical="center"/>
    </xf>
    <xf numFmtId="0" fontId="1" fillId="8011" borderId="0" xfId="4" applyFill="1" applyAlignment="1">
      <alignment horizontal="center" vertical="center"/>
    </xf>
    <xf numFmtId="0" fontId="1" fillId="8012" borderId="0" xfId="4" applyFill="1" applyAlignment="1">
      <alignment horizontal="center" vertical="center"/>
    </xf>
    <xf numFmtId="0" fontId="1" fillId="8013" borderId="0" xfId="4" applyFill="1" applyAlignment="1">
      <alignment horizontal="center" vertical="center"/>
    </xf>
    <xf numFmtId="0" fontId="1" fillId="8014" borderId="0" xfId="4" applyFill="1" applyAlignment="1">
      <alignment horizontal="center" vertical="center"/>
    </xf>
    <xf numFmtId="0" fontId="1" fillId="8015" borderId="0" xfId="4" applyFill="1" applyAlignment="1">
      <alignment horizontal="center" vertical="center"/>
    </xf>
    <xf numFmtId="0" fontId="1" fillId="8016" borderId="0" xfId="4" applyFill="1" applyAlignment="1">
      <alignment horizontal="center" vertical="center"/>
    </xf>
    <xf numFmtId="0" fontId="1" fillId="8017" borderId="0" xfId="4" applyFill="1" applyAlignment="1">
      <alignment horizontal="center" vertical="center"/>
    </xf>
    <xf numFmtId="0" fontId="1" fillId="8018" borderId="0" xfId="4" applyFill="1" applyAlignment="1">
      <alignment horizontal="center" vertical="center"/>
    </xf>
    <xf numFmtId="0" fontId="1" fillId="8019" borderId="0" xfId="4" applyFill="1" applyAlignment="1">
      <alignment horizontal="center" vertical="center"/>
    </xf>
    <xf numFmtId="0" fontId="1" fillId="8020" borderId="0" xfId="4" applyFill="1" applyAlignment="1">
      <alignment horizontal="center" vertical="center"/>
    </xf>
    <xf numFmtId="0" fontId="1" fillId="8021" borderId="0" xfId="4" applyFill="1" applyAlignment="1">
      <alignment horizontal="center" vertical="center"/>
    </xf>
    <xf numFmtId="0" fontId="1" fillId="8022" borderId="0" xfId="4" applyFill="1" applyAlignment="1">
      <alignment horizontal="center" vertical="center"/>
    </xf>
    <xf numFmtId="0" fontId="1" fillId="8023" borderId="0" xfId="4" applyFill="1" applyAlignment="1">
      <alignment horizontal="center" vertical="center"/>
    </xf>
    <xf numFmtId="0" fontId="1" fillId="8024" borderId="0" xfId="4" applyFill="1" applyAlignment="1">
      <alignment horizontal="center" vertical="center"/>
    </xf>
    <xf numFmtId="0" fontId="1" fillId="8025" borderId="0" xfId="4" applyFill="1" applyAlignment="1">
      <alignment horizontal="center" vertical="center"/>
    </xf>
    <xf numFmtId="0" fontId="1" fillId="8026" borderId="0" xfId="4" applyFill="1" applyAlignment="1">
      <alignment horizontal="center" vertical="center"/>
    </xf>
    <xf numFmtId="0" fontId="1" fillId="8027" borderId="0" xfId="4" applyFill="1" applyAlignment="1">
      <alignment horizontal="center" vertical="center"/>
    </xf>
    <xf numFmtId="0" fontId="1" fillId="8028" borderId="0" xfId="4" applyFill="1" applyAlignment="1">
      <alignment horizontal="center" vertical="center"/>
    </xf>
    <xf numFmtId="0" fontId="1" fillId="8029" borderId="0" xfId="4" applyFill="1" applyAlignment="1">
      <alignment horizontal="center" vertical="center"/>
    </xf>
    <xf numFmtId="0" fontId="1" fillId="8030" borderId="0" xfId="4" applyFill="1" applyAlignment="1">
      <alignment horizontal="center" vertical="center"/>
    </xf>
    <xf numFmtId="0" fontId="1" fillId="8031" borderId="0" xfId="4" applyFill="1" applyAlignment="1">
      <alignment horizontal="center" vertical="center"/>
    </xf>
    <xf numFmtId="0" fontId="1" fillId="8032" borderId="0" xfId="4" applyFill="1" applyAlignment="1">
      <alignment horizontal="center" vertical="center"/>
    </xf>
    <xf numFmtId="0" fontId="1" fillId="8033" borderId="0" xfId="4" applyFill="1" applyAlignment="1">
      <alignment horizontal="center" vertical="center"/>
    </xf>
    <xf numFmtId="0" fontId="1" fillId="8034" borderId="0" xfId="4" applyFill="1" applyAlignment="1">
      <alignment horizontal="center" vertical="center"/>
    </xf>
    <xf numFmtId="0" fontId="1" fillId="8035" borderId="0" xfId="4" applyFill="1" applyAlignment="1">
      <alignment horizontal="center" vertical="center"/>
    </xf>
    <xf numFmtId="0" fontId="1" fillId="8036" borderId="0" xfId="4" applyFill="1" applyAlignment="1">
      <alignment horizontal="center" vertical="center"/>
    </xf>
    <xf numFmtId="0" fontId="1" fillId="8037" borderId="0" xfId="4" applyFill="1" applyAlignment="1">
      <alignment horizontal="center" vertical="center"/>
    </xf>
    <xf numFmtId="0" fontId="1" fillId="8038" borderId="0" xfId="4" applyFill="1" applyAlignment="1">
      <alignment horizontal="center" vertical="center"/>
    </xf>
    <xf numFmtId="0" fontId="1" fillId="8039" borderId="0" xfId="4" applyFill="1" applyAlignment="1">
      <alignment horizontal="center" vertical="center"/>
    </xf>
    <xf numFmtId="0" fontId="1" fillId="8040" borderId="0" xfId="4" applyFill="1" applyAlignment="1">
      <alignment horizontal="center" vertical="center"/>
    </xf>
    <xf numFmtId="0" fontId="1" fillId="8041" borderId="0" xfId="4" applyFill="1" applyAlignment="1">
      <alignment horizontal="center" vertical="center"/>
    </xf>
    <xf numFmtId="0" fontId="1" fillId="8042" borderId="0" xfId="4" applyFill="1" applyAlignment="1">
      <alignment horizontal="center" vertical="center"/>
    </xf>
    <xf numFmtId="0" fontId="1" fillId="8043" borderId="0" xfId="4" applyFill="1" applyAlignment="1">
      <alignment horizontal="center" vertical="center"/>
    </xf>
    <xf numFmtId="0" fontId="1" fillId="8044" borderId="0" xfId="4" applyFill="1" applyAlignment="1">
      <alignment horizontal="center" vertical="center"/>
    </xf>
    <xf numFmtId="0" fontId="1" fillId="8045" borderId="0" xfId="4" applyFill="1" applyAlignment="1">
      <alignment horizontal="center" vertical="center"/>
    </xf>
    <xf numFmtId="0" fontId="1" fillId="8046" borderId="0" xfId="4" applyFill="1" applyAlignment="1">
      <alignment horizontal="center" vertical="center"/>
    </xf>
    <xf numFmtId="0" fontId="1" fillId="8047" borderId="0" xfId="4" applyFill="1" applyAlignment="1">
      <alignment horizontal="center" vertical="center"/>
    </xf>
    <xf numFmtId="0" fontId="1" fillId="8048" borderId="0" xfId="4" applyFill="1" applyAlignment="1">
      <alignment horizontal="left" vertical="center"/>
    </xf>
    <xf numFmtId="0" fontId="1" fillId="8049" borderId="0" xfId="4" applyFill="1" applyAlignment="1">
      <alignment horizontal="center" vertical="center"/>
    </xf>
    <xf numFmtId="0" fontId="1" fillId="8050" borderId="0" xfId="4" applyFill="1" applyAlignment="1">
      <alignment horizontal="center" vertical="center"/>
    </xf>
    <xf numFmtId="0" fontId="1" fillId="8051" borderId="0" xfId="4" applyFill="1" applyAlignment="1">
      <alignment horizontal="center" vertical="center"/>
    </xf>
    <xf numFmtId="0" fontId="1" fillId="8052" borderId="0" xfId="4" applyFill="1" applyAlignment="1">
      <alignment horizontal="center" vertical="center"/>
    </xf>
    <xf numFmtId="0" fontId="1" fillId="8053" borderId="0" xfId="4" applyFill="1" applyAlignment="1">
      <alignment horizontal="center" vertical="center"/>
    </xf>
    <xf numFmtId="0" fontId="1" fillId="8054" borderId="0" xfId="4" applyFill="1" applyAlignment="1">
      <alignment horizontal="center" vertical="center"/>
    </xf>
    <xf numFmtId="0" fontId="1" fillId="8055" borderId="0" xfId="4" applyFill="1" applyAlignment="1">
      <alignment horizontal="center" vertical="center"/>
    </xf>
    <xf numFmtId="0" fontId="1" fillId="8056" borderId="0" xfId="4" applyFill="1" applyAlignment="1">
      <alignment horizontal="center" vertical="center"/>
    </xf>
    <xf numFmtId="0" fontId="1" fillId="8057" borderId="0" xfId="4" applyFill="1" applyAlignment="1">
      <alignment horizontal="center" vertical="center"/>
    </xf>
    <xf numFmtId="0" fontId="1" fillId="8058" borderId="0" xfId="4" applyFill="1" applyAlignment="1">
      <alignment horizontal="center" vertical="center"/>
    </xf>
    <xf numFmtId="0" fontId="1" fillId="8059" borderId="0" xfId="4" applyFill="1" applyAlignment="1">
      <alignment horizontal="center" vertical="center"/>
    </xf>
    <xf numFmtId="0" fontId="1" fillId="8060" borderId="0" xfId="4" applyFill="1" applyAlignment="1">
      <alignment horizontal="center" vertical="center"/>
    </xf>
    <xf numFmtId="0" fontId="1" fillId="8061" borderId="0" xfId="4" applyFill="1" applyAlignment="1">
      <alignment horizontal="center" vertical="center"/>
    </xf>
    <xf numFmtId="0" fontId="1" fillId="8062" borderId="0" xfId="4" applyFill="1" applyAlignment="1">
      <alignment horizontal="center" vertical="center"/>
    </xf>
    <xf numFmtId="0" fontId="1" fillId="8063" borderId="0" xfId="4" applyFill="1" applyAlignment="1">
      <alignment horizontal="center" vertical="center"/>
    </xf>
    <xf numFmtId="0" fontId="1" fillId="8064" borderId="0" xfId="4" applyFill="1" applyAlignment="1">
      <alignment horizontal="center" vertical="center"/>
    </xf>
    <xf numFmtId="0" fontId="1" fillId="8065" borderId="0" xfId="4" applyFill="1" applyAlignment="1">
      <alignment horizontal="center" vertical="center"/>
    </xf>
    <xf numFmtId="0" fontId="1" fillId="8066" borderId="0" xfId="4" applyFill="1" applyAlignment="1">
      <alignment horizontal="center" vertical="center"/>
    </xf>
    <xf numFmtId="0" fontId="1" fillId="8067" borderId="0" xfId="4" applyFill="1" applyAlignment="1">
      <alignment horizontal="center" vertical="center"/>
    </xf>
    <xf numFmtId="0" fontId="1" fillId="8068" borderId="0" xfId="4" applyFill="1" applyAlignment="1">
      <alignment horizontal="center" vertical="center"/>
    </xf>
    <xf numFmtId="0" fontId="1" fillId="8069" borderId="0" xfId="4" applyFill="1" applyAlignment="1">
      <alignment horizontal="center" vertical="center"/>
    </xf>
    <xf numFmtId="0" fontId="1" fillId="8070" borderId="0" xfId="4" applyFill="1" applyAlignment="1">
      <alignment horizontal="center" vertical="center"/>
    </xf>
    <xf numFmtId="0" fontId="1" fillId="8071" borderId="0" xfId="4" applyFill="1" applyAlignment="1">
      <alignment horizontal="center" vertical="center"/>
    </xf>
    <xf numFmtId="0" fontId="1" fillId="8072" borderId="0" xfId="4" applyFill="1" applyAlignment="1">
      <alignment horizontal="center" vertical="center"/>
    </xf>
    <xf numFmtId="0" fontId="1" fillId="8073" borderId="0" xfId="4" applyFill="1" applyAlignment="1">
      <alignment horizontal="center" vertical="center"/>
    </xf>
    <xf numFmtId="0" fontId="1" fillId="8074" borderId="0" xfId="4" applyFill="1" applyAlignment="1">
      <alignment horizontal="center" vertical="center"/>
    </xf>
    <xf numFmtId="0" fontId="1" fillId="8075" borderId="0" xfId="4" applyFill="1" applyAlignment="1">
      <alignment horizontal="center" vertical="center"/>
    </xf>
    <xf numFmtId="0" fontId="1" fillId="8076" borderId="0" xfId="4" applyFill="1" applyAlignment="1">
      <alignment horizontal="center" vertical="center"/>
    </xf>
    <xf numFmtId="0" fontId="1" fillId="8077" borderId="0" xfId="4" applyFill="1" applyAlignment="1">
      <alignment horizontal="left" vertical="center"/>
    </xf>
    <xf numFmtId="0" fontId="1" fillId="8078" borderId="0" xfId="4" applyFill="1" applyAlignment="1">
      <alignment horizontal="center" vertical="center"/>
    </xf>
    <xf numFmtId="0" fontId="1" fillId="8079" borderId="0" xfId="4" applyFill="1" applyAlignment="1">
      <alignment horizontal="center" vertical="center"/>
    </xf>
    <xf numFmtId="0" fontId="1" fillId="8080" borderId="0" xfId="4" applyFill="1" applyAlignment="1">
      <alignment horizontal="center" vertical="center"/>
    </xf>
    <xf numFmtId="0" fontId="1" fillId="8081" borderId="0" xfId="4" applyFill="1" applyAlignment="1">
      <alignment horizontal="center" vertical="center"/>
    </xf>
    <xf numFmtId="0" fontId="1" fillId="8082" borderId="0" xfId="4" applyFill="1" applyAlignment="1">
      <alignment horizontal="center" vertical="center"/>
    </xf>
    <xf numFmtId="0" fontId="1" fillId="8083" borderId="0" xfId="4" applyFill="1" applyAlignment="1">
      <alignment horizontal="center" vertical="center"/>
    </xf>
    <xf numFmtId="0" fontId="1" fillId="8084" borderId="0" xfId="4" applyFill="1" applyAlignment="1">
      <alignment horizontal="center" vertical="center"/>
    </xf>
    <xf numFmtId="0" fontId="1" fillId="8085" borderId="0" xfId="4" applyFill="1" applyAlignment="1">
      <alignment horizontal="center" vertical="center"/>
    </xf>
    <xf numFmtId="0" fontId="1" fillId="8086" borderId="0" xfId="4" applyFill="1" applyAlignment="1">
      <alignment horizontal="center" vertical="center"/>
    </xf>
    <xf numFmtId="0" fontId="1" fillId="8087" borderId="0" xfId="4" applyFill="1" applyAlignment="1">
      <alignment horizontal="center" vertical="center"/>
    </xf>
    <xf numFmtId="0" fontId="1" fillId="8088" borderId="0" xfId="4" applyFill="1" applyAlignment="1">
      <alignment horizontal="center" vertical="center"/>
    </xf>
    <xf numFmtId="0" fontId="1" fillId="8089" borderId="0" xfId="4" applyFill="1" applyAlignment="1">
      <alignment horizontal="center" vertical="center"/>
    </xf>
    <xf numFmtId="0" fontId="1" fillId="8090" borderId="0" xfId="4" applyFill="1" applyAlignment="1">
      <alignment horizontal="center" vertical="center"/>
    </xf>
    <xf numFmtId="0" fontId="1" fillId="8091" borderId="0" xfId="4" applyFill="1" applyAlignment="1">
      <alignment horizontal="center" vertical="center"/>
    </xf>
    <xf numFmtId="0" fontId="1" fillId="8092" borderId="0" xfId="4" applyFill="1" applyAlignment="1">
      <alignment horizontal="center" vertical="center"/>
    </xf>
    <xf numFmtId="0" fontId="1" fillId="8093" borderId="0" xfId="4" applyFill="1" applyAlignment="1">
      <alignment horizontal="center" vertical="center"/>
    </xf>
    <xf numFmtId="0" fontId="1" fillId="8094" borderId="0" xfId="4" applyFill="1" applyAlignment="1">
      <alignment horizontal="center" vertical="center"/>
    </xf>
    <xf numFmtId="0" fontId="1" fillId="8095" borderId="0" xfId="4" applyFill="1" applyAlignment="1">
      <alignment horizontal="center" vertical="center"/>
    </xf>
    <xf numFmtId="0" fontId="1" fillId="8096" borderId="0" xfId="4" applyFill="1" applyAlignment="1">
      <alignment horizontal="center" vertical="center"/>
    </xf>
    <xf numFmtId="0" fontId="1" fillId="8097" borderId="0" xfId="4" applyFill="1" applyAlignment="1">
      <alignment horizontal="center" vertical="center"/>
    </xf>
    <xf numFmtId="0" fontId="1" fillId="8098" borderId="0" xfId="4" applyFill="1" applyAlignment="1">
      <alignment horizontal="center" vertical="center"/>
    </xf>
    <xf numFmtId="0" fontId="1" fillId="8099" borderId="0" xfId="4" applyFill="1" applyAlignment="1">
      <alignment horizontal="center" vertical="center"/>
    </xf>
    <xf numFmtId="0" fontId="1" fillId="8100" borderId="0" xfId="4" applyFill="1" applyAlignment="1">
      <alignment horizontal="center" vertical="center"/>
    </xf>
    <xf numFmtId="0" fontId="1" fillId="8101" borderId="0" xfId="4" applyFill="1" applyAlignment="1">
      <alignment horizontal="center" vertical="center"/>
    </xf>
    <xf numFmtId="0" fontId="1" fillId="8102" borderId="0" xfId="4" applyFill="1" applyAlignment="1">
      <alignment horizontal="center" vertical="center"/>
    </xf>
    <xf numFmtId="0" fontId="1" fillId="8103" borderId="0" xfId="4" applyFill="1" applyAlignment="1">
      <alignment horizontal="center" vertical="center"/>
    </xf>
    <xf numFmtId="0" fontId="1" fillId="8104" borderId="0" xfId="4" applyFill="1" applyAlignment="1">
      <alignment horizontal="center" vertical="center"/>
    </xf>
    <xf numFmtId="0" fontId="1" fillId="8105" borderId="0" xfId="4" applyFill="1" applyAlignment="1">
      <alignment horizontal="center" vertical="center"/>
    </xf>
    <xf numFmtId="0" fontId="1" fillId="8106" borderId="0" xfId="4" applyFill="1" applyAlignment="1">
      <alignment horizontal="center" vertical="center"/>
    </xf>
    <xf numFmtId="0" fontId="1" fillId="8107" borderId="0" xfId="4" applyFill="1" applyAlignment="1">
      <alignment horizontal="center" vertical="center"/>
    </xf>
    <xf numFmtId="0" fontId="1" fillId="8108" borderId="0" xfId="4" applyFill="1" applyAlignment="1">
      <alignment horizontal="center" vertical="center"/>
    </xf>
    <xf numFmtId="0" fontId="1" fillId="8109" borderId="0" xfId="4" applyFill="1" applyAlignment="1">
      <alignment horizontal="center" vertical="center"/>
    </xf>
    <xf numFmtId="0" fontId="1" fillId="8110" borderId="0" xfId="4" applyFill="1" applyAlignment="1">
      <alignment horizontal="center" vertical="center"/>
    </xf>
    <xf numFmtId="0" fontId="1" fillId="8111" borderId="0" xfId="4" applyFill="1" applyAlignment="1">
      <alignment horizontal="center" vertical="center"/>
    </xf>
    <xf numFmtId="0" fontId="1" fillId="8112" borderId="0" xfId="4" applyFill="1" applyAlignment="1">
      <alignment horizontal="center" vertical="center"/>
    </xf>
    <xf numFmtId="0" fontId="1" fillId="8113" borderId="0" xfId="4" applyFill="1" applyAlignment="1">
      <alignment horizontal="center" vertical="center"/>
    </xf>
    <xf numFmtId="0" fontId="1" fillId="8114" borderId="0" xfId="4" applyFill="1" applyAlignment="1">
      <alignment horizontal="center" vertical="center"/>
    </xf>
    <xf numFmtId="0" fontId="1" fillId="8115" borderId="0" xfId="4" applyFill="1" applyAlignment="1">
      <alignment horizontal="center" vertical="center"/>
    </xf>
    <xf numFmtId="0" fontId="1" fillId="8116" borderId="0" xfId="4" applyFill="1" applyAlignment="1">
      <alignment horizontal="center" vertical="center"/>
    </xf>
    <xf numFmtId="0" fontId="1" fillId="8117" borderId="0" xfId="4" applyFill="1" applyAlignment="1">
      <alignment horizontal="center" vertical="center"/>
    </xf>
    <xf numFmtId="0" fontId="1" fillId="8118" borderId="0" xfId="4" applyFill="1" applyAlignment="1">
      <alignment horizontal="center" vertical="center"/>
    </xf>
    <xf numFmtId="0" fontId="1" fillId="8119" borderId="0" xfId="4" applyFill="1" applyAlignment="1">
      <alignment horizontal="center" vertical="center"/>
    </xf>
    <xf numFmtId="0" fontId="1" fillId="8120" borderId="0" xfId="4" applyFill="1" applyAlignment="1">
      <alignment horizontal="center" vertical="center"/>
    </xf>
    <xf numFmtId="0" fontId="1" fillId="8121" borderId="0" xfId="4" applyFill="1" applyAlignment="1">
      <alignment horizontal="center" vertical="center"/>
    </xf>
    <xf numFmtId="0" fontId="1" fillId="8122" borderId="0" xfId="4" applyFill="1" applyAlignment="1">
      <alignment horizontal="center" vertical="center"/>
    </xf>
    <xf numFmtId="0" fontId="1" fillId="8123" borderId="0" xfId="4" applyFill="1" applyAlignment="1">
      <alignment horizontal="left" vertical="center"/>
    </xf>
    <xf numFmtId="0" fontId="1" fillId="8124" borderId="0" xfId="4" applyFill="1" applyAlignment="1">
      <alignment horizontal="center" vertical="center"/>
    </xf>
    <xf numFmtId="0" fontId="1" fillId="8125" borderId="0" xfId="4" applyFill="1" applyAlignment="1">
      <alignment horizontal="center" vertical="center"/>
    </xf>
    <xf numFmtId="0" fontId="1" fillId="8126" borderId="0" xfId="4" applyFill="1" applyAlignment="1">
      <alignment horizontal="center" vertical="center"/>
    </xf>
    <xf numFmtId="0" fontId="1" fillId="8127" borderId="0" xfId="4" applyFill="1" applyAlignment="1">
      <alignment horizontal="center" vertical="center"/>
    </xf>
    <xf numFmtId="0" fontId="1" fillId="8128" borderId="0" xfId="4" applyFill="1" applyAlignment="1">
      <alignment horizontal="center" vertical="center"/>
    </xf>
    <xf numFmtId="0" fontId="1" fillId="8129" borderId="0" xfId="4" applyFill="1" applyAlignment="1">
      <alignment horizontal="center" vertical="center"/>
    </xf>
    <xf numFmtId="0" fontId="1" fillId="8130" borderId="0" xfId="4" applyFill="1" applyAlignment="1">
      <alignment horizontal="center" vertical="center"/>
    </xf>
    <xf numFmtId="0" fontId="1" fillId="8131" borderId="0" xfId="4" applyFill="1" applyAlignment="1">
      <alignment horizontal="center" vertical="center"/>
    </xf>
    <xf numFmtId="0" fontId="1" fillId="8132" borderId="0" xfId="4" applyFill="1" applyAlignment="1">
      <alignment horizontal="center" vertical="center"/>
    </xf>
    <xf numFmtId="0" fontId="1" fillId="8133" borderId="0" xfId="4" applyFill="1" applyAlignment="1">
      <alignment horizontal="center" vertical="center"/>
    </xf>
    <xf numFmtId="0" fontId="1" fillId="8134" borderId="0" xfId="4" applyFill="1" applyAlignment="1">
      <alignment horizontal="center" vertical="center"/>
    </xf>
    <xf numFmtId="0" fontId="1" fillId="8135" borderId="0" xfId="4" applyFill="1" applyAlignment="1">
      <alignment horizontal="center" vertical="center"/>
    </xf>
    <xf numFmtId="0" fontId="1" fillId="8136" borderId="0" xfId="4" applyFill="1" applyAlignment="1">
      <alignment horizontal="center" vertical="center"/>
    </xf>
    <xf numFmtId="0" fontId="1" fillId="8137" borderId="0" xfId="4" applyFill="1" applyAlignment="1">
      <alignment horizontal="center" vertical="center"/>
    </xf>
    <xf numFmtId="0" fontId="1" fillId="5999" borderId="0" xfId="4" applyFill="1" applyAlignment="1">
      <alignment horizontal="center" vertical="center"/>
    </xf>
    <xf numFmtId="0" fontId="1" fillId="8138" borderId="0" xfId="4" applyFill="1" applyAlignment="1">
      <alignment horizontal="center" vertical="center"/>
    </xf>
    <xf numFmtId="0" fontId="1" fillId="8139" borderId="0" xfId="4" applyFill="1" applyAlignment="1">
      <alignment horizontal="center" vertical="center"/>
    </xf>
    <xf numFmtId="0" fontId="1" fillId="8140" borderId="0" xfId="4" applyFill="1" applyAlignment="1">
      <alignment horizontal="center" vertical="center"/>
    </xf>
    <xf numFmtId="0" fontId="1" fillId="8141" borderId="0" xfId="4" applyFill="1" applyAlignment="1">
      <alignment horizontal="center" vertical="center"/>
    </xf>
    <xf numFmtId="0" fontId="1" fillId="8142" borderId="0" xfId="4" applyFill="1" applyAlignment="1">
      <alignment horizontal="center" vertical="center"/>
    </xf>
    <xf numFmtId="0" fontId="1" fillId="8143" borderId="0" xfId="4" applyFill="1" applyAlignment="1">
      <alignment horizontal="center" vertical="center"/>
    </xf>
    <xf numFmtId="0" fontId="1" fillId="8144" borderId="0" xfId="4" applyFill="1" applyAlignment="1">
      <alignment horizontal="center" vertical="center"/>
    </xf>
    <xf numFmtId="0" fontId="1" fillId="8145" borderId="0" xfId="4" applyFill="1" applyAlignment="1">
      <alignment horizontal="center" vertical="center"/>
    </xf>
    <xf numFmtId="0" fontId="1" fillId="8146" borderId="0" xfId="4" applyFill="1" applyAlignment="1">
      <alignment horizontal="center" vertical="center"/>
    </xf>
    <xf numFmtId="0" fontId="1" fillId="8147" borderId="0" xfId="4" applyFill="1" applyAlignment="1">
      <alignment horizontal="center" vertical="center"/>
    </xf>
    <xf numFmtId="0" fontId="1" fillId="8148" borderId="0" xfId="4" applyFill="1" applyAlignment="1">
      <alignment horizontal="center" vertical="center"/>
    </xf>
    <xf numFmtId="0" fontId="1" fillId="8149" borderId="0" xfId="4" applyFill="1" applyAlignment="1">
      <alignment horizontal="center" vertical="center"/>
    </xf>
    <xf numFmtId="0" fontId="1" fillId="8150" borderId="0" xfId="4" applyFill="1" applyAlignment="1">
      <alignment horizontal="center" vertical="center"/>
    </xf>
    <xf numFmtId="0" fontId="1" fillId="8151" borderId="0" xfId="4" applyFill="1" applyAlignment="1">
      <alignment horizontal="center" vertical="center"/>
    </xf>
    <xf numFmtId="0" fontId="1" fillId="8152" borderId="0" xfId="4" applyFill="1" applyAlignment="1">
      <alignment horizontal="center" vertical="center"/>
    </xf>
    <xf numFmtId="0" fontId="1" fillId="8153" borderId="0" xfId="4" applyFill="1" applyAlignment="1">
      <alignment horizontal="center" vertical="center"/>
    </xf>
    <xf numFmtId="0" fontId="1" fillId="8154" borderId="0" xfId="4" applyFill="1" applyAlignment="1">
      <alignment horizontal="left" vertical="center"/>
    </xf>
    <xf numFmtId="0" fontId="1" fillId="8155" borderId="0" xfId="4" applyFill="1" applyAlignment="1">
      <alignment horizontal="center" vertical="center"/>
    </xf>
    <xf numFmtId="0" fontId="1" fillId="8156" borderId="0" xfId="4" applyFill="1" applyAlignment="1">
      <alignment horizontal="center" vertical="center"/>
    </xf>
    <xf numFmtId="0" fontId="1" fillId="8157" borderId="0" xfId="4" applyFill="1" applyAlignment="1">
      <alignment horizontal="center" vertical="center"/>
    </xf>
    <xf numFmtId="0" fontId="1" fillId="8158" borderId="0" xfId="4" applyFill="1" applyAlignment="1">
      <alignment horizontal="center" vertical="center"/>
    </xf>
    <xf numFmtId="0" fontId="1" fillId="8159" borderId="0" xfId="4" applyFill="1" applyAlignment="1">
      <alignment horizontal="center" vertical="center"/>
    </xf>
    <xf numFmtId="0" fontId="1" fillId="8160" borderId="0" xfId="4" applyFill="1" applyAlignment="1">
      <alignment horizontal="center" vertical="center"/>
    </xf>
    <xf numFmtId="0" fontId="1" fillId="8161" borderId="0" xfId="4" applyFill="1" applyAlignment="1">
      <alignment horizontal="center" vertical="center"/>
    </xf>
    <xf numFmtId="0" fontId="1" fillId="8162" borderId="0" xfId="4" applyFill="1" applyAlignment="1">
      <alignment horizontal="center" vertical="center"/>
    </xf>
    <xf numFmtId="0" fontId="1" fillId="8163" borderId="0" xfId="4" applyFill="1" applyAlignment="1">
      <alignment horizontal="center" vertical="center"/>
    </xf>
    <xf numFmtId="0" fontId="1" fillId="8164" borderId="0" xfId="4" applyFill="1" applyAlignment="1">
      <alignment horizontal="center" vertical="center"/>
    </xf>
    <xf numFmtId="0" fontId="1" fillId="8165" borderId="0" xfId="4" applyFill="1" applyAlignment="1">
      <alignment horizontal="center" vertical="center"/>
    </xf>
    <xf numFmtId="0" fontId="1" fillId="8166" borderId="0" xfId="4" applyFill="1" applyAlignment="1">
      <alignment horizontal="center" vertical="center"/>
    </xf>
    <xf numFmtId="0" fontId="1" fillId="8167" borderId="0" xfId="4" applyFill="1" applyAlignment="1">
      <alignment horizontal="center" vertical="center"/>
    </xf>
    <xf numFmtId="0" fontId="1" fillId="8168" borderId="0" xfId="4" applyFill="1" applyAlignment="1">
      <alignment horizontal="center" vertical="center"/>
    </xf>
    <xf numFmtId="0" fontId="1" fillId="8169" borderId="0" xfId="4" applyFill="1" applyAlignment="1">
      <alignment horizontal="center" vertical="center"/>
    </xf>
    <xf numFmtId="0" fontId="1" fillId="8170" borderId="0" xfId="4" applyFill="1" applyAlignment="1">
      <alignment horizontal="center" vertical="center"/>
    </xf>
    <xf numFmtId="0" fontId="1" fillId="8171" borderId="0" xfId="4" applyFill="1" applyAlignment="1">
      <alignment horizontal="center" vertical="center"/>
    </xf>
    <xf numFmtId="0" fontId="1" fillId="8172" borderId="0" xfId="4" applyFill="1" applyAlignment="1">
      <alignment horizontal="center" vertical="center"/>
    </xf>
    <xf numFmtId="0" fontId="1" fillId="8173" borderId="0" xfId="4" applyFill="1" applyAlignment="1">
      <alignment horizontal="center" vertical="center"/>
    </xf>
    <xf numFmtId="0" fontId="1" fillId="8174" borderId="0" xfId="4" applyFill="1" applyAlignment="1">
      <alignment horizontal="center" vertical="center"/>
    </xf>
    <xf numFmtId="0" fontId="1" fillId="8175" borderId="0" xfId="4" applyFill="1" applyAlignment="1">
      <alignment horizontal="center" vertical="center"/>
    </xf>
    <xf numFmtId="0" fontId="1" fillId="8176" borderId="0" xfId="4" applyFill="1" applyAlignment="1">
      <alignment horizontal="center" vertical="center"/>
    </xf>
    <xf numFmtId="0" fontId="1" fillId="8177" borderId="0" xfId="4" applyFill="1" applyAlignment="1">
      <alignment horizontal="center" vertical="center"/>
    </xf>
    <xf numFmtId="0" fontId="1" fillId="8178" borderId="0" xfId="4" applyFill="1" applyAlignment="1">
      <alignment horizontal="center" vertical="center"/>
    </xf>
    <xf numFmtId="0" fontId="1" fillId="8179" borderId="0" xfId="4" applyFill="1" applyAlignment="1">
      <alignment horizontal="center" vertical="center"/>
    </xf>
    <xf numFmtId="0" fontId="1" fillId="8180" borderId="0" xfId="4" applyFill="1" applyAlignment="1">
      <alignment horizontal="center" vertical="center"/>
    </xf>
    <xf numFmtId="0" fontId="1" fillId="8181" borderId="0" xfId="4" applyFill="1" applyAlignment="1">
      <alignment horizontal="center" vertical="center"/>
    </xf>
    <xf numFmtId="0" fontId="1" fillId="8182" borderId="0" xfId="4" applyFill="1" applyAlignment="1">
      <alignment horizontal="center" vertical="center"/>
    </xf>
    <xf numFmtId="0" fontId="1" fillId="8183" borderId="0" xfId="4" applyFill="1" applyAlignment="1">
      <alignment horizontal="center" vertical="center"/>
    </xf>
    <xf numFmtId="0" fontId="1" fillId="8184" borderId="0" xfId="4" applyFill="1" applyAlignment="1">
      <alignment horizontal="center" vertical="center"/>
    </xf>
    <xf numFmtId="0" fontId="1" fillId="8185" borderId="0" xfId="4" applyFill="1" applyAlignment="1">
      <alignment horizontal="center" vertical="center"/>
    </xf>
    <xf numFmtId="0" fontId="1" fillId="8186" borderId="0" xfId="4" applyFill="1" applyAlignment="1">
      <alignment horizontal="center" vertical="center"/>
    </xf>
    <xf numFmtId="0" fontId="1" fillId="8187" borderId="0" xfId="4" applyFill="1" applyAlignment="1">
      <alignment horizontal="center" vertical="center"/>
    </xf>
    <xf numFmtId="0" fontId="1" fillId="8188" borderId="0" xfId="4" applyFill="1" applyAlignment="1">
      <alignment horizontal="center" vertical="center"/>
    </xf>
    <xf numFmtId="0" fontId="1" fillId="8189" borderId="0" xfId="4" applyFill="1" applyAlignment="1">
      <alignment horizontal="center" vertical="center"/>
    </xf>
    <xf numFmtId="0" fontId="1" fillId="8190" borderId="0" xfId="4" applyFill="1" applyAlignment="1">
      <alignment horizontal="center" vertical="center"/>
    </xf>
    <xf numFmtId="0" fontId="1" fillId="8191" borderId="0" xfId="4" applyFill="1" applyAlignment="1">
      <alignment horizontal="center" vertical="center"/>
    </xf>
    <xf numFmtId="0" fontId="1" fillId="8192" borderId="0" xfId="4" applyFill="1" applyAlignment="1">
      <alignment horizontal="center" vertical="center"/>
    </xf>
    <xf numFmtId="0" fontId="1" fillId="8193" borderId="0" xfId="4" applyFill="1" applyAlignment="1">
      <alignment horizontal="center" vertical="center"/>
    </xf>
    <xf numFmtId="0" fontId="1" fillId="8194" borderId="0" xfId="4" applyFill="1" applyAlignment="1">
      <alignment horizontal="center" vertical="center"/>
    </xf>
    <xf numFmtId="0" fontId="1" fillId="8195" borderId="0" xfId="4" applyFill="1" applyAlignment="1">
      <alignment horizontal="center" vertical="center"/>
    </xf>
    <xf numFmtId="0" fontId="1" fillId="8196" borderId="0" xfId="4" applyFill="1" applyAlignment="1">
      <alignment horizontal="center" vertical="center"/>
    </xf>
    <xf numFmtId="0" fontId="1" fillId="8197" borderId="0" xfId="4" applyFill="1" applyAlignment="1">
      <alignment horizontal="center" vertical="center"/>
    </xf>
    <xf numFmtId="0" fontId="1" fillId="8198" borderId="0" xfId="4" applyFill="1" applyAlignment="1">
      <alignment horizontal="center" vertical="center"/>
    </xf>
    <xf numFmtId="0" fontId="1" fillId="8199" borderId="0" xfId="4" applyFill="1" applyAlignment="1">
      <alignment horizontal="center" vertical="center"/>
    </xf>
    <xf numFmtId="0" fontId="1" fillId="8200" borderId="0" xfId="4" applyFill="1" applyAlignment="1">
      <alignment horizontal="center" vertical="center"/>
    </xf>
    <xf numFmtId="0" fontId="1" fillId="8201" borderId="0" xfId="4" applyFill="1" applyAlignment="1">
      <alignment horizontal="center" vertical="center"/>
    </xf>
    <xf numFmtId="0" fontId="1" fillId="8202" borderId="0" xfId="4" applyFill="1" applyAlignment="1">
      <alignment horizontal="center" vertical="center"/>
    </xf>
    <xf numFmtId="0" fontId="1" fillId="8203" borderId="0" xfId="4" applyFill="1" applyAlignment="1">
      <alignment horizontal="left" vertical="center"/>
    </xf>
    <xf numFmtId="0" fontId="1" fillId="8204" borderId="0" xfId="4" applyFill="1" applyAlignment="1">
      <alignment horizontal="center" vertical="center"/>
    </xf>
    <xf numFmtId="0" fontId="1" fillId="8205" borderId="0" xfId="4" applyFill="1" applyAlignment="1">
      <alignment horizontal="center" vertical="center"/>
    </xf>
    <xf numFmtId="0" fontId="1" fillId="8206" borderId="0" xfId="4" applyFill="1" applyAlignment="1">
      <alignment horizontal="center" vertical="center"/>
    </xf>
    <xf numFmtId="0" fontId="1" fillId="8207" borderId="0" xfId="4" applyFill="1" applyAlignment="1">
      <alignment horizontal="center" vertical="center"/>
    </xf>
    <xf numFmtId="0" fontId="1" fillId="8208" borderId="0" xfId="4" applyFill="1" applyAlignment="1">
      <alignment horizontal="center" vertical="center"/>
    </xf>
    <xf numFmtId="0" fontId="1" fillId="8209" borderId="0" xfId="4" applyFill="1" applyAlignment="1">
      <alignment horizontal="center" vertical="center"/>
    </xf>
    <xf numFmtId="0" fontId="1" fillId="8210" borderId="0" xfId="4" applyFill="1" applyAlignment="1">
      <alignment horizontal="center" vertical="center"/>
    </xf>
    <xf numFmtId="0" fontId="1" fillId="8211" borderId="0" xfId="4" applyFill="1" applyAlignment="1">
      <alignment horizontal="center" vertical="center"/>
    </xf>
    <xf numFmtId="0" fontId="1" fillId="8212" borderId="0" xfId="4" applyFill="1" applyAlignment="1">
      <alignment horizontal="center" vertical="center"/>
    </xf>
    <xf numFmtId="0" fontId="1" fillId="8213" borderId="0" xfId="4" applyFill="1" applyAlignment="1">
      <alignment horizontal="center" vertical="center"/>
    </xf>
    <xf numFmtId="0" fontId="1" fillId="8214" borderId="0" xfId="4" applyFill="1" applyAlignment="1">
      <alignment horizontal="center" vertical="center"/>
    </xf>
    <xf numFmtId="0" fontId="1" fillId="8215" borderId="0" xfId="4" applyFill="1" applyAlignment="1">
      <alignment horizontal="center" vertical="center"/>
    </xf>
    <xf numFmtId="0" fontId="1" fillId="8216" borderId="0" xfId="4" applyFill="1" applyAlignment="1">
      <alignment horizontal="center" vertical="center"/>
    </xf>
    <xf numFmtId="0" fontId="1" fillId="8217" borderId="0" xfId="4" applyFill="1" applyAlignment="1">
      <alignment horizontal="center" vertical="center"/>
    </xf>
    <xf numFmtId="0" fontId="1" fillId="8218" borderId="0" xfId="4" applyFill="1" applyAlignment="1">
      <alignment horizontal="center" vertical="center"/>
    </xf>
    <xf numFmtId="0" fontId="1" fillId="8219" borderId="0" xfId="4" applyFill="1" applyAlignment="1">
      <alignment horizontal="center" vertical="center"/>
    </xf>
    <xf numFmtId="0" fontId="1" fillId="8220" borderId="0" xfId="4" applyFill="1" applyAlignment="1">
      <alignment horizontal="center" vertical="center"/>
    </xf>
    <xf numFmtId="0" fontId="1" fillId="8221" borderId="0" xfId="4" applyFill="1" applyAlignment="1">
      <alignment horizontal="center" vertical="center"/>
    </xf>
    <xf numFmtId="0" fontId="1" fillId="8222" borderId="0" xfId="4" applyFill="1" applyAlignment="1">
      <alignment horizontal="center" vertical="center"/>
    </xf>
    <xf numFmtId="0" fontId="1" fillId="8223" borderId="0" xfId="4" applyFill="1" applyAlignment="1">
      <alignment horizontal="center" vertical="center"/>
    </xf>
    <xf numFmtId="0" fontId="1" fillId="8224" borderId="0" xfId="4" applyFill="1" applyAlignment="1">
      <alignment horizontal="center" vertical="center"/>
    </xf>
    <xf numFmtId="0" fontId="1" fillId="8225" borderId="0" xfId="4" applyFill="1" applyAlignment="1">
      <alignment horizontal="center" vertical="center"/>
    </xf>
    <xf numFmtId="0" fontId="1" fillId="8226" borderId="0" xfId="4" applyFill="1" applyAlignment="1">
      <alignment horizontal="center" vertical="center"/>
    </xf>
    <xf numFmtId="0" fontId="1" fillId="8227" borderId="0" xfId="4" applyFill="1" applyAlignment="1">
      <alignment horizontal="center" vertical="center"/>
    </xf>
    <xf numFmtId="0" fontId="1" fillId="8228" borderId="0" xfId="4" applyFill="1" applyAlignment="1">
      <alignment horizontal="center" vertical="center"/>
    </xf>
    <xf numFmtId="0" fontId="1" fillId="8229" borderId="0" xfId="4" applyFill="1" applyAlignment="1">
      <alignment horizontal="center" vertical="center"/>
    </xf>
    <xf numFmtId="0" fontId="1" fillId="8230" borderId="0" xfId="4" applyFill="1" applyAlignment="1">
      <alignment horizontal="center" vertical="center"/>
    </xf>
    <xf numFmtId="0" fontId="1" fillId="8231" borderId="0" xfId="4" applyFill="1" applyAlignment="1">
      <alignment horizontal="center" vertical="center"/>
    </xf>
    <xf numFmtId="0" fontId="1" fillId="8232" borderId="0" xfId="4" applyFill="1" applyAlignment="1">
      <alignment horizontal="center" vertical="center"/>
    </xf>
    <xf numFmtId="0" fontId="1" fillId="8233" borderId="0" xfId="4" applyFill="1" applyAlignment="1">
      <alignment horizontal="center" vertical="center"/>
    </xf>
    <xf numFmtId="0" fontId="1" fillId="8234" borderId="0" xfId="4" applyFill="1" applyAlignment="1">
      <alignment horizontal="center" vertical="center"/>
    </xf>
    <xf numFmtId="0" fontId="1" fillId="8235" borderId="0" xfId="4" applyFill="1" applyAlignment="1">
      <alignment horizontal="left" vertical="center"/>
    </xf>
    <xf numFmtId="0" fontId="1" fillId="8236" borderId="0" xfId="4" applyFill="1" applyAlignment="1">
      <alignment horizontal="center" vertical="center"/>
    </xf>
    <xf numFmtId="0" fontId="1" fillId="8237" borderId="0" xfId="4" applyFill="1" applyAlignment="1">
      <alignment horizontal="center" vertical="center"/>
    </xf>
    <xf numFmtId="0" fontId="1" fillId="8238" borderId="0" xfId="4" applyFill="1" applyAlignment="1">
      <alignment horizontal="center" vertical="center"/>
    </xf>
    <xf numFmtId="0" fontId="1" fillId="8239" borderId="0" xfId="4" applyFill="1" applyAlignment="1">
      <alignment horizontal="center" vertical="center"/>
    </xf>
    <xf numFmtId="0" fontId="1" fillId="8240" borderId="0" xfId="4" applyFill="1" applyAlignment="1">
      <alignment horizontal="center" vertical="center"/>
    </xf>
    <xf numFmtId="0" fontId="1" fillId="8241" borderId="0" xfId="4" applyFill="1" applyAlignment="1">
      <alignment horizontal="center" vertical="center"/>
    </xf>
    <xf numFmtId="0" fontId="1" fillId="8242" borderId="0" xfId="4" applyFill="1" applyAlignment="1">
      <alignment horizontal="center" vertical="center"/>
    </xf>
    <xf numFmtId="0" fontId="1" fillId="8243" borderId="0" xfId="4" applyFill="1" applyAlignment="1">
      <alignment horizontal="center" vertical="center"/>
    </xf>
    <xf numFmtId="0" fontId="1" fillId="8244" borderId="0" xfId="4" applyFill="1" applyAlignment="1">
      <alignment horizontal="center" vertical="center"/>
    </xf>
    <xf numFmtId="0" fontId="1" fillId="8245" borderId="0" xfId="4" applyFill="1" applyAlignment="1">
      <alignment horizontal="center" vertical="center"/>
    </xf>
    <xf numFmtId="0" fontId="1" fillId="8246" borderId="0" xfId="4" applyFill="1" applyAlignment="1">
      <alignment horizontal="center" vertical="center"/>
    </xf>
    <xf numFmtId="0" fontId="1" fillId="8247" borderId="0" xfId="4" applyFill="1" applyAlignment="1">
      <alignment horizontal="center" vertical="center"/>
    </xf>
    <xf numFmtId="0" fontId="1" fillId="8248" borderId="0" xfId="4" applyFill="1" applyAlignment="1">
      <alignment horizontal="center" vertical="center"/>
    </xf>
    <xf numFmtId="0" fontId="1" fillId="8249" borderId="0" xfId="4" applyFill="1" applyAlignment="1">
      <alignment horizontal="center" vertical="center"/>
    </xf>
    <xf numFmtId="0" fontId="1" fillId="8250" borderId="0" xfId="4" applyFill="1" applyAlignment="1">
      <alignment horizontal="center" vertical="center"/>
    </xf>
    <xf numFmtId="0" fontId="1" fillId="8251" borderId="0" xfId="4" applyFill="1" applyAlignment="1">
      <alignment horizontal="center" vertical="center"/>
    </xf>
    <xf numFmtId="0" fontId="1" fillId="8252" borderId="0" xfId="4" applyFill="1" applyAlignment="1">
      <alignment horizontal="center" vertical="center"/>
    </xf>
    <xf numFmtId="0" fontId="1" fillId="8253" borderId="0" xfId="4" applyFill="1" applyAlignment="1">
      <alignment horizontal="center" vertical="center"/>
    </xf>
    <xf numFmtId="0" fontId="1" fillId="8254" borderId="0" xfId="4" applyFill="1" applyAlignment="1">
      <alignment horizontal="center" vertical="center"/>
    </xf>
    <xf numFmtId="0" fontId="1" fillId="8255" borderId="0" xfId="4" applyFill="1" applyAlignment="1">
      <alignment horizontal="center" vertical="center"/>
    </xf>
    <xf numFmtId="0" fontId="1" fillId="8256" borderId="0" xfId="4" applyFill="1" applyAlignment="1">
      <alignment horizontal="center" vertical="center"/>
    </xf>
    <xf numFmtId="0" fontId="1" fillId="8257" borderId="0" xfId="4" applyFill="1" applyAlignment="1">
      <alignment horizontal="center" vertical="center"/>
    </xf>
    <xf numFmtId="0" fontId="1" fillId="8258" borderId="0" xfId="4" applyFill="1" applyAlignment="1">
      <alignment horizontal="center" vertical="center"/>
    </xf>
    <xf numFmtId="0" fontId="1" fillId="8259" borderId="0" xfId="4" applyFill="1" applyAlignment="1">
      <alignment horizontal="center" vertical="center"/>
    </xf>
    <xf numFmtId="0" fontId="1" fillId="8260" borderId="0" xfId="4" applyFill="1" applyAlignment="1">
      <alignment horizontal="center" vertical="center"/>
    </xf>
    <xf numFmtId="0" fontId="1" fillId="8261" borderId="0" xfId="4" applyFill="1" applyAlignment="1">
      <alignment horizontal="center" vertical="center"/>
    </xf>
    <xf numFmtId="0" fontId="1" fillId="8262" borderId="0" xfId="4" applyFill="1" applyAlignment="1">
      <alignment horizontal="center" vertical="center"/>
    </xf>
    <xf numFmtId="0" fontId="1" fillId="8263" borderId="0" xfId="4" applyFill="1" applyAlignment="1">
      <alignment horizontal="center" vertical="center"/>
    </xf>
    <xf numFmtId="0" fontId="1" fillId="8264" borderId="0" xfId="4" applyFill="1" applyAlignment="1">
      <alignment horizontal="center" vertical="center"/>
    </xf>
    <xf numFmtId="0" fontId="1" fillId="8265" borderId="0" xfId="4" applyFill="1" applyAlignment="1">
      <alignment horizontal="center" vertical="center"/>
    </xf>
    <xf numFmtId="0" fontId="1" fillId="8266" borderId="0" xfId="4" applyFill="1" applyAlignment="1">
      <alignment horizontal="center" vertical="center"/>
    </xf>
    <xf numFmtId="0" fontId="1" fillId="8267" borderId="0" xfId="4" applyFill="1" applyAlignment="1">
      <alignment horizontal="center" vertical="center"/>
    </xf>
    <xf numFmtId="0" fontId="1" fillId="8268" borderId="0" xfId="4" applyFill="1" applyAlignment="1">
      <alignment horizontal="center" vertical="center"/>
    </xf>
    <xf numFmtId="0" fontId="1" fillId="8269" borderId="0" xfId="4" applyFill="1" applyAlignment="1">
      <alignment horizontal="center" vertical="center"/>
    </xf>
    <xf numFmtId="0" fontId="1" fillId="8270" borderId="0" xfId="4" applyFill="1" applyAlignment="1">
      <alignment horizontal="center" vertical="center"/>
    </xf>
    <xf numFmtId="0" fontId="1" fillId="8271" borderId="0" xfId="4" applyFill="1" applyAlignment="1">
      <alignment horizontal="center" vertical="center"/>
    </xf>
    <xf numFmtId="0" fontId="1" fillId="8272" borderId="0" xfId="4" applyFill="1" applyAlignment="1">
      <alignment horizontal="center" vertical="center"/>
    </xf>
    <xf numFmtId="0" fontId="1" fillId="8273" borderId="0" xfId="4" applyFill="1" applyAlignment="1">
      <alignment horizontal="center" vertical="center"/>
    </xf>
    <xf numFmtId="0" fontId="1" fillId="8274" borderId="0" xfId="4" applyFill="1" applyAlignment="1">
      <alignment horizontal="center" vertical="center"/>
    </xf>
    <xf numFmtId="0" fontId="1" fillId="8275" borderId="0" xfId="4" applyFill="1" applyAlignment="1">
      <alignment horizontal="center" vertical="center"/>
    </xf>
    <xf numFmtId="0" fontId="1" fillId="8276" borderId="0" xfId="4" applyFill="1" applyAlignment="1">
      <alignment horizontal="center" vertical="center"/>
    </xf>
    <xf numFmtId="0" fontId="1" fillId="8277" borderId="0" xfId="4" applyFill="1" applyAlignment="1">
      <alignment horizontal="center" vertical="center"/>
    </xf>
    <xf numFmtId="0" fontId="1" fillId="8278" borderId="0" xfId="4" applyFill="1" applyAlignment="1">
      <alignment horizontal="center" vertical="center"/>
    </xf>
    <xf numFmtId="0" fontId="1" fillId="8279" borderId="0" xfId="4" applyFill="1" applyAlignment="1">
      <alignment horizontal="center" vertical="center"/>
    </xf>
    <xf numFmtId="0" fontId="1" fillId="8280" borderId="0" xfId="4" applyFill="1" applyAlignment="1">
      <alignment horizontal="center" vertical="center"/>
    </xf>
    <xf numFmtId="0" fontId="1" fillId="8281" borderId="0" xfId="4" applyFill="1" applyAlignment="1">
      <alignment horizontal="center" vertical="center"/>
    </xf>
    <xf numFmtId="0" fontId="1" fillId="8282" borderId="0" xfId="4" applyFill="1" applyAlignment="1">
      <alignment horizontal="center" vertical="center"/>
    </xf>
    <xf numFmtId="0" fontId="1" fillId="8283" borderId="0" xfId="4" applyFill="1" applyAlignment="1">
      <alignment horizontal="center" vertical="center"/>
    </xf>
    <xf numFmtId="0" fontId="1" fillId="8284" borderId="0" xfId="4" applyFill="1" applyAlignment="1">
      <alignment horizontal="center" vertical="center"/>
    </xf>
    <xf numFmtId="0" fontId="1" fillId="8285" borderId="0" xfId="4" applyFill="1" applyAlignment="1">
      <alignment horizontal="center" vertical="center"/>
    </xf>
    <xf numFmtId="0" fontId="1" fillId="8286" borderId="0" xfId="4" applyFill="1" applyAlignment="1">
      <alignment horizontal="center" vertical="center"/>
    </xf>
    <xf numFmtId="0" fontId="1" fillId="8287" borderId="0" xfId="4" applyFill="1" applyAlignment="1">
      <alignment horizontal="center" vertical="center"/>
    </xf>
    <xf numFmtId="0" fontId="1" fillId="8288" borderId="0" xfId="4" applyFill="1" applyAlignment="1">
      <alignment horizontal="center" vertical="center"/>
    </xf>
    <xf numFmtId="0" fontId="1" fillId="8289" borderId="0" xfId="4" applyFill="1" applyAlignment="1">
      <alignment horizontal="left" vertical="center"/>
    </xf>
    <xf numFmtId="0" fontId="1" fillId="8290" borderId="0" xfId="4" applyFill="1" applyAlignment="1">
      <alignment horizontal="center" vertical="center"/>
    </xf>
    <xf numFmtId="0" fontId="1" fillId="8291" borderId="0" xfId="4" applyFill="1" applyAlignment="1">
      <alignment horizontal="center" vertical="center"/>
    </xf>
    <xf numFmtId="0" fontId="1" fillId="8292" borderId="0" xfId="4" applyFill="1" applyAlignment="1">
      <alignment horizontal="center" vertical="center"/>
    </xf>
    <xf numFmtId="0" fontId="1" fillId="8293" borderId="0" xfId="4" applyFill="1" applyAlignment="1">
      <alignment horizontal="center" vertical="center"/>
    </xf>
    <xf numFmtId="0" fontId="1" fillId="8294" borderId="0" xfId="4" applyFill="1" applyAlignment="1">
      <alignment horizontal="center" vertical="center"/>
    </xf>
    <xf numFmtId="0" fontId="1" fillId="8295" borderId="0" xfId="4" applyFill="1" applyAlignment="1">
      <alignment horizontal="center" vertical="center"/>
    </xf>
    <xf numFmtId="0" fontId="1" fillId="8296" borderId="0" xfId="4" applyFill="1" applyAlignment="1">
      <alignment horizontal="center" vertical="center"/>
    </xf>
    <xf numFmtId="0" fontId="1" fillId="8297" borderId="0" xfId="4" applyFill="1" applyAlignment="1">
      <alignment horizontal="center" vertical="center"/>
    </xf>
    <xf numFmtId="0" fontId="1" fillId="8298" borderId="0" xfId="4" applyFill="1" applyAlignment="1">
      <alignment horizontal="center" vertical="center"/>
    </xf>
    <xf numFmtId="0" fontId="1" fillId="8299" borderId="0" xfId="4" applyFill="1" applyAlignment="1">
      <alignment horizontal="center" vertical="center"/>
    </xf>
    <xf numFmtId="0" fontId="1" fillId="8300" borderId="0" xfId="4" applyFill="1" applyAlignment="1">
      <alignment horizontal="center" vertical="center"/>
    </xf>
    <xf numFmtId="0" fontId="1" fillId="8301" borderId="0" xfId="4" applyFill="1" applyAlignment="1">
      <alignment horizontal="center" vertical="center"/>
    </xf>
    <xf numFmtId="0" fontId="1" fillId="8302" borderId="0" xfId="4" applyFill="1" applyAlignment="1">
      <alignment horizontal="center" vertical="center"/>
    </xf>
    <xf numFmtId="0" fontId="1" fillId="8303" borderId="0" xfId="4" applyFill="1" applyAlignment="1">
      <alignment horizontal="center" vertical="center"/>
    </xf>
    <xf numFmtId="0" fontId="1" fillId="8304" borderId="0" xfId="4" applyFill="1" applyAlignment="1">
      <alignment horizontal="center" vertical="center"/>
    </xf>
    <xf numFmtId="0" fontId="1" fillId="8305" borderId="0" xfId="4" applyFill="1" applyAlignment="1">
      <alignment horizontal="center" vertical="center"/>
    </xf>
    <xf numFmtId="0" fontId="1" fillId="8306" borderId="0" xfId="4" applyFill="1" applyAlignment="1">
      <alignment horizontal="center" vertical="center"/>
    </xf>
    <xf numFmtId="0" fontId="1" fillId="8307" borderId="0" xfId="4" applyFill="1" applyAlignment="1">
      <alignment horizontal="center" vertical="center"/>
    </xf>
    <xf numFmtId="0" fontId="1" fillId="8308" borderId="0" xfId="4" applyFill="1" applyAlignment="1">
      <alignment horizontal="center" vertical="center"/>
    </xf>
    <xf numFmtId="0" fontId="1" fillId="8309" borderId="0" xfId="4" applyFill="1" applyAlignment="1">
      <alignment horizontal="center" vertical="center"/>
    </xf>
    <xf numFmtId="0" fontId="1" fillId="8310" borderId="0" xfId="4" applyFill="1" applyAlignment="1">
      <alignment horizontal="center" vertical="center"/>
    </xf>
    <xf numFmtId="0" fontId="1" fillId="8311" borderId="0" xfId="4" applyFill="1" applyAlignment="1">
      <alignment horizontal="center" vertical="center"/>
    </xf>
    <xf numFmtId="0" fontId="1" fillId="8312" borderId="0" xfId="4" applyFill="1" applyAlignment="1">
      <alignment horizontal="center" vertical="center"/>
    </xf>
    <xf numFmtId="0" fontId="1" fillId="8313" borderId="0" xfId="4" applyFill="1" applyAlignment="1">
      <alignment horizontal="center" vertical="center"/>
    </xf>
    <xf numFmtId="0" fontId="1" fillId="8314" borderId="0" xfId="4" applyFill="1" applyAlignment="1">
      <alignment horizontal="center" vertical="center"/>
    </xf>
    <xf numFmtId="0" fontId="1" fillId="8315" borderId="0" xfId="4" applyFill="1" applyAlignment="1">
      <alignment horizontal="center" vertical="center"/>
    </xf>
    <xf numFmtId="0" fontId="1" fillId="8316" borderId="0" xfId="4" applyFill="1" applyAlignment="1">
      <alignment horizontal="center" vertical="center"/>
    </xf>
    <xf numFmtId="0" fontId="1" fillId="8317" borderId="0" xfId="4" applyFill="1" applyAlignment="1">
      <alignment horizontal="center" vertical="center"/>
    </xf>
    <xf numFmtId="0" fontId="1" fillId="8318" borderId="0" xfId="4" applyFill="1" applyAlignment="1">
      <alignment horizontal="center" vertical="center"/>
    </xf>
    <xf numFmtId="0" fontId="1" fillId="8319" borderId="0" xfId="4" applyFill="1" applyAlignment="1">
      <alignment horizontal="center" vertical="center"/>
    </xf>
    <xf numFmtId="0" fontId="1" fillId="8320" borderId="0" xfId="4" applyFill="1" applyAlignment="1">
      <alignment horizontal="center" vertical="center"/>
    </xf>
    <xf numFmtId="0" fontId="1" fillId="8321" borderId="0" xfId="4" applyFill="1" applyAlignment="1">
      <alignment horizontal="left" vertical="center"/>
    </xf>
    <xf numFmtId="0" fontId="1" fillId="8322" borderId="0" xfId="4" applyFill="1" applyAlignment="1">
      <alignment horizontal="center" vertical="center"/>
    </xf>
    <xf numFmtId="0" fontId="1" fillId="8323" borderId="0" xfId="4" applyFill="1" applyAlignment="1">
      <alignment horizontal="center" vertical="center"/>
    </xf>
    <xf numFmtId="0" fontId="1" fillId="8324" borderId="0" xfId="4" applyFill="1" applyAlignment="1">
      <alignment horizontal="center" vertical="center"/>
    </xf>
    <xf numFmtId="0" fontId="1" fillId="8325" borderId="0" xfId="4" applyFill="1" applyAlignment="1">
      <alignment horizontal="center" vertical="center"/>
    </xf>
    <xf numFmtId="0" fontId="1" fillId="8326" borderId="0" xfId="4" applyFill="1" applyAlignment="1">
      <alignment horizontal="center" vertical="center"/>
    </xf>
    <xf numFmtId="0" fontId="1" fillId="8327" borderId="0" xfId="4" applyFill="1" applyAlignment="1">
      <alignment horizontal="center" vertical="center"/>
    </xf>
    <xf numFmtId="0" fontId="1" fillId="8328" borderId="0" xfId="4" applyFill="1" applyAlignment="1">
      <alignment horizontal="center" vertical="center"/>
    </xf>
    <xf numFmtId="0" fontId="1" fillId="8329" borderId="0" xfId="4" applyFill="1" applyAlignment="1">
      <alignment horizontal="center" vertical="center"/>
    </xf>
    <xf numFmtId="0" fontId="1" fillId="8330" borderId="0" xfId="4" applyFill="1" applyAlignment="1">
      <alignment horizontal="center" vertical="center"/>
    </xf>
    <xf numFmtId="0" fontId="1" fillId="8331" borderId="0" xfId="4" applyFill="1" applyAlignment="1">
      <alignment horizontal="center" vertical="center"/>
    </xf>
    <xf numFmtId="0" fontId="1" fillId="8332" borderId="0" xfId="4" applyFill="1" applyAlignment="1">
      <alignment horizontal="center" vertical="center"/>
    </xf>
    <xf numFmtId="0" fontId="1" fillId="8333" borderId="0" xfId="4" applyFill="1" applyAlignment="1">
      <alignment horizontal="center" vertical="center"/>
    </xf>
    <xf numFmtId="0" fontId="1" fillId="8334" borderId="0" xfId="4" applyFill="1" applyAlignment="1">
      <alignment horizontal="center" vertical="center"/>
    </xf>
    <xf numFmtId="0" fontId="1" fillId="8335" borderId="0" xfId="4" applyFill="1" applyAlignment="1">
      <alignment horizontal="center" vertical="center"/>
    </xf>
    <xf numFmtId="0" fontId="1" fillId="8336" borderId="0" xfId="4" applyFill="1" applyAlignment="1">
      <alignment horizontal="center" vertical="center"/>
    </xf>
    <xf numFmtId="0" fontId="1" fillId="8337" borderId="0" xfId="4" applyFill="1" applyAlignment="1">
      <alignment horizontal="center" vertical="center"/>
    </xf>
    <xf numFmtId="0" fontId="1" fillId="8338" borderId="0" xfId="4" applyFill="1" applyAlignment="1">
      <alignment horizontal="center" vertical="center"/>
    </xf>
    <xf numFmtId="0" fontId="1" fillId="8339" borderId="0" xfId="4" applyFill="1" applyAlignment="1">
      <alignment horizontal="center" vertical="center"/>
    </xf>
    <xf numFmtId="0" fontId="1" fillId="8340" borderId="0" xfId="4" applyFill="1" applyAlignment="1">
      <alignment horizontal="center" vertical="center"/>
    </xf>
    <xf numFmtId="0" fontId="1" fillId="8341" borderId="0" xfId="4" applyFill="1" applyAlignment="1">
      <alignment horizontal="center" vertical="center"/>
    </xf>
    <xf numFmtId="0" fontId="1" fillId="8342" borderId="0" xfId="4" applyFill="1" applyAlignment="1">
      <alignment horizontal="center" vertical="center"/>
    </xf>
    <xf numFmtId="0" fontId="1" fillId="8343" borderId="0" xfId="4" applyFill="1" applyAlignment="1">
      <alignment horizontal="center" vertical="center"/>
    </xf>
    <xf numFmtId="0" fontId="1" fillId="8344" borderId="0" xfId="4" applyFill="1" applyAlignment="1">
      <alignment horizontal="center" vertical="center"/>
    </xf>
    <xf numFmtId="0" fontId="1" fillId="8345" borderId="0" xfId="4" applyFill="1" applyAlignment="1">
      <alignment horizontal="center" vertical="center"/>
    </xf>
    <xf numFmtId="0" fontId="1" fillId="8346" borderId="0" xfId="4" applyFill="1" applyAlignment="1">
      <alignment horizontal="center" vertical="center"/>
    </xf>
    <xf numFmtId="0" fontId="1" fillId="8347" borderId="0" xfId="4" applyFill="1" applyAlignment="1">
      <alignment horizontal="center" vertical="center"/>
    </xf>
    <xf numFmtId="0" fontId="1" fillId="8348" borderId="0" xfId="4" applyFill="1" applyAlignment="1">
      <alignment horizontal="center" vertical="center"/>
    </xf>
    <xf numFmtId="0" fontId="1" fillId="8349" borderId="0" xfId="4" applyFill="1" applyAlignment="1">
      <alignment horizontal="center" vertical="center"/>
    </xf>
    <xf numFmtId="0" fontId="1" fillId="8350" borderId="0" xfId="4" applyFill="1" applyAlignment="1">
      <alignment horizontal="center" vertical="center"/>
    </xf>
    <xf numFmtId="0" fontId="1" fillId="8351" borderId="0" xfId="4" applyFill="1" applyAlignment="1">
      <alignment horizontal="center" vertical="center"/>
    </xf>
    <xf numFmtId="0" fontId="1" fillId="8352" borderId="0" xfId="4" applyFill="1" applyAlignment="1">
      <alignment horizontal="center" vertical="center"/>
    </xf>
    <xf numFmtId="0" fontId="1" fillId="8353" borderId="0" xfId="4" applyFill="1" applyAlignment="1">
      <alignment horizontal="center" vertical="center"/>
    </xf>
    <xf numFmtId="0" fontId="1" fillId="8354" borderId="0" xfId="4" applyFill="1" applyAlignment="1">
      <alignment horizontal="center" vertical="center"/>
    </xf>
    <xf numFmtId="0" fontId="1" fillId="8355" borderId="0" xfId="4" applyFill="1" applyAlignment="1">
      <alignment horizontal="center" vertical="center"/>
    </xf>
    <xf numFmtId="0" fontId="1" fillId="8356" borderId="0" xfId="4" applyFill="1" applyAlignment="1">
      <alignment horizontal="center" vertical="center"/>
    </xf>
    <xf numFmtId="0" fontId="1" fillId="8357" borderId="0" xfId="4" applyFill="1" applyAlignment="1">
      <alignment horizontal="center" vertical="center"/>
    </xf>
    <xf numFmtId="0" fontId="1" fillId="8358" borderId="0" xfId="4" applyFill="1" applyAlignment="1">
      <alignment horizontal="center" vertical="center"/>
    </xf>
    <xf numFmtId="0" fontId="1" fillId="8359" borderId="0" xfId="4" applyFill="1" applyAlignment="1">
      <alignment horizontal="center" vertical="center"/>
    </xf>
    <xf numFmtId="0" fontId="1" fillId="8360" borderId="0" xfId="4" applyFill="1" applyAlignment="1">
      <alignment horizontal="center" vertical="center"/>
    </xf>
    <xf numFmtId="0" fontId="1" fillId="8361" borderId="0" xfId="4" applyFill="1" applyAlignment="1">
      <alignment horizontal="center" vertical="center"/>
    </xf>
    <xf numFmtId="0" fontId="1" fillId="8362" borderId="0" xfId="4" applyFill="1" applyAlignment="1">
      <alignment horizontal="center" vertical="center"/>
    </xf>
    <xf numFmtId="0" fontId="1" fillId="8363" borderId="0" xfId="4" applyFill="1" applyAlignment="1">
      <alignment horizontal="center" vertical="center"/>
    </xf>
    <xf numFmtId="0" fontId="1" fillId="8364" borderId="0" xfId="4" applyFill="1" applyAlignment="1">
      <alignment horizontal="center" vertical="center"/>
    </xf>
    <xf numFmtId="0" fontId="1" fillId="8365" borderId="0" xfId="4" applyFill="1" applyAlignment="1">
      <alignment horizontal="center" vertical="center"/>
    </xf>
    <xf numFmtId="0" fontId="1" fillId="8366" borderId="0" xfId="4" applyFill="1" applyAlignment="1">
      <alignment horizontal="center" vertical="center"/>
    </xf>
    <xf numFmtId="0" fontId="1" fillId="8367" borderId="0" xfId="4" applyFill="1" applyAlignment="1">
      <alignment horizontal="center" vertical="center"/>
    </xf>
    <xf numFmtId="0" fontId="1" fillId="8368" borderId="0" xfId="4" applyFill="1" applyAlignment="1">
      <alignment horizontal="center" vertical="center"/>
    </xf>
    <xf numFmtId="0" fontId="1" fillId="8369" borderId="0" xfId="4" applyFill="1" applyAlignment="1">
      <alignment horizontal="center" vertical="center"/>
    </xf>
    <xf numFmtId="0" fontId="1" fillId="8370" borderId="0" xfId="4" applyFill="1" applyAlignment="1">
      <alignment horizontal="center" vertical="center"/>
    </xf>
    <xf numFmtId="0" fontId="1" fillId="8371" borderId="0" xfId="4" applyFill="1" applyAlignment="1">
      <alignment horizontal="left" vertical="center"/>
    </xf>
    <xf numFmtId="0" fontId="1" fillId="8372" borderId="0" xfId="4" applyFill="1" applyAlignment="1">
      <alignment horizontal="center" vertical="center"/>
    </xf>
    <xf numFmtId="0" fontId="1" fillId="8373" borderId="0" xfId="4" applyFill="1" applyAlignment="1">
      <alignment horizontal="center" vertical="center"/>
    </xf>
    <xf numFmtId="0" fontId="1" fillId="8374" borderId="0" xfId="4" applyFill="1" applyAlignment="1">
      <alignment horizontal="center" vertical="center"/>
    </xf>
    <xf numFmtId="0" fontId="1" fillId="8375" borderId="0" xfId="4" applyFill="1" applyAlignment="1">
      <alignment horizontal="center" vertical="center"/>
    </xf>
    <xf numFmtId="0" fontId="1" fillId="8376" borderId="0" xfId="4" applyFill="1" applyAlignment="1">
      <alignment horizontal="center" vertical="center"/>
    </xf>
    <xf numFmtId="0" fontId="1" fillId="8377" borderId="0" xfId="4" applyFill="1" applyAlignment="1">
      <alignment horizontal="center" vertical="center"/>
    </xf>
    <xf numFmtId="0" fontId="1" fillId="8378" borderId="0" xfId="4" applyFill="1" applyAlignment="1">
      <alignment horizontal="center" vertical="center"/>
    </xf>
    <xf numFmtId="0" fontId="1" fillId="8379" borderId="0" xfId="4" applyFill="1" applyAlignment="1">
      <alignment horizontal="center" vertical="center"/>
    </xf>
    <xf numFmtId="0" fontId="1" fillId="8380" borderId="0" xfId="4" applyFill="1" applyAlignment="1">
      <alignment horizontal="center" vertical="center"/>
    </xf>
    <xf numFmtId="0" fontId="1" fillId="8381" borderId="0" xfId="4" applyFill="1" applyAlignment="1">
      <alignment horizontal="center" vertical="center"/>
    </xf>
    <xf numFmtId="0" fontId="1" fillId="8382" borderId="0" xfId="4" applyFill="1" applyAlignment="1">
      <alignment horizontal="center" vertical="center"/>
    </xf>
    <xf numFmtId="0" fontId="1" fillId="8383" borderId="0" xfId="4" applyFill="1" applyAlignment="1">
      <alignment horizontal="center" vertical="center"/>
    </xf>
    <xf numFmtId="0" fontId="1" fillId="8384" borderId="0" xfId="4" applyFill="1" applyAlignment="1">
      <alignment horizontal="center" vertical="center"/>
    </xf>
    <xf numFmtId="0" fontId="1" fillId="8385" borderId="0" xfId="4" applyFill="1" applyAlignment="1">
      <alignment horizontal="center" vertical="center"/>
    </xf>
    <xf numFmtId="0" fontId="1" fillId="8386" borderId="0" xfId="4" applyFill="1" applyAlignment="1">
      <alignment horizontal="center" vertical="center"/>
    </xf>
    <xf numFmtId="0" fontId="1" fillId="8387" borderId="0" xfId="4" applyFill="1" applyAlignment="1">
      <alignment horizontal="center" vertical="center"/>
    </xf>
    <xf numFmtId="0" fontId="1" fillId="8388" borderId="0" xfId="4" applyFill="1" applyAlignment="1">
      <alignment horizontal="center" vertical="center"/>
    </xf>
    <xf numFmtId="0" fontId="1" fillId="8389" borderId="0" xfId="4" applyFill="1" applyAlignment="1">
      <alignment horizontal="center" vertical="center"/>
    </xf>
    <xf numFmtId="0" fontId="1" fillId="8390" borderId="0" xfId="4" applyFill="1" applyAlignment="1">
      <alignment horizontal="center" vertical="center"/>
    </xf>
    <xf numFmtId="0" fontId="1" fillId="8391" borderId="0" xfId="4" applyFill="1" applyAlignment="1">
      <alignment horizontal="center" vertical="center"/>
    </xf>
    <xf numFmtId="0" fontId="1" fillId="8392" borderId="0" xfId="4" applyFill="1" applyAlignment="1">
      <alignment horizontal="center" vertical="center"/>
    </xf>
    <xf numFmtId="0" fontId="1" fillId="8393" borderId="0" xfId="4" applyFill="1" applyAlignment="1">
      <alignment horizontal="center" vertical="center"/>
    </xf>
    <xf numFmtId="0" fontId="1" fillId="8394" borderId="0" xfId="4" applyFill="1" applyAlignment="1">
      <alignment horizontal="center" vertical="center"/>
    </xf>
    <xf numFmtId="0" fontId="1" fillId="8395" borderId="0" xfId="4" applyFill="1" applyAlignment="1">
      <alignment horizontal="center" vertical="center"/>
    </xf>
    <xf numFmtId="0" fontId="1" fillId="8396" borderId="0" xfId="4" applyFill="1" applyAlignment="1">
      <alignment horizontal="center" vertical="center"/>
    </xf>
    <xf numFmtId="0" fontId="1" fillId="8397" borderId="0" xfId="4" applyFill="1" applyAlignment="1">
      <alignment horizontal="center" vertical="center"/>
    </xf>
    <xf numFmtId="0" fontId="1" fillId="8398" borderId="0" xfId="4" applyFill="1" applyAlignment="1">
      <alignment horizontal="center" vertical="center"/>
    </xf>
    <xf numFmtId="0" fontId="1" fillId="8399" borderId="0" xfId="4" applyFill="1" applyAlignment="1">
      <alignment horizontal="center" vertical="center"/>
    </xf>
    <xf numFmtId="0" fontId="1" fillId="8400" borderId="0" xfId="4" applyFill="1" applyAlignment="1">
      <alignment horizontal="center" vertical="center"/>
    </xf>
    <xf numFmtId="0" fontId="1" fillId="8401" borderId="0" xfId="4" applyFill="1" applyAlignment="1">
      <alignment horizontal="left" vertical="center"/>
    </xf>
    <xf numFmtId="0" fontId="1" fillId="8402" borderId="0" xfId="4" applyFill="1" applyAlignment="1">
      <alignment horizontal="center" vertical="center"/>
    </xf>
    <xf numFmtId="0" fontId="1" fillId="6093" borderId="0" xfId="4" applyFill="1" applyAlignment="1">
      <alignment horizontal="center" vertical="center"/>
    </xf>
    <xf numFmtId="0" fontId="1" fillId="8403" borderId="0" xfId="4" applyFill="1" applyAlignment="1">
      <alignment horizontal="center" vertical="center"/>
    </xf>
    <xf numFmtId="0" fontId="1" fillId="8404" borderId="0" xfId="4" applyFill="1" applyAlignment="1">
      <alignment horizontal="center" vertical="center"/>
    </xf>
    <xf numFmtId="0" fontId="1" fillId="8405" borderId="0" xfId="4" applyFill="1" applyAlignment="1">
      <alignment horizontal="center" vertical="center"/>
    </xf>
    <xf numFmtId="0" fontId="1" fillId="8406" borderId="0" xfId="4" applyFill="1" applyAlignment="1">
      <alignment horizontal="center" vertical="center"/>
    </xf>
    <xf numFmtId="0" fontId="1" fillId="8407" borderId="0" xfId="4" applyFill="1" applyAlignment="1">
      <alignment horizontal="center" vertical="center"/>
    </xf>
    <xf numFmtId="0" fontId="1" fillId="8408" borderId="0" xfId="4" applyFill="1" applyAlignment="1">
      <alignment horizontal="center" vertical="center"/>
    </xf>
    <xf numFmtId="0" fontId="1" fillId="8409" borderId="0" xfId="4" applyFill="1" applyAlignment="1">
      <alignment horizontal="center" vertical="center"/>
    </xf>
    <xf numFmtId="0" fontId="1" fillId="8410" borderId="0" xfId="4" applyFill="1" applyAlignment="1">
      <alignment horizontal="center" vertical="center"/>
    </xf>
    <xf numFmtId="0" fontId="1" fillId="8411" borderId="0" xfId="4" applyFill="1" applyAlignment="1">
      <alignment horizontal="center" vertical="center"/>
    </xf>
    <xf numFmtId="0" fontId="1" fillId="8412" borderId="0" xfId="4" applyFill="1" applyAlignment="1">
      <alignment horizontal="center" vertical="center"/>
    </xf>
    <xf numFmtId="0" fontId="1" fillId="8413" borderId="0" xfId="4" applyFill="1" applyAlignment="1">
      <alignment horizontal="center" vertical="center"/>
    </xf>
    <xf numFmtId="0" fontId="1" fillId="8414" borderId="0" xfId="4" applyFill="1" applyAlignment="1">
      <alignment horizontal="center" vertical="center"/>
    </xf>
    <xf numFmtId="0" fontId="1" fillId="8415" borderId="0" xfId="4" applyFill="1" applyAlignment="1">
      <alignment horizontal="center" vertical="center"/>
    </xf>
    <xf numFmtId="0" fontId="1" fillId="8416" borderId="0" xfId="4" applyFill="1" applyAlignment="1">
      <alignment horizontal="center" vertical="center"/>
    </xf>
    <xf numFmtId="0" fontId="1" fillId="8417" borderId="0" xfId="4" applyFill="1" applyAlignment="1">
      <alignment horizontal="center" vertical="center"/>
    </xf>
    <xf numFmtId="0" fontId="1" fillId="8418" borderId="0" xfId="4" applyFill="1" applyAlignment="1">
      <alignment horizontal="center" vertical="center"/>
    </xf>
    <xf numFmtId="0" fontId="1" fillId="8419" borderId="0" xfId="4" applyFill="1" applyAlignment="1">
      <alignment horizontal="center" vertical="center"/>
    </xf>
    <xf numFmtId="0" fontId="1" fillId="8420" borderId="0" xfId="4" applyFill="1" applyAlignment="1">
      <alignment horizontal="center" vertical="center"/>
    </xf>
    <xf numFmtId="0" fontId="1" fillId="8421" borderId="0" xfId="4" applyFill="1" applyAlignment="1">
      <alignment horizontal="center" vertical="center"/>
    </xf>
    <xf numFmtId="0" fontId="1" fillId="8422" borderId="0" xfId="4" applyFill="1" applyAlignment="1">
      <alignment horizontal="center" vertical="center"/>
    </xf>
    <xf numFmtId="0" fontId="1" fillId="8423" borderId="0" xfId="4" applyFill="1" applyAlignment="1">
      <alignment horizontal="center" vertical="center"/>
    </xf>
    <xf numFmtId="0" fontId="1" fillId="8424" borderId="0" xfId="4" applyFill="1" applyAlignment="1">
      <alignment horizontal="center" vertical="center"/>
    </xf>
    <xf numFmtId="0" fontId="1" fillId="8425" borderId="0" xfId="4" applyFill="1" applyAlignment="1">
      <alignment horizontal="center" vertical="center"/>
    </xf>
    <xf numFmtId="0" fontId="1" fillId="8426" borderId="0" xfId="4" applyFill="1" applyAlignment="1">
      <alignment horizontal="center" vertical="center"/>
    </xf>
    <xf numFmtId="0" fontId="1" fillId="8427" borderId="0" xfId="4" applyFill="1" applyAlignment="1">
      <alignment horizontal="center" vertical="center"/>
    </xf>
    <xf numFmtId="0" fontId="1" fillId="8428" borderId="0" xfId="4" applyFill="1" applyAlignment="1">
      <alignment horizontal="center" vertical="center"/>
    </xf>
    <xf numFmtId="0" fontId="1" fillId="8429" borderId="0" xfId="4" applyFill="1" applyAlignment="1">
      <alignment horizontal="center" vertical="center"/>
    </xf>
    <xf numFmtId="0" fontId="1" fillId="8430" borderId="0" xfId="4" applyFill="1" applyAlignment="1">
      <alignment horizontal="center" vertical="center"/>
    </xf>
    <xf numFmtId="0" fontId="1" fillId="8431" borderId="0" xfId="4" applyFill="1" applyAlignment="1">
      <alignment horizontal="center" vertical="center"/>
    </xf>
    <xf numFmtId="0" fontId="1" fillId="8432" borderId="0" xfId="4" applyFill="1" applyAlignment="1">
      <alignment horizontal="center" vertical="center"/>
    </xf>
    <xf numFmtId="0" fontId="1" fillId="8433" borderId="0" xfId="4" applyFill="1" applyAlignment="1">
      <alignment horizontal="center" vertical="center"/>
    </xf>
    <xf numFmtId="0" fontId="1" fillId="8434" borderId="0" xfId="4" applyFill="1" applyAlignment="1">
      <alignment horizontal="center" vertical="center"/>
    </xf>
    <xf numFmtId="0" fontId="1" fillId="8435" borderId="0" xfId="4" applyFill="1" applyAlignment="1">
      <alignment horizontal="center" vertical="center"/>
    </xf>
    <xf numFmtId="0" fontId="1" fillId="8436" borderId="0" xfId="4" applyFill="1" applyAlignment="1">
      <alignment horizontal="center" vertical="center"/>
    </xf>
    <xf numFmtId="0" fontId="1" fillId="8437" borderId="0" xfId="4" applyFill="1" applyAlignment="1">
      <alignment horizontal="center" vertical="center"/>
    </xf>
    <xf numFmtId="0" fontId="1" fillId="8438" borderId="0" xfId="4" applyFill="1" applyAlignment="1">
      <alignment horizontal="center" vertical="center"/>
    </xf>
    <xf numFmtId="0" fontId="1" fillId="8439" borderId="0" xfId="4" applyFill="1" applyAlignment="1">
      <alignment horizontal="center" vertical="center"/>
    </xf>
    <xf numFmtId="0" fontId="1" fillId="8440" borderId="0" xfId="4" applyFill="1" applyAlignment="1">
      <alignment horizontal="center" vertical="center"/>
    </xf>
    <xf numFmtId="0" fontId="1" fillId="8441" borderId="0" xfId="4" applyFill="1" applyAlignment="1">
      <alignment horizontal="center" vertical="center"/>
    </xf>
    <xf numFmtId="0" fontId="1" fillId="8442" borderId="0" xfId="4" applyFill="1" applyAlignment="1">
      <alignment horizontal="center" vertical="center"/>
    </xf>
    <xf numFmtId="0" fontId="1" fillId="8443" borderId="0" xfId="4" applyFill="1" applyAlignment="1">
      <alignment horizontal="center" vertical="center"/>
    </xf>
    <xf numFmtId="0" fontId="1" fillId="8444" borderId="0" xfId="4" applyFill="1" applyAlignment="1">
      <alignment horizontal="center" vertical="center"/>
    </xf>
    <xf numFmtId="0" fontId="1" fillId="8445" borderId="0" xfId="4" applyFill="1" applyAlignment="1">
      <alignment horizontal="center" vertical="center"/>
    </xf>
    <xf numFmtId="0" fontId="1" fillId="8446" borderId="0" xfId="4" applyFill="1" applyAlignment="1">
      <alignment horizontal="center" vertical="center"/>
    </xf>
    <xf numFmtId="0" fontId="1" fillId="8447" borderId="0" xfId="4" applyFill="1" applyAlignment="1">
      <alignment horizontal="left" vertical="center"/>
    </xf>
    <xf numFmtId="0" fontId="1" fillId="8448" borderId="0" xfId="4" applyFill="1" applyAlignment="1">
      <alignment horizontal="center" vertical="center"/>
    </xf>
    <xf numFmtId="0" fontId="1" fillId="8449" borderId="0" xfId="4" applyFill="1" applyAlignment="1">
      <alignment horizontal="center" vertical="center"/>
    </xf>
    <xf numFmtId="0" fontId="1" fillId="8450" borderId="0" xfId="4" applyFill="1" applyAlignment="1">
      <alignment horizontal="center" vertical="center"/>
    </xf>
    <xf numFmtId="0" fontId="1" fillId="8451" borderId="0" xfId="4" applyFill="1" applyAlignment="1">
      <alignment horizontal="center" vertical="center"/>
    </xf>
    <xf numFmtId="0" fontId="1" fillId="8452" borderId="0" xfId="4" applyFill="1" applyAlignment="1">
      <alignment horizontal="center" vertical="center"/>
    </xf>
    <xf numFmtId="0" fontId="1" fillId="8453" borderId="0" xfId="4" applyFill="1" applyAlignment="1">
      <alignment horizontal="center" vertical="center"/>
    </xf>
    <xf numFmtId="0" fontId="1" fillId="8454" borderId="0" xfId="4" applyFill="1" applyAlignment="1">
      <alignment horizontal="center" vertical="center"/>
    </xf>
    <xf numFmtId="0" fontId="1" fillId="8455" borderId="0" xfId="4" applyFill="1" applyAlignment="1">
      <alignment horizontal="center" vertical="center"/>
    </xf>
    <xf numFmtId="0" fontId="1" fillId="8456" borderId="0" xfId="4" applyFill="1" applyAlignment="1">
      <alignment horizontal="center" vertical="center"/>
    </xf>
    <xf numFmtId="0" fontId="1" fillId="8457" borderId="0" xfId="4" applyFill="1" applyAlignment="1">
      <alignment horizontal="center" vertical="center"/>
    </xf>
    <xf numFmtId="0" fontId="1" fillId="8458" borderId="0" xfId="4" applyFill="1" applyAlignment="1">
      <alignment horizontal="center" vertical="center"/>
    </xf>
    <xf numFmtId="0" fontId="1" fillId="8459" borderId="0" xfId="4" applyFill="1" applyAlignment="1">
      <alignment horizontal="center" vertical="center"/>
    </xf>
    <xf numFmtId="0" fontId="1" fillId="8460" borderId="0" xfId="4" applyFill="1" applyAlignment="1">
      <alignment horizontal="center" vertical="center"/>
    </xf>
    <xf numFmtId="0" fontId="1" fillId="8461" borderId="0" xfId="4" applyFill="1" applyAlignment="1">
      <alignment horizontal="center" vertical="center"/>
    </xf>
    <xf numFmtId="0" fontId="1" fillId="8462" borderId="0" xfId="4" applyFill="1" applyAlignment="1">
      <alignment horizontal="center" vertical="center"/>
    </xf>
    <xf numFmtId="0" fontId="1" fillId="8463" borderId="0" xfId="4" applyFill="1" applyAlignment="1">
      <alignment horizontal="center" vertical="center"/>
    </xf>
    <xf numFmtId="0" fontId="1" fillId="8464" borderId="0" xfId="4" applyFill="1" applyAlignment="1">
      <alignment horizontal="center" vertical="center"/>
    </xf>
    <xf numFmtId="0" fontId="1" fillId="8465" borderId="0" xfId="4" applyFill="1" applyAlignment="1">
      <alignment horizontal="center" vertical="center"/>
    </xf>
    <xf numFmtId="0" fontId="1" fillId="8466" borderId="0" xfId="4" applyFill="1" applyAlignment="1">
      <alignment horizontal="center" vertical="center"/>
    </xf>
    <xf numFmtId="0" fontId="1" fillId="8467" borderId="0" xfId="4" applyFill="1" applyAlignment="1">
      <alignment horizontal="center" vertical="center"/>
    </xf>
    <xf numFmtId="0" fontId="1" fillId="8468" borderId="0" xfId="4" applyFill="1" applyAlignment="1">
      <alignment horizontal="center" vertical="center"/>
    </xf>
    <xf numFmtId="0" fontId="1" fillId="8469" borderId="0" xfId="4" applyFill="1" applyAlignment="1">
      <alignment horizontal="center" vertical="center"/>
    </xf>
    <xf numFmtId="0" fontId="1" fillId="8470" borderId="0" xfId="4" applyFill="1" applyAlignment="1">
      <alignment horizontal="center" vertical="center"/>
    </xf>
    <xf numFmtId="0" fontId="1" fillId="8471" borderId="0" xfId="4" applyFill="1" applyAlignment="1">
      <alignment horizontal="center" vertical="center"/>
    </xf>
    <xf numFmtId="0" fontId="1" fillId="8472" borderId="0" xfId="4" applyFill="1" applyAlignment="1">
      <alignment horizontal="center" vertical="center"/>
    </xf>
    <xf numFmtId="0" fontId="1" fillId="8473" borderId="0" xfId="4" applyFill="1" applyAlignment="1">
      <alignment horizontal="center" vertical="center"/>
    </xf>
    <xf numFmtId="0" fontId="1" fillId="8474" borderId="0" xfId="4" applyFill="1" applyAlignment="1">
      <alignment horizontal="center" vertical="center"/>
    </xf>
    <xf numFmtId="0" fontId="1" fillId="8475" borderId="0" xfId="4" applyFill="1" applyAlignment="1">
      <alignment horizontal="center" vertical="center"/>
    </xf>
    <xf numFmtId="0" fontId="1" fillId="8476" borderId="0" xfId="4" applyFill="1" applyAlignment="1">
      <alignment horizontal="center" vertical="center"/>
    </xf>
    <xf numFmtId="0" fontId="1" fillId="8477" borderId="0" xfId="4" applyFill="1" applyAlignment="1">
      <alignment horizontal="center" vertical="center"/>
    </xf>
    <xf numFmtId="0" fontId="1" fillId="8478" borderId="0" xfId="4" applyFill="1" applyAlignment="1">
      <alignment horizontal="center" vertical="center"/>
    </xf>
    <xf numFmtId="0" fontId="1" fillId="8479" borderId="0" xfId="4" applyFill="1" applyAlignment="1">
      <alignment horizontal="center" vertical="center"/>
    </xf>
    <xf numFmtId="0" fontId="1" fillId="8480" borderId="0" xfId="4" applyFill="1" applyAlignment="1">
      <alignment horizontal="center" vertical="center"/>
    </xf>
    <xf numFmtId="0" fontId="1" fillId="8481" borderId="0" xfId="4" applyFill="1" applyAlignment="1">
      <alignment horizontal="center" vertical="center"/>
    </xf>
    <xf numFmtId="0" fontId="1" fillId="8482" borderId="0" xfId="4" applyFill="1" applyAlignment="1">
      <alignment horizontal="left" vertical="center"/>
    </xf>
    <xf numFmtId="0" fontId="1" fillId="8483" borderId="0" xfId="4" applyFill="1" applyAlignment="1">
      <alignment horizontal="center" vertical="center"/>
    </xf>
    <xf numFmtId="0" fontId="1" fillId="8484" borderId="0" xfId="4" applyFill="1" applyAlignment="1">
      <alignment horizontal="center" vertical="center"/>
    </xf>
    <xf numFmtId="0" fontId="1" fillId="8485" borderId="0" xfId="4" applyFill="1" applyAlignment="1">
      <alignment horizontal="center" vertical="center"/>
    </xf>
    <xf numFmtId="0" fontId="1" fillId="8486" borderId="0" xfId="4" applyFill="1" applyAlignment="1">
      <alignment horizontal="center" vertical="center"/>
    </xf>
    <xf numFmtId="0" fontId="1" fillId="8487" borderId="0" xfId="4" applyFill="1" applyAlignment="1">
      <alignment horizontal="center" vertical="center"/>
    </xf>
    <xf numFmtId="0" fontId="1" fillId="8488" borderId="0" xfId="4" applyFill="1" applyAlignment="1">
      <alignment horizontal="center" vertical="center"/>
    </xf>
    <xf numFmtId="0" fontId="1" fillId="8489" borderId="0" xfId="4" applyFill="1" applyAlignment="1">
      <alignment horizontal="center" vertical="center"/>
    </xf>
    <xf numFmtId="0" fontId="1" fillId="8490" borderId="0" xfId="4" applyFill="1" applyAlignment="1">
      <alignment horizontal="center" vertical="center"/>
    </xf>
    <xf numFmtId="0" fontId="1" fillId="8491" borderId="0" xfId="4" applyFill="1" applyAlignment="1">
      <alignment horizontal="center" vertical="center"/>
    </xf>
    <xf numFmtId="0" fontId="1" fillId="8492" borderId="0" xfId="4" applyFill="1" applyAlignment="1">
      <alignment horizontal="center" vertical="center"/>
    </xf>
    <xf numFmtId="0" fontId="1" fillId="8493" borderId="0" xfId="4" applyFill="1" applyAlignment="1">
      <alignment horizontal="center" vertical="center"/>
    </xf>
    <xf numFmtId="0" fontId="1" fillId="8494" borderId="0" xfId="4" applyFill="1" applyAlignment="1">
      <alignment horizontal="center" vertical="center"/>
    </xf>
    <xf numFmtId="0" fontId="1" fillId="8495" borderId="0" xfId="4" applyFill="1" applyAlignment="1">
      <alignment horizontal="center" vertical="center"/>
    </xf>
    <xf numFmtId="0" fontId="1" fillId="8496" borderId="0" xfId="4" applyFill="1" applyAlignment="1">
      <alignment horizontal="center" vertical="center"/>
    </xf>
    <xf numFmtId="0" fontId="1" fillId="8497" borderId="0" xfId="4" applyFill="1" applyAlignment="1">
      <alignment horizontal="center" vertical="center"/>
    </xf>
    <xf numFmtId="0" fontId="1" fillId="8498" borderId="0" xfId="4" applyFill="1" applyAlignment="1">
      <alignment horizontal="center" vertical="center"/>
    </xf>
    <xf numFmtId="0" fontId="1" fillId="8499" borderId="0" xfId="4" applyFill="1" applyAlignment="1">
      <alignment horizontal="center" vertical="center"/>
    </xf>
    <xf numFmtId="0" fontId="1" fillId="8500" borderId="0" xfId="4" applyFill="1" applyAlignment="1">
      <alignment horizontal="center" vertical="center"/>
    </xf>
    <xf numFmtId="0" fontId="1" fillId="8501" borderId="0" xfId="4" applyFill="1" applyAlignment="1">
      <alignment horizontal="center" vertical="center"/>
    </xf>
    <xf numFmtId="0" fontId="1" fillId="8502" borderId="0" xfId="4" applyFill="1" applyAlignment="1">
      <alignment horizontal="center" vertical="center"/>
    </xf>
    <xf numFmtId="0" fontId="1" fillId="8503" borderId="0" xfId="4" applyFill="1" applyAlignment="1">
      <alignment horizontal="center" vertical="center"/>
    </xf>
    <xf numFmtId="0" fontId="1" fillId="8504" borderId="0" xfId="4" applyFill="1" applyAlignment="1">
      <alignment horizontal="center" vertical="center"/>
    </xf>
    <xf numFmtId="0" fontId="1" fillId="8505" borderId="0" xfId="4" applyFill="1" applyAlignment="1">
      <alignment horizontal="center" vertical="center"/>
    </xf>
    <xf numFmtId="0" fontId="1" fillId="8506" borderId="0" xfId="4" applyFill="1" applyAlignment="1">
      <alignment horizontal="center" vertical="center"/>
    </xf>
    <xf numFmtId="0" fontId="1" fillId="8507" borderId="0" xfId="4" applyFill="1" applyAlignment="1">
      <alignment horizontal="center" vertical="center"/>
    </xf>
    <xf numFmtId="0" fontId="1" fillId="8508" borderId="0" xfId="4" applyFill="1" applyAlignment="1">
      <alignment horizontal="center" vertical="center"/>
    </xf>
    <xf numFmtId="0" fontId="1" fillId="8509" borderId="0" xfId="4" applyFill="1" applyAlignment="1">
      <alignment horizontal="center" vertical="center"/>
    </xf>
    <xf numFmtId="0" fontId="1" fillId="8510" borderId="0" xfId="4" applyFill="1" applyAlignment="1">
      <alignment horizontal="center" vertical="center"/>
    </xf>
    <xf numFmtId="0" fontId="1" fillId="8511" borderId="0" xfId="4" applyFill="1" applyAlignment="1">
      <alignment horizontal="center" vertical="center"/>
    </xf>
    <xf numFmtId="0" fontId="1" fillId="8512" borderId="0" xfId="4" applyFill="1" applyAlignment="1">
      <alignment horizontal="center" vertical="center"/>
    </xf>
    <xf numFmtId="0" fontId="1" fillId="8513" borderId="0" xfId="4" applyFill="1" applyAlignment="1">
      <alignment horizontal="center" vertical="center"/>
    </xf>
    <xf numFmtId="0" fontId="1" fillId="8514" borderId="0" xfId="4" applyFill="1" applyAlignment="1">
      <alignment horizontal="center" vertical="center"/>
    </xf>
    <xf numFmtId="0" fontId="1" fillId="8515" borderId="0" xfId="4" applyFill="1" applyAlignment="1">
      <alignment horizontal="center" vertical="center"/>
    </xf>
    <xf numFmtId="0" fontId="1" fillId="8516" borderId="0" xfId="4" applyFill="1" applyAlignment="1">
      <alignment horizontal="center" vertical="center"/>
    </xf>
    <xf numFmtId="0" fontId="1" fillId="8517" borderId="0" xfId="4" applyFill="1" applyAlignment="1">
      <alignment horizontal="center" vertical="center"/>
    </xf>
    <xf numFmtId="0" fontId="1" fillId="8518" borderId="0" xfId="4" applyFill="1" applyAlignment="1">
      <alignment horizontal="center" vertical="center"/>
    </xf>
    <xf numFmtId="0" fontId="1" fillId="8519" borderId="0" xfId="4" applyFill="1" applyAlignment="1">
      <alignment horizontal="center" vertical="center"/>
    </xf>
    <xf numFmtId="0" fontId="1" fillId="8520" borderId="0" xfId="4" applyFill="1" applyAlignment="1">
      <alignment horizontal="center" vertical="center"/>
    </xf>
    <xf numFmtId="0" fontId="1" fillId="8521" borderId="0" xfId="4" applyFill="1" applyAlignment="1">
      <alignment horizontal="center" vertical="center"/>
    </xf>
    <xf numFmtId="0" fontId="1" fillId="8522" borderId="0" xfId="4" applyFill="1" applyAlignment="1">
      <alignment horizontal="center" vertical="center"/>
    </xf>
    <xf numFmtId="0" fontId="1" fillId="8523" borderId="0" xfId="4" applyFill="1" applyAlignment="1">
      <alignment horizontal="center" vertical="center"/>
    </xf>
    <xf numFmtId="0" fontId="1" fillId="8524" borderId="0" xfId="4" applyFill="1" applyAlignment="1">
      <alignment horizontal="center" vertical="center"/>
    </xf>
    <xf numFmtId="0" fontId="1" fillId="8525" borderId="0" xfId="4" applyFill="1" applyAlignment="1">
      <alignment horizontal="center" vertical="center"/>
    </xf>
    <xf numFmtId="0" fontId="1" fillId="8526" borderId="0" xfId="4" applyFill="1" applyAlignment="1">
      <alignment horizontal="center" vertical="center"/>
    </xf>
    <xf numFmtId="0" fontId="1" fillId="8527" borderId="0" xfId="4" applyFill="1" applyAlignment="1">
      <alignment horizontal="center" vertical="center"/>
    </xf>
    <xf numFmtId="0" fontId="1" fillId="8528" borderId="0" xfId="4" applyFill="1" applyAlignment="1">
      <alignment horizontal="center" vertical="center"/>
    </xf>
    <xf numFmtId="0" fontId="1" fillId="8529" borderId="0" xfId="4" applyFill="1" applyAlignment="1">
      <alignment horizontal="center" vertical="center"/>
    </xf>
    <xf numFmtId="0" fontId="1" fillId="8530" borderId="0" xfId="4" applyFill="1" applyAlignment="1">
      <alignment horizontal="center" vertical="center"/>
    </xf>
    <xf numFmtId="0" fontId="1" fillId="8531" borderId="0" xfId="4" applyFill="1" applyAlignment="1">
      <alignment horizontal="left" vertical="center"/>
    </xf>
    <xf numFmtId="0" fontId="1" fillId="8532" borderId="0" xfId="4" applyFill="1" applyAlignment="1">
      <alignment horizontal="center" vertical="center"/>
    </xf>
    <xf numFmtId="0" fontId="1" fillId="8533" borderId="0" xfId="4" applyFill="1" applyAlignment="1">
      <alignment horizontal="center" vertical="center"/>
    </xf>
    <xf numFmtId="0" fontId="1" fillId="8534" borderId="0" xfId="4" applyFill="1" applyAlignment="1">
      <alignment horizontal="center" vertical="center"/>
    </xf>
    <xf numFmtId="0" fontId="1" fillId="8535" borderId="0" xfId="4" applyFill="1" applyAlignment="1">
      <alignment horizontal="center" vertical="center"/>
    </xf>
    <xf numFmtId="0" fontId="1" fillId="8536" borderId="0" xfId="4" applyFill="1" applyAlignment="1">
      <alignment horizontal="center" vertical="center"/>
    </xf>
    <xf numFmtId="0" fontId="1" fillId="8537" borderId="0" xfId="4" applyFill="1" applyAlignment="1">
      <alignment horizontal="center" vertical="center"/>
    </xf>
    <xf numFmtId="0" fontId="1" fillId="8538" borderId="0" xfId="4" applyFill="1" applyAlignment="1">
      <alignment horizontal="center" vertical="center"/>
    </xf>
    <xf numFmtId="0" fontId="1" fillId="8539" borderId="0" xfId="4" applyFill="1" applyAlignment="1">
      <alignment horizontal="center" vertical="center"/>
    </xf>
    <xf numFmtId="0" fontId="1" fillId="8540" borderId="0" xfId="4" applyFill="1" applyAlignment="1">
      <alignment horizontal="center" vertical="center"/>
    </xf>
    <xf numFmtId="0" fontId="1" fillId="8541" borderId="0" xfId="4" applyFill="1" applyAlignment="1">
      <alignment horizontal="center" vertical="center"/>
    </xf>
    <xf numFmtId="0" fontId="1" fillId="8542" borderId="0" xfId="4" applyFill="1" applyAlignment="1">
      <alignment horizontal="center" vertical="center"/>
    </xf>
    <xf numFmtId="0" fontId="1" fillId="8543" borderId="0" xfId="4" applyFill="1" applyAlignment="1">
      <alignment horizontal="center" vertical="center"/>
    </xf>
    <xf numFmtId="0" fontId="1" fillId="8544" borderId="0" xfId="4" applyFill="1" applyAlignment="1">
      <alignment horizontal="center" vertical="center"/>
    </xf>
    <xf numFmtId="0" fontId="1" fillId="8545" borderId="0" xfId="4" applyFill="1" applyAlignment="1">
      <alignment horizontal="center" vertical="center"/>
    </xf>
    <xf numFmtId="0" fontId="1" fillId="8546" borderId="0" xfId="4" applyFill="1" applyAlignment="1">
      <alignment horizontal="center" vertical="center"/>
    </xf>
    <xf numFmtId="0" fontId="1" fillId="8547" borderId="0" xfId="4" applyFill="1" applyAlignment="1">
      <alignment horizontal="center" vertical="center"/>
    </xf>
    <xf numFmtId="0" fontId="1" fillId="8548" borderId="0" xfId="4" applyFill="1" applyAlignment="1">
      <alignment horizontal="center" vertical="center"/>
    </xf>
    <xf numFmtId="0" fontId="1" fillId="8549" borderId="0" xfId="4" applyFill="1" applyAlignment="1">
      <alignment horizontal="center" vertical="center"/>
    </xf>
    <xf numFmtId="0" fontId="1" fillId="8550" borderId="0" xfId="4" applyFill="1" applyAlignment="1">
      <alignment horizontal="center" vertical="center"/>
    </xf>
    <xf numFmtId="0" fontId="1" fillId="8551" borderId="0" xfId="4" applyFill="1" applyAlignment="1">
      <alignment horizontal="center" vertical="center"/>
    </xf>
    <xf numFmtId="0" fontId="1" fillId="8552" borderId="0" xfId="4" applyFill="1" applyAlignment="1">
      <alignment horizontal="center" vertical="center"/>
    </xf>
    <xf numFmtId="0" fontId="1" fillId="8553" borderId="0" xfId="4" applyFill="1" applyAlignment="1">
      <alignment horizontal="center" vertical="center"/>
    </xf>
    <xf numFmtId="0" fontId="1" fillId="8554" borderId="0" xfId="4" applyFill="1" applyAlignment="1">
      <alignment horizontal="center" vertical="center"/>
    </xf>
    <xf numFmtId="0" fontId="1" fillId="8555" borderId="0" xfId="4" applyFill="1" applyAlignment="1">
      <alignment horizontal="center" vertical="center"/>
    </xf>
    <xf numFmtId="0" fontId="1" fillId="8556" borderId="0" xfId="4" applyFill="1" applyAlignment="1">
      <alignment horizontal="center" vertical="center"/>
    </xf>
    <xf numFmtId="0" fontId="1" fillId="8557" borderId="0" xfId="4" applyFill="1" applyAlignment="1">
      <alignment horizontal="center" vertical="center"/>
    </xf>
    <xf numFmtId="0" fontId="1" fillId="8558" borderId="0" xfId="4" applyFill="1" applyAlignment="1">
      <alignment horizontal="center" vertical="center"/>
    </xf>
    <xf numFmtId="0" fontId="1" fillId="8559" borderId="0" xfId="4" applyFill="1" applyAlignment="1">
      <alignment horizontal="center" vertical="center"/>
    </xf>
    <xf numFmtId="0" fontId="1" fillId="8560" borderId="0" xfId="4" applyFill="1" applyAlignment="1">
      <alignment horizontal="center" vertical="center"/>
    </xf>
    <xf numFmtId="0" fontId="1" fillId="8561" borderId="0" xfId="4" applyFill="1" applyAlignment="1">
      <alignment horizontal="left" vertical="center"/>
    </xf>
    <xf numFmtId="0" fontId="1" fillId="8562" borderId="0" xfId="4" applyFill="1" applyAlignment="1">
      <alignment horizontal="center" vertical="center"/>
    </xf>
    <xf numFmtId="0" fontId="1" fillId="8563" borderId="0" xfId="4" applyFill="1" applyAlignment="1">
      <alignment horizontal="center" vertical="center"/>
    </xf>
    <xf numFmtId="0" fontId="1" fillId="8564" borderId="0" xfId="4" applyFill="1" applyAlignment="1">
      <alignment horizontal="center" vertical="center"/>
    </xf>
    <xf numFmtId="0" fontId="1" fillId="8565" borderId="0" xfId="4" applyFill="1" applyAlignment="1">
      <alignment horizontal="center" vertical="center"/>
    </xf>
    <xf numFmtId="0" fontId="1" fillId="8566" borderId="0" xfId="4" applyFill="1" applyAlignment="1">
      <alignment horizontal="center" vertical="center"/>
    </xf>
    <xf numFmtId="0" fontId="1" fillId="8567" borderId="0" xfId="4" applyFill="1" applyAlignment="1">
      <alignment horizontal="center" vertical="center"/>
    </xf>
    <xf numFmtId="0" fontId="1" fillId="8568" borderId="0" xfId="4" applyFill="1" applyAlignment="1">
      <alignment horizontal="center" vertical="center"/>
    </xf>
    <xf numFmtId="0" fontId="1" fillId="8569" borderId="0" xfId="4" applyFill="1" applyAlignment="1">
      <alignment horizontal="center" vertical="center"/>
    </xf>
    <xf numFmtId="0" fontId="1" fillId="8570" borderId="0" xfId="4" applyFill="1" applyAlignment="1">
      <alignment horizontal="center" vertical="center"/>
    </xf>
    <xf numFmtId="0" fontId="1" fillId="8571" borderId="0" xfId="4" applyFill="1" applyAlignment="1">
      <alignment horizontal="center" vertical="center"/>
    </xf>
    <xf numFmtId="0" fontId="1" fillId="8572" borderId="0" xfId="4" applyFill="1" applyAlignment="1">
      <alignment horizontal="center" vertical="center"/>
    </xf>
    <xf numFmtId="0" fontId="1" fillId="8573" borderId="0" xfId="4" applyFill="1" applyAlignment="1">
      <alignment horizontal="center" vertical="center"/>
    </xf>
    <xf numFmtId="0" fontId="1" fillId="8574" borderId="0" xfId="4" applyFill="1" applyAlignment="1">
      <alignment horizontal="center" vertical="center"/>
    </xf>
    <xf numFmtId="0" fontId="1" fillId="8575" borderId="0" xfId="4" applyFill="1" applyAlignment="1">
      <alignment horizontal="center" vertical="center"/>
    </xf>
    <xf numFmtId="0" fontId="1" fillId="8576" borderId="0" xfId="4" applyFill="1" applyAlignment="1">
      <alignment horizontal="center" vertical="center"/>
    </xf>
    <xf numFmtId="0" fontId="1" fillId="8577" borderId="0" xfId="4" applyFill="1" applyAlignment="1">
      <alignment horizontal="center" vertical="center"/>
    </xf>
    <xf numFmtId="0" fontId="1" fillId="8578" borderId="0" xfId="4" applyFill="1" applyAlignment="1">
      <alignment horizontal="center" vertical="center"/>
    </xf>
    <xf numFmtId="0" fontId="1" fillId="8579" borderId="0" xfId="4" applyFill="1" applyAlignment="1">
      <alignment horizontal="center" vertical="center"/>
    </xf>
    <xf numFmtId="0" fontId="1" fillId="8580" borderId="0" xfId="4" applyFill="1" applyAlignment="1">
      <alignment horizontal="center" vertical="center"/>
    </xf>
    <xf numFmtId="0" fontId="1" fillId="8581" borderId="0" xfId="4" applyFill="1" applyAlignment="1">
      <alignment horizontal="center" vertical="center"/>
    </xf>
    <xf numFmtId="0" fontId="1" fillId="8582" borderId="0" xfId="4" applyFill="1" applyAlignment="1">
      <alignment horizontal="center" vertical="center"/>
    </xf>
    <xf numFmtId="0" fontId="1" fillId="8583" borderId="0" xfId="4" applyFill="1" applyAlignment="1">
      <alignment horizontal="center" vertical="center"/>
    </xf>
    <xf numFmtId="0" fontId="1" fillId="8584" borderId="0" xfId="4" applyFill="1" applyAlignment="1">
      <alignment horizontal="center" vertical="center"/>
    </xf>
    <xf numFmtId="0" fontId="1" fillId="8585" borderId="0" xfId="4" applyFill="1" applyAlignment="1">
      <alignment horizontal="center" vertical="center"/>
    </xf>
    <xf numFmtId="0" fontId="1" fillId="8586" borderId="0" xfId="4" applyFill="1" applyAlignment="1">
      <alignment horizontal="center" vertical="center"/>
    </xf>
    <xf numFmtId="0" fontId="1" fillId="8587" borderId="0" xfId="4" applyFill="1" applyAlignment="1">
      <alignment horizontal="center" vertical="center"/>
    </xf>
    <xf numFmtId="0" fontId="1" fillId="8588" borderId="0" xfId="4" applyFill="1" applyAlignment="1">
      <alignment horizontal="center" vertical="center"/>
    </xf>
    <xf numFmtId="0" fontId="1" fillId="8589" borderId="0" xfId="4" applyFill="1" applyAlignment="1">
      <alignment horizontal="center" vertical="center"/>
    </xf>
    <xf numFmtId="0" fontId="1" fillId="8590" borderId="0" xfId="4" applyFill="1" applyAlignment="1">
      <alignment horizontal="center" vertical="center"/>
    </xf>
    <xf numFmtId="0" fontId="1" fillId="8591" borderId="0" xfId="4" applyFill="1" applyAlignment="1">
      <alignment horizontal="center" vertical="center"/>
    </xf>
    <xf numFmtId="0" fontId="1" fillId="8592" borderId="0" xfId="4" applyFill="1" applyAlignment="1">
      <alignment horizontal="center" vertical="center"/>
    </xf>
    <xf numFmtId="0" fontId="1" fillId="8593" borderId="0" xfId="4" applyFill="1" applyAlignment="1">
      <alignment horizontal="center" vertical="center"/>
    </xf>
    <xf numFmtId="0" fontId="1" fillId="8594" borderId="0" xfId="4" applyFill="1" applyAlignment="1">
      <alignment horizontal="center" vertical="center"/>
    </xf>
    <xf numFmtId="0" fontId="1" fillId="8595" borderId="0" xfId="4" applyFill="1" applyAlignment="1">
      <alignment horizontal="center" vertical="center"/>
    </xf>
    <xf numFmtId="0" fontId="1" fillId="8596" borderId="0" xfId="4" applyFill="1" applyAlignment="1">
      <alignment horizontal="center" vertical="center"/>
    </xf>
    <xf numFmtId="0" fontId="1" fillId="8597" borderId="0" xfId="4" applyFill="1" applyAlignment="1">
      <alignment horizontal="center" vertical="center"/>
    </xf>
    <xf numFmtId="0" fontId="1" fillId="8598" borderId="0" xfId="4" applyFill="1" applyAlignment="1">
      <alignment horizontal="center" vertical="center"/>
    </xf>
    <xf numFmtId="0" fontId="1" fillId="8599" borderId="0" xfId="4" applyFill="1" applyAlignment="1">
      <alignment horizontal="center" vertical="center"/>
    </xf>
    <xf numFmtId="0" fontId="1" fillId="8600" borderId="0" xfId="4" applyFill="1" applyAlignment="1">
      <alignment horizontal="center" vertical="center"/>
    </xf>
    <xf numFmtId="0" fontId="1" fillId="8601" borderId="0" xfId="4" applyFill="1" applyAlignment="1">
      <alignment horizontal="center" vertical="center"/>
    </xf>
    <xf numFmtId="0" fontId="1" fillId="8602" borderId="0" xfId="4" applyFill="1" applyAlignment="1">
      <alignment horizontal="center" vertical="center"/>
    </xf>
    <xf numFmtId="0" fontId="1" fillId="8603" borderId="0" xfId="4" applyFill="1" applyAlignment="1">
      <alignment horizontal="center" vertical="center"/>
    </xf>
    <xf numFmtId="0" fontId="1" fillId="8604" borderId="0" xfId="4" applyFill="1" applyAlignment="1">
      <alignment horizontal="center" vertical="center"/>
    </xf>
    <xf numFmtId="0" fontId="1" fillId="8605" borderId="0" xfId="4" applyFill="1" applyAlignment="1">
      <alignment horizontal="center" vertical="center"/>
    </xf>
    <xf numFmtId="0" fontId="1" fillId="8606" borderId="0" xfId="4" applyFill="1" applyAlignment="1">
      <alignment horizontal="center" vertical="center"/>
    </xf>
    <xf numFmtId="0" fontId="1" fillId="8607" borderId="0" xfId="4" applyFill="1" applyAlignment="1">
      <alignment horizontal="center" vertical="center"/>
    </xf>
    <xf numFmtId="0" fontId="1" fillId="8608" borderId="0" xfId="4" applyFill="1" applyAlignment="1">
      <alignment horizontal="center" vertical="center"/>
    </xf>
    <xf numFmtId="0" fontId="1" fillId="8609" borderId="0" xfId="4" applyFill="1" applyAlignment="1">
      <alignment horizontal="center" vertical="center"/>
    </xf>
    <xf numFmtId="0" fontId="1" fillId="8610" borderId="0" xfId="4" applyFill="1" applyAlignment="1">
      <alignment horizontal="left" vertical="center"/>
    </xf>
    <xf numFmtId="0" fontId="1" fillId="8611" borderId="0" xfId="4" applyFill="1" applyAlignment="1">
      <alignment horizontal="center" vertical="center"/>
    </xf>
    <xf numFmtId="0" fontId="1" fillId="8612" borderId="0" xfId="4" applyFill="1" applyAlignment="1">
      <alignment horizontal="center" vertical="center"/>
    </xf>
    <xf numFmtId="0" fontId="1" fillId="8613" borderId="0" xfId="4" applyFill="1" applyAlignment="1">
      <alignment horizontal="center" vertical="center"/>
    </xf>
    <xf numFmtId="0" fontId="1" fillId="8614" borderId="0" xfId="4" applyFill="1" applyAlignment="1">
      <alignment horizontal="center" vertical="center"/>
    </xf>
    <xf numFmtId="0" fontId="1" fillId="8615" borderId="0" xfId="4" applyFill="1" applyAlignment="1">
      <alignment horizontal="center" vertical="center"/>
    </xf>
    <xf numFmtId="0" fontId="1" fillId="8616" borderId="0" xfId="4" applyFill="1" applyAlignment="1">
      <alignment horizontal="center" vertical="center"/>
    </xf>
    <xf numFmtId="0" fontId="1" fillId="8617" borderId="0" xfId="4" applyFill="1" applyAlignment="1">
      <alignment horizontal="center" vertical="center"/>
    </xf>
    <xf numFmtId="0" fontId="1" fillId="8618" borderId="0" xfId="4" applyFill="1" applyAlignment="1">
      <alignment horizontal="center" vertical="center"/>
    </xf>
    <xf numFmtId="0" fontId="1" fillId="8619" borderId="0" xfId="4" applyFill="1" applyAlignment="1">
      <alignment horizontal="center" vertical="center"/>
    </xf>
    <xf numFmtId="0" fontId="1" fillId="8620" borderId="0" xfId="4" applyFill="1" applyAlignment="1">
      <alignment horizontal="center" vertical="center"/>
    </xf>
    <xf numFmtId="0" fontId="1" fillId="8621" borderId="0" xfId="4" applyFill="1" applyAlignment="1">
      <alignment horizontal="center" vertical="center"/>
    </xf>
    <xf numFmtId="0" fontId="1" fillId="8622" borderId="0" xfId="4" applyFill="1" applyAlignment="1">
      <alignment horizontal="center" vertical="center"/>
    </xf>
    <xf numFmtId="0" fontId="1" fillId="8623" borderId="0" xfId="4" applyFill="1" applyAlignment="1">
      <alignment horizontal="center" vertical="center"/>
    </xf>
    <xf numFmtId="0" fontId="1" fillId="8624" borderId="0" xfId="4" applyFill="1" applyAlignment="1">
      <alignment horizontal="center" vertical="center"/>
    </xf>
    <xf numFmtId="0" fontId="1" fillId="8625" borderId="0" xfId="4" applyFill="1" applyAlignment="1">
      <alignment horizontal="center" vertical="center"/>
    </xf>
    <xf numFmtId="0" fontId="1" fillId="8626" borderId="0" xfId="4" applyFill="1" applyAlignment="1">
      <alignment horizontal="center" vertical="center"/>
    </xf>
    <xf numFmtId="0" fontId="1" fillId="8627" borderId="0" xfId="4" applyFill="1" applyAlignment="1">
      <alignment horizontal="center" vertical="center"/>
    </xf>
    <xf numFmtId="0" fontId="1" fillId="8628" borderId="0" xfId="4" applyFill="1" applyAlignment="1">
      <alignment horizontal="center" vertical="center"/>
    </xf>
    <xf numFmtId="0" fontId="1" fillId="8629" borderId="0" xfId="4" applyFill="1" applyAlignment="1">
      <alignment horizontal="center" vertical="center"/>
    </xf>
    <xf numFmtId="0" fontId="1" fillId="8630" borderId="0" xfId="4" applyFill="1" applyAlignment="1">
      <alignment horizontal="center" vertical="center"/>
    </xf>
    <xf numFmtId="0" fontId="1" fillId="8631" borderId="0" xfId="4" applyFill="1" applyAlignment="1">
      <alignment horizontal="center" vertical="center"/>
    </xf>
    <xf numFmtId="0" fontId="1" fillId="8632" borderId="0" xfId="4" applyFill="1" applyAlignment="1">
      <alignment horizontal="center" vertical="center"/>
    </xf>
    <xf numFmtId="0" fontId="1" fillId="8633" borderId="0" xfId="4" applyFill="1" applyAlignment="1">
      <alignment horizontal="center" vertical="center"/>
    </xf>
    <xf numFmtId="0" fontId="1" fillId="8634" borderId="0" xfId="4" applyFill="1" applyAlignment="1">
      <alignment horizontal="center" vertical="center"/>
    </xf>
    <xf numFmtId="0" fontId="1" fillId="8635" borderId="0" xfId="4" applyFill="1" applyAlignment="1">
      <alignment horizontal="center" vertical="center"/>
    </xf>
    <xf numFmtId="0" fontId="1" fillId="8636" borderId="0" xfId="4" applyFill="1" applyAlignment="1">
      <alignment horizontal="center" vertical="center"/>
    </xf>
    <xf numFmtId="0" fontId="1" fillId="8637" borderId="0" xfId="4" applyFill="1" applyAlignment="1">
      <alignment horizontal="center" vertical="center"/>
    </xf>
    <xf numFmtId="0" fontId="1" fillId="8638" borderId="0" xfId="4" applyFill="1" applyAlignment="1">
      <alignment horizontal="center" vertical="center"/>
    </xf>
    <xf numFmtId="0" fontId="1" fillId="8639" borderId="0" xfId="4" applyFill="1" applyAlignment="1">
      <alignment horizontal="left" vertical="center"/>
    </xf>
    <xf numFmtId="0" fontId="1" fillId="8640" borderId="0" xfId="4" applyFill="1" applyAlignment="1">
      <alignment horizontal="center" vertical="center"/>
    </xf>
    <xf numFmtId="0" fontId="1" fillId="8641" borderId="0" xfId="4" applyFill="1" applyAlignment="1">
      <alignment horizontal="center" vertical="center"/>
    </xf>
    <xf numFmtId="0" fontId="1" fillId="8642" borderId="0" xfId="4" applyFill="1" applyAlignment="1">
      <alignment horizontal="center" vertical="center"/>
    </xf>
    <xf numFmtId="0" fontId="1" fillId="8643" borderId="0" xfId="4" applyFill="1" applyAlignment="1">
      <alignment horizontal="center" vertical="center"/>
    </xf>
    <xf numFmtId="0" fontId="1" fillId="8644" borderId="0" xfId="4" applyFill="1" applyAlignment="1">
      <alignment horizontal="center" vertical="center"/>
    </xf>
    <xf numFmtId="0" fontId="1" fillId="8645" borderId="0" xfId="4" applyFill="1" applyAlignment="1">
      <alignment horizontal="center" vertical="center"/>
    </xf>
    <xf numFmtId="0" fontId="1" fillId="8646" borderId="0" xfId="4" applyFill="1" applyAlignment="1">
      <alignment horizontal="center" vertical="center"/>
    </xf>
    <xf numFmtId="0" fontId="1" fillId="8647" borderId="0" xfId="4" applyFill="1" applyAlignment="1">
      <alignment horizontal="center" vertical="center"/>
    </xf>
    <xf numFmtId="0" fontId="1" fillId="8648" borderId="0" xfId="4" applyFill="1" applyAlignment="1">
      <alignment horizontal="center" vertical="center"/>
    </xf>
    <xf numFmtId="0" fontId="1" fillId="8649" borderId="0" xfId="4" applyFill="1" applyAlignment="1">
      <alignment horizontal="center" vertical="center"/>
    </xf>
    <xf numFmtId="0" fontId="1" fillId="8650" borderId="0" xfId="4" applyFill="1" applyAlignment="1">
      <alignment horizontal="center" vertical="center"/>
    </xf>
    <xf numFmtId="0" fontId="1" fillId="8651" borderId="0" xfId="4" applyFill="1" applyAlignment="1">
      <alignment horizontal="center" vertical="center"/>
    </xf>
    <xf numFmtId="0" fontId="1" fillId="8652" borderId="0" xfId="4" applyFill="1" applyAlignment="1">
      <alignment horizontal="center" vertical="center"/>
    </xf>
    <xf numFmtId="0" fontId="1" fillId="8653" borderId="0" xfId="4" applyFill="1" applyAlignment="1">
      <alignment horizontal="center" vertical="center"/>
    </xf>
    <xf numFmtId="0" fontId="1" fillId="8654" borderId="0" xfId="4" applyFill="1" applyAlignment="1">
      <alignment horizontal="center" vertical="center"/>
    </xf>
    <xf numFmtId="0" fontId="1" fillId="8655" borderId="0" xfId="4" applyFill="1" applyAlignment="1">
      <alignment horizontal="center" vertical="center"/>
    </xf>
    <xf numFmtId="0" fontId="1" fillId="8656" borderId="0" xfId="4" applyFill="1" applyAlignment="1">
      <alignment horizontal="center" vertical="center"/>
    </xf>
    <xf numFmtId="0" fontId="1" fillId="8657" borderId="0" xfId="4" applyFill="1" applyAlignment="1">
      <alignment horizontal="center" vertical="center"/>
    </xf>
    <xf numFmtId="0" fontId="1" fillId="8658" borderId="0" xfId="4" applyFill="1" applyAlignment="1">
      <alignment horizontal="center" vertical="center"/>
    </xf>
    <xf numFmtId="0" fontId="1" fillId="8659" borderId="0" xfId="4" applyFill="1" applyAlignment="1">
      <alignment horizontal="center" vertical="center"/>
    </xf>
    <xf numFmtId="0" fontId="1" fillId="8660" borderId="0" xfId="4" applyFill="1" applyAlignment="1">
      <alignment horizontal="center" vertical="center"/>
    </xf>
    <xf numFmtId="0" fontId="1" fillId="8661" borderId="0" xfId="4" applyFill="1" applyAlignment="1">
      <alignment horizontal="center" vertical="center"/>
    </xf>
    <xf numFmtId="0" fontId="1" fillId="8662" borderId="0" xfId="4" applyFill="1" applyAlignment="1">
      <alignment horizontal="center" vertical="center"/>
    </xf>
    <xf numFmtId="0" fontId="1" fillId="8663" borderId="0" xfId="4" applyFill="1" applyAlignment="1">
      <alignment horizontal="center" vertical="center"/>
    </xf>
    <xf numFmtId="0" fontId="1" fillId="8664" borderId="0" xfId="4" applyFill="1" applyAlignment="1">
      <alignment horizontal="center" vertical="center"/>
    </xf>
    <xf numFmtId="0" fontId="1" fillId="8665" borderId="0" xfId="4" applyFill="1" applyAlignment="1">
      <alignment horizontal="center" vertical="center"/>
    </xf>
    <xf numFmtId="0" fontId="1" fillId="8666" borderId="0" xfId="4" applyFill="1" applyAlignment="1">
      <alignment horizontal="center" vertical="center"/>
    </xf>
    <xf numFmtId="0" fontId="1" fillId="8667" borderId="0" xfId="4" applyFill="1" applyAlignment="1">
      <alignment horizontal="center" vertical="center"/>
    </xf>
    <xf numFmtId="0" fontId="1" fillId="8668" borderId="0" xfId="4" applyFill="1" applyAlignment="1">
      <alignment horizontal="center" vertical="center"/>
    </xf>
    <xf numFmtId="0" fontId="1" fillId="8669" borderId="0" xfId="4" applyFill="1" applyAlignment="1">
      <alignment horizontal="center" vertical="center"/>
    </xf>
    <xf numFmtId="0" fontId="1" fillId="8670" borderId="0" xfId="4" applyFill="1" applyAlignment="1">
      <alignment horizontal="center" vertical="center"/>
    </xf>
    <xf numFmtId="0" fontId="1" fillId="8671" borderId="0" xfId="4" applyFill="1" applyAlignment="1">
      <alignment horizontal="center" vertical="center"/>
    </xf>
    <xf numFmtId="0" fontId="1" fillId="8672" borderId="0" xfId="4" applyFill="1" applyAlignment="1">
      <alignment horizontal="center" vertical="center"/>
    </xf>
    <xf numFmtId="0" fontId="1" fillId="8673" borderId="0" xfId="4" applyFill="1" applyAlignment="1">
      <alignment horizontal="center" vertical="center"/>
    </xf>
    <xf numFmtId="0" fontId="1" fillId="8674" borderId="0" xfId="4" applyFill="1" applyAlignment="1">
      <alignment horizontal="center" vertical="center"/>
    </xf>
    <xf numFmtId="0" fontId="1" fillId="8675" borderId="0" xfId="4" applyFill="1" applyAlignment="1">
      <alignment horizontal="center" vertical="center"/>
    </xf>
    <xf numFmtId="0" fontId="1" fillId="8676" borderId="0" xfId="4" applyFill="1" applyAlignment="1">
      <alignment horizontal="center" vertical="center"/>
    </xf>
    <xf numFmtId="0" fontId="1" fillId="8677" borderId="0" xfId="4" applyFill="1" applyAlignment="1">
      <alignment horizontal="center" vertical="center"/>
    </xf>
    <xf numFmtId="0" fontId="1" fillId="8678" borderId="0" xfId="4" applyFill="1" applyAlignment="1">
      <alignment horizontal="center" vertical="center"/>
    </xf>
    <xf numFmtId="0" fontId="1" fillId="8679" borderId="0" xfId="4" applyFill="1" applyAlignment="1">
      <alignment horizontal="center" vertical="center"/>
    </xf>
    <xf numFmtId="0" fontId="1" fillId="8680" borderId="0" xfId="4" applyFill="1" applyAlignment="1">
      <alignment horizontal="center" vertical="center"/>
    </xf>
    <xf numFmtId="0" fontId="1" fillId="8681" borderId="0" xfId="4" applyFill="1" applyAlignment="1">
      <alignment horizontal="center" vertical="center"/>
    </xf>
    <xf numFmtId="0" fontId="1" fillId="8682" borderId="0" xfId="4" applyFill="1" applyAlignment="1">
      <alignment horizontal="center" vertical="center"/>
    </xf>
    <xf numFmtId="0" fontId="1" fillId="8683" borderId="0" xfId="4" applyFill="1" applyAlignment="1">
      <alignment horizontal="center" vertical="center"/>
    </xf>
    <xf numFmtId="0" fontId="1" fillId="8684" borderId="0" xfId="4" applyFill="1" applyAlignment="1">
      <alignment horizontal="center" vertical="center"/>
    </xf>
    <xf numFmtId="0" fontId="1" fillId="8685" borderId="0" xfId="4" applyFill="1" applyAlignment="1">
      <alignment horizontal="center" vertical="center"/>
    </xf>
    <xf numFmtId="0" fontId="1" fillId="8686" borderId="0" xfId="4" applyFill="1" applyAlignment="1">
      <alignment horizontal="center" vertical="center"/>
    </xf>
    <xf numFmtId="0" fontId="1" fillId="8687" borderId="0" xfId="4" applyFill="1" applyAlignment="1">
      <alignment horizontal="center" vertical="center"/>
    </xf>
    <xf numFmtId="0" fontId="1" fillId="8688" borderId="0" xfId="4" applyFill="1" applyAlignment="1">
      <alignment horizontal="left" vertical="center"/>
    </xf>
    <xf numFmtId="0" fontId="1" fillId="8689" borderId="0" xfId="4" applyFill="1" applyAlignment="1">
      <alignment horizontal="center" vertical="center"/>
    </xf>
    <xf numFmtId="0" fontId="1" fillId="8690" borderId="0" xfId="4" applyFill="1" applyAlignment="1">
      <alignment horizontal="center" vertical="center"/>
    </xf>
    <xf numFmtId="0" fontId="1" fillId="8691" borderId="0" xfId="4" applyFill="1" applyAlignment="1">
      <alignment horizontal="center" vertical="center"/>
    </xf>
    <xf numFmtId="0" fontId="1" fillId="8692" borderId="0" xfId="4" applyFill="1" applyAlignment="1">
      <alignment horizontal="center" vertical="center"/>
    </xf>
    <xf numFmtId="0" fontId="1" fillId="8693" borderId="0" xfId="4" applyFill="1" applyAlignment="1">
      <alignment horizontal="center" vertical="center"/>
    </xf>
    <xf numFmtId="0" fontId="1" fillId="8694" borderId="0" xfId="4" applyFill="1" applyAlignment="1">
      <alignment horizontal="center" vertical="center"/>
    </xf>
    <xf numFmtId="0" fontId="1" fillId="8695" borderId="0" xfId="4" applyFill="1" applyAlignment="1">
      <alignment horizontal="center" vertical="center"/>
    </xf>
    <xf numFmtId="0" fontId="1" fillId="8696" borderId="0" xfId="4" applyFill="1" applyAlignment="1">
      <alignment horizontal="center" vertical="center"/>
    </xf>
    <xf numFmtId="0" fontId="1" fillId="8697" borderId="0" xfId="4" applyFill="1" applyAlignment="1">
      <alignment horizontal="center" vertical="center"/>
    </xf>
    <xf numFmtId="0" fontId="1" fillId="8698" borderId="0" xfId="4" applyFill="1" applyAlignment="1">
      <alignment horizontal="center" vertical="center"/>
    </xf>
    <xf numFmtId="0" fontId="1" fillId="8699" borderId="0" xfId="4" applyFill="1" applyAlignment="1">
      <alignment horizontal="center" vertical="center"/>
    </xf>
    <xf numFmtId="0" fontId="1" fillId="8700" borderId="0" xfId="4" applyFill="1" applyAlignment="1">
      <alignment horizontal="center" vertical="center"/>
    </xf>
    <xf numFmtId="0" fontId="1" fillId="8701" borderId="0" xfId="4" applyFill="1" applyAlignment="1">
      <alignment horizontal="center" vertical="center"/>
    </xf>
    <xf numFmtId="0" fontId="1" fillId="8702" borderId="0" xfId="4" applyFill="1" applyAlignment="1">
      <alignment horizontal="center" vertical="center"/>
    </xf>
    <xf numFmtId="0" fontId="1" fillId="8703" borderId="0" xfId="4" applyFill="1" applyAlignment="1">
      <alignment horizontal="center" vertical="center"/>
    </xf>
    <xf numFmtId="0" fontId="1" fillId="8704" borderId="0" xfId="4" applyFill="1" applyAlignment="1">
      <alignment horizontal="center" vertical="center"/>
    </xf>
    <xf numFmtId="0" fontId="1" fillId="8705" borderId="0" xfId="4" applyFill="1" applyAlignment="1">
      <alignment horizontal="center" vertical="center"/>
    </xf>
    <xf numFmtId="0" fontId="1" fillId="8706" borderId="0" xfId="4" applyFill="1" applyAlignment="1">
      <alignment horizontal="center" vertical="center"/>
    </xf>
    <xf numFmtId="0" fontId="1" fillId="8707" borderId="0" xfId="4" applyFill="1" applyAlignment="1">
      <alignment horizontal="center" vertical="center"/>
    </xf>
    <xf numFmtId="0" fontId="1" fillId="8708" borderId="0" xfId="4" applyFill="1" applyAlignment="1">
      <alignment horizontal="center" vertical="center"/>
    </xf>
    <xf numFmtId="0" fontId="1" fillId="8709" borderId="0" xfId="4" applyFill="1" applyAlignment="1">
      <alignment horizontal="center" vertical="center"/>
    </xf>
    <xf numFmtId="0" fontId="1" fillId="8710" borderId="0" xfId="4" applyFill="1" applyAlignment="1">
      <alignment horizontal="center" vertical="center"/>
    </xf>
    <xf numFmtId="0" fontId="1" fillId="8711" borderId="0" xfId="4" applyFill="1" applyAlignment="1">
      <alignment horizontal="center" vertical="center"/>
    </xf>
    <xf numFmtId="0" fontId="1" fillId="8712" borderId="0" xfId="4" applyFill="1" applyAlignment="1">
      <alignment horizontal="center" vertical="center"/>
    </xf>
    <xf numFmtId="0" fontId="1" fillId="8713" borderId="0" xfId="4" applyFill="1" applyAlignment="1">
      <alignment horizontal="center" vertical="center"/>
    </xf>
    <xf numFmtId="0" fontId="1" fillId="8714" borderId="0" xfId="4" applyFill="1" applyAlignment="1">
      <alignment horizontal="center" vertical="center"/>
    </xf>
    <xf numFmtId="0" fontId="1" fillId="8715" borderId="0" xfId="4" applyFill="1" applyAlignment="1">
      <alignment horizontal="center" vertical="center"/>
    </xf>
    <xf numFmtId="0" fontId="1" fillId="8716" borderId="0" xfId="4" applyFill="1" applyAlignment="1">
      <alignment horizontal="left" vertical="center"/>
    </xf>
    <xf numFmtId="0" fontId="1" fillId="8717" borderId="0" xfId="4" applyFill="1" applyAlignment="1">
      <alignment horizontal="center" vertical="center"/>
    </xf>
    <xf numFmtId="0" fontId="1" fillId="8718" borderId="0" xfId="4" applyFill="1" applyAlignment="1">
      <alignment horizontal="center" vertical="center"/>
    </xf>
    <xf numFmtId="0" fontId="1" fillId="8719" borderId="0" xfId="4" applyFill="1" applyAlignment="1">
      <alignment horizontal="center" vertical="center"/>
    </xf>
    <xf numFmtId="0" fontId="1" fillId="8720" borderId="0" xfId="4" applyFill="1" applyAlignment="1">
      <alignment horizontal="center" vertical="center"/>
    </xf>
    <xf numFmtId="0" fontId="1" fillId="8721" borderId="0" xfId="4" applyFill="1" applyAlignment="1">
      <alignment horizontal="center" vertical="center"/>
    </xf>
    <xf numFmtId="0" fontId="1" fillId="8722" borderId="0" xfId="4" applyFill="1" applyAlignment="1">
      <alignment horizontal="center" vertical="center"/>
    </xf>
    <xf numFmtId="0" fontId="1" fillId="8723" borderId="0" xfId="4" applyFill="1" applyAlignment="1">
      <alignment horizontal="center" vertical="center"/>
    </xf>
    <xf numFmtId="0" fontId="1" fillId="8724" borderId="0" xfId="4" applyFill="1" applyAlignment="1">
      <alignment horizontal="center" vertical="center"/>
    </xf>
    <xf numFmtId="0" fontId="1" fillId="8725" borderId="0" xfId="4" applyFill="1" applyAlignment="1">
      <alignment horizontal="center" vertical="center"/>
    </xf>
    <xf numFmtId="0" fontId="1" fillId="8726" borderId="0" xfId="4" applyFill="1" applyAlignment="1">
      <alignment horizontal="center" vertical="center"/>
    </xf>
    <xf numFmtId="0" fontId="1" fillId="8727" borderId="0" xfId="4" applyFill="1" applyAlignment="1">
      <alignment horizontal="center" vertical="center"/>
    </xf>
    <xf numFmtId="0" fontId="1" fillId="8728" borderId="0" xfId="4" applyFill="1" applyAlignment="1">
      <alignment horizontal="center" vertical="center"/>
    </xf>
    <xf numFmtId="0" fontId="1" fillId="8729" borderId="0" xfId="4" applyFill="1" applyAlignment="1">
      <alignment horizontal="center" vertical="center"/>
    </xf>
    <xf numFmtId="0" fontId="1" fillId="8730" borderId="0" xfId="4" applyFill="1" applyAlignment="1">
      <alignment horizontal="center" vertical="center"/>
    </xf>
    <xf numFmtId="0" fontId="1" fillId="8731" borderId="0" xfId="4" applyFill="1" applyAlignment="1">
      <alignment horizontal="center" vertical="center"/>
    </xf>
    <xf numFmtId="0" fontId="1" fillId="8732" borderId="0" xfId="4" applyFill="1" applyAlignment="1">
      <alignment horizontal="center" vertical="center"/>
    </xf>
    <xf numFmtId="0" fontId="1" fillId="8733" borderId="0" xfId="4" applyFill="1" applyAlignment="1">
      <alignment horizontal="center" vertical="center"/>
    </xf>
    <xf numFmtId="0" fontId="1" fillId="8734" borderId="0" xfId="4" applyFill="1" applyAlignment="1">
      <alignment horizontal="center" vertical="center"/>
    </xf>
    <xf numFmtId="0" fontId="1" fillId="8735" borderId="0" xfId="4" applyFill="1" applyAlignment="1">
      <alignment horizontal="center" vertical="center"/>
    </xf>
    <xf numFmtId="0" fontId="1" fillId="8736" borderId="0" xfId="4" applyFill="1" applyAlignment="1">
      <alignment horizontal="center" vertical="center"/>
    </xf>
    <xf numFmtId="0" fontId="1" fillId="8737" borderId="0" xfId="4" applyFill="1" applyAlignment="1">
      <alignment horizontal="center" vertical="center"/>
    </xf>
    <xf numFmtId="0" fontId="1" fillId="8738" borderId="0" xfId="4" applyFill="1" applyAlignment="1">
      <alignment horizontal="center" vertical="center"/>
    </xf>
    <xf numFmtId="0" fontId="1" fillId="8739" borderId="0" xfId="4" applyFill="1" applyAlignment="1">
      <alignment horizontal="center" vertical="center"/>
    </xf>
    <xf numFmtId="0" fontId="1" fillId="8740" borderId="0" xfId="4" applyFill="1" applyAlignment="1">
      <alignment horizontal="center" vertical="center"/>
    </xf>
    <xf numFmtId="0" fontId="1" fillId="8741" borderId="0" xfId="4" applyFill="1" applyAlignment="1">
      <alignment horizontal="center" vertical="center"/>
    </xf>
    <xf numFmtId="0" fontId="1" fillId="8742" borderId="0" xfId="4" applyFill="1" applyAlignment="1">
      <alignment horizontal="center" vertical="center"/>
    </xf>
    <xf numFmtId="0" fontId="1" fillId="8743" borderId="0" xfId="4" applyFill="1" applyAlignment="1">
      <alignment horizontal="center" vertical="center"/>
    </xf>
    <xf numFmtId="0" fontId="1" fillId="8744" borderId="0" xfId="4" applyFill="1" applyAlignment="1">
      <alignment horizontal="center" vertical="center"/>
    </xf>
    <xf numFmtId="0" fontId="1" fillId="8745" borderId="0" xfId="4" applyFill="1" applyAlignment="1">
      <alignment horizontal="center" vertical="center"/>
    </xf>
    <xf numFmtId="0" fontId="1" fillId="8746" borderId="0" xfId="4" applyFill="1" applyAlignment="1">
      <alignment horizontal="center" vertical="center"/>
    </xf>
    <xf numFmtId="0" fontId="1" fillId="8747" borderId="0" xfId="4" applyFill="1" applyAlignment="1">
      <alignment horizontal="center" vertical="center"/>
    </xf>
    <xf numFmtId="0" fontId="1" fillId="8748" borderId="0" xfId="4" applyFill="1" applyAlignment="1">
      <alignment horizontal="center" vertical="center"/>
    </xf>
    <xf numFmtId="0" fontId="1" fillId="8749" borderId="0" xfId="4" applyFill="1" applyAlignment="1">
      <alignment horizontal="center" vertical="center"/>
    </xf>
    <xf numFmtId="0" fontId="1" fillId="8750" borderId="0" xfId="4" applyFill="1" applyAlignment="1">
      <alignment horizontal="center" vertical="center"/>
    </xf>
    <xf numFmtId="0" fontId="1" fillId="8751" borderId="0" xfId="4" applyFill="1" applyAlignment="1">
      <alignment horizontal="center" vertical="center"/>
    </xf>
    <xf numFmtId="0" fontId="1" fillId="8752" borderId="0" xfId="4" applyFill="1" applyAlignment="1">
      <alignment horizontal="center" vertical="center"/>
    </xf>
    <xf numFmtId="0" fontId="1" fillId="8753" borderId="0" xfId="4" applyFill="1" applyAlignment="1">
      <alignment horizontal="center" vertical="center"/>
    </xf>
    <xf numFmtId="0" fontId="1" fillId="8754" borderId="0" xfId="4" applyFill="1" applyAlignment="1">
      <alignment horizontal="center" vertical="center"/>
    </xf>
    <xf numFmtId="0" fontId="1" fillId="8755" borderId="0" xfId="4" applyFill="1" applyAlignment="1">
      <alignment horizontal="center" vertical="center"/>
    </xf>
    <xf numFmtId="0" fontId="1" fillId="8756" borderId="0" xfId="4" applyFill="1" applyAlignment="1">
      <alignment horizontal="center" vertical="center"/>
    </xf>
    <xf numFmtId="0" fontId="1" fillId="8757" borderId="0" xfId="4" applyFill="1" applyAlignment="1">
      <alignment horizontal="center" vertical="center"/>
    </xf>
    <xf numFmtId="0" fontId="1" fillId="8758" borderId="0" xfId="4" applyFill="1" applyAlignment="1">
      <alignment horizontal="center" vertical="center"/>
    </xf>
    <xf numFmtId="0" fontId="1" fillId="8759" borderId="0" xfId="4" applyFill="1" applyAlignment="1">
      <alignment horizontal="center" vertical="center"/>
    </xf>
    <xf numFmtId="0" fontId="1" fillId="8760" borderId="0" xfId="4" applyFill="1" applyAlignment="1">
      <alignment horizontal="center" vertical="center"/>
    </xf>
    <xf numFmtId="0" fontId="1" fillId="8761" borderId="0" xfId="4" applyFill="1" applyAlignment="1">
      <alignment horizontal="center" vertical="center"/>
    </xf>
    <xf numFmtId="0" fontId="1" fillId="8762" borderId="0" xfId="4" applyFill="1" applyAlignment="1">
      <alignment horizontal="center" vertical="center"/>
    </xf>
    <xf numFmtId="0" fontId="1" fillId="8763" borderId="0" xfId="4" applyFill="1" applyAlignment="1">
      <alignment horizontal="center" vertical="center"/>
    </xf>
    <xf numFmtId="0" fontId="1" fillId="8764" borderId="0" xfId="4" applyFill="1" applyAlignment="1">
      <alignment horizontal="center" vertical="center"/>
    </xf>
    <xf numFmtId="0" fontId="1" fillId="8765" borderId="0" xfId="4" applyFill="1" applyAlignment="1">
      <alignment horizontal="left" vertical="center"/>
    </xf>
    <xf numFmtId="0" fontId="1" fillId="8766" borderId="0" xfId="4" applyFill="1" applyAlignment="1">
      <alignment horizontal="center" vertical="center"/>
    </xf>
    <xf numFmtId="0" fontId="1" fillId="8767" borderId="0" xfId="4" applyFill="1" applyAlignment="1">
      <alignment horizontal="center" vertical="center"/>
    </xf>
    <xf numFmtId="0" fontId="1" fillId="8768" borderId="0" xfId="4" applyFill="1" applyAlignment="1">
      <alignment horizontal="center" vertical="center"/>
    </xf>
    <xf numFmtId="0" fontId="1" fillId="8769" borderId="0" xfId="4" applyFill="1" applyAlignment="1">
      <alignment horizontal="center" vertical="center"/>
    </xf>
    <xf numFmtId="0" fontId="1" fillId="8770" borderId="0" xfId="4" applyFill="1" applyAlignment="1">
      <alignment horizontal="center" vertical="center"/>
    </xf>
    <xf numFmtId="0" fontId="1" fillId="8771" borderId="0" xfId="4" applyFill="1" applyAlignment="1">
      <alignment horizontal="center" vertical="center"/>
    </xf>
    <xf numFmtId="0" fontId="1" fillId="8772" borderId="0" xfId="4" applyFill="1" applyAlignment="1">
      <alignment horizontal="center" vertical="center"/>
    </xf>
    <xf numFmtId="0" fontId="1" fillId="8773" borderId="0" xfId="4" applyFill="1" applyAlignment="1">
      <alignment horizontal="center" vertical="center"/>
    </xf>
    <xf numFmtId="0" fontId="1" fillId="8774" borderId="0" xfId="4" applyFill="1" applyAlignment="1">
      <alignment horizontal="center" vertical="center"/>
    </xf>
    <xf numFmtId="0" fontId="1" fillId="8775" borderId="0" xfId="4" applyFill="1" applyAlignment="1">
      <alignment horizontal="center" vertical="center"/>
    </xf>
    <xf numFmtId="0" fontId="1" fillId="8776" borderId="0" xfId="4" applyFill="1" applyAlignment="1">
      <alignment horizontal="center" vertical="center"/>
    </xf>
    <xf numFmtId="0" fontId="1" fillId="8777" borderId="0" xfId="4" applyFill="1" applyAlignment="1">
      <alignment horizontal="center" vertical="center"/>
    </xf>
    <xf numFmtId="0" fontId="1" fillId="8778" borderId="0" xfId="4" applyFill="1" applyAlignment="1">
      <alignment horizontal="center" vertical="center"/>
    </xf>
    <xf numFmtId="0" fontId="1" fillId="8779" borderId="0" xfId="4" applyFill="1" applyAlignment="1">
      <alignment horizontal="center" vertical="center"/>
    </xf>
    <xf numFmtId="0" fontId="1" fillId="8780" borderId="0" xfId="4" applyFill="1" applyAlignment="1">
      <alignment horizontal="center" vertical="center"/>
    </xf>
    <xf numFmtId="0" fontId="1" fillId="8781" borderId="0" xfId="4" applyFill="1" applyAlignment="1">
      <alignment horizontal="center" vertical="center"/>
    </xf>
    <xf numFmtId="0" fontId="1" fillId="8782" borderId="0" xfId="4" applyFill="1" applyAlignment="1">
      <alignment horizontal="center" vertical="center"/>
    </xf>
    <xf numFmtId="0" fontId="1" fillId="8783" borderId="0" xfId="4" applyFill="1" applyAlignment="1">
      <alignment horizontal="center" vertical="center"/>
    </xf>
    <xf numFmtId="0" fontId="1" fillId="8784" borderId="0" xfId="4" applyFill="1" applyAlignment="1">
      <alignment horizontal="center" vertical="center"/>
    </xf>
    <xf numFmtId="0" fontId="1" fillId="8785" borderId="0" xfId="4" applyFill="1" applyAlignment="1">
      <alignment horizontal="center" vertical="center"/>
    </xf>
    <xf numFmtId="0" fontId="1" fillId="8786" borderId="0" xfId="4" applyFill="1" applyAlignment="1">
      <alignment horizontal="center" vertical="center"/>
    </xf>
    <xf numFmtId="0" fontId="1" fillId="8787" borderId="0" xfId="4" applyFill="1" applyAlignment="1">
      <alignment horizontal="center" vertical="center"/>
    </xf>
    <xf numFmtId="0" fontId="1" fillId="8788" borderId="0" xfId="4" applyFill="1" applyAlignment="1">
      <alignment horizontal="center" vertical="center"/>
    </xf>
    <xf numFmtId="0" fontId="1" fillId="8789" borderId="0" xfId="4" applyFill="1" applyAlignment="1">
      <alignment horizontal="center" vertical="center"/>
    </xf>
    <xf numFmtId="0" fontId="1" fillId="8790" borderId="0" xfId="4" applyFill="1" applyAlignment="1">
      <alignment horizontal="center" vertical="center"/>
    </xf>
    <xf numFmtId="0" fontId="1" fillId="8791" borderId="0" xfId="4" applyFill="1" applyAlignment="1">
      <alignment horizontal="center" vertical="center"/>
    </xf>
    <xf numFmtId="0" fontId="1" fillId="8792" borderId="0" xfId="4" applyFill="1" applyAlignment="1">
      <alignment horizontal="left" vertical="center"/>
    </xf>
    <xf numFmtId="0" fontId="1" fillId="8793" borderId="0" xfId="4" applyFill="1" applyAlignment="1">
      <alignment horizontal="center" vertical="center"/>
    </xf>
    <xf numFmtId="0" fontId="1" fillId="8794" borderId="0" xfId="4" applyFill="1" applyAlignment="1">
      <alignment horizontal="center" vertical="center"/>
    </xf>
    <xf numFmtId="0" fontId="1" fillId="8795" borderId="0" xfId="4" applyFill="1" applyAlignment="1">
      <alignment horizontal="center" vertical="center"/>
    </xf>
    <xf numFmtId="0" fontId="1" fillId="8796" borderId="0" xfId="4" applyFill="1" applyAlignment="1">
      <alignment horizontal="center" vertical="center"/>
    </xf>
    <xf numFmtId="0" fontId="1" fillId="8797" borderId="0" xfId="4" applyFill="1" applyAlignment="1">
      <alignment horizontal="center" vertical="center"/>
    </xf>
    <xf numFmtId="0" fontId="1" fillId="8798" borderId="0" xfId="4" applyFill="1" applyAlignment="1">
      <alignment horizontal="center" vertical="center"/>
    </xf>
    <xf numFmtId="0" fontId="1" fillId="8799" borderId="0" xfId="4" applyFill="1" applyAlignment="1">
      <alignment horizontal="center" vertical="center"/>
    </xf>
    <xf numFmtId="0" fontId="1" fillId="8800" borderId="0" xfId="4" applyFill="1" applyAlignment="1">
      <alignment horizontal="center" vertical="center"/>
    </xf>
    <xf numFmtId="0" fontId="1" fillId="8801" borderId="0" xfId="4" applyFill="1" applyAlignment="1">
      <alignment horizontal="center" vertical="center"/>
    </xf>
    <xf numFmtId="0" fontId="1" fillId="8802" borderId="0" xfId="4" applyFill="1" applyAlignment="1">
      <alignment horizontal="center" vertical="center"/>
    </xf>
    <xf numFmtId="0" fontId="1" fillId="8803" borderId="0" xfId="4" applyFill="1" applyAlignment="1">
      <alignment horizontal="center" vertical="center"/>
    </xf>
    <xf numFmtId="0" fontId="1" fillId="8804" borderId="0" xfId="4" applyFill="1" applyAlignment="1">
      <alignment horizontal="center" vertical="center"/>
    </xf>
    <xf numFmtId="0" fontId="1" fillId="8805" borderId="0" xfId="4" applyFill="1" applyAlignment="1">
      <alignment horizontal="center" vertical="center"/>
    </xf>
    <xf numFmtId="0" fontId="1" fillId="8806" borderId="0" xfId="4" applyFill="1" applyAlignment="1">
      <alignment horizontal="center" vertical="center"/>
    </xf>
    <xf numFmtId="0" fontId="1" fillId="8807" borderId="0" xfId="4" applyFill="1" applyAlignment="1">
      <alignment horizontal="center" vertical="center"/>
    </xf>
    <xf numFmtId="0" fontId="1" fillId="8808" borderId="0" xfId="4" applyFill="1" applyAlignment="1">
      <alignment horizontal="center" vertical="center"/>
    </xf>
    <xf numFmtId="0" fontId="1" fillId="8809" borderId="0" xfId="4" applyFill="1" applyAlignment="1">
      <alignment horizontal="center" vertical="center"/>
    </xf>
    <xf numFmtId="0" fontId="1" fillId="8810" borderId="0" xfId="4" applyFill="1" applyAlignment="1">
      <alignment horizontal="center" vertical="center"/>
    </xf>
    <xf numFmtId="0" fontId="1" fillId="8811" borderId="0" xfId="4" applyFill="1" applyAlignment="1">
      <alignment horizontal="center" vertical="center"/>
    </xf>
    <xf numFmtId="0" fontId="1" fillId="8812" borderId="0" xfId="4" applyFill="1" applyAlignment="1">
      <alignment horizontal="center" vertical="center"/>
    </xf>
    <xf numFmtId="0" fontId="1" fillId="8813" borderId="0" xfId="4" applyFill="1" applyAlignment="1">
      <alignment horizontal="center" vertical="center"/>
    </xf>
    <xf numFmtId="0" fontId="1" fillId="8814" borderId="0" xfId="4" applyFill="1" applyAlignment="1">
      <alignment horizontal="center" vertical="center"/>
    </xf>
    <xf numFmtId="0" fontId="1" fillId="8815" borderId="0" xfId="4" applyFill="1" applyAlignment="1">
      <alignment horizontal="center" vertical="center"/>
    </xf>
    <xf numFmtId="0" fontId="1" fillId="8816" borderId="0" xfId="4" applyFill="1" applyAlignment="1">
      <alignment horizontal="center" vertical="center"/>
    </xf>
    <xf numFmtId="0" fontId="1" fillId="8817" borderId="0" xfId="4" applyFill="1" applyAlignment="1">
      <alignment horizontal="center" vertical="center"/>
    </xf>
    <xf numFmtId="0" fontId="1" fillId="8818" borderId="0" xfId="4" applyFill="1" applyAlignment="1">
      <alignment horizontal="center" vertical="center"/>
    </xf>
    <xf numFmtId="0" fontId="1" fillId="8819" borderId="0" xfId="4" applyFill="1" applyAlignment="1">
      <alignment horizontal="center" vertical="center"/>
    </xf>
    <xf numFmtId="0" fontId="1" fillId="8820" borderId="0" xfId="4" applyFill="1" applyAlignment="1">
      <alignment horizontal="center" vertical="center"/>
    </xf>
    <xf numFmtId="0" fontId="1" fillId="8821" borderId="0" xfId="4" applyFill="1" applyAlignment="1">
      <alignment horizontal="center" vertical="center"/>
    </xf>
    <xf numFmtId="0" fontId="1" fillId="8822" borderId="0" xfId="4" applyFill="1" applyAlignment="1">
      <alignment horizontal="center" vertical="center"/>
    </xf>
    <xf numFmtId="0" fontId="1" fillId="8823" borderId="0" xfId="4" applyFill="1" applyAlignment="1">
      <alignment horizontal="center" vertical="center"/>
    </xf>
    <xf numFmtId="0" fontId="1" fillId="8824" borderId="0" xfId="4" applyFill="1" applyAlignment="1">
      <alignment horizontal="center" vertical="center"/>
    </xf>
    <xf numFmtId="0" fontId="1" fillId="8825" borderId="0" xfId="4" applyFill="1" applyAlignment="1">
      <alignment horizontal="center" vertical="center"/>
    </xf>
    <xf numFmtId="0" fontId="1" fillId="8826" borderId="0" xfId="4" applyFill="1" applyAlignment="1">
      <alignment horizontal="center" vertical="center"/>
    </xf>
    <xf numFmtId="0" fontId="1" fillId="8827" borderId="0" xfId="4" applyFill="1" applyAlignment="1">
      <alignment horizontal="center" vertical="center"/>
    </xf>
    <xf numFmtId="0" fontId="1" fillId="8828" borderId="0" xfId="4" applyFill="1" applyAlignment="1">
      <alignment horizontal="center" vertical="center"/>
    </xf>
    <xf numFmtId="0" fontId="1" fillId="8829" borderId="0" xfId="4" applyFill="1" applyAlignment="1">
      <alignment horizontal="center" vertical="center"/>
    </xf>
    <xf numFmtId="0" fontId="1" fillId="8830" borderId="0" xfId="4" applyFill="1" applyAlignment="1">
      <alignment horizontal="center" vertical="center"/>
    </xf>
    <xf numFmtId="0" fontId="1" fillId="8831" borderId="0" xfId="4" applyFill="1" applyAlignment="1">
      <alignment horizontal="center" vertical="center"/>
    </xf>
    <xf numFmtId="0" fontId="1" fillId="8832" borderId="0" xfId="4" applyFill="1" applyAlignment="1">
      <alignment horizontal="center" vertical="center"/>
    </xf>
    <xf numFmtId="0" fontId="1" fillId="8833" borderId="0" xfId="4" applyFill="1" applyAlignment="1">
      <alignment horizontal="center" vertical="center"/>
    </xf>
    <xf numFmtId="0" fontId="1" fillId="8834" borderId="0" xfId="4" applyFill="1" applyAlignment="1">
      <alignment horizontal="center" vertical="center"/>
    </xf>
    <xf numFmtId="0" fontId="1" fillId="8835" borderId="0" xfId="4" applyFill="1" applyAlignment="1">
      <alignment horizontal="center" vertical="center"/>
    </xf>
    <xf numFmtId="0" fontId="1" fillId="5988" borderId="0" xfId="4" applyFill="1" applyAlignment="1">
      <alignment horizontal="left" vertical="center"/>
    </xf>
    <xf numFmtId="0" fontId="1" fillId="8836" borderId="0" xfId="4" applyFill="1" applyAlignment="1">
      <alignment horizontal="center" vertical="center"/>
    </xf>
    <xf numFmtId="0" fontId="1" fillId="8837" borderId="0" xfId="4" applyFill="1" applyAlignment="1">
      <alignment horizontal="center" vertical="center"/>
    </xf>
    <xf numFmtId="0" fontId="1" fillId="8838" borderId="0" xfId="4" applyFill="1" applyAlignment="1">
      <alignment horizontal="center" vertical="center"/>
    </xf>
    <xf numFmtId="0" fontId="1" fillId="8839" borderId="0" xfId="4" applyFill="1" applyAlignment="1">
      <alignment horizontal="center" vertical="center"/>
    </xf>
    <xf numFmtId="0" fontId="1" fillId="8840" borderId="0" xfId="4" applyFill="1" applyAlignment="1">
      <alignment horizontal="center" vertical="center"/>
    </xf>
    <xf numFmtId="0" fontId="1" fillId="8841" borderId="0" xfId="4" applyFill="1" applyAlignment="1">
      <alignment horizontal="center" vertical="center"/>
    </xf>
    <xf numFmtId="0" fontId="1" fillId="8842" borderId="0" xfId="4" applyFill="1" applyAlignment="1">
      <alignment horizontal="center" vertical="center"/>
    </xf>
    <xf numFmtId="0" fontId="1" fillId="8843" borderId="0" xfId="4" applyFill="1" applyAlignment="1">
      <alignment horizontal="center" vertical="center"/>
    </xf>
    <xf numFmtId="0" fontId="1" fillId="8844" borderId="0" xfId="4" applyFill="1" applyAlignment="1">
      <alignment horizontal="center" vertical="center"/>
    </xf>
    <xf numFmtId="0" fontId="1" fillId="8845" borderId="0" xfId="4" applyFill="1" applyAlignment="1">
      <alignment horizontal="center" vertical="center"/>
    </xf>
    <xf numFmtId="0" fontId="1" fillId="8846" borderId="0" xfId="4" applyFill="1" applyAlignment="1">
      <alignment horizontal="center" vertical="center"/>
    </xf>
    <xf numFmtId="0" fontId="1" fillId="8847" borderId="0" xfId="4" applyFill="1" applyAlignment="1">
      <alignment horizontal="center" vertical="center"/>
    </xf>
    <xf numFmtId="0" fontId="1" fillId="8848" borderId="0" xfId="4" applyFill="1" applyAlignment="1">
      <alignment horizontal="center" vertical="center"/>
    </xf>
    <xf numFmtId="0" fontId="1" fillId="8849" borderId="0" xfId="4" applyFill="1" applyAlignment="1">
      <alignment horizontal="center" vertical="center"/>
    </xf>
    <xf numFmtId="0" fontId="1" fillId="8850" borderId="0" xfId="4" applyFill="1" applyAlignment="1">
      <alignment horizontal="center" vertical="center"/>
    </xf>
    <xf numFmtId="0" fontId="1" fillId="8851" borderId="0" xfId="4" applyFill="1" applyAlignment="1">
      <alignment horizontal="center" vertical="center"/>
    </xf>
    <xf numFmtId="0" fontId="1" fillId="8852" borderId="0" xfId="4" applyFill="1" applyAlignment="1">
      <alignment horizontal="center" vertical="center"/>
    </xf>
    <xf numFmtId="0" fontId="1" fillId="8853" borderId="0" xfId="4" applyFill="1" applyAlignment="1">
      <alignment horizontal="center" vertical="center"/>
    </xf>
    <xf numFmtId="0" fontId="1" fillId="8854" borderId="0" xfId="4" applyFill="1" applyAlignment="1">
      <alignment horizontal="center" vertical="center"/>
    </xf>
    <xf numFmtId="0" fontId="1" fillId="8855" borderId="0" xfId="4" applyFill="1" applyAlignment="1">
      <alignment horizontal="center" vertical="center"/>
    </xf>
    <xf numFmtId="0" fontId="1" fillId="8856" borderId="0" xfId="4" applyFill="1" applyAlignment="1">
      <alignment horizontal="center" vertical="center"/>
    </xf>
    <xf numFmtId="0" fontId="1" fillId="8857" borderId="0" xfId="4" applyFill="1" applyAlignment="1">
      <alignment horizontal="center" vertical="center"/>
    </xf>
    <xf numFmtId="0" fontId="1" fillId="8858" borderId="0" xfId="4" applyFill="1" applyAlignment="1">
      <alignment horizontal="center" vertical="center"/>
    </xf>
    <xf numFmtId="0" fontId="1" fillId="8859" borderId="0" xfId="4" applyFill="1" applyAlignment="1">
      <alignment horizontal="center" vertical="center"/>
    </xf>
    <xf numFmtId="0" fontId="1" fillId="8860" borderId="0" xfId="4" applyFill="1" applyAlignment="1">
      <alignment horizontal="center" vertical="center"/>
    </xf>
    <xf numFmtId="0" fontId="1" fillId="8861" borderId="0" xfId="4" applyFill="1" applyAlignment="1">
      <alignment horizontal="center" vertical="center"/>
    </xf>
    <xf numFmtId="0" fontId="1" fillId="8862" borderId="0" xfId="4" applyFill="1" applyAlignment="1">
      <alignment horizontal="center" vertical="center"/>
    </xf>
    <xf numFmtId="0" fontId="1" fillId="8863" borderId="0" xfId="4" applyFill="1" applyAlignment="1">
      <alignment horizontal="center" vertical="center"/>
    </xf>
    <xf numFmtId="0" fontId="1" fillId="8864" borderId="0" xfId="4" applyFill="1" applyAlignment="1">
      <alignment horizontal="left" vertical="center"/>
    </xf>
    <xf numFmtId="0" fontId="1" fillId="8865" borderId="0" xfId="4" applyFill="1" applyAlignment="1">
      <alignment horizontal="center" vertical="center"/>
    </xf>
    <xf numFmtId="0" fontId="1" fillId="8866" borderId="0" xfId="4" applyFill="1" applyAlignment="1">
      <alignment horizontal="center" vertical="center"/>
    </xf>
    <xf numFmtId="0" fontId="1" fillId="8867" borderId="0" xfId="4" applyFill="1" applyAlignment="1">
      <alignment horizontal="center" vertical="center"/>
    </xf>
    <xf numFmtId="0" fontId="1" fillId="8868" borderId="0" xfId="4" applyFill="1" applyAlignment="1">
      <alignment horizontal="center" vertical="center"/>
    </xf>
    <xf numFmtId="0" fontId="1" fillId="8869" borderId="0" xfId="4" applyFill="1" applyAlignment="1">
      <alignment horizontal="center" vertical="center"/>
    </xf>
    <xf numFmtId="0" fontId="1" fillId="8870" borderId="0" xfId="4" applyFill="1" applyAlignment="1">
      <alignment horizontal="center" vertical="center"/>
    </xf>
    <xf numFmtId="0" fontId="1" fillId="8871" borderId="0" xfId="4" applyFill="1" applyAlignment="1">
      <alignment horizontal="center" vertical="center"/>
    </xf>
    <xf numFmtId="0" fontId="1" fillId="8872" borderId="0" xfId="4" applyFill="1" applyAlignment="1">
      <alignment horizontal="center" vertical="center"/>
    </xf>
    <xf numFmtId="0" fontId="1" fillId="8873" borderId="0" xfId="4" applyFill="1" applyAlignment="1">
      <alignment horizontal="center" vertical="center"/>
    </xf>
    <xf numFmtId="0" fontId="1" fillId="8874" borderId="0" xfId="4" applyFill="1" applyAlignment="1">
      <alignment horizontal="center" vertical="center"/>
    </xf>
    <xf numFmtId="0" fontId="1" fillId="8875" borderId="0" xfId="4" applyFill="1" applyAlignment="1">
      <alignment horizontal="center" vertical="center"/>
    </xf>
    <xf numFmtId="0" fontId="1" fillId="8876" borderId="0" xfId="4" applyFill="1" applyAlignment="1">
      <alignment horizontal="center" vertical="center"/>
    </xf>
    <xf numFmtId="0" fontId="1" fillId="8877" borderId="0" xfId="4" applyFill="1" applyAlignment="1">
      <alignment horizontal="center" vertical="center"/>
    </xf>
    <xf numFmtId="0" fontId="1" fillId="8878" borderId="0" xfId="4" applyFill="1" applyAlignment="1">
      <alignment horizontal="center" vertical="center"/>
    </xf>
    <xf numFmtId="0" fontId="1" fillId="8879" borderId="0" xfId="4" applyFill="1" applyAlignment="1">
      <alignment horizontal="center" vertical="center"/>
    </xf>
    <xf numFmtId="0" fontId="1" fillId="8880" borderId="0" xfId="4" applyFill="1" applyAlignment="1">
      <alignment horizontal="center" vertical="center"/>
    </xf>
    <xf numFmtId="0" fontId="1" fillId="8881" borderId="0" xfId="4" applyFill="1" applyAlignment="1">
      <alignment horizontal="center" vertical="center"/>
    </xf>
    <xf numFmtId="0" fontId="1" fillId="8882" borderId="0" xfId="4" applyFill="1" applyAlignment="1">
      <alignment horizontal="center" vertical="center"/>
    </xf>
    <xf numFmtId="0" fontId="1" fillId="8883" borderId="0" xfId="4" applyFill="1" applyAlignment="1">
      <alignment horizontal="center" vertical="center"/>
    </xf>
    <xf numFmtId="0" fontId="1" fillId="8884" borderId="0" xfId="4" applyFill="1" applyAlignment="1">
      <alignment horizontal="center" vertical="center"/>
    </xf>
    <xf numFmtId="0" fontId="1" fillId="8885" borderId="0" xfId="4" applyFill="1" applyAlignment="1">
      <alignment horizontal="center" vertical="center"/>
    </xf>
    <xf numFmtId="0" fontId="1" fillId="8886" borderId="0" xfId="4" applyFill="1" applyAlignment="1">
      <alignment horizontal="center" vertical="center"/>
    </xf>
    <xf numFmtId="0" fontId="1" fillId="8887" borderId="0" xfId="4" applyFill="1" applyAlignment="1">
      <alignment horizontal="center" vertical="center"/>
    </xf>
    <xf numFmtId="0" fontId="1" fillId="8888" borderId="0" xfId="4" applyFill="1" applyAlignment="1">
      <alignment horizontal="center" vertical="center"/>
    </xf>
    <xf numFmtId="0" fontId="1" fillId="8889" borderId="0" xfId="4" applyFill="1" applyAlignment="1">
      <alignment horizontal="center" vertical="center"/>
    </xf>
    <xf numFmtId="0" fontId="1" fillId="8890" borderId="0" xfId="4" applyFill="1" applyAlignment="1">
      <alignment horizontal="center" vertical="center"/>
    </xf>
    <xf numFmtId="0" fontId="1" fillId="8891" borderId="0" xfId="4" applyFill="1" applyAlignment="1">
      <alignment horizontal="center" vertical="center"/>
    </xf>
    <xf numFmtId="0" fontId="1" fillId="8892" borderId="0" xfId="4" applyFill="1" applyAlignment="1">
      <alignment horizontal="center" vertical="center"/>
    </xf>
    <xf numFmtId="0" fontId="1" fillId="8893" borderId="0" xfId="4" applyFill="1" applyAlignment="1">
      <alignment horizontal="center" vertical="center"/>
    </xf>
    <xf numFmtId="0" fontId="1" fillId="8894" borderId="0" xfId="4" applyFill="1" applyAlignment="1">
      <alignment horizontal="center" vertical="center"/>
    </xf>
    <xf numFmtId="0" fontId="1" fillId="8895" borderId="0" xfId="4" applyFill="1" applyAlignment="1">
      <alignment horizontal="center" vertical="center"/>
    </xf>
    <xf numFmtId="0" fontId="1" fillId="8896" borderId="0" xfId="4" applyFill="1" applyAlignment="1">
      <alignment horizontal="center" vertical="center"/>
    </xf>
    <xf numFmtId="0" fontId="1" fillId="8897" borderId="0" xfId="4" applyFill="1" applyAlignment="1">
      <alignment horizontal="center" vertical="center"/>
    </xf>
    <xf numFmtId="0" fontId="1" fillId="8898" borderId="0" xfId="4" applyFill="1" applyAlignment="1">
      <alignment horizontal="center" vertical="center"/>
    </xf>
    <xf numFmtId="0" fontId="1" fillId="8899" borderId="0" xfId="4" applyFill="1" applyAlignment="1">
      <alignment horizontal="center" vertical="center"/>
    </xf>
    <xf numFmtId="0" fontId="1" fillId="8900" borderId="0" xfId="4" applyFill="1" applyAlignment="1">
      <alignment horizontal="center" vertical="center"/>
    </xf>
    <xf numFmtId="0" fontId="1" fillId="8901" borderId="0" xfId="4" applyFill="1" applyAlignment="1">
      <alignment horizontal="center" vertical="center"/>
    </xf>
    <xf numFmtId="0" fontId="1" fillId="8902" borderId="0" xfId="4" applyFill="1" applyAlignment="1">
      <alignment horizontal="center" vertical="center"/>
    </xf>
    <xf numFmtId="0" fontId="1" fillId="8903" borderId="0" xfId="4" applyFill="1" applyAlignment="1">
      <alignment horizontal="center" vertical="center"/>
    </xf>
    <xf numFmtId="0" fontId="1" fillId="8904" borderId="0" xfId="4" applyFill="1" applyAlignment="1">
      <alignment horizontal="center" vertical="center"/>
    </xf>
    <xf numFmtId="0" fontId="1" fillId="8905" borderId="0" xfId="4" applyFill="1" applyAlignment="1">
      <alignment horizontal="center" vertical="center"/>
    </xf>
    <xf numFmtId="0" fontId="1" fillId="8906" borderId="0" xfId="4" applyFill="1" applyAlignment="1">
      <alignment horizontal="center" vertical="center"/>
    </xf>
    <xf numFmtId="0" fontId="1" fillId="8907" borderId="0" xfId="4" applyFill="1" applyAlignment="1">
      <alignment horizontal="center" vertical="center"/>
    </xf>
    <xf numFmtId="0" fontId="1" fillId="8908" borderId="0" xfId="4" applyFill="1" applyAlignment="1">
      <alignment horizontal="center" vertical="center"/>
    </xf>
    <xf numFmtId="0" fontId="1" fillId="8909" borderId="0" xfId="4" applyFill="1" applyAlignment="1">
      <alignment horizontal="center" vertical="center"/>
    </xf>
    <xf numFmtId="0" fontId="1" fillId="8910" borderId="0" xfId="4" applyFill="1" applyAlignment="1">
      <alignment horizontal="center" vertical="center"/>
    </xf>
    <xf numFmtId="0" fontId="1" fillId="8911" borderId="0" xfId="4" applyFill="1" applyAlignment="1">
      <alignment horizontal="center" vertical="center"/>
    </xf>
    <xf numFmtId="0" fontId="1" fillId="8912" borderId="0" xfId="4" applyFill="1" applyAlignment="1">
      <alignment horizontal="center" vertical="center"/>
    </xf>
    <xf numFmtId="0" fontId="1" fillId="8913" borderId="0" xfId="4" applyFill="1" applyAlignment="1">
      <alignment horizontal="center" vertical="center"/>
    </xf>
    <xf numFmtId="0" fontId="1" fillId="8914" borderId="0" xfId="4" applyFill="1" applyAlignment="1">
      <alignment horizontal="center" vertical="center"/>
    </xf>
    <xf numFmtId="0" fontId="1" fillId="8915" borderId="0" xfId="4" applyFill="1" applyAlignment="1">
      <alignment horizontal="center" vertical="center"/>
    </xf>
    <xf numFmtId="0" fontId="1" fillId="8916" borderId="0" xfId="4" applyFill="1" applyAlignment="1">
      <alignment horizontal="center" vertical="center"/>
    </xf>
    <xf numFmtId="0" fontId="1" fillId="8917" borderId="0" xfId="4" applyFill="1" applyAlignment="1">
      <alignment horizontal="center" vertical="center"/>
    </xf>
    <xf numFmtId="0" fontId="1" fillId="8918" borderId="0" xfId="4" applyFill="1" applyAlignment="1">
      <alignment horizontal="center" vertical="center"/>
    </xf>
    <xf numFmtId="0" fontId="1" fillId="8919" borderId="0" xfId="4" applyFill="1" applyAlignment="1">
      <alignment horizontal="left" vertical="center"/>
    </xf>
    <xf numFmtId="0" fontId="1" fillId="8920" borderId="0" xfId="4" applyFill="1" applyAlignment="1">
      <alignment horizontal="center" vertical="center"/>
    </xf>
    <xf numFmtId="0" fontId="1" fillId="8921" borderId="0" xfId="4" applyFill="1" applyAlignment="1">
      <alignment horizontal="center" vertical="center"/>
    </xf>
    <xf numFmtId="0" fontId="1" fillId="8922" borderId="0" xfId="4" applyFill="1" applyAlignment="1">
      <alignment horizontal="center" vertical="center"/>
    </xf>
    <xf numFmtId="0" fontId="1" fillId="8923" borderId="0" xfId="4" applyFill="1" applyAlignment="1">
      <alignment horizontal="center" vertical="center"/>
    </xf>
    <xf numFmtId="0" fontId="1" fillId="8924" borderId="0" xfId="4" applyFill="1" applyAlignment="1">
      <alignment horizontal="center" vertical="center"/>
    </xf>
    <xf numFmtId="0" fontId="1" fillId="8925" borderId="0" xfId="4" applyFill="1" applyAlignment="1">
      <alignment horizontal="center" vertical="center"/>
    </xf>
    <xf numFmtId="0" fontId="1" fillId="8926" borderId="0" xfId="4" applyFill="1" applyAlignment="1">
      <alignment horizontal="center" vertical="center"/>
    </xf>
    <xf numFmtId="0" fontId="1" fillId="8927" borderId="0" xfId="4" applyFill="1" applyAlignment="1">
      <alignment horizontal="center" vertical="center"/>
    </xf>
    <xf numFmtId="0" fontId="1" fillId="8928" borderId="0" xfId="4" applyFill="1" applyAlignment="1">
      <alignment horizontal="center" vertical="center"/>
    </xf>
    <xf numFmtId="0" fontId="1" fillId="8929" borderId="0" xfId="4" applyFill="1" applyAlignment="1">
      <alignment horizontal="center" vertical="center"/>
    </xf>
    <xf numFmtId="0" fontId="1" fillId="8930" borderId="0" xfId="4" applyFill="1" applyAlignment="1">
      <alignment horizontal="center" vertical="center"/>
    </xf>
    <xf numFmtId="0" fontId="1" fillId="8931" borderId="0" xfId="4" applyFill="1" applyAlignment="1">
      <alignment horizontal="center" vertical="center"/>
    </xf>
    <xf numFmtId="0" fontId="1" fillId="8932" borderId="0" xfId="4" applyFill="1" applyAlignment="1">
      <alignment horizontal="center" vertical="center"/>
    </xf>
    <xf numFmtId="0" fontId="1" fillId="8933" borderId="0" xfId="4" applyFill="1" applyAlignment="1">
      <alignment horizontal="center" vertical="center"/>
    </xf>
    <xf numFmtId="0" fontId="1" fillId="8934" borderId="0" xfId="4" applyFill="1" applyAlignment="1">
      <alignment horizontal="center" vertical="center"/>
    </xf>
    <xf numFmtId="0" fontId="1" fillId="8935" borderId="0" xfId="4" applyFill="1" applyAlignment="1">
      <alignment horizontal="center" vertical="center"/>
    </xf>
    <xf numFmtId="0" fontId="1" fillId="8936" borderId="0" xfId="4" applyFill="1" applyAlignment="1">
      <alignment horizontal="center" vertical="center"/>
    </xf>
    <xf numFmtId="0" fontId="1" fillId="8937" borderId="0" xfId="4" applyFill="1" applyAlignment="1">
      <alignment horizontal="center" vertical="center"/>
    </xf>
    <xf numFmtId="0" fontId="1" fillId="8938" borderId="0" xfId="4" applyFill="1" applyAlignment="1">
      <alignment horizontal="center" vertical="center"/>
    </xf>
    <xf numFmtId="0" fontId="1" fillId="8939" borderId="0" xfId="4" applyFill="1" applyAlignment="1">
      <alignment horizontal="center" vertical="center"/>
    </xf>
    <xf numFmtId="0" fontId="1" fillId="8940" borderId="0" xfId="4" applyFill="1" applyAlignment="1">
      <alignment horizontal="center" vertical="center"/>
    </xf>
    <xf numFmtId="0" fontId="1" fillId="8941" borderId="0" xfId="4" applyFill="1" applyAlignment="1">
      <alignment horizontal="center" vertical="center"/>
    </xf>
    <xf numFmtId="0" fontId="1" fillId="8942" borderId="0" xfId="4" applyFill="1" applyAlignment="1">
      <alignment horizontal="center" vertical="center"/>
    </xf>
    <xf numFmtId="0" fontId="1" fillId="8943" borderId="0" xfId="4" applyFill="1" applyAlignment="1">
      <alignment horizontal="center" vertical="center"/>
    </xf>
    <xf numFmtId="0" fontId="1" fillId="8944" borderId="0" xfId="4" applyFill="1" applyAlignment="1">
      <alignment horizontal="center" vertical="center"/>
    </xf>
    <xf numFmtId="0" fontId="1" fillId="8945" borderId="0" xfId="4" applyFill="1" applyAlignment="1">
      <alignment horizontal="center" vertical="center"/>
    </xf>
    <xf numFmtId="0" fontId="1" fillId="8946" borderId="0" xfId="4" applyFill="1" applyAlignment="1">
      <alignment horizontal="center" vertical="center"/>
    </xf>
    <xf numFmtId="0" fontId="1" fillId="8947" borderId="0" xfId="4" applyFill="1" applyAlignment="1">
      <alignment horizontal="center" vertical="center"/>
    </xf>
    <xf numFmtId="0" fontId="1" fillId="8948" borderId="0" xfId="4" applyFill="1" applyAlignment="1">
      <alignment horizontal="left" vertical="center"/>
    </xf>
    <xf numFmtId="0" fontId="1" fillId="8949" borderId="0" xfId="4" applyFill="1" applyAlignment="1">
      <alignment horizontal="center" vertical="center"/>
    </xf>
    <xf numFmtId="0" fontId="1" fillId="8950" borderId="0" xfId="4" applyFill="1" applyAlignment="1">
      <alignment horizontal="center" vertical="center"/>
    </xf>
    <xf numFmtId="0" fontId="1" fillId="8951" borderId="0" xfId="4" applyFill="1" applyAlignment="1">
      <alignment horizontal="center" vertical="center"/>
    </xf>
    <xf numFmtId="0" fontId="1" fillId="8952" borderId="0" xfId="4" applyFill="1" applyAlignment="1">
      <alignment horizontal="center" vertical="center"/>
    </xf>
    <xf numFmtId="0" fontId="1" fillId="8953" borderId="0" xfId="4" applyFill="1" applyAlignment="1">
      <alignment horizontal="center" vertical="center"/>
    </xf>
    <xf numFmtId="0" fontId="1" fillId="8954" borderId="0" xfId="4" applyFill="1" applyAlignment="1">
      <alignment horizontal="center" vertical="center"/>
    </xf>
    <xf numFmtId="0" fontId="1" fillId="8955" borderId="0" xfId="4" applyFill="1" applyAlignment="1">
      <alignment horizontal="center" vertical="center"/>
    </xf>
    <xf numFmtId="0" fontId="1" fillId="8956" borderId="0" xfId="4" applyFill="1" applyAlignment="1">
      <alignment horizontal="center" vertical="center"/>
    </xf>
    <xf numFmtId="0" fontId="1" fillId="8957" borderId="0" xfId="4" applyFill="1" applyAlignment="1">
      <alignment horizontal="center" vertical="center"/>
    </xf>
    <xf numFmtId="0" fontId="1" fillId="8958" borderId="0" xfId="4" applyFill="1" applyAlignment="1">
      <alignment horizontal="center" vertical="center"/>
    </xf>
    <xf numFmtId="0" fontId="1" fillId="8959" borderId="0" xfId="4" applyFill="1" applyAlignment="1">
      <alignment horizontal="center" vertical="center"/>
    </xf>
    <xf numFmtId="0" fontId="1" fillId="8960" borderId="0" xfId="4" applyFill="1" applyAlignment="1">
      <alignment horizontal="center" vertical="center"/>
    </xf>
    <xf numFmtId="0" fontId="1" fillId="8961" borderId="0" xfId="4" applyFill="1" applyAlignment="1">
      <alignment horizontal="center" vertical="center"/>
    </xf>
    <xf numFmtId="0" fontId="1" fillId="8962" borderId="0" xfId="4" applyFill="1" applyAlignment="1">
      <alignment horizontal="center" vertical="center"/>
    </xf>
    <xf numFmtId="0" fontId="1" fillId="8963" borderId="0" xfId="4" applyFill="1" applyAlignment="1">
      <alignment horizontal="center" vertical="center"/>
    </xf>
    <xf numFmtId="0" fontId="1" fillId="8964" borderId="0" xfId="4" applyFill="1" applyAlignment="1">
      <alignment horizontal="center" vertical="center"/>
    </xf>
    <xf numFmtId="0" fontId="1" fillId="8965" borderId="0" xfId="4" applyFill="1" applyAlignment="1">
      <alignment horizontal="center" vertical="center"/>
    </xf>
    <xf numFmtId="0" fontId="1" fillId="8966" borderId="0" xfId="4" applyFill="1" applyAlignment="1">
      <alignment horizontal="center" vertical="center"/>
    </xf>
    <xf numFmtId="0" fontId="1" fillId="8967" borderId="0" xfId="4" applyFill="1" applyAlignment="1">
      <alignment horizontal="center" vertical="center"/>
    </xf>
    <xf numFmtId="0" fontId="1" fillId="8968" borderId="0" xfId="4" applyFill="1" applyAlignment="1">
      <alignment horizontal="center" vertical="center"/>
    </xf>
    <xf numFmtId="0" fontId="1" fillId="8969" borderId="0" xfId="4" applyFill="1" applyAlignment="1">
      <alignment horizontal="center" vertical="center"/>
    </xf>
    <xf numFmtId="0" fontId="1" fillId="8970" borderId="0" xfId="4" applyFill="1" applyAlignment="1">
      <alignment horizontal="center" vertical="center"/>
    </xf>
    <xf numFmtId="0" fontId="1" fillId="8971" borderId="0" xfId="4" applyFill="1" applyAlignment="1">
      <alignment horizontal="center" vertical="center"/>
    </xf>
    <xf numFmtId="0" fontId="1" fillId="8972" borderId="0" xfId="4" applyFill="1" applyAlignment="1">
      <alignment horizontal="center" vertical="center"/>
    </xf>
    <xf numFmtId="0" fontId="1" fillId="8973" borderId="0" xfId="4" applyFill="1" applyAlignment="1">
      <alignment horizontal="center" vertical="center"/>
    </xf>
    <xf numFmtId="0" fontId="1" fillId="8974" borderId="0" xfId="4" applyFill="1" applyAlignment="1">
      <alignment horizontal="center" vertical="center"/>
    </xf>
    <xf numFmtId="0" fontId="1" fillId="8975" borderId="0" xfId="4" applyFill="1" applyAlignment="1">
      <alignment horizontal="center" vertical="center"/>
    </xf>
    <xf numFmtId="0" fontId="1" fillId="8976" borderId="0" xfId="4" applyFill="1" applyAlignment="1">
      <alignment horizontal="center" vertical="center"/>
    </xf>
    <xf numFmtId="0" fontId="1" fillId="8977" borderId="0" xfId="4" applyFill="1" applyAlignment="1">
      <alignment horizontal="center" vertical="center"/>
    </xf>
    <xf numFmtId="0" fontId="1" fillId="8978" borderId="0" xfId="4" applyFill="1" applyAlignment="1">
      <alignment horizontal="center" vertical="center"/>
    </xf>
    <xf numFmtId="0" fontId="1" fillId="8979" borderId="0" xfId="4" applyFill="1" applyAlignment="1">
      <alignment horizontal="center" vertical="center"/>
    </xf>
    <xf numFmtId="0" fontId="1" fillId="8980" borderId="0" xfId="4" applyFill="1" applyAlignment="1">
      <alignment horizontal="center" vertical="center"/>
    </xf>
    <xf numFmtId="0" fontId="1" fillId="8981" borderId="0" xfId="4" applyFill="1" applyAlignment="1">
      <alignment horizontal="center" vertical="center"/>
    </xf>
    <xf numFmtId="0" fontId="1" fillId="8982" borderId="0" xfId="4" applyFill="1" applyAlignment="1">
      <alignment horizontal="center" vertical="center"/>
    </xf>
    <xf numFmtId="0" fontId="1" fillId="8983" borderId="0" xfId="4" applyFill="1" applyAlignment="1">
      <alignment horizontal="center" vertical="center"/>
    </xf>
    <xf numFmtId="0" fontId="1" fillId="8984" borderId="0" xfId="4" applyFill="1" applyAlignment="1">
      <alignment horizontal="center" vertical="center"/>
    </xf>
    <xf numFmtId="0" fontId="1" fillId="8985" borderId="0" xfId="4" applyFill="1" applyAlignment="1">
      <alignment horizontal="center" vertical="center"/>
    </xf>
    <xf numFmtId="0" fontId="1" fillId="8986" borderId="0" xfId="4" applyFill="1" applyAlignment="1">
      <alignment horizontal="center" vertical="center"/>
    </xf>
    <xf numFmtId="0" fontId="1" fillId="8987" borderId="0" xfId="4" applyFill="1" applyAlignment="1">
      <alignment horizontal="center" vertical="center"/>
    </xf>
    <xf numFmtId="0" fontId="1" fillId="8988" borderId="0" xfId="4" applyFill="1" applyAlignment="1">
      <alignment horizontal="center" vertical="center"/>
    </xf>
    <xf numFmtId="0" fontId="1" fillId="8989" borderId="0" xfId="4" applyFill="1" applyAlignment="1">
      <alignment horizontal="center" vertical="center"/>
    </xf>
    <xf numFmtId="0" fontId="1" fillId="8990" borderId="0" xfId="4" applyFill="1" applyAlignment="1">
      <alignment horizontal="center" vertical="center"/>
    </xf>
    <xf numFmtId="0" fontId="1" fillId="8991" borderId="0" xfId="4" applyFill="1" applyAlignment="1">
      <alignment horizontal="center" vertical="center"/>
    </xf>
    <xf numFmtId="0" fontId="1" fillId="8992" borderId="0" xfId="4" applyFill="1" applyAlignment="1">
      <alignment horizontal="center" vertical="center"/>
    </xf>
    <xf numFmtId="0" fontId="1" fillId="8993" borderId="0" xfId="4" applyFill="1" applyAlignment="1">
      <alignment horizontal="center" vertical="center"/>
    </xf>
    <xf numFmtId="0" fontId="1" fillId="8994" borderId="0" xfId="4" applyFill="1" applyAlignment="1">
      <alignment horizontal="center" vertical="center"/>
    </xf>
    <xf numFmtId="0" fontId="1" fillId="8995" borderId="0" xfId="4" applyFill="1" applyAlignment="1">
      <alignment horizontal="center" vertical="center"/>
    </xf>
    <xf numFmtId="0" fontId="1" fillId="8996" borderId="0" xfId="4" applyFill="1" applyAlignment="1">
      <alignment horizontal="center" vertical="center"/>
    </xf>
    <xf numFmtId="0" fontId="1" fillId="8997" borderId="0" xfId="4" applyFill="1" applyAlignment="1">
      <alignment horizontal="center" vertical="center"/>
    </xf>
    <xf numFmtId="0" fontId="1" fillId="8998" borderId="0" xfId="4" applyFill="1" applyAlignment="1">
      <alignment horizontal="center" vertical="center"/>
    </xf>
    <xf numFmtId="0" fontId="1" fillId="8999" borderId="0" xfId="4" applyFill="1" applyAlignment="1">
      <alignment horizontal="center" vertical="center"/>
    </xf>
    <xf numFmtId="0" fontId="1" fillId="9000" borderId="0" xfId="4" applyFill="1" applyAlignment="1">
      <alignment horizontal="center" vertical="center"/>
    </xf>
    <xf numFmtId="0" fontId="1" fillId="9001" borderId="0" xfId="4" applyFill="1" applyAlignment="1">
      <alignment horizontal="left" vertical="center"/>
    </xf>
    <xf numFmtId="0" fontId="1" fillId="9002" borderId="0" xfId="4" applyFill="1" applyAlignment="1">
      <alignment horizontal="center" vertical="center"/>
    </xf>
    <xf numFmtId="0" fontId="1" fillId="9003" borderId="0" xfId="4" applyFill="1" applyAlignment="1">
      <alignment horizontal="center" vertical="center"/>
    </xf>
    <xf numFmtId="0" fontId="1" fillId="9004" borderId="0" xfId="4" applyFill="1" applyAlignment="1">
      <alignment horizontal="center" vertical="center"/>
    </xf>
    <xf numFmtId="0" fontId="1" fillId="9005" borderId="0" xfId="4" applyFill="1" applyAlignment="1">
      <alignment horizontal="center" vertical="center"/>
    </xf>
    <xf numFmtId="0" fontId="1" fillId="9006" borderId="0" xfId="4" applyFill="1" applyAlignment="1">
      <alignment horizontal="center" vertical="center"/>
    </xf>
    <xf numFmtId="0" fontId="1" fillId="9007" borderId="0" xfId="4" applyFill="1" applyAlignment="1">
      <alignment horizontal="center" vertical="center"/>
    </xf>
    <xf numFmtId="0" fontId="1" fillId="9008" borderId="0" xfId="4" applyFill="1" applyAlignment="1">
      <alignment horizontal="center" vertical="center"/>
    </xf>
    <xf numFmtId="0" fontId="1" fillId="9009" borderId="0" xfId="4" applyFill="1" applyAlignment="1">
      <alignment horizontal="center" vertical="center"/>
    </xf>
    <xf numFmtId="0" fontId="1" fillId="9010" borderId="0" xfId="4" applyFill="1" applyAlignment="1">
      <alignment horizontal="center" vertical="center"/>
    </xf>
    <xf numFmtId="0" fontId="1" fillId="9011" borderId="0" xfId="4" applyFill="1" applyAlignment="1">
      <alignment horizontal="center" vertical="center"/>
    </xf>
    <xf numFmtId="0" fontId="1" fillId="9012" borderId="0" xfId="4" applyFill="1" applyAlignment="1">
      <alignment horizontal="center" vertical="center"/>
    </xf>
    <xf numFmtId="0" fontId="1" fillId="9013" borderId="0" xfId="4" applyFill="1" applyAlignment="1">
      <alignment horizontal="center" vertical="center"/>
    </xf>
    <xf numFmtId="0" fontId="1" fillId="9014" borderId="0" xfId="4" applyFill="1" applyAlignment="1">
      <alignment horizontal="center" vertical="center"/>
    </xf>
    <xf numFmtId="0" fontId="1" fillId="9015" borderId="0" xfId="4" applyFill="1" applyAlignment="1">
      <alignment horizontal="center" vertical="center"/>
    </xf>
    <xf numFmtId="0" fontId="1" fillId="9016" borderId="0" xfId="4" applyFill="1" applyAlignment="1">
      <alignment horizontal="center" vertical="center"/>
    </xf>
    <xf numFmtId="0" fontId="1" fillId="9017" borderId="0" xfId="4" applyFill="1" applyAlignment="1">
      <alignment horizontal="center" vertical="center"/>
    </xf>
    <xf numFmtId="0" fontId="1" fillId="9018" borderId="0" xfId="4" applyFill="1" applyAlignment="1">
      <alignment horizontal="center" vertical="center"/>
    </xf>
    <xf numFmtId="0" fontId="1" fillId="9019" borderId="0" xfId="4" applyFill="1" applyAlignment="1">
      <alignment horizontal="center" vertical="center"/>
    </xf>
    <xf numFmtId="0" fontId="1" fillId="9020" borderId="0" xfId="4" applyFill="1" applyAlignment="1">
      <alignment horizontal="center" vertical="center"/>
    </xf>
    <xf numFmtId="0" fontId="1" fillId="9021" borderId="0" xfId="4" applyFill="1" applyAlignment="1">
      <alignment horizontal="center" vertical="center"/>
    </xf>
    <xf numFmtId="0" fontId="1" fillId="9022" borderId="0" xfId="4" applyFill="1" applyAlignment="1">
      <alignment horizontal="center" vertical="center"/>
    </xf>
    <xf numFmtId="0" fontId="1" fillId="9023" borderId="0" xfId="4" applyFill="1" applyAlignment="1">
      <alignment horizontal="center" vertical="center"/>
    </xf>
    <xf numFmtId="0" fontId="1" fillId="9024" borderId="0" xfId="4" applyFill="1" applyAlignment="1">
      <alignment horizontal="center" vertical="center"/>
    </xf>
    <xf numFmtId="0" fontId="1" fillId="9025" borderId="0" xfId="4" applyFill="1" applyAlignment="1">
      <alignment horizontal="left" vertical="center"/>
    </xf>
    <xf numFmtId="0" fontId="1" fillId="9026" borderId="0" xfId="4" applyFill="1" applyAlignment="1">
      <alignment horizontal="center" vertical="center"/>
    </xf>
    <xf numFmtId="0" fontId="1" fillId="9027" borderId="0" xfId="4" applyFill="1" applyAlignment="1">
      <alignment horizontal="center" vertical="center"/>
    </xf>
    <xf numFmtId="0" fontId="1" fillId="9028" borderId="0" xfId="4" applyFill="1" applyAlignment="1">
      <alignment horizontal="center" vertical="center"/>
    </xf>
    <xf numFmtId="0" fontId="1" fillId="9029" borderId="0" xfId="4" applyFill="1" applyAlignment="1">
      <alignment horizontal="center" vertical="center"/>
    </xf>
    <xf numFmtId="0" fontId="1" fillId="9030" borderId="0" xfId="4" applyFill="1" applyAlignment="1">
      <alignment horizontal="center" vertical="center"/>
    </xf>
    <xf numFmtId="0" fontId="1" fillId="9031" borderId="0" xfId="4" applyFill="1" applyAlignment="1">
      <alignment horizontal="center" vertical="center"/>
    </xf>
    <xf numFmtId="0" fontId="1" fillId="9032" borderId="0" xfId="4" applyFill="1" applyAlignment="1">
      <alignment horizontal="center" vertical="center"/>
    </xf>
    <xf numFmtId="0" fontId="1" fillId="9033" borderId="0" xfId="4" applyFill="1" applyAlignment="1">
      <alignment horizontal="center" vertical="center"/>
    </xf>
    <xf numFmtId="0" fontId="1" fillId="9034" borderId="0" xfId="4" applyFill="1" applyAlignment="1">
      <alignment horizontal="center" vertical="center"/>
    </xf>
    <xf numFmtId="0" fontId="1" fillId="9035" borderId="0" xfId="4" applyFill="1" applyAlignment="1">
      <alignment horizontal="center" vertical="center"/>
    </xf>
    <xf numFmtId="0" fontId="1" fillId="9036" borderId="0" xfId="4" applyFill="1" applyAlignment="1">
      <alignment horizontal="center" vertical="center"/>
    </xf>
    <xf numFmtId="0" fontId="1" fillId="9037" borderId="0" xfId="4" applyFill="1" applyAlignment="1">
      <alignment horizontal="center" vertical="center"/>
    </xf>
    <xf numFmtId="0" fontId="1" fillId="9038" borderId="0" xfId="4" applyFill="1" applyAlignment="1">
      <alignment horizontal="center" vertical="center"/>
    </xf>
    <xf numFmtId="0" fontId="1" fillId="9039" borderId="0" xfId="4" applyFill="1" applyAlignment="1">
      <alignment horizontal="center" vertical="center"/>
    </xf>
    <xf numFmtId="0" fontId="1" fillId="9040" borderId="0" xfId="4" applyFill="1" applyAlignment="1">
      <alignment horizontal="center" vertical="center"/>
    </xf>
    <xf numFmtId="0" fontId="1" fillId="9041" borderId="0" xfId="4" applyFill="1" applyAlignment="1">
      <alignment horizontal="center" vertical="center"/>
    </xf>
    <xf numFmtId="0" fontId="1" fillId="9042" borderId="0" xfId="4" applyFill="1" applyAlignment="1">
      <alignment horizontal="center" vertical="center"/>
    </xf>
    <xf numFmtId="0" fontId="1" fillId="9043" borderId="0" xfId="4" applyFill="1" applyAlignment="1">
      <alignment horizontal="center" vertical="center"/>
    </xf>
    <xf numFmtId="0" fontId="1" fillId="9044" borderId="0" xfId="4" applyFill="1" applyAlignment="1">
      <alignment horizontal="center" vertical="center"/>
    </xf>
    <xf numFmtId="0" fontId="1" fillId="9045" borderId="0" xfId="4" applyFill="1" applyAlignment="1">
      <alignment horizontal="center" vertical="center"/>
    </xf>
    <xf numFmtId="0" fontId="1" fillId="9046" borderId="0" xfId="4" applyFill="1" applyAlignment="1">
      <alignment horizontal="center" vertical="center"/>
    </xf>
    <xf numFmtId="0" fontId="1" fillId="9047" borderId="0" xfId="4" applyFill="1" applyAlignment="1">
      <alignment horizontal="center" vertical="center"/>
    </xf>
    <xf numFmtId="0" fontId="1" fillId="9048" borderId="0" xfId="4" applyFill="1" applyAlignment="1">
      <alignment horizontal="center" vertical="center"/>
    </xf>
    <xf numFmtId="0" fontId="1" fillId="9049" borderId="0" xfId="4" applyFill="1" applyAlignment="1">
      <alignment horizontal="center" vertical="center"/>
    </xf>
    <xf numFmtId="0" fontId="1" fillId="9050" borderId="0" xfId="4" applyFill="1" applyAlignment="1">
      <alignment horizontal="center" vertical="center"/>
    </xf>
    <xf numFmtId="0" fontId="1" fillId="9051" borderId="0" xfId="4" applyFill="1" applyAlignment="1">
      <alignment horizontal="center" vertical="center"/>
    </xf>
    <xf numFmtId="0" fontId="1" fillId="9052" borderId="0" xfId="4" applyFill="1" applyAlignment="1">
      <alignment horizontal="center" vertical="center"/>
    </xf>
    <xf numFmtId="0" fontId="1" fillId="9053" borderId="0" xfId="4" applyFill="1" applyAlignment="1">
      <alignment horizontal="center" vertical="center"/>
    </xf>
    <xf numFmtId="0" fontId="1" fillId="9054" borderId="0" xfId="4" applyFill="1" applyAlignment="1">
      <alignment horizontal="center" vertical="center"/>
    </xf>
    <xf numFmtId="0" fontId="1" fillId="9055" borderId="0" xfId="4" applyFill="1" applyAlignment="1">
      <alignment horizontal="center" vertical="center"/>
    </xf>
    <xf numFmtId="0" fontId="1" fillId="9056" borderId="0" xfId="4" applyFill="1" applyAlignment="1">
      <alignment horizontal="center" vertical="center"/>
    </xf>
    <xf numFmtId="0" fontId="1" fillId="9057" borderId="0" xfId="4" applyFill="1" applyAlignment="1">
      <alignment horizontal="center" vertical="center"/>
    </xf>
    <xf numFmtId="0" fontId="1" fillId="9058" borderId="0" xfId="4" applyFill="1" applyAlignment="1">
      <alignment horizontal="center" vertical="center"/>
    </xf>
    <xf numFmtId="0" fontId="1" fillId="9059" borderId="0" xfId="4" applyFill="1" applyAlignment="1">
      <alignment horizontal="center" vertical="center"/>
    </xf>
    <xf numFmtId="0" fontId="1" fillId="9060" borderId="0" xfId="4" applyFill="1" applyAlignment="1">
      <alignment horizontal="center" vertical="center"/>
    </xf>
    <xf numFmtId="0" fontId="1" fillId="9061" borderId="0" xfId="4" applyFill="1" applyAlignment="1">
      <alignment horizontal="center" vertical="center"/>
    </xf>
    <xf numFmtId="0" fontId="1" fillId="9062" borderId="0" xfId="4" applyFill="1" applyAlignment="1">
      <alignment horizontal="center" vertical="center"/>
    </xf>
    <xf numFmtId="0" fontId="1" fillId="9063" borderId="0" xfId="4" applyFill="1" applyAlignment="1">
      <alignment horizontal="center" vertical="center"/>
    </xf>
    <xf numFmtId="0" fontId="1" fillId="9064" borderId="0" xfId="4" applyFill="1" applyAlignment="1">
      <alignment horizontal="center" vertical="center"/>
    </xf>
    <xf numFmtId="0" fontId="1" fillId="9065" borderId="0" xfId="4" applyFill="1" applyAlignment="1">
      <alignment horizontal="center" vertical="center"/>
    </xf>
    <xf numFmtId="0" fontId="1" fillId="9066" borderId="0" xfId="4" applyFill="1" applyAlignment="1">
      <alignment horizontal="center" vertical="center"/>
    </xf>
    <xf numFmtId="0" fontId="1" fillId="9067" borderId="0" xfId="4" applyFill="1" applyAlignment="1">
      <alignment horizontal="center" vertical="center"/>
    </xf>
    <xf numFmtId="0" fontId="1" fillId="9068" borderId="0" xfId="4" applyFill="1" applyAlignment="1">
      <alignment horizontal="center" vertical="center"/>
    </xf>
    <xf numFmtId="0" fontId="1" fillId="9069" borderId="0" xfId="4" applyFill="1" applyAlignment="1">
      <alignment horizontal="center" vertical="center"/>
    </xf>
    <xf numFmtId="0" fontId="1" fillId="9070" borderId="0" xfId="4" applyFill="1" applyAlignment="1">
      <alignment horizontal="center" vertical="center"/>
    </xf>
    <xf numFmtId="0" fontId="1" fillId="9071" borderId="0" xfId="4" applyFill="1" applyAlignment="1">
      <alignment horizontal="center" vertical="center"/>
    </xf>
    <xf numFmtId="0" fontId="1" fillId="9072" borderId="0" xfId="4" applyFill="1" applyAlignment="1">
      <alignment horizontal="center" vertical="center"/>
    </xf>
    <xf numFmtId="0" fontId="1" fillId="9073" borderId="0" xfId="4" applyFill="1" applyAlignment="1">
      <alignment horizontal="center" vertical="center"/>
    </xf>
    <xf numFmtId="0" fontId="1" fillId="9074" borderId="0" xfId="4" applyFill="1" applyAlignment="1">
      <alignment horizontal="center" vertical="center"/>
    </xf>
    <xf numFmtId="0" fontId="1" fillId="9075" borderId="0" xfId="4" applyFill="1" applyAlignment="1">
      <alignment horizontal="center" vertical="center"/>
    </xf>
    <xf numFmtId="0" fontId="1" fillId="9076" borderId="0" xfId="4" applyFill="1" applyAlignment="1">
      <alignment horizontal="center" vertical="center"/>
    </xf>
    <xf numFmtId="0" fontId="1" fillId="9077" borderId="0" xfId="4" applyFill="1" applyAlignment="1">
      <alignment horizontal="center" vertical="center"/>
    </xf>
    <xf numFmtId="0" fontId="1" fillId="9078" borderId="0" xfId="4" applyFill="1" applyAlignment="1">
      <alignment horizontal="center" vertical="center"/>
    </xf>
    <xf numFmtId="0" fontId="1" fillId="9079" borderId="0" xfId="4" applyFill="1" applyAlignment="1">
      <alignment horizontal="center" vertical="center"/>
    </xf>
    <xf numFmtId="0" fontId="1" fillId="9080" borderId="0" xfId="4" applyFill="1" applyAlignment="1">
      <alignment horizontal="left" vertical="center"/>
    </xf>
    <xf numFmtId="0" fontId="1" fillId="9081" borderId="0" xfId="4" applyFill="1" applyAlignment="1">
      <alignment horizontal="center" vertical="center"/>
    </xf>
    <xf numFmtId="0" fontId="1" fillId="9082" borderId="0" xfId="4" applyFill="1" applyAlignment="1">
      <alignment horizontal="center" vertical="center"/>
    </xf>
    <xf numFmtId="0" fontId="1" fillId="9083" borderId="0" xfId="4" applyFill="1" applyAlignment="1">
      <alignment horizontal="center" vertical="center"/>
    </xf>
    <xf numFmtId="0" fontId="1" fillId="9084" borderId="0" xfId="4" applyFill="1" applyAlignment="1">
      <alignment horizontal="center" vertical="center"/>
    </xf>
    <xf numFmtId="0" fontId="1" fillId="9085" borderId="0" xfId="4" applyFill="1" applyAlignment="1">
      <alignment horizontal="center" vertical="center"/>
    </xf>
    <xf numFmtId="0" fontId="1" fillId="9086" borderId="0" xfId="4" applyFill="1" applyAlignment="1">
      <alignment horizontal="center" vertical="center"/>
    </xf>
    <xf numFmtId="0" fontId="1" fillId="9087" borderId="0" xfId="4" applyFill="1" applyAlignment="1">
      <alignment horizontal="center" vertical="center"/>
    </xf>
    <xf numFmtId="0" fontId="1" fillId="9088" borderId="0" xfId="4" applyFill="1" applyAlignment="1">
      <alignment horizontal="center" vertical="center"/>
    </xf>
    <xf numFmtId="0" fontId="1" fillId="9089" borderId="0" xfId="4" applyFill="1" applyAlignment="1">
      <alignment horizontal="center" vertical="center"/>
    </xf>
    <xf numFmtId="0" fontId="1" fillId="9090" borderId="0" xfId="4" applyFill="1" applyAlignment="1">
      <alignment horizontal="center" vertical="center"/>
    </xf>
    <xf numFmtId="0" fontId="1" fillId="9091" borderId="0" xfId="4" applyFill="1" applyAlignment="1">
      <alignment horizontal="center" vertical="center"/>
    </xf>
    <xf numFmtId="0" fontId="1" fillId="9092" borderId="0" xfId="4" applyFill="1" applyAlignment="1">
      <alignment horizontal="center" vertical="center"/>
    </xf>
    <xf numFmtId="0" fontId="1" fillId="9093" borderId="0" xfId="4" applyFill="1" applyAlignment="1">
      <alignment horizontal="center" vertical="center"/>
    </xf>
    <xf numFmtId="0" fontId="1" fillId="9094" borderId="0" xfId="4" applyFill="1" applyAlignment="1">
      <alignment horizontal="center" vertical="center"/>
    </xf>
    <xf numFmtId="0" fontId="1" fillId="9095" borderId="0" xfId="4" applyFill="1" applyAlignment="1">
      <alignment horizontal="center" vertical="center"/>
    </xf>
    <xf numFmtId="0" fontId="1" fillId="9096" borderId="0" xfId="4" applyFill="1" applyAlignment="1">
      <alignment horizontal="center" vertical="center"/>
    </xf>
    <xf numFmtId="0" fontId="1" fillId="9097" borderId="0" xfId="4" applyFill="1" applyAlignment="1">
      <alignment horizontal="center" vertical="center"/>
    </xf>
    <xf numFmtId="0" fontId="1" fillId="9098" borderId="0" xfId="4" applyFill="1" applyAlignment="1">
      <alignment horizontal="center" vertical="center"/>
    </xf>
    <xf numFmtId="0" fontId="1" fillId="9099" borderId="0" xfId="4" applyFill="1" applyAlignment="1">
      <alignment horizontal="center" vertical="center"/>
    </xf>
    <xf numFmtId="0" fontId="1" fillId="9100" borderId="0" xfId="4" applyFill="1" applyAlignment="1">
      <alignment horizontal="center" vertical="center"/>
    </xf>
    <xf numFmtId="0" fontId="1" fillId="9101" borderId="0" xfId="4" applyFill="1" applyAlignment="1">
      <alignment horizontal="center" vertical="center"/>
    </xf>
    <xf numFmtId="0" fontId="1" fillId="9102" borderId="0" xfId="4" applyFill="1" applyAlignment="1">
      <alignment horizontal="center" vertical="center"/>
    </xf>
    <xf numFmtId="0" fontId="1" fillId="9103" borderId="0" xfId="4" applyFill="1" applyAlignment="1">
      <alignment horizontal="center" vertical="center"/>
    </xf>
    <xf numFmtId="0" fontId="1" fillId="9104" borderId="0" xfId="4" applyFill="1" applyAlignment="1">
      <alignment horizontal="center" vertical="center"/>
    </xf>
    <xf numFmtId="0" fontId="1" fillId="9105" borderId="0" xfId="4" applyFill="1" applyAlignment="1">
      <alignment horizontal="center" vertical="center"/>
    </xf>
    <xf numFmtId="0" fontId="1" fillId="9106" borderId="0" xfId="4" applyFill="1" applyAlignment="1">
      <alignment horizontal="center" vertical="center"/>
    </xf>
    <xf numFmtId="0" fontId="1" fillId="9107" borderId="0" xfId="4" applyFill="1" applyAlignment="1">
      <alignment horizontal="center" vertical="center"/>
    </xf>
    <xf numFmtId="0" fontId="1" fillId="9108" borderId="0" xfId="4" applyFill="1" applyAlignment="1">
      <alignment horizontal="left" vertical="center"/>
    </xf>
    <xf numFmtId="0" fontId="1" fillId="9109" borderId="0" xfId="4" applyFill="1" applyAlignment="1">
      <alignment horizontal="center" vertical="center"/>
    </xf>
    <xf numFmtId="0" fontId="1" fillId="9110" borderId="0" xfId="4" applyFill="1" applyAlignment="1">
      <alignment horizontal="center" vertical="center"/>
    </xf>
    <xf numFmtId="0" fontId="1" fillId="9111" borderId="0" xfId="4" applyFill="1" applyAlignment="1">
      <alignment horizontal="center" vertical="center"/>
    </xf>
    <xf numFmtId="0" fontId="1" fillId="9112" borderId="0" xfId="4" applyFill="1" applyAlignment="1">
      <alignment horizontal="center" vertical="center"/>
    </xf>
    <xf numFmtId="0" fontId="1" fillId="9113" borderId="0" xfId="4" applyFill="1" applyAlignment="1">
      <alignment horizontal="center" vertical="center"/>
    </xf>
    <xf numFmtId="0" fontId="1" fillId="9114" borderId="0" xfId="4" applyFill="1" applyAlignment="1">
      <alignment horizontal="center" vertical="center"/>
    </xf>
    <xf numFmtId="0" fontId="1" fillId="9115" borderId="0" xfId="4" applyFill="1" applyAlignment="1">
      <alignment horizontal="center" vertical="center"/>
    </xf>
    <xf numFmtId="0" fontId="1" fillId="9116" borderId="0" xfId="4" applyFill="1" applyAlignment="1">
      <alignment horizontal="center" vertical="center"/>
    </xf>
    <xf numFmtId="0" fontId="1" fillId="9117" borderId="0" xfId="4" applyFill="1" applyAlignment="1">
      <alignment horizontal="center" vertical="center"/>
    </xf>
    <xf numFmtId="0" fontId="1" fillId="9118" borderId="0" xfId="4" applyFill="1" applyAlignment="1">
      <alignment horizontal="center" vertical="center"/>
    </xf>
    <xf numFmtId="0" fontId="1" fillId="9119" borderId="0" xfId="4" applyFill="1" applyAlignment="1">
      <alignment horizontal="center" vertical="center"/>
    </xf>
    <xf numFmtId="0" fontId="1" fillId="9120" borderId="0" xfId="4" applyFill="1" applyAlignment="1">
      <alignment horizontal="center" vertical="center"/>
    </xf>
    <xf numFmtId="0" fontId="1" fillId="9121" borderId="0" xfId="4" applyFill="1" applyAlignment="1">
      <alignment horizontal="center" vertical="center"/>
    </xf>
    <xf numFmtId="0" fontId="1" fillId="9122" borderId="0" xfId="4" applyFill="1" applyAlignment="1">
      <alignment horizontal="center" vertical="center"/>
    </xf>
    <xf numFmtId="0" fontId="1" fillId="9123" borderId="0" xfId="4" applyFill="1" applyAlignment="1">
      <alignment horizontal="center" vertical="center"/>
    </xf>
    <xf numFmtId="0" fontId="1" fillId="9124" borderId="0" xfId="4" applyFill="1" applyAlignment="1">
      <alignment horizontal="center" vertical="center"/>
    </xf>
    <xf numFmtId="0" fontId="1" fillId="9125" borderId="0" xfId="4" applyFill="1" applyAlignment="1">
      <alignment horizontal="center" vertical="center"/>
    </xf>
    <xf numFmtId="0" fontId="1" fillId="9126" borderId="0" xfId="4" applyFill="1" applyAlignment="1">
      <alignment horizontal="center" vertical="center"/>
    </xf>
    <xf numFmtId="0" fontId="1" fillId="9127" borderId="0" xfId="4" applyFill="1" applyAlignment="1">
      <alignment horizontal="center" vertical="center"/>
    </xf>
    <xf numFmtId="0" fontId="1" fillId="9128" borderId="0" xfId="4" applyFill="1" applyAlignment="1">
      <alignment horizontal="center" vertical="center"/>
    </xf>
    <xf numFmtId="0" fontId="1" fillId="9129" borderId="0" xfId="4" applyFill="1" applyAlignment="1">
      <alignment horizontal="center" vertical="center"/>
    </xf>
    <xf numFmtId="0" fontId="1" fillId="9130" borderId="0" xfId="4" applyFill="1" applyAlignment="1">
      <alignment horizontal="center" vertical="center"/>
    </xf>
    <xf numFmtId="0" fontId="1" fillId="9131" borderId="0" xfId="4" applyFill="1" applyAlignment="1">
      <alignment horizontal="center" vertical="center"/>
    </xf>
    <xf numFmtId="0" fontId="1" fillId="9132" borderId="0" xfId="4" applyFill="1" applyAlignment="1">
      <alignment horizontal="center" vertical="center"/>
    </xf>
    <xf numFmtId="0" fontId="1" fillId="9133" borderId="0" xfId="4" applyFill="1" applyAlignment="1">
      <alignment horizontal="center" vertical="center"/>
    </xf>
    <xf numFmtId="0" fontId="1" fillId="9134" borderId="0" xfId="4" applyFill="1" applyAlignment="1">
      <alignment horizontal="center" vertical="center"/>
    </xf>
    <xf numFmtId="0" fontId="1" fillId="9135" borderId="0" xfId="4" applyFill="1" applyAlignment="1">
      <alignment horizontal="center" vertical="center"/>
    </xf>
    <xf numFmtId="0" fontId="1" fillId="9136" borderId="0" xfId="4" applyFill="1" applyAlignment="1">
      <alignment horizontal="center" vertical="center"/>
    </xf>
    <xf numFmtId="0" fontId="1" fillId="9137" borderId="0" xfId="4" applyFill="1" applyAlignment="1">
      <alignment horizontal="center" vertical="center"/>
    </xf>
    <xf numFmtId="0" fontId="1" fillId="9138" borderId="0" xfId="4" applyFill="1" applyAlignment="1">
      <alignment horizontal="center" vertical="center"/>
    </xf>
    <xf numFmtId="0" fontId="1" fillId="9139" borderId="0" xfId="4" applyFill="1" applyAlignment="1">
      <alignment horizontal="center" vertical="center"/>
    </xf>
    <xf numFmtId="0" fontId="1" fillId="9140" borderId="0" xfId="4" applyFill="1" applyAlignment="1">
      <alignment horizontal="center" vertical="center"/>
    </xf>
    <xf numFmtId="0" fontId="1" fillId="9141" borderId="0" xfId="4" applyFill="1" applyAlignment="1">
      <alignment horizontal="center" vertical="center"/>
    </xf>
    <xf numFmtId="0" fontId="1" fillId="9142" borderId="0" xfId="4" applyFill="1" applyAlignment="1">
      <alignment horizontal="center" vertical="center"/>
    </xf>
    <xf numFmtId="0" fontId="1" fillId="9143" borderId="0" xfId="4" applyFill="1" applyAlignment="1">
      <alignment horizontal="center" vertical="center"/>
    </xf>
    <xf numFmtId="0" fontId="1" fillId="9144" borderId="0" xfId="4" applyFill="1" applyAlignment="1">
      <alignment horizontal="center" vertical="center"/>
    </xf>
    <xf numFmtId="0" fontId="1" fillId="9145" borderId="0" xfId="4" applyFill="1" applyAlignment="1">
      <alignment horizontal="center" vertical="center"/>
    </xf>
    <xf numFmtId="0" fontId="1" fillId="9146" borderId="0" xfId="4" applyFill="1" applyAlignment="1">
      <alignment horizontal="center" vertical="center"/>
    </xf>
    <xf numFmtId="0" fontId="1" fillId="9147" borderId="0" xfId="4" applyFill="1" applyAlignment="1">
      <alignment horizontal="center" vertical="center"/>
    </xf>
    <xf numFmtId="0" fontId="1" fillId="9148" borderId="0" xfId="4" applyFill="1" applyAlignment="1">
      <alignment horizontal="center" vertical="center"/>
    </xf>
    <xf numFmtId="0" fontId="1" fillId="9149" borderId="0" xfId="4" applyFill="1" applyAlignment="1">
      <alignment horizontal="center" vertical="center"/>
    </xf>
    <xf numFmtId="0" fontId="1" fillId="9150" borderId="0" xfId="4" applyFill="1" applyAlignment="1">
      <alignment horizontal="center" vertical="center"/>
    </xf>
    <xf numFmtId="0" fontId="1" fillId="9151" borderId="0" xfId="4" applyFill="1" applyAlignment="1">
      <alignment horizontal="center" vertical="center"/>
    </xf>
    <xf numFmtId="0" fontId="1" fillId="9152" borderId="0" xfId="4" applyFill="1" applyAlignment="1">
      <alignment horizontal="center" vertical="center"/>
    </xf>
    <xf numFmtId="0" fontId="1" fillId="9153" borderId="0" xfId="4" applyFill="1" applyAlignment="1">
      <alignment horizontal="center" vertical="center"/>
    </xf>
    <xf numFmtId="0" fontId="1" fillId="9154" borderId="0" xfId="4" applyFill="1" applyAlignment="1">
      <alignment horizontal="center" vertical="center"/>
    </xf>
    <xf numFmtId="0" fontId="1" fillId="9155" borderId="0" xfId="4" applyFill="1" applyAlignment="1">
      <alignment horizontal="center" vertical="center"/>
    </xf>
    <xf numFmtId="0" fontId="1" fillId="9156" borderId="0" xfId="4" applyFill="1" applyAlignment="1">
      <alignment horizontal="center" vertical="center"/>
    </xf>
    <xf numFmtId="0" fontId="1" fillId="9157" borderId="0" xfId="4" applyFill="1" applyAlignment="1">
      <alignment horizontal="center" vertical="center"/>
    </xf>
    <xf numFmtId="0" fontId="1" fillId="9158" borderId="0" xfId="4" applyFill="1" applyAlignment="1">
      <alignment horizontal="center" vertical="center"/>
    </xf>
    <xf numFmtId="0" fontId="1" fillId="9159" borderId="0" xfId="4" applyFill="1" applyAlignment="1">
      <alignment horizontal="center" vertical="center"/>
    </xf>
    <xf numFmtId="0" fontId="1" fillId="9160" borderId="0" xfId="4" applyFill="1" applyAlignment="1">
      <alignment horizontal="left" vertical="center"/>
    </xf>
    <xf numFmtId="0" fontId="1" fillId="9161" borderId="0" xfId="4" applyFill="1" applyAlignment="1">
      <alignment horizontal="center" vertical="center"/>
    </xf>
    <xf numFmtId="0" fontId="1" fillId="9162" borderId="0" xfId="4" applyFill="1" applyAlignment="1">
      <alignment horizontal="center" vertical="center"/>
    </xf>
    <xf numFmtId="0" fontId="1" fillId="9163" borderId="0" xfId="4" applyFill="1" applyAlignment="1">
      <alignment horizontal="center" vertical="center"/>
    </xf>
    <xf numFmtId="0" fontId="1" fillId="9164" borderId="0" xfId="4" applyFill="1" applyAlignment="1">
      <alignment horizontal="center" vertical="center"/>
    </xf>
    <xf numFmtId="0" fontId="1" fillId="9165" borderId="0" xfId="4" applyFill="1" applyAlignment="1">
      <alignment horizontal="center" vertical="center"/>
    </xf>
    <xf numFmtId="0" fontId="1" fillId="9166" borderId="0" xfId="4" applyFill="1" applyAlignment="1">
      <alignment horizontal="center" vertical="center"/>
    </xf>
    <xf numFmtId="0" fontId="1" fillId="9167" borderId="0" xfId="4" applyFill="1" applyAlignment="1">
      <alignment horizontal="center" vertical="center"/>
    </xf>
    <xf numFmtId="0" fontId="1" fillId="9168" borderId="0" xfId="4" applyFill="1" applyAlignment="1">
      <alignment horizontal="center" vertical="center"/>
    </xf>
    <xf numFmtId="0" fontId="1" fillId="9169" borderId="0" xfId="4" applyFill="1" applyAlignment="1">
      <alignment horizontal="center" vertical="center"/>
    </xf>
    <xf numFmtId="0" fontId="1" fillId="9170" borderId="0" xfId="4" applyFill="1" applyAlignment="1">
      <alignment horizontal="center" vertical="center"/>
    </xf>
    <xf numFmtId="0" fontId="1" fillId="9171" borderId="0" xfId="4" applyFill="1" applyAlignment="1">
      <alignment horizontal="center" vertical="center"/>
    </xf>
    <xf numFmtId="0" fontId="1" fillId="9172" borderId="0" xfId="4" applyFill="1" applyAlignment="1">
      <alignment horizontal="center" vertical="center"/>
    </xf>
    <xf numFmtId="0" fontId="1" fillId="9173" borderId="0" xfId="4" applyFill="1" applyAlignment="1">
      <alignment horizontal="center" vertical="center"/>
    </xf>
    <xf numFmtId="0" fontId="1" fillId="9174" borderId="0" xfId="4" applyFill="1" applyAlignment="1">
      <alignment horizontal="center" vertical="center"/>
    </xf>
    <xf numFmtId="0" fontId="1" fillId="9175" borderId="0" xfId="4" applyFill="1" applyAlignment="1">
      <alignment horizontal="center" vertical="center"/>
    </xf>
    <xf numFmtId="0" fontId="1" fillId="9176" borderId="0" xfId="4" applyFill="1" applyAlignment="1">
      <alignment horizontal="center" vertical="center"/>
    </xf>
    <xf numFmtId="0" fontId="1" fillId="9177" borderId="0" xfId="4" applyFill="1" applyAlignment="1">
      <alignment horizontal="center" vertical="center"/>
    </xf>
    <xf numFmtId="0" fontId="1" fillId="9178" borderId="0" xfId="4" applyFill="1" applyAlignment="1">
      <alignment horizontal="center" vertical="center"/>
    </xf>
    <xf numFmtId="0" fontId="1" fillId="9179" borderId="0" xfId="4" applyFill="1" applyAlignment="1">
      <alignment horizontal="center" vertical="center"/>
    </xf>
    <xf numFmtId="0" fontId="1" fillId="9180" borderId="0" xfId="4" applyFill="1" applyAlignment="1">
      <alignment horizontal="center" vertical="center"/>
    </xf>
    <xf numFmtId="0" fontId="1" fillId="9181" borderId="0" xfId="4" applyFill="1" applyAlignment="1">
      <alignment horizontal="center" vertical="center"/>
    </xf>
    <xf numFmtId="0" fontId="1" fillId="9182" borderId="0" xfId="4" applyFill="1" applyAlignment="1">
      <alignment horizontal="center" vertical="center"/>
    </xf>
    <xf numFmtId="0" fontId="1" fillId="9183" borderId="0" xfId="4" applyFill="1" applyAlignment="1">
      <alignment horizontal="center" vertical="center"/>
    </xf>
    <xf numFmtId="0" fontId="1" fillId="9184" borderId="0" xfId="4" applyFill="1" applyAlignment="1">
      <alignment horizontal="center" vertical="center"/>
    </xf>
    <xf numFmtId="0" fontId="1" fillId="9185" borderId="0" xfId="4" applyFill="1" applyAlignment="1">
      <alignment horizontal="center" vertical="center"/>
    </xf>
    <xf numFmtId="0" fontId="1" fillId="9186" borderId="0" xfId="4" applyFill="1" applyAlignment="1">
      <alignment horizontal="center" vertical="center"/>
    </xf>
    <xf numFmtId="0" fontId="1" fillId="9187" borderId="0" xfId="4" applyFill="1" applyAlignment="1">
      <alignment horizontal="left" vertical="center"/>
    </xf>
    <xf numFmtId="0" fontId="1" fillId="9188" borderId="0" xfId="4" applyFill="1" applyAlignment="1">
      <alignment horizontal="center" vertical="center"/>
    </xf>
    <xf numFmtId="0" fontId="1" fillId="9189" borderId="0" xfId="4" applyFill="1" applyAlignment="1">
      <alignment horizontal="center" vertical="center"/>
    </xf>
    <xf numFmtId="0" fontId="1" fillId="9190" borderId="0" xfId="4" applyFill="1" applyAlignment="1">
      <alignment horizontal="center" vertical="center"/>
    </xf>
    <xf numFmtId="0" fontId="1" fillId="9191" borderId="0" xfId="4" applyFill="1" applyAlignment="1">
      <alignment horizontal="center" vertical="center"/>
    </xf>
    <xf numFmtId="0" fontId="1" fillId="9192" borderId="0" xfId="4" applyFill="1" applyAlignment="1">
      <alignment horizontal="center" vertical="center"/>
    </xf>
    <xf numFmtId="0" fontId="1" fillId="9193" borderId="0" xfId="4" applyFill="1" applyAlignment="1">
      <alignment horizontal="center" vertical="center"/>
    </xf>
    <xf numFmtId="0" fontId="1" fillId="9194" borderId="0" xfId="4" applyFill="1" applyAlignment="1">
      <alignment horizontal="center" vertical="center"/>
    </xf>
    <xf numFmtId="0" fontId="1" fillId="9195" borderId="0" xfId="4" applyFill="1" applyAlignment="1">
      <alignment horizontal="center" vertical="center"/>
    </xf>
    <xf numFmtId="0" fontId="1" fillId="9196" borderId="0" xfId="4" applyFill="1" applyAlignment="1">
      <alignment horizontal="center" vertical="center"/>
    </xf>
    <xf numFmtId="0" fontId="1" fillId="9197" borderId="0" xfId="4" applyFill="1" applyAlignment="1">
      <alignment horizontal="center" vertical="center"/>
    </xf>
    <xf numFmtId="0" fontId="1" fillId="9198" borderId="0" xfId="4" applyFill="1" applyAlignment="1">
      <alignment horizontal="center" vertical="center"/>
    </xf>
    <xf numFmtId="0" fontId="1" fillId="9199" borderId="0" xfId="4" applyFill="1" applyAlignment="1">
      <alignment horizontal="center" vertical="center"/>
    </xf>
    <xf numFmtId="0" fontId="1" fillId="9200" borderId="0" xfId="4" applyFill="1" applyAlignment="1">
      <alignment horizontal="center" vertical="center"/>
    </xf>
    <xf numFmtId="0" fontId="1" fillId="9201" borderId="0" xfId="4" applyFill="1" applyAlignment="1">
      <alignment horizontal="center" vertical="center"/>
    </xf>
    <xf numFmtId="0" fontId="1" fillId="9202" borderId="0" xfId="4" applyFill="1" applyAlignment="1">
      <alignment horizontal="center" vertical="center"/>
    </xf>
    <xf numFmtId="0" fontId="1" fillId="9203" borderId="0" xfId="4" applyFill="1" applyAlignment="1">
      <alignment horizontal="center" vertical="center"/>
    </xf>
    <xf numFmtId="0" fontId="1" fillId="9204" borderId="0" xfId="4" applyFill="1" applyAlignment="1">
      <alignment horizontal="center" vertical="center"/>
    </xf>
    <xf numFmtId="0" fontId="1" fillId="9205" borderId="0" xfId="4" applyFill="1" applyAlignment="1">
      <alignment horizontal="center" vertical="center"/>
    </xf>
    <xf numFmtId="0" fontId="1" fillId="9206" borderId="0" xfId="4" applyFill="1" applyAlignment="1">
      <alignment horizontal="center" vertical="center"/>
    </xf>
    <xf numFmtId="0" fontId="1" fillId="9207" borderId="0" xfId="4" applyFill="1" applyAlignment="1">
      <alignment horizontal="center" vertical="center"/>
    </xf>
    <xf numFmtId="0" fontId="1" fillId="9208" borderId="0" xfId="4" applyFill="1" applyAlignment="1">
      <alignment horizontal="center" vertical="center"/>
    </xf>
    <xf numFmtId="0" fontId="1" fillId="9209" borderId="0" xfId="4" applyFill="1" applyAlignment="1">
      <alignment horizontal="center" vertical="center"/>
    </xf>
    <xf numFmtId="0" fontId="1" fillId="9210" borderId="0" xfId="4" applyFill="1" applyAlignment="1">
      <alignment horizontal="center" vertical="center"/>
    </xf>
    <xf numFmtId="0" fontId="1" fillId="9211" borderId="0" xfId="4" applyFill="1" applyAlignment="1">
      <alignment horizontal="center" vertical="center"/>
    </xf>
    <xf numFmtId="0" fontId="1" fillId="9212" borderId="0" xfId="4" applyFill="1" applyAlignment="1">
      <alignment horizontal="center" vertical="center"/>
    </xf>
    <xf numFmtId="0" fontId="1" fillId="9213" borderId="0" xfId="4" applyFill="1" applyAlignment="1">
      <alignment horizontal="center" vertical="center"/>
    </xf>
    <xf numFmtId="0" fontId="1" fillId="9214" borderId="0" xfId="4" applyFill="1" applyAlignment="1">
      <alignment horizontal="center" vertical="center"/>
    </xf>
    <xf numFmtId="0" fontId="1" fillId="9215" borderId="0" xfId="4" applyFill="1" applyAlignment="1">
      <alignment horizontal="center" vertical="center"/>
    </xf>
    <xf numFmtId="0" fontId="1" fillId="9216" borderId="0" xfId="4" applyFill="1" applyAlignment="1">
      <alignment horizontal="center" vertical="center"/>
    </xf>
    <xf numFmtId="0" fontId="1" fillId="9217" borderId="0" xfId="4" applyFill="1" applyAlignment="1">
      <alignment horizontal="center" vertical="center"/>
    </xf>
    <xf numFmtId="0" fontId="1" fillId="9218" borderId="0" xfId="4" applyFill="1" applyAlignment="1">
      <alignment horizontal="center" vertical="center"/>
    </xf>
    <xf numFmtId="0" fontId="1" fillId="9219" borderId="0" xfId="4" applyFill="1" applyAlignment="1">
      <alignment horizontal="center" vertical="center"/>
    </xf>
    <xf numFmtId="0" fontId="1" fillId="9220" borderId="0" xfId="4" applyFill="1" applyAlignment="1">
      <alignment horizontal="center" vertical="center"/>
    </xf>
    <xf numFmtId="0" fontId="1" fillId="9221" borderId="0" xfId="4" applyFill="1" applyAlignment="1">
      <alignment horizontal="center" vertical="center"/>
    </xf>
    <xf numFmtId="0" fontId="1" fillId="9222" borderId="0" xfId="4" applyFill="1" applyAlignment="1">
      <alignment horizontal="center" vertical="center"/>
    </xf>
    <xf numFmtId="0" fontId="1" fillId="9223" borderId="0" xfId="4" applyFill="1" applyAlignment="1">
      <alignment horizontal="center" vertical="center"/>
    </xf>
    <xf numFmtId="0" fontId="1" fillId="9224" borderId="0" xfId="4" applyFill="1" applyAlignment="1">
      <alignment horizontal="center" vertical="center"/>
    </xf>
    <xf numFmtId="0" fontId="1" fillId="9225" borderId="0" xfId="4" applyFill="1" applyAlignment="1">
      <alignment horizontal="center" vertical="center"/>
    </xf>
    <xf numFmtId="0" fontId="1" fillId="9226" borderId="0" xfId="4" applyFill="1" applyAlignment="1">
      <alignment horizontal="center" vertical="center"/>
    </xf>
    <xf numFmtId="0" fontId="1" fillId="9227" borderId="0" xfId="4" applyFill="1" applyAlignment="1">
      <alignment horizontal="center" vertical="center"/>
    </xf>
    <xf numFmtId="0" fontId="1" fillId="9228" borderId="0" xfId="4" applyFill="1" applyAlignment="1">
      <alignment horizontal="center" vertical="center"/>
    </xf>
    <xf numFmtId="0" fontId="1" fillId="9229" borderId="0" xfId="4" applyFill="1" applyAlignment="1">
      <alignment horizontal="center" vertical="center"/>
    </xf>
    <xf numFmtId="0" fontId="1" fillId="9230" borderId="0" xfId="4" applyFill="1" applyAlignment="1">
      <alignment horizontal="center" vertical="center"/>
    </xf>
    <xf numFmtId="0" fontId="1" fillId="9231" borderId="0" xfId="4" applyFill="1" applyAlignment="1">
      <alignment horizontal="center" vertical="center"/>
    </xf>
    <xf numFmtId="0" fontId="1" fillId="9232" borderId="0" xfId="4" applyFill="1" applyAlignment="1">
      <alignment horizontal="center" vertical="center"/>
    </xf>
    <xf numFmtId="0" fontId="1" fillId="9233" borderId="0" xfId="4" applyFill="1" applyAlignment="1">
      <alignment horizontal="center" vertical="center"/>
    </xf>
    <xf numFmtId="0" fontId="1" fillId="9234" borderId="0" xfId="4" applyFill="1" applyAlignment="1">
      <alignment horizontal="center" vertical="center"/>
    </xf>
    <xf numFmtId="0" fontId="1" fillId="9235" borderId="0" xfId="4" applyFill="1" applyAlignment="1">
      <alignment horizontal="center" vertical="center"/>
    </xf>
    <xf numFmtId="0" fontId="1" fillId="9236" borderId="0" xfId="4" applyFill="1" applyAlignment="1">
      <alignment horizontal="center" vertical="center"/>
    </xf>
    <xf numFmtId="0" fontId="1" fillId="9237" borderId="0" xfId="4" applyFill="1" applyAlignment="1">
      <alignment horizontal="center" vertical="center"/>
    </xf>
    <xf numFmtId="0" fontId="1" fillId="9238" borderId="0" xfId="4" applyFill="1" applyAlignment="1">
      <alignment horizontal="center" vertical="center"/>
    </xf>
    <xf numFmtId="0" fontId="1" fillId="9239" borderId="0" xfId="4" applyFill="1" applyAlignment="1">
      <alignment horizontal="left" vertical="center"/>
    </xf>
    <xf numFmtId="0" fontId="1" fillId="9240" borderId="0" xfId="4" applyFill="1" applyAlignment="1">
      <alignment horizontal="center" vertical="center"/>
    </xf>
    <xf numFmtId="0" fontId="1" fillId="9241" borderId="0" xfId="4" applyFill="1" applyAlignment="1">
      <alignment horizontal="center" vertical="center"/>
    </xf>
    <xf numFmtId="0" fontId="1" fillId="9242" borderId="0" xfId="4" applyFill="1" applyAlignment="1">
      <alignment horizontal="center" vertical="center"/>
    </xf>
    <xf numFmtId="0" fontId="1" fillId="9243" borderId="0" xfId="4" applyFill="1" applyAlignment="1">
      <alignment horizontal="center" vertical="center"/>
    </xf>
    <xf numFmtId="0" fontId="1" fillId="9244" borderId="0" xfId="4" applyFill="1" applyAlignment="1">
      <alignment horizontal="center" vertical="center"/>
    </xf>
    <xf numFmtId="0" fontId="1" fillId="9245" borderId="0" xfId="4" applyFill="1" applyAlignment="1">
      <alignment horizontal="center" vertical="center"/>
    </xf>
    <xf numFmtId="0" fontId="1" fillId="9246" borderId="0" xfId="4" applyFill="1" applyAlignment="1">
      <alignment horizontal="center" vertical="center"/>
    </xf>
    <xf numFmtId="0" fontId="1" fillId="9247" borderId="0" xfId="4" applyFill="1" applyAlignment="1">
      <alignment horizontal="center" vertical="center"/>
    </xf>
    <xf numFmtId="0" fontId="1" fillId="9248" borderId="0" xfId="4" applyFill="1" applyAlignment="1">
      <alignment horizontal="center" vertical="center"/>
    </xf>
    <xf numFmtId="0" fontId="1" fillId="9249" borderId="0" xfId="4" applyFill="1" applyAlignment="1">
      <alignment horizontal="center" vertical="center"/>
    </xf>
    <xf numFmtId="0" fontId="1" fillId="9250" borderId="0" xfId="4" applyFill="1" applyAlignment="1">
      <alignment horizontal="center" vertical="center"/>
    </xf>
    <xf numFmtId="0" fontId="1" fillId="9251" borderId="0" xfId="4" applyFill="1" applyAlignment="1">
      <alignment horizontal="center" vertical="center"/>
    </xf>
    <xf numFmtId="0" fontId="1" fillId="9252" borderId="0" xfId="4" applyFill="1" applyAlignment="1">
      <alignment horizontal="center" vertical="center"/>
    </xf>
    <xf numFmtId="0" fontId="1" fillId="9253" borderId="0" xfId="4" applyFill="1" applyAlignment="1">
      <alignment horizontal="center" vertical="center"/>
    </xf>
    <xf numFmtId="0" fontId="1" fillId="9254" borderId="0" xfId="4" applyFill="1" applyAlignment="1">
      <alignment horizontal="center" vertical="center"/>
    </xf>
    <xf numFmtId="0" fontId="1" fillId="9255" borderId="0" xfId="4" applyFill="1" applyAlignment="1">
      <alignment horizontal="center" vertical="center"/>
    </xf>
    <xf numFmtId="0" fontId="1" fillId="9256" borderId="0" xfId="4" applyFill="1" applyAlignment="1">
      <alignment horizontal="center" vertical="center"/>
    </xf>
    <xf numFmtId="0" fontId="1" fillId="9257" borderId="0" xfId="4" applyFill="1" applyAlignment="1">
      <alignment horizontal="center" vertical="center"/>
    </xf>
    <xf numFmtId="0" fontId="1" fillId="9258" borderId="0" xfId="4" applyFill="1" applyAlignment="1">
      <alignment horizontal="center" vertical="center"/>
    </xf>
    <xf numFmtId="0" fontId="1" fillId="9259" borderId="0" xfId="4" applyFill="1" applyAlignment="1">
      <alignment horizontal="center" vertical="center"/>
    </xf>
    <xf numFmtId="0" fontId="1" fillId="9260" borderId="0" xfId="4" applyFill="1" applyAlignment="1">
      <alignment horizontal="center" vertical="center"/>
    </xf>
    <xf numFmtId="0" fontId="1" fillId="9261" borderId="0" xfId="4" applyFill="1" applyAlignment="1">
      <alignment horizontal="center" vertical="center"/>
    </xf>
    <xf numFmtId="0" fontId="1" fillId="9262" borderId="0" xfId="4" applyFill="1" applyAlignment="1">
      <alignment horizontal="center" vertical="center"/>
    </xf>
    <xf numFmtId="0" fontId="1" fillId="9263" borderId="0" xfId="4" applyFill="1" applyAlignment="1">
      <alignment horizontal="center" vertical="center"/>
    </xf>
    <xf numFmtId="0" fontId="1" fillId="9264" borderId="0" xfId="4" applyFill="1" applyAlignment="1">
      <alignment horizontal="center" vertical="center"/>
    </xf>
    <xf numFmtId="0" fontId="1" fillId="9265" borderId="0" xfId="4" applyFill="1" applyAlignment="1">
      <alignment horizontal="center" vertical="center"/>
    </xf>
    <xf numFmtId="0" fontId="1" fillId="9266" borderId="0" xfId="4" applyFill="1" applyAlignment="1">
      <alignment horizontal="left" vertical="center"/>
    </xf>
    <xf numFmtId="0" fontId="1" fillId="9267" borderId="0" xfId="4" applyFill="1" applyAlignment="1">
      <alignment horizontal="center" vertical="center"/>
    </xf>
    <xf numFmtId="0" fontId="1" fillId="9268" borderId="0" xfId="4" applyFill="1" applyAlignment="1">
      <alignment horizontal="center" vertical="center"/>
    </xf>
    <xf numFmtId="0" fontId="1" fillId="9269" borderId="0" xfId="4" applyFill="1" applyAlignment="1">
      <alignment horizontal="center" vertical="center"/>
    </xf>
    <xf numFmtId="0" fontId="1" fillId="9270" borderId="0" xfId="4" applyFill="1" applyAlignment="1">
      <alignment horizontal="center" vertical="center"/>
    </xf>
    <xf numFmtId="0" fontId="1" fillId="9271" borderId="0" xfId="4" applyFill="1" applyAlignment="1">
      <alignment horizontal="center" vertical="center"/>
    </xf>
    <xf numFmtId="0" fontId="1" fillId="9272" borderId="0" xfId="4" applyFill="1" applyAlignment="1">
      <alignment horizontal="center" vertical="center"/>
    </xf>
    <xf numFmtId="0" fontId="1" fillId="9273" borderId="0" xfId="4" applyFill="1" applyAlignment="1">
      <alignment horizontal="center" vertical="center"/>
    </xf>
    <xf numFmtId="0" fontId="1" fillId="9274" borderId="0" xfId="4" applyFill="1" applyAlignment="1">
      <alignment horizontal="center" vertical="center"/>
    </xf>
    <xf numFmtId="0" fontId="1" fillId="9275" borderId="0" xfId="4" applyFill="1" applyAlignment="1">
      <alignment horizontal="center" vertical="center"/>
    </xf>
    <xf numFmtId="0" fontId="1" fillId="9276" borderId="0" xfId="4" applyFill="1" applyAlignment="1">
      <alignment horizontal="center" vertical="center"/>
    </xf>
    <xf numFmtId="0" fontId="1" fillId="9277" borderId="0" xfId="4" applyFill="1" applyAlignment="1">
      <alignment horizontal="center" vertical="center"/>
    </xf>
    <xf numFmtId="0" fontId="1" fillId="9278" borderId="0" xfId="4" applyFill="1" applyAlignment="1">
      <alignment horizontal="center" vertical="center"/>
    </xf>
    <xf numFmtId="0" fontId="1" fillId="9279" borderId="0" xfId="4" applyFill="1" applyAlignment="1">
      <alignment horizontal="center" vertical="center"/>
    </xf>
    <xf numFmtId="0" fontId="1" fillId="9280" borderId="0" xfId="4" applyFill="1" applyAlignment="1">
      <alignment horizontal="center" vertical="center"/>
    </xf>
    <xf numFmtId="0" fontId="1" fillId="9281" borderId="0" xfId="4" applyFill="1" applyAlignment="1">
      <alignment horizontal="center" vertical="center"/>
    </xf>
    <xf numFmtId="0" fontId="1" fillId="9282" borderId="0" xfId="4" applyFill="1" applyAlignment="1">
      <alignment horizontal="center" vertical="center"/>
    </xf>
    <xf numFmtId="0" fontId="1" fillId="9283" borderId="0" xfId="4" applyFill="1" applyAlignment="1">
      <alignment horizontal="center" vertical="center"/>
    </xf>
    <xf numFmtId="0" fontId="1" fillId="9284" borderId="0" xfId="4" applyFill="1" applyAlignment="1">
      <alignment horizontal="center" vertical="center"/>
    </xf>
    <xf numFmtId="0" fontId="1" fillId="9285" borderId="0" xfId="4" applyFill="1" applyAlignment="1">
      <alignment horizontal="center" vertical="center"/>
    </xf>
    <xf numFmtId="0" fontId="1" fillId="9286" borderId="0" xfId="4" applyFill="1" applyAlignment="1">
      <alignment horizontal="center" vertical="center"/>
    </xf>
    <xf numFmtId="0" fontId="1" fillId="9287" borderId="0" xfId="4" applyFill="1" applyAlignment="1">
      <alignment horizontal="center" vertical="center"/>
    </xf>
    <xf numFmtId="0" fontId="1" fillId="9288" borderId="0" xfId="4" applyFill="1" applyAlignment="1">
      <alignment horizontal="center" vertical="center"/>
    </xf>
    <xf numFmtId="0" fontId="1" fillId="9289" borderId="0" xfId="4" applyFill="1" applyAlignment="1">
      <alignment horizontal="center" vertical="center"/>
    </xf>
    <xf numFmtId="0" fontId="1" fillId="9290" borderId="0" xfId="4" applyFill="1" applyAlignment="1">
      <alignment horizontal="center" vertical="center"/>
    </xf>
    <xf numFmtId="0" fontId="1" fillId="9291" borderId="0" xfId="4" applyFill="1" applyAlignment="1">
      <alignment horizontal="center" vertical="center"/>
    </xf>
    <xf numFmtId="0" fontId="1" fillId="9292" borderId="0" xfId="4" applyFill="1" applyAlignment="1">
      <alignment horizontal="center" vertical="center"/>
    </xf>
    <xf numFmtId="0" fontId="1" fillId="9293" borderId="0" xfId="4" applyFill="1" applyAlignment="1">
      <alignment horizontal="center" vertical="center"/>
    </xf>
    <xf numFmtId="0" fontId="1" fillId="9294" borderId="0" xfId="4" applyFill="1" applyAlignment="1">
      <alignment horizontal="center" vertical="center"/>
    </xf>
    <xf numFmtId="0" fontId="1" fillId="9295" borderId="0" xfId="4" applyFill="1" applyAlignment="1">
      <alignment horizontal="center" vertical="center"/>
    </xf>
    <xf numFmtId="0" fontId="1" fillId="9296" borderId="0" xfId="4" applyFill="1" applyAlignment="1">
      <alignment horizontal="center" vertical="center"/>
    </xf>
    <xf numFmtId="0" fontId="1" fillId="9297" borderId="0" xfId="4" applyFill="1" applyAlignment="1">
      <alignment horizontal="center" vertical="center"/>
    </xf>
    <xf numFmtId="0" fontId="1" fillId="9298" borderId="0" xfId="4" applyFill="1" applyAlignment="1">
      <alignment horizontal="center" vertical="center"/>
    </xf>
    <xf numFmtId="0" fontId="1" fillId="9299" borderId="0" xfId="4" applyFill="1" applyAlignment="1">
      <alignment horizontal="center" vertical="center"/>
    </xf>
    <xf numFmtId="0" fontId="1" fillId="9300" borderId="0" xfId="4" applyFill="1" applyAlignment="1">
      <alignment horizontal="center" vertical="center"/>
    </xf>
    <xf numFmtId="0" fontId="1" fillId="9301" borderId="0" xfId="4" applyFill="1" applyAlignment="1">
      <alignment horizontal="center" vertical="center"/>
    </xf>
    <xf numFmtId="0" fontId="1" fillId="9302" borderId="0" xfId="4" applyFill="1" applyAlignment="1">
      <alignment horizontal="center" vertical="center"/>
    </xf>
    <xf numFmtId="0" fontId="1" fillId="9303" borderId="0" xfId="4" applyFill="1" applyAlignment="1">
      <alignment horizontal="center" vertical="center"/>
    </xf>
    <xf numFmtId="0" fontId="1" fillId="9304" borderId="0" xfId="4" applyFill="1" applyAlignment="1">
      <alignment horizontal="center" vertical="center"/>
    </xf>
    <xf numFmtId="0" fontId="1" fillId="9305" borderId="0" xfId="4" applyFill="1" applyAlignment="1">
      <alignment horizontal="center" vertical="center"/>
    </xf>
    <xf numFmtId="0" fontId="1" fillId="9306" borderId="0" xfId="4" applyFill="1" applyAlignment="1">
      <alignment horizontal="center" vertical="center"/>
    </xf>
    <xf numFmtId="0" fontId="1" fillId="9307" borderId="0" xfId="4" applyFill="1" applyAlignment="1">
      <alignment horizontal="center" vertical="center"/>
    </xf>
    <xf numFmtId="0" fontId="1" fillId="9308" borderId="0" xfId="4" applyFill="1" applyAlignment="1">
      <alignment horizontal="center" vertical="center"/>
    </xf>
    <xf numFmtId="0" fontId="1" fillId="9309" borderId="0" xfId="4" applyFill="1" applyAlignment="1">
      <alignment horizontal="center" vertical="center"/>
    </xf>
    <xf numFmtId="0" fontId="1" fillId="9310" borderId="0" xfId="4" applyFill="1" applyAlignment="1">
      <alignment horizontal="center" vertical="center"/>
    </xf>
    <xf numFmtId="0" fontId="1" fillId="9311" borderId="0" xfId="4" applyFill="1" applyAlignment="1">
      <alignment horizontal="center" vertical="center"/>
    </xf>
    <xf numFmtId="0" fontId="1" fillId="9312" borderId="0" xfId="4" applyFill="1" applyAlignment="1">
      <alignment horizontal="center" vertical="center"/>
    </xf>
    <xf numFmtId="0" fontId="1" fillId="9313" borderId="0" xfId="4" applyFill="1" applyAlignment="1">
      <alignment horizontal="center" vertical="center"/>
    </xf>
    <xf numFmtId="0" fontId="1" fillId="9314" borderId="0" xfId="4" applyFill="1" applyAlignment="1">
      <alignment horizontal="center" vertical="center"/>
    </xf>
    <xf numFmtId="0" fontId="1" fillId="9315" borderId="0" xfId="4" applyFill="1" applyAlignment="1">
      <alignment horizontal="center" vertical="center"/>
    </xf>
    <xf numFmtId="0" fontId="1" fillId="9316" borderId="0" xfId="4" applyFill="1" applyAlignment="1">
      <alignment horizontal="center" vertical="center"/>
    </xf>
    <xf numFmtId="0" fontId="1" fillId="9317" borderId="0" xfId="4" applyFill="1" applyAlignment="1">
      <alignment horizontal="center" vertical="center"/>
    </xf>
    <xf numFmtId="0" fontId="1" fillId="9318" borderId="0" xfId="4" applyFill="1" applyAlignment="1">
      <alignment horizontal="center" vertical="center"/>
    </xf>
    <xf numFmtId="0" fontId="1" fillId="9319" borderId="0" xfId="4" applyFill="1" applyAlignment="1">
      <alignment horizontal="left" vertical="center"/>
    </xf>
    <xf numFmtId="0" fontId="1" fillId="9320" borderId="0" xfId="4" applyFill="1" applyAlignment="1">
      <alignment horizontal="center" vertical="center"/>
    </xf>
    <xf numFmtId="0" fontId="1" fillId="9321" borderId="0" xfId="4" applyFill="1" applyAlignment="1">
      <alignment horizontal="center" vertical="center"/>
    </xf>
    <xf numFmtId="0" fontId="1" fillId="9322" borderId="0" xfId="4" applyFill="1" applyAlignment="1">
      <alignment horizontal="center" vertical="center"/>
    </xf>
    <xf numFmtId="0" fontId="1" fillId="9323" borderId="0" xfId="4" applyFill="1" applyAlignment="1">
      <alignment horizontal="center" vertical="center"/>
    </xf>
    <xf numFmtId="0" fontId="1" fillId="9324" borderId="0" xfId="4" applyFill="1" applyAlignment="1">
      <alignment horizontal="center" vertical="center"/>
    </xf>
    <xf numFmtId="0" fontId="1" fillId="9325" borderId="0" xfId="4" applyFill="1" applyAlignment="1">
      <alignment horizontal="center" vertical="center"/>
    </xf>
    <xf numFmtId="0" fontId="1" fillId="9326" borderId="0" xfId="4" applyFill="1" applyAlignment="1">
      <alignment horizontal="center" vertical="center"/>
    </xf>
    <xf numFmtId="0" fontId="1" fillId="9327" borderId="0" xfId="4" applyFill="1" applyAlignment="1">
      <alignment horizontal="center" vertical="center"/>
    </xf>
    <xf numFmtId="0" fontId="1" fillId="9328" borderId="0" xfId="4" applyFill="1" applyAlignment="1">
      <alignment horizontal="center" vertical="center"/>
    </xf>
    <xf numFmtId="0" fontId="1" fillId="9329" borderId="0" xfId="4" applyFill="1" applyAlignment="1">
      <alignment horizontal="center" vertical="center"/>
    </xf>
    <xf numFmtId="0" fontId="1" fillId="9330" borderId="0" xfId="4" applyFill="1" applyAlignment="1">
      <alignment horizontal="center" vertical="center"/>
    </xf>
    <xf numFmtId="0" fontId="1" fillId="9331" borderId="0" xfId="4" applyFill="1" applyAlignment="1">
      <alignment horizontal="center" vertical="center"/>
    </xf>
    <xf numFmtId="0" fontId="1" fillId="9332" borderId="0" xfId="4" applyFill="1" applyAlignment="1">
      <alignment horizontal="center" vertical="center"/>
    </xf>
    <xf numFmtId="0" fontId="1" fillId="9333" borderId="0" xfId="4" applyFill="1" applyAlignment="1">
      <alignment horizontal="center" vertical="center"/>
    </xf>
    <xf numFmtId="0" fontId="1" fillId="9334" borderId="0" xfId="4" applyFill="1" applyAlignment="1">
      <alignment horizontal="center" vertical="center"/>
    </xf>
    <xf numFmtId="0" fontId="1" fillId="9335" borderId="0" xfId="4" applyFill="1" applyAlignment="1">
      <alignment horizontal="center" vertical="center"/>
    </xf>
    <xf numFmtId="0" fontId="1" fillId="9336" borderId="0" xfId="4" applyFill="1" applyAlignment="1">
      <alignment horizontal="center" vertical="center"/>
    </xf>
    <xf numFmtId="0" fontId="1" fillId="9337" borderId="0" xfId="4" applyFill="1" applyAlignment="1">
      <alignment horizontal="center" vertical="center"/>
    </xf>
    <xf numFmtId="0" fontId="1" fillId="9338" borderId="0" xfId="4" applyFill="1" applyAlignment="1">
      <alignment horizontal="center" vertical="center"/>
    </xf>
    <xf numFmtId="0" fontId="1" fillId="9339" borderId="0" xfId="4" applyFill="1" applyAlignment="1">
      <alignment horizontal="center" vertical="center"/>
    </xf>
    <xf numFmtId="0" fontId="1" fillId="9340" borderId="0" xfId="4" applyFill="1" applyAlignment="1">
      <alignment horizontal="center" vertical="center"/>
    </xf>
    <xf numFmtId="0" fontId="1" fillId="9341" borderId="0" xfId="4" applyFill="1" applyAlignment="1">
      <alignment horizontal="center" vertical="center"/>
    </xf>
    <xf numFmtId="0" fontId="1" fillId="9342" borderId="0" xfId="4" applyFill="1" applyAlignment="1">
      <alignment horizontal="center" vertical="center"/>
    </xf>
    <xf numFmtId="0" fontId="1" fillId="9343" borderId="0" xfId="4" applyFill="1" applyAlignment="1">
      <alignment horizontal="center" vertical="center"/>
    </xf>
    <xf numFmtId="0" fontId="1" fillId="9344" borderId="0" xfId="4" applyFill="1" applyAlignment="1">
      <alignment horizontal="center" vertical="center"/>
    </xf>
    <xf numFmtId="0" fontId="1" fillId="9345" borderId="0" xfId="4" applyFill="1" applyAlignment="1">
      <alignment horizontal="center" vertical="center"/>
    </xf>
    <xf numFmtId="0" fontId="1" fillId="9346" borderId="0" xfId="4" applyFill="1" applyAlignment="1">
      <alignment horizontal="left" vertical="center"/>
    </xf>
    <xf numFmtId="0" fontId="1" fillId="9347" borderId="0" xfId="4" applyFill="1" applyAlignment="1">
      <alignment horizontal="center" vertical="center"/>
    </xf>
    <xf numFmtId="0" fontId="1" fillId="9348" borderId="0" xfId="4" applyFill="1" applyAlignment="1">
      <alignment horizontal="center" vertical="center"/>
    </xf>
    <xf numFmtId="0" fontId="1" fillId="9349" borderId="0" xfId="4" applyFill="1" applyAlignment="1">
      <alignment horizontal="center" vertical="center"/>
    </xf>
    <xf numFmtId="0" fontId="1" fillId="9350" borderId="0" xfId="4" applyFill="1" applyAlignment="1">
      <alignment horizontal="center" vertical="center"/>
    </xf>
    <xf numFmtId="0" fontId="1" fillId="9351" borderId="0" xfId="4" applyFill="1" applyAlignment="1">
      <alignment horizontal="center" vertical="center"/>
    </xf>
    <xf numFmtId="0" fontId="1" fillId="9352" borderId="0" xfId="4" applyFill="1" applyAlignment="1">
      <alignment horizontal="center" vertical="center"/>
    </xf>
    <xf numFmtId="0" fontId="1" fillId="9353" borderId="0" xfId="4" applyFill="1" applyAlignment="1">
      <alignment horizontal="center" vertical="center"/>
    </xf>
    <xf numFmtId="0" fontId="1" fillId="9354" borderId="0" xfId="4" applyFill="1" applyAlignment="1">
      <alignment horizontal="center" vertical="center"/>
    </xf>
    <xf numFmtId="0" fontId="1" fillId="9355" borderId="0" xfId="4" applyFill="1" applyAlignment="1">
      <alignment horizontal="center" vertical="center"/>
    </xf>
    <xf numFmtId="0" fontId="1" fillId="9356" borderId="0" xfId="4" applyFill="1" applyAlignment="1">
      <alignment horizontal="center" vertical="center"/>
    </xf>
    <xf numFmtId="0" fontId="1" fillId="9357" borderId="0" xfId="4" applyFill="1" applyAlignment="1">
      <alignment horizontal="center" vertical="center"/>
    </xf>
    <xf numFmtId="0" fontId="1" fillId="9358" borderId="0" xfId="4" applyFill="1" applyAlignment="1">
      <alignment horizontal="center" vertical="center"/>
    </xf>
    <xf numFmtId="0" fontId="1" fillId="9359" borderId="0" xfId="4" applyFill="1" applyAlignment="1">
      <alignment horizontal="center" vertical="center"/>
    </xf>
    <xf numFmtId="0" fontId="1" fillId="9360" borderId="0" xfId="4" applyFill="1" applyAlignment="1">
      <alignment horizontal="center" vertical="center"/>
    </xf>
    <xf numFmtId="0" fontId="1" fillId="9361" borderId="0" xfId="4" applyFill="1" applyAlignment="1">
      <alignment horizontal="center" vertical="center"/>
    </xf>
    <xf numFmtId="0" fontId="1" fillId="9362" borderId="0" xfId="4" applyFill="1" applyAlignment="1">
      <alignment horizontal="center" vertical="center"/>
    </xf>
    <xf numFmtId="0" fontId="1" fillId="9363" borderId="0" xfId="4" applyFill="1" applyAlignment="1">
      <alignment horizontal="center" vertical="center"/>
    </xf>
    <xf numFmtId="0" fontId="1" fillId="9364" borderId="0" xfId="4" applyFill="1" applyAlignment="1">
      <alignment horizontal="center" vertical="center"/>
    </xf>
    <xf numFmtId="0" fontId="1" fillId="9365" borderId="0" xfId="4" applyFill="1" applyAlignment="1">
      <alignment horizontal="center" vertical="center"/>
    </xf>
    <xf numFmtId="0" fontId="1" fillId="9366" borderId="0" xfId="4" applyFill="1" applyAlignment="1">
      <alignment horizontal="center" vertical="center"/>
    </xf>
    <xf numFmtId="0" fontId="1" fillId="9367" borderId="0" xfId="4" applyFill="1" applyAlignment="1">
      <alignment horizontal="center" vertical="center"/>
    </xf>
    <xf numFmtId="0" fontId="1" fillId="9368" borderId="0" xfId="4" applyFill="1" applyAlignment="1">
      <alignment horizontal="center" vertical="center"/>
    </xf>
    <xf numFmtId="0" fontId="1" fillId="9369" borderId="0" xfId="4" applyFill="1" applyAlignment="1">
      <alignment horizontal="center" vertical="center"/>
    </xf>
    <xf numFmtId="0" fontId="1" fillId="9370" borderId="0" xfId="4" applyFill="1" applyAlignment="1">
      <alignment horizontal="center" vertical="center"/>
    </xf>
    <xf numFmtId="0" fontId="1" fillId="9371" borderId="0" xfId="4" applyFill="1" applyAlignment="1">
      <alignment horizontal="center" vertical="center"/>
    </xf>
    <xf numFmtId="0" fontId="1" fillId="9372" borderId="0" xfId="4" applyFill="1" applyAlignment="1">
      <alignment horizontal="center" vertical="center"/>
    </xf>
    <xf numFmtId="0" fontId="1" fillId="9373" borderId="0" xfId="4" applyFill="1" applyAlignment="1">
      <alignment horizontal="center" vertical="center"/>
    </xf>
    <xf numFmtId="0" fontId="1" fillId="9374" borderId="0" xfId="4" applyFill="1" applyAlignment="1">
      <alignment horizontal="center" vertical="center"/>
    </xf>
    <xf numFmtId="0" fontId="1" fillId="9375" borderId="0" xfId="4" applyFill="1" applyAlignment="1">
      <alignment horizontal="center" vertical="center"/>
    </xf>
    <xf numFmtId="0" fontId="1" fillId="9376" borderId="0" xfId="4" applyFill="1" applyAlignment="1">
      <alignment horizontal="center" vertical="center"/>
    </xf>
    <xf numFmtId="0" fontId="1" fillId="9377" borderId="0" xfId="4" applyFill="1" applyAlignment="1">
      <alignment horizontal="center" vertical="center"/>
    </xf>
    <xf numFmtId="0" fontId="1" fillId="9378" borderId="0" xfId="4" applyFill="1" applyAlignment="1">
      <alignment horizontal="center" vertical="center"/>
    </xf>
    <xf numFmtId="0" fontId="1" fillId="9379" borderId="0" xfId="4" applyFill="1" applyAlignment="1">
      <alignment horizontal="center" vertical="center"/>
    </xf>
    <xf numFmtId="0" fontId="1" fillId="9380" borderId="0" xfId="4" applyFill="1" applyAlignment="1">
      <alignment horizontal="center" vertical="center"/>
    </xf>
    <xf numFmtId="0" fontId="1" fillId="9381" borderId="0" xfId="4" applyFill="1" applyAlignment="1">
      <alignment horizontal="center" vertical="center"/>
    </xf>
    <xf numFmtId="0" fontId="1" fillId="9382" borderId="0" xfId="4" applyFill="1" applyAlignment="1">
      <alignment horizontal="center" vertical="center"/>
    </xf>
    <xf numFmtId="0" fontId="1" fillId="9383" borderId="0" xfId="4" applyFill="1" applyAlignment="1">
      <alignment horizontal="center" vertical="center"/>
    </xf>
    <xf numFmtId="0" fontId="1" fillId="9384" borderId="0" xfId="4" applyFill="1" applyAlignment="1">
      <alignment horizontal="center" vertical="center"/>
    </xf>
    <xf numFmtId="0" fontId="1" fillId="9385" borderId="0" xfId="4" applyFill="1" applyAlignment="1">
      <alignment horizontal="center" vertical="center"/>
    </xf>
    <xf numFmtId="0" fontId="1" fillId="9386" borderId="0" xfId="4" applyFill="1" applyAlignment="1">
      <alignment horizontal="center" vertical="center"/>
    </xf>
    <xf numFmtId="0" fontId="1" fillId="9387" borderId="0" xfId="4" applyFill="1" applyAlignment="1">
      <alignment horizontal="center" vertical="center"/>
    </xf>
    <xf numFmtId="0" fontId="1" fillId="9388" borderId="0" xfId="4" applyFill="1" applyAlignment="1">
      <alignment horizontal="center" vertical="center"/>
    </xf>
    <xf numFmtId="0" fontId="1" fillId="9389" borderId="0" xfId="4" applyFill="1" applyAlignment="1">
      <alignment horizontal="center" vertical="center"/>
    </xf>
    <xf numFmtId="0" fontId="1" fillId="9390" borderId="0" xfId="4" applyFill="1" applyAlignment="1">
      <alignment horizontal="center" vertical="center"/>
    </xf>
    <xf numFmtId="0" fontId="1" fillId="9391" borderId="0" xfId="4" applyFill="1" applyAlignment="1">
      <alignment horizontal="center" vertical="center"/>
    </xf>
    <xf numFmtId="0" fontId="1" fillId="9392" borderId="0" xfId="4" applyFill="1" applyAlignment="1">
      <alignment horizontal="center" vertical="center"/>
    </xf>
    <xf numFmtId="0" fontId="1" fillId="9393" borderId="0" xfId="4" applyFill="1" applyAlignment="1">
      <alignment horizontal="center" vertical="center"/>
    </xf>
    <xf numFmtId="0" fontId="1" fillId="9394" borderId="0" xfId="4" applyFill="1" applyAlignment="1">
      <alignment horizontal="center" vertical="center"/>
    </xf>
    <xf numFmtId="0" fontId="1" fillId="9395" borderId="0" xfId="4" applyFill="1" applyAlignment="1">
      <alignment horizontal="center" vertical="center"/>
    </xf>
    <xf numFmtId="0" fontId="1" fillId="9396" borderId="0" xfId="4" applyFill="1" applyAlignment="1">
      <alignment horizontal="center" vertical="center"/>
    </xf>
    <xf numFmtId="0" fontId="1" fillId="9397" borderId="0" xfId="4" applyFill="1" applyAlignment="1">
      <alignment horizontal="center" vertical="center"/>
    </xf>
    <xf numFmtId="0" fontId="1" fillId="9398" borderId="0" xfId="4" applyFill="1" applyAlignment="1">
      <alignment horizontal="left" vertical="center"/>
    </xf>
    <xf numFmtId="0" fontId="1" fillId="9399" borderId="0" xfId="4" applyFill="1" applyAlignment="1">
      <alignment horizontal="center" vertical="center"/>
    </xf>
    <xf numFmtId="0" fontId="1" fillId="9400" borderId="0" xfId="4" applyFill="1" applyAlignment="1">
      <alignment horizontal="center" vertical="center"/>
    </xf>
    <xf numFmtId="0" fontId="1" fillId="9401" borderId="0" xfId="4" applyFill="1" applyAlignment="1">
      <alignment horizontal="center" vertical="center"/>
    </xf>
    <xf numFmtId="0" fontId="1" fillId="9402" borderId="0" xfId="4" applyFill="1" applyAlignment="1">
      <alignment horizontal="center" vertical="center"/>
    </xf>
    <xf numFmtId="0" fontId="1" fillId="9403" borderId="0" xfId="4" applyFill="1" applyAlignment="1">
      <alignment horizontal="center" vertical="center"/>
    </xf>
    <xf numFmtId="0" fontId="1" fillId="9404" borderId="0" xfId="4" applyFill="1" applyAlignment="1">
      <alignment horizontal="center" vertical="center"/>
    </xf>
    <xf numFmtId="0" fontId="1" fillId="9405" borderId="0" xfId="4" applyFill="1" applyAlignment="1">
      <alignment horizontal="center" vertical="center"/>
    </xf>
    <xf numFmtId="0" fontId="1" fillId="9406" borderId="0" xfId="4" applyFill="1" applyAlignment="1">
      <alignment horizontal="center" vertical="center"/>
    </xf>
    <xf numFmtId="0" fontId="1" fillId="9407" borderId="0" xfId="4" applyFill="1" applyAlignment="1">
      <alignment horizontal="center" vertical="center"/>
    </xf>
    <xf numFmtId="0" fontId="1" fillId="9408" borderId="0" xfId="4" applyFill="1" applyAlignment="1">
      <alignment horizontal="center" vertical="center"/>
    </xf>
    <xf numFmtId="0" fontId="1" fillId="9409" borderId="0" xfId="4" applyFill="1" applyAlignment="1">
      <alignment horizontal="center" vertical="center"/>
    </xf>
    <xf numFmtId="0" fontId="1" fillId="9410" borderId="0" xfId="4" applyFill="1" applyAlignment="1">
      <alignment horizontal="center" vertical="center"/>
    </xf>
    <xf numFmtId="0" fontId="1" fillId="9411" borderId="0" xfId="4" applyFill="1" applyAlignment="1">
      <alignment horizontal="center" vertical="center"/>
    </xf>
    <xf numFmtId="0" fontId="1" fillId="9412" borderId="0" xfId="4" applyFill="1" applyAlignment="1">
      <alignment horizontal="center" vertical="center"/>
    </xf>
    <xf numFmtId="0" fontId="1" fillId="9413" borderId="0" xfId="4" applyFill="1" applyAlignment="1">
      <alignment horizontal="center" vertical="center"/>
    </xf>
    <xf numFmtId="0" fontId="1" fillId="9414" borderId="0" xfId="4" applyFill="1" applyAlignment="1">
      <alignment horizontal="center" vertical="center"/>
    </xf>
    <xf numFmtId="0" fontId="1" fillId="9415" borderId="0" xfId="4" applyFill="1" applyAlignment="1">
      <alignment horizontal="center" vertical="center"/>
    </xf>
    <xf numFmtId="0" fontId="1" fillId="9416" borderId="0" xfId="4" applyFill="1" applyAlignment="1">
      <alignment horizontal="center" vertical="center"/>
    </xf>
    <xf numFmtId="0" fontId="1" fillId="9417" borderId="0" xfId="4" applyFill="1" applyAlignment="1">
      <alignment horizontal="center" vertical="center"/>
    </xf>
    <xf numFmtId="0" fontId="1" fillId="9418" borderId="0" xfId="4" applyFill="1" applyAlignment="1">
      <alignment horizontal="center" vertical="center"/>
    </xf>
    <xf numFmtId="0" fontId="1" fillId="9419" borderId="0" xfId="4" applyFill="1" applyAlignment="1">
      <alignment horizontal="center" vertical="center"/>
    </xf>
    <xf numFmtId="0" fontId="1" fillId="9420" borderId="0" xfId="4" applyFill="1" applyAlignment="1">
      <alignment horizontal="center" vertical="center"/>
    </xf>
    <xf numFmtId="0" fontId="1" fillId="9421" borderId="0" xfId="4" applyFill="1" applyAlignment="1">
      <alignment horizontal="center" vertical="center"/>
    </xf>
    <xf numFmtId="0" fontId="1" fillId="9422" borderId="0" xfId="4" applyFill="1" applyAlignment="1">
      <alignment horizontal="center" vertical="center"/>
    </xf>
    <xf numFmtId="0" fontId="1" fillId="9423" borderId="0" xfId="4" applyFill="1" applyAlignment="1">
      <alignment horizontal="center" vertical="center"/>
    </xf>
    <xf numFmtId="0" fontId="1" fillId="9424" borderId="0" xfId="4" applyFill="1" applyAlignment="1">
      <alignment horizontal="center" vertical="center"/>
    </xf>
    <xf numFmtId="0" fontId="1" fillId="9425" borderId="0" xfId="4" applyFill="1" applyAlignment="1">
      <alignment horizontal="center" vertical="center"/>
    </xf>
    <xf numFmtId="0" fontId="1" fillId="9426" borderId="0" xfId="4" applyFill="1" applyAlignment="1">
      <alignment horizontal="center" vertical="center"/>
    </xf>
    <xf numFmtId="0" fontId="1" fillId="9427" borderId="0" xfId="4" applyFill="1" applyAlignment="1">
      <alignment horizontal="center" vertical="center"/>
    </xf>
    <xf numFmtId="0" fontId="1" fillId="9428" borderId="0" xfId="4" applyFill="1" applyAlignment="1">
      <alignment horizontal="center" vertical="center"/>
    </xf>
    <xf numFmtId="0" fontId="1" fillId="9429" borderId="0" xfId="4" applyFill="1" applyAlignment="1">
      <alignment horizontal="center" vertical="center"/>
    </xf>
    <xf numFmtId="0" fontId="1" fillId="9430" borderId="0" xfId="4" applyFill="1" applyAlignment="1">
      <alignment horizontal="left" vertical="center"/>
    </xf>
    <xf numFmtId="0" fontId="1" fillId="9431" borderId="0" xfId="4" applyFill="1" applyAlignment="1">
      <alignment horizontal="center" vertical="center"/>
    </xf>
    <xf numFmtId="0" fontId="1" fillId="9432" borderId="0" xfId="4" applyFill="1" applyAlignment="1">
      <alignment horizontal="center" vertical="center"/>
    </xf>
    <xf numFmtId="0" fontId="1" fillId="9433" borderId="0" xfId="4" applyFill="1" applyAlignment="1">
      <alignment horizontal="center" vertical="center"/>
    </xf>
    <xf numFmtId="0" fontId="1" fillId="9434" borderId="0" xfId="4" applyFill="1" applyAlignment="1">
      <alignment horizontal="center" vertical="center"/>
    </xf>
    <xf numFmtId="0" fontId="1" fillId="9435" borderId="0" xfId="4" applyFill="1" applyAlignment="1">
      <alignment horizontal="center" vertical="center"/>
    </xf>
    <xf numFmtId="0" fontId="1" fillId="9436" borderId="0" xfId="4" applyFill="1" applyAlignment="1">
      <alignment horizontal="center" vertical="center"/>
    </xf>
    <xf numFmtId="0" fontId="1" fillId="9437" borderId="0" xfId="4" applyFill="1" applyAlignment="1">
      <alignment horizontal="center" vertical="center"/>
    </xf>
    <xf numFmtId="0" fontId="1" fillId="9438" borderId="0" xfId="4" applyFill="1" applyAlignment="1">
      <alignment horizontal="center" vertical="center"/>
    </xf>
    <xf numFmtId="0" fontId="1" fillId="9439" borderId="0" xfId="4" applyFill="1" applyAlignment="1">
      <alignment horizontal="center" vertical="center"/>
    </xf>
    <xf numFmtId="0" fontId="1" fillId="9440" borderId="0" xfId="4" applyFill="1" applyAlignment="1">
      <alignment horizontal="center" vertical="center"/>
    </xf>
    <xf numFmtId="0" fontId="1" fillId="9441" borderId="0" xfId="4" applyFill="1" applyAlignment="1">
      <alignment horizontal="center" vertical="center"/>
    </xf>
    <xf numFmtId="0" fontId="1" fillId="9442" borderId="0" xfId="4" applyFill="1" applyAlignment="1">
      <alignment horizontal="center" vertical="center"/>
    </xf>
    <xf numFmtId="0" fontId="1" fillId="9443" borderId="0" xfId="4" applyFill="1" applyAlignment="1">
      <alignment horizontal="center" vertical="center"/>
    </xf>
    <xf numFmtId="0" fontId="1" fillId="9444" borderId="0" xfId="4" applyFill="1" applyAlignment="1">
      <alignment horizontal="center" vertical="center"/>
    </xf>
    <xf numFmtId="0" fontId="1" fillId="9445" borderId="0" xfId="4" applyFill="1" applyAlignment="1">
      <alignment horizontal="center" vertical="center"/>
    </xf>
    <xf numFmtId="0" fontId="1" fillId="9446" borderId="0" xfId="4" applyFill="1" applyAlignment="1">
      <alignment horizontal="center" vertical="center"/>
    </xf>
    <xf numFmtId="0" fontId="1" fillId="9447" borderId="0" xfId="4" applyFill="1" applyAlignment="1">
      <alignment horizontal="center" vertical="center"/>
    </xf>
    <xf numFmtId="0" fontId="1" fillId="9448" borderId="0" xfId="4" applyFill="1" applyAlignment="1">
      <alignment horizontal="center" vertical="center"/>
    </xf>
    <xf numFmtId="0" fontId="1" fillId="9449" borderId="0" xfId="4" applyFill="1" applyAlignment="1">
      <alignment horizontal="center" vertical="center"/>
    </xf>
    <xf numFmtId="0" fontId="1" fillId="9450" borderId="0" xfId="4" applyFill="1" applyAlignment="1">
      <alignment horizontal="center" vertical="center"/>
    </xf>
    <xf numFmtId="0" fontId="1" fillId="9451" borderId="0" xfId="4" applyFill="1" applyAlignment="1">
      <alignment horizontal="center" vertical="center"/>
    </xf>
    <xf numFmtId="0" fontId="1" fillId="9452" borderId="0" xfId="4" applyFill="1" applyAlignment="1">
      <alignment horizontal="center" vertical="center"/>
    </xf>
    <xf numFmtId="0" fontId="1" fillId="9453" borderId="0" xfId="4" applyFill="1" applyAlignment="1">
      <alignment horizontal="center" vertical="center"/>
    </xf>
    <xf numFmtId="0" fontId="1" fillId="9454" borderId="0" xfId="4" applyFill="1" applyAlignment="1">
      <alignment horizontal="center" vertical="center"/>
    </xf>
    <xf numFmtId="0" fontId="1" fillId="9455" borderId="0" xfId="4" applyFill="1" applyAlignment="1">
      <alignment horizontal="center" vertical="center"/>
    </xf>
    <xf numFmtId="0" fontId="1" fillId="9456" borderId="0" xfId="4" applyFill="1" applyAlignment="1">
      <alignment horizontal="center" vertical="center"/>
    </xf>
    <xf numFmtId="0" fontId="1" fillId="9457" borderId="0" xfId="4" applyFill="1" applyAlignment="1">
      <alignment horizontal="center" vertical="center"/>
    </xf>
    <xf numFmtId="0" fontId="1" fillId="9458" borderId="0" xfId="4" applyFill="1" applyAlignment="1">
      <alignment horizontal="center" vertical="center"/>
    </xf>
    <xf numFmtId="0" fontId="1" fillId="9459" borderId="0" xfId="4" applyFill="1" applyAlignment="1">
      <alignment horizontal="center" vertical="center"/>
    </xf>
    <xf numFmtId="0" fontId="1" fillId="9460" borderId="0" xfId="4" applyFill="1" applyAlignment="1">
      <alignment horizontal="center" vertical="center"/>
    </xf>
    <xf numFmtId="0" fontId="1" fillId="9461" borderId="0" xfId="4" applyFill="1" applyAlignment="1">
      <alignment horizontal="center" vertical="center"/>
    </xf>
    <xf numFmtId="0" fontId="1" fillId="9462" borderId="0" xfId="4" applyFill="1" applyAlignment="1">
      <alignment horizontal="center" vertical="center"/>
    </xf>
    <xf numFmtId="0" fontId="1" fillId="9463" borderId="0" xfId="4" applyFill="1" applyAlignment="1">
      <alignment horizontal="center" vertical="center"/>
    </xf>
    <xf numFmtId="0" fontId="1" fillId="9464" borderId="0" xfId="4" applyFill="1" applyAlignment="1">
      <alignment horizontal="center" vertical="center"/>
    </xf>
    <xf numFmtId="0" fontId="1" fillId="9465" borderId="0" xfId="4" applyFill="1" applyAlignment="1">
      <alignment horizontal="center" vertical="center"/>
    </xf>
    <xf numFmtId="0" fontId="1" fillId="9466" borderId="0" xfId="4" applyFill="1" applyAlignment="1">
      <alignment horizontal="center" vertical="center"/>
    </xf>
    <xf numFmtId="0" fontId="1" fillId="9467" borderId="0" xfId="4" applyFill="1" applyAlignment="1">
      <alignment horizontal="center" vertical="center"/>
    </xf>
    <xf numFmtId="0" fontId="1" fillId="9468" borderId="0" xfId="4" applyFill="1" applyAlignment="1">
      <alignment horizontal="center" vertical="center"/>
    </xf>
    <xf numFmtId="0" fontId="1" fillId="9469" borderId="0" xfId="4" applyFill="1" applyAlignment="1">
      <alignment horizontal="center" vertical="center"/>
    </xf>
    <xf numFmtId="0" fontId="1" fillId="9470" borderId="0" xfId="4" applyFill="1" applyAlignment="1">
      <alignment horizontal="center" vertical="center"/>
    </xf>
    <xf numFmtId="0" fontId="1" fillId="9471" borderId="0" xfId="4" applyFill="1" applyAlignment="1">
      <alignment horizontal="center" vertical="center"/>
    </xf>
    <xf numFmtId="0" fontId="1" fillId="9472" borderId="0" xfId="4" applyFill="1" applyAlignment="1">
      <alignment horizontal="center" vertical="center"/>
    </xf>
    <xf numFmtId="0" fontId="1" fillId="9473" borderId="0" xfId="4" applyFill="1" applyAlignment="1">
      <alignment horizontal="center" vertical="center"/>
    </xf>
    <xf numFmtId="0" fontId="1" fillId="9474" borderId="0" xfId="4" applyFill="1" applyAlignment="1">
      <alignment horizontal="center" vertical="center"/>
    </xf>
    <xf numFmtId="0" fontId="1" fillId="9475" borderId="0" xfId="4" applyFill="1" applyAlignment="1">
      <alignment horizontal="center" vertical="center"/>
    </xf>
    <xf numFmtId="0" fontId="1" fillId="9476" borderId="0" xfId="4" applyFill="1" applyAlignment="1">
      <alignment horizontal="center" vertical="center"/>
    </xf>
    <xf numFmtId="0" fontId="1" fillId="9477" borderId="0" xfId="4" applyFill="1" applyAlignment="1">
      <alignment horizontal="center" vertical="center"/>
    </xf>
    <xf numFmtId="0" fontId="1" fillId="9478" borderId="0" xfId="4" applyFill="1" applyAlignment="1">
      <alignment horizontal="center" vertical="center"/>
    </xf>
    <xf numFmtId="0" fontId="1" fillId="9479" borderId="0" xfId="4" applyFill="1" applyAlignment="1">
      <alignment horizontal="center" vertical="center"/>
    </xf>
    <xf numFmtId="0" fontId="1" fillId="9480" borderId="0" xfId="4" applyFill="1" applyAlignment="1">
      <alignment horizontal="center" vertical="center"/>
    </xf>
    <xf numFmtId="0" fontId="1" fillId="9481" borderId="0" xfId="4" applyFill="1" applyAlignment="1">
      <alignment horizontal="center" vertical="center"/>
    </xf>
    <xf numFmtId="0" fontId="1" fillId="9482" borderId="0" xfId="4" applyFill="1" applyAlignment="1">
      <alignment horizontal="left" vertical="center"/>
    </xf>
    <xf numFmtId="0" fontId="1" fillId="9483" borderId="0" xfId="4" applyFill="1" applyAlignment="1">
      <alignment horizontal="center" vertical="center"/>
    </xf>
    <xf numFmtId="0" fontId="1" fillId="9484" borderId="0" xfId="4" applyFill="1" applyAlignment="1">
      <alignment horizontal="center" vertical="center"/>
    </xf>
    <xf numFmtId="0" fontId="1" fillId="9485" borderId="0" xfId="4" applyFill="1" applyAlignment="1">
      <alignment horizontal="center" vertical="center"/>
    </xf>
    <xf numFmtId="0" fontId="1" fillId="9486" borderId="0" xfId="4" applyFill="1" applyAlignment="1">
      <alignment horizontal="center" vertical="center"/>
    </xf>
    <xf numFmtId="0" fontId="1" fillId="9487" borderId="0" xfId="4" applyFill="1" applyAlignment="1">
      <alignment horizontal="center" vertical="center"/>
    </xf>
    <xf numFmtId="0" fontId="1" fillId="9488" borderId="0" xfId="4" applyFill="1" applyAlignment="1">
      <alignment horizontal="center" vertical="center"/>
    </xf>
    <xf numFmtId="0" fontId="1" fillId="9489" borderId="0" xfId="4" applyFill="1" applyAlignment="1">
      <alignment horizontal="center" vertical="center"/>
    </xf>
    <xf numFmtId="0" fontId="1" fillId="9490" borderId="0" xfId="4" applyFill="1" applyAlignment="1">
      <alignment horizontal="center" vertical="center"/>
    </xf>
    <xf numFmtId="0" fontId="1" fillId="9491" borderId="0" xfId="4" applyFill="1" applyAlignment="1">
      <alignment horizontal="center" vertical="center"/>
    </xf>
    <xf numFmtId="0" fontId="1" fillId="9492" borderId="0" xfId="4" applyFill="1" applyAlignment="1">
      <alignment horizontal="center" vertical="center"/>
    </xf>
    <xf numFmtId="0" fontId="1" fillId="9493" borderId="0" xfId="4" applyFill="1" applyAlignment="1">
      <alignment horizontal="center" vertical="center"/>
    </xf>
    <xf numFmtId="0" fontId="1" fillId="9494" borderId="0" xfId="4" applyFill="1" applyAlignment="1">
      <alignment horizontal="center" vertical="center"/>
    </xf>
    <xf numFmtId="0" fontId="1" fillId="9495" borderId="0" xfId="4" applyFill="1" applyAlignment="1">
      <alignment horizontal="center" vertical="center"/>
    </xf>
    <xf numFmtId="0" fontId="1" fillId="9496" borderId="0" xfId="4" applyFill="1" applyAlignment="1">
      <alignment horizontal="center" vertical="center"/>
    </xf>
    <xf numFmtId="0" fontId="1" fillId="9497" borderId="0" xfId="4" applyFill="1" applyAlignment="1">
      <alignment horizontal="center" vertical="center"/>
    </xf>
    <xf numFmtId="0" fontId="1" fillId="9498" borderId="0" xfId="4" applyFill="1" applyAlignment="1">
      <alignment horizontal="center" vertical="center"/>
    </xf>
    <xf numFmtId="0" fontId="1" fillId="9499" borderId="0" xfId="4" applyFill="1" applyAlignment="1">
      <alignment horizontal="center" vertical="center"/>
    </xf>
    <xf numFmtId="0" fontId="1" fillId="9500" borderId="0" xfId="4" applyFill="1" applyAlignment="1">
      <alignment horizontal="center" vertical="center"/>
    </xf>
    <xf numFmtId="0" fontId="1" fillId="9501" borderId="0" xfId="4" applyFill="1" applyAlignment="1">
      <alignment horizontal="center" vertical="center"/>
    </xf>
    <xf numFmtId="0" fontId="1" fillId="9502" borderId="0" xfId="4" applyFill="1" applyAlignment="1">
      <alignment horizontal="center" vertical="center"/>
    </xf>
    <xf numFmtId="0" fontId="1" fillId="9503" borderId="0" xfId="4" applyFill="1" applyAlignment="1">
      <alignment horizontal="center" vertical="center"/>
    </xf>
    <xf numFmtId="0" fontId="1" fillId="9504" borderId="0" xfId="4" applyFill="1" applyAlignment="1">
      <alignment horizontal="center" vertical="center"/>
    </xf>
    <xf numFmtId="0" fontId="1" fillId="9505" borderId="0" xfId="4" applyFill="1" applyAlignment="1">
      <alignment horizontal="center" vertical="center"/>
    </xf>
    <xf numFmtId="0" fontId="1" fillId="9506" borderId="0" xfId="4" applyFill="1" applyAlignment="1">
      <alignment horizontal="center" vertical="center"/>
    </xf>
    <xf numFmtId="0" fontId="1" fillId="9507" borderId="0" xfId="4" applyFill="1" applyAlignment="1">
      <alignment horizontal="center" vertical="center"/>
    </xf>
    <xf numFmtId="0" fontId="1" fillId="9508" borderId="0" xfId="4" applyFill="1" applyAlignment="1">
      <alignment horizontal="center" vertical="center"/>
    </xf>
    <xf numFmtId="0" fontId="1" fillId="9509" borderId="0" xfId="4" applyFill="1" applyAlignment="1">
      <alignment horizontal="center" vertical="center"/>
    </xf>
    <xf numFmtId="0" fontId="1" fillId="9510" borderId="0" xfId="4" applyFill="1" applyAlignment="1">
      <alignment horizontal="center" vertical="center"/>
    </xf>
    <xf numFmtId="0" fontId="1" fillId="9511" borderId="0" xfId="4" applyFill="1" applyAlignment="1">
      <alignment horizontal="center" vertical="center"/>
    </xf>
    <xf numFmtId="0" fontId="1" fillId="9512" borderId="0" xfId="4" applyFill="1" applyAlignment="1">
      <alignment horizontal="left" vertical="center"/>
    </xf>
    <xf numFmtId="0" fontId="1" fillId="9513" borderId="0" xfId="4" applyFill="1" applyAlignment="1">
      <alignment horizontal="center" vertical="center"/>
    </xf>
    <xf numFmtId="0" fontId="1" fillId="9514" borderId="0" xfId="4" applyFill="1" applyAlignment="1">
      <alignment horizontal="center" vertical="center"/>
    </xf>
    <xf numFmtId="0" fontId="1" fillId="9515" borderId="0" xfId="4" applyFill="1" applyAlignment="1">
      <alignment horizontal="center" vertical="center"/>
    </xf>
    <xf numFmtId="0" fontId="1" fillId="9516" borderId="0" xfId="4" applyFill="1" applyAlignment="1">
      <alignment horizontal="center" vertical="center"/>
    </xf>
    <xf numFmtId="0" fontId="1" fillId="9517" borderId="0" xfId="4" applyFill="1" applyAlignment="1">
      <alignment horizontal="center" vertical="center"/>
    </xf>
    <xf numFmtId="0" fontId="1" fillId="9518" borderId="0" xfId="4" applyFill="1" applyAlignment="1">
      <alignment horizontal="center" vertical="center"/>
    </xf>
    <xf numFmtId="0" fontId="1" fillId="9519" borderId="0" xfId="4" applyFill="1" applyAlignment="1">
      <alignment horizontal="center" vertical="center"/>
    </xf>
    <xf numFmtId="0" fontId="1" fillId="9520" borderId="0" xfId="4" applyFill="1" applyAlignment="1">
      <alignment horizontal="center" vertical="center"/>
    </xf>
    <xf numFmtId="0" fontId="1" fillId="9521" borderId="0" xfId="4" applyFill="1" applyAlignment="1">
      <alignment horizontal="center" vertical="center"/>
    </xf>
    <xf numFmtId="0" fontId="1" fillId="9522" borderId="0" xfId="4" applyFill="1" applyAlignment="1">
      <alignment horizontal="center" vertical="center"/>
    </xf>
    <xf numFmtId="0" fontId="1" fillId="9523" borderId="0" xfId="4" applyFill="1" applyAlignment="1">
      <alignment horizontal="center" vertical="center"/>
    </xf>
    <xf numFmtId="0" fontId="1" fillId="9524" borderId="0" xfId="4" applyFill="1" applyAlignment="1">
      <alignment horizontal="center" vertical="center"/>
    </xf>
    <xf numFmtId="0" fontId="1" fillId="9525" borderId="0" xfId="4" applyFill="1" applyAlignment="1">
      <alignment horizontal="center" vertical="center"/>
    </xf>
    <xf numFmtId="0" fontId="1" fillId="9526" borderId="0" xfId="4" applyFill="1" applyAlignment="1">
      <alignment horizontal="center" vertical="center"/>
    </xf>
    <xf numFmtId="0" fontId="1" fillId="9527" borderId="0" xfId="4" applyFill="1" applyAlignment="1">
      <alignment horizontal="center" vertical="center"/>
    </xf>
    <xf numFmtId="0" fontId="1" fillId="9528" borderId="0" xfId="4" applyFill="1" applyAlignment="1">
      <alignment horizontal="center" vertical="center"/>
    </xf>
    <xf numFmtId="0" fontId="1" fillId="9529" borderId="0" xfId="4" applyFill="1" applyAlignment="1">
      <alignment horizontal="center" vertical="center"/>
    </xf>
    <xf numFmtId="0" fontId="1" fillId="9530" borderId="0" xfId="4" applyFill="1" applyAlignment="1">
      <alignment horizontal="center" vertical="center"/>
    </xf>
    <xf numFmtId="0" fontId="1" fillId="9531" borderId="0" xfId="4" applyFill="1" applyAlignment="1">
      <alignment horizontal="center" vertical="center"/>
    </xf>
    <xf numFmtId="0" fontId="1" fillId="9532" borderId="0" xfId="4" applyFill="1" applyAlignment="1">
      <alignment horizontal="center" vertical="center"/>
    </xf>
    <xf numFmtId="0" fontId="1" fillId="9533" borderId="0" xfId="4" applyFill="1" applyAlignment="1">
      <alignment horizontal="center" vertical="center"/>
    </xf>
    <xf numFmtId="0" fontId="1" fillId="9534" borderId="0" xfId="4" applyFill="1" applyAlignment="1">
      <alignment horizontal="center" vertical="center"/>
    </xf>
    <xf numFmtId="0" fontId="1" fillId="9535" borderId="0" xfId="4" applyFill="1" applyAlignment="1">
      <alignment horizontal="center" vertical="center"/>
    </xf>
    <xf numFmtId="0" fontId="1" fillId="9536" borderId="0" xfId="4" applyFill="1" applyAlignment="1">
      <alignment horizontal="center" vertical="center"/>
    </xf>
    <xf numFmtId="0" fontId="1" fillId="9537" borderId="0" xfId="4" applyFill="1" applyAlignment="1">
      <alignment horizontal="center" vertical="center"/>
    </xf>
    <xf numFmtId="0" fontId="1" fillId="9538" borderId="0" xfId="4" applyFill="1" applyAlignment="1">
      <alignment horizontal="center" vertical="center"/>
    </xf>
    <xf numFmtId="0" fontId="1" fillId="9539" borderId="0" xfId="4" applyFill="1" applyAlignment="1">
      <alignment horizontal="center" vertical="center"/>
    </xf>
    <xf numFmtId="0" fontId="1" fillId="9540" borderId="0" xfId="4" applyFill="1" applyAlignment="1">
      <alignment horizontal="center" vertical="center"/>
    </xf>
    <xf numFmtId="0" fontId="1" fillId="9541" borderId="0" xfId="4" applyFill="1" applyAlignment="1">
      <alignment horizontal="center" vertical="center"/>
    </xf>
    <xf numFmtId="0" fontId="1" fillId="9542" borderId="0" xfId="4" applyFill="1" applyAlignment="1">
      <alignment horizontal="center" vertical="center"/>
    </xf>
    <xf numFmtId="0" fontId="1" fillId="9543" borderId="0" xfId="4" applyFill="1" applyAlignment="1">
      <alignment horizontal="center" vertical="center"/>
    </xf>
    <xf numFmtId="0" fontId="1" fillId="9544" borderId="0" xfId="4" applyFill="1" applyAlignment="1">
      <alignment horizontal="center" vertical="center"/>
    </xf>
    <xf numFmtId="0" fontId="1" fillId="9545" borderId="0" xfId="4" applyFill="1" applyAlignment="1">
      <alignment horizontal="center" vertical="center"/>
    </xf>
    <xf numFmtId="0" fontId="1" fillId="9546" borderId="0" xfId="4" applyFill="1" applyAlignment="1">
      <alignment horizontal="center" vertical="center"/>
    </xf>
    <xf numFmtId="0" fontId="1" fillId="9547" borderId="0" xfId="4" applyFill="1" applyAlignment="1">
      <alignment horizontal="center" vertical="center"/>
    </xf>
    <xf numFmtId="0" fontId="1" fillId="9548" borderId="0" xfId="4" applyFill="1" applyAlignment="1">
      <alignment horizontal="center" vertical="center"/>
    </xf>
    <xf numFmtId="0" fontId="1" fillId="9549" borderId="0" xfId="4" applyFill="1" applyAlignment="1">
      <alignment horizontal="center" vertical="center"/>
    </xf>
    <xf numFmtId="0" fontId="1" fillId="9550" borderId="0" xfId="4" applyFill="1" applyAlignment="1">
      <alignment horizontal="center" vertical="center"/>
    </xf>
    <xf numFmtId="0" fontId="1" fillId="9551" borderId="0" xfId="4" applyFill="1" applyAlignment="1">
      <alignment horizontal="center" vertical="center"/>
    </xf>
    <xf numFmtId="0" fontId="1" fillId="9552" borderId="0" xfId="4" applyFill="1" applyAlignment="1">
      <alignment horizontal="center" vertical="center"/>
    </xf>
    <xf numFmtId="0" fontId="1" fillId="9553" borderId="0" xfId="4" applyFill="1" applyAlignment="1">
      <alignment horizontal="center" vertical="center"/>
    </xf>
    <xf numFmtId="0" fontId="1" fillId="9554" borderId="0" xfId="4" applyFill="1" applyAlignment="1">
      <alignment horizontal="center" vertical="center"/>
    </xf>
    <xf numFmtId="0" fontId="1" fillId="9555" borderId="0" xfId="4" applyFill="1" applyAlignment="1">
      <alignment horizontal="center" vertical="center"/>
    </xf>
    <xf numFmtId="0" fontId="1" fillId="9556" borderId="0" xfId="4" applyFill="1" applyAlignment="1">
      <alignment horizontal="center" vertical="center"/>
    </xf>
    <xf numFmtId="0" fontId="1" fillId="9557" borderId="0" xfId="4" applyFill="1" applyAlignment="1">
      <alignment horizontal="center" vertical="center"/>
    </xf>
    <xf numFmtId="0" fontId="1" fillId="9558" borderId="0" xfId="4" applyFill="1" applyAlignment="1">
      <alignment horizontal="center" vertical="center"/>
    </xf>
    <xf numFmtId="0" fontId="1" fillId="9559" borderId="0" xfId="4" applyFill="1" applyAlignment="1">
      <alignment horizontal="center" vertical="center"/>
    </xf>
    <xf numFmtId="0" fontId="1" fillId="9560" borderId="0" xfId="4" applyFill="1" applyAlignment="1">
      <alignment horizontal="center" vertical="center"/>
    </xf>
    <xf numFmtId="0" fontId="1" fillId="9561" borderId="0" xfId="4" applyFill="1" applyAlignment="1">
      <alignment horizontal="center" vertical="center"/>
    </xf>
    <xf numFmtId="0" fontId="1" fillId="9562" borderId="0" xfId="4" applyFill="1" applyAlignment="1">
      <alignment horizontal="center" vertical="center"/>
    </xf>
    <xf numFmtId="0" fontId="1" fillId="9563" borderId="0" xfId="4" applyFill="1" applyAlignment="1">
      <alignment horizontal="center" vertical="center"/>
    </xf>
    <xf numFmtId="0" fontId="1" fillId="9564" borderId="0" xfId="4" applyFill="1" applyAlignment="1">
      <alignment horizontal="center" vertical="center"/>
    </xf>
    <xf numFmtId="0" fontId="1" fillId="9565" borderId="0" xfId="4" applyFill="1" applyAlignment="1">
      <alignment horizontal="left" vertical="center"/>
    </xf>
    <xf numFmtId="0" fontId="1" fillId="9566" borderId="0" xfId="4" applyFill="1" applyAlignment="1">
      <alignment horizontal="center" vertical="center"/>
    </xf>
    <xf numFmtId="0" fontId="1" fillId="9567" borderId="0" xfId="4" applyFill="1" applyAlignment="1">
      <alignment horizontal="center" vertical="center"/>
    </xf>
    <xf numFmtId="0" fontId="1" fillId="9568" borderId="0" xfId="4" applyFill="1" applyAlignment="1">
      <alignment horizontal="center" vertical="center"/>
    </xf>
    <xf numFmtId="0" fontId="1" fillId="9569" borderId="0" xfId="4" applyFill="1" applyAlignment="1">
      <alignment horizontal="center" vertical="center"/>
    </xf>
    <xf numFmtId="0" fontId="1" fillId="9570" borderId="0" xfId="4" applyFill="1" applyAlignment="1">
      <alignment horizontal="center" vertical="center"/>
    </xf>
    <xf numFmtId="0" fontId="1" fillId="9571" borderId="0" xfId="4" applyFill="1" applyAlignment="1">
      <alignment horizontal="center" vertical="center"/>
    </xf>
    <xf numFmtId="0" fontId="1" fillId="9572" borderId="0" xfId="4" applyFill="1" applyAlignment="1">
      <alignment horizontal="center" vertical="center"/>
    </xf>
    <xf numFmtId="0" fontId="1" fillId="9573" borderId="0" xfId="4" applyFill="1" applyAlignment="1">
      <alignment horizontal="center" vertical="center"/>
    </xf>
    <xf numFmtId="0" fontId="1" fillId="9574" borderId="0" xfId="4" applyFill="1" applyAlignment="1">
      <alignment horizontal="center" vertical="center"/>
    </xf>
    <xf numFmtId="0" fontId="1" fillId="9575" borderId="0" xfId="4" applyFill="1" applyAlignment="1">
      <alignment horizontal="center" vertical="center"/>
    </xf>
    <xf numFmtId="0" fontId="1" fillId="9576" borderId="0" xfId="4" applyFill="1" applyAlignment="1">
      <alignment horizontal="center" vertical="center"/>
    </xf>
    <xf numFmtId="0" fontId="1" fillId="9577" borderId="0" xfId="4" applyFill="1" applyAlignment="1">
      <alignment horizontal="center" vertical="center"/>
    </xf>
    <xf numFmtId="0" fontId="1" fillId="9578" borderId="0" xfId="4" applyFill="1" applyAlignment="1">
      <alignment horizontal="center" vertical="center"/>
    </xf>
    <xf numFmtId="0" fontId="1" fillId="9579" borderId="0" xfId="4" applyFill="1" applyAlignment="1">
      <alignment horizontal="center" vertical="center"/>
    </xf>
    <xf numFmtId="0" fontId="1" fillId="9580" borderId="0" xfId="4" applyFill="1" applyAlignment="1">
      <alignment horizontal="center" vertical="center"/>
    </xf>
    <xf numFmtId="0" fontId="1" fillId="9581" borderId="0" xfId="4" applyFill="1" applyAlignment="1">
      <alignment horizontal="center" vertical="center"/>
    </xf>
    <xf numFmtId="0" fontId="1" fillId="9582" borderId="0" xfId="4" applyFill="1" applyAlignment="1">
      <alignment horizontal="center" vertical="center"/>
    </xf>
    <xf numFmtId="0" fontId="1" fillId="9583" borderId="0" xfId="4" applyFill="1" applyAlignment="1">
      <alignment horizontal="center" vertical="center"/>
    </xf>
    <xf numFmtId="0" fontId="1" fillId="9584" borderId="0" xfId="4" applyFill="1" applyAlignment="1">
      <alignment horizontal="center" vertical="center"/>
    </xf>
    <xf numFmtId="0" fontId="1" fillId="9585" borderId="0" xfId="4" applyFill="1" applyAlignment="1">
      <alignment horizontal="center" vertical="center"/>
    </xf>
    <xf numFmtId="0" fontId="1" fillId="9586" borderId="0" xfId="4" applyFill="1" applyAlignment="1">
      <alignment horizontal="center" vertical="center"/>
    </xf>
    <xf numFmtId="0" fontId="1" fillId="9587" borderId="0" xfId="4" applyFill="1" applyAlignment="1">
      <alignment horizontal="center" vertical="center"/>
    </xf>
    <xf numFmtId="0" fontId="1" fillId="9588" borderId="0" xfId="4" applyFill="1" applyAlignment="1">
      <alignment horizontal="center" vertical="center"/>
    </xf>
    <xf numFmtId="0" fontId="1" fillId="9589" borderId="0" xfId="4" applyFill="1" applyAlignment="1">
      <alignment horizontal="center" vertical="center"/>
    </xf>
    <xf numFmtId="0" fontId="1" fillId="9590" borderId="0" xfId="4" applyFill="1" applyAlignment="1">
      <alignment horizontal="center" vertical="center"/>
    </xf>
    <xf numFmtId="0" fontId="1" fillId="9591" borderId="0" xfId="4" applyFill="1" applyAlignment="1">
      <alignment horizontal="center" vertical="center"/>
    </xf>
    <xf numFmtId="0" fontId="1" fillId="9592" borderId="0" xfId="4" applyFill="1" applyAlignment="1">
      <alignment horizontal="center" vertical="center"/>
    </xf>
    <xf numFmtId="0" fontId="1" fillId="9593" borderId="0" xfId="4" applyFill="1" applyAlignment="1">
      <alignment horizontal="center" vertical="center"/>
    </xf>
    <xf numFmtId="0" fontId="1" fillId="9594" borderId="0" xfId="4" applyFill="1" applyAlignment="1">
      <alignment horizontal="center" vertical="center"/>
    </xf>
    <xf numFmtId="0" fontId="1" fillId="9595" borderId="0" xfId="4" applyFill="1" applyAlignment="1">
      <alignment horizontal="center" vertical="center"/>
    </xf>
    <xf numFmtId="0" fontId="1" fillId="9596" borderId="0" xfId="4" applyFill="1" applyAlignment="1">
      <alignment horizontal="center" vertical="center"/>
    </xf>
    <xf numFmtId="0" fontId="1" fillId="9597" borderId="0" xfId="4" applyFill="1" applyAlignment="1">
      <alignment horizontal="left" vertical="center"/>
    </xf>
    <xf numFmtId="0" fontId="1" fillId="9598" borderId="0" xfId="4" applyFill="1" applyAlignment="1">
      <alignment horizontal="center" vertical="center"/>
    </xf>
    <xf numFmtId="0" fontId="1" fillId="9599" borderId="0" xfId="4" applyFill="1" applyAlignment="1">
      <alignment horizontal="center" vertical="center"/>
    </xf>
    <xf numFmtId="0" fontId="1" fillId="9600" borderId="0" xfId="4" applyFill="1" applyAlignment="1">
      <alignment horizontal="center" vertical="center"/>
    </xf>
    <xf numFmtId="0" fontId="1" fillId="9601" borderId="0" xfId="4" applyFill="1" applyAlignment="1">
      <alignment horizontal="center" vertical="center"/>
    </xf>
    <xf numFmtId="0" fontId="1" fillId="9602" borderId="0" xfId="4" applyFill="1" applyAlignment="1">
      <alignment horizontal="center" vertical="center"/>
    </xf>
    <xf numFmtId="0" fontId="1" fillId="9603" borderId="0" xfId="4" applyFill="1" applyAlignment="1">
      <alignment horizontal="center" vertical="center"/>
    </xf>
    <xf numFmtId="0" fontId="1" fillId="9604" borderId="0" xfId="4" applyFill="1" applyAlignment="1">
      <alignment horizontal="center" vertical="center"/>
    </xf>
    <xf numFmtId="0" fontId="1" fillId="9605" borderId="0" xfId="4" applyFill="1" applyAlignment="1">
      <alignment horizontal="center" vertical="center"/>
    </xf>
    <xf numFmtId="0" fontId="1" fillId="9606" borderId="0" xfId="4" applyFill="1" applyAlignment="1">
      <alignment horizontal="center" vertical="center"/>
    </xf>
    <xf numFmtId="0" fontId="1" fillId="9607" borderId="0" xfId="4" applyFill="1" applyAlignment="1">
      <alignment horizontal="center" vertical="center"/>
    </xf>
    <xf numFmtId="0" fontId="1" fillId="9608" borderId="0" xfId="4" applyFill="1" applyAlignment="1">
      <alignment horizontal="center" vertical="center"/>
    </xf>
    <xf numFmtId="0" fontId="1" fillId="9609" borderId="0" xfId="4" applyFill="1" applyAlignment="1">
      <alignment horizontal="center" vertical="center"/>
    </xf>
    <xf numFmtId="0" fontId="1" fillId="9610" borderId="0" xfId="4" applyFill="1" applyAlignment="1">
      <alignment horizontal="center" vertical="center"/>
    </xf>
    <xf numFmtId="0" fontId="1" fillId="9611" borderId="0" xfId="4" applyFill="1" applyAlignment="1">
      <alignment horizontal="center" vertical="center"/>
    </xf>
    <xf numFmtId="0" fontId="1" fillId="9612" borderId="0" xfId="4" applyFill="1" applyAlignment="1">
      <alignment horizontal="center" vertical="center"/>
    </xf>
    <xf numFmtId="0" fontId="1" fillId="9613" borderId="0" xfId="4" applyFill="1" applyAlignment="1">
      <alignment horizontal="center" vertical="center"/>
    </xf>
    <xf numFmtId="0" fontId="1" fillId="9614" borderId="0" xfId="4" applyFill="1" applyAlignment="1">
      <alignment horizontal="center" vertical="center"/>
    </xf>
    <xf numFmtId="0" fontId="1" fillId="9615" borderId="0" xfId="4" applyFill="1" applyAlignment="1">
      <alignment horizontal="center" vertical="center"/>
    </xf>
    <xf numFmtId="0" fontId="1" fillId="9616" borderId="0" xfId="4" applyFill="1" applyAlignment="1">
      <alignment horizontal="center" vertical="center"/>
    </xf>
    <xf numFmtId="0" fontId="1" fillId="9617" borderId="0" xfId="4" applyFill="1" applyAlignment="1">
      <alignment horizontal="center" vertical="center"/>
    </xf>
    <xf numFmtId="0" fontId="1" fillId="9618" borderId="0" xfId="4" applyFill="1" applyAlignment="1">
      <alignment horizontal="center" vertical="center"/>
    </xf>
    <xf numFmtId="0" fontId="1" fillId="9619" borderId="0" xfId="4" applyFill="1" applyAlignment="1">
      <alignment horizontal="center" vertical="center"/>
    </xf>
    <xf numFmtId="0" fontId="1" fillId="9620" borderId="0" xfId="4" applyFill="1" applyAlignment="1">
      <alignment horizontal="center" vertical="center"/>
    </xf>
    <xf numFmtId="0" fontId="1" fillId="9621" borderId="0" xfId="4" applyFill="1" applyAlignment="1">
      <alignment horizontal="center" vertical="center"/>
    </xf>
    <xf numFmtId="0" fontId="1" fillId="9622" borderId="0" xfId="4" applyFill="1" applyAlignment="1">
      <alignment horizontal="center" vertical="center"/>
    </xf>
    <xf numFmtId="0" fontId="1" fillId="9623" borderId="0" xfId="4" applyFill="1" applyAlignment="1">
      <alignment horizontal="center" vertical="center"/>
    </xf>
    <xf numFmtId="0" fontId="1" fillId="9624" borderId="0" xfId="4" applyFill="1" applyAlignment="1">
      <alignment horizontal="center" vertical="center"/>
    </xf>
    <xf numFmtId="0" fontId="1" fillId="9625" borderId="0" xfId="4" applyFill="1" applyAlignment="1">
      <alignment horizontal="center" vertical="center"/>
    </xf>
    <xf numFmtId="0" fontId="1" fillId="9626" borderId="0" xfId="4" applyFill="1" applyAlignment="1">
      <alignment horizontal="center" vertical="center"/>
    </xf>
    <xf numFmtId="0" fontId="1" fillId="9627" borderId="0" xfId="4" applyFill="1" applyAlignment="1">
      <alignment horizontal="center" vertical="center"/>
    </xf>
    <xf numFmtId="0" fontId="1" fillId="9628" borderId="0" xfId="4" applyFill="1" applyAlignment="1">
      <alignment horizontal="center" vertical="center"/>
    </xf>
    <xf numFmtId="0" fontId="1" fillId="9629" borderId="0" xfId="4" applyFill="1" applyAlignment="1">
      <alignment horizontal="center" vertical="center"/>
    </xf>
    <xf numFmtId="0" fontId="1" fillId="9630" borderId="0" xfId="4" applyFill="1" applyAlignment="1">
      <alignment horizontal="center" vertical="center"/>
    </xf>
    <xf numFmtId="0" fontId="1" fillId="9631" borderId="0" xfId="4" applyFill="1" applyAlignment="1">
      <alignment horizontal="center" vertical="center"/>
    </xf>
    <xf numFmtId="0" fontId="1" fillId="9632" borderId="0" xfId="4" applyFill="1" applyAlignment="1">
      <alignment horizontal="center" vertical="center"/>
    </xf>
    <xf numFmtId="0" fontId="1" fillId="9633" borderId="0" xfId="4" applyFill="1" applyAlignment="1">
      <alignment horizontal="center" vertical="center"/>
    </xf>
    <xf numFmtId="0" fontId="1" fillId="9634" borderId="0" xfId="4" applyFill="1" applyAlignment="1">
      <alignment horizontal="center" vertical="center"/>
    </xf>
    <xf numFmtId="0" fontId="1" fillId="9635" borderId="0" xfId="4" applyFill="1" applyAlignment="1">
      <alignment horizontal="center" vertical="center"/>
    </xf>
    <xf numFmtId="0" fontId="1" fillId="9636" borderId="0" xfId="4" applyFill="1" applyAlignment="1">
      <alignment horizontal="center" vertical="center"/>
    </xf>
    <xf numFmtId="0" fontId="1" fillId="9637" borderId="0" xfId="4" applyFill="1" applyAlignment="1">
      <alignment horizontal="center" vertical="center"/>
    </xf>
    <xf numFmtId="0" fontId="1" fillId="9638" borderId="0" xfId="4" applyFill="1" applyAlignment="1">
      <alignment horizontal="center" vertical="center"/>
    </xf>
    <xf numFmtId="0" fontId="1" fillId="9639" borderId="0" xfId="4" applyFill="1" applyAlignment="1">
      <alignment horizontal="center" vertical="center"/>
    </xf>
    <xf numFmtId="0" fontId="1" fillId="9640" borderId="0" xfId="4" applyFill="1" applyAlignment="1">
      <alignment horizontal="center" vertical="center"/>
    </xf>
    <xf numFmtId="0" fontId="1" fillId="9641" borderId="0" xfId="4" applyFill="1" applyAlignment="1">
      <alignment horizontal="center" vertical="center"/>
    </xf>
    <xf numFmtId="0" fontId="1" fillId="9642" borderId="0" xfId="4" applyFill="1" applyAlignment="1">
      <alignment horizontal="center" vertical="center"/>
    </xf>
    <xf numFmtId="0" fontId="1" fillId="9643" borderId="0" xfId="4" applyFill="1" applyAlignment="1">
      <alignment horizontal="center" vertical="center"/>
    </xf>
    <xf numFmtId="0" fontId="1" fillId="9644" borderId="0" xfId="4" applyFill="1" applyAlignment="1">
      <alignment horizontal="center" vertical="center"/>
    </xf>
    <xf numFmtId="0" fontId="1" fillId="9645" borderId="0" xfId="4" applyFill="1" applyAlignment="1">
      <alignment horizontal="center" vertical="center"/>
    </xf>
    <xf numFmtId="0" fontId="1" fillId="9646" borderId="0" xfId="4" applyFill="1" applyAlignment="1">
      <alignment horizontal="center" vertical="center"/>
    </xf>
    <xf numFmtId="0" fontId="1" fillId="9647" borderId="0" xfId="4" applyFill="1" applyAlignment="1">
      <alignment horizontal="center" vertical="center"/>
    </xf>
    <xf numFmtId="0" fontId="1" fillId="9648" borderId="0" xfId="4" applyFill="1" applyAlignment="1">
      <alignment horizontal="center" vertical="center"/>
    </xf>
    <xf numFmtId="0" fontId="1" fillId="9649" borderId="0" xfId="4" applyFill="1" applyAlignment="1">
      <alignment horizontal="center" vertical="center"/>
    </xf>
    <xf numFmtId="0" fontId="1" fillId="9650" borderId="0" xfId="4" applyFill="1" applyAlignment="1">
      <alignment horizontal="center" vertical="center"/>
    </xf>
    <xf numFmtId="0" fontId="1" fillId="9651" borderId="0" xfId="4" applyFill="1" applyAlignment="1">
      <alignment horizontal="center" vertical="center"/>
    </xf>
    <xf numFmtId="0" fontId="1" fillId="9652" borderId="0" xfId="4" applyFill="1" applyAlignment="1">
      <alignment horizontal="center" vertical="center"/>
    </xf>
    <xf numFmtId="0" fontId="1" fillId="6480" borderId="0" xfId="4" applyFill="1" applyAlignment="1">
      <alignment horizontal="left" vertical="center"/>
    </xf>
    <xf numFmtId="0" fontId="1" fillId="9653" borderId="0" xfId="4" applyFill="1" applyAlignment="1">
      <alignment horizontal="center" vertical="center"/>
    </xf>
    <xf numFmtId="0" fontId="1" fillId="9654" borderId="0" xfId="4" applyFill="1" applyAlignment="1">
      <alignment horizontal="center" vertical="center"/>
    </xf>
    <xf numFmtId="0" fontId="1" fillId="9655" borderId="0" xfId="4" applyFill="1" applyAlignment="1">
      <alignment horizontal="center" vertical="center"/>
    </xf>
    <xf numFmtId="0" fontId="1" fillId="9656" borderId="0" xfId="4" applyFill="1" applyAlignment="1">
      <alignment horizontal="center" vertical="center"/>
    </xf>
    <xf numFmtId="0" fontId="1" fillId="9657" borderId="0" xfId="4" applyFill="1" applyAlignment="1">
      <alignment horizontal="center" vertical="center"/>
    </xf>
    <xf numFmtId="0" fontId="1" fillId="9658" borderId="0" xfId="4" applyFill="1" applyAlignment="1">
      <alignment horizontal="center" vertical="center"/>
    </xf>
    <xf numFmtId="0" fontId="1" fillId="9659" borderId="0" xfId="4" applyFill="1" applyAlignment="1">
      <alignment horizontal="center" vertical="center"/>
    </xf>
    <xf numFmtId="0" fontId="1" fillId="9660" borderId="0" xfId="4" applyFill="1" applyAlignment="1">
      <alignment horizontal="center" vertical="center"/>
    </xf>
    <xf numFmtId="0" fontId="1" fillId="9661" borderId="0" xfId="4" applyFill="1" applyAlignment="1">
      <alignment horizontal="center" vertical="center"/>
    </xf>
    <xf numFmtId="0" fontId="1" fillId="9662" borderId="0" xfId="4" applyFill="1" applyAlignment="1">
      <alignment horizontal="center" vertical="center"/>
    </xf>
    <xf numFmtId="0" fontId="1" fillId="9663" borderId="0" xfId="4" applyFill="1" applyAlignment="1">
      <alignment horizontal="center" vertical="center"/>
    </xf>
    <xf numFmtId="0" fontId="1" fillId="9664" borderId="0" xfId="4" applyFill="1" applyAlignment="1">
      <alignment horizontal="center" vertical="center"/>
    </xf>
    <xf numFmtId="0" fontId="1" fillId="9665" borderId="0" xfId="4" applyFill="1" applyAlignment="1">
      <alignment horizontal="center" vertical="center"/>
    </xf>
    <xf numFmtId="0" fontId="1" fillId="9666" borderId="0" xfId="4" applyFill="1" applyAlignment="1">
      <alignment horizontal="center" vertical="center"/>
    </xf>
    <xf numFmtId="0" fontId="1" fillId="9667" borderId="0" xfId="4" applyFill="1" applyAlignment="1">
      <alignment horizontal="center" vertical="center"/>
    </xf>
    <xf numFmtId="0" fontId="1" fillId="9668" borderId="0" xfId="4" applyFill="1" applyAlignment="1">
      <alignment horizontal="center" vertical="center"/>
    </xf>
    <xf numFmtId="0" fontId="1" fillId="9669" borderId="0" xfId="4" applyFill="1" applyAlignment="1">
      <alignment horizontal="center" vertical="center"/>
    </xf>
    <xf numFmtId="0" fontId="1" fillId="9670" borderId="0" xfId="4" applyFill="1" applyAlignment="1">
      <alignment horizontal="center" vertical="center"/>
    </xf>
    <xf numFmtId="0" fontId="1" fillId="9671" borderId="0" xfId="4" applyFill="1" applyAlignment="1">
      <alignment horizontal="center" vertical="center"/>
    </xf>
    <xf numFmtId="0" fontId="1" fillId="9672" borderId="0" xfId="4" applyFill="1" applyAlignment="1">
      <alignment horizontal="center" vertical="center"/>
    </xf>
    <xf numFmtId="0" fontId="1" fillId="9673" borderId="0" xfId="4" applyFill="1" applyAlignment="1">
      <alignment horizontal="center" vertical="center"/>
    </xf>
    <xf numFmtId="0" fontId="1" fillId="9674" borderId="0" xfId="4" applyFill="1" applyAlignment="1">
      <alignment horizontal="center" vertical="center"/>
    </xf>
    <xf numFmtId="0" fontId="1" fillId="9675" borderId="0" xfId="4" applyFill="1" applyAlignment="1">
      <alignment horizontal="center" vertical="center"/>
    </xf>
    <xf numFmtId="0" fontId="1" fillId="9676" borderId="0" xfId="4" applyFill="1" applyAlignment="1">
      <alignment horizontal="center" vertical="center"/>
    </xf>
    <xf numFmtId="0" fontId="1" fillId="9677" borderId="0" xfId="4" applyFill="1" applyAlignment="1">
      <alignment horizontal="center" vertical="center"/>
    </xf>
    <xf numFmtId="0" fontId="1" fillId="9678" borderId="0" xfId="4" applyFill="1" applyAlignment="1">
      <alignment horizontal="center" vertical="center"/>
    </xf>
    <xf numFmtId="0" fontId="1" fillId="9679" borderId="0" xfId="4" applyFill="1" applyAlignment="1">
      <alignment horizontal="center" vertical="center"/>
    </xf>
    <xf numFmtId="0" fontId="1" fillId="9680" borderId="0" xfId="4" applyFill="1" applyAlignment="1">
      <alignment horizontal="center" vertical="center"/>
    </xf>
    <xf numFmtId="0" fontId="1" fillId="9681" borderId="0" xfId="4" applyFill="1" applyAlignment="1">
      <alignment horizontal="center" vertical="center"/>
    </xf>
    <xf numFmtId="0" fontId="1" fillId="9682" borderId="0" xfId="4" applyFill="1" applyAlignment="1">
      <alignment horizontal="center" vertical="center"/>
    </xf>
    <xf numFmtId="0" fontId="1" fillId="9683" borderId="0" xfId="4" applyFill="1" applyAlignment="1">
      <alignment horizontal="center" vertical="center"/>
    </xf>
    <xf numFmtId="0" fontId="1" fillId="9684" borderId="0" xfId="4" applyFill="1" applyAlignment="1">
      <alignment horizontal="center" vertical="center"/>
    </xf>
    <xf numFmtId="0" fontId="1" fillId="9685" borderId="0" xfId="4" applyFill="1" applyAlignment="1">
      <alignment horizontal="center" vertical="center"/>
    </xf>
    <xf numFmtId="0" fontId="1" fillId="9686" borderId="0" xfId="4" applyFill="1" applyAlignment="1">
      <alignment horizontal="center" vertical="center"/>
    </xf>
    <xf numFmtId="0" fontId="1" fillId="9687" borderId="0" xfId="4" applyFill="1" applyAlignment="1">
      <alignment horizontal="left" vertical="center"/>
    </xf>
    <xf numFmtId="0" fontId="1" fillId="9688" borderId="0" xfId="4" applyFill="1" applyAlignment="1">
      <alignment horizontal="center" vertical="center"/>
    </xf>
    <xf numFmtId="0" fontId="1" fillId="9689" borderId="0" xfId="4" applyFill="1" applyAlignment="1">
      <alignment horizontal="center" vertical="center"/>
    </xf>
    <xf numFmtId="0" fontId="1" fillId="9690" borderId="0" xfId="4" applyFill="1" applyAlignment="1">
      <alignment horizontal="center" vertical="center"/>
    </xf>
    <xf numFmtId="0" fontId="1" fillId="9691" borderId="0" xfId="4" applyFill="1" applyAlignment="1">
      <alignment horizontal="center" vertical="center"/>
    </xf>
    <xf numFmtId="0" fontId="1" fillId="9692" borderId="0" xfId="4" applyFill="1" applyAlignment="1">
      <alignment horizontal="center" vertical="center"/>
    </xf>
    <xf numFmtId="0" fontId="1" fillId="9693" borderId="0" xfId="4" applyFill="1" applyAlignment="1">
      <alignment horizontal="center" vertical="center"/>
    </xf>
    <xf numFmtId="0" fontId="1" fillId="9694" borderId="0" xfId="4" applyFill="1" applyAlignment="1">
      <alignment horizontal="center" vertical="center"/>
    </xf>
    <xf numFmtId="0" fontId="1" fillId="9695" borderId="0" xfId="4" applyFill="1" applyAlignment="1">
      <alignment horizontal="center" vertical="center"/>
    </xf>
    <xf numFmtId="0" fontId="1" fillId="9696" borderId="0" xfId="4" applyFill="1" applyAlignment="1">
      <alignment horizontal="center" vertical="center"/>
    </xf>
    <xf numFmtId="0" fontId="1" fillId="9697" borderId="0" xfId="4" applyFill="1" applyAlignment="1">
      <alignment horizontal="center" vertical="center"/>
    </xf>
    <xf numFmtId="0" fontId="1" fillId="9698" borderId="0" xfId="4" applyFill="1" applyAlignment="1">
      <alignment horizontal="center" vertical="center"/>
    </xf>
    <xf numFmtId="0" fontId="1" fillId="9699" borderId="0" xfId="4" applyFill="1" applyAlignment="1">
      <alignment horizontal="center" vertical="center"/>
    </xf>
    <xf numFmtId="0" fontId="1" fillId="9700" borderId="0" xfId="4" applyFill="1" applyAlignment="1">
      <alignment horizontal="center" vertical="center"/>
    </xf>
    <xf numFmtId="0" fontId="1" fillId="9701" borderId="0" xfId="4" applyFill="1" applyAlignment="1">
      <alignment horizontal="center" vertical="center"/>
    </xf>
    <xf numFmtId="0" fontId="1" fillId="9702" borderId="0" xfId="4" applyFill="1" applyAlignment="1">
      <alignment horizontal="center" vertical="center"/>
    </xf>
    <xf numFmtId="0" fontId="1" fillId="9703" borderId="0" xfId="4" applyFill="1" applyAlignment="1">
      <alignment horizontal="center" vertical="center"/>
    </xf>
    <xf numFmtId="0" fontId="1" fillId="9704" borderId="0" xfId="4" applyFill="1" applyAlignment="1">
      <alignment horizontal="center" vertical="center"/>
    </xf>
    <xf numFmtId="0" fontId="1" fillId="9705" borderId="0" xfId="4" applyFill="1" applyAlignment="1">
      <alignment horizontal="center" vertical="center"/>
    </xf>
    <xf numFmtId="0" fontId="1" fillId="9706" borderId="0" xfId="4" applyFill="1" applyAlignment="1">
      <alignment horizontal="center" vertical="center"/>
    </xf>
    <xf numFmtId="0" fontId="1" fillId="9707" borderId="0" xfId="4" applyFill="1" applyAlignment="1">
      <alignment horizontal="center" vertical="center"/>
    </xf>
    <xf numFmtId="0" fontId="1" fillId="9708" borderId="0" xfId="4" applyFill="1" applyAlignment="1">
      <alignment horizontal="center" vertical="center"/>
    </xf>
    <xf numFmtId="0" fontId="1" fillId="9709" borderId="0" xfId="4" applyFill="1" applyAlignment="1">
      <alignment horizontal="center" vertical="center"/>
    </xf>
    <xf numFmtId="0" fontId="1" fillId="9710" borderId="0" xfId="4" applyFill="1" applyAlignment="1">
      <alignment horizontal="center" vertical="center"/>
    </xf>
    <xf numFmtId="0" fontId="1" fillId="9711" borderId="0" xfId="4" applyFill="1" applyAlignment="1">
      <alignment horizontal="center" vertical="center"/>
    </xf>
    <xf numFmtId="0" fontId="1" fillId="9712" borderId="0" xfId="4" applyFill="1" applyAlignment="1">
      <alignment horizontal="center" vertical="center"/>
    </xf>
    <xf numFmtId="0" fontId="1" fillId="9713" borderId="0" xfId="4" applyFill="1" applyAlignment="1">
      <alignment horizontal="center" vertical="center"/>
    </xf>
    <xf numFmtId="0" fontId="1" fillId="9714" borderId="0" xfId="4" applyFill="1" applyAlignment="1">
      <alignment horizontal="center" vertical="center"/>
    </xf>
    <xf numFmtId="0" fontId="1" fillId="9715" borderId="0" xfId="4" applyFill="1" applyAlignment="1">
      <alignment horizontal="center" vertical="center"/>
    </xf>
    <xf numFmtId="0" fontId="1" fillId="9716" borderId="0" xfId="4" applyFill="1" applyAlignment="1">
      <alignment horizontal="center" vertical="center"/>
    </xf>
    <xf numFmtId="0" fontId="1" fillId="9717" borderId="0" xfId="4" applyFill="1" applyAlignment="1">
      <alignment horizontal="center" vertical="center"/>
    </xf>
    <xf numFmtId="0" fontId="1" fillId="9718" borderId="0" xfId="4" applyFill="1" applyAlignment="1">
      <alignment horizontal="center" vertical="center"/>
    </xf>
    <xf numFmtId="0" fontId="1" fillId="9719" borderId="0" xfId="4" applyFill="1" applyAlignment="1">
      <alignment horizontal="center" vertical="center"/>
    </xf>
    <xf numFmtId="0" fontId="1" fillId="9720" borderId="0" xfId="4" applyFill="1" applyAlignment="1">
      <alignment horizontal="center" vertical="center"/>
    </xf>
    <xf numFmtId="0" fontId="1" fillId="9721" borderId="0" xfId="4" applyFill="1" applyAlignment="1">
      <alignment horizontal="center" vertical="center"/>
    </xf>
    <xf numFmtId="0" fontId="1" fillId="9722" borderId="0" xfId="4" applyFill="1" applyAlignment="1">
      <alignment horizontal="center" vertical="center"/>
    </xf>
    <xf numFmtId="0" fontId="1" fillId="9723" borderId="0" xfId="4" applyFill="1" applyAlignment="1">
      <alignment horizontal="center" vertical="center"/>
    </xf>
    <xf numFmtId="0" fontId="1" fillId="9724" borderId="0" xfId="4" applyFill="1" applyAlignment="1">
      <alignment horizontal="center" vertical="center"/>
    </xf>
    <xf numFmtId="0" fontId="1" fillId="9725" borderId="0" xfId="4" applyFill="1" applyAlignment="1">
      <alignment horizontal="center" vertical="center"/>
    </xf>
    <xf numFmtId="0" fontId="1" fillId="9726" borderId="0" xfId="4" applyFill="1" applyAlignment="1">
      <alignment horizontal="center" vertical="center"/>
    </xf>
    <xf numFmtId="0" fontId="1" fillId="9727" borderId="0" xfId="4" applyFill="1" applyAlignment="1">
      <alignment horizontal="center" vertical="center"/>
    </xf>
    <xf numFmtId="0" fontId="1" fillId="9728" borderId="0" xfId="4" applyFill="1" applyAlignment="1">
      <alignment horizontal="center" vertical="center"/>
    </xf>
    <xf numFmtId="0" fontId="1" fillId="9729" borderId="0" xfId="4" applyFill="1" applyAlignment="1">
      <alignment horizontal="center" vertical="center"/>
    </xf>
    <xf numFmtId="0" fontId="1" fillId="9730" borderId="0" xfId="4" applyFill="1" applyAlignment="1">
      <alignment horizontal="center" vertical="center"/>
    </xf>
    <xf numFmtId="0" fontId="1" fillId="9731" borderId="0" xfId="4" applyFill="1" applyAlignment="1">
      <alignment horizontal="center" vertical="center"/>
    </xf>
    <xf numFmtId="0" fontId="1" fillId="9732" borderId="0" xfId="4" applyFill="1" applyAlignment="1">
      <alignment horizontal="center" vertical="center"/>
    </xf>
    <xf numFmtId="0" fontId="1" fillId="9733" borderId="0" xfId="4" applyFill="1" applyAlignment="1">
      <alignment horizontal="center" vertical="center"/>
    </xf>
    <xf numFmtId="0" fontId="1" fillId="9734" borderId="0" xfId="4" applyFill="1" applyAlignment="1">
      <alignment horizontal="center" vertical="center"/>
    </xf>
    <xf numFmtId="0" fontId="1" fillId="9735" borderId="0" xfId="4" applyFill="1" applyAlignment="1">
      <alignment horizontal="center" vertical="center"/>
    </xf>
    <xf numFmtId="0" fontId="1" fillId="9736" borderId="0" xfId="4" applyFill="1" applyAlignment="1">
      <alignment horizontal="center" vertical="center"/>
    </xf>
    <xf numFmtId="0" fontId="1" fillId="9737" borderId="0" xfId="4" applyFill="1" applyAlignment="1">
      <alignment horizontal="center" vertical="center"/>
    </xf>
    <xf numFmtId="0" fontId="1" fillId="9738" borderId="0" xfId="4" applyFill="1" applyAlignment="1">
      <alignment horizontal="center" vertical="center"/>
    </xf>
    <xf numFmtId="0" fontId="1" fillId="9739" borderId="0" xfId="4" applyFill="1" applyAlignment="1">
      <alignment horizontal="center" vertical="center"/>
    </xf>
    <xf numFmtId="0" fontId="1" fillId="9740" borderId="0" xfId="4" applyFill="1" applyAlignment="1">
      <alignment horizontal="center" vertical="center"/>
    </xf>
    <xf numFmtId="0" fontId="1" fillId="9741" borderId="0" xfId="4" applyFill="1" applyAlignment="1">
      <alignment horizontal="left" vertical="center"/>
    </xf>
    <xf numFmtId="0" fontId="1" fillId="9742" borderId="0" xfId="4" applyFill="1" applyAlignment="1">
      <alignment horizontal="center" vertical="center"/>
    </xf>
    <xf numFmtId="0" fontId="1" fillId="9743" borderId="0" xfId="4" applyFill="1" applyAlignment="1">
      <alignment horizontal="center" vertical="center"/>
    </xf>
    <xf numFmtId="0" fontId="1" fillId="9744" borderId="0" xfId="4" applyFill="1" applyAlignment="1">
      <alignment horizontal="center" vertical="center"/>
    </xf>
    <xf numFmtId="0" fontId="1" fillId="9745" borderId="0" xfId="4" applyFill="1" applyAlignment="1">
      <alignment horizontal="center" vertical="center"/>
    </xf>
    <xf numFmtId="0" fontId="1" fillId="9746" borderId="0" xfId="4" applyFill="1" applyAlignment="1">
      <alignment horizontal="center" vertical="center"/>
    </xf>
    <xf numFmtId="0" fontId="1" fillId="9747" borderId="0" xfId="4" applyFill="1" applyAlignment="1">
      <alignment horizontal="center" vertical="center"/>
    </xf>
    <xf numFmtId="0" fontId="1" fillId="9748" borderId="0" xfId="4" applyFill="1" applyAlignment="1">
      <alignment horizontal="center" vertical="center"/>
    </xf>
    <xf numFmtId="0" fontId="1" fillId="9749" borderId="0" xfId="4" applyFill="1" applyAlignment="1">
      <alignment horizontal="center" vertical="center"/>
    </xf>
    <xf numFmtId="0" fontId="1" fillId="9750" borderId="0" xfId="4" applyFill="1" applyAlignment="1">
      <alignment horizontal="center" vertical="center"/>
    </xf>
    <xf numFmtId="0" fontId="1" fillId="9751" borderId="0" xfId="4" applyFill="1" applyAlignment="1">
      <alignment horizontal="center" vertical="center"/>
    </xf>
    <xf numFmtId="0" fontId="1" fillId="9752" borderId="0" xfId="4" applyFill="1" applyAlignment="1">
      <alignment horizontal="center" vertical="center"/>
    </xf>
    <xf numFmtId="0" fontId="1" fillId="9753" borderId="0" xfId="4" applyFill="1" applyAlignment="1">
      <alignment horizontal="center" vertical="center"/>
    </xf>
    <xf numFmtId="0" fontId="1" fillId="9754" borderId="0" xfId="4" applyFill="1" applyAlignment="1">
      <alignment horizontal="center" vertical="center"/>
    </xf>
    <xf numFmtId="0" fontId="1" fillId="9755" borderId="0" xfId="4" applyFill="1" applyAlignment="1">
      <alignment horizontal="center" vertical="center"/>
    </xf>
    <xf numFmtId="0" fontId="1" fillId="9756" borderId="0" xfId="4" applyFill="1" applyAlignment="1">
      <alignment horizontal="center" vertical="center"/>
    </xf>
    <xf numFmtId="0" fontId="1" fillId="9757" borderId="0" xfId="4" applyFill="1" applyAlignment="1">
      <alignment horizontal="center" vertical="center"/>
    </xf>
    <xf numFmtId="0" fontId="1" fillId="9758" borderId="0" xfId="4" applyFill="1" applyAlignment="1">
      <alignment horizontal="center" vertical="center"/>
    </xf>
    <xf numFmtId="0" fontId="1" fillId="9759" borderId="0" xfId="4" applyFill="1" applyAlignment="1">
      <alignment horizontal="center" vertical="center"/>
    </xf>
    <xf numFmtId="0" fontId="1" fillId="9760" borderId="0" xfId="4" applyFill="1" applyAlignment="1">
      <alignment horizontal="center" vertical="center"/>
    </xf>
    <xf numFmtId="0" fontId="1" fillId="9761" borderId="0" xfId="4" applyFill="1" applyAlignment="1">
      <alignment horizontal="center" vertical="center"/>
    </xf>
    <xf numFmtId="0" fontId="1" fillId="9762" borderId="0" xfId="4" applyFill="1" applyAlignment="1">
      <alignment horizontal="center" vertical="center"/>
    </xf>
    <xf numFmtId="0" fontId="1" fillId="9763" borderId="0" xfId="4" applyFill="1" applyAlignment="1">
      <alignment horizontal="center" vertical="center"/>
    </xf>
    <xf numFmtId="0" fontId="1" fillId="9764" borderId="0" xfId="4" applyFill="1" applyAlignment="1">
      <alignment horizontal="center" vertical="center"/>
    </xf>
    <xf numFmtId="0" fontId="1" fillId="9765" borderId="0" xfId="4" applyFill="1" applyAlignment="1">
      <alignment horizontal="center" vertical="center"/>
    </xf>
    <xf numFmtId="0" fontId="1" fillId="9766" borderId="0" xfId="4" applyFill="1" applyAlignment="1">
      <alignment horizontal="center" vertical="center"/>
    </xf>
    <xf numFmtId="0" fontId="1" fillId="9767" borderId="0" xfId="4" applyFill="1" applyAlignment="1">
      <alignment horizontal="center" vertical="center"/>
    </xf>
    <xf numFmtId="0" fontId="1" fillId="9768" borderId="0" xfId="4" applyFill="1" applyAlignment="1">
      <alignment horizontal="center" vertical="center"/>
    </xf>
    <xf numFmtId="0" fontId="1" fillId="9769" borderId="0" xfId="4" applyFill="1" applyAlignment="1">
      <alignment horizontal="center" vertical="center"/>
    </xf>
    <xf numFmtId="0" fontId="1" fillId="9770" borderId="0" xfId="4" applyFill="1" applyAlignment="1">
      <alignment horizontal="left" vertical="center"/>
    </xf>
    <xf numFmtId="0" fontId="1" fillId="9771" borderId="0" xfId="4" applyFill="1" applyAlignment="1">
      <alignment horizontal="center" vertical="center"/>
    </xf>
    <xf numFmtId="0" fontId="1" fillId="9772" borderId="0" xfId="4" applyFill="1" applyAlignment="1">
      <alignment horizontal="center" vertical="center"/>
    </xf>
    <xf numFmtId="0" fontId="1" fillId="9773" borderId="0" xfId="4" applyFill="1" applyAlignment="1">
      <alignment horizontal="center" vertical="center"/>
    </xf>
    <xf numFmtId="0" fontId="1" fillId="9774" borderId="0" xfId="4" applyFill="1" applyAlignment="1">
      <alignment horizontal="center" vertical="center"/>
    </xf>
    <xf numFmtId="0" fontId="1" fillId="9775" borderId="0" xfId="4" applyFill="1" applyAlignment="1">
      <alignment horizontal="center" vertical="center"/>
    </xf>
    <xf numFmtId="0" fontId="1" fillId="9776" borderId="0" xfId="4" applyFill="1" applyAlignment="1">
      <alignment horizontal="center" vertical="center"/>
    </xf>
    <xf numFmtId="0" fontId="1" fillId="9777" borderId="0" xfId="4" applyFill="1" applyAlignment="1">
      <alignment horizontal="center" vertical="center"/>
    </xf>
    <xf numFmtId="0" fontId="1" fillId="9778" borderId="0" xfId="4" applyFill="1" applyAlignment="1">
      <alignment horizontal="center" vertical="center"/>
    </xf>
    <xf numFmtId="0" fontId="1" fillId="9779" borderId="0" xfId="4" applyFill="1" applyAlignment="1">
      <alignment horizontal="center" vertical="center"/>
    </xf>
    <xf numFmtId="0" fontId="1" fillId="9780" borderId="0" xfId="4" applyFill="1" applyAlignment="1">
      <alignment horizontal="center" vertical="center"/>
    </xf>
    <xf numFmtId="0" fontId="1" fillId="9781" borderId="0" xfId="4" applyFill="1" applyAlignment="1">
      <alignment horizontal="center" vertical="center"/>
    </xf>
    <xf numFmtId="0" fontId="1" fillId="9782" borderId="0" xfId="4" applyFill="1" applyAlignment="1">
      <alignment horizontal="center" vertical="center"/>
    </xf>
    <xf numFmtId="0" fontId="1" fillId="9783" borderId="0" xfId="4" applyFill="1" applyAlignment="1">
      <alignment horizontal="center" vertical="center"/>
    </xf>
    <xf numFmtId="0" fontId="1" fillId="9784" borderId="0" xfId="4" applyFill="1" applyAlignment="1">
      <alignment horizontal="center" vertical="center"/>
    </xf>
    <xf numFmtId="0" fontId="1" fillId="9785" borderId="0" xfId="4" applyFill="1" applyAlignment="1">
      <alignment horizontal="center" vertical="center"/>
    </xf>
    <xf numFmtId="0" fontId="1" fillId="9786" borderId="0" xfId="4" applyFill="1" applyAlignment="1">
      <alignment horizontal="center" vertical="center"/>
    </xf>
    <xf numFmtId="0" fontId="1" fillId="9787" borderId="0" xfId="4" applyFill="1" applyAlignment="1">
      <alignment horizontal="center" vertical="center"/>
    </xf>
    <xf numFmtId="0" fontId="1" fillId="9788" borderId="0" xfId="4" applyFill="1" applyAlignment="1">
      <alignment horizontal="center" vertical="center"/>
    </xf>
    <xf numFmtId="0" fontId="1" fillId="9789" borderId="0" xfId="4" applyFill="1" applyAlignment="1">
      <alignment horizontal="center" vertical="center"/>
    </xf>
    <xf numFmtId="0" fontId="1" fillId="9790" borderId="0" xfId="4" applyFill="1" applyAlignment="1">
      <alignment horizontal="center" vertical="center"/>
    </xf>
    <xf numFmtId="0" fontId="1" fillId="9791" borderId="0" xfId="4" applyFill="1" applyAlignment="1">
      <alignment horizontal="center" vertical="center"/>
    </xf>
    <xf numFmtId="0" fontId="1" fillId="9792" borderId="0" xfId="4" applyFill="1" applyAlignment="1">
      <alignment horizontal="center" vertical="center"/>
    </xf>
    <xf numFmtId="0" fontId="1" fillId="9793" borderId="0" xfId="4" applyFill="1" applyAlignment="1">
      <alignment horizontal="center" vertical="center"/>
    </xf>
    <xf numFmtId="0" fontId="1" fillId="9794" borderId="0" xfId="4" applyFill="1" applyAlignment="1">
      <alignment horizontal="center" vertical="center"/>
    </xf>
    <xf numFmtId="0" fontId="1" fillId="9795" borderId="0" xfId="4" applyFill="1" applyAlignment="1">
      <alignment horizontal="center" vertical="center"/>
    </xf>
    <xf numFmtId="0" fontId="1" fillId="9796" borderId="0" xfId="4" applyFill="1" applyAlignment="1">
      <alignment horizontal="center" vertical="center"/>
    </xf>
    <xf numFmtId="0" fontId="1" fillId="9797" borderId="0" xfId="4" applyFill="1" applyAlignment="1">
      <alignment horizontal="center" vertical="center"/>
    </xf>
    <xf numFmtId="0" fontId="1" fillId="9798" borderId="0" xfId="4" applyFill="1" applyAlignment="1">
      <alignment horizontal="center" vertical="center"/>
    </xf>
    <xf numFmtId="0" fontId="1" fillId="9799" borderId="0" xfId="4" applyFill="1" applyAlignment="1">
      <alignment horizontal="center" vertical="center"/>
    </xf>
    <xf numFmtId="0" fontId="1" fillId="9800" borderId="0" xfId="4" applyFill="1" applyAlignment="1">
      <alignment horizontal="center" vertical="center"/>
    </xf>
    <xf numFmtId="0" fontId="1" fillId="9801" borderId="0" xfId="4" applyFill="1" applyAlignment="1">
      <alignment horizontal="center" vertical="center"/>
    </xf>
    <xf numFmtId="0" fontId="1" fillId="9802" borderId="0" xfId="4" applyFill="1" applyAlignment="1">
      <alignment horizontal="center" vertical="center"/>
    </xf>
    <xf numFmtId="0" fontId="1" fillId="9803" borderId="0" xfId="4" applyFill="1" applyAlignment="1">
      <alignment horizontal="center" vertical="center"/>
    </xf>
    <xf numFmtId="0" fontId="1" fillId="9804" borderId="0" xfId="4" applyFill="1" applyAlignment="1">
      <alignment horizontal="center" vertical="center"/>
    </xf>
    <xf numFmtId="0" fontId="1" fillId="9805" borderId="0" xfId="4" applyFill="1" applyAlignment="1">
      <alignment horizontal="center" vertical="center"/>
    </xf>
    <xf numFmtId="0" fontId="1" fillId="9806" borderId="0" xfId="4" applyFill="1" applyAlignment="1">
      <alignment horizontal="center" vertical="center"/>
    </xf>
    <xf numFmtId="0" fontId="1" fillId="9807" borderId="0" xfId="4" applyFill="1" applyAlignment="1">
      <alignment horizontal="center" vertical="center"/>
    </xf>
    <xf numFmtId="0" fontId="1" fillId="9808" borderId="0" xfId="4" applyFill="1" applyAlignment="1">
      <alignment horizontal="center" vertical="center"/>
    </xf>
    <xf numFmtId="0" fontId="1" fillId="9809" borderId="0" xfId="4" applyFill="1" applyAlignment="1">
      <alignment horizontal="center" vertical="center"/>
    </xf>
    <xf numFmtId="0" fontId="1" fillId="9810" borderId="0" xfId="4" applyFill="1" applyAlignment="1">
      <alignment horizontal="center" vertical="center"/>
    </xf>
    <xf numFmtId="0" fontId="1" fillId="9811" borderId="0" xfId="4" applyFill="1" applyAlignment="1">
      <alignment horizontal="center" vertical="center"/>
    </xf>
    <xf numFmtId="0" fontId="1" fillId="9812" borderId="0" xfId="4" applyFill="1" applyAlignment="1">
      <alignment horizontal="center" vertical="center"/>
    </xf>
    <xf numFmtId="0" fontId="1" fillId="9813" borderId="0" xfId="4" applyFill="1" applyAlignment="1">
      <alignment horizontal="center" vertical="center"/>
    </xf>
    <xf numFmtId="0" fontId="1" fillId="9814" borderId="0" xfId="4" applyFill="1" applyAlignment="1">
      <alignment horizontal="center" vertical="center"/>
    </xf>
    <xf numFmtId="0" fontId="1" fillId="9815" borderId="0" xfId="4" applyFill="1" applyAlignment="1">
      <alignment horizontal="center" vertical="center"/>
    </xf>
    <xf numFmtId="0" fontId="1" fillId="9816" borderId="0" xfId="4" applyFill="1" applyAlignment="1">
      <alignment horizontal="center" vertical="center"/>
    </xf>
    <xf numFmtId="0" fontId="1" fillId="9817" borderId="0" xfId="4" applyFill="1" applyAlignment="1">
      <alignment horizontal="center" vertical="center"/>
    </xf>
    <xf numFmtId="0" fontId="1" fillId="9818" borderId="0" xfId="4" applyFill="1" applyAlignment="1">
      <alignment horizontal="center" vertical="center"/>
    </xf>
    <xf numFmtId="0" fontId="1" fillId="9819" borderId="0" xfId="4" applyFill="1" applyAlignment="1">
      <alignment horizontal="center" vertical="center"/>
    </xf>
    <xf numFmtId="0" fontId="1" fillId="9820" borderId="0" xfId="4" applyFill="1" applyAlignment="1">
      <alignment horizontal="center" vertical="center"/>
    </xf>
    <xf numFmtId="0" fontId="1" fillId="9821" borderId="0" xfId="4" applyFill="1" applyAlignment="1">
      <alignment horizontal="center" vertical="center"/>
    </xf>
    <xf numFmtId="0" fontId="1" fillId="9822" borderId="0" xfId="4" applyFill="1" applyAlignment="1">
      <alignment horizontal="center" vertical="center"/>
    </xf>
    <xf numFmtId="0" fontId="1" fillId="9823" borderId="0" xfId="4" applyFill="1" applyAlignment="1">
      <alignment horizontal="center" vertical="center"/>
    </xf>
    <xf numFmtId="0" fontId="1" fillId="9824" borderId="0" xfId="4" applyFill="1" applyAlignment="1">
      <alignment horizontal="center" vertical="center"/>
    </xf>
    <xf numFmtId="0" fontId="1" fillId="9825" borderId="0" xfId="4" applyFill="1" applyAlignment="1">
      <alignment horizontal="center" vertical="center"/>
    </xf>
    <xf numFmtId="0" fontId="1" fillId="9826" borderId="0" xfId="4" applyFill="1" applyAlignment="1">
      <alignment horizontal="center" vertical="center"/>
    </xf>
    <xf numFmtId="0" fontId="1" fillId="9827" borderId="0" xfId="4" applyFill="1" applyAlignment="1">
      <alignment horizontal="left" vertical="center"/>
    </xf>
    <xf numFmtId="0" fontId="1" fillId="9828" borderId="0" xfId="4" applyFill="1" applyAlignment="1">
      <alignment horizontal="center" vertical="center"/>
    </xf>
    <xf numFmtId="0" fontId="1" fillId="9829" borderId="0" xfId="4" applyFill="1" applyAlignment="1">
      <alignment horizontal="center" vertical="center"/>
    </xf>
    <xf numFmtId="0" fontId="1" fillId="9830" borderId="0" xfId="4" applyFill="1" applyAlignment="1">
      <alignment horizontal="center" vertical="center"/>
    </xf>
    <xf numFmtId="0" fontId="1" fillId="9831" borderId="0" xfId="4" applyFill="1" applyAlignment="1">
      <alignment horizontal="center" vertical="center"/>
    </xf>
    <xf numFmtId="0" fontId="1" fillId="9832" borderId="0" xfId="4" applyFill="1" applyAlignment="1">
      <alignment horizontal="center" vertical="center"/>
    </xf>
    <xf numFmtId="0" fontId="1" fillId="9833" borderId="0" xfId="4" applyFill="1" applyAlignment="1">
      <alignment horizontal="center" vertical="center"/>
    </xf>
    <xf numFmtId="0" fontId="1" fillId="9834" borderId="0" xfId="4" applyFill="1" applyAlignment="1">
      <alignment horizontal="center" vertical="center"/>
    </xf>
    <xf numFmtId="0" fontId="1" fillId="9835" borderId="0" xfId="4" applyFill="1" applyAlignment="1">
      <alignment horizontal="center" vertical="center"/>
    </xf>
    <xf numFmtId="0" fontId="1" fillId="9836" borderId="0" xfId="4" applyFill="1" applyAlignment="1">
      <alignment horizontal="center" vertical="center"/>
    </xf>
    <xf numFmtId="0" fontId="1" fillId="9837" borderId="0" xfId="4" applyFill="1" applyAlignment="1">
      <alignment horizontal="center" vertical="center"/>
    </xf>
    <xf numFmtId="0" fontId="1" fillId="9838" borderId="0" xfId="4" applyFill="1" applyAlignment="1">
      <alignment horizontal="center" vertical="center"/>
    </xf>
    <xf numFmtId="0" fontId="1" fillId="9839" borderId="0" xfId="4" applyFill="1" applyAlignment="1">
      <alignment horizontal="center" vertical="center"/>
    </xf>
    <xf numFmtId="0" fontId="1" fillId="9840" borderId="0" xfId="4" applyFill="1" applyAlignment="1">
      <alignment horizontal="center" vertical="center"/>
    </xf>
    <xf numFmtId="0" fontId="1" fillId="9841" borderId="0" xfId="4" applyFill="1" applyAlignment="1">
      <alignment horizontal="center" vertical="center"/>
    </xf>
    <xf numFmtId="0" fontId="1" fillId="9842" borderId="0" xfId="4" applyFill="1" applyAlignment="1">
      <alignment horizontal="center" vertical="center"/>
    </xf>
    <xf numFmtId="0" fontId="1" fillId="9843" borderId="0" xfId="4" applyFill="1" applyAlignment="1">
      <alignment horizontal="center" vertical="center"/>
    </xf>
    <xf numFmtId="0" fontId="1" fillId="9844" borderId="0" xfId="4" applyFill="1" applyAlignment="1">
      <alignment horizontal="center" vertical="center"/>
    </xf>
    <xf numFmtId="0" fontId="1" fillId="9845" borderId="0" xfId="4" applyFill="1" applyAlignment="1">
      <alignment horizontal="center" vertical="center"/>
    </xf>
    <xf numFmtId="0" fontId="1" fillId="9846" borderId="0" xfId="4" applyFill="1" applyAlignment="1">
      <alignment horizontal="center" vertical="center"/>
    </xf>
    <xf numFmtId="0" fontId="1" fillId="9847" borderId="22" xfId="4" applyFill="1" applyBorder="1" applyAlignment="1">
      <alignment horizontal="center" vertical="center"/>
    </xf>
    <xf numFmtId="0" fontId="1" fillId="9848" borderId="23" xfId="4" applyFill="1" applyBorder="1" applyAlignment="1">
      <alignment horizontal="center" vertical="center"/>
    </xf>
    <xf numFmtId="0" fontId="1" fillId="9849" borderId="23" xfId="4" applyFill="1" applyBorder="1" applyAlignment="1">
      <alignment horizontal="center" vertical="center"/>
    </xf>
    <xf numFmtId="0" fontId="1" fillId="9758" borderId="23" xfId="4" applyFill="1" applyBorder="1" applyAlignment="1">
      <alignment horizontal="center" vertical="center"/>
    </xf>
    <xf numFmtId="0" fontId="1" fillId="9850" borderId="23" xfId="4" applyFill="1" applyBorder="1" applyAlignment="1">
      <alignment horizontal="center" vertical="center"/>
    </xf>
    <xf numFmtId="0" fontId="1" fillId="9851" borderId="23" xfId="4" applyFill="1" applyBorder="1" applyAlignment="1">
      <alignment horizontal="center" vertical="center"/>
    </xf>
    <xf numFmtId="0" fontId="1" fillId="9852" borderId="23" xfId="4" applyFill="1" applyBorder="1" applyAlignment="1">
      <alignment horizontal="center" vertical="center"/>
    </xf>
    <xf numFmtId="0" fontId="1" fillId="9853" borderId="23" xfId="4" applyFill="1" applyBorder="1" applyAlignment="1">
      <alignment horizontal="center" vertical="center"/>
    </xf>
    <xf numFmtId="0" fontId="1" fillId="9854" borderId="24" xfId="4" applyFill="1" applyBorder="1" applyAlignment="1">
      <alignment horizontal="center" vertical="center"/>
    </xf>
    <xf numFmtId="0" fontId="1" fillId="9855" borderId="0" xfId="4" applyFill="1" applyAlignment="1">
      <alignment horizontal="center" vertical="center"/>
    </xf>
    <xf numFmtId="0" fontId="1" fillId="9856" borderId="0" xfId="4" applyFill="1" applyAlignment="1">
      <alignment horizontal="center" vertical="center"/>
    </xf>
    <xf numFmtId="0" fontId="1" fillId="9857" borderId="0" xfId="4" applyFill="1" applyAlignment="1">
      <alignment horizontal="center" vertical="center"/>
    </xf>
    <xf numFmtId="0" fontId="1" fillId="9858" borderId="0" xfId="4" applyFill="1" applyAlignment="1">
      <alignment horizontal="center" vertical="center"/>
    </xf>
    <xf numFmtId="0" fontId="1" fillId="9859" borderId="0" xfId="4" applyFill="1" applyAlignment="1">
      <alignment horizontal="center" vertical="center"/>
    </xf>
    <xf numFmtId="0" fontId="1" fillId="9860" borderId="0" xfId="4" applyFill="1" applyAlignment="1">
      <alignment horizontal="left" vertical="center"/>
    </xf>
    <xf numFmtId="0" fontId="1" fillId="9861" borderId="0" xfId="4" applyFill="1" applyAlignment="1">
      <alignment horizontal="center" vertical="center"/>
    </xf>
    <xf numFmtId="0" fontId="1" fillId="9862" borderId="0" xfId="4" applyFill="1" applyAlignment="1">
      <alignment horizontal="center" vertical="center"/>
    </xf>
    <xf numFmtId="0" fontId="1" fillId="9863" borderId="0" xfId="4" applyFill="1" applyAlignment="1">
      <alignment horizontal="center" vertical="center"/>
    </xf>
    <xf numFmtId="0" fontId="1" fillId="9864" borderId="0" xfId="4" applyFill="1" applyAlignment="1">
      <alignment horizontal="center" vertical="center"/>
    </xf>
    <xf numFmtId="0" fontId="1" fillId="9865" borderId="0" xfId="4" applyFill="1" applyAlignment="1">
      <alignment horizontal="center" vertical="center"/>
    </xf>
    <xf numFmtId="0" fontId="1" fillId="9866" borderId="0" xfId="4" applyFill="1" applyAlignment="1">
      <alignment horizontal="center" vertical="center"/>
    </xf>
    <xf numFmtId="0" fontId="1" fillId="9867" borderId="0" xfId="4" applyFill="1" applyAlignment="1">
      <alignment horizontal="center" vertical="center"/>
    </xf>
    <xf numFmtId="0" fontId="1" fillId="9868" borderId="0" xfId="4" applyFill="1" applyAlignment="1">
      <alignment horizontal="center" vertical="center"/>
    </xf>
    <xf numFmtId="0" fontId="1" fillId="9869" borderId="0" xfId="4" applyFill="1" applyAlignment="1">
      <alignment horizontal="center" vertical="center"/>
    </xf>
    <xf numFmtId="0" fontId="1" fillId="9870" borderId="0" xfId="4" applyFill="1" applyAlignment="1">
      <alignment horizontal="center" vertical="center"/>
    </xf>
    <xf numFmtId="0" fontId="1" fillId="9871" borderId="0" xfId="4" applyFill="1" applyAlignment="1">
      <alignment horizontal="center" vertical="center"/>
    </xf>
    <xf numFmtId="0" fontId="1" fillId="9872" borderId="0" xfId="4" applyFill="1" applyAlignment="1">
      <alignment horizontal="center" vertical="center"/>
    </xf>
    <xf numFmtId="0" fontId="1" fillId="9873" borderId="0" xfId="4" applyFill="1" applyAlignment="1">
      <alignment horizontal="center" vertical="center"/>
    </xf>
    <xf numFmtId="0" fontId="1" fillId="9874" borderId="0" xfId="4" applyFill="1" applyAlignment="1">
      <alignment horizontal="center" vertical="center"/>
    </xf>
    <xf numFmtId="0" fontId="1" fillId="9875" borderId="0" xfId="4" applyFill="1" applyAlignment="1">
      <alignment horizontal="center" vertical="center"/>
    </xf>
    <xf numFmtId="0" fontId="1" fillId="9876" borderId="0" xfId="4" applyFill="1" applyAlignment="1">
      <alignment horizontal="center" vertical="center"/>
    </xf>
    <xf numFmtId="0" fontId="1" fillId="9877" borderId="0" xfId="4" applyFill="1" applyAlignment="1">
      <alignment horizontal="center" vertical="center"/>
    </xf>
    <xf numFmtId="0" fontId="1" fillId="9878" borderId="0" xfId="4" applyFill="1" applyAlignment="1">
      <alignment horizontal="center" vertical="center"/>
    </xf>
    <xf numFmtId="0" fontId="1" fillId="9879" borderId="0" xfId="4" applyFill="1" applyAlignment="1">
      <alignment horizontal="center" vertical="center"/>
    </xf>
    <xf numFmtId="0" fontId="1" fillId="9880" borderId="0" xfId="4" applyFill="1" applyAlignment="1">
      <alignment horizontal="center" vertical="center"/>
    </xf>
    <xf numFmtId="0" fontId="1" fillId="9881" borderId="0" xfId="4" applyFill="1" applyAlignment="1">
      <alignment horizontal="center" vertical="center"/>
    </xf>
    <xf numFmtId="0" fontId="1" fillId="9882" borderId="0" xfId="4" applyFill="1" applyAlignment="1">
      <alignment horizontal="center" vertical="center"/>
    </xf>
    <xf numFmtId="0" fontId="1" fillId="9883" borderId="0" xfId="4" applyFill="1" applyAlignment="1">
      <alignment horizontal="center" vertical="center"/>
    </xf>
    <xf numFmtId="0" fontId="1" fillId="9884" borderId="0" xfId="4" applyFill="1" applyAlignment="1">
      <alignment horizontal="center" vertical="center"/>
    </xf>
    <xf numFmtId="0" fontId="1" fillId="9885" borderId="0" xfId="4" applyFill="1" applyAlignment="1">
      <alignment horizontal="center" vertical="center"/>
    </xf>
    <xf numFmtId="0" fontId="1" fillId="9886" borderId="0" xfId="4" applyFill="1" applyAlignment="1">
      <alignment horizontal="center" vertical="center"/>
    </xf>
    <xf numFmtId="0" fontId="1" fillId="9887" borderId="0" xfId="4" applyFill="1" applyAlignment="1">
      <alignment horizontal="center" vertical="center"/>
    </xf>
    <xf numFmtId="0" fontId="1" fillId="9888" borderId="0" xfId="4" applyFill="1" applyAlignment="1">
      <alignment horizontal="center" vertical="center"/>
    </xf>
    <xf numFmtId="0" fontId="1" fillId="9889" borderId="0" xfId="4" applyFill="1" applyAlignment="1">
      <alignment horizontal="center" vertical="center"/>
    </xf>
    <xf numFmtId="0" fontId="1" fillId="9890" borderId="0" xfId="4" applyFill="1" applyAlignment="1">
      <alignment horizontal="center" vertical="center"/>
    </xf>
    <xf numFmtId="0" fontId="1" fillId="9891" borderId="0" xfId="4" applyFill="1" applyAlignment="1">
      <alignment horizontal="center" vertical="center"/>
    </xf>
    <xf numFmtId="0" fontId="1" fillId="9892" borderId="0" xfId="4" applyFill="1" applyAlignment="1">
      <alignment horizontal="center" vertical="center"/>
    </xf>
    <xf numFmtId="0" fontId="1" fillId="9893" borderId="0" xfId="4" applyFill="1" applyAlignment="1">
      <alignment horizontal="center" vertical="center"/>
    </xf>
    <xf numFmtId="0" fontId="1" fillId="9894" borderId="0" xfId="4" applyFill="1" applyAlignment="1">
      <alignment horizontal="center" vertical="center"/>
    </xf>
    <xf numFmtId="0" fontId="1" fillId="9895" borderId="0" xfId="4" applyFill="1" applyAlignment="1">
      <alignment horizontal="center" vertical="center"/>
    </xf>
    <xf numFmtId="0" fontId="1" fillId="9896" borderId="0" xfId="4" applyFill="1" applyAlignment="1">
      <alignment horizontal="center" vertical="center"/>
    </xf>
    <xf numFmtId="0" fontId="1" fillId="9897" borderId="0" xfId="4" applyFill="1" applyAlignment="1">
      <alignment horizontal="center" vertical="center"/>
    </xf>
    <xf numFmtId="0" fontId="1" fillId="9898" borderId="0" xfId="4" applyFill="1" applyAlignment="1">
      <alignment horizontal="center" vertical="center"/>
    </xf>
    <xf numFmtId="0" fontId="1" fillId="9899" borderId="0" xfId="4" applyFill="1" applyAlignment="1">
      <alignment horizontal="center" vertical="center"/>
    </xf>
    <xf numFmtId="0" fontId="1" fillId="9900" borderId="0" xfId="4" applyFill="1" applyAlignment="1">
      <alignment horizontal="center" vertical="center"/>
    </xf>
    <xf numFmtId="0" fontId="1" fillId="9901" borderId="0" xfId="4" applyFill="1" applyAlignment="1">
      <alignment horizontal="center" vertical="center"/>
    </xf>
    <xf numFmtId="0" fontId="1" fillId="9902" borderId="0" xfId="4" applyFill="1" applyAlignment="1">
      <alignment horizontal="center" vertical="center"/>
    </xf>
    <xf numFmtId="0" fontId="1" fillId="9903" borderId="0" xfId="4" applyFill="1" applyAlignment="1">
      <alignment horizontal="center" vertical="center"/>
    </xf>
    <xf numFmtId="0" fontId="1" fillId="9904" borderId="0" xfId="4" applyFill="1" applyAlignment="1">
      <alignment horizontal="center" vertical="center"/>
    </xf>
    <xf numFmtId="0" fontId="1" fillId="9905" borderId="0" xfId="4" applyFill="1" applyAlignment="1">
      <alignment horizontal="center" vertical="center"/>
    </xf>
    <xf numFmtId="0" fontId="1" fillId="9906" borderId="0" xfId="4" applyFill="1" applyAlignment="1">
      <alignment horizontal="center" vertical="center"/>
    </xf>
    <xf numFmtId="0" fontId="1" fillId="9907" borderId="0" xfId="4" applyFill="1" applyAlignment="1">
      <alignment horizontal="center" vertical="center"/>
    </xf>
    <xf numFmtId="0" fontId="1" fillId="9908" borderId="0" xfId="4" applyFill="1" applyAlignment="1">
      <alignment horizontal="center" vertical="center"/>
    </xf>
    <xf numFmtId="0" fontId="1" fillId="9909" borderId="0" xfId="4" applyFill="1" applyAlignment="1">
      <alignment horizontal="center" vertical="center"/>
    </xf>
    <xf numFmtId="0" fontId="1" fillId="9910" borderId="0" xfId="4" applyFill="1" applyAlignment="1">
      <alignment horizontal="center" vertical="center"/>
    </xf>
    <xf numFmtId="0" fontId="1" fillId="9911" borderId="0" xfId="4" applyFill="1" applyAlignment="1">
      <alignment horizontal="center" vertical="center"/>
    </xf>
    <xf numFmtId="0" fontId="1" fillId="9912" borderId="0" xfId="4" applyFill="1" applyAlignment="1">
      <alignment horizontal="center" vertical="center"/>
    </xf>
    <xf numFmtId="0" fontId="1" fillId="9913" borderId="0" xfId="4" applyFill="1" applyAlignment="1">
      <alignment horizontal="center" vertical="center"/>
    </xf>
    <xf numFmtId="0" fontId="1" fillId="9914" borderId="0" xfId="4" applyFill="1" applyAlignment="1">
      <alignment horizontal="left" vertical="center"/>
    </xf>
    <xf numFmtId="0" fontId="1" fillId="9915" borderId="0" xfId="4" applyFill="1" applyAlignment="1">
      <alignment horizontal="center" vertical="center"/>
    </xf>
    <xf numFmtId="0" fontId="1" fillId="9916" borderId="0" xfId="4" applyFill="1" applyAlignment="1">
      <alignment horizontal="center" vertical="center"/>
    </xf>
    <xf numFmtId="0" fontId="1" fillId="9917" borderId="0" xfId="4" applyFill="1" applyAlignment="1">
      <alignment horizontal="center" vertical="center"/>
    </xf>
    <xf numFmtId="0" fontId="1" fillId="9918" borderId="0" xfId="4" applyFill="1" applyAlignment="1">
      <alignment horizontal="center" vertical="center"/>
    </xf>
    <xf numFmtId="0" fontId="1" fillId="9919" borderId="0" xfId="4" applyFill="1" applyAlignment="1">
      <alignment horizontal="center" vertical="center"/>
    </xf>
    <xf numFmtId="0" fontId="1" fillId="9920" borderId="0" xfId="4" applyFill="1" applyAlignment="1">
      <alignment horizontal="center" vertical="center"/>
    </xf>
    <xf numFmtId="0" fontId="1" fillId="9921" borderId="0" xfId="4" applyFill="1" applyAlignment="1">
      <alignment horizontal="center" vertical="center"/>
    </xf>
    <xf numFmtId="0" fontId="1" fillId="9922" borderId="0" xfId="4" applyFill="1" applyAlignment="1">
      <alignment horizontal="center" vertical="center"/>
    </xf>
    <xf numFmtId="0" fontId="1" fillId="9923" borderId="0" xfId="4" applyFill="1" applyAlignment="1">
      <alignment horizontal="center" vertical="center"/>
    </xf>
    <xf numFmtId="0" fontId="1" fillId="9924" borderId="0" xfId="4" applyFill="1" applyAlignment="1">
      <alignment horizontal="center" vertical="center"/>
    </xf>
    <xf numFmtId="0" fontId="1" fillId="9925" borderId="0" xfId="4" applyFill="1" applyAlignment="1">
      <alignment horizontal="center" vertical="center"/>
    </xf>
    <xf numFmtId="0" fontId="1" fillId="9926" borderId="0" xfId="4" applyFill="1" applyAlignment="1">
      <alignment horizontal="center" vertical="center"/>
    </xf>
    <xf numFmtId="0" fontId="1" fillId="9927" borderId="0" xfId="4" applyFill="1" applyAlignment="1">
      <alignment horizontal="center" vertical="center"/>
    </xf>
    <xf numFmtId="0" fontId="1" fillId="9928" borderId="0" xfId="4" applyFill="1" applyAlignment="1">
      <alignment horizontal="center" vertical="center"/>
    </xf>
    <xf numFmtId="0" fontId="1" fillId="9929" borderId="0" xfId="4" applyFill="1" applyAlignment="1">
      <alignment horizontal="center" vertical="center"/>
    </xf>
    <xf numFmtId="0" fontId="1" fillId="9930" borderId="0" xfId="4" applyFill="1" applyAlignment="1">
      <alignment horizontal="center" vertical="center"/>
    </xf>
    <xf numFmtId="0" fontId="1" fillId="9931" borderId="0" xfId="4" applyFill="1" applyAlignment="1">
      <alignment horizontal="center" vertical="center"/>
    </xf>
    <xf numFmtId="0" fontId="1" fillId="9932" borderId="0" xfId="4" applyFill="1" applyAlignment="1">
      <alignment horizontal="center" vertical="center"/>
    </xf>
    <xf numFmtId="0" fontId="1" fillId="9933" borderId="0" xfId="4" applyFill="1" applyAlignment="1">
      <alignment horizontal="center" vertical="center"/>
    </xf>
    <xf numFmtId="0" fontId="1" fillId="9934" borderId="0" xfId="4" applyFill="1" applyAlignment="1">
      <alignment horizontal="center" vertical="center"/>
    </xf>
    <xf numFmtId="0" fontId="1" fillId="9935" borderId="0" xfId="4" applyFill="1" applyAlignment="1">
      <alignment horizontal="center" vertical="center"/>
    </xf>
    <xf numFmtId="0" fontId="1" fillId="9936" borderId="0" xfId="4" applyFill="1" applyAlignment="1">
      <alignment horizontal="center" vertical="center"/>
    </xf>
    <xf numFmtId="0" fontId="1" fillId="9937" borderId="0" xfId="4" applyFill="1" applyAlignment="1">
      <alignment horizontal="center" vertical="center"/>
    </xf>
    <xf numFmtId="0" fontId="1" fillId="9938" borderId="0" xfId="4" applyFill="1" applyAlignment="1">
      <alignment horizontal="center" vertical="center"/>
    </xf>
    <xf numFmtId="0" fontId="1" fillId="9939" borderId="0" xfId="4" applyFill="1" applyAlignment="1">
      <alignment horizontal="center" vertical="center"/>
    </xf>
    <xf numFmtId="0" fontId="1" fillId="9940" borderId="0" xfId="4" applyFill="1" applyAlignment="1">
      <alignment horizontal="left" vertical="center"/>
    </xf>
    <xf numFmtId="0" fontId="1" fillId="9941" borderId="0" xfId="4" applyFill="1" applyAlignment="1">
      <alignment horizontal="center" vertical="center"/>
    </xf>
    <xf numFmtId="0" fontId="1" fillId="9942" borderId="0" xfId="4" applyFill="1" applyAlignment="1">
      <alignment horizontal="center" vertical="center"/>
    </xf>
    <xf numFmtId="0" fontId="1" fillId="9943" borderId="0" xfId="4" applyFill="1" applyAlignment="1">
      <alignment horizontal="center" vertical="center"/>
    </xf>
    <xf numFmtId="0" fontId="1" fillId="9944" borderId="0" xfId="4" applyFill="1" applyAlignment="1">
      <alignment horizontal="center" vertical="center"/>
    </xf>
    <xf numFmtId="0" fontId="1" fillId="9945" borderId="0" xfId="4" applyFill="1" applyAlignment="1">
      <alignment horizontal="center" vertical="center"/>
    </xf>
    <xf numFmtId="0" fontId="1" fillId="9946" borderId="0" xfId="4" applyFill="1" applyAlignment="1">
      <alignment horizontal="center" vertical="center"/>
    </xf>
    <xf numFmtId="0" fontId="1" fillId="9947" borderId="0" xfId="4" applyFill="1" applyAlignment="1">
      <alignment horizontal="center" vertical="center"/>
    </xf>
    <xf numFmtId="0" fontId="1" fillId="9948" borderId="0" xfId="4" applyFill="1" applyAlignment="1">
      <alignment horizontal="center" vertical="center"/>
    </xf>
    <xf numFmtId="0" fontId="1" fillId="9949" borderId="0" xfId="4" applyFill="1" applyAlignment="1">
      <alignment horizontal="center" vertical="center"/>
    </xf>
    <xf numFmtId="0" fontId="1" fillId="9950" borderId="0" xfId="4" applyFill="1" applyAlignment="1">
      <alignment horizontal="center" vertical="center"/>
    </xf>
    <xf numFmtId="0" fontId="1" fillId="9951" borderId="0" xfId="4" applyFill="1" applyAlignment="1">
      <alignment horizontal="center" vertical="center"/>
    </xf>
    <xf numFmtId="0" fontId="1" fillId="9952" borderId="0" xfId="4" applyFill="1" applyAlignment="1">
      <alignment horizontal="center" vertical="center"/>
    </xf>
    <xf numFmtId="0" fontId="1" fillId="9953" borderId="0" xfId="4" applyFill="1" applyAlignment="1">
      <alignment horizontal="center" vertical="center"/>
    </xf>
    <xf numFmtId="0" fontId="1" fillId="9954" borderId="0" xfId="4" applyFill="1" applyAlignment="1">
      <alignment horizontal="center" vertical="center"/>
    </xf>
    <xf numFmtId="0" fontId="1" fillId="9955" borderId="0" xfId="4" applyFill="1" applyAlignment="1">
      <alignment horizontal="center" vertical="center"/>
    </xf>
    <xf numFmtId="0" fontId="1" fillId="9956" borderId="0" xfId="4" applyFill="1" applyAlignment="1">
      <alignment horizontal="center" vertical="center"/>
    </xf>
    <xf numFmtId="0" fontId="1" fillId="9957" borderId="0" xfId="4" applyFill="1" applyAlignment="1">
      <alignment horizontal="center" vertical="center"/>
    </xf>
    <xf numFmtId="0" fontId="1" fillId="9958" borderId="0" xfId="4" applyFill="1" applyAlignment="1">
      <alignment horizontal="center" vertical="center"/>
    </xf>
    <xf numFmtId="0" fontId="1" fillId="9959" borderId="0" xfId="4" applyFill="1" applyAlignment="1">
      <alignment horizontal="center" vertical="center"/>
    </xf>
    <xf numFmtId="0" fontId="1" fillId="9960" borderId="0" xfId="4" applyFill="1" applyAlignment="1">
      <alignment horizontal="center" vertical="center"/>
    </xf>
    <xf numFmtId="0" fontId="1" fillId="9961" borderId="0" xfId="4" applyFill="1" applyAlignment="1">
      <alignment horizontal="center" vertical="center"/>
    </xf>
    <xf numFmtId="0" fontId="1" fillId="9962" borderId="0" xfId="4" applyFill="1" applyAlignment="1">
      <alignment horizontal="center" vertical="center"/>
    </xf>
    <xf numFmtId="0" fontId="1" fillId="9963" borderId="0" xfId="4" applyFill="1" applyAlignment="1">
      <alignment horizontal="center" vertical="center"/>
    </xf>
    <xf numFmtId="0" fontId="1" fillId="9964" borderId="0" xfId="4" applyFill="1" applyAlignment="1">
      <alignment horizontal="center" vertical="center"/>
    </xf>
    <xf numFmtId="0" fontId="1" fillId="9965" borderId="0" xfId="4" applyFill="1" applyAlignment="1">
      <alignment horizontal="center" vertical="center"/>
    </xf>
    <xf numFmtId="0" fontId="1" fillId="9966" borderId="0" xfId="4" applyFill="1" applyAlignment="1">
      <alignment horizontal="center" vertical="center"/>
    </xf>
    <xf numFmtId="0" fontId="1" fillId="9967" borderId="0" xfId="4" applyFill="1" applyAlignment="1">
      <alignment horizontal="center" vertical="center"/>
    </xf>
    <xf numFmtId="0" fontId="1" fillId="9968" borderId="0" xfId="4" applyFill="1" applyAlignment="1">
      <alignment horizontal="center" vertical="center"/>
    </xf>
    <xf numFmtId="0" fontId="1" fillId="9969" borderId="0" xfId="4" applyFill="1" applyAlignment="1">
      <alignment horizontal="center" vertical="center"/>
    </xf>
    <xf numFmtId="0" fontId="1" fillId="9970" borderId="0" xfId="4" applyFill="1" applyAlignment="1">
      <alignment horizontal="center" vertical="center"/>
    </xf>
    <xf numFmtId="0" fontId="1" fillId="9971" borderId="0" xfId="4" applyFill="1" applyAlignment="1">
      <alignment horizontal="center" vertical="center"/>
    </xf>
    <xf numFmtId="0" fontId="1" fillId="9972" borderId="0" xfId="4" applyFill="1" applyAlignment="1">
      <alignment horizontal="center" vertical="center"/>
    </xf>
    <xf numFmtId="0" fontId="1" fillId="9973" borderId="0" xfId="4" applyFill="1" applyAlignment="1">
      <alignment horizontal="center" vertical="center"/>
    </xf>
    <xf numFmtId="0" fontId="1" fillId="9974" borderId="0" xfId="4" applyFill="1" applyAlignment="1">
      <alignment horizontal="center" vertical="center"/>
    </xf>
    <xf numFmtId="0" fontId="1" fillId="9975" borderId="0" xfId="4" applyFill="1" applyAlignment="1">
      <alignment horizontal="center" vertical="center"/>
    </xf>
    <xf numFmtId="0" fontId="1" fillId="9976" borderId="0" xfId="4" applyFill="1" applyAlignment="1">
      <alignment horizontal="center" vertical="center"/>
    </xf>
    <xf numFmtId="0" fontId="1" fillId="9977" borderId="0" xfId="4" applyFill="1" applyAlignment="1">
      <alignment horizontal="center" vertical="center"/>
    </xf>
    <xf numFmtId="0" fontId="1" fillId="9978" borderId="0" xfId="4" applyFill="1" applyAlignment="1">
      <alignment horizontal="center" vertical="center"/>
    </xf>
    <xf numFmtId="0" fontId="1" fillId="9979" borderId="0" xfId="4" applyFill="1" applyAlignment="1">
      <alignment horizontal="center" vertical="center"/>
    </xf>
    <xf numFmtId="0" fontId="1" fillId="9980" borderId="0" xfId="4" applyFill="1" applyAlignment="1">
      <alignment horizontal="center" vertical="center"/>
    </xf>
    <xf numFmtId="0" fontId="1" fillId="9981" borderId="0" xfId="4" applyFill="1" applyAlignment="1">
      <alignment horizontal="center" vertical="center"/>
    </xf>
    <xf numFmtId="0" fontId="1" fillId="9982" borderId="0" xfId="4" applyFill="1" applyAlignment="1">
      <alignment horizontal="center" vertical="center"/>
    </xf>
    <xf numFmtId="0" fontId="1" fillId="9983" borderId="0" xfId="4" applyFill="1" applyAlignment="1">
      <alignment horizontal="center" vertical="center"/>
    </xf>
    <xf numFmtId="0" fontId="1" fillId="9984" borderId="0" xfId="4" applyFill="1" applyAlignment="1">
      <alignment horizontal="center" vertical="center"/>
    </xf>
    <xf numFmtId="0" fontId="1" fillId="9985" borderId="0" xfId="4" applyFill="1" applyAlignment="1">
      <alignment horizontal="center" vertical="center"/>
    </xf>
    <xf numFmtId="0" fontId="1" fillId="9986" borderId="0" xfId="4" applyFill="1" applyAlignment="1">
      <alignment horizontal="center" vertical="center"/>
    </xf>
    <xf numFmtId="0" fontId="1" fillId="9987" borderId="0" xfId="4" applyFill="1" applyAlignment="1">
      <alignment horizontal="center" vertical="center"/>
    </xf>
    <xf numFmtId="0" fontId="1" fillId="9988" borderId="0" xfId="4" applyFill="1" applyAlignment="1">
      <alignment horizontal="center" vertical="center"/>
    </xf>
    <xf numFmtId="0" fontId="1" fillId="9989" borderId="0" xfId="4" applyFill="1" applyAlignment="1">
      <alignment horizontal="center" vertical="center"/>
    </xf>
    <xf numFmtId="0" fontId="1" fillId="9990" borderId="0" xfId="4" applyFill="1" applyAlignment="1">
      <alignment horizontal="center" vertical="center"/>
    </xf>
    <xf numFmtId="0" fontId="1" fillId="9991" borderId="0" xfId="4" applyFill="1" applyAlignment="1">
      <alignment horizontal="center" vertical="center"/>
    </xf>
    <xf numFmtId="0" fontId="1" fillId="9992" borderId="0" xfId="4" applyFill="1" applyAlignment="1">
      <alignment horizontal="center" vertical="center"/>
    </xf>
    <xf numFmtId="0" fontId="1" fillId="9993" borderId="0" xfId="4" applyFill="1" applyAlignment="1">
      <alignment horizontal="center" vertical="center"/>
    </xf>
    <xf numFmtId="0" fontId="1" fillId="9994" borderId="0" xfId="4" applyFill="1" applyAlignment="1">
      <alignment horizontal="center" vertical="center"/>
    </xf>
    <xf numFmtId="0" fontId="1" fillId="9995" borderId="0" xfId="4" applyFill="1" applyAlignment="1">
      <alignment horizontal="left" vertical="center"/>
    </xf>
    <xf numFmtId="0" fontId="1" fillId="9996" borderId="0" xfId="4" applyFill="1" applyAlignment="1">
      <alignment horizontal="center" vertical="center"/>
    </xf>
    <xf numFmtId="0" fontId="1" fillId="9997" borderId="0" xfId="4" applyFill="1" applyAlignment="1">
      <alignment horizontal="center" vertical="center"/>
    </xf>
    <xf numFmtId="0" fontId="1" fillId="9998" borderId="0" xfId="4" applyFill="1" applyAlignment="1">
      <alignment horizontal="center" vertical="center"/>
    </xf>
    <xf numFmtId="0" fontId="1" fillId="9999" borderId="0" xfId="4" applyFill="1" applyAlignment="1">
      <alignment horizontal="center" vertical="center"/>
    </xf>
    <xf numFmtId="0" fontId="1" fillId="10000" borderId="0" xfId="4" applyFill="1" applyAlignment="1">
      <alignment horizontal="center" vertical="center"/>
    </xf>
    <xf numFmtId="0" fontId="1" fillId="10001" borderId="0" xfId="4" applyFill="1" applyAlignment="1">
      <alignment horizontal="center" vertical="center"/>
    </xf>
    <xf numFmtId="0" fontId="1" fillId="10002" borderId="0" xfId="4" applyFill="1" applyAlignment="1">
      <alignment horizontal="center" vertical="center"/>
    </xf>
    <xf numFmtId="0" fontId="1" fillId="10003" borderId="0" xfId="4" applyFill="1" applyAlignment="1">
      <alignment horizontal="center" vertical="center"/>
    </xf>
    <xf numFmtId="0" fontId="1" fillId="10004" borderId="0" xfId="4" applyFill="1" applyAlignment="1">
      <alignment horizontal="center" vertical="center"/>
    </xf>
    <xf numFmtId="0" fontId="1" fillId="10005" borderId="0" xfId="4" applyFill="1" applyAlignment="1">
      <alignment horizontal="center" vertical="center"/>
    </xf>
    <xf numFmtId="0" fontId="1" fillId="10006" borderId="0" xfId="4" applyFill="1" applyAlignment="1">
      <alignment horizontal="center" vertical="center"/>
    </xf>
    <xf numFmtId="0" fontId="1" fillId="10007" borderId="0" xfId="4" applyFill="1" applyAlignment="1">
      <alignment horizontal="center" vertical="center"/>
    </xf>
    <xf numFmtId="0" fontId="1" fillId="10008" borderId="0" xfId="4" applyFill="1" applyAlignment="1">
      <alignment horizontal="center" vertical="center"/>
    </xf>
    <xf numFmtId="0" fontId="1" fillId="10009" borderId="0" xfId="4" applyFill="1" applyAlignment="1">
      <alignment horizontal="center" vertical="center"/>
    </xf>
    <xf numFmtId="0" fontId="1" fillId="10010" borderId="0" xfId="4" applyFill="1" applyAlignment="1">
      <alignment horizontal="center" vertical="center"/>
    </xf>
    <xf numFmtId="0" fontId="1" fillId="10011" borderId="0" xfId="4" applyFill="1" applyAlignment="1">
      <alignment horizontal="center" vertical="center"/>
    </xf>
    <xf numFmtId="0" fontId="1" fillId="10012" borderId="0" xfId="4" applyFill="1" applyAlignment="1">
      <alignment horizontal="center" vertical="center"/>
    </xf>
    <xf numFmtId="0" fontId="1" fillId="10013" borderId="0" xfId="4" applyFill="1" applyAlignment="1">
      <alignment horizontal="center" vertical="center"/>
    </xf>
    <xf numFmtId="0" fontId="1" fillId="10014" borderId="0" xfId="4" applyFill="1" applyAlignment="1">
      <alignment horizontal="center" vertical="center"/>
    </xf>
    <xf numFmtId="0" fontId="1" fillId="10015" borderId="0" xfId="4" applyFill="1" applyAlignment="1">
      <alignment horizontal="center" vertical="center"/>
    </xf>
    <xf numFmtId="0" fontId="1" fillId="10016" borderId="0" xfId="4" applyFill="1" applyAlignment="1">
      <alignment horizontal="center" vertical="center"/>
    </xf>
    <xf numFmtId="0" fontId="1" fillId="10017" borderId="0" xfId="4" applyFill="1" applyAlignment="1">
      <alignment horizontal="center" vertical="center"/>
    </xf>
    <xf numFmtId="0" fontId="1" fillId="10018" borderId="0" xfId="4" applyFill="1" applyAlignment="1">
      <alignment horizontal="left" vertical="center"/>
    </xf>
    <xf numFmtId="0" fontId="1" fillId="10019" borderId="0" xfId="4" applyFill="1" applyAlignment="1">
      <alignment horizontal="center" vertical="center"/>
    </xf>
    <xf numFmtId="0" fontId="1" fillId="10020" borderId="0" xfId="4" applyFill="1" applyAlignment="1">
      <alignment horizontal="center" vertical="center"/>
    </xf>
    <xf numFmtId="0" fontId="1" fillId="10021" borderId="0" xfId="4" applyFill="1" applyAlignment="1">
      <alignment horizontal="center" vertical="center"/>
    </xf>
    <xf numFmtId="0" fontId="1" fillId="10022" borderId="0" xfId="4" applyFill="1" applyAlignment="1">
      <alignment horizontal="center" vertical="center"/>
    </xf>
    <xf numFmtId="0" fontId="1" fillId="10023" borderId="0" xfId="4" applyFill="1" applyAlignment="1">
      <alignment horizontal="center" vertical="center"/>
    </xf>
    <xf numFmtId="0" fontId="1" fillId="10024" borderId="0" xfId="4" applyFill="1" applyAlignment="1">
      <alignment horizontal="center" vertical="center"/>
    </xf>
    <xf numFmtId="0" fontId="1" fillId="10025" borderId="0" xfId="4" applyFill="1" applyAlignment="1">
      <alignment horizontal="center" vertical="center"/>
    </xf>
    <xf numFmtId="0" fontId="1" fillId="10026" borderId="0" xfId="4" applyFill="1" applyAlignment="1">
      <alignment horizontal="center" vertical="center"/>
    </xf>
    <xf numFmtId="0" fontId="1" fillId="10027" borderId="0" xfId="4" applyFill="1" applyAlignment="1">
      <alignment horizontal="center" vertical="center"/>
    </xf>
    <xf numFmtId="0" fontId="1" fillId="10028" borderId="0" xfId="4" applyFill="1" applyAlignment="1">
      <alignment horizontal="center" vertical="center"/>
    </xf>
    <xf numFmtId="0" fontId="1" fillId="10029" borderId="0" xfId="4" applyFill="1" applyAlignment="1">
      <alignment horizontal="center" vertical="center"/>
    </xf>
    <xf numFmtId="0" fontId="1" fillId="10030" borderId="0" xfId="4" applyFill="1" applyAlignment="1">
      <alignment horizontal="center" vertical="center"/>
    </xf>
    <xf numFmtId="0" fontId="1" fillId="10031" borderId="0" xfId="4" applyFill="1" applyAlignment="1">
      <alignment horizontal="center" vertical="center"/>
    </xf>
    <xf numFmtId="0" fontId="1" fillId="10032" borderId="0" xfId="4" applyFill="1" applyAlignment="1">
      <alignment horizontal="center" vertical="center"/>
    </xf>
    <xf numFmtId="0" fontId="1" fillId="10033" borderId="0" xfId="4" applyFill="1" applyAlignment="1">
      <alignment horizontal="center" vertical="center"/>
    </xf>
    <xf numFmtId="0" fontId="1" fillId="10034" borderId="0" xfId="4" applyFill="1" applyAlignment="1">
      <alignment horizontal="center" vertical="center"/>
    </xf>
    <xf numFmtId="0" fontId="1" fillId="10035" borderId="0" xfId="4" applyFill="1" applyAlignment="1">
      <alignment horizontal="center" vertical="center"/>
    </xf>
    <xf numFmtId="0" fontId="1" fillId="10036" borderId="0" xfId="4" applyFill="1" applyAlignment="1">
      <alignment horizontal="center" vertical="center"/>
    </xf>
    <xf numFmtId="0" fontId="1" fillId="10037" borderId="0" xfId="4" applyFill="1" applyAlignment="1">
      <alignment horizontal="center" vertical="center"/>
    </xf>
    <xf numFmtId="0" fontId="1" fillId="10038" borderId="0" xfId="4" applyFill="1" applyAlignment="1">
      <alignment horizontal="center" vertical="center"/>
    </xf>
    <xf numFmtId="0" fontId="1" fillId="10039" borderId="0" xfId="4" applyFill="1" applyAlignment="1">
      <alignment horizontal="center" vertical="center"/>
    </xf>
    <xf numFmtId="0" fontId="1" fillId="10040" borderId="0" xfId="4" applyFill="1" applyAlignment="1">
      <alignment horizontal="center" vertical="center"/>
    </xf>
    <xf numFmtId="0" fontId="1" fillId="10041" borderId="0" xfId="4" applyFill="1" applyAlignment="1">
      <alignment horizontal="center" vertical="center"/>
    </xf>
    <xf numFmtId="0" fontId="1" fillId="10042" borderId="0" xfId="4" applyFill="1" applyAlignment="1">
      <alignment horizontal="center" vertical="center"/>
    </xf>
    <xf numFmtId="0" fontId="1" fillId="10043" borderId="0" xfId="4" applyFill="1" applyAlignment="1">
      <alignment horizontal="center" vertical="center"/>
    </xf>
    <xf numFmtId="0" fontId="1" fillId="10044" borderId="0" xfId="4" applyFill="1" applyAlignment="1">
      <alignment horizontal="center" vertical="center"/>
    </xf>
    <xf numFmtId="0" fontId="1" fillId="10045" borderId="0" xfId="4" applyFill="1" applyAlignment="1">
      <alignment horizontal="center" vertical="center"/>
    </xf>
    <xf numFmtId="0" fontId="1" fillId="10046" borderId="0" xfId="4" applyFill="1" applyAlignment="1">
      <alignment horizontal="center" vertical="center"/>
    </xf>
    <xf numFmtId="0" fontId="1" fillId="10047" borderId="0" xfId="4" applyFill="1" applyAlignment="1">
      <alignment horizontal="center" vertical="center"/>
    </xf>
    <xf numFmtId="0" fontId="1" fillId="10048" borderId="0" xfId="4" applyFill="1" applyAlignment="1">
      <alignment horizontal="center" vertical="center"/>
    </xf>
    <xf numFmtId="0" fontId="1" fillId="10049" borderId="0" xfId="4" applyFill="1" applyAlignment="1">
      <alignment horizontal="center" vertical="center"/>
    </xf>
    <xf numFmtId="0" fontId="1" fillId="10050" borderId="0" xfId="4" applyFill="1" applyAlignment="1">
      <alignment horizontal="center" vertical="center"/>
    </xf>
    <xf numFmtId="0" fontId="1" fillId="10051" borderId="0" xfId="4" applyFill="1" applyAlignment="1">
      <alignment horizontal="center" vertical="center"/>
    </xf>
    <xf numFmtId="0" fontId="1" fillId="10052" borderId="0" xfId="4" applyFill="1" applyAlignment="1">
      <alignment horizontal="center" vertical="center"/>
    </xf>
    <xf numFmtId="0" fontId="1" fillId="10053" borderId="0" xfId="4" applyFill="1" applyAlignment="1">
      <alignment horizontal="center" vertical="center"/>
    </xf>
    <xf numFmtId="0" fontId="1" fillId="10054" borderId="0" xfId="4" applyFill="1" applyAlignment="1">
      <alignment horizontal="center" vertical="center"/>
    </xf>
    <xf numFmtId="0" fontId="1" fillId="10055" borderId="0" xfId="4" applyFill="1" applyAlignment="1">
      <alignment horizontal="center" vertical="center"/>
    </xf>
    <xf numFmtId="0" fontId="1" fillId="10056" borderId="0" xfId="4" applyFill="1" applyAlignment="1">
      <alignment horizontal="center" vertical="center"/>
    </xf>
    <xf numFmtId="0" fontId="1" fillId="10057" borderId="0" xfId="4" applyFill="1" applyAlignment="1">
      <alignment horizontal="center" vertical="center"/>
    </xf>
    <xf numFmtId="0" fontId="1" fillId="10058" borderId="0" xfId="4" applyFill="1" applyAlignment="1">
      <alignment horizontal="center" vertical="center"/>
    </xf>
    <xf numFmtId="0" fontId="1" fillId="10059" borderId="0" xfId="4" applyFill="1" applyAlignment="1">
      <alignment horizontal="center" vertical="center"/>
    </xf>
    <xf numFmtId="0" fontId="1" fillId="10060" borderId="0" xfId="4" applyFill="1" applyAlignment="1">
      <alignment horizontal="center" vertical="center"/>
    </xf>
    <xf numFmtId="0" fontId="1" fillId="10061" borderId="0" xfId="4" applyFill="1" applyAlignment="1">
      <alignment horizontal="center" vertical="center"/>
    </xf>
    <xf numFmtId="0" fontId="1" fillId="10062" borderId="0" xfId="4" applyFill="1" applyAlignment="1">
      <alignment horizontal="center" vertical="center"/>
    </xf>
    <xf numFmtId="0" fontId="1" fillId="10063" borderId="0" xfId="4" applyFill="1" applyAlignment="1">
      <alignment horizontal="center" vertical="center"/>
    </xf>
    <xf numFmtId="0" fontId="1" fillId="10064" borderId="0" xfId="4" applyFill="1" applyAlignment="1">
      <alignment horizontal="center" vertical="center"/>
    </xf>
    <xf numFmtId="0" fontId="1" fillId="10065" borderId="0" xfId="4" applyFill="1" applyAlignment="1">
      <alignment horizontal="center" vertical="center"/>
    </xf>
    <xf numFmtId="0" fontId="1" fillId="10066" borderId="0" xfId="4" applyFill="1" applyAlignment="1">
      <alignment horizontal="center" vertical="center"/>
    </xf>
    <xf numFmtId="0" fontId="1" fillId="10067" borderId="0" xfId="4" applyFill="1" applyAlignment="1">
      <alignment horizontal="center" vertical="center"/>
    </xf>
    <xf numFmtId="0" fontId="1" fillId="10068" borderId="0" xfId="4" applyFill="1" applyAlignment="1">
      <alignment horizontal="center" vertical="center"/>
    </xf>
    <xf numFmtId="0" fontId="1" fillId="10069" borderId="0" xfId="4" applyFill="1" applyAlignment="1">
      <alignment horizontal="center" vertical="center"/>
    </xf>
    <xf numFmtId="0" fontId="1" fillId="10070" borderId="0" xfId="4" applyFill="1" applyAlignment="1">
      <alignment horizontal="center" vertical="center"/>
    </xf>
    <xf numFmtId="0" fontId="1" fillId="10071" borderId="0" xfId="4" applyFill="1" applyAlignment="1">
      <alignment horizontal="center" vertical="center"/>
    </xf>
    <xf numFmtId="0" fontId="1" fillId="10072" borderId="0" xfId="4" applyFill="1" applyAlignment="1">
      <alignment horizontal="center" vertical="center"/>
    </xf>
    <xf numFmtId="0" fontId="1" fillId="10073" borderId="0" xfId="4" applyFill="1" applyAlignment="1">
      <alignment horizontal="center" vertical="center"/>
    </xf>
    <xf numFmtId="0" fontId="1" fillId="10074" borderId="0" xfId="4" applyFill="1" applyAlignment="1">
      <alignment horizontal="center" vertical="center"/>
    </xf>
    <xf numFmtId="0" fontId="1" fillId="10075" borderId="0" xfId="4" applyFill="1" applyAlignment="1">
      <alignment horizontal="center" vertical="center"/>
    </xf>
    <xf numFmtId="0" fontId="1" fillId="10076" borderId="0" xfId="4" applyFill="1" applyAlignment="1">
      <alignment horizontal="center" vertical="center"/>
    </xf>
    <xf numFmtId="0" fontId="1" fillId="10077" borderId="0" xfId="4" applyFill="1" applyAlignment="1">
      <alignment horizontal="center" vertical="center"/>
    </xf>
    <xf numFmtId="0" fontId="1" fillId="10078" borderId="0" xfId="4" applyFill="1" applyAlignment="1">
      <alignment horizontal="center" vertical="center"/>
    </xf>
    <xf numFmtId="0" fontId="1" fillId="10079" borderId="0" xfId="4" applyFill="1" applyAlignment="1">
      <alignment horizontal="center" vertical="center"/>
    </xf>
    <xf numFmtId="0" fontId="1" fillId="10080" borderId="0" xfId="4" applyFill="1" applyAlignment="1">
      <alignment horizontal="center" vertical="center"/>
    </xf>
    <xf numFmtId="0" fontId="1" fillId="10081" borderId="0" xfId="4" applyFill="1" applyAlignment="1">
      <alignment horizontal="center" vertical="center"/>
    </xf>
    <xf numFmtId="0" fontId="1" fillId="10082" borderId="0" xfId="4" applyFill="1" applyAlignment="1">
      <alignment horizontal="center" vertical="center"/>
    </xf>
    <xf numFmtId="0" fontId="1" fillId="10083" borderId="0" xfId="4" applyFill="1" applyAlignment="1">
      <alignment horizontal="center" vertical="center"/>
    </xf>
    <xf numFmtId="0" fontId="1" fillId="10084" borderId="0" xfId="4" applyFill="1" applyAlignment="1">
      <alignment horizontal="center" vertical="center"/>
    </xf>
    <xf numFmtId="0" fontId="1" fillId="10085" borderId="0" xfId="4" applyFill="1" applyAlignment="1">
      <alignment horizontal="center" vertical="center"/>
    </xf>
    <xf numFmtId="0" fontId="1" fillId="10086" borderId="0" xfId="4" applyFill="1" applyAlignment="1">
      <alignment horizontal="center" vertical="center"/>
    </xf>
    <xf numFmtId="0" fontId="1" fillId="10087" borderId="0" xfId="4" applyFill="1" applyAlignment="1">
      <alignment horizontal="center" vertical="center"/>
    </xf>
    <xf numFmtId="0" fontId="1" fillId="10088" borderId="0" xfId="4" applyFill="1" applyAlignment="1">
      <alignment horizontal="center" vertical="center"/>
    </xf>
    <xf numFmtId="0" fontId="1" fillId="10089" borderId="0" xfId="4" applyFill="1" applyAlignment="1">
      <alignment horizontal="center" vertical="center"/>
    </xf>
    <xf numFmtId="0" fontId="1" fillId="10090" borderId="0" xfId="4" applyFill="1" applyAlignment="1">
      <alignment horizontal="center" vertical="center"/>
    </xf>
    <xf numFmtId="0" fontId="1" fillId="10091" borderId="0" xfId="4" applyFill="1" applyAlignment="1">
      <alignment horizontal="center" vertical="center"/>
    </xf>
    <xf numFmtId="0" fontId="1" fillId="10092" borderId="0" xfId="4" applyFill="1" applyAlignment="1">
      <alignment horizontal="center" vertical="center"/>
    </xf>
    <xf numFmtId="0" fontId="1" fillId="10093" borderId="0" xfId="4" applyFill="1" applyAlignment="1">
      <alignment horizontal="center" vertical="center"/>
    </xf>
    <xf numFmtId="0" fontId="1" fillId="10094" borderId="0" xfId="4" applyFill="1" applyAlignment="1">
      <alignment horizontal="center" vertical="center"/>
    </xf>
    <xf numFmtId="0" fontId="1" fillId="10095" borderId="0" xfId="4" applyFill="1" applyAlignment="1">
      <alignment horizontal="center" vertical="center"/>
    </xf>
    <xf numFmtId="0" fontId="1" fillId="10096" borderId="0" xfId="4" applyFill="1" applyAlignment="1">
      <alignment horizontal="center" vertical="center"/>
    </xf>
    <xf numFmtId="0" fontId="1" fillId="10097" borderId="0" xfId="4" applyFill="1" applyAlignment="1">
      <alignment horizontal="center" vertical="center"/>
    </xf>
    <xf numFmtId="0" fontId="1" fillId="10098" borderId="0" xfId="4" applyFill="1" applyAlignment="1">
      <alignment horizontal="center" vertical="center"/>
    </xf>
    <xf numFmtId="0" fontId="1" fillId="10099" borderId="0" xfId="4" applyFill="1" applyAlignment="1">
      <alignment horizontal="center" vertical="center"/>
    </xf>
    <xf numFmtId="0" fontId="1" fillId="10100" borderId="0" xfId="4" applyFill="1" applyAlignment="1">
      <alignment horizontal="center" vertical="center"/>
    </xf>
    <xf numFmtId="0" fontId="1" fillId="10101" borderId="0" xfId="4" applyFill="1" applyAlignment="1">
      <alignment horizontal="center" vertical="center"/>
    </xf>
    <xf numFmtId="0" fontId="1" fillId="10102" borderId="0" xfId="4" applyFill="1" applyAlignment="1">
      <alignment horizontal="center" vertical="center"/>
    </xf>
    <xf numFmtId="0" fontId="1" fillId="10103" borderId="0" xfId="4" applyFill="1" applyAlignment="1">
      <alignment horizontal="center" vertical="center"/>
    </xf>
    <xf numFmtId="0" fontId="1" fillId="10104" borderId="0" xfId="4" applyFill="1" applyAlignment="1">
      <alignment horizontal="center" vertical="center"/>
    </xf>
    <xf numFmtId="0" fontId="1" fillId="10105" borderId="0" xfId="4" applyFill="1" applyAlignment="1">
      <alignment horizontal="center" vertical="center"/>
    </xf>
    <xf numFmtId="0" fontId="1" fillId="10106" borderId="0" xfId="4" applyFill="1" applyAlignment="1">
      <alignment horizontal="center" vertical="center"/>
    </xf>
    <xf numFmtId="0" fontId="1" fillId="10107" borderId="0" xfId="4" applyFill="1" applyAlignment="1">
      <alignment horizontal="center" vertical="center"/>
    </xf>
    <xf numFmtId="0" fontId="1" fillId="10108" borderId="0" xfId="4" applyFill="1" applyAlignment="1">
      <alignment horizontal="center" vertical="center"/>
    </xf>
    <xf numFmtId="0" fontId="1" fillId="10109" borderId="0" xfId="4" applyFill="1" applyAlignment="1">
      <alignment horizontal="center" vertical="center"/>
    </xf>
    <xf numFmtId="0" fontId="1" fillId="10110" borderId="0" xfId="4" applyFill="1" applyAlignment="1">
      <alignment horizontal="center" vertical="center"/>
    </xf>
    <xf numFmtId="0" fontId="1" fillId="10111" borderId="0" xfId="4" applyFill="1" applyAlignment="1">
      <alignment horizontal="center" vertical="center"/>
    </xf>
    <xf numFmtId="0" fontId="1" fillId="10112" borderId="0" xfId="4" applyFill="1" applyAlignment="1">
      <alignment horizontal="center" vertical="center"/>
    </xf>
    <xf numFmtId="0" fontId="1" fillId="10113" borderId="0" xfId="4" applyFill="1" applyAlignment="1">
      <alignment horizontal="center" vertical="center"/>
    </xf>
    <xf numFmtId="0" fontId="1" fillId="10114" borderId="0" xfId="4" applyFill="1" applyAlignment="1">
      <alignment horizontal="center" vertical="center"/>
    </xf>
    <xf numFmtId="0" fontId="1" fillId="10115" borderId="0" xfId="4" applyFill="1" applyAlignment="1">
      <alignment horizontal="center" vertical="center"/>
    </xf>
    <xf numFmtId="0" fontId="1" fillId="10116" borderId="0" xfId="4" applyFill="1" applyAlignment="1">
      <alignment horizontal="center" vertical="center"/>
    </xf>
    <xf numFmtId="0" fontId="1" fillId="10117" borderId="0" xfId="4" applyFill="1" applyAlignment="1">
      <alignment horizontal="center" vertical="center"/>
    </xf>
    <xf numFmtId="0" fontId="1" fillId="10118" borderId="0" xfId="4" applyFill="1" applyAlignment="1">
      <alignment horizontal="center" vertical="center"/>
    </xf>
    <xf numFmtId="0" fontId="1" fillId="10119" borderId="0" xfId="4" applyFill="1" applyAlignment="1">
      <alignment horizontal="center" vertical="center"/>
    </xf>
    <xf numFmtId="0" fontId="1" fillId="10120" borderId="0" xfId="4" applyFill="1" applyAlignment="1">
      <alignment horizontal="center" vertical="center"/>
    </xf>
    <xf numFmtId="0" fontId="1" fillId="10121" borderId="0" xfId="4" applyFill="1" applyAlignment="1">
      <alignment horizontal="center" vertical="center"/>
    </xf>
    <xf numFmtId="0" fontId="1" fillId="10122" borderId="0" xfId="4" applyFill="1" applyAlignment="1">
      <alignment horizontal="center" vertical="center"/>
    </xf>
    <xf numFmtId="0" fontId="1" fillId="10123" borderId="0" xfId="4" applyFill="1" applyAlignment="1">
      <alignment horizontal="center" vertical="center"/>
    </xf>
    <xf numFmtId="0" fontId="1" fillId="10124" borderId="0" xfId="4" applyFill="1" applyAlignment="1">
      <alignment horizontal="center" vertical="center"/>
    </xf>
    <xf numFmtId="0" fontId="1" fillId="10125" borderId="0" xfId="4" applyFill="1" applyAlignment="1">
      <alignment horizontal="center" vertical="center"/>
    </xf>
    <xf numFmtId="0" fontId="1" fillId="10126" borderId="0" xfId="4" applyFill="1" applyAlignment="1">
      <alignment horizontal="center" vertical="center"/>
    </xf>
    <xf numFmtId="0" fontId="1" fillId="10127" borderId="0" xfId="4" applyFill="1" applyAlignment="1">
      <alignment horizontal="center" vertical="center"/>
    </xf>
    <xf numFmtId="0" fontId="1" fillId="10128" borderId="0" xfId="4" applyFill="1" applyAlignment="1">
      <alignment horizontal="center" vertical="center"/>
    </xf>
    <xf numFmtId="0" fontId="1" fillId="10129" borderId="0" xfId="4" applyFill="1" applyAlignment="1">
      <alignment horizontal="center" vertical="center"/>
    </xf>
    <xf numFmtId="0" fontId="1" fillId="10130" borderId="0" xfId="4" applyFill="1" applyAlignment="1">
      <alignment horizontal="center" vertical="center"/>
    </xf>
    <xf numFmtId="0" fontId="1" fillId="10131" borderId="0" xfId="4" applyFill="1" applyAlignment="1">
      <alignment horizontal="center" vertical="center"/>
    </xf>
    <xf numFmtId="0" fontId="1" fillId="10132" borderId="0" xfId="4" applyFill="1" applyAlignment="1">
      <alignment horizontal="center" vertical="center"/>
    </xf>
    <xf numFmtId="0" fontId="1" fillId="10133" borderId="0" xfId="4" applyFill="1" applyAlignment="1">
      <alignment horizontal="center" vertical="center"/>
    </xf>
    <xf numFmtId="0" fontId="1" fillId="10134" borderId="0" xfId="4" applyFill="1" applyAlignment="1">
      <alignment horizontal="center" vertical="center"/>
    </xf>
    <xf numFmtId="0" fontId="1" fillId="10135" borderId="0" xfId="4" applyFill="1" applyAlignment="1">
      <alignment horizontal="center" vertical="center"/>
    </xf>
    <xf numFmtId="0" fontId="1" fillId="10136" borderId="0" xfId="4" applyFill="1" applyAlignment="1">
      <alignment horizontal="center" vertical="center"/>
    </xf>
    <xf numFmtId="0" fontId="1" fillId="10137" borderId="0" xfId="4" applyFill="1" applyAlignment="1">
      <alignment horizontal="center" vertical="center"/>
    </xf>
    <xf numFmtId="0" fontId="1" fillId="10138" borderId="0" xfId="4" applyFill="1" applyAlignment="1">
      <alignment horizontal="center" vertical="center"/>
    </xf>
    <xf numFmtId="0" fontId="0" fillId="10" borderId="0" xfId="0" applyFill="1"/>
    <xf numFmtId="0" fontId="27" fillId="10" borderId="0" xfId="0" applyFont="1" applyFill="1" applyAlignment="1">
      <alignment horizontal="center"/>
    </xf>
    <xf numFmtId="0" fontId="1" fillId="7172" borderId="22" xfId="4" applyFill="1" applyBorder="1" applyAlignment="1">
      <alignment horizontal="center" vertical="center"/>
    </xf>
    <xf numFmtId="0" fontId="1" fillId="7084" borderId="23" xfId="4" applyFill="1" applyBorder="1" applyAlignment="1">
      <alignment horizontal="center" vertical="center"/>
    </xf>
    <xf numFmtId="0" fontId="1" fillId="7173" borderId="23" xfId="4" applyFill="1" applyBorder="1" applyAlignment="1">
      <alignment horizontal="center" vertical="center"/>
    </xf>
    <xf numFmtId="0" fontId="1" fillId="7174" borderId="24" xfId="4" applyFill="1" applyBorder="1" applyAlignment="1">
      <alignment horizontal="center" vertical="center"/>
    </xf>
    <xf numFmtId="0" fontId="1" fillId="7256" borderId="25" xfId="4" applyFill="1" applyBorder="1" applyAlignment="1">
      <alignment horizontal="center" vertical="center"/>
    </xf>
    <xf numFmtId="0" fontId="1" fillId="7257" borderId="0" xfId="4" applyFill="1" applyAlignment="1">
      <alignment horizontal="center" vertical="center"/>
    </xf>
    <xf numFmtId="0" fontId="1" fillId="7259" borderId="0" xfId="4" applyFill="1" applyAlignment="1">
      <alignment horizontal="center" vertical="center"/>
    </xf>
    <xf numFmtId="0" fontId="1" fillId="7260" borderId="26" xfId="4" applyFill="1" applyBorder="1" applyAlignment="1">
      <alignment horizontal="center" vertical="center"/>
    </xf>
    <xf numFmtId="0" fontId="1" fillId="7084" borderId="25" xfId="4" applyFill="1" applyBorder="1" applyAlignment="1">
      <alignment horizontal="center" vertical="center"/>
    </xf>
    <xf numFmtId="0" fontId="1" fillId="7346" borderId="0" xfId="4" applyFill="1" applyAlignment="1">
      <alignment horizontal="center" vertical="center"/>
    </xf>
    <xf numFmtId="0" fontId="1" fillId="7347" borderId="0" xfId="4" applyFill="1" applyAlignment="1">
      <alignment horizontal="center" vertical="center"/>
    </xf>
    <xf numFmtId="0" fontId="1" fillId="7084" borderId="26" xfId="4" applyFill="1" applyBorder="1" applyAlignment="1">
      <alignment horizontal="center" vertical="center"/>
    </xf>
    <xf numFmtId="0" fontId="1" fillId="7262" borderId="25" xfId="4" applyFill="1" applyBorder="1" applyAlignment="1">
      <alignment horizontal="center" vertical="center"/>
    </xf>
    <xf numFmtId="0" fontId="1" fillId="7432" borderId="0" xfId="4" applyFill="1" applyAlignment="1">
      <alignment horizontal="center" vertical="center"/>
    </xf>
    <xf numFmtId="0" fontId="1" fillId="7433" borderId="0" xfId="4" applyFill="1" applyAlignment="1">
      <alignment horizontal="center" vertical="center"/>
    </xf>
    <xf numFmtId="0" fontId="1" fillId="7434" borderId="26" xfId="4" applyFill="1" applyBorder="1" applyAlignment="1">
      <alignment horizontal="center" vertical="center"/>
    </xf>
    <xf numFmtId="0" fontId="1" fillId="7260" borderId="11" xfId="4" applyFill="1" applyBorder="1" applyAlignment="1">
      <alignment horizontal="center" vertical="center"/>
    </xf>
    <xf numFmtId="0" fontId="1" fillId="7084" borderId="10" xfId="4" applyFill="1" applyBorder="1" applyAlignment="1">
      <alignment horizontal="center" vertical="center"/>
    </xf>
    <xf numFmtId="0" fontId="1" fillId="7257" borderId="10" xfId="4" applyFill="1" applyBorder="1" applyAlignment="1">
      <alignment horizontal="center" vertical="center"/>
    </xf>
    <xf numFmtId="0" fontId="1" fillId="7518" borderId="12" xfId="4" applyFill="1" applyBorder="1" applyAlignment="1">
      <alignment horizontal="center" vertical="center"/>
    </xf>
    <xf numFmtId="0" fontId="1" fillId="1712" borderId="0" xfId="4" applyFill="1" applyAlignment="1">
      <alignment horizontal="left" vertical="center"/>
    </xf>
    <xf numFmtId="0" fontId="1" fillId="2" borderId="22" xfId="4" applyFill="1" applyBorder="1" applyAlignment="1">
      <alignment horizontal="center" vertical="center"/>
    </xf>
    <xf numFmtId="0" fontId="1" fillId="2" borderId="23" xfId="4" applyFill="1" applyBorder="1" applyAlignment="1">
      <alignment horizontal="center" vertical="center"/>
    </xf>
    <xf numFmtId="0" fontId="1" fillId="2" borderId="24" xfId="4" applyFill="1" applyBorder="1" applyAlignment="1">
      <alignment horizontal="center" vertical="center"/>
    </xf>
    <xf numFmtId="0" fontId="1" fillId="2" borderId="25" xfId="4" applyFill="1" applyBorder="1" applyAlignment="1">
      <alignment horizontal="center" vertical="center"/>
    </xf>
    <xf numFmtId="0" fontId="1" fillId="2" borderId="0" xfId="4" applyFill="1" applyAlignment="1">
      <alignment horizontal="center" vertical="center"/>
    </xf>
    <xf numFmtId="0" fontId="1" fillId="2" borderId="26" xfId="4" applyFill="1" applyBorder="1" applyAlignment="1">
      <alignment horizontal="center" vertical="center"/>
    </xf>
    <xf numFmtId="0" fontId="1" fillId="2" borderId="11" xfId="4" applyFill="1" applyBorder="1" applyAlignment="1">
      <alignment horizontal="center" vertical="center"/>
    </xf>
    <xf numFmtId="0" fontId="1" fillId="2" borderId="10" xfId="4" applyFill="1" applyBorder="1" applyAlignment="1">
      <alignment horizontal="center" vertical="center"/>
    </xf>
    <xf numFmtId="0" fontId="1" fillId="2" borderId="12" xfId="4" applyFill="1" applyBorder="1" applyAlignment="1">
      <alignment horizontal="center" vertical="center"/>
    </xf>
    <xf numFmtId="0" fontId="20" fillId="9" borderId="13" xfId="4" applyFont="1" applyFill="1" applyBorder="1" applyAlignment="1">
      <alignment horizontal="centerContinuous" vertical="center" wrapText="1"/>
    </xf>
    <xf numFmtId="0" fontId="29" fillId="0" borderId="0" xfId="4" applyFont="1" applyAlignment="1">
      <alignment vertical="center"/>
    </xf>
    <xf numFmtId="0" fontId="16" fillId="0" borderId="0" xfId="4" applyFont="1" applyAlignment="1">
      <alignment vertical="center"/>
    </xf>
    <xf numFmtId="0" fontId="22" fillId="0" borderId="0" xfId="4" applyFont="1" applyAlignment="1">
      <alignment vertical="center" wrapText="1"/>
    </xf>
    <xf numFmtId="0" fontId="29" fillId="0" borderId="1" xfId="4" applyFont="1" applyBorder="1" applyAlignment="1">
      <alignment horizontal="center" vertical="center"/>
    </xf>
    <xf numFmtId="0" fontId="25" fillId="0" borderId="19" xfId="4" applyFont="1" applyBorder="1" applyAlignment="1">
      <alignment vertical="top"/>
    </xf>
    <xf numFmtId="0" fontId="25" fillId="0" borderId="0" xfId="4" applyFont="1" applyAlignment="1">
      <alignment vertical="center"/>
    </xf>
    <xf numFmtId="0" fontId="25" fillId="0" borderId="0" xfId="4" applyFont="1" applyAlignment="1">
      <alignment vertical="top"/>
    </xf>
    <xf numFmtId="0" fontId="30" fillId="0" borderId="0" xfId="0" applyFont="1" applyAlignment="1" applyProtection="1">
      <alignment horizontal="center"/>
      <protection locked="0"/>
    </xf>
    <xf numFmtId="0" fontId="2" fillId="0" borderId="0" xfId="0" applyFont="1" applyAlignment="1" applyProtection="1">
      <alignment horizontal="left"/>
      <protection locked="0"/>
    </xf>
    <xf numFmtId="0" fontId="31" fillId="10139" borderId="27" xfId="6" applyFont="1" applyFill="1" applyBorder="1" applyAlignment="1">
      <alignment horizontal="center" vertical="center"/>
    </xf>
    <xf numFmtId="0" fontId="31" fillId="10139" borderId="28" xfId="6" applyFont="1" applyFill="1" applyBorder="1" applyAlignment="1">
      <alignment horizontal="center" vertical="center"/>
    </xf>
    <xf numFmtId="0" fontId="31" fillId="10139" borderId="29" xfId="6" applyFont="1" applyFill="1" applyBorder="1" applyAlignment="1">
      <alignment horizontal="center" vertical="center"/>
    </xf>
    <xf numFmtId="0" fontId="14" fillId="0" borderId="0" xfId="0" applyFont="1" applyAlignment="1">
      <alignment horizontal="center"/>
    </xf>
    <xf numFmtId="0" fontId="1" fillId="0" borderId="0" xfId="4" applyAlignment="1">
      <alignment horizontal="left"/>
    </xf>
    <xf numFmtId="0" fontId="32" fillId="0" borderId="0" xfId="4" applyFont="1" applyAlignment="1">
      <alignment horizontal="center"/>
    </xf>
    <xf numFmtId="0" fontId="14" fillId="0" borderId="0" xfId="7" applyFont="1" applyAlignment="1">
      <alignment vertical="center"/>
    </xf>
    <xf numFmtId="0" fontId="33" fillId="0" borderId="0" xfId="7" applyFont="1" applyAlignment="1">
      <alignment horizontal="center" vertical="center"/>
    </xf>
    <xf numFmtId="0" fontId="14" fillId="0" borderId="0" xfId="7" applyFont="1" applyAlignment="1">
      <alignment horizontal="center" vertical="center"/>
    </xf>
    <xf numFmtId="0" fontId="34" fillId="0" borderId="0" xfId="7" applyFont="1" applyAlignment="1">
      <alignment vertical="center"/>
    </xf>
    <xf numFmtId="0" fontId="35" fillId="9" borderId="30" xfId="8" applyFont="1" applyFill="1" applyBorder="1" applyAlignment="1">
      <alignment horizontal="centerContinuous" vertical="center"/>
    </xf>
    <xf numFmtId="0" fontId="35" fillId="9" borderId="31" xfId="8" applyFont="1" applyFill="1" applyBorder="1" applyAlignment="1">
      <alignment horizontal="centerContinuous" vertical="center" wrapText="1"/>
    </xf>
    <xf numFmtId="0" fontId="35" fillId="9" borderId="32" xfId="8" applyFont="1" applyFill="1" applyBorder="1" applyAlignment="1">
      <alignment horizontal="centerContinuous" vertical="center" wrapText="1"/>
    </xf>
    <xf numFmtId="0" fontId="14" fillId="10140" borderId="25" xfId="7" applyFont="1" applyFill="1" applyBorder="1"/>
    <xf numFmtId="0" fontId="14" fillId="10140" borderId="0" xfId="7" applyFont="1" applyFill="1"/>
    <xf numFmtId="0" fontId="14" fillId="0" borderId="26" xfId="7" applyFont="1" applyBorder="1" applyAlignment="1">
      <alignment vertical="center"/>
    </xf>
    <xf numFmtId="0" fontId="14" fillId="0" borderId="25" xfId="7" applyFont="1" applyBorder="1" applyAlignment="1">
      <alignment vertical="center"/>
    </xf>
    <xf numFmtId="0" fontId="36" fillId="8" borderId="0" xfId="8" applyFont="1" applyFill="1" applyAlignment="1">
      <alignment horizontal="centerContinuous" vertical="center" wrapText="1"/>
    </xf>
    <xf numFmtId="0" fontId="12" fillId="0" borderId="0" xfId="8"/>
    <xf numFmtId="0" fontId="37" fillId="7" borderId="30" xfId="9" applyFont="1" applyFill="1" applyBorder="1" applyAlignment="1">
      <alignment horizontal="centerContinuous" vertical="center"/>
    </xf>
    <xf numFmtId="0" fontId="38" fillId="7" borderId="31" xfId="9" applyFont="1" applyFill="1" applyBorder="1" applyAlignment="1">
      <alignment horizontal="centerContinuous" vertical="center"/>
    </xf>
    <xf numFmtId="0" fontId="38" fillId="7" borderId="32" xfId="9" applyFont="1" applyFill="1" applyBorder="1" applyAlignment="1">
      <alignment horizontal="centerContinuous" vertical="center"/>
    </xf>
    <xf numFmtId="0" fontId="37" fillId="7" borderId="31" xfId="9" applyFont="1" applyFill="1" applyBorder="1" applyAlignment="1">
      <alignment horizontal="centerContinuous" vertical="center"/>
    </xf>
    <xf numFmtId="0" fontId="37" fillId="7" borderId="32" xfId="9" applyFont="1" applyFill="1" applyBorder="1" applyAlignment="1">
      <alignment horizontal="centerContinuous" vertical="center"/>
    </xf>
    <xf numFmtId="0" fontId="34" fillId="0" borderId="0" xfId="7" applyFont="1" applyAlignment="1">
      <alignment horizontal="left" vertical="center"/>
    </xf>
    <xf numFmtId="0" fontId="14" fillId="0" borderId="0" xfId="7" applyFont="1" applyAlignment="1">
      <alignment horizontal="left" vertical="center"/>
    </xf>
    <xf numFmtId="0" fontId="15" fillId="0" borderId="0" xfId="10"/>
    <xf numFmtId="0" fontId="41" fillId="0" borderId="0" xfId="7" applyFont="1" applyAlignment="1">
      <alignment vertical="center"/>
    </xf>
    <xf numFmtId="0" fontId="42" fillId="0" borderId="0" xfId="7" applyFont="1" applyAlignment="1">
      <alignment horizontal="left" vertical="center"/>
    </xf>
    <xf numFmtId="0" fontId="43" fillId="0" borderId="0" xfId="0" applyFont="1"/>
    <xf numFmtId="0" fontId="34" fillId="9" borderId="2" xfId="7" applyFont="1" applyFill="1" applyBorder="1" applyAlignment="1">
      <alignment horizontal="center" vertical="center"/>
    </xf>
    <xf numFmtId="0" fontId="39" fillId="0" borderId="5" xfId="7" applyFont="1" applyBorder="1" applyAlignment="1">
      <alignment horizontal="left" vertical="top" wrapText="1"/>
    </xf>
    <xf numFmtId="0" fontId="39" fillId="0" borderId="6" xfId="7" applyFont="1" applyBorder="1" applyAlignment="1">
      <alignment horizontal="left" vertical="top" wrapText="1"/>
    </xf>
    <xf numFmtId="0" fontId="39" fillId="0" borderId="7" xfId="7" applyFont="1" applyBorder="1" applyAlignment="1">
      <alignment horizontal="left" vertical="top" wrapText="1"/>
    </xf>
    <xf numFmtId="0" fontId="39" fillId="0" borderId="11" xfId="7" applyFont="1" applyBorder="1" applyAlignment="1">
      <alignment horizontal="left" vertical="top" wrapText="1"/>
    </xf>
    <xf numFmtId="0" fontId="39" fillId="0" borderId="10" xfId="7" applyFont="1" applyBorder="1" applyAlignment="1">
      <alignment horizontal="left" vertical="top" wrapText="1"/>
    </xf>
    <xf numFmtId="0" fontId="39" fillId="0" borderId="12" xfId="7" applyFont="1" applyBorder="1" applyAlignment="1">
      <alignment horizontal="left" vertical="top" wrapText="1"/>
    </xf>
    <xf numFmtId="0" fontId="40" fillId="9" borderId="5" xfId="7" applyFont="1" applyFill="1" applyBorder="1" applyAlignment="1">
      <alignment vertical="center" wrapText="1"/>
    </xf>
    <xf numFmtId="0" fontId="40" fillId="9" borderId="6" xfId="7" applyFont="1" applyFill="1" applyBorder="1" applyAlignment="1">
      <alignment vertical="center" wrapText="1"/>
    </xf>
    <xf numFmtId="0" fontId="40" fillId="9" borderId="7" xfId="7" applyFont="1" applyFill="1" applyBorder="1" applyAlignment="1">
      <alignment vertical="center" wrapText="1"/>
    </xf>
    <xf numFmtId="0" fontId="3" fillId="5" borderId="8" xfId="1" applyFill="1" applyBorder="1" applyAlignment="1">
      <alignment horizontal="center" vertical="center"/>
    </xf>
    <xf numFmtId="0" fontId="8" fillId="5" borderId="9" xfId="1" applyFont="1" applyFill="1" applyBorder="1" applyAlignment="1">
      <alignment horizontal="center" vertical="center"/>
    </xf>
  </cellXfs>
  <cellStyles count="11">
    <cellStyle name="Hiperłącze" xfId="1" builtinId="8"/>
    <cellStyle name="Hyperlink 2" xfId="5" xr:uid="{1FE437A6-4545-4BA6-A803-D438489A2F59}"/>
    <cellStyle name="Normal 2" xfId="4" xr:uid="{399A2BB5-B0C3-45C8-8A2A-5ED9E63D6D2A}"/>
    <cellStyle name="Normal 2 2" xfId="6" xr:uid="{20D5BA60-1F0B-4791-B32B-70FF4F0CBEF5}"/>
    <cellStyle name="Normal 2 3" xfId="8" xr:uid="{BC0E0919-51C5-40A4-8BBB-6BB174994FB3}"/>
    <cellStyle name="Normal 3" xfId="2" xr:uid="{459AD07C-7BAF-4977-A066-830A029F3F21}"/>
    <cellStyle name="Normal 3 2 2" xfId="7" xr:uid="{1043BFF3-2786-42EC-BE14-73897B6A2858}"/>
    <cellStyle name="Normal 4" xfId="3" xr:uid="{4AF0ED61-841C-4FB7-A4EA-C468BDFCF283}"/>
    <cellStyle name="Normal 4 2" xfId="9" xr:uid="{E5509905-2774-46E7-868E-129A1EEEF946}"/>
    <cellStyle name="Normal 4 2 2" xfId="10" xr:uid="{1DE4B9DA-FFE6-40FD-BAAF-6247426F87E8}"/>
    <cellStyle name="Normalny" xfId="0" builtinId="0"/>
  </cellStyles>
  <dxfs count="0"/>
  <tableStyles count="1" defaultTableStyle="TableStyleMedium2" defaultPivotStyle="PivotStyleLight16">
    <tableStyle name="Invisible" pivot="0" table="0" count="0" xr9:uid="{C4482F26-1210-4302-A751-8B78B8D45A06}"/>
  </tableStyles>
  <colors>
    <mruColors>
      <color rgb="FF001838"/>
      <color rgb="FFBC1F3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22/10/relationships/richValueRel" Target="richData/richValueRel.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4.jpeg"/><Relationship Id="rId2" Type="http://schemas.openxmlformats.org/officeDocument/2006/relationships/hyperlink" Target="https://mecc.college/certificate-of-completion/" TargetMode="External"/><Relationship Id="rId1" Type="http://schemas.openxmlformats.org/officeDocument/2006/relationships/hyperlink" Target="https://mecc.college/job-board/" TargetMode="External"/><Relationship Id="rId6" Type="http://schemas.openxmlformats.org/officeDocument/2006/relationships/hyperlink" Target="https://youtu.be/RFwVt5YVGUg" TargetMode="External"/><Relationship Id="rId5" Type="http://schemas.openxmlformats.org/officeDocument/2006/relationships/image" Target="../media/image3.png"/><Relationship Id="rId4" Type="http://schemas.openxmlformats.org/officeDocument/2006/relationships/hyperlink" Target="https://rog.asus.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19</xdr:col>
      <xdr:colOff>0</xdr:colOff>
      <xdr:row>10</xdr:row>
      <xdr:rowOff>9524</xdr:rowOff>
    </xdr:from>
    <xdr:to>
      <xdr:col>23</xdr:col>
      <xdr:colOff>0</xdr:colOff>
      <xdr:row>12</xdr:row>
      <xdr:rowOff>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269D9041-295B-45BC-A143-F89D78669316}"/>
            </a:ext>
          </a:extLst>
        </xdr:cNvPr>
        <xdr:cNvSpPr/>
      </xdr:nvSpPr>
      <xdr:spPr>
        <a:xfrm>
          <a:off x="13312140" y="3438524"/>
          <a:ext cx="3048000" cy="1765936"/>
        </a:xfrm>
        <a:prstGeom prst="rect">
          <a:avLst/>
        </a:prstGeom>
        <a:solidFill>
          <a:srgbClr val="BC1F36"/>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2000" b="1">
              <a:latin typeface="FUTURA MEDIUM" panose="020B0602020204020303" pitchFamily="34" charset="-79"/>
              <a:cs typeface="FUTURA MEDIUM" panose="020B0602020204020303" pitchFamily="34" charset="-79"/>
            </a:rPr>
            <a:t>Click</a:t>
          </a:r>
          <a:r>
            <a:rPr lang="en-US" sz="2000" b="1" baseline="0">
              <a:latin typeface="FUTURA MEDIUM" panose="020B0602020204020303" pitchFamily="34" charset="-79"/>
              <a:cs typeface="FUTURA MEDIUM" panose="020B0602020204020303" pitchFamily="34" charset="-79"/>
            </a:rPr>
            <a:t> For </a:t>
          </a:r>
        </a:p>
        <a:p>
          <a:pPr algn="ctr"/>
          <a:r>
            <a:rPr lang="en-US" sz="2000" b="1">
              <a:latin typeface="FUTURA MEDIUM" panose="020B0602020204020303" pitchFamily="34" charset="-79"/>
              <a:cs typeface="FUTURA MEDIUM" panose="020B0602020204020303" pitchFamily="34" charset="-79"/>
            </a:rPr>
            <a:t>Job Postings</a:t>
          </a:r>
          <a:endParaRPr lang="en-US" sz="1800" b="1">
            <a:latin typeface="FUTURA MEDIUM" panose="020B0602020204020303" pitchFamily="34" charset="-79"/>
            <a:cs typeface="FUTURA MEDIUM" panose="020B0602020204020303" pitchFamily="34" charset="-79"/>
          </a:endParaRPr>
        </a:p>
      </xdr:txBody>
    </xdr:sp>
    <xdr:clientData/>
  </xdr:twoCellAnchor>
  <xdr:twoCellAnchor>
    <xdr:from>
      <xdr:col>19</xdr:col>
      <xdr:colOff>0</xdr:colOff>
      <xdr:row>13</xdr:row>
      <xdr:rowOff>12698</xdr:rowOff>
    </xdr:from>
    <xdr:to>
      <xdr:col>23</xdr:col>
      <xdr:colOff>0</xdr:colOff>
      <xdr:row>15</xdr:row>
      <xdr:rowOff>-1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2BD5FDA4-7B81-4218-9D49-D84F747354AD}"/>
            </a:ext>
          </a:extLst>
        </xdr:cNvPr>
        <xdr:cNvSpPr/>
      </xdr:nvSpPr>
      <xdr:spPr>
        <a:xfrm>
          <a:off x="13312140" y="5407658"/>
          <a:ext cx="3048000" cy="1762761"/>
        </a:xfrm>
        <a:prstGeom prst="rect">
          <a:avLst/>
        </a:prstGeom>
        <a:solidFill>
          <a:srgbClr val="BC1F36"/>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2000" b="1">
              <a:latin typeface="FUTURA MEDIUM" panose="020B0602020204020303" pitchFamily="34" charset="-79"/>
              <a:cs typeface="FUTURA MEDIUM" panose="020B0602020204020303" pitchFamily="34" charset="-79"/>
            </a:rPr>
            <a:t>Click</a:t>
          </a:r>
          <a:r>
            <a:rPr lang="en-US" sz="2000" b="1" baseline="0">
              <a:latin typeface="FUTURA MEDIUM" panose="020B0602020204020303" pitchFamily="34" charset="-79"/>
              <a:cs typeface="FUTURA MEDIUM" panose="020B0602020204020303" pitchFamily="34" charset="-79"/>
            </a:rPr>
            <a:t> For More About </a:t>
          </a:r>
        </a:p>
        <a:p>
          <a:pPr algn="ctr"/>
          <a:r>
            <a:rPr lang="en-US" sz="2000" b="1" baseline="0">
              <a:latin typeface="FUTURA MEDIUM" panose="020B0602020204020303" pitchFamily="34" charset="-79"/>
              <a:cs typeface="FUTURA MEDIUM" panose="020B0602020204020303" pitchFamily="34" charset="-79"/>
            </a:rPr>
            <a:t>MECC Badges</a:t>
          </a:r>
          <a:endParaRPr lang="en-US" sz="1800" b="1">
            <a:latin typeface="FUTURA MEDIUM" panose="020B0602020204020303" pitchFamily="34" charset="-79"/>
            <a:cs typeface="FUTURA MEDIUM" panose="020B0602020204020303" pitchFamily="34" charset="-79"/>
          </a:endParaRPr>
        </a:p>
      </xdr:txBody>
    </xdr:sp>
    <xdr:clientData/>
  </xdr:twoCellAnchor>
  <xdr:twoCellAnchor editAs="oneCell">
    <xdr:from>
      <xdr:col>1</xdr:col>
      <xdr:colOff>0</xdr:colOff>
      <xdr:row>1</xdr:row>
      <xdr:rowOff>1</xdr:rowOff>
    </xdr:from>
    <xdr:to>
      <xdr:col>12</xdr:col>
      <xdr:colOff>23029</xdr:colOff>
      <xdr:row>8</xdr:row>
      <xdr:rowOff>1</xdr:rowOff>
    </xdr:to>
    <xdr:pic>
      <xdr:nvPicPr>
        <xdr:cNvPr id="4" name="Picture 3">
          <a:extLst>
            <a:ext uri="{FF2B5EF4-FFF2-40B4-BE49-F238E27FC236}">
              <a16:creationId xmlns:a16="http://schemas.microsoft.com/office/drawing/2014/main" id="{086D2B39-C9EF-4039-BD13-4CC717E4E446}"/>
            </a:ext>
          </a:extLst>
        </xdr:cNvPr>
        <xdr:cNvPicPr>
          <a:picLocks noChangeAspect="1"/>
        </xdr:cNvPicPr>
      </xdr:nvPicPr>
      <xdr:blipFill>
        <a:blip xmlns:r="http://schemas.openxmlformats.org/officeDocument/2006/relationships" r:embed="rId3"/>
        <a:stretch>
          <a:fillRect/>
        </a:stretch>
      </xdr:blipFill>
      <xdr:spPr>
        <a:xfrm>
          <a:off x="373380" y="190501"/>
          <a:ext cx="8405029" cy="2667000"/>
        </a:xfrm>
        <a:prstGeom prst="rect">
          <a:avLst/>
        </a:prstGeom>
      </xdr:spPr>
    </xdr:pic>
    <xdr:clientData/>
  </xdr:twoCellAnchor>
  <xdr:twoCellAnchor editAs="oneCell">
    <xdr:from>
      <xdr:col>19</xdr:col>
      <xdr:colOff>204203</xdr:colOff>
      <xdr:row>6</xdr:row>
      <xdr:rowOff>54429</xdr:rowOff>
    </xdr:from>
    <xdr:to>
      <xdr:col>22</xdr:col>
      <xdr:colOff>566677</xdr:colOff>
      <xdr:row>8</xdr:row>
      <xdr:rowOff>1</xdr:rowOff>
    </xdr:to>
    <xdr:pic>
      <xdr:nvPicPr>
        <xdr:cNvPr id="5" name="Picture 4">
          <a:hlinkClick xmlns:r="http://schemas.openxmlformats.org/officeDocument/2006/relationships" r:id="rId4"/>
          <a:extLst>
            <a:ext uri="{FF2B5EF4-FFF2-40B4-BE49-F238E27FC236}">
              <a16:creationId xmlns:a16="http://schemas.microsoft.com/office/drawing/2014/main" id="{B2C5BC68-2E69-4E6E-948A-2E058004258D}"/>
            </a:ext>
          </a:extLst>
        </xdr:cNvPr>
        <xdr:cNvPicPr>
          <a:picLocks noChangeAspect="1"/>
        </xdr:cNvPicPr>
      </xdr:nvPicPr>
      <xdr:blipFill>
        <a:blip xmlns:r="http://schemas.openxmlformats.org/officeDocument/2006/relationships" r:embed="rId5"/>
        <a:stretch>
          <a:fillRect/>
        </a:stretch>
      </xdr:blipFill>
      <xdr:spPr>
        <a:xfrm>
          <a:off x="13516343" y="2149929"/>
          <a:ext cx="2648474" cy="707572"/>
        </a:xfrm>
        <a:prstGeom prst="rect">
          <a:avLst/>
        </a:prstGeom>
      </xdr:spPr>
    </xdr:pic>
    <xdr:clientData/>
  </xdr:twoCellAnchor>
  <xdr:twoCellAnchor>
    <xdr:from>
      <xdr:col>19</xdr:col>
      <xdr:colOff>12699</xdr:colOff>
      <xdr:row>0</xdr:row>
      <xdr:rowOff>172810</xdr:rowOff>
    </xdr:from>
    <xdr:to>
      <xdr:col>23</xdr:col>
      <xdr:colOff>12699</xdr:colOff>
      <xdr:row>4</xdr:row>
      <xdr:rowOff>217715</xdr:rowOff>
    </xdr:to>
    <xdr:sp macro="" textlink="">
      <xdr:nvSpPr>
        <xdr:cNvPr id="6" name="Rectangle 5">
          <a:hlinkClick xmlns:r="http://schemas.openxmlformats.org/officeDocument/2006/relationships" r:id="rId6"/>
          <a:extLst>
            <a:ext uri="{FF2B5EF4-FFF2-40B4-BE49-F238E27FC236}">
              <a16:creationId xmlns:a16="http://schemas.microsoft.com/office/drawing/2014/main" id="{F9E72B86-0672-4BA1-8B71-3B9901F7D9C2}"/>
            </a:ext>
          </a:extLst>
        </xdr:cNvPr>
        <xdr:cNvSpPr/>
      </xdr:nvSpPr>
      <xdr:spPr>
        <a:xfrm>
          <a:off x="13324839" y="172810"/>
          <a:ext cx="3048000" cy="1378405"/>
        </a:xfrm>
        <a:prstGeom prst="rect">
          <a:avLst/>
        </a:prstGeom>
        <a:solidFill>
          <a:srgbClr val="BC1F36"/>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2000" b="1">
              <a:latin typeface="FUTURA MEDIUM" panose="020B0602020204020303" pitchFamily="34" charset="-79"/>
              <a:cs typeface="FUTURA MEDIUM" panose="020B0602020204020303" pitchFamily="34" charset="-79"/>
            </a:rPr>
            <a:t>Video</a:t>
          </a:r>
          <a:r>
            <a:rPr lang="en-US" sz="2000" b="1" baseline="0">
              <a:latin typeface="FUTURA MEDIUM" panose="020B0602020204020303" pitchFamily="34" charset="-79"/>
              <a:cs typeface="FUTURA MEDIUM" panose="020B0602020204020303" pitchFamily="34" charset="-79"/>
            </a:rPr>
            <a:t> Walkthrough</a:t>
          </a:r>
          <a:endParaRPr lang="en-US" sz="1800" b="1">
            <a:latin typeface="FUTURA MEDIUM" panose="020B0602020204020303" pitchFamily="34" charset="-79"/>
            <a:cs typeface="FUTURA MEDIUM" panose="020B0602020204020303" pitchFamily="34" charset="-79"/>
          </a:endParaRPr>
        </a:p>
      </xdr:txBody>
    </xdr:sp>
    <xdr:clientData/>
  </xdr:twoCellAnchor>
  <xdr:twoCellAnchor editAs="oneCell">
    <xdr:from>
      <xdr:col>14</xdr:col>
      <xdr:colOff>0</xdr:colOff>
      <xdr:row>2</xdr:row>
      <xdr:rowOff>1</xdr:rowOff>
    </xdr:from>
    <xdr:to>
      <xdr:col>17</xdr:col>
      <xdr:colOff>0</xdr:colOff>
      <xdr:row>8</xdr:row>
      <xdr:rowOff>1</xdr:rowOff>
    </xdr:to>
    <xdr:pic>
      <xdr:nvPicPr>
        <xdr:cNvPr id="8" name="Picture 7">
          <a:extLst>
            <a:ext uri="{FF2B5EF4-FFF2-40B4-BE49-F238E27FC236}">
              <a16:creationId xmlns:a16="http://schemas.microsoft.com/office/drawing/2014/main" id="{C3A95D73-77CA-2A13-9C21-29020810EF00}"/>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9884229" y="576944"/>
          <a:ext cx="2286000" cy="2286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814C3487-3DA4-6B2A-277A-15A03A8666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28625"/>
          <a:ext cx="5200650" cy="3105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85726</xdr:colOff>
      <xdr:row>22</xdr:row>
      <xdr:rowOff>47626</xdr:rowOff>
    </xdr:from>
    <xdr:to>
      <xdr:col>8</xdr:col>
      <xdr:colOff>463551</xdr:colOff>
      <xdr:row>40</xdr:row>
      <xdr:rowOff>130374</xdr:rowOff>
    </xdr:to>
    <xdr:pic>
      <xdr:nvPicPr>
        <xdr:cNvPr id="3" name="Picture 2">
          <a:extLst>
            <a:ext uri="{FF2B5EF4-FFF2-40B4-BE49-F238E27FC236}">
              <a16:creationId xmlns:a16="http://schemas.microsoft.com/office/drawing/2014/main" id="{C94CE3AA-5A87-67E5-AB22-170DAB382B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29076"/>
          <a:ext cx="5257800" cy="3340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502186</xdr:colOff>
      <xdr:row>68</xdr:row>
      <xdr:rowOff>133350</xdr:rowOff>
    </xdr:to>
    <xdr:pic>
      <xdr:nvPicPr>
        <xdr:cNvPr id="4" name="Picture 3">
          <a:extLst>
            <a:ext uri="{FF2B5EF4-FFF2-40B4-BE49-F238E27FC236}">
              <a16:creationId xmlns:a16="http://schemas.microsoft.com/office/drawing/2014/main" id="{0608A21B-1049-AC0D-5BD2-2AEFE0FC16F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8963025"/>
          <a:ext cx="5267860" cy="3476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44</xdr:col>
      <xdr:colOff>86585</xdr:colOff>
      <xdr:row>14</xdr:row>
      <xdr:rowOff>185057</xdr:rowOff>
    </xdr:from>
    <xdr:ext cx="2503942" cy="1079501"/>
    <xdr:sp macro="[0]!startGame" textlink="">
      <xdr:nvSpPr>
        <xdr:cNvPr id="3" name="Bevel 3">
          <a:extLst>
            <a:ext uri="{FF2B5EF4-FFF2-40B4-BE49-F238E27FC236}">
              <a16:creationId xmlns:a16="http://schemas.microsoft.com/office/drawing/2014/main" id="{709F4C94-C21E-4088-833E-FFF768B4C758}"/>
            </a:ext>
          </a:extLst>
        </xdr:cNvPr>
        <xdr:cNvSpPr/>
      </xdr:nvSpPr>
      <xdr:spPr>
        <a:xfrm>
          <a:off x="13857014" y="4988378"/>
          <a:ext cx="2503942" cy="1079501"/>
        </a:xfrm>
        <a:prstGeom prst="bevel">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36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rPr>
            <a:t>Start</a:t>
          </a:r>
        </a:p>
      </xdr:txBody>
    </xdr:sp>
    <xdr:clientData/>
  </xdr:oneCellAnchor>
  <xdr:twoCellAnchor editAs="oneCell">
    <xdr:from>
      <xdr:col>19</xdr:col>
      <xdr:colOff>163286</xdr:colOff>
      <xdr:row>37</xdr:row>
      <xdr:rowOff>241754</xdr:rowOff>
    </xdr:from>
    <xdr:to>
      <xdr:col>26</xdr:col>
      <xdr:colOff>221525</xdr:colOff>
      <xdr:row>41</xdr:row>
      <xdr:rowOff>87539</xdr:rowOff>
    </xdr:to>
    <xdr:sp macro="[0]!GiveInstruction" textlink="">
      <xdr:nvSpPr>
        <xdr:cNvPr id="9" name="Bevel 3">
          <a:extLst>
            <a:ext uri="{FF2B5EF4-FFF2-40B4-BE49-F238E27FC236}">
              <a16:creationId xmlns:a16="http://schemas.microsoft.com/office/drawing/2014/main" id="{83BC5F3F-C710-48D0-B77C-F92A173D951E}"/>
            </a:ext>
          </a:extLst>
        </xdr:cNvPr>
        <xdr:cNvSpPr/>
      </xdr:nvSpPr>
      <xdr:spPr>
        <a:xfrm>
          <a:off x="6109607" y="8773433"/>
          <a:ext cx="2248989" cy="700495"/>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Instruction</a:t>
          </a:r>
        </a:p>
      </xdr:txBody>
    </xdr:sp>
    <xdr:clientData/>
  </xdr:twoCellAnchor>
  <xdr:twoCellAnchor editAs="oneCell">
    <xdr:from>
      <xdr:col>19</xdr:col>
      <xdr:colOff>156936</xdr:colOff>
      <xdr:row>41</xdr:row>
      <xdr:rowOff>178254</xdr:rowOff>
    </xdr:from>
    <xdr:to>
      <xdr:col>26</xdr:col>
      <xdr:colOff>217624</xdr:colOff>
      <xdr:row>45</xdr:row>
      <xdr:rowOff>41004</xdr:rowOff>
    </xdr:to>
    <xdr:sp macro="[0]!GivePCHint" textlink="">
      <xdr:nvSpPr>
        <xdr:cNvPr id="11" name="Bevel 3">
          <a:extLst>
            <a:ext uri="{FF2B5EF4-FFF2-40B4-BE49-F238E27FC236}">
              <a16:creationId xmlns:a16="http://schemas.microsoft.com/office/drawing/2014/main" id="{B520B276-F490-496D-B393-BD6404E3F590}"/>
            </a:ext>
          </a:extLst>
        </xdr:cNvPr>
        <xdr:cNvSpPr/>
      </xdr:nvSpPr>
      <xdr:spPr>
        <a:xfrm>
          <a:off x="6103257" y="9567183"/>
          <a:ext cx="2256518" cy="679178"/>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PC Hint</a:t>
          </a:r>
        </a:p>
      </xdr:txBody>
    </xdr:sp>
    <xdr:clientData/>
  </xdr:twoCellAnchor>
  <xdr:twoCellAnchor editAs="oneCell">
    <xdr:from>
      <xdr:col>19</xdr:col>
      <xdr:colOff>163649</xdr:colOff>
      <xdr:row>45</xdr:row>
      <xdr:rowOff>140881</xdr:rowOff>
    </xdr:from>
    <xdr:to>
      <xdr:col>26</xdr:col>
      <xdr:colOff>221253</xdr:colOff>
      <xdr:row>48</xdr:row>
      <xdr:rowOff>183062</xdr:rowOff>
    </xdr:to>
    <xdr:sp macro="[0]!GiveMacHint" textlink="">
      <xdr:nvSpPr>
        <xdr:cNvPr id="12" name="Bevel 3">
          <a:extLst>
            <a:ext uri="{FF2B5EF4-FFF2-40B4-BE49-F238E27FC236}">
              <a16:creationId xmlns:a16="http://schemas.microsoft.com/office/drawing/2014/main" id="{C4BFB30E-5469-45D2-85F2-053DC28F88BA}"/>
            </a:ext>
          </a:extLst>
        </xdr:cNvPr>
        <xdr:cNvSpPr/>
      </xdr:nvSpPr>
      <xdr:spPr>
        <a:xfrm>
          <a:off x="6109970" y="10346238"/>
          <a:ext cx="2238194" cy="650693"/>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Mac Hint</a:t>
          </a:r>
        </a:p>
      </xdr:txBody>
    </xdr:sp>
    <xdr:clientData/>
  </xdr:twoCellAnchor>
  <xdr:twoCellAnchor editAs="oneCell">
    <xdr:from>
      <xdr:col>1</xdr:col>
      <xdr:colOff>0</xdr:colOff>
      <xdr:row>4</xdr:row>
      <xdr:rowOff>0</xdr:rowOff>
    </xdr:from>
    <xdr:to>
      <xdr:col>29</xdr:col>
      <xdr:colOff>0</xdr:colOff>
      <xdr:row>11</xdr:row>
      <xdr:rowOff>30688</xdr:rowOff>
    </xdr:to>
    <xdr:pic>
      <xdr:nvPicPr>
        <xdr:cNvPr id="4" name="Picture 3">
          <a:extLst>
            <a:ext uri="{FF2B5EF4-FFF2-40B4-BE49-F238E27FC236}">
              <a16:creationId xmlns:a16="http://schemas.microsoft.com/office/drawing/2014/main" id="{E0B22EA3-D41F-4A55-A405-D6128A2D8665}"/>
            </a:ext>
          </a:extLst>
        </xdr:cNvPr>
        <xdr:cNvPicPr>
          <a:picLocks noChangeAspect="1"/>
        </xdr:cNvPicPr>
      </xdr:nvPicPr>
      <xdr:blipFill>
        <a:blip xmlns:r="http://schemas.openxmlformats.org/officeDocument/2006/relationships" r:embed="rId1"/>
        <a:stretch>
          <a:fillRect/>
        </a:stretch>
      </xdr:blipFill>
      <xdr:spPr>
        <a:xfrm>
          <a:off x="304800" y="1197429"/>
          <a:ext cx="8501743" cy="26976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6350</xdr:colOff>
      <xdr:row>24</xdr:row>
      <xdr:rowOff>142875</xdr:rowOff>
    </xdr:from>
    <xdr:to>
      <xdr:col>10</xdr:col>
      <xdr:colOff>197939</xdr:colOff>
      <xdr:row>28</xdr:row>
      <xdr:rowOff>46445</xdr:rowOff>
    </xdr:to>
    <xdr:sp macro="[0]!GiveInstruction" textlink="">
      <xdr:nvSpPr>
        <xdr:cNvPr id="4" name="Bevel 3">
          <a:extLst>
            <a:ext uri="{FF2B5EF4-FFF2-40B4-BE49-F238E27FC236}">
              <a16:creationId xmlns:a16="http://schemas.microsoft.com/office/drawing/2014/main" id="{28F71C39-68E9-49D4-B8D9-5EC5A6117E2E}"/>
            </a:ext>
          </a:extLst>
        </xdr:cNvPr>
        <xdr:cNvSpPr/>
      </xdr:nvSpPr>
      <xdr:spPr>
        <a:xfrm>
          <a:off x="520700" y="4943475"/>
          <a:ext cx="2252164" cy="706845"/>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Instruction</a:t>
          </a:r>
        </a:p>
      </xdr:txBody>
    </xdr:sp>
    <xdr:clientData/>
  </xdr:twoCellAnchor>
  <xdr:twoCellAnchor editAs="oneCell">
    <xdr:from>
      <xdr:col>2</xdr:col>
      <xdr:colOff>0</xdr:colOff>
      <xdr:row>28</xdr:row>
      <xdr:rowOff>142875</xdr:rowOff>
    </xdr:from>
    <xdr:to>
      <xdr:col>10</xdr:col>
      <xdr:colOff>202293</xdr:colOff>
      <xdr:row>32</xdr:row>
      <xdr:rowOff>21953</xdr:rowOff>
    </xdr:to>
    <xdr:sp macro="[0]!GivePCHint" textlink="">
      <xdr:nvSpPr>
        <xdr:cNvPr id="5" name="Bevel 3">
          <a:extLst>
            <a:ext uri="{FF2B5EF4-FFF2-40B4-BE49-F238E27FC236}">
              <a16:creationId xmlns:a16="http://schemas.microsoft.com/office/drawing/2014/main" id="{3D21485C-CE89-4DD1-BF2B-8E95BDA7CC24}"/>
            </a:ext>
          </a:extLst>
        </xdr:cNvPr>
        <xdr:cNvSpPr/>
      </xdr:nvSpPr>
      <xdr:spPr>
        <a:xfrm>
          <a:off x="514350" y="5743575"/>
          <a:ext cx="2256518" cy="679178"/>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PC Hint</a:t>
          </a:r>
        </a:p>
      </xdr:txBody>
    </xdr:sp>
    <xdr:clientData/>
  </xdr:twoCellAnchor>
  <xdr:twoCellAnchor editAs="oneCell">
    <xdr:from>
      <xdr:col>2</xdr:col>
      <xdr:colOff>6713</xdr:colOff>
      <xdr:row>32</xdr:row>
      <xdr:rowOff>104957</xdr:rowOff>
    </xdr:from>
    <xdr:to>
      <xdr:col>10</xdr:col>
      <xdr:colOff>187507</xdr:colOff>
      <xdr:row>35</xdr:row>
      <xdr:rowOff>139700</xdr:rowOff>
    </xdr:to>
    <xdr:sp macro="[0]!GiveMacHint" textlink="">
      <xdr:nvSpPr>
        <xdr:cNvPr id="6" name="Bevel 3">
          <a:extLst>
            <a:ext uri="{FF2B5EF4-FFF2-40B4-BE49-F238E27FC236}">
              <a16:creationId xmlns:a16="http://schemas.microsoft.com/office/drawing/2014/main" id="{5B8F51E4-A4E6-4CA3-A0F5-5B2D9880009F}"/>
            </a:ext>
          </a:extLst>
        </xdr:cNvPr>
        <xdr:cNvSpPr/>
      </xdr:nvSpPr>
      <xdr:spPr>
        <a:xfrm>
          <a:off x="521063" y="6505757"/>
          <a:ext cx="2238194" cy="637993"/>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Mac Hint</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96116</xdr:colOff>
      <xdr:row>2</xdr:row>
      <xdr:rowOff>103909</xdr:rowOff>
    </xdr:from>
    <xdr:to>
      <xdr:col>10</xdr:col>
      <xdr:colOff>21756</xdr:colOff>
      <xdr:row>5</xdr:row>
      <xdr:rowOff>190474</xdr:rowOff>
    </xdr:to>
    <xdr:sp macro="[0]!GiveInstruction" textlink="">
      <xdr:nvSpPr>
        <xdr:cNvPr id="4" name="Bevel 3">
          <a:extLst>
            <a:ext uri="{FF2B5EF4-FFF2-40B4-BE49-F238E27FC236}">
              <a16:creationId xmlns:a16="http://schemas.microsoft.com/office/drawing/2014/main" id="{6658E91F-1EAA-4628-966B-889F19E88AB3}"/>
            </a:ext>
          </a:extLst>
        </xdr:cNvPr>
        <xdr:cNvSpPr/>
      </xdr:nvSpPr>
      <xdr:spPr>
        <a:xfrm>
          <a:off x="355889" y="519545"/>
          <a:ext cx="2252164" cy="710020"/>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Instruction</a:t>
          </a:r>
        </a:p>
      </xdr:txBody>
    </xdr:sp>
    <xdr:clientData/>
  </xdr:twoCellAnchor>
  <xdr:twoCellAnchor editAs="oneCell">
    <xdr:from>
      <xdr:col>1</xdr:col>
      <xdr:colOff>86591</xdr:colOff>
      <xdr:row>6</xdr:row>
      <xdr:rowOff>75911</xdr:rowOff>
    </xdr:from>
    <xdr:to>
      <xdr:col>10</xdr:col>
      <xdr:colOff>26745</xdr:colOff>
      <xdr:row>9</xdr:row>
      <xdr:rowOff>134174</xdr:rowOff>
    </xdr:to>
    <xdr:sp macro="[0]!GivePCHint" textlink="">
      <xdr:nvSpPr>
        <xdr:cNvPr id="5" name="Bevel 3">
          <a:extLst>
            <a:ext uri="{FF2B5EF4-FFF2-40B4-BE49-F238E27FC236}">
              <a16:creationId xmlns:a16="http://schemas.microsoft.com/office/drawing/2014/main" id="{EDD8DAF1-9A04-480F-8A42-059A7A5CF456}"/>
            </a:ext>
          </a:extLst>
        </xdr:cNvPr>
        <xdr:cNvSpPr/>
      </xdr:nvSpPr>
      <xdr:spPr>
        <a:xfrm>
          <a:off x="346364" y="1322820"/>
          <a:ext cx="2259693" cy="679178"/>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PC Hint</a:t>
          </a:r>
        </a:p>
      </xdr:txBody>
    </xdr:sp>
    <xdr:clientData/>
  </xdr:twoCellAnchor>
  <xdr:twoCellAnchor editAs="oneCell">
    <xdr:from>
      <xdr:col>1</xdr:col>
      <xdr:colOff>96479</xdr:colOff>
      <xdr:row>10</xdr:row>
      <xdr:rowOff>17343</xdr:rowOff>
    </xdr:from>
    <xdr:to>
      <xdr:col>10</xdr:col>
      <xdr:colOff>1856</xdr:colOff>
      <xdr:row>13</xdr:row>
      <xdr:rowOff>38232</xdr:rowOff>
    </xdr:to>
    <xdr:sp macro="[0]!GiveMacHint" textlink="">
      <xdr:nvSpPr>
        <xdr:cNvPr id="6" name="Bevel 3">
          <a:extLst>
            <a:ext uri="{FF2B5EF4-FFF2-40B4-BE49-F238E27FC236}">
              <a16:creationId xmlns:a16="http://schemas.microsoft.com/office/drawing/2014/main" id="{E08642B0-4FA8-4D7F-893D-AB4A65C13849}"/>
            </a:ext>
          </a:extLst>
        </xdr:cNvPr>
        <xdr:cNvSpPr/>
      </xdr:nvSpPr>
      <xdr:spPr>
        <a:xfrm>
          <a:off x="356252" y="2095525"/>
          <a:ext cx="2231844" cy="644343"/>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Mac Hint</a:t>
          </a:r>
        </a:p>
      </xdr:txBody>
    </xdr:sp>
    <xdr:clientData/>
  </xdr:twoCellAnchor>
  <xdr:twoCellAnchor editAs="oneCell">
    <xdr:from>
      <xdr:col>84</xdr:col>
      <xdr:colOff>165389</xdr:colOff>
      <xdr:row>117</xdr:row>
      <xdr:rowOff>34637</xdr:rowOff>
    </xdr:from>
    <xdr:to>
      <xdr:col>93</xdr:col>
      <xdr:colOff>97378</xdr:colOff>
      <xdr:row>120</xdr:row>
      <xdr:rowOff>140887</xdr:rowOff>
    </xdr:to>
    <xdr:sp macro="[0]!GiveInstruction" textlink="">
      <xdr:nvSpPr>
        <xdr:cNvPr id="7" name="Bevel 3">
          <a:extLst>
            <a:ext uri="{FF2B5EF4-FFF2-40B4-BE49-F238E27FC236}">
              <a16:creationId xmlns:a16="http://schemas.microsoft.com/office/drawing/2014/main" id="{687A5E3F-0F88-41AB-9D75-891494C46EF8}"/>
            </a:ext>
          </a:extLst>
        </xdr:cNvPr>
        <xdr:cNvSpPr/>
      </xdr:nvSpPr>
      <xdr:spPr>
        <a:xfrm>
          <a:off x="21986298" y="24349364"/>
          <a:ext cx="2252164" cy="710020"/>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Instruction</a:t>
          </a:r>
        </a:p>
      </xdr:txBody>
    </xdr:sp>
    <xdr:clientData/>
  </xdr:twoCellAnchor>
  <xdr:twoCellAnchor editAs="oneCell">
    <xdr:from>
      <xdr:col>84</xdr:col>
      <xdr:colOff>155864</xdr:colOff>
      <xdr:row>121</xdr:row>
      <xdr:rowOff>6639</xdr:rowOff>
    </xdr:from>
    <xdr:to>
      <xdr:col>93</xdr:col>
      <xdr:colOff>77602</xdr:colOff>
      <xdr:row>124</xdr:row>
      <xdr:rowOff>64267</xdr:rowOff>
    </xdr:to>
    <xdr:sp macro="[0]!GivePCHint" textlink="">
      <xdr:nvSpPr>
        <xdr:cNvPr id="8" name="Bevel 3">
          <a:extLst>
            <a:ext uri="{FF2B5EF4-FFF2-40B4-BE49-F238E27FC236}">
              <a16:creationId xmlns:a16="http://schemas.microsoft.com/office/drawing/2014/main" id="{583A799A-7FDB-48A3-90C8-6B88CA18758B}"/>
            </a:ext>
          </a:extLst>
        </xdr:cNvPr>
        <xdr:cNvSpPr/>
      </xdr:nvSpPr>
      <xdr:spPr>
        <a:xfrm>
          <a:off x="21976773" y="25152639"/>
          <a:ext cx="2259693" cy="679178"/>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PC Hint</a:t>
          </a:r>
        </a:p>
      </xdr:txBody>
    </xdr:sp>
    <xdr:clientData/>
  </xdr:twoCellAnchor>
  <xdr:twoCellAnchor editAs="oneCell">
    <xdr:from>
      <xdr:col>84</xdr:col>
      <xdr:colOff>165752</xdr:colOff>
      <xdr:row>124</xdr:row>
      <xdr:rowOff>155889</xdr:rowOff>
    </xdr:from>
    <xdr:to>
      <xdr:col>93</xdr:col>
      <xdr:colOff>65356</xdr:colOff>
      <xdr:row>127</xdr:row>
      <xdr:rowOff>178683</xdr:rowOff>
    </xdr:to>
    <xdr:sp macro="[0]!GiveMacHint" textlink="">
      <xdr:nvSpPr>
        <xdr:cNvPr id="9" name="Bevel 3">
          <a:extLst>
            <a:ext uri="{FF2B5EF4-FFF2-40B4-BE49-F238E27FC236}">
              <a16:creationId xmlns:a16="http://schemas.microsoft.com/office/drawing/2014/main" id="{0660F024-DE6C-4F6D-83E8-AFE8BEFAAA65}"/>
            </a:ext>
          </a:extLst>
        </xdr:cNvPr>
        <xdr:cNvSpPr/>
      </xdr:nvSpPr>
      <xdr:spPr>
        <a:xfrm>
          <a:off x="21986661" y="25925344"/>
          <a:ext cx="2231844" cy="644343"/>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Mac Hint</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1267101</xdr:colOff>
      <xdr:row>0</xdr:row>
      <xdr:rowOff>128795</xdr:rowOff>
    </xdr:from>
    <xdr:to>
      <xdr:col>5</xdr:col>
      <xdr:colOff>276</xdr:colOff>
      <xdr:row>2</xdr:row>
      <xdr:rowOff>144035</xdr:rowOff>
    </xdr:to>
    <xdr:sp macro="[0]!startGame" textlink="">
      <xdr:nvSpPr>
        <xdr:cNvPr id="2" name="Bevel 3">
          <a:extLst>
            <a:ext uri="{FF2B5EF4-FFF2-40B4-BE49-F238E27FC236}">
              <a16:creationId xmlns:a16="http://schemas.microsoft.com/office/drawing/2014/main" id="{00000000-0008-0000-0300-000002000000}"/>
            </a:ext>
          </a:extLst>
        </xdr:cNvPr>
        <xdr:cNvSpPr/>
      </xdr:nvSpPr>
      <xdr:spPr>
        <a:xfrm>
          <a:off x="4259884" y="128795"/>
          <a:ext cx="1471681" cy="486935"/>
        </a:xfrm>
        <a:prstGeom prst="bevel">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Start Again!</a:t>
          </a:r>
        </a:p>
      </xdr:txBody>
    </xdr:sp>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agcapital-my.sharepoint.com/personal/emils_agcapital_onmicrosoft_com/Documents/Financial%20Modeling%20World%20Cup/MECC/MECC%202025/Cases/Regionals/Speed%20Run/Speed%20Challenge%20(David%20Brown)%20-%20MECC%20ASUS%20Case%20Explorer%202026%20-%20Speed%20Case%20-%20Varsity%20-%2005Jan2026.xlsm" TargetMode="External"/><Relationship Id="rId2" Type="http://schemas.microsoft.com/office/2019/04/relationships/externalLinkLongPath" Target="https://agcapital-my.sharepoint.com/personal/emils_agcapital_onmicrosoft_com/Documents/Financial%20Modeling%20World%20Cup/MECC/MECC%202025/Cases/Regionals/Speed%20Run/Speed%20Challenge%20(David%20Brown)%20-%20MECC%20ASUS%20Case%20Explorer%202026%20-%20Speed%20Case%20-%20Varsity%20-%2005Jan2026.xlsm?F43C72A4" TargetMode="External"/><Relationship Id="rId1" Type="http://schemas.openxmlformats.org/officeDocument/2006/relationships/externalLinkPath" Target="file:///\\F43C72A4\Speed%20Challenge%20(David%20Brown)%20-%20MECC%20ASUS%20Case%20Explorer%202026%20-%20Speed%20Case%20-%20Varsity%20-%2005Jan20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Cover"/>
      <sheetName val="Unblock Guide"/>
      <sheetName val="Start Tab"/>
      <sheetName val="Maze Tab"/>
      <sheetName val="Last Tab"/>
      <sheetName val="Progress &amp; Instructions"/>
      <sheetName val="Results"/>
      <sheetName val="BackgroundCalcs"/>
      <sheetName val="Time Grading"/>
      <sheetName val="Grading"/>
      <sheetName val="Output"/>
    </sheetNames>
    <sheetDataSet>
      <sheetData sheetId="0"/>
      <sheetData sheetId="1"/>
      <sheetData sheetId="2"/>
      <sheetData sheetId="3"/>
      <sheetData sheetId="4"/>
      <sheetData sheetId="5"/>
      <sheetData sheetId="6"/>
      <sheetData sheetId="7">
        <row r="2">
          <cell r="F2">
            <v>45775.612754629627</v>
          </cell>
          <cell r="S2">
            <v>3</v>
          </cell>
        </row>
        <row r="5">
          <cell r="D5" t="str">
            <v>MECC 2025 Regionals - Speed Challenge - Varsity</v>
          </cell>
        </row>
        <row r="29">
          <cell r="F29">
            <v>0.56788194442196982</v>
          </cell>
        </row>
      </sheetData>
      <sheetData sheetId="8"/>
      <sheetData sheetId="9"/>
      <sheetData sheetId="10"/>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facebook.com/sharer.php?u=http%3A%2F%2Fchandoo.org%2Fwp%2F2012%2F08%2F10%2Fexcel-hurdles%2F&amp;t=I%20finished%20Excel%20Hurdle%20challenge%20in%20$$%20seconds." TargetMode="External"/><Relationship Id="rId1" Type="http://schemas.openxmlformats.org/officeDocument/2006/relationships/hyperlink" Target="https://www.linkedin.com/sharing/share-offsite/?url=https://www.fmworldcup.com/microsoft-excel-collegiate-challe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0BCDA-F7C7-4C36-9602-72EC3C9B33FF}">
  <sheetPr codeName="Sheet11">
    <tabColor rgb="FFBC1F36"/>
  </sheetPr>
  <dimension ref="A1:XX1000"/>
  <sheetViews>
    <sheetView showGridLines="0" tabSelected="1" zoomScale="70" zoomScaleNormal="70" zoomScaleSheetLayoutView="100" workbookViewId="0">
      <selection activeCell="G16" sqref="G16"/>
    </sheetView>
  </sheetViews>
  <sheetFormatPr defaultColWidth="10.140625" defaultRowHeight="20.100000000000001" customHeight="1"/>
  <cols>
    <col min="1" max="1" width="5.42578125" style="10612" customWidth="1"/>
    <col min="2" max="9" width="11.140625" style="10614" customWidth="1"/>
    <col min="10" max="12" width="11.140625" style="10612" customWidth="1"/>
    <col min="13" max="13" width="5.42578125" style="10612" customWidth="1"/>
    <col min="14" max="18" width="11.140625" style="10612" customWidth="1"/>
    <col min="19" max="19" width="5.42578125" style="10612" customWidth="1"/>
    <col min="20" max="20" width="11.140625" style="10612" customWidth="1"/>
    <col min="21" max="23" width="11.140625" style="10615" customWidth="1"/>
    <col min="24" max="16384" width="10.140625" style="10615"/>
  </cols>
  <sheetData>
    <row r="1" spans="2:24" ht="15" customHeight="1" thickBot="1">
      <c r="B1" s="10612"/>
      <c r="C1" s="10612"/>
      <c r="D1" s="10612"/>
      <c r="E1" s="10612"/>
      <c r="F1" s="10612"/>
      <c r="G1" s="10612"/>
      <c r="H1" s="10612"/>
      <c r="I1" s="10612"/>
      <c r="P1" s="10613"/>
      <c r="Q1" s="10614"/>
      <c r="R1" s="10614"/>
    </row>
    <row r="2" spans="2:24" ht="30" customHeight="1" thickBot="1">
      <c r="B2" s="10612"/>
      <c r="C2" s="10612"/>
      <c r="D2" s="10612"/>
      <c r="E2" s="10612"/>
      <c r="F2" s="10612"/>
      <c r="G2" s="10612"/>
      <c r="H2" s="10612"/>
      <c r="I2" s="10612"/>
      <c r="O2" s="10616" t="s">
        <v>14</v>
      </c>
      <c r="P2" s="10617"/>
      <c r="Q2" s="10618"/>
    </row>
    <row r="3" spans="2:24" ht="30" customHeight="1">
      <c r="B3" s="10612"/>
      <c r="C3" s="10612"/>
      <c r="D3" s="10612"/>
      <c r="E3" s="10612"/>
      <c r="F3" s="10612"/>
      <c r="G3" s="10612"/>
      <c r="H3" s="10612"/>
      <c r="I3" s="10612"/>
      <c r="O3" s="10619"/>
      <c r="P3" s="10620"/>
      <c r="Q3" s="10621"/>
      <c r="T3" s="10615"/>
      <c r="W3" s="10612"/>
      <c r="X3" s="10612"/>
    </row>
    <row r="4" spans="2:24" ht="30" customHeight="1">
      <c r="B4" s="10612"/>
      <c r="C4" s="10612"/>
      <c r="D4" s="10612"/>
      <c r="E4" s="10612"/>
      <c r="F4" s="10612"/>
      <c r="G4" s="10612"/>
      <c r="H4" s="10612"/>
      <c r="I4" s="10612"/>
      <c r="O4" s="10619"/>
      <c r="P4" s="10620"/>
      <c r="Q4" s="10621"/>
      <c r="T4" s="10615"/>
      <c r="W4" s="10612"/>
    </row>
    <row r="5" spans="2:24" ht="30" customHeight="1">
      <c r="B5" s="10612"/>
      <c r="C5" s="10612"/>
      <c r="D5" s="10612"/>
      <c r="E5" s="10612"/>
      <c r="F5" s="10612"/>
      <c r="G5" s="10612"/>
      <c r="H5" s="10612"/>
      <c r="I5" s="10612"/>
      <c r="O5" s="10619"/>
      <c r="P5" s="10620"/>
      <c r="Q5" s="10621"/>
      <c r="T5" s="10615"/>
      <c r="W5" s="10612"/>
    </row>
    <row r="6" spans="2:24" ht="30" customHeight="1">
      <c r="B6" s="10612"/>
      <c r="C6" s="10612"/>
      <c r="D6" s="10612"/>
      <c r="E6" s="10612"/>
      <c r="F6" s="10612"/>
      <c r="G6" s="10612"/>
      <c r="H6" s="10612"/>
      <c r="I6" s="10612"/>
      <c r="O6" s="10619"/>
      <c r="P6" s="10620"/>
      <c r="Q6" s="10621"/>
      <c r="T6" s="10636"/>
      <c r="U6" s="10636"/>
      <c r="V6" s="10636"/>
      <c r="W6" s="10636"/>
      <c r="X6" s="10612"/>
    </row>
    <row r="7" spans="2:24" ht="30" customHeight="1">
      <c r="B7" s="10612"/>
      <c r="C7" s="10612"/>
      <c r="D7" s="10612"/>
      <c r="E7" s="10612"/>
      <c r="F7" s="10612"/>
      <c r="G7" s="10612"/>
      <c r="H7" s="10612"/>
      <c r="I7" s="10612"/>
      <c r="O7" s="10619"/>
      <c r="P7" s="10620"/>
      <c r="Q7" s="10621"/>
      <c r="T7" s="10636"/>
      <c r="U7" s="10636"/>
      <c r="V7" s="10636"/>
      <c r="W7" s="10636"/>
      <c r="X7" s="10612"/>
    </row>
    <row r="8" spans="2:24" ht="30" customHeight="1" thickBot="1">
      <c r="B8" s="10612"/>
      <c r="C8" s="10612"/>
      <c r="D8" s="10612"/>
      <c r="E8" s="10612"/>
      <c r="F8" s="10612"/>
      <c r="G8" s="10612"/>
      <c r="H8" s="10612"/>
      <c r="I8" s="10612"/>
      <c r="O8" s="10622"/>
      <c r="Q8" s="10621"/>
      <c r="T8" s="10636"/>
      <c r="U8" s="10636"/>
      <c r="V8" s="10636"/>
      <c r="W8" s="10636"/>
      <c r="X8" s="10612"/>
    </row>
    <row r="9" spans="2:24" ht="30" customHeight="1" thickBot="1">
      <c r="B9" s="10623" t="s">
        <v>1116</v>
      </c>
      <c r="C9" s="10623"/>
      <c r="D9" s="10623"/>
      <c r="E9" s="10623"/>
      <c r="F9" s="10623"/>
      <c r="G9" s="10623"/>
      <c r="H9" s="10623"/>
      <c r="I9" s="10623"/>
      <c r="J9" s="10623"/>
      <c r="K9" s="10623"/>
      <c r="L9" s="10623"/>
      <c r="O9" s="10616" t="s">
        <v>15</v>
      </c>
      <c r="P9" s="10617"/>
      <c r="Q9" s="10618"/>
      <c r="T9" s="10636"/>
      <c r="U9" s="10636"/>
      <c r="V9" s="10636"/>
      <c r="W9" s="10636"/>
    </row>
    <row r="10" spans="2:24" ht="15" customHeight="1" thickBot="1">
      <c r="B10" s="10612"/>
      <c r="C10" s="10612"/>
      <c r="D10" s="10612"/>
      <c r="E10" s="10612"/>
      <c r="F10" s="10612"/>
      <c r="G10" s="10612"/>
      <c r="H10" s="10612"/>
      <c r="I10" s="10612"/>
      <c r="O10" s="10624"/>
      <c r="P10" s="10624"/>
      <c r="T10" s="10615"/>
      <c r="W10" s="10612"/>
    </row>
    <row r="11" spans="2:24" ht="30" customHeight="1" thickBot="1">
      <c r="B11" s="10625" t="s">
        <v>1108</v>
      </c>
      <c r="C11" s="10626"/>
      <c r="D11" s="10626"/>
      <c r="E11" s="10626"/>
      <c r="F11" s="10626"/>
      <c r="G11" s="10626"/>
      <c r="H11" s="10626"/>
      <c r="I11" s="10626"/>
      <c r="J11" s="10626"/>
      <c r="K11" s="10626"/>
      <c r="L11" s="10627"/>
      <c r="N11" s="10625" t="s">
        <v>1109</v>
      </c>
      <c r="O11" s="10628"/>
      <c r="P11" s="10628"/>
      <c r="Q11" s="10628"/>
      <c r="R11" s="10629"/>
      <c r="U11" s="10612"/>
      <c r="V11" s="10612"/>
      <c r="W11" s="10612"/>
    </row>
    <row r="12" spans="2:24" ht="110.1" customHeight="1" thickBot="1">
      <c r="B12" s="10637" t="s">
        <v>1110</v>
      </c>
      <c r="C12" s="10638"/>
      <c r="D12" s="10638"/>
      <c r="E12" s="10638"/>
      <c r="F12" s="10638"/>
      <c r="G12" s="10638"/>
      <c r="H12" s="10638"/>
      <c r="I12" s="10638"/>
      <c r="J12" s="10638"/>
      <c r="K12" s="10638"/>
      <c r="L12" s="10639"/>
      <c r="N12" s="10640" t="s">
        <v>1111</v>
      </c>
      <c r="O12" s="10641"/>
      <c r="P12" s="10641"/>
      <c r="Q12" s="10641"/>
      <c r="R12" s="10642"/>
      <c r="S12" s="10614"/>
      <c r="T12" s="10615"/>
      <c r="W12" s="10612"/>
    </row>
    <row r="13" spans="2:24" ht="15" customHeight="1" thickBot="1">
      <c r="B13" s="10630"/>
      <c r="C13" s="10631"/>
      <c r="D13" s="10632"/>
      <c r="H13" s="10615"/>
      <c r="I13" s="10615"/>
      <c r="J13" s="10615"/>
      <c r="N13" s="10614"/>
      <c r="O13" s="10614"/>
      <c r="P13" s="10614"/>
      <c r="Q13" s="10614"/>
      <c r="R13" s="10614"/>
      <c r="S13" s="10614"/>
      <c r="T13" s="10614"/>
      <c r="U13" s="10614"/>
      <c r="V13" s="10612"/>
      <c r="W13" s="10612"/>
    </row>
    <row r="14" spans="2:24" ht="30" customHeight="1" thickBot="1">
      <c r="B14" s="10625" t="s">
        <v>1112</v>
      </c>
      <c r="C14" s="10626"/>
      <c r="D14" s="10626"/>
      <c r="E14" s="10626"/>
      <c r="F14" s="10626"/>
      <c r="G14" s="10626"/>
      <c r="H14" s="10626"/>
      <c r="I14" s="10626"/>
      <c r="J14" s="10626"/>
      <c r="K14" s="10626"/>
      <c r="L14" s="10627"/>
      <c r="N14" s="10625" t="s">
        <v>1113</v>
      </c>
      <c r="O14" s="10626"/>
      <c r="P14" s="10626"/>
      <c r="Q14" s="10626"/>
      <c r="R14" s="10627"/>
      <c r="U14" s="10612"/>
      <c r="V14" s="10612"/>
      <c r="W14" s="10612"/>
      <c r="X14" s="10612"/>
    </row>
    <row r="15" spans="2:24" ht="110.1" customHeight="1" thickBot="1">
      <c r="B15" s="10643" t="s">
        <v>1114</v>
      </c>
      <c r="C15" s="10644"/>
      <c r="D15" s="10644"/>
      <c r="E15" s="10644"/>
      <c r="F15" s="10644"/>
      <c r="G15" s="10644"/>
      <c r="H15" s="10644"/>
      <c r="I15" s="10644"/>
      <c r="J15" s="10644"/>
      <c r="K15" s="10644"/>
      <c r="L15" s="10645"/>
      <c r="N15" s="10640" t="s">
        <v>1115</v>
      </c>
      <c r="O15" s="10641"/>
      <c r="P15" s="10641"/>
      <c r="Q15" s="10641"/>
      <c r="R15" s="10642"/>
      <c r="S15" s="10614"/>
      <c r="T15" s="10615"/>
      <c r="W15" s="10612"/>
    </row>
    <row r="16" spans="2:24" ht="20.100000000000001" customHeight="1">
      <c r="X16" s="10612"/>
    </row>
    <row r="17" spans="1:24" ht="30" customHeight="1">
      <c r="A17" s="10615"/>
      <c r="B17" s="10615"/>
      <c r="C17" s="10615"/>
      <c r="D17" s="10615"/>
      <c r="E17" s="10615"/>
      <c r="F17" s="10615"/>
      <c r="G17" s="10615" t="e" vm="1">
        <v>#VALUE!</v>
      </c>
      <c r="H17" s="10615"/>
      <c r="I17" s="10615"/>
      <c r="J17" s="10615"/>
      <c r="K17" s="10615"/>
      <c r="L17" s="10615"/>
      <c r="M17" s="10615"/>
      <c r="R17" s="10615"/>
      <c r="S17" s="10615"/>
      <c r="T17" s="10615"/>
      <c r="X17" s="10612"/>
    </row>
    <row r="18" spans="1:24" ht="30" customHeight="1">
      <c r="A18" s="10615"/>
      <c r="B18" s="10615"/>
      <c r="C18" s="10615"/>
      <c r="D18" s="10615"/>
      <c r="E18" s="10615"/>
      <c r="F18" s="10615"/>
      <c r="G18" s="10615"/>
      <c r="H18" s="10615"/>
      <c r="I18" s="10615"/>
      <c r="J18" s="10615"/>
      <c r="K18" s="10615"/>
      <c r="L18" s="10615"/>
      <c r="M18" s="10615"/>
      <c r="R18" s="10615"/>
      <c r="S18" s="10615"/>
      <c r="T18" s="10615"/>
      <c r="X18" s="10612"/>
    </row>
    <row r="19" spans="1:24" s="10633" customFormat="1" ht="30" customHeight="1">
      <c r="N19" s="10614"/>
      <c r="O19" s="10614"/>
      <c r="P19" s="10614"/>
      <c r="Q19" s="10614"/>
      <c r="R19" s="10614"/>
      <c r="S19" s="10614"/>
      <c r="T19" s="10614"/>
      <c r="U19" s="10614"/>
      <c r="V19" s="10612"/>
      <c r="W19" s="10612"/>
      <c r="X19" s="10612"/>
    </row>
    <row r="20" spans="1:24" ht="30" customHeight="1">
      <c r="A20" s="10615"/>
      <c r="B20" s="10615"/>
      <c r="C20" s="10615"/>
      <c r="D20" s="10615"/>
      <c r="E20" s="10615"/>
      <c r="F20" s="10615"/>
      <c r="G20" s="10615"/>
      <c r="H20" s="10615"/>
      <c r="I20" s="10615"/>
      <c r="J20" s="10615"/>
      <c r="K20" s="10615"/>
      <c r="L20" s="10615"/>
      <c r="M20" s="10615"/>
      <c r="N20" s="10615"/>
      <c r="O20" s="10615"/>
      <c r="P20" s="10615"/>
      <c r="Q20" s="10615"/>
      <c r="R20" s="10614"/>
      <c r="S20" s="10614"/>
      <c r="T20" s="10614"/>
    </row>
    <row r="21" spans="1:24" ht="30" customHeight="1">
      <c r="A21" s="10615"/>
      <c r="B21" s="10615"/>
      <c r="C21" s="10615"/>
      <c r="D21" s="10615"/>
      <c r="E21" s="10615"/>
      <c r="F21" s="10615"/>
      <c r="G21" s="10615"/>
      <c r="H21" s="10615"/>
      <c r="I21" s="10615"/>
      <c r="J21" s="10615"/>
      <c r="K21" s="10615"/>
      <c r="L21" s="10615"/>
      <c r="M21" s="10615"/>
      <c r="N21" s="10615"/>
      <c r="O21" s="10615"/>
      <c r="P21" s="10615"/>
      <c r="Q21" s="10615"/>
      <c r="R21" s="10614"/>
      <c r="S21" s="10614"/>
      <c r="T21" s="10614"/>
    </row>
    <row r="22" spans="1:24" ht="30" customHeight="1">
      <c r="A22" s="10615"/>
      <c r="B22" s="10615"/>
      <c r="C22" s="10615"/>
      <c r="D22" s="10615"/>
      <c r="E22" s="10615"/>
      <c r="F22" s="10615"/>
      <c r="G22" s="10615"/>
      <c r="H22" s="10615"/>
      <c r="I22" s="10615"/>
      <c r="J22" s="10615"/>
      <c r="K22" s="10615"/>
      <c r="L22" s="10615"/>
      <c r="M22" s="10615"/>
    </row>
    <row r="23" spans="1:24" ht="30" customHeight="1">
      <c r="A23" s="10615"/>
      <c r="B23" s="10615"/>
      <c r="C23" s="10615"/>
      <c r="D23" s="10615"/>
      <c r="E23" s="10615"/>
      <c r="F23" s="10615"/>
      <c r="G23" s="10615"/>
      <c r="H23" s="10615"/>
      <c r="I23" s="10615"/>
      <c r="J23" s="10615"/>
      <c r="K23" s="10615"/>
      <c r="L23" s="10615"/>
      <c r="M23" s="10615"/>
    </row>
    <row r="24" spans="1:24" ht="20.100000000000001" customHeight="1">
      <c r="A24" s="10615"/>
      <c r="B24" s="10615"/>
      <c r="C24" s="10615"/>
      <c r="D24" s="10615"/>
      <c r="E24" s="10615"/>
      <c r="F24" s="10615"/>
      <c r="G24" s="10615"/>
      <c r="H24" s="10615"/>
      <c r="I24" s="10615"/>
      <c r="J24" s="10615"/>
      <c r="K24" s="10615"/>
      <c r="L24" s="10615"/>
      <c r="M24" s="10615"/>
      <c r="N24" s="10615"/>
      <c r="O24" s="10615"/>
      <c r="P24" s="10615"/>
      <c r="Q24" s="10615"/>
      <c r="R24" s="10614"/>
      <c r="S24" s="10614"/>
      <c r="T24" s="10614"/>
    </row>
    <row r="25" spans="1:24" ht="30" customHeight="1">
      <c r="A25" s="10615"/>
      <c r="B25" s="10615"/>
      <c r="C25" s="10615"/>
      <c r="D25" s="10615"/>
      <c r="E25" s="10615"/>
      <c r="F25" s="10615"/>
      <c r="G25" s="10615"/>
      <c r="H25" s="10615"/>
      <c r="I25" s="10615"/>
      <c r="J25" s="10615"/>
      <c r="K25" s="10615"/>
      <c r="L25" s="10615"/>
      <c r="M25" s="10615"/>
    </row>
    <row r="26" spans="1:24" ht="89.45" customHeight="1">
      <c r="A26" s="10615"/>
      <c r="B26" s="10615"/>
      <c r="C26" s="10615"/>
      <c r="D26" s="10615"/>
      <c r="E26" s="10615"/>
      <c r="F26" s="10615"/>
      <c r="G26" s="10615"/>
      <c r="H26" s="10615"/>
      <c r="I26" s="10615"/>
      <c r="J26" s="10615"/>
      <c r="K26" s="10615"/>
      <c r="L26" s="10615"/>
      <c r="M26" s="10615"/>
      <c r="N26" s="10615"/>
      <c r="O26" s="10615"/>
      <c r="P26" s="10615"/>
      <c r="Q26" s="10615"/>
      <c r="R26" s="10614"/>
      <c r="S26" s="10614"/>
      <c r="T26" s="10614"/>
    </row>
    <row r="28" spans="1:24" ht="30" customHeight="1">
      <c r="A28" s="10615"/>
      <c r="B28" s="10615"/>
      <c r="C28" s="10615"/>
      <c r="D28" s="10615"/>
      <c r="E28" s="10615"/>
      <c r="F28" s="10615"/>
      <c r="G28" s="10615"/>
      <c r="H28" s="10615"/>
      <c r="I28" s="10615"/>
      <c r="J28" s="10615"/>
      <c r="K28" s="10615"/>
      <c r="L28" s="10615"/>
      <c r="M28" s="10615"/>
    </row>
    <row r="29" spans="1:24" ht="86.45" customHeight="1">
      <c r="A29" s="10615"/>
      <c r="B29" s="10615"/>
      <c r="C29" s="10615"/>
      <c r="D29" s="10615"/>
      <c r="E29" s="10615"/>
      <c r="F29" s="10615"/>
      <c r="G29" s="10615"/>
      <c r="H29" s="10615"/>
      <c r="I29" s="10615"/>
      <c r="J29" s="10615"/>
      <c r="K29" s="10615"/>
      <c r="L29" s="10615"/>
      <c r="M29" s="10615"/>
    </row>
    <row r="30" spans="1:24" ht="20.100000000000001" customHeight="1">
      <c r="A30" s="10615"/>
      <c r="B30" s="10615"/>
      <c r="C30" s="10615"/>
      <c r="D30" s="10615"/>
      <c r="E30" s="10615"/>
      <c r="F30" s="10615"/>
      <c r="G30" s="10615"/>
      <c r="H30" s="10615"/>
      <c r="I30" s="10615"/>
      <c r="J30" s="10615"/>
      <c r="K30" s="10615"/>
      <c r="L30" s="10615"/>
      <c r="M30" s="10615"/>
    </row>
    <row r="32" spans="1:24" ht="20.100000000000001" customHeight="1">
      <c r="B32" s="10612"/>
      <c r="C32" s="10612"/>
      <c r="D32" s="10612"/>
      <c r="E32" s="10612"/>
      <c r="F32" s="10612"/>
      <c r="G32" s="10612"/>
      <c r="H32" s="10612"/>
      <c r="I32" s="10612"/>
      <c r="P32" s="10613"/>
      <c r="Q32" s="10614"/>
      <c r="R32" s="10614"/>
    </row>
    <row r="34" spans="2:20" ht="20.100000000000001" customHeight="1">
      <c r="B34" s="10634"/>
      <c r="C34" s="10631"/>
      <c r="H34" s="10615"/>
      <c r="I34" s="10615"/>
      <c r="J34" s="10615"/>
      <c r="K34" s="10615"/>
      <c r="M34" s="10615"/>
      <c r="N34" s="10615"/>
      <c r="O34" s="10615"/>
      <c r="P34" s="10615"/>
      <c r="Q34" s="10615"/>
      <c r="R34" s="10614"/>
      <c r="S34" s="10614"/>
      <c r="T34" s="10614"/>
    </row>
    <row r="35" spans="2:20" ht="20.100000000000001" customHeight="1">
      <c r="B35" s="10630"/>
      <c r="C35" s="10631"/>
      <c r="H35" s="10615"/>
      <c r="I35" s="10615"/>
      <c r="J35" s="10615"/>
      <c r="K35" s="10615"/>
      <c r="M35" s="10615"/>
      <c r="N35" s="10615"/>
      <c r="O35" s="10615"/>
      <c r="P35" s="10615"/>
      <c r="Q35" s="10615"/>
      <c r="R35" s="10614"/>
      <c r="S35" s="10614"/>
      <c r="T35" s="10614"/>
    </row>
    <row r="36" spans="2:20" ht="20.100000000000001" customHeight="1">
      <c r="B36" s="10630"/>
      <c r="C36" s="10631"/>
      <c r="H36" s="10615"/>
      <c r="I36" s="10615"/>
      <c r="J36" s="10615"/>
      <c r="K36" s="10615"/>
      <c r="M36" s="10615"/>
      <c r="N36" s="10615"/>
      <c r="O36" s="10615"/>
      <c r="P36" s="10615"/>
      <c r="Q36" s="10615"/>
      <c r="R36" s="10614"/>
      <c r="S36" s="10614"/>
      <c r="T36" s="10614"/>
    </row>
    <row r="37" spans="2:20" ht="20.100000000000001" customHeight="1">
      <c r="B37" s="10630"/>
      <c r="C37" s="10631"/>
      <c r="D37" s="10632"/>
      <c r="H37" s="10615"/>
      <c r="I37" s="10615"/>
      <c r="J37" s="10615"/>
      <c r="K37" s="10615"/>
      <c r="M37" s="10615"/>
      <c r="N37" s="10615"/>
      <c r="O37" s="10615"/>
      <c r="P37" s="10615"/>
      <c r="Q37" s="10615"/>
      <c r="R37" s="10614"/>
      <c r="S37" s="10614"/>
      <c r="T37" s="10614"/>
    </row>
    <row r="1000" spans="648:648" ht="15">
      <c r="XX1000" s="10635">
        <v>125713</v>
      </c>
    </row>
  </sheetData>
  <mergeCells count="5">
    <mergeCell ref="T6:W9"/>
    <mergeCell ref="B12:L12"/>
    <mergeCell ref="N12:R12"/>
    <mergeCell ref="B15:L15"/>
    <mergeCell ref="N15:R1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AF54B-B6E7-4F91-B9A4-3A2EAD7278F3}">
  <sheetPr codeName="Sheet3"/>
  <dimension ref="A1:XX1000"/>
  <sheetViews>
    <sheetView showGridLines="0" workbookViewId="0">
      <selection activeCell="M34" sqref="M34"/>
    </sheetView>
  </sheetViews>
  <sheetFormatPr defaultColWidth="8.85546875" defaultRowHeight="15"/>
  <sheetData>
    <row r="1" spans="1:1">
      <c r="A1" s="44" t="s">
        <v>0</v>
      </c>
    </row>
    <row r="2" spans="1:1">
      <c r="A2" t="s">
        <v>1</v>
      </c>
    </row>
    <row r="21" spans="1:1">
      <c r="A21" t="s">
        <v>2</v>
      </c>
    </row>
    <row r="22" spans="1:1">
      <c r="A22" t="s">
        <v>3</v>
      </c>
    </row>
    <row r="43" spans="1:1">
      <c r="A43" t="s">
        <v>4</v>
      </c>
    </row>
    <row r="44" spans="1:1">
      <c r="A44" t="s">
        <v>5</v>
      </c>
    </row>
    <row r="45" spans="1:1">
      <c r="A45" t="s">
        <v>6</v>
      </c>
    </row>
    <row r="46" spans="1:1">
      <c r="A46" t="s">
        <v>7</v>
      </c>
    </row>
    <row r="47" spans="1:1">
      <c r="A47" t="s">
        <v>8</v>
      </c>
    </row>
    <row r="48" spans="1:1">
      <c r="A48" t="s">
        <v>9</v>
      </c>
    </row>
    <row r="49" spans="1:1">
      <c r="A49" t="s">
        <v>10</v>
      </c>
    </row>
    <row r="71" spans="1:1">
      <c r="A71" t="s">
        <v>11</v>
      </c>
    </row>
    <row r="1000" spans="648:648" ht="15.75">
      <c r="XX1000" s="10635">
        <v>125713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D33FE-960D-42D3-AF09-0E29BAFEC3C6}">
  <sheetPr codeName="Sheet10">
    <tabColor rgb="FF001838"/>
  </sheetPr>
  <dimension ref="A1:XX1000"/>
  <sheetViews>
    <sheetView showGridLines="0" topLeftCell="A23" zoomScale="70" zoomScaleNormal="70" workbookViewId="0">
      <selection activeCell="Q49" sqref="Q49"/>
    </sheetView>
  </sheetViews>
  <sheetFormatPr defaultColWidth="4.42578125" defaultRowHeight="18.95" customHeight="1"/>
  <cols>
    <col min="1" max="1" width="4.42578125" style="69"/>
    <col min="2" max="2" width="3.85546875" style="69" customWidth="1"/>
    <col min="3" max="16384" width="4.42578125" style="69"/>
  </cols>
  <sheetData>
    <row r="1" spans="1:42" s="47" customFormat="1" ht="15" customHeight="1">
      <c r="A1" s="47" t="s">
        <v>12</v>
      </c>
    </row>
    <row r="2" spans="1:42" s="47" customFormat="1" ht="33" customHeight="1">
      <c r="B2" s="48" t="s">
        <v>1117</v>
      </c>
      <c r="C2" s="48"/>
      <c r="D2" s="48"/>
      <c r="E2" s="48"/>
      <c r="F2" s="48"/>
      <c r="G2" s="48"/>
      <c r="H2" s="48"/>
      <c r="I2" s="48"/>
      <c r="J2" s="48"/>
      <c r="K2" s="48"/>
      <c r="L2" s="48"/>
      <c r="M2" s="48"/>
      <c r="N2" s="48"/>
      <c r="O2" s="48"/>
      <c r="P2" s="48"/>
      <c r="Q2" s="48"/>
      <c r="R2" s="48"/>
      <c r="S2" s="48"/>
      <c r="T2" s="48"/>
      <c r="U2" s="48"/>
      <c r="V2" s="48"/>
      <c r="W2" s="48"/>
      <c r="X2" s="48"/>
      <c r="Y2" s="48"/>
      <c r="Z2" s="48"/>
      <c r="AA2" s="48"/>
      <c r="AB2" s="48"/>
      <c r="AC2" s="48"/>
      <c r="AD2" s="48"/>
      <c r="AE2" s="48"/>
      <c r="AF2" s="48"/>
      <c r="AG2" s="48"/>
      <c r="AH2" s="48"/>
      <c r="AI2" s="48"/>
      <c r="AJ2" s="48"/>
      <c r="AK2" s="48"/>
      <c r="AL2" s="48"/>
      <c r="AM2" s="48"/>
      <c r="AN2" s="48"/>
      <c r="AO2" s="48"/>
      <c r="AP2" s="48"/>
    </row>
    <row r="3" spans="1:42" s="47" customFormat="1" ht="15" customHeight="1">
      <c r="B3" s="49"/>
      <c r="C3" s="49"/>
      <c r="D3" s="49"/>
      <c r="E3" s="50"/>
      <c r="F3" s="49"/>
      <c r="G3" s="49"/>
      <c r="H3" s="49"/>
      <c r="I3" s="49"/>
      <c r="J3" s="49"/>
      <c r="K3" s="49"/>
      <c r="L3" s="49"/>
      <c r="M3" s="49"/>
      <c r="N3" s="49"/>
    </row>
    <row r="4" spans="1:42" s="47" customFormat="1" ht="30" customHeight="1">
      <c r="B4" s="51" t="s">
        <v>1116</v>
      </c>
      <c r="C4" s="51"/>
      <c r="D4" s="51"/>
      <c r="E4" s="51"/>
      <c r="F4" s="51"/>
      <c r="G4" s="51"/>
      <c r="H4" s="51"/>
      <c r="I4" s="51"/>
      <c r="J4" s="51"/>
      <c r="K4" s="51"/>
      <c r="L4" s="51"/>
      <c r="M4" s="51"/>
      <c r="N4" s="51"/>
      <c r="O4" s="51"/>
      <c r="P4" s="51"/>
      <c r="Q4" s="51"/>
      <c r="R4" s="51"/>
      <c r="S4" s="51"/>
      <c r="T4" s="51"/>
      <c r="U4" s="51"/>
      <c r="V4" s="51"/>
      <c r="W4" s="51"/>
      <c r="X4" s="51"/>
      <c r="Y4" s="51"/>
      <c r="Z4" s="51"/>
      <c r="AA4" s="51"/>
      <c r="AB4" s="51"/>
      <c r="AC4" s="51"/>
      <c r="AE4" s="52"/>
      <c r="AF4" s="53" t="s">
        <v>14</v>
      </c>
      <c r="AG4" s="54"/>
      <c r="AH4" s="54"/>
      <c r="AI4" s="54"/>
      <c r="AJ4" s="54"/>
      <c r="AK4" s="54"/>
      <c r="AL4" s="54"/>
      <c r="AM4" s="54"/>
      <c r="AN4" s="54"/>
    </row>
    <row r="5" spans="1:42" s="47" customFormat="1" ht="30" customHeight="1">
      <c r="E5" s="55"/>
      <c r="AE5" s="52"/>
      <c r="AF5" s="56" t="s">
        <v>15</v>
      </c>
      <c r="AG5" s="57"/>
      <c r="AH5" s="57"/>
      <c r="AI5" s="57"/>
      <c r="AJ5" s="57"/>
      <c r="AK5" s="57"/>
      <c r="AL5" s="57"/>
      <c r="AM5" s="57"/>
      <c r="AN5" s="57"/>
    </row>
    <row r="6" spans="1:42" s="47" customFormat="1" ht="30" customHeight="1">
      <c r="E6" s="55"/>
      <c r="AI6" s="58"/>
      <c r="AK6" s="58"/>
    </row>
    <row r="7" spans="1:42" s="47" customFormat="1" ht="30" customHeight="1" thickBot="1">
      <c r="E7" s="55"/>
      <c r="AF7" s="53" t="s">
        <v>16</v>
      </c>
      <c r="AG7" s="54"/>
      <c r="AH7" s="54"/>
      <c r="AI7" s="54"/>
      <c r="AJ7" s="54"/>
      <c r="AK7" s="54"/>
      <c r="AL7" s="54"/>
      <c r="AM7" s="10596"/>
      <c r="AN7" s="10596"/>
    </row>
    <row r="8" spans="1:42" s="47" customFormat="1" ht="30" customHeight="1" thickBot="1">
      <c r="E8" s="55"/>
      <c r="AF8" s="10597" t="s">
        <v>17</v>
      </c>
      <c r="AG8" s="10598"/>
      <c r="AH8" s="10598"/>
      <c r="AI8" s="10599"/>
      <c r="AJ8" s="10598"/>
      <c r="AK8" s="10599"/>
      <c r="AL8" s="10597"/>
      <c r="AM8" s="10598"/>
      <c r="AN8" s="10600">
        <v>1</v>
      </c>
    </row>
    <row r="9" spans="1:42" s="47" customFormat="1" ht="30" customHeight="1" thickBot="1">
      <c r="E9" s="55"/>
      <c r="AF9" s="10597" t="s">
        <v>18</v>
      </c>
      <c r="AG9" s="10598"/>
      <c r="AH9" s="10598"/>
      <c r="AI9" s="10599"/>
      <c r="AJ9" s="10598"/>
      <c r="AK9" s="10599"/>
      <c r="AL9" s="10597"/>
      <c r="AM9" s="10598"/>
      <c r="AN9" s="10600">
        <v>0</v>
      </c>
    </row>
    <row r="10" spans="1:42" s="47" customFormat="1" ht="30" customHeight="1" thickBot="1">
      <c r="E10" s="55"/>
      <c r="AF10" s="10597" t="s">
        <v>19</v>
      </c>
      <c r="AG10" s="10598"/>
      <c r="AH10" s="10598"/>
      <c r="AI10" s="10599"/>
      <c r="AJ10" s="10598"/>
      <c r="AK10" s="10599"/>
      <c r="AL10" s="10597"/>
      <c r="AM10" s="10598"/>
      <c r="AN10" s="10600">
        <v>0</v>
      </c>
    </row>
    <row r="11" spans="1:42" s="47" customFormat="1" ht="30" customHeight="1" thickBot="1">
      <c r="E11" s="55"/>
      <c r="AF11" s="10597" t="s">
        <v>20</v>
      </c>
      <c r="AG11" s="10598"/>
      <c r="AH11" s="10598"/>
      <c r="AI11" s="10599"/>
      <c r="AJ11" s="10598"/>
      <c r="AK11" s="10599"/>
      <c r="AL11" s="10597"/>
      <c r="AM11" s="10598"/>
      <c r="AN11" s="10600">
        <v>1</v>
      </c>
    </row>
    <row r="12" spans="1:42" s="47" customFormat="1" ht="30" customHeight="1">
      <c r="E12" s="55"/>
      <c r="K12" s="58"/>
      <c r="L12" s="58"/>
      <c r="M12" s="58"/>
      <c r="N12" s="58"/>
      <c r="AF12" s="10602"/>
    </row>
    <row r="13" spans="1:42" s="47" customFormat="1" ht="15" customHeight="1">
      <c r="E13" s="55"/>
      <c r="K13" s="59"/>
      <c r="L13" s="59"/>
      <c r="M13" s="59"/>
      <c r="N13" s="59"/>
    </row>
    <row r="14" spans="1:42" s="47" customFormat="1" ht="30" customHeight="1">
      <c r="B14" s="60" t="s">
        <v>21</v>
      </c>
      <c r="C14" s="60"/>
      <c r="D14" s="60"/>
      <c r="E14" s="60"/>
      <c r="F14" s="60"/>
      <c r="G14" s="60"/>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row>
    <row r="15" spans="1:42" s="47" customFormat="1" ht="15" customHeight="1">
      <c r="B15" s="61" t="s">
        <v>22</v>
      </c>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3"/>
    </row>
    <row r="16" spans="1:42" s="47" customFormat="1" ht="15" customHeight="1">
      <c r="B16" s="64" t="s">
        <v>23</v>
      </c>
      <c r="C16" s="65"/>
      <c r="D16" s="65"/>
      <c r="E16" s="65"/>
      <c r="F16" s="65"/>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6"/>
    </row>
    <row r="17" spans="2:42" s="47" customFormat="1" ht="15" customHeight="1">
      <c r="B17" s="64" t="s">
        <v>24</v>
      </c>
      <c r="C17" s="65"/>
      <c r="D17" s="65"/>
      <c r="E17" s="65"/>
      <c r="F17" s="65"/>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6"/>
    </row>
    <row r="18" spans="2:42" s="47" customFormat="1" ht="15" customHeight="1">
      <c r="B18" s="64" t="s">
        <v>25</v>
      </c>
      <c r="C18" s="65"/>
      <c r="D18" s="65"/>
      <c r="E18" s="65"/>
      <c r="F18" s="65"/>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6"/>
    </row>
    <row r="19" spans="2:42" s="47" customFormat="1" ht="15" customHeight="1">
      <c r="B19" s="64" t="s">
        <v>26</v>
      </c>
      <c r="C19" s="65"/>
      <c r="D19" s="65"/>
      <c r="E19" s="65"/>
      <c r="F19" s="65"/>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6"/>
    </row>
    <row r="20" spans="2:42" s="47" customFormat="1" ht="15" customHeight="1">
      <c r="B20" s="64"/>
      <c r="C20" s="65"/>
      <c r="D20" s="65"/>
      <c r="E20" s="65"/>
      <c r="F20" s="65"/>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6"/>
    </row>
    <row r="21" spans="2:42" s="47" customFormat="1" ht="15" customHeight="1">
      <c r="B21" s="64" t="s">
        <v>27</v>
      </c>
      <c r="C21" s="65"/>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6"/>
    </row>
    <row r="22" spans="2:42" s="47" customFormat="1" ht="15" customHeight="1">
      <c r="B22" s="64" t="s">
        <v>28</v>
      </c>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6"/>
    </row>
    <row r="23" spans="2:42" s="47" customFormat="1" ht="15" customHeight="1">
      <c r="B23" s="64"/>
      <c r="C23" s="65"/>
      <c r="D23" s="65"/>
      <c r="E23" s="65"/>
      <c r="F23" s="65"/>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6"/>
    </row>
    <row r="24" spans="2:42" s="47" customFormat="1" ht="15" customHeight="1">
      <c r="B24" s="64" t="s">
        <v>29</v>
      </c>
      <c r="C24" s="65"/>
      <c r="D24" s="65"/>
      <c r="E24" s="65"/>
      <c r="F24" s="65"/>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6"/>
    </row>
    <row r="25" spans="2:42" s="47" customFormat="1" ht="15" customHeight="1">
      <c r="B25" s="64" t="s">
        <v>30</v>
      </c>
      <c r="C25" s="65"/>
      <c r="D25" s="65"/>
      <c r="E25" s="65"/>
      <c r="F25" s="65"/>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6"/>
    </row>
    <row r="26" spans="2:42" s="47" customFormat="1" ht="15" customHeight="1">
      <c r="B26" s="64" t="s">
        <v>31</v>
      </c>
      <c r="C26" s="65"/>
      <c r="D26" s="65"/>
      <c r="E26" s="65"/>
      <c r="F26" s="65"/>
      <c r="G26" s="65"/>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6"/>
    </row>
    <row r="27" spans="2:42" s="47" customFormat="1" ht="15" customHeight="1">
      <c r="B27" s="64"/>
      <c r="C27" s="65"/>
      <c r="D27" s="65"/>
      <c r="E27" s="65"/>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6"/>
    </row>
    <row r="28" spans="2:42" s="47" customFormat="1" ht="15" customHeight="1">
      <c r="B28" s="64" t="s">
        <v>32</v>
      </c>
      <c r="C28" s="65"/>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6"/>
    </row>
    <row r="29" spans="2:42" s="47" customFormat="1" ht="15" customHeight="1">
      <c r="B29" s="64" t="s">
        <v>33</v>
      </c>
      <c r="C29" s="65"/>
      <c r="D29" s="65"/>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6"/>
    </row>
    <row r="30" spans="2:42" s="47" customFormat="1" ht="15" customHeight="1">
      <c r="B30" s="64" t="s">
        <v>34</v>
      </c>
      <c r="C30" s="65"/>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6"/>
    </row>
    <row r="31" spans="2:42" s="47" customFormat="1" ht="15" customHeight="1">
      <c r="B31" s="10601"/>
      <c r="C31" s="67"/>
      <c r="D31" s="67"/>
      <c r="E31" s="67"/>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8"/>
    </row>
    <row r="32" spans="2:42" s="47" customFormat="1" ht="15" customHeight="1">
      <c r="B32" s="10603"/>
      <c r="C32" s="65"/>
      <c r="D32" s="65"/>
      <c r="E32" s="65"/>
      <c r="F32" s="65"/>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row>
    <row r="33" spans="2:41" s="47" customFormat="1" ht="15" customHeight="1">
      <c r="B33" s="10603"/>
      <c r="C33" s="65"/>
      <c r="D33" s="65"/>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row>
    <row r="34" spans="2:41" s="47" customFormat="1" ht="15" customHeight="1">
      <c r="B34" s="10603"/>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row>
    <row r="35" spans="2:41" s="47" customFormat="1" ht="15" customHeight="1">
      <c r="B35" s="10603"/>
      <c r="C35" s="65"/>
      <c r="D35" s="65"/>
      <c r="E35" s="65"/>
      <c r="F35" s="65"/>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row>
    <row r="36" spans="2:41" s="47" customFormat="1" ht="15" customHeight="1">
      <c r="B36" s="65"/>
      <c r="C36" s="65"/>
      <c r="D36" s="65"/>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row>
    <row r="37" spans="2:41" ht="18.95" customHeight="1">
      <c r="B37"/>
    </row>
    <row r="39" spans="2:41" ht="15.75">
      <c r="B39" s="10611" t="s">
        <v>35</v>
      </c>
    </row>
    <row r="40" spans="2:41" ht="15.75">
      <c r="B40" s="10610" t="s">
        <v>36</v>
      </c>
    </row>
    <row r="41" spans="2:41" ht="15.75">
      <c r="B41" s="10610" t="s">
        <v>36</v>
      </c>
    </row>
    <row r="42" spans="2:41" ht="15.75">
      <c r="B42" s="10610" t="s">
        <v>36</v>
      </c>
    </row>
    <row r="43" spans="2:41" ht="15.75">
      <c r="B43" s="10610" t="s">
        <v>36</v>
      </c>
    </row>
    <row r="44" spans="2:41" ht="15.75">
      <c r="B44" s="10610" t="s">
        <v>36</v>
      </c>
    </row>
    <row r="45" spans="2:41" ht="15.75">
      <c r="B45" s="10610" t="s">
        <v>36</v>
      </c>
    </row>
    <row r="46" spans="2:41" ht="15.75">
      <c r="B46" s="10610" t="s">
        <v>36</v>
      </c>
    </row>
    <row r="47" spans="2:41" ht="15.75">
      <c r="B47" s="10610" t="s">
        <v>36</v>
      </c>
    </row>
    <row r="48" spans="2:41" ht="15.75">
      <c r="B48" s="10610" t="s">
        <v>36</v>
      </c>
    </row>
    <row r="49" spans="2:17" ht="15.75">
      <c r="B49" s="69" t="s">
        <v>37</v>
      </c>
      <c r="C49" s="69" t="s">
        <v>37</v>
      </c>
      <c r="D49" s="69" t="s">
        <v>37</v>
      </c>
      <c r="E49" s="69" t="s">
        <v>37</v>
      </c>
      <c r="F49" s="69" t="s">
        <v>37</v>
      </c>
      <c r="G49" s="69" t="s">
        <v>37</v>
      </c>
      <c r="H49" s="69" t="s">
        <v>37</v>
      </c>
      <c r="I49" s="69" t="s">
        <v>37</v>
      </c>
      <c r="J49" s="69" t="s">
        <v>37</v>
      </c>
      <c r="K49" s="69" t="s">
        <v>37</v>
      </c>
      <c r="L49" s="69" t="s">
        <v>37</v>
      </c>
      <c r="M49" s="69" t="s">
        <v>37</v>
      </c>
      <c r="N49" s="69" t="s">
        <v>37</v>
      </c>
      <c r="O49" s="69" t="s">
        <v>37</v>
      </c>
      <c r="P49" s="69" t="s">
        <v>37</v>
      </c>
      <c r="Q49" s="10564"/>
    </row>
    <row r="1000" spans="648:648" ht="15.75">
      <c r="XX1000" s="10635">
        <v>125713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30FB7-D098-4BAE-90F1-F4AD48CD1CE2}">
  <sheetPr codeName="Sheet12">
    <tabColor rgb="FF001838"/>
  </sheetPr>
  <dimension ref="A1:AP37"/>
  <sheetViews>
    <sheetView showGridLines="0" zoomScaleNormal="100" workbookViewId="0">
      <selection activeCell="AK1" sqref="AK1"/>
    </sheetView>
  </sheetViews>
  <sheetFormatPr defaultColWidth="0" defaultRowHeight="15.75" zeroHeight="1"/>
  <cols>
    <col min="1" max="42" width="3.7109375" style="52" customWidth="1"/>
    <col min="43" max="16384" width="4.42578125" style="52" hidden="1"/>
  </cols>
  <sheetData>
    <row r="1" spans="1:42">
      <c r="A1" s="138" t="s">
        <v>36</v>
      </c>
      <c r="B1" s="71"/>
      <c r="C1" s="72"/>
      <c r="D1" s="73"/>
      <c r="E1" s="74"/>
      <c r="F1" s="75"/>
      <c r="G1" s="76"/>
      <c r="H1" s="77"/>
      <c r="I1" s="78"/>
      <c r="J1" s="79"/>
      <c r="K1" s="80"/>
      <c r="L1" s="81"/>
      <c r="M1" s="82"/>
      <c r="N1" s="83"/>
      <c r="O1" s="84"/>
      <c r="P1" s="85"/>
      <c r="Q1" s="86"/>
      <c r="R1" s="87"/>
      <c r="S1" s="79"/>
      <c r="T1" s="88"/>
      <c r="U1" s="89"/>
      <c r="V1" s="90"/>
      <c r="W1" s="91"/>
      <c r="X1" s="92"/>
      <c r="Y1" s="93"/>
      <c r="Z1" s="94"/>
      <c r="AA1" s="95"/>
      <c r="AB1" s="96"/>
      <c r="AC1" s="97"/>
      <c r="AD1" s="98"/>
      <c r="AE1" s="99"/>
      <c r="AF1" s="100"/>
      <c r="AG1" s="101"/>
      <c r="AH1" s="102"/>
      <c r="AI1" s="103"/>
      <c r="AJ1" s="104"/>
      <c r="AK1" s="105" t="s">
        <v>38</v>
      </c>
      <c r="AL1" s="106"/>
      <c r="AM1" s="107"/>
      <c r="AN1" s="108"/>
      <c r="AO1" s="109"/>
      <c r="AP1" s="110"/>
    </row>
    <row r="2" spans="1:42">
      <c r="A2" s="138" t="s">
        <v>36</v>
      </c>
      <c r="B2" s="112"/>
      <c r="C2" s="112"/>
      <c r="D2" s="113"/>
      <c r="E2" s="114"/>
      <c r="F2" s="115"/>
      <c r="G2" s="116"/>
      <c r="H2" s="117"/>
      <c r="I2" s="118"/>
      <c r="J2" s="119"/>
      <c r="K2" s="120"/>
      <c r="L2" s="121"/>
      <c r="M2" s="122"/>
      <c r="N2" s="123"/>
      <c r="O2" s="124"/>
      <c r="P2" s="85"/>
      <c r="Q2" s="85"/>
      <c r="R2" s="125"/>
      <c r="S2" s="126"/>
      <c r="T2" s="127"/>
      <c r="U2" s="128"/>
      <c r="V2" s="83"/>
      <c r="W2" s="129"/>
      <c r="X2" s="130"/>
      <c r="Y2" s="131"/>
      <c r="Z2" s="90"/>
      <c r="AA2" s="96"/>
      <c r="AB2" s="90"/>
      <c r="AC2" s="128"/>
      <c r="AD2" s="132"/>
      <c r="AE2" s="123"/>
      <c r="AF2" s="133"/>
      <c r="AG2" s="134"/>
      <c r="AH2" s="135"/>
      <c r="AI2" s="136"/>
      <c r="AJ2" s="137"/>
      <c r="AK2" s="138" t="s">
        <v>38</v>
      </c>
      <c r="AL2" s="139"/>
      <c r="AM2" s="140"/>
      <c r="AN2" s="141"/>
      <c r="AO2" s="142"/>
      <c r="AP2" s="143"/>
    </row>
    <row r="3" spans="1:42">
      <c r="A3" s="138" t="s">
        <v>36</v>
      </c>
      <c r="B3" s="144"/>
      <c r="C3" s="145"/>
      <c r="D3" s="146"/>
      <c r="E3" s="147"/>
      <c r="F3" s="148"/>
      <c r="G3" s="149"/>
      <c r="H3" s="150"/>
      <c r="I3" s="151"/>
      <c r="J3" s="152"/>
      <c r="K3" s="153"/>
      <c r="L3" s="84"/>
      <c r="M3" s="154"/>
      <c r="N3" s="155"/>
      <c r="O3" s="156"/>
      <c r="P3" s="125"/>
      <c r="Q3" s="88"/>
      <c r="R3" s="157"/>
      <c r="S3" s="158"/>
      <c r="T3" s="159"/>
      <c r="U3" s="160"/>
      <c r="V3" s="88"/>
      <c r="W3" s="161"/>
      <c r="X3" s="162"/>
      <c r="Y3" s="124"/>
      <c r="Z3" s="124"/>
      <c r="AA3" s="88"/>
      <c r="AB3" s="130"/>
      <c r="AC3" s="155"/>
      <c r="AD3" s="84"/>
      <c r="AE3" s="89"/>
      <c r="AF3" s="82"/>
      <c r="AG3" s="96"/>
      <c r="AH3" s="163"/>
      <c r="AI3" s="99"/>
      <c r="AJ3" s="164"/>
      <c r="AK3" s="138" t="s">
        <v>38</v>
      </c>
      <c r="AL3" s="165"/>
      <c r="AM3" s="166"/>
      <c r="AN3" s="167"/>
      <c r="AO3" s="168"/>
      <c r="AP3" s="169"/>
    </row>
    <row r="4" spans="1:42">
      <c r="A4" s="138" t="s">
        <v>36</v>
      </c>
      <c r="B4" s="152"/>
      <c r="C4" s="171"/>
      <c r="D4" s="111"/>
      <c r="E4" s="171"/>
      <c r="F4" s="172"/>
      <c r="G4" s="173"/>
      <c r="H4" s="173"/>
      <c r="I4" s="171"/>
      <c r="J4" s="115"/>
      <c r="K4" s="174"/>
      <c r="L4" s="125"/>
      <c r="M4" s="162"/>
      <c r="N4" s="162"/>
      <c r="O4" s="175"/>
      <c r="P4" s="119"/>
      <c r="Q4" s="176"/>
      <c r="R4" s="177"/>
      <c r="S4" s="178"/>
      <c r="T4" s="179"/>
      <c r="U4" s="180"/>
      <c r="V4" s="181"/>
      <c r="W4" s="182"/>
      <c r="X4" s="183"/>
      <c r="Y4" s="153"/>
      <c r="Z4" s="88"/>
      <c r="AA4" s="124"/>
      <c r="AB4" s="157"/>
      <c r="AC4" s="124"/>
      <c r="AD4" s="184"/>
      <c r="AE4" s="185"/>
      <c r="AF4" s="186"/>
      <c r="AG4" s="94"/>
      <c r="AH4" s="163"/>
      <c r="AI4" s="187"/>
      <c r="AJ4" s="188"/>
      <c r="AK4" s="138" t="s">
        <v>38</v>
      </c>
      <c r="AL4" s="189"/>
      <c r="AM4" s="190"/>
      <c r="AN4" s="191"/>
      <c r="AO4" s="192"/>
      <c r="AP4" s="193"/>
    </row>
    <row r="5" spans="1:42">
      <c r="A5" s="138" t="s">
        <v>36</v>
      </c>
      <c r="B5" s="149"/>
      <c r="C5" s="195"/>
      <c r="D5" s="196"/>
      <c r="E5" s="173"/>
      <c r="F5" s="173"/>
      <c r="G5" s="171"/>
      <c r="H5" s="170"/>
      <c r="I5" s="147"/>
      <c r="J5" s="197"/>
      <c r="K5" s="171"/>
      <c r="L5" s="198"/>
      <c r="M5" s="146"/>
      <c r="N5" s="199"/>
      <c r="O5" s="200"/>
      <c r="P5" s="201"/>
      <c r="Q5" s="202"/>
      <c r="R5" s="203"/>
      <c r="S5" s="204"/>
      <c r="T5" s="205"/>
      <c r="U5" s="206"/>
      <c r="V5" s="207"/>
      <c r="W5" s="208"/>
      <c r="X5" s="209"/>
      <c r="Y5" s="210"/>
      <c r="Z5" s="211"/>
      <c r="AA5" s="124"/>
      <c r="AB5" s="124"/>
      <c r="AC5" s="85"/>
      <c r="AD5" s="212"/>
      <c r="AE5" s="160"/>
      <c r="AF5" s="213"/>
      <c r="AG5" s="214"/>
      <c r="AH5" s="215"/>
      <c r="AI5" s="216"/>
      <c r="AJ5" s="217"/>
      <c r="AK5" s="138" t="s">
        <v>38</v>
      </c>
      <c r="AL5" s="218"/>
      <c r="AM5" s="219"/>
      <c r="AN5" s="220"/>
      <c r="AO5" s="221"/>
      <c r="AP5" s="222"/>
    </row>
    <row r="6" spans="1:42">
      <c r="A6" s="138" t="s">
        <v>36</v>
      </c>
      <c r="B6" s="195"/>
      <c r="C6" s="156"/>
      <c r="D6" s="224"/>
      <c r="E6" s="78"/>
      <c r="F6" s="225"/>
      <c r="G6" s="151"/>
      <c r="H6" s="114"/>
      <c r="I6" s="111"/>
      <c r="J6" s="113"/>
      <c r="K6" s="226"/>
      <c r="L6" s="197"/>
      <c r="M6" s="227"/>
      <c r="N6" s="228"/>
      <c r="O6" s="229"/>
      <c r="P6" s="230"/>
      <c r="Q6" s="231"/>
      <c r="R6" s="232"/>
      <c r="S6" s="233"/>
      <c r="T6" s="234"/>
      <c r="U6" s="235"/>
      <c r="V6" s="236"/>
      <c r="W6" s="237"/>
      <c r="X6" s="238"/>
      <c r="Y6" s="239"/>
      <c r="Z6" s="88"/>
      <c r="AA6" s="240"/>
      <c r="AB6" s="241"/>
      <c r="AC6" s="242"/>
      <c r="AD6" s="243"/>
      <c r="AE6" s="128"/>
      <c r="AF6" s="94"/>
      <c r="AG6" s="214"/>
      <c r="AH6" s="215"/>
      <c r="AI6" s="244"/>
      <c r="AJ6" s="245"/>
      <c r="AK6" s="138" t="s">
        <v>38</v>
      </c>
      <c r="AL6" s="246"/>
      <c r="AM6" s="247"/>
      <c r="AN6" s="248"/>
      <c r="AO6" s="249"/>
      <c r="AP6" s="250"/>
    </row>
    <row r="7" spans="1:42">
      <c r="A7" s="138" t="s">
        <v>36</v>
      </c>
      <c r="B7" s="251"/>
      <c r="C7" s="175"/>
      <c r="D7" s="77"/>
      <c r="E7" s="252"/>
      <c r="F7" s="115"/>
      <c r="G7" s="253"/>
      <c r="H7" s="254"/>
      <c r="I7" s="111"/>
      <c r="J7" s="255"/>
      <c r="K7" s="170"/>
      <c r="L7" s="256"/>
      <c r="M7" s="257"/>
      <c r="N7" s="258"/>
      <c r="O7" s="259"/>
      <c r="P7" s="70" t="s">
        <v>37</v>
      </c>
      <c r="Q7" s="260" t="s">
        <v>37</v>
      </c>
      <c r="R7" s="260" t="s">
        <v>37</v>
      </c>
      <c r="S7" s="260" t="s">
        <v>37</v>
      </c>
      <c r="T7" s="260" t="s">
        <v>37</v>
      </c>
      <c r="U7" s="260" t="s">
        <v>37</v>
      </c>
      <c r="V7" s="105" t="s">
        <v>36</v>
      </c>
      <c r="W7" s="261"/>
      <c r="X7" s="262"/>
      <c r="Y7" s="263"/>
      <c r="Z7" s="264"/>
      <c r="AA7" s="265"/>
      <c r="AB7" s="266"/>
      <c r="AC7" s="267"/>
      <c r="AD7" s="268"/>
      <c r="AE7" s="91"/>
      <c r="AF7" s="269"/>
      <c r="AG7" s="215"/>
      <c r="AH7" s="270"/>
      <c r="AI7" s="244"/>
      <c r="AJ7" s="271"/>
      <c r="AK7" s="138" t="s">
        <v>38</v>
      </c>
      <c r="AL7" s="272"/>
      <c r="AM7" s="273"/>
      <c r="AN7" s="274"/>
      <c r="AO7" s="109"/>
      <c r="AP7" s="275"/>
    </row>
    <row r="8" spans="1:42">
      <c r="A8" s="138" t="s">
        <v>36</v>
      </c>
      <c r="B8" s="276"/>
      <c r="C8" s="146"/>
      <c r="D8" s="277"/>
      <c r="E8" s="171"/>
      <c r="F8" s="198"/>
      <c r="G8" s="198"/>
      <c r="H8" s="171"/>
      <c r="I8" s="145"/>
      <c r="J8" s="278"/>
      <c r="K8" s="279"/>
      <c r="L8" s="280"/>
      <c r="M8" s="281"/>
      <c r="N8" s="282"/>
      <c r="O8" s="283"/>
      <c r="P8" s="138" t="s">
        <v>38</v>
      </c>
      <c r="Q8" s="284"/>
      <c r="R8" s="285"/>
      <c r="S8" s="286"/>
      <c r="T8" s="287"/>
      <c r="U8" s="288"/>
      <c r="V8" s="138" t="s">
        <v>36</v>
      </c>
      <c r="W8" s="289"/>
      <c r="X8" s="290"/>
      <c r="Y8" s="291"/>
      <c r="Z8" s="292"/>
      <c r="AA8" s="293"/>
      <c r="AB8" s="294"/>
      <c r="AC8" s="295"/>
      <c r="AD8" s="296"/>
      <c r="AE8" s="297"/>
      <c r="AF8" s="298"/>
      <c r="AG8" s="299"/>
      <c r="AH8" s="300"/>
      <c r="AI8" s="301"/>
      <c r="AJ8" s="302"/>
      <c r="AK8" s="138" t="s">
        <v>38</v>
      </c>
      <c r="AL8" s="303"/>
      <c r="AM8" s="304"/>
      <c r="AN8" s="305"/>
      <c r="AO8" s="306"/>
      <c r="AP8" s="307"/>
    </row>
    <row r="9" spans="1:42">
      <c r="A9" s="138" t="s">
        <v>36</v>
      </c>
      <c r="B9" s="196"/>
      <c r="C9" s="308"/>
      <c r="D9" s="173"/>
      <c r="E9" s="148"/>
      <c r="F9" s="309"/>
      <c r="G9" s="170"/>
      <c r="H9" s="310"/>
      <c r="I9" s="311"/>
      <c r="J9" s="311"/>
      <c r="K9" s="311"/>
      <c r="L9" s="312"/>
      <c r="M9" s="313"/>
      <c r="N9" s="314"/>
      <c r="O9" s="315"/>
      <c r="P9" s="138" t="s">
        <v>38</v>
      </c>
      <c r="Q9" s="316"/>
      <c r="R9" s="317"/>
      <c r="S9" s="318"/>
      <c r="T9" s="319"/>
      <c r="U9" s="320"/>
      <c r="V9" s="138" t="s">
        <v>36</v>
      </c>
      <c r="W9" s="321"/>
      <c r="X9" s="322"/>
      <c r="Y9" s="323"/>
      <c r="Z9" s="324"/>
      <c r="AA9" s="325"/>
      <c r="AB9" s="326"/>
      <c r="AC9" s="327"/>
      <c r="AD9" s="328"/>
      <c r="AE9" s="329"/>
      <c r="AF9" s="330"/>
      <c r="AG9" s="153"/>
      <c r="AH9" s="141"/>
      <c r="AI9" s="331"/>
      <c r="AJ9" s="332"/>
      <c r="AK9" s="138" t="s">
        <v>38</v>
      </c>
      <c r="AL9" s="333"/>
      <c r="AM9" s="334"/>
      <c r="AN9" s="335"/>
      <c r="AO9" s="336"/>
      <c r="AP9" s="337"/>
    </row>
    <row r="10" spans="1:42">
      <c r="A10" s="138" t="s">
        <v>36</v>
      </c>
      <c r="B10" s="338"/>
      <c r="C10" s="339"/>
      <c r="D10" s="339"/>
      <c r="E10" s="340"/>
      <c r="F10" s="146"/>
      <c r="G10" s="146"/>
      <c r="H10" s="341"/>
      <c r="I10" s="342"/>
      <c r="J10" s="76"/>
      <c r="K10" s="252"/>
      <c r="L10" s="343"/>
      <c r="M10" s="344"/>
      <c r="N10" s="345"/>
      <c r="O10" s="346"/>
      <c r="P10" s="138" t="s">
        <v>38</v>
      </c>
      <c r="Q10" s="347"/>
      <c r="R10" s="348"/>
      <c r="S10" s="349"/>
      <c r="T10" s="350"/>
      <c r="U10" s="351"/>
      <c r="V10" s="138" t="s">
        <v>36</v>
      </c>
      <c r="W10" s="352"/>
      <c r="X10" s="353"/>
      <c r="Y10" s="354"/>
      <c r="Z10" s="355"/>
      <c r="AA10" s="356"/>
      <c r="AB10" s="357"/>
      <c r="AC10" s="358"/>
      <c r="AD10" s="359"/>
      <c r="AE10" s="360"/>
      <c r="AF10" s="263"/>
      <c r="AG10" s="361"/>
      <c r="AH10" s="362"/>
      <c r="AI10" s="363"/>
      <c r="AJ10" s="364"/>
      <c r="AK10" s="138" t="s">
        <v>38</v>
      </c>
      <c r="AL10" s="365"/>
      <c r="AM10" s="366"/>
      <c r="AN10" s="367"/>
      <c r="AO10" s="368"/>
      <c r="AP10" s="299"/>
    </row>
    <row r="11" spans="1:42">
      <c r="A11" s="138" t="s">
        <v>36</v>
      </c>
      <c r="B11" s="369"/>
      <c r="C11" s="370"/>
      <c r="D11" s="227"/>
      <c r="E11" s="117"/>
      <c r="F11" s="371"/>
      <c r="G11" s="372"/>
      <c r="H11" s="276"/>
      <c r="I11" s="172"/>
      <c r="J11" s="373"/>
      <c r="K11" s="374"/>
      <c r="L11" s="375"/>
      <c r="M11" s="376"/>
      <c r="N11" s="377"/>
      <c r="O11" s="378"/>
      <c r="P11" s="138" t="s">
        <v>38</v>
      </c>
      <c r="Q11" s="379"/>
      <c r="R11" s="380"/>
      <c r="S11" s="381"/>
      <c r="T11" s="382"/>
      <c r="U11" s="383"/>
      <c r="V11" s="138" t="s">
        <v>36</v>
      </c>
      <c r="W11" s="384"/>
      <c r="X11" s="385"/>
      <c r="Y11" s="386"/>
      <c r="Z11" s="387"/>
      <c r="AA11" s="388"/>
      <c r="AB11" s="389"/>
      <c r="AC11" s="390"/>
      <c r="AD11" s="391"/>
      <c r="AE11" s="392"/>
      <c r="AF11" s="393"/>
      <c r="AG11" s="394"/>
      <c r="AH11" s="395"/>
      <c r="AI11" s="396"/>
      <c r="AJ11" s="397"/>
      <c r="AK11" s="138" t="s">
        <v>38</v>
      </c>
      <c r="AL11" s="398"/>
      <c r="AM11" s="399"/>
      <c r="AN11" s="400"/>
      <c r="AO11" s="401"/>
      <c r="AP11" s="402"/>
    </row>
    <row r="12" spans="1:42">
      <c r="A12" s="138" t="s">
        <v>36</v>
      </c>
      <c r="B12" s="403"/>
      <c r="C12" s="404"/>
      <c r="D12" s="405"/>
      <c r="E12" s="194"/>
      <c r="F12" s="406"/>
      <c r="G12" s="148"/>
      <c r="H12" s="407"/>
      <c r="I12" s="408"/>
      <c r="J12" s="409"/>
      <c r="K12" s="410"/>
      <c r="L12" s="411"/>
      <c r="M12" s="412"/>
      <c r="N12" s="413"/>
      <c r="O12" s="414"/>
      <c r="P12" s="138" t="s">
        <v>38</v>
      </c>
      <c r="Q12" s="415"/>
      <c r="R12" s="416"/>
      <c r="S12" s="417"/>
      <c r="T12" s="418"/>
      <c r="U12" s="419"/>
      <c r="V12" s="138" t="s">
        <v>36</v>
      </c>
      <c r="W12" s="420"/>
      <c r="X12" s="421"/>
      <c r="Y12" s="422"/>
      <c r="Z12" s="423"/>
      <c r="AA12" s="424"/>
      <c r="AB12" s="425"/>
      <c r="AC12" s="426"/>
      <c r="AD12" s="427"/>
      <c r="AE12" s="428"/>
      <c r="AF12" s="429"/>
      <c r="AG12" s="430"/>
      <c r="AH12" s="431"/>
      <c r="AI12" s="432"/>
      <c r="AJ12" s="433"/>
      <c r="AK12" s="138" t="s">
        <v>38</v>
      </c>
      <c r="AL12" s="434"/>
      <c r="AM12" s="435"/>
      <c r="AN12" s="436"/>
      <c r="AO12" s="437"/>
      <c r="AP12" s="438"/>
    </row>
    <row r="13" spans="1:42">
      <c r="A13" s="70" t="s">
        <v>37</v>
      </c>
      <c r="B13" s="260" t="s">
        <v>37</v>
      </c>
      <c r="C13" s="260" t="s">
        <v>37</v>
      </c>
      <c r="D13" s="105" t="s">
        <v>36</v>
      </c>
      <c r="E13" s="439"/>
      <c r="F13" s="148"/>
      <c r="G13" s="440"/>
      <c r="H13" s="441"/>
      <c r="I13" s="442"/>
      <c r="J13" s="443"/>
      <c r="K13" s="444"/>
      <c r="L13" s="445"/>
      <c r="M13" s="446"/>
      <c r="N13" s="447"/>
      <c r="O13" s="448"/>
      <c r="P13" s="138" t="s">
        <v>38</v>
      </c>
      <c r="Q13" s="449"/>
      <c r="R13" s="450"/>
      <c r="S13" s="451"/>
      <c r="T13" s="452"/>
      <c r="U13" s="318"/>
      <c r="V13" s="138" t="s">
        <v>36</v>
      </c>
      <c r="W13" s="453"/>
      <c r="X13" s="454"/>
      <c r="Y13" s="455"/>
      <c r="Z13" s="456"/>
      <c r="AA13" s="457"/>
      <c r="AB13" s="458"/>
      <c r="AC13" s="459"/>
      <c r="AD13" s="460"/>
      <c r="AE13" s="461"/>
      <c r="AF13" s="462"/>
      <c r="AG13" s="463"/>
      <c r="AH13" s="464"/>
      <c r="AI13" s="465"/>
      <c r="AJ13" s="466"/>
      <c r="AK13" s="138" t="s">
        <v>38</v>
      </c>
      <c r="AL13" s="467"/>
      <c r="AM13" s="468"/>
      <c r="AN13" s="469"/>
      <c r="AO13" s="470"/>
      <c r="AP13" s="471"/>
    </row>
    <row r="14" spans="1:42">
      <c r="A14" s="472"/>
      <c r="B14" s="473"/>
      <c r="C14" s="474"/>
      <c r="D14" s="138" t="s">
        <v>36</v>
      </c>
      <c r="E14" s="475"/>
      <c r="F14" s="476"/>
      <c r="G14" s="223"/>
      <c r="H14" s="477"/>
      <c r="I14" s="478"/>
      <c r="J14" s="479"/>
      <c r="K14" s="480"/>
      <c r="L14" s="481"/>
      <c r="M14" s="482"/>
      <c r="N14" s="483"/>
      <c r="O14" s="484"/>
      <c r="P14" s="138" t="s">
        <v>38</v>
      </c>
      <c r="Q14" s="485"/>
      <c r="R14" s="486"/>
      <c r="S14" s="487"/>
      <c r="T14" s="488"/>
      <c r="U14" s="489"/>
      <c r="V14" s="138" t="s">
        <v>36</v>
      </c>
      <c r="W14" s="490"/>
      <c r="X14" s="491"/>
      <c r="Y14" s="492"/>
      <c r="Z14" s="493"/>
      <c r="AA14" s="494"/>
      <c r="AB14" s="495"/>
      <c r="AC14" s="496"/>
      <c r="AD14" s="70" t="s">
        <v>37</v>
      </c>
      <c r="AE14" s="260" t="s">
        <v>37</v>
      </c>
      <c r="AF14" s="260" t="s">
        <v>37</v>
      </c>
      <c r="AG14" s="260" t="s">
        <v>37</v>
      </c>
      <c r="AH14" s="260" t="s">
        <v>37</v>
      </c>
      <c r="AI14" s="260" t="s">
        <v>37</v>
      </c>
      <c r="AJ14" s="260" t="s">
        <v>37</v>
      </c>
      <c r="AK14" s="105" t="s">
        <v>38</v>
      </c>
      <c r="AL14" s="497"/>
      <c r="AM14" s="498"/>
      <c r="AN14" s="499"/>
      <c r="AO14" s="500"/>
      <c r="AP14" s="501"/>
    </row>
    <row r="15" spans="1:42">
      <c r="A15" s="502"/>
      <c r="B15" s="503"/>
      <c r="C15" s="504"/>
      <c r="D15" s="138" t="s">
        <v>36</v>
      </c>
      <c r="E15" s="505"/>
      <c r="F15" s="506"/>
      <c r="G15" s="507"/>
      <c r="H15" s="508"/>
      <c r="I15" s="509"/>
      <c r="J15" s="510"/>
      <c r="K15" s="511"/>
      <c r="L15" s="512"/>
      <c r="M15" s="513"/>
      <c r="N15" s="514"/>
      <c r="O15" s="515"/>
      <c r="P15" s="138" t="s">
        <v>38</v>
      </c>
      <c r="Q15" s="516"/>
      <c r="R15" s="517"/>
      <c r="S15" s="518"/>
      <c r="T15" s="519"/>
      <c r="U15" s="520"/>
      <c r="V15" s="138" t="s">
        <v>36</v>
      </c>
      <c r="W15" s="521"/>
      <c r="X15" s="522"/>
      <c r="Y15" s="523"/>
      <c r="Z15" s="524"/>
      <c r="AA15" s="525"/>
      <c r="AB15" s="526"/>
      <c r="AC15" s="527"/>
      <c r="AD15" s="138" t="s">
        <v>38</v>
      </c>
      <c r="AE15" s="528"/>
      <c r="AF15" s="529"/>
      <c r="AG15" s="530"/>
      <c r="AH15" s="531"/>
      <c r="AI15" s="532"/>
      <c r="AJ15" s="533"/>
      <c r="AK15" s="534"/>
      <c r="AL15" s="535"/>
      <c r="AM15" s="536"/>
      <c r="AN15" s="537"/>
      <c r="AO15" s="538"/>
      <c r="AP15" s="539"/>
    </row>
    <row r="16" spans="1:42">
      <c r="A16" s="540"/>
      <c r="B16" s="541"/>
      <c r="C16" s="542"/>
      <c r="D16" s="138" t="s">
        <v>36</v>
      </c>
      <c r="E16" s="543"/>
      <c r="F16" s="544"/>
      <c r="G16" s="545"/>
      <c r="H16" s="441"/>
      <c r="I16" s="546"/>
      <c r="J16" s="547"/>
      <c r="K16" s="548"/>
      <c r="L16" s="549"/>
      <c r="M16" s="550"/>
      <c r="N16" s="551"/>
      <c r="O16" s="552"/>
      <c r="P16" s="138" t="s">
        <v>38</v>
      </c>
      <c r="Q16" s="553"/>
      <c r="R16" s="554"/>
      <c r="S16" s="555"/>
      <c r="T16" s="556"/>
      <c r="U16" s="557"/>
      <c r="V16" s="138" t="s">
        <v>36</v>
      </c>
      <c r="W16" s="558"/>
      <c r="X16" s="559"/>
      <c r="Y16" s="560"/>
      <c r="Z16" s="561"/>
      <c r="AA16" s="562"/>
      <c r="AB16" s="563"/>
      <c r="AC16" s="564"/>
      <c r="AD16" s="138" t="s">
        <v>38</v>
      </c>
      <c r="AE16" s="565"/>
      <c r="AF16" s="566"/>
      <c r="AG16" s="567"/>
      <c r="AH16" s="568"/>
      <c r="AI16" s="569"/>
      <c r="AJ16" s="570"/>
      <c r="AK16" s="571"/>
      <c r="AL16" s="572"/>
      <c r="AM16" s="573"/>
      <c r="AN16" s="574"/>
      <c r="AO16" s="575"/>
      <c r="AP16" s="576"/>
    </row>
    <row r="17" spans="1:42">
      <c r="A17" s="577"/>
      <c r="B17" s="578"/>
      <c r="C17" s="579"/>
      <c r="D17" s="138" t="s">
        <v>36</v>
      </c>
      <c r="E17" s="580"/>
      <c r="F17" s="581"/>
      <c r="G17" s="582"/>
      <c r="H17" s="583"/>
      <c r="I17" s="584"/>
      <c r="J17" s="585"/>
      <c r="K17" s="586"/>
      <c r="L17" s="587"/>
      <c r="M17" s="588"/>
      <c r="N17" s="589"/>
      <c r="O17" s="590"/>
      <c r="P17" s="138" t="s">
        <v>38</v>
      </c>
      <c r="Q17" s="591"/>
      <c r="R17" s="592"/>
      <c r="S17" s="593"/>
      <c r="T17" s="594"/>
      <c r="U17" s="595"/>
      <c r="V17" s="138" t="s">
        <v>36</v>
      </c>
      <c r="W17" s="596"/>
      <c r="X17" s="597"/>
      <c r="Y17" s="598"/>
      <c r="Z17" s="599"/>
      <c r="AA17" s="600"/>
      <c r="AB17" s="601"/>
      <c r="AC17" s="602"/>
      <c r="AD17" s="138" t="s">
        <v>38</v>
      </c>
      <c r="AE17" s="603"/>
      <c r="AF17" s="604"/>
      <c r="AG17" s="601"/>
      <c r="AH17" s="605"/>
      <c r="AI17" s="606"/>
      <c r="AJ17" s="607"/>
      <c r="AK17" s="608"/>
      <c r="AL17" s="609"/>
      <c r="AM17" s="610"/>
      <c r="AN17" s="611"/>
      <c r="AO17" s="612"/>
      <c r="AP17" s="613"/>
    </row>
    <row r="18" spans="1:42">
      <c r="A18" s="614"/>
      <c r="B18" s="615"/>
      <c r="C18" s="616"/>
      <c r="D18" s="70" t="s">
        <v>37</v>
      </c>
      <c r="E18" s="260" t="s">
        <v>37</v>
      </c>
      <c r="F18" s="260" t="s">
        <v>37</v>
      </c>
      <c r="G18" s="260" t="s">
        <v>37</v>
      </c>
      <c r="H18" s="260" t="s">
        <v>37</v>
      </c>
      <c r="I18" s="260" t="s">
        <v>37</v>
      </c>
      <c r="J18" s="260" t="s">
        <v>37</v>
      </c>
      <c r="K18" s="260" t="s">
        <v>37</v>
      </c>
      <c r="L18" s="260" t="s">
        <v>37</v>
      </c>
      <c r="M18" s="260" t="s">
        <v>37</v>
      </c>
      <c r="N18" s="260" t="s">
        <v>37</v>
      </c>
      <c r="O18" s="260" t="s">
        <v>37</v>
      </c>
      <c r="P18" s="105" t="s">
        <v>38</v>
      </c>
      <c r="Q18" s="617"/>
      <c r="R18" s="618"/>
      <c r="S18" s="619"/>
      <c r="T18" s="620"/>
      <c r="U18" s="621"/>
      <c r="V18" s="138" t="s">
        <v>36</v>
      </c>
      <c r="W18" s="622"/>
      <c r="X18" s="623"/>
      <c r="Y18" s="624"/>
      <c r="Z18" s="625"/>
      <c r="AA18" s="626"/>
      <c r="AB18" s="627"/>
      <c r="AC18" s="628"/>
      <c r="AD18" s="138" t="s">
        <v>38</v>
      </c>
      <c r="AE18" s="629"/>
      <c r="AF18" s="630"/>
      <c r="AG18" s="631"/>
      <c r="AH18" s="632"/>
      <c r="AI18" s="633"/>
      <c r="AJ18" s="634"/>
      <c r="AK18" s="635"/>
      <c r="AL18" s="636"/>
      <c r="AM18" s="637"/>
      <c r="AN18" s="638"/>
      <c r="AO18" s="639"/>
      <c r="AP18" s="640"/>
    </row>
    <row r="19" spans="1:42">
      <c r="A19" s="641"/>
      <c r="B19" s="642"/>
      <c r="C19" s="643"/>
      <c r="D19" s="644"/>
      <c r="E19" s="645"/>
      <c r="F19" s="646"/>
      <c r="G19" s="647"/>
      <c r="H19" s="648"/>
      <c r="I19" s="648"/>
      <c r="J19" s="649"/>
      <c r="K19" s="650"/>
      <c r="L19" s="651"/>
      <c r="M19" s="652"/>
      <c r="N19" s="653"/>
      <c r="O19" s="654"/>
      <c r="P19" s="655"/>
      <c r="Q19" s="656"/>
      <c r="R19" s="657"/>
      <c r="S19" s="658"/>
      <c r="T19" s="659"/>
      <c r="U19" s="660"/>
      <c r="V19" s="138" t="s">
        <v>36</v>
      </c>
      <c r="W19" s="661"/>
      <c r="X19" s="662"/>
      <c r="Y19" s="663"/>
      <c r="Z19" s="664"/>
      <c r="AA19" s="665"/>
      <c r="AB19" s="666"/>
      <c r="AC19" s="602"/>
      <c r="AD19" s="138" t="s">
        <v>38</v>
      </c>
      <c r="AE19" s="666"/>
      <c r="AF19" s="663"/>
      <c r="AG19" s="667"/>
      <c r="AH19" s="668"/>
      <c r="AI19" s="669"/>
      <c r="AJ19" s="670"/>
      <c r="AK19" s="671"/>
      <c r="AL19" s="672"/>
      <c r="AM19" s="673"/>
      <c r="AN19" s="674"/>
      <c r="AO19" s="675"/>
      <c r="AP19" s="676"/>
    </row>
    <row r="20" spans="1:42">
      <c r="A20" s="677"/>
      <c r="B20" s="678"/>
      <c r="C20" s="679"/>
      <c r="D20" s="680"/>
      <c r="E20" s="681"/>
      <c r="F20" s="682"/>
      <c r="G20" s="683"/>
      <c r="H20" s="684"/>
      <c r="I20" s="685"/>
      <c r="J20" s="686"/>
      <c r="K20" s="687"/>
      <c r="L20" s="688"/>
      <c r="M20" s="689"/>
      <c r="N20" s="690"/>
      <c r="O20" s="691"/>
      <c r="P20" s="692"/>
      <c r="Q20" s="693"/>
      <c r="R20" s="694"/>
      <c r="S20" s="695"/>
      <c r="T20" s="696"/>
      <c r="U20" s="697"/>
      <c r="V20" s="138" t="s">
        <v>36</v>
      </c>
      <c r="W20" s="698"/>
      <c r="X20" s="628"/>
      <c r="Y20" s="699"/>
      <c r="Z20" s="700"/>
      <c r="AA20" s="701"/>
      <c r="AB20" s="702"/>
      <c r="AC20" s="703"/>
      <c r="AD20" s="138" t="s">
        <v>38</v>
      </c>
      <c r="AE20" s="704"/>
      <c r="AF20" s="705"/>
      <c r="AG20" s="706"/>
      <c r="AH20" s="707"/>
      <c r="AI20" s="708"/>
      <c r="AJ20" s="703"/>
      <c r="AK20" s="709"/>
      <c r="AL20" s="710"/>
      <c r="AM20" s="711"/>
      <c r="AN20" s="639"/>
      <c r="AO20" s="712"/>
      <c r="AP20" s="713"/>
    </row>
    <row r="21" spans="1:42">
      <c r="A21" s="714"/>
      <c r="B21" s="715"/>
      <c r="C21" s="716"/>
      <c r="D21" s="717"/>
      <c r="E21" s="718"/>
      <c r="F21" s="719"/>
      <c r="G21" s="720"/>
      <c r="H21" s="721"/>
      <c r="I21" s="722"/>
      <c r="J21" s="723"/>
      <c r="K21" s="724"/>
      <c r="L21" s="725"/>
      <c r="M21" s="726"/>
      <c r="N21" s="727"/>
      <c r="O21" s="728"/>
      <c r="P21" s="729"/>
      <c r="Q21" s="730"/>
      <c r="R21" s="731"/>
      <c r="S21" s="732"/>
      <c r="T21" s="733"/>
      <c r="U21" s="734"/>
      <c r="V21" s="138" t="s">
        <v>36</v>
      </c>
      <c r="W21" s="735"/>
      <c r="X21" s="604"/>
      <c r="Y21" s="736"/>
      <c r="Z21" s="737"/>
      <c r="AA21" s="703"/>
      <c r="AB21" s="705"/>
      <c r="AC21" s="738"/>
      <c r="AD21" s="138" t="s">
        <v>38</v>
      </c>
      <c r="AE21" s="739"/>
      <c r="AF21" s="740"/>
      <c r="AG21" s="741"/>
      <c r="AH21" s="742"/>
      <c r="AI21" s="737"/>
      <c r="AJ21" s="743"/>
      <c r="AK21" s="744"/>
      <c r="AL21" s="745"/>
      <c r="AM21" s="746"/>
      <c r="AN21" s="747"/>
      <c r="AO21" s="748"/>
      <c r="AP21" s="749"/>
    </row>
    <row r="22" spans="1:42">
      <c r="A22" s="750"/>
      <c r="B22" s="751"/>
      <c r="C22" s="752"/>
      <c r="D22" s="753"/>
      <c r="E22" s="754"/>
      <c r="F22" s="755"/>
      <c r="G22" s="756"/>
      <c r="H22" s="757"/>
      <c r="I22" s="758"/>
      <c r="J22" s="759"/>
      <c r="K22" s="760"/>
      <c r="L22" s="761"/>
      <c r="M22" s="762"/>
      <c r="N22" s="763"/>
      <c r="O22" s="764"/>
      <c r="P22" s="765"/>
      <c r="Q22" s="766"/>
      <c r="R22" s="767"/>
      <c r="S22" s="768"/>
      <c r="T22" s="769"/>
      <c r="U22" s="770"/>
      <c r="V22" s="138" t="s">
        <v>36</v>
      </c>
      <c r="W22" s="771"/>
      <c r="X22" s="772"/>
      <c r="Y22" s="773"/>
      <c r="Z22" s="742"/>
      <c r="AA22" s="666"/>
      <c r="AB22" s="706"/>
      <c r="AC22" s="774"/>
      <c r="AD22" s="138" t="s">
        <v>38</v>
      </c>
      <c r="AE22" s="775"/>
      <c r="AF22" s="776"/>
      <c r="AG22" s="777"/>
      <c r="AH22" s="778"/>
      <c r="AI22" s="710"/>
      <c r="AJ22" s="674"/>
      <c r="AK22" s="779"/>
      <c r="AL22" s="780"/>
      <c r="AM22" s="781"/>
      <c r="AN22" s="782"/>
      <c r="AO22" s="783"/>
      <c r="AP22" s="784"/>
    </row>
    <row r="23" spans="1:42">
      <c r="A23" s="785"/>
      <c r="B23" s="786"/>
      <c r="C23" s="787"/>
      <c r="D23" s="788"/>
      <c r="E23" s="789"/>
      <c r="F23" s="790"/>
      <c r="G23" s="791"/>
      <c r="H23" s="792"/>
      <c r="I23" s="793"/>
      <c r="J23" s="794"/>
      <c r="K23" s="795"/>
      <c r="L23" s="796"/>
      <c r="M23" s="797"/>
      <c r="N23" s="798"/>
      <c r="O23" s="799"/>
      <c r="P23" s="800"/>
      <c r="Q23" s="801"/>
      <c r="R23" s="802"/>
      <c r="S23" s="803"/>
      <c r="T23" s="804"/>
      <c r="U23" s="805"/>
      <c r="V23" s="138" t="s">
        <v>36</v>
      </c>
      <c r="W23" s="806"/>
      <c r="X23" s="807"/>
      <c r="Y23" s="808"/>
      <c r="Z23" s="699"/>
      <c r="AA23" s="701"/>
      <c r="AB23" s="809"/>
      <c r="AC23" s="810"/>
      <c r="AD23" s="138" t="s">
        <v>38</v>
      </c>
      <c r="AE23" s="743"/>
      <c r="AF23" s="811"/>
      <c r="AG23" s="812"/>
      <c r="AH23" s="813"/>
      <c r="AI23" s="814"/>
      <c r="AJ23" s="815"/>
      <c r="AK23" s="674"/>
      <c r="AL23" s="816"/>
      <c r="AM23" s="817"/>
      <c r="AN23" s="818"/>
      <c r="AO23" s="819"/>
      <c r="AP23" s="820"/>
    </row>
    <row r="24" spans="1:42">
      <c r="A24" s="821"/>
      <c r="B24" s="822"/>
      <c r="C24" s="823"/>
      <c r="D24" s="824"/>
      <c r="E24" s="825"/>
      <c r="F24" s="826"/>
      <c r="G24" s="827"/>
      <c r="H24" s="828"/>
      <c r="I24" s="829"/>
      <c r="J24" s="830"/>
      <c r="K24" s="831"/>
      <c r="L24" s="832"/>
      <c r="M24" s="833"/>
      <c r="N24" s="834"/>
      <c r="O24" s="835"/>
      <c r="P24" s="836"/>
      <c r="Q24" s="837"/>
      <c r="R24" s="838"/>
      <c r="S24" s="839"/>
      <c r="T24" s="840"/>
      <c r="U24" s="841"/>
      <c r="V24" s="138" t="s">
        <v>36</v>
      </c>
      <c r="W24" s="842"/>
      <c r="X24" s="843"/>
      <c r="Y24" s="844"/>
      <c r="Z24" s="845"/>
      <c r="AA24" s="701"/>
      <c r="AB24" s="846"/>
      <c r="AC24" s="847"/>
      <c r="AD24" s="138" t="s">
        <v>38</v>
      </c>
      <c r="AE24" s="777"/>
      <c r="AF24" s="848"/>
      <c r="AG24" s="849"/>
      <c r="AH24" s="815"/>
      <c r="AI24" s="850"/>
      <c r="AJ24" s="851"/>
      <c r="AK24" s="852"/>
      <c r="AL24" s="853"/>
      <c r="AM24" s="745"/>
      <c r="AN24" s="639"/>
      <c r="AO24" s="854"/>
      <c r="AP24" s="855"/>
    </row>
    <row r="25" spans="1:42">
      <c r="A25" s="856"/>
      <c r="B25" s="857"/>
      <c r="C25" s="858"/>
      <c r="D25" s="859"/>
      <c r="E25" s="860"/>
      <c r="F25" s="861"/>
      <c r="G25" s="862"/>
      <c r="H25" s="863"/>
      <c r="I25" s="864"/>
      <c r="J25" s="865"/>
      <c r="K25" s="866"/>
      <c r="L25" s="867"/>
      <c r="M25" s="868"/>
      <c r="N25" s="869"/>
      <c r="O25" s="870"/>
      <c r="P25" s="871"/>
      <c r="Q25" s="872"/>
      <c r="R25" s="873"/>
      <c r="S25" s="874"/>
      <c r="T25" s="875"/>
      <c r="U25" s="876"/>
      <c r="V25" s="138" t="s">
        <v>36</v>
      </c>
      <c r="W25" s="627"/>
      <c r="X25" s="877"/>
      <c r="Y25" s="878"/>
      <c r="Z25" s="879"/>
      <c r="AA25" s="880"/>
      <c r="AB25" s="881"/>
      <c r="AC25" s="882"/>
      <c r="AD25" s="138" t="s">
        <v>38</v>
      </c>
      <c r="AE25" s="883"/>
      <c r="AF25" s="884"/>
      <c r="AG25" s="885"/>
      <c r="AH25" s="886"/>
      <c r="AI25" s="674"/>
      <c r="AJ25" s="887"/>
      <c r="AK25" s="888"/>
      <c r="AL25" s="889"/>
      <c r="AM25" s="890"/>
      <c r="AN25" s="891"/>
      <c r="AO25" s="892"/>
      <c r="AP25" s="713"/>
    </row>
    <row r="26" spans="1:42">
      <c r="A26" s="893"/>
      <c r="B26" s="894"/>
      <c r="C26" s="895"/>
      <c r="D26" s="896"/>
      <c r="E26" s="897"/>
      <c r="F26" s="898"/>
      <c r="G26" s="899"/>
      <c r="H26" s="900"/>
      <c r="I26" s="901"/>
      <c r="J26" s="902"/>
      <c r="K26" s="903"/>
      <c r="L26" s="904"/>
      <c r="M26" s="905"/>
      <c r="N26" s="906"/>
      <c r="O26" s="907"/>
      <c r="P26" s="908"/>
      <c r="Q26" s="909"/>
      <c r="R26" s="910"/>
      <c r="S26" s="911"/>
      <c r="T26" s="912"/>
      <c r="U26" s="913"/>
      <c r="V26" s="138" t="s">
        <v>36</v>
      </c>
      <c r="W26" s="914"/>
      <c r="X26" s="776"/>
      <c r="Y26" s="915"/>
      <c r="Z26" s="916"/>
      <c r="AA26" s="531"/>
      <c r="AB26" s="917"/>
      <c r="AC26" s="918"/>
      <c r="AD26" s="138" t="s">
        <v>38</v>
      </c>
      <c r="AE26" s="919"/>
      <c r="AF26" s="920"/>
      <c r="AG26" s="885"/>
      <c r="AH26" s="921"/>
      <c r="AI26" s="922"/>
      <c r="AJ26" s="923"/>
      <c r="AK26" s="923"/>
      <c r="AL26" s="924"/>
      <c r="AM26" s="925"/>
      <c r="AN26" s="891"/>
      <c r="AO26" s="926"/>
      <c r="AP26" s="927"/>
    </row>
    <row r="27" spans="1:42">
      <c r="A27" s="928"/>
      <c r="B27" s="929"/>
      <c r="C27" s="930"/>
      <c r="D27" s="931"/>
      <c r="E27" s="932"/>
      <c r="F27" s="933"/>
      <c r="G27" s="934"/>
      <c r="H27" s="935"/>
      <c r="I27" s="936"/>
      <c r="J27" s="937"/>
      <c r="K27" s="938"/>
      <c r="L27" s="939"/>
      <c r="M27" s="940"/>
      <c r="N27" s="941"/>
      <c r="O27" s="942"/>
      <c r="P27" s="943"/>
      <c r="Q27" s="944"/>
      <c r="R27" s="945"/>
      <c r="S27" s="946"/>
      <c r="T27" s="947"/>
      <c r="U27" s="948"/>
      <c r="V27" s="138" t="s">
        <v>36</v>
      </c>
      <c r="W27" s="949"/>
      <c r="X27" s="950"/>
      <c r="Y27" s="602"/>
      <c r="Z27" s="601"/>
      <c r="AA27" s="951"/>
      <c r="AB27" s="952"/>
      <c r="AC27" s="953"/>
      <c r="AD27" s="138" t="s">
        <v>38</v>
      </c>
      <c r="AE27" s="954"/>
      <c r="AF27" s="955"/>
      <c r="AG27" s="878"/>
      <c r="AH27" s="956"/>
      <c r="AI27" s="639"/>
      <c r="AJ27" s="747"/>
      <c r="AK27" s="957"/>
      <c r="AL27" s="747"/>
      <c r="AM27" s="923"/>
      <c r="AN27" s="923"/>
      <c r="AO27" s="958"/>
      <c r="AP27" s="927"/>
    </row>
    <row r="28" spans="1:42">
      <c r="A28" s="959"/>
      <c r="B28" s="960"/>
      <c r="C28" s="961"/>
      <c r="D28" s="962"/>
      <c r="E28" s="963"/>
      <c r="F28" s="964"/>
      <c r="G28" s="965"/>
      <c r="H28" s="966"/>
      <c r="I28" s="967"/>
      <c r="J28" s="968"/>
      <c r="K28" s="969"/>
      <c r="L28" s="970"/>
      <c r="M28" s="971"/>
      <c r="N28" s="972"/>
      <c r="O28" s="973"/>
      <c r="P28" s="974"/>
      <c r="Q28" s="975"/>
      <c r="R28" s="976"/>
      <c r="S28" s="977"/>
      <c r="T28" s="978"/>
      <c r="U28" s="979"/>
      <c r="V28" s="138" t="s">
        <v>36</v>
      </c>
      <c r="W28" s="980"/>
      <c r="X28" s="981"/>
      <c r="Y28" s="982"/>
      <c r="Z28" s="983"/>
      <c r="AA28" s="984"/>
      <c r="AB28" s="985"/>
      <c r="AC28" s="986"/>
      <c r="AD28" s="138" t="s">
        <v>38</v>
      </c>
      <c r="AE28" s="782"/>
      <c r="AF28" s="738"/>
      <c r="AG28" s="778"/>
      <c r="AH28" s="780"/>
      <c r="AI28" s="987"/>
      <c r="AJ28" s="988"/>
      <c r="AK28" s="747"/>
      <c r="AL28" s="711"/>
      <c r="AM28" s="989"/>
      <c r="AN28" s="711"/>
      <c r="AO28" s="745"/>
      <c r="AP28" s="784"/>
    </row>
    <row r="29" spans="1:42">
      <c r="A29" s="990"/>
      <c r="B29" s="991"/>
      <c r="C29" s="992"/>
      <c r="D29" s="993"/>
      <c r="E29" s="994"/>
      <c r="F29" s="995"/>
      <c r="G29" s="996"/>
      <c r="H29" s="997"/>
      <c r="I29" s="998"/>
      <c r="J29" s="999"/>
      <c r="K29" s="1000"/>
      <c r="L29" s="1001"/>
      <c r="M29" s="1002"/>
      <c r="N29" s="1003"/>
      <c r="O29" s="1004"/>
      <c r="P29" s="1005"/>
      <c r="Q29" s="1006"/>
      <c r="R29" s="1007"/>
      <c r="S29" s="1008"/>
      <c r="T29" s="1009"/>
      <c r="U29" s="1010"/>
      <c r="V29" s="70" t="s">
        <v>37</v>
      </c>
      <c r="W29" s="260" t="s">
        <v>37</v>
      </c>
      <c r="X29" s="260" t="s">
        <v>37</v>
      </c>
      <c r="Y29" s="260" t="s">
        <v>37</v>
      </c>
      <c r="Z29" s="260" t="s">
        <v>37</v>
      </c>
      <c r="AA29" s="105" t="s">
        <v>36</v>
      </c>
      <c r="AB29" s="1011"/>
      <c r="AC29" s="1012"/>
      <c r="AD29" s="138" t="s">
        <v>38</v>
      </c>
      <c r="AE29" s="1013"/>
      <c r="AF29" s="1014"/>
      <c r="AG29" s="738"/>
      <c r="AH29" s="1015"/>
      <c r="AI29" s="778"/>
      <c r="AJ29" s="747"/>
      <c r="AK29" s="1016"/>
      <c r="AL29" s="1017"/>
      <c r="AM29" s="783"/>
      <c r="AN29" s="1018"/>
      <c r="AO29" s="1019"/>
      <c r="AP29" s="1020"/>
    </row>
    <row r="30" spans="1:42">
      <c r="A30" s="1021"/>
      <c r="B30" s="1022"/>
      <c r="C30" s="1023"/>
      <c r="D30" s="487"/>
      <c r="E30" s="992"/>
      <c r="F30" s="1024"/>
      <c r="G30" s="1025"/>
      <c r="H30" s="1026"/>
      <c r="I30" s="1027"/>
      <c r="J30" s="1028"/>
      <c r="K30" s="1029"/>
      <c r="L30" s="1030"/>
      <c r="M30" s="1031"/>
      <c r="N30" s="1032"/>
      <c r="O30" s="1033"/>
      <c r="P30" s="1034"/>
      <c r="Q30" s="1035"/>
      <c r="R30" s="1036"/>
      <c r="S30" s="1037"/>
      <c r="T30" s="1038"/>
      <c r="U30" s="1039"/>
      <c r="V30" s="1040"/>
      <c r="W30" s="1041"/>
      <c r="X30" s="1042"/>
      <c r="Y30" s="1043"/>
      <c r="Z30" s="1044"/>
      <c r="AA30" s="138" t="s">
        <v>36</v>
      </c>
      <c r="AB30" s="1045"/>
      <c r="AC30" s="1046"/>
      <c r="AD30" s="138" t="s">
        <v>38</v>
      </c>
      <c r="AE30" s="1047"/>
      <c r="AF30" s="1048"/>
      <c r="AG30" s="671"/>
      <c r="AH30" s="1015"/>
      <c r="AI30" s="1049"/>
      <c r="AJ30" s="1050"/>
      <c r="AK30" s="1051"/>
      <c r="AL30" s="1052"/>
      <c r="AM30" s="1053"/>
      <c r="AN30" s="779"/>
      <c r="AO30" s="1054"/>
      <c r="AP30" s="1055"/>
    </row>
    <row r="31" spans="1:42">
      <c r="A31" s="1056"/>
      <c r="B31" s="1057"/>
      <c r="C31" s="1058"/>
      <c r="D31" s="1059"/>
      <c r="E31" s="1060"/>
      <c r="F31" s="1061"/>
      <c r="G31" s="1062"/>
      <c r="H31" s="1063"/>
      <c r="I31" s="1064"/>
      <c r="J31" s="906"/>
      <c r="K31" s="1065"/>
      <c r="L31" s="1066"/>
      <c r="M31" s="1067"/>
      <c r="N31" s="1068"/>
      <c r="O31" s="1069"/>
      <c r="P31" s="1070"/>
      <c r="Q31" s="975"/>
      <c r="R31" s="1071"/>
      <c r="S31" s="1072"/>
      <c r="T31" s="1073"/>
      <c r="U31" s="1074"/>
      <c r="V31" s="1075"/>
      <c r="W31" s="1076"/>
      <c r="X31" s="1077"/>
      <c r="Y31" s="1078"/>
      <c r="Z31" s="1079"/>
      <c r="AA31" s="138" t="s">
        <v>36</v>
      </c>
      <c r="AB31" s="1080"/>
      <c r="AC31" s="1081"/>
      <c r="AD31" s="138" t="s">
        <v>38</v>
      </c>
      <c r="AE31" s="1082"/>
      <c r="AF31" s="671"/>
      <c r="AG31" s="1083"/>
      <c r="AH31" s="1083"/>
      <c r="AI31" s="1084"/>
      <c r="AJ31" s="1085"/>
      <c r="AK31" s="1086"/>
      <c r="AL31" s="1014"/>
      <c r="AM31" s="1087"/>
      <c r="AN31" s="1088"/>
      <c r="AO31" s="1089"/>
      <c r="AP31" s="1090"/>
    </row>
    <row r="32" spans="1:42">
      <c r="A32" s="1091"/>
      <c r="B32" s="1092"/>
      <c r="C32" s="1093"/>
      <c r="D32" s="1094"/>
      <c r="E32" s="1095"/>
      <c r="F32" s="1096"/>
      <c r="G32" s="1097"/>
      <c r="H32" s="1098"/>
      <c r="I32" s="1099"/>
      <c r="J32" s="1100"/>
      <c r="K32" s="1101"/>
      <c r="L32" s="1102"/>
      <c r="M32" s="1103"/>
      <c r="N32" s="1104"/>
      <c r="O32" s="1105"/>
      <c r="P32" s="1000"/>
      <c r="Q32" s="1005"/>
      <c r="R32" s="1106"/>
      <c r="S32" s="1107"/>
      <c r="T32" s="1108"/>
      <c r="U32" s="1109"/>
      <c r="V32" s="1110"/>
      <c r="W32" s="1111"/>
      <c r="X32" s="1112"/>
      <c r="Y32" s="1113"/>
      <c r="Z32" s="1114"/>
      <c r="AA32" s="138" t="s">
        <v>36</v>
      </c>
      <c r="AB32" s="1115"/>
      <c r="AC32" s="1116"/>
      <c r="AD32" s="138" t="s">
        <v>38</v>
      </c>
      <c r="AE32" s="1117"/>
      <c r="AF32" s="1118"/>
      <c r="AG32" s="706"/>
      <c r="AH32" s="1119"/>
      <c r="AI32" s="1120"/>
      <c r="AJ32" s="1121"/>
      <c r="AK32" s="1122"/>
      <c r="AL32" s="1123"/>
      <c r="AM32" s="1124"/>
      <c r="AN32" s="1125"/>
      <c r="AO32" s="1126"/>
      <c r="AP32" s="1127"/>
    </row>
    <row r="33" spans="1:42">
      <c r="A33" s="1128"/>
      <c r="B33" s="1129"/>
      <c r="C33" s="1130"/>
      <c r="D33" s="976"/>
      <c r="E33" s="1131"/>
      <c r="F33" s="1132"/>
      <c r="G33" s="1133"/>
      <c r="H33" s="1134"/>
      <c r="I33" s="1135"/>
      <c r="J33" s="942"/>
      <c r="K33" s="1136"/>
      <c r="L33" s="1137"/>
      <c r="M33" s="1066"/>
      <c r="N33" s="1138"/>
      <c r="O33" s="1136"/>
      <c r="P33" s="1139"/>
      <c r="Q33" s="1140"/>
      <c r="R33" s="1141"/>
      <c r="S33" s="1142"/>
      <c r="T33" s="1143"/>
      <c r="U33" s="1144"/>
      <c r="V33" s="1145"/>
      <c r="W33" s="1146"/>
      <c r="X33" s="1147"/>
      <c r="Y33" s="1148"/>
      <c r="Z33" s="1149"/>
      <c r="AA33" s="138" t="s">
        <v>36</v>
      </c>
      <c r="AB33" s="1150"/>
      <c r="AC33" s="705"/>
      <c r="AD33" s="138" t="s">
        <v>38</v>
      </c>
      <c r="AE33" s="1118"/>
      <c r="AF33" s="1151"/>
      <c r="AG33" s="1152"/>
      <c r="AH33" s="1153"/>
      <c r="AI33" s="1154"/>
      <c r="AJ33" s="1155"/>
      <c r="AK33" s="1156"/>
      <c r="AL33" s="1157"/>
      <c r="AM33" s="1158"/>
      <c r="AN33" s="561"/>
      <c r="AO33" s="1159"/>
      <c r="AP33" s="1160"/>
    </row>
    <row r="34" spans="1:42">
      <c r="A34" s="1161"/>
      <c r="B34" s="1162"/>
      <c r="C34" s="1163"/>
      <c r="D34" s="895"/>
      <c r="E34" s="1164"/>
      <c r="F34" s="1165"/>
      <c r="G34" s="1166"/>
      <c r="H34" s="1167"/>
      <c r="I34" s="1168"/>
      <c r="J34" s="1169"/>
      <c r="K34" s="1170"/>
      <c r="L34" s="1171"/>
      <c r="M34" s="1172"/>
      <c r="N34" s="1173"/>
      <c r="O34" s="1174"/>
      <c r="P34" s="1175"/>
      <c r="Q34" s="1069"/>
      <c r="R34" s="1176"/>
      <c r="S34" s="1177"/>
      <c r="T34" s="1178"/>
      <c r="U34" s="1179"/>
      <c r="V34" s="1180"/>
      <c r="W34" s="1181"/>
      <c r="X34" s="1182"/>
      <c r="Y34" s="1183"/>
      <c r="Z34" s="1184"/>
      <c r="AA34" s="138" t="s">
        <v>36</v>
      </c>
      <c r="AB34" s="1185"/>
      <c r="AC34" s="1186"/>
      <c r="AD34" s="138" t="s">
        <v>38</v>
      </c>
      <c r="AE34" s="1187"/>
      <c r="AF34" s="1188"/>
      <c r="AG34" s="1189"/>
      <c r="AH34" s="1190"/>
      <c r="AI34" s="1191"/>
      <c r="AJ34" s="1192"/>
      <c r="AK34" s="1193"/>
      <c r="AL34" s="1194"/>
      <c r="AM34" s="1195"/>
      <c r="AN34" s="1196"/>
      <c r="AO34" s="1197"/>
      <c r="AP34" s="1198"/>
    </row>
    <row r="35" spans="1:42">
      <c r="A35" s="1199"/>
      <c r="B35" s="1200"/>
      <c r="C35" s="1201"/>
      <c r="D35" s="996"/>
      <c r="E35" s="1202"/>
      <c r="F35" s="1203"/>
      <c r="G35" s="1204"/>
      <c r="H35" s="1205"/>
      <c r="I35" s="1206"/>
      <c r="J35" s="1207"/>
      <c r="K35" s="1208"/>
      <c r="L35" s="1209"/>
      <c r="M35" s="1210"/>
      <c r="N35" s="1211"/>
      <c r="O35" s="1212"/>
      <c r="P35" s="1027"/>
      <c r="Q35" s="1213"/>
      <c r="R35" s="1214"/>
      <c r="S35" s="1215"/>
      <c r="T35" s="1216"/>
      <c r="U35" s="1217"/>
      <c r="V35" s="1218"/>
      <c r="W35" s="1219"/>
      <c r="X35" s="1220"/>
      <c r="Y35" s="1221"/>
      <c r="Z35" s="1222"/>
      <c r="AA35" s="70" t="s">
        <v>37</v>
      </c>
      <c r="AB35" s="260" t="s">
        <v>37</v>
      </c>
      <c r="AC35" s="260" t="s">
        <v>37</v>
      </c>
      <c r="AD35" s="105" t="s">
        <v>38</v>
      </c>
      <c r="AE35" s="1223"/>
      <c r="AF35" s="1224"/>
      <c r="AG35" s="1225"/>
      <c r="AH35" s="1226"/>
      <c r="AI35" s="1227"/>
      <c r="AJ35" s="1228"/>
      <c r="AK35" s="1229"/>
      <c r="AL35" s="1230"/>
      <c r="AM35" s="1231"/>
      <c r="AN35" s="1232"/>
      <c r="AO35" s="1233"/>
      <c r="AP35" s="1234"/>
    </row>
    <row r="36" spans="1:42">
      <c r="A36" s="1235"/>
      <c r="B36" s="1236"/>
      <c r="C36" s="1237"/>
      <c r="D36" s="1238"/>
      <c r="E36" s="1239"/>
      <c r="F36" s="1240"/>
      <c r="G36" s="1241"/>
      <c r="H36" s="1242"/>
      <c r="I36" s="1243"/>
      <c r="J36" s="1244"/>
      <c r="K36" s="939"/>
      <c r="L36" s="1207"/>
      <c r="M36" s="1245"/>
      <c r="N36" s="1246"/>
      <c r="O36" s="1247"/>
      <c r="P36" s="1139"/>
      <c r="Q36" s="1248"/>
      <c r="R36" s="968"/>
      <c r="S36" s="1249"/>
      <c r="T36" s="1250"/>
      <c r="U36" s="1251"/>
      <c r="V36" s="1252"/>
      <c r="W36" s="1253"/>
      <c r="X36" s="1254"/>
      <c r="Y36" s="1255"/>
      <c r="Z36" s="1256"/>
      <c r="AA36" s="1257"/>
      <c r="AB36" s="1258"/>
      <c r="AC36" s="1259"/>
      <c r="AD36" s="1260"/>
      <c r="AE36" s="1261"/>
      <c r="AF36" s="1262"/>
      <c r="AG36" s="1263"/>
      <c r="AH36" s="1264"/>
      <c r="AI36" s="1265"/>
      <c r="AJ36" s="1266"/>
      <c r="AK36" s="1267"/>
      <c r="AL36" s="1268"/>
      <c r="AM36" s="1269"/>
      <c r="AN36" s="1270"/>
      <c r="AO36" s="1271"/>
      <c r="AP36" s="1272"/>
    </row>
    <row r="37" spans="1:42">
      <c r="A37" s="1273"/>
      <c r="B37" s="1274"/>
      <c r="C37" s="1275"/>
      <c r="D37" s="1162"/>
      <c r="E37" s="1276"/>
      <c r="F37" s="1277"/>
      <c r="G37" s="1278"/>
      <c r="H37" s="1279"/>
      <c r="I37" s="973"/>
      <c r="J37" s="969"/>
      <c r="K37" s="1280"/>
      <c r="L37" s="1281"/>
      <c r="M37" s="1282"/>
      <c r="N37" s="1283"/>
      <c r="O37" s="1284"/>
      <c r="P37" s="1280"/>
      <c r="Q37" s="1285"/>
      <c r="R37" s="1286"/>
      <c r="S37" s="1287"/>
      <c r="T37" s="1288"/>
      <c r="U37" s="1289"/>
      <c r="V37" s="1290"/>
      <c r="W37" s="1291"/>
      <c r="X37" s="1292"/>
      <c r="Y37" s="1293"/>
      <c r="Z37" s="1294"/>
      <c r="AA37" s="1295"/>
      <c r="AB37" s="1296"/>
      <c r="AC37" s="1297"/>
      <c r="AD37" s="1298"/>
      <c r="AE37" s="1299"/>
      <c r="AF37" s="1300"/>
      <c r="AG37" s="1301"/>
      <c r="AH37" s="1302"/>
      <c r="AI37" s="1303"/>
      <c r="AJ37" s="1304"/>
      <c r="AK37" s="1305"/>
      <c r="AL37" s="1306"/>
      <c r="AM37" s="1307"/>
      <c r="AN37" s="1308"/>
      <c r="AO37" s="1309"/>
      <c r="AP37" s="131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7724-149C-4EC1-826A-A3DDE9B38B24}">
  <sheetPr codeName="Sheet13">
    <tabColor rgb="FF001838"/>
  </sheetPr>
  <dimension ref="A1:CP129"/>
  <sheetViews>
    <sheetView showGridLines="0" topLeftCell="BI1" zoomScaleNormal="100" workbookViewId="0">
      <selection activeCell="CD6" sqref="CD6"/>
    </sheetView>
  </sheetViews>
  <sheetFormatPr defaultColWidth="8.7109375" defaultRowHeight="15.75"/>
  <cols>
    <col min="1" max="94" width="3.7109375" style="52" customWidth="1"/>
    <col min="95" max="16384" width="8.7109375" style="52"/>
  </cols>
  <sheetData>
    <row r="1" spans="1:94">
      <c r="A1" s="1311" t="s">
        <v>37</v>
      </c>
      <c r="B1" s="1312" t="s">
        <v>37</v>
      </c>
      <c r="C1" s="1313" t="s">
        <v>37</v>
      </c>
      <c r="D1" s="1314" t="s">
        <v>37</v>
      </c>
      <c r="E1" s="1315" t="s">
        <v>37</v>
      </c>
      <c r="F1" s="1316" t="s">
        <v>37</v>
      </c>
      <c r="G1" s="1317" t="s">
        <v>37</v>
      </c>
      <c r="H1" s="1318" t="s">
        <v>37</v>
      </c>
      <c r="I1" s="1319" t="s">
        <v>37</v>
      </c>
      <c r="J1" s="1320" t="s">
        <v>37</v>
      </c>
      <c r="K1" s="1321" t="s">
        <v>37</v>
      </c>
      <c r="L1" s="1322" t="s">
        <v>36</v>
      </c>
      <c r="M1" s="1323"/>
      <c r="N1" s="1324"/>
      <c r="O1" s="1325"/>
      <c r="P1" s="1326"/>
      <c r="Q1" s="1326"/>
      <c r="R1" s="1327"/>
      <c r="S1" s="1328"/>
      <c r="T1" s="1329"/>
      <c r="U1" s="1330"/>
      <c r="V1" s="1331"/>
      <c r="W1" s="1332"/>
      <c r="X1" s="1329"/>
      <c r="Y1" s="1333"/>
      <c r="Z1" s="1334"/>
      <c r="AA1" s="1335"/>
      <c r="AB1" s="1336"/>
      <c r="AC1" s="1328"/>
      <c r="AD1" s="1337"/>
      <c r="AE1" s="1338"/>
      <c r="AF1" s="1339"/>
      <c r="AG1" s="1340"/>
      <c r="AH1" s="1341"/>
      <c r="AI1" s="1342"/>
      <c r="AJ1" s="1343"/>
      <c r="AK1" s="1342"/>
      <c r="AL1" s="1342"/>
      <c r="AM1" s="1344"/>
      <c r="AN1" s="1345"/>
      <c r="AO1" s="1340"/>
      <c r="AP1" s="1346"/>
      <c r="AQ1" s="1346"/>
      <c r="AR1" s="1340"/>
      <c r="AS1" s="1347"/>
      <c r="AT1" s="1348"/>
      <c r="AU1" s="1349"/>
      <c r="AV1" s="1350"/>
      <c r="AW1" s="1351"/>
      <c r="AX1" s="1352"/>
      <c r="AY1" s="1352"/>
      <c r="AZ1" s="1353"/>
      <c r="BA1" s="1354"/>
      <c r="BB1" s="1355"/>
      <c r="BC1" s="1356"/>
      <c r="BD1" s="1357"/>
      <c r="BE1" s="1358"/>
      <c r="BF1" s="1359"/>
      <c r="BG1" s="1360"/>
      <c r="BH1" s="1361"/>
      <c r="BI1" s="1362"/>
      <c r="BJ1" s="1363"/>
      <c r="BK1" s="1364"/>
      <c r="BL1" s="1365"/>
      <c r="BM1" s="1366"/>
      <c r="BN1" s="1367"/>
      <c r="BO1" s="1368"/>
      <c r="BP1" s="1369"/>
      <c r="BQ1" s="1370"/>
      <c r="BR1" s="1371"/>
      <c r="BS1" s="1372"/>
      <c r="BT1" s="1373"/>
      <c r="BU1" s="1374"/>
      <c r="BV1" s="1375"/>
      <c r="BW1" s="1376"/>
      <c r="BX1" s="1377"/>
      <c r="BY1" s="1378"/>
      <c r="BZ1" s="1379"/>
      <c r="CA1" s="1380"/>
      <c r="CB1" s="1381"/>
      <c r="CC1" s="1382"/>
      <c r="CD1" s="1383"/>
      <c r="CE1" s="1384"/>
      <c r="CF1" s="1385"/>
      <c r="CG1" s="1386"/>
      <c r="CH1" s="1387"/>
      <c r="CI1" s="1388"/>
      <c r="CJ1" s="1389"/>
      <c r="CK1" s="1390"/>
      <c r="CL1" s="1391"/>
      <c r="CM1" s="1392"/>
      <c r="CN1" s="1393"/>
      <c r="CO1" s="1394"/>
      <c r="CP1" s="1395"/>
    </row>
    <row r="2" spans="1:94">
      <c r="A2" s="1396"/>
      <c r="B2" s="1397"/>
      <c r="C2" s="1398"/>
      <c r="D2" s="1399"/>
      <c r="E2" s="1400"/>
      <c r="F2" s="1401"/>
      <c r="G2" s="1402"/>
      <c r="H2" s="1403"/>
      <c r="I2" s="1404"/>
      <c r="J2" s="1405"/>
      <c r="K2" s="1406"/>
      <c r="L2" s="1407" t="s">
        <v>36</v>
      </c>
      <c r="M2" s="1408"/>
      <c r="N2" s="1409"/>
      <c r="O2" s="1410"/>
      <c r="P2" s="1411"/>
      <c r="Q2" s="1412"/>
      <c r="R2" s="1413"/>
      <c r="S2" s="1414"/>
      <c r="T2" s="1415"/>
      <c r="U2" s="1416"/>
      <c r="V2" s="1417"/>
      <c r="W2" s="1418"/>
      <c r="X2" s="1419"/>
      <c r="Y2" s="1420"/>
      <c r="Z2" s="1420"/>
      <c r="AA2" s="1420"/>
      <c r="AB2" s="1421"/>
      <c r="AC2" s="1422"/>
      <c r="AD2" s="1423"/>
      <c r="AE2" s="1424"/>
      <c r="AF2" s="1425"/>
      <c r="AG2" s="1426"/>
      <c r="AH2" s="1427"/>
      <c r="AI2" s="1428"/>
      <c r="AJ2" s="1429"/>
      <c r="AK2" s="1429"/>
      <c r="AL2" s="1429"/>
      <c r="AM2" s="1429"/>
      <c r="AN2" s="1430"/>
      <c r="AO2" s="1431"/>
      <c r="AP2" s="1432"/>
      <c r="AQ2" s="1433"/>
      <c r="AR2" s="1429"/>
      <c r="AS2" s="1429"/>
      <c r="AT2" s="1434"/>
      <c r="AU2" s="1435"/>
      <c r="AV2" s="1436"/>
      <c r="AW2" s="1437"/>
      <c r="AX2" s="1438"/>
      <c r="AY2" s="1434"/>
      <c r="AZ2" s="1439"/>
      <c r="BA2" s="1440"/>
      <c r="BB2" s="1441"/>
      <c r="BC2" s="1442"/>
      <c r="BD2" s="1437"/>
      <c r="BE2" s="1443"/>
      <c r="BF2" s="1444"/>
      <c r="BG2" s="1445"/>
      <c r="BH2" s="1446"/>
      <c r="BI2" s="1447"/>
      <c r="BJ2" s="1448"/>
      <c r="BK2" s="1449"/>
      <c r="BL2" s="1450"/>
      <c r="BM2" s="1451"/>
      <c r="BN2" s="1452"/>
      <c r="BO2" s="1453"/>
      <c r="BP2" s="1454"/>
      <c r="BQ2" s="1455"/>
      <c r="BR2" s="1456"/>
      <c r="BS2" s="1457"/>
      <c r="BT2" s="1458"/>
      <c r="BU2" s="1459"/>
      <c r="BV2" s="1460"/>
      <c r="BW2" s="1461"/>
      <c r="BX2" s="1462"/>
      <c r="BY2" s="1463"/>
      <c r="BZ2" s="1464"/>
      <c r="CA2" s="1465"/>
      <c r="CB2" s="1466"/>
      <c r="CC2" s="1467"/>
      <c r="CD2" s="1468"/>
      <c r="CE2" s="1469"/>
      <c r="CF2" s="1470"/>
      <c r="CG2" s="1471"/>
      <c r="CH2" s="1472"/>
      <c r="CI2" s="1473"/>
      <c r="CJ2" s="1474"/>
      <c r="CK2" s="1475"/>
      <c r="CL2" s="1476"/>
      <c r="CM2" s="1477"/>
      <c r="CN2" s="1478"/>
      <c r="CO2" s="1479"/>
      <c r="CP2" s="1480"/>
    </row>
    <row r="3" spans="1:94">
      <c r="A3" s="1481"/>
      <c r="B3" s="1482"/>
      <c r="C3" s="1483"/>
      <c r="D3" s="1484"/>
      <c r="E3" s="1485"/>
      <c r="F3" s="1486"/>
      <c r="G3" s="1487"/>
      <c r="H3" s="1488"/>
      <c r="I3" s="1489"/>
      <c r="J3" s="1490"/>
      <c r="K3" s="1491"/>
      <c r="L3" s="1492" t="s">
        <v>36</v>
      </c>
      <c r="M3" s="1493"/>
      <c r="N3" s="1494"/>
      <c r="O3" s="1495"/>
      <c r="P3" s="1496"/>
      <c r="Q3" s="1497"/>
      <c r="R3" s="1354"/>
      <c r="S3" s="1498"/>
      <c r="T3" s="1499"/>
      <c r="U3" s="1500"/>
      <c r="V3" s="1501"/>
      <c r="W3" s="1502"/>
      <c r="X3" s="1503"/>
      <c r="Y3" s="1504"/>
      <c r="Z3" s="1505"/>
      <c r="AA3" s="1506"/>
      <c r="AB3" s="1507"/>
      <c r="AC3" s="1508"/>
      <c r="AD3" s="1509"/>
      <c r="AE3" s="1510"/>
      <c r="AF3" s="1511"/>
      <c r="AG3" s="1511"/>
      <c r="AH3" s="1508"/>
      <c r="AI3" s="1512"/>
      <c r="AJ3" s="1513"/>
      <c r="AK3" s="1514"/>
      <c r="AL3" s="1515"/>
      <c r="AM3" s="1516"/>
      <c r="AN3" s="1517"/>
      <c r="AO3" s="1518"/>
      <c r="AP3" s="1519"/>
      <c r="AQ3" s="1520"/>
      <c r="AR3" s="1520"/>
      <c r="AS3" s="1521"/>
      <c r="AT3" s="1522"/>
      <c r="AU3" s="1523"/>
      <c r="AV3" s="1524"/>
      <c r="AW3" s="1523"/>
      <c r="AX3" s="1525"/>
      <c r="AY3" s="1525"/>
      <c r="AZ3" s="1526"/>
      <c r="BA3" s="1527"/>
      <c r="BB3" s="1528"/>
      <c r="BC3" s="1529"/>
      <c r="BD3" s="1530"/>
      <c r="BE3" s="1531"/>
      <c r="BF3" s="1532"/>
      <c r="BG3" s="1533"/>
      <c r="BH3" s="1534"/>
      <c r="BI3" s="1535"/>
      <c r="BJ3" s="1536"/>
      <c r="BK3" s="1537"/>
      <c r="BL3" s="1538"/>
      <c r="BM3" s="1539"/>
      <c r="BN3" s="1540"/>
      <c r="BO3" s="1541"/>
      <c r="BP3" s="1542"/>
      <c r="BQ3" s="1543"/>
      <c r="BR3" s="1544"/>
      <c r="BS3" s="1545"/>
      <c r="BT3" s="1546"/>
      <c r="BU3" s="1547"/>
      <c r="BV3" s="1548"/>
      <c r="BW3" s="1549"/>
      <c r="BX3" s="1550"/>
      <c r="BY3" s="1551"/>
      <c r="BZ3" s="1552"/>
      <c r="CA3" s="1553"/>
      <c r="CB3" s="1554"/>
      <c r="CC3" s="1555"/>
      <c r="CD3" s="1556"/>
      <c r="CE3" s="1557"/>
      <c r="CF3" s="1558"/>
      <c r="CG3" s="1559"/>
      <c r="CH3" s="1560"/>
      <c r="CI3" s="1561"/>
      <c r="CJ3" s="1562"/>
      <c r="CK3" s="1563"/>
      <c r="CL3" s="1564"/>
      <c r="CM3" s="1565"/>
      <c r="CN3" s="1566"/>
      <c r="CO3" s="1567"/>
      <c r="CP3" s="1568"/>
    </row>
    <row r="4" spans="1:94">
      <c r="A4" s="1569"/>
      <c r="B4" s="1570"/>
      <c r="C4" s="1571"/>
      <c r="D4" s="1572"/>
      <c r="E4" s="1573"/>
      <c r="F4" s="1574"/>
      <c r="G4" s="1575"/>
      <c r="H4" s="1576"/>
      <c r="I4" s="1577"/>
      <c r="J4" s="1578"/>
      <c r="K4" s="1579"/>
      <c r="L4" s="1580" t="s">
        <v>36</v>
      </c>
      <c r="M4" s="1581"/>
      <c r="N4" s="1582"/>
      <c r="O4" s="1583"/>
      <c r="P4" s="1584"/>
      <c r="Q4" s="1585"/>
      <c r="R4" s="1586"/>
      <c r="S4" s="1587"/>
      <c r="T4" s="1588"/>
      <c r="U4" s="1589"/>
      <c r="V4" s="1590"/>
      <c r="W4" s="1591"/>
      <c r="X4" s="1592"/>
      <c r="Y4" s="1593"/>
      <c r="Z4" s="1594"/>
      <c r="AA4" s="1595"/>
      <c r="AB4" s="1596"/>
      <c r="AC4" s="1597"/>
      <c r="AD4" s="1598"/>
      <c r="AE4" s="1599"/>
      <c r="AF4" s="1599"/>
      <c r="AG4" s="1600"/>
      <c r="AH4" s="1601"/>
      <c r="AI4" s="1602"/>
      <c r="AJ4" s="1603"/>
      <c r="AK4" s="1604"/>
      <c r="AL4" s="1520"/>
      <c r="AM4" s="1520"/>
      <c r="AN4" s="1605"/>
      <c r="AO4" s="1528"/>
      <c r="AP4" s="1606"/>
      <c r="AQ4" s="1607"/>
      <c r="AR4" s="1608"/>
      <c r="AS4" s="1609"/>
      <c r="AT4" s="1604"/>
      <c r="AU4" s="1528"/>
      <c r="AV4" s="1520"/>
      <c r="AW4" s="1520"/>
      <c r="AX4" s="1528"/>
      <c r="AY4" s="1608"/>
      <c r="AZ4" s="1610"/>
      <c r="BA4" s="1611"/>
      <c r="BB4" s="1612"/>
      <c r="BC4" s="1613"/>
      <c r="BD4" s="1614"/>
      <c r="BE4" s="1530"/>
      <c r="BF4" s="1531"/>
      <c r="BG4" s="1615"/>
      <c r="BH4" s="1616"/>
      <c r="BI4" s="1617"/>
      <c r="BJ4" s="1618"/>
      <c r="BK4" s="1619"/>
      <c r="BL4" s="1620"/>
      <c r="BM4" s="1621"/>
      <c r="BN4" s="1622"/>
      <c r="BO4" s="1623"/>
      <c r="BP4" s="1624"/>
      <c r="BQ4" s="1625"/>
      <c r="BR4" s="1626"/>
      <c r="BS4" s="1626"/>
      <c r="BT4" s="1627"/>
      <c r="BU4" s="1628"/>
      <c r="BV4" s="1629"/>
      <c r="BW4" s="1630"/>
      <c r="BX4" s="1631"/>
      <c r="BY4" s="1632"/>
      <c r="BZ4" s="1633"/>
      <c r="CA4" s="1634"/>
      <c r="CB4" s="1635"/>
      <c r="CC4" s="1636"/>
      <c r="CD4" s="1637"/>
      <c r="CE4" s="1638"/>
      <c r="CF4" s="1639"/>
      <c r="CG4" s="1640"/>
      <c r="CH4" s="1641"/>
      <c r="CI4" s="1642"/>
      <c r="CJ4" s="1643"/>
      <c r="CK4" s="1644"/>
      <c r="CL4" s="1645"/>
      <c r="CM4" s="1646"/>
      <c r="CN4" s="1647"/>
      <c r="CO4" s="1648"/>
      <c r="CP4" s="1649"/>
    </row>
    <row r="5" spans="1:94">
      <c r="A5" s="1650"/>
      <c r="B5" s="1651"/>
      <c r="C5" s="1652"/>
      <c r="D5" s="1653"/>
      <c r="E5" s="1654"/>
      <c r="F5" s="1655"/>
      <c r="G5" s="1656"/>
      <c r="H5" s="1657"/>
      <c r="I5" s="1658"/>
      <c r="J5" s="1659"/>
      <c r="K5" s="1660"/>
      <c r="L5" s="1661" t="s">
        <v>36</v>
      </c>
      <c r="M5" s="1662"/>
      <c r="N5" s="1663"/>
      <c r="O5" s="1664"/>
      <c r="P5" s="1665"/>
      <c r="Q5" s="1666"/>
      <c r="R5" s="1667"/>
      <c r="S5" s="1668"/>
      <c r="T5" s="1669"/>
      <c r="U5" s="1670"/>
      <c r="V5" s="1671"/>
      <c r="W5" s="1672"/>
      <c r="X5" s="1673"/>
      <c r="Y5" s="1674"/>
      <c r="Z5" s="1675"/>
      <c r="AA5" s="1676"/>
      <c r="AB5" s="1677"/>
      <c r="AC5" s="1678"/>
      <c r="AD5" s="1679"/>
      <c r="AE5" s="1680"/>
      <c r="AF5" s="1681"/>
      <c r="AG5" s="1682"/>
      <c r="AH5" s="1683"/>
      <c r="AI5" s="1684"/>
      <c r="AJ5" s="1685"/>
      <c r="AK5" s="1686"/>
      <c r="AL5" s="1520"/>
      <c r="AM5" s="1687"/>
      <c r="AN5" s="1608"/>
      <c r="AO5" s="1606"/>
      <c r="AP5" s="1528"/>
      <c r="AQ5" s="1608"/>
      <c r="AR5" s="1527"/>
      <c r="AS5" s="1527"/>
      <c r="AT5" s="1609"/>
      <c r="AU5" s="1688"/>
      <c r="AV5" s="1689"/>
      <c r="AW5" s="1608"/>
      <c r="AX5" s="1690"/>
      <c r="AY5" s="1691"/>
      <c r="AZ5" s="1692"/>
      <c r="BA5" s="1693"/>
      <c r="BB5" s="1694"/>
      <c r="BC5" s="1523"/>
      <c r="BD5" s="1523"/>
      <c r="BE5" s="1695"/>
      <c r="BF5" s="1696"/>
      <c r="BG5" s="1697"/>
      <c r="BH5" s="1698"/>
      <c r="BI5" s="1699"/>
      <c r="BJ5" s="1700"/>
      <c r="BK5" s="1701"/>
      <c r="BL5" s="1702"/>
      <c r="BM5" s="1703"/>
      <c r="BN5" s="1704"/>
      <c r="BO5" s="1705"/>
      <c r="BP5" s="1706"/>
      <c r="BQ5" s="1707"/>
      <c r="BR5" s="1708"/>
      <c r="BS5" s="1709"/>
      <c r="BT5" s="1710"/>
      <c r="BU5" s="1711"/>
      <c r="BV5" s="1712"/>
      <c r="BW5" s="1713"/>
      <c r="BX5" s="1714"/>
      <c r="BY5" s="1715"/>
      <c r="BZ5" s="1716"/>
      <c r="CA5" s="1717"/>
      <c r="CB5" s="1718"/>
      <c r="CC5" s="1719"/>
      <c r="CD5" s="1720"/>
      <c r="CE5" s="1721"/>
      <c r="CF5" s="1722"/>
      <c r="CG5" s="1723"/>
      <c r="CH5" s="1724"/>
      <c r="CI5" s="1725"/>
      <c r="CJ5" s="1726"/>
      <c r="CK5" s="1727"/>
      <c r="CL5" s="1728"/>
      <c r="CM5" s="1729"/>
      <c r="CN5" s="1730"/>
      <c r="CO5" s="1731"/>
      <c r="CP5" s="1732"/>
    </row>
    <row r="6" spans="1:94">
      <c r="A6" s="1733"/>
      <c r="B6" s="1734"/>
      <c r="C6" s="1735"/>
      <c r="D6" s="1736"/>
      <c r="E6" s="1737"/>
      <c r="F6" s="1738"/>
      <c r="G6" s="1739"/>
      <c r="H6" s="1740"/>
      <c r="I6" s="1741"/>
      <c r="J6" s="1742"/>
      <c r="K6" s="1742"/>
      <c r="L6" s="1743" t="s">
        <v>36</v>
      </c>
      <c r="M6" s="1744"/>
      <c r="N6" s="1745"/>
      <c r="O6" s="1746"/>
      <c r="P6" s="1747"/>
      <c r="Q6" s="1748"/>
      <c r="R6" s="1749"/>
      <c r="S6" s="1750"/>
      <c r="T6" s="1751"/>
      <c r="U6" s="1752"/>
      <c r="V6" s="1753"/>
      <c r="W6" s="1754"/>
      <c r="X6" s="1755"/>
      <c r="Y6" s="1756"/>
      <c r="Z6" s="1757"/>
      <c r="AA6" s="1758"/>
      <c r="AB6" s="1759"/>
      <c r="AC6" s="1760"/>
      <c r="AD6" s="1761"/>
      <c r="AE6" s="1762"/>
      <c r="AF6" s="1763"/>
      <c r="AG6" s="1764"/>
      <c r="AH6" s="1765"/>
      <c r="AI6" s="1766"/>
      <c r="AJ6" s="1767"/>
      <c r="AK6" s="1768"/>
      <c r="AL6" s="1769"/>
      <c r="AM6" s="1770"/>
      <c r="AN6" s="1771"/>
      <c r="AO6" s="1772"/>
      <c r="AP6" s="1773"/>
      <c r="AQ6" s="1774"/>
      <c r="AR6" s="1771"/>
      <c r="AS6" s="1775"/>
      <c r="AT6" s="1776"/>
      <c r="AU6" s="1777"/>
      <c r="AV6" s="1778"/>
      <c r="AW6" s="1772"/>
      <c r="AX6" s="1779"/>
      <c r="AY6" s="1780"/>
      <c r="AZ6" s="1781"/>
      <c r="BA6" s="1693"/>
      <c r="BB6" s="1612"/>
      <c r="BC6" s="1782"/>
      <c r="BD6" s="1783"/>
      <c r="BE6" s="1523"/>
      <c r="BF6" s="1784"/>
      <c r="BG6" s="1613"/>
      <c r="BH6" s="1614"/>
      <c r="BI6" s="1785"/>
      <c r="BJ6" s="1786"/>
      <c r="BK6" s="1787"/>
      <c r="BL6" s="1788"/>
      <c r="BM6" s="1789"/>
      <c r="BN6" s="1790"/>
      <c r="BO6" s="1791"/>
      <c r="BP6" s="1792"/>
      <c r="BQ6" s="1793"/>
      <c r="BR6" s="1794"/>
      <c r="BS6" s="1795"/>
      <c r="BT6" s="1796"/>
      <c r="BU6" s="1797"/>
      <c r="BV6" s="1798"/>
      <c r="BW6" s="1799"/>
      <c r="BX6" s="1800"/>
      <c r="BY6" s="10565">
        <f>_xlfn.MODE.SNGL(BR23:CD33)</f>
        <v>0</v>
      </c>
      <c r="BZ6" s="1801" t="s">
        <v>37</v>
      </c>
      <c r="CA6" s="1802" t="s">
        <v>37</v>
      </c>
      <c r="CB6" s="1803" t="s">
        <v>37</v>
      </c>
      <c r="CC6" s="1804" t="s">
        <v>37</v>
      </c>
      <c r="CD6" s="105" t="s">
        <v>39</v>
      </c>
      <c r="CE6" s="105"/>
      <c r="CF6" s="10586"/>
      <c r="CG6" s="1805"/>
      <c r="CH6" s="1806"/>
      <c r="CI6" s="1807"/>
      <c r="CJ6" s="1808"/>
      <c r="CK6" s="1809"/>
      <c r="CL6" s="1810"/>
      <c r="CM6" s="1811"/>
      <c r="CN6" s="1812"/>
      <c r="CO6" s="1813"/>
      <c r="CP6" s="1814"/>
    </row>
    <row r="7" spans="1:94">
      <c r="A7" s="1815"/>
      <c r="B7" s="1816"/>
      <c r="C7" s="1733"/>
      <c r="D7" s="1733"/>
      <c r="E7" s="1817"/>
      <c r="F7" s="1818"/>
      <c r="G7" s="1819"/>
      <c r="H7" s="1820"/>
      <c r="I7" s="1821"/>
      <c r="J7" s="1822"/>
      <c r="K7" s="1823"/>
      <c r="L7" s="1824" t="s">
        <v>36</v>
      </c>
      <c r="M7" s="1825"/>
      <c r="N7" s="1826"/>
      <c r="O7" s="1827"/>
      <c r="P7" s="1828"/>
      <c r="Q7" s="1829"/>
      <c r="R7" s="1830"/>
      <c r="S7" s="1831"/>
      <c r="T7" s="1832"/>
      <c r="U7" s="1833"/>
      <c r="V7" s="1834"/>
      <c r="W7" s="1835"/>
      <c r="X7" s="1836"/>
      <c r="Y7" s="1837"/>
      <c r="Z7" s="1838"/>
      <c r="AA7" s="1839"/>
      <c r="AB7" s="1840"/>
      <c r="AC7" s="1841"/>
      <c r="AD7" s="1842"/>
      <c r="AE7" s="1843"/>
      <c r="AF7" s="1844"/>
      <c r="AG7" s="1845"/>
      <c r="AH7" s="1846"/>
      <c r="AI7" s="1847"/>
      <c r="AJ7" s="1848"/>
      <c r="AK7" s="1849"/>
      <c r="AL7" s="1850"/>
      <c r="AM7" s="1851"/>
      <c r="AN7" s="1852"/>
      <c r="AO7" s="1853"/>
      <c r="AP7" s="1854"/>
      <c r="AQ7" s="1773"/>
      <c r="AR7" s="1690"/>
      <c r="AS7" s="1855"/>
      <c r="AT7" s="1851"/>
      <c r="AU7" s="1772"/>
      <c r="AV7" s="1856"/>
      <c r="AW7" s="1857"/>
      <c r="AX7" s="1858"/>
      <c r="AY7" s="1690"/>
      <c r="AZ7" s="1859"/>
      <c r="BA7" s="1860"/>
      <c r="BB7" s="1608"/>
      <c r="BC7" s="1783"/>
      <c r="BD7" s="1612"/>
      <c r="BE7" s="1613"/>
      <c r="BF7" s="1613"/>
      <c r="BG7" s="1695"/>
      <c r="BH7" s="1861"/>
      <c r="BI7" s="1862"/>
      <c r="BJ7" s="1863"/>
      <c r="BK7" s="1864"/>
      <c r="BL7" s="1865"/>
      <c r="BM7" s="1866"/>
      <c r="BN7" s="1867"/>
      <c r="BO7" s="1868"/>
      <c r="BP7" s="1869"/>
      <c r="BQ7" s="1870"/>
      <c r="BR7" s="1871"/>
      <c r="BS7" s="1872"/>
      <c r="BT7" s="1873"/>
      <c r="BU7" s="1874"/>
      <c r="BV7" s="1875"/>
      <c r="BW7" s="1876"/>
      <c r="BX7" s="1877"/>
      <c r="BY7" s="1878" t="s">
        <v>38</v>
      </c>
      <c r="BZ7" s="1879"/>
      <c r="CA7" s="1880"/>
      <c r="CB7" s="1881"/>
      <c r="CC7" s="1882"/>
      <c r="CD7" s="1883"/>
      <c r="CE7" s="1884"/>
      <c r="CF7" s="1885"/>
      <c r="CG7" s="1886"/>
      <c r="CH7" s="1887"/>
      <c r="CI7" s="1888"/>
      <c r="CJ7" s="1889"/>
      <c r="CK7" s="1890"/>
      <c r="CL7" s="1891"/>
      <c r="CM7" s="1728"/>
      <c r="CN7" s="1812"/>
      <c r="CO7" s="1892"/>
      <c r="CP7" s="1893"/>
    </row>
    <row r="8" spans="1:94">
      <c r="A8" s="1733"/>
      <c r="B8" s="1894"/>
      <c r="C8" s="1894"/>
      <c r="D8" s="1895"/>
      <c r="E8" s="1896"/>
      <c r="F8" s="1733"/>
      <c r="G8" s="1817"/>
      <c r="H8" s="1897"/>
      <c r="I8" s="1898"/>
      <c r="J8" s="1899"/>
      <c r="K8" s="1900"/>
      <c r="L8" s="1901" t="s">
        <v>36</v>
      </c>
      <c r="M8" s="1902"/>
      <c r="N8" s="1903"/>
      <c r="O8" s="1904"/>
      <c r="P8" s="1905"/>
      <c r="Q8" s="1906"/>
      <c r="R8" s="1907"/>
      <c r="S8" s="1908"/>
      <c r="T8" s="1909"/>
      <c r="U8" s="1910"/>
      <c r="V8" s="1911"/>
      <c r="W8" s="1912"/>
      <c r="X8" s="1913"/>
      <c r="Y8" s="1914"/>
      <c r="Z8" s="1915"/>
      <c r="AA8" s="1916"/>
      <c r="AB8" s="1917"/>
      <c r="AC8" s="1918"/>
      <c r="AD8" s="1919"/>
      <c r="AE8" s="1920"/>
      <c r="AF8" s="1921"/>
      <c r="AG8" s="1922"/>
      <c r="AH8" s="1923"/>
      <c r="AI8" s="1924"/>
      <c r="AJ8" s="1925"/>
      <c r="AK8" s="1926"/>
      <c r="AL8" s="1927"/>
      <c r="AM8" s="1928"/>
      <c r="AN8" s="1929"/>
      <c r="AO8" s="1930"/>
      <c r="AP8" s="1931"/>
      <c r="AQ8" s="1772"/>
      <c r="AR8" s="1852"/>
      <c r="AS8" s="1929"/>
      <c r="AT8" s="1932"/>
      <c r="AU8" s="1933"/>
      <c r="AV8" s="1934"/>
      <c r="AW8" s="1935"/>
      <c r="AX8" s="1936"/>
      <c r="AY8" s="1937"/>
      <c r="AZ8" s="1938"/>
      <c r="BA8" s="1854"/>
      <c r="BB8" s="1939"/>
      <c r="BC8" s="1940"/>
      <c r="BD8" s="1523"/>
      <c r="BE8" s="1519"/>
      <c r="BF8" s="1941"/>
      <c r="BG8" s="1942"/>
      <c r="BH8" s="1941"/>
      <c r="BI8" s="1943"/>
      <c r="BJ8" s="1944"/>
      <c r="BK8" s="1697"/>
      <c r="BL8" s="1945"/>
      <c r="BM8" s="1946"/>
      <c r="BN8" s="1947"/>
      <c r="BO8" s="1948"/>
      <c r="BP8" s="1949"/>
      <c r="BQ8" s="1950"/>
      <c r="BR8" s="1951"/>
      <c r="BS8" s="1952"/>
      <c r="BT8" s="1953"/>
      <c r="BU8" s="1954"/>
      <c r="BV8" s="1955"/>
      <c r="BW8" s="1956"/>
      <c r="BX8" s="1957"/>
      <c r="BY8" s="1958" t="s">
        <v>38</v>
      </c>
      <c r="BZ8" s="1959"/>
      <c r="CA8" s="1960"/>
      <c r="CB8" s="1725"/>
      <c r="CC8" s="1961"/>
      <c r="CD8" s="1962"/>
      <c r="CE8" s="1963"/>
      <c r="CF8" s="1964"/>
      <c r="CG8" s="1965"/>
      <c r="CH8" s="1966"/>
      <c r="CI8" s="1967"/>
      <c r="CJ8" s="1968"/>
      <c r="CK8" s="1969"/>
      <c r="CL8" s="1970"/>
      <c r="CM8" s="1971"/>
      <c r="CN8" s="1972"/>
      <c r="CO8" s="1892"/>
      <c r="CP8" s="1973"/>
    </row>
    <row r="9" spans="1:94">
      <c r="A9" s="1733"/>
      <c r="B9" s="1894"/>
      <c r="C9" s="1733"/>
      <c r="D9" s="1733"/>
      <c r="E9" s="1733"/>
      <c r="F9" s="1895"/>
      <c r="G9" s="1816"/>
      <c r="H9" s="1733"/>
      <c r="I9" s="1974"/>
      <c r="J9" s="1975"/>
      <c r="K9" s="1976"/>
      <c r="L9" s="1977" t="s">
        <v>36</v>
      </c>
      <c r="M9" s="1978"/>
      <c r="N9" s="1979"/>
      <c r="O9" s="1980"/>
      <c r="P9" s="1981"/>
      <c r="Q9" s="1982"/>
      <c r="R9" s="1983"/>
      <c r="S9" s="1984"/>
      <c r="T9" s="1985"/>
      <c r="U9" s="1986"/>
      <c r="V9" s="1987"/>
      <c r="W9" s="1988"/>
      <c r="X9" s="1989"/>
      <c r="Y9" s="1990"/>
      <c r="Z9" s="1991"/>
      <c r="AA9" s="1992"/>
      <c r="AB9" s="1993"/>
      <c r="AC9" s="1994"/>
      <c r="AD9" s="1995"/>
      <c r="AE9" s="1996"/>
      <c r="AF9" s="1997"/>
      <c r="AG9" s="1998"/>
      <c r="AH9" s="1999"/>
      <c r="AI9" s="2000"/>
      <c r="AJ9" s="2001"/>
      <c r="AK9" s="2002"/>
      <c r="AL9" s="2003"/>
      <c r="AM9" s="2004"/>
      <c r="AN9" s="2005"/>
      <c r="AO9" s="2006"/>
      <c r="AP9" s="2007"/>
      <c r="AQ9" s="2008"/>
      <c r="AR9" s="2009"/>
      <c r="AS9" s="2010"/>
      <c r="AT9" s="2011"/>
      <c r="AU9" s="2012"/>
      <c r="AV9" s="2013"/>
      <c r="AW9" s="2014"/>
      <c r="AX9" s="2015"/>
      <c r="AY9" s="2016"/>
      <c r="AZ9" s="2017"/>
      <c r="BA9" s="2018"/>
      <c r="BB9" s="2019"/>
      <c r="BC9" s="2020"/>
      <c r="BD9" s="2021"/>
      <c r="BE9" s="2022"/>
      <c r="BF9" s="1695"/>
      <c r="BG9" s="1520"/>
      <c r="BH9" s="1695"/>
      <c r="BI9" s="1695"/>
      <c r="BJ9" s="1696"/>
      <c r="BK9" s="2023"/>
      <c r="BL9" s="2023"/>
      <c r="BM9" s="2024"/>
      <c r="BN9" s="2025"/>
      <c r="BO9" s="1624"/>
      <c r="BP9" s="2026"/>
      <c r="BQ9" s="2027"/>
      <c r="BR9" s="2028"/>
      <c r="BS9" s="2029"/>
      <c r="BT9" s="2030"/>
      <c r="BU9" s="2031"/>
      <c r="BV9" s="2032"/>
      <c r="BW9" s="2033"/>
      <c r="BX9" s="2034"/>
      <c r="BY9" s="2035" t="s">
        <v>38</v>
      </c>
      <c r="BZ9" s="2036"/>
      <c r="CA9" s="2037"/>
      <c r="CB9" s="2038"/>
      <c r="CC9" s="2039"/>
      <c r="CD9" s="2040"/>
      <c r="CE9" s="2041"/>
      <c r="CF9" s="2042"/>
      <c r="CG9" s="2043"/>
      <c r="CH9" s="2044"/>
      <c r="CI9" s="2045"/>
      <c r="CJ9" s="2046"/>
      <c r="CK9" s="2047"/>
      <c r="CL9" s="2048"/>
      <c r="CM9" s="2049"/>
      <c r="CN9" s="2050"/>
      <c r="CO9" s="2051"/>
      <c r="CP9" s="2052"/>
    </row>
    <row r="10" spans="1:94">
      <c r="A10" s="1733"/>
      <c r="B10" s="1894"/>
      <c r="C10" s="1733"/>
      <c r="D10" s="1733"/>
      <c r="E10" s="1733"/>
      <c r="F10" s="1733"/>
      <c r="G10" s="2053"/>
      <c r="H10" s="1895"/>
      <c r="I10" s="2054"/>
      <c r="J10" s="2055"/>
      <c r="K10" s="2056"/>
      <c r="L10" s="2057" t="s">
        <v>36</v>
      </c>
      <c r="M10" s="2058"/>
      <c r="N10" s="2059"/>
      <c r="O10" s="2060"/>
      <c r="P10" s="2061"/>
      <c r="Q10" s="2062"/>
      <c r="R10" s="2063"/>
      <c r="S10" s="2064"/>
      <c r="T10" s="2065"/>
      <c r="U10" s="2066"/>
      <c r="V10" s="2067"/>
      <c r="W10" s="2068"/>
      <c r="X10" s="2069"/>
      <c r="Y10" s="2070"/>
      <c r="Z10" s="2071"/>
      <c r="AA10" s="2072"/>
      <c r="AB10" s="2073"/>
      <c r="AC10" s="2074"/>
      <c r="AD10" s="2075"/>
      <c r="AE10" s="2076"/>
      <c r="AF10" s="2077"/>
      <c r="AG10" s="2078"/>
      <c r="AH10" s="2079"/>
      <c r="AI10" s="2080"/>
      <c r="AJ10" s="2081"/>
      <c r="AK10" s="2082"/>
      <c r="AL10" s="2083"/>
      <c r="AM10" s="2084"/>
      <c r="AN10" s="2085"/>
      <c r="AO10" s="2086"/>
      <c r="AP10" s="2087"/>
      <c r="AQ10" s="2088"/>
      <c r="AR10" s="2089"/>
      <c r="AS10" s="2090"/>
      <c r="AT10" s="2091"/>
      <c r="AU10" s="2092"/>
      <c r="AV10" s="2093"/>
      <c r="AW10" s="2094"/>
      <c r="AX10" s="2095"/>
      <c r="AY10" s="2096"/>
      <c r="AZ10" s="2097"/>
      <c r="BA10" s="2098"/>
      <c r="BB10" s="2099"/>
      <c r="BC10" s="2100"/>
      <c r="BD10" s="2101"/>
      <c r="BE10" s="2102"/>
      <c r="BF10" s="2103"/>
      <c r="BG10" s="1612"/>
      <c r="BH10" s="1519"/>
      <c r="BI10" s="2104"/>
      <c r="BJ10" s="2105"/>
      <c r="BK10" s="2023"/>
      <c r="BL10" s="2106"/>
      <c r="BM10" s="2107"/>
      <c r="BN10" s="2108"/>
      <c r="BO10" s="2109"/>
      <c r="BP10" s="2024"/>
      <c r="BQ10" s="2110"/>
      <c r="BR10" s="2111"/>
      <c r="BS10" s="2109"/>
      <c r="BT10" s="2112"/>
      <c r="BU10" s="2113"/>
      <c r="BV10" s="1695"/>
      <c r="BW10" s="2114"/>
      <c r="BX10" s="2115"/>
      <c r="BY10" s="2116" t="s">
        <v>38</v>
      </c>
      <c r="BZ10" s="2117"/>
      <c r="CA10" s="2118"/>
      <c r="CB10" s="2119"/>
      <c r="CC10" s="2120"/>
      <c r="CD10" s="2121"/>
      <c r="CE10" s="2122"/>
      <c r="CF10" s="2123"/>
      <c r="CG10" s="2124"/>
      <c r="CH10" s="2125"/>
      <c r="CI10" s="2126"/>
      <c r="CJ10" s="2127"/>
      <c r="CK10" s="2128"/>
      <c r="CL10" s="2129"/>
      <c r="CM10" s="2130"/>
      <c r="CN10" s="2131"/>
      <c r="CO10" s="2132"/>
      <c r="CP10" s="2133"/>
    </row>
    <row r="11" spans="1:94">
      <c r="A11" s="1733"/>
      <c r="B11" s="1894"/>
      <c r="C11" s="1733"/>
      <c r="D11" s="1733"/>
      <c r="E11" s="1733"/>
      <c r="F11" s="1733"/>
      <c r="G11" s="2134"/>
      <c r="H11" s="1733"/>
      <c r="I11" s="2135"/>
      <c r="J11" s="2136"/>
      <c r="K11" s="2137"/>
      <c r="L11" s="2138" t="s">
        <v>36</v>
      </c>
      <c r="M11" s="2139"/>
      <c r="N11" s="2140"/>
      <c r="O11" s="2141"/>
      <c r="P11" s="2142"/>
      <c r="Q11" s="2071"/>
      <c r="R11" s="2143"/>
      <c r="S11" s="2144"/>
      <c r="T11" s="2145"/>
      <c r="U11" s="2146"/>
      <c r="V11" s="2147"/>
      <c r="W11" s="2148"/>
      <c r="X11" s="2148"/>
      <c r="Y11" s="2147"/>
      <c r="Z11" s="2149"/>
      <c r="AA11" s="2150"/>
      <c r="AB11" s="2151"/>
      <c r="AC11" s="2152"/>
      <c r="AD11" s="2153"/>
      <c r="AE11" s="2154"/>
      <c r="AF11" s="2155"/>
      <c r="AG11" s="2156"/>
      <c r="AH11" s="2157"/>
      <c r="AI11" s="2158"/>
      <c r="AJ11" s="2159"/>
      <c r="AK11" s="2160"/>
      <c r="AL11" s="2161"/>
      <c r="AM11" s="2162"/>
      <c r="AN11" s="2163"/>
      <c r="AO11" s="2164"/>
      <c r="AP11" s="2165"/>
      <c r="AQ11" s="2166"/>
      <c r="AR11" s="2167"/>
      <c r="AS11" s="2168"/>
      <c r="AT11" s="2169"/>
      <c r="AU11" s="2170"/>
      <c r="AV11" s="2171"/>
      <c r="AW11" s="2172"/>
      <c r="AX11" s="2173"/>
      <c r="AY11" s="2174"/>
      <c r="AZ11" s="2175"/>
      <c r="BA11" s="2176"/>
      <c r="BB11" s="2177"/>
      <c r="BC11" s="2178"/>
      <c r="BD11" s="2179"/>
      <c r="BE11" s="2180"/>
      <c r="BF11" s="2181"/>
      <c r="BG11" s="1773"/>
      <c r="BH11" s="2182"/>
      <c r="BI11" s="2183"/>
      <c r="BJ11" s="2184"/>
      <c r="BK11" s="2185"/>
      <c r="BL11" s="2185"/>
      <c r="BM11" s="1943"/>
      <c r="BN11" s="2186"/>
      <c r="BO11" s="1943"/>
      <c r="BP11" s="2106"/>
      <c r="BQ11" s="2187"/>
      <c r="BR11" s="2188"/>
      <c r="BS11" s="2189"/>
      <c r="BT11" s="2190"/>
      <c r="BU11" s="2191"/>
      <c r="BV11" s="1943"/>
      <c r="BW11" s="2192"/>
      <c r="BX11" s="2193"/>
      <c r="BY11" s="2194" t="s">
        <v>38</v>
      </c>
      <c r="BZ11" s="2195"/>
      <c r="CA11" s="2196"/>
      <c r="CB11" s="2197"/>
      <c r="CC11" s="2198"/>
      <c r="CD11" s="2199"/>
      <c r="CE11" s="2200"/>
      <c r="CF11" s="2201"/>
      <c r="CG11" s="2202"/>
      <c r="CH11" s="2203"/>
      <c r="CI11" s="2204"/>
      <c r="CJ11" s="2205"/>
      <c r="CK11" s="2206"/>
      <c r="CL11" s="2207"/>
      <c r="CM11" s="2208"/>
      <c r="CN11" s="2209"/>
      <c r="CO11" s="2210"/>
      <c r="CP11" s="2211"/>
    </row>
    <row r="12" spans="1:94">
      <c r="A12" s="1733"/>
      <c r="B12" s="1894"/>
      <c r="C12" s="1733"/>
      <c r="D12" s="1733"/>
      <c r="E12" s="1733"/>
      <c r="F12" s="1733"/>
      <c r="G12" s="2212"/>
      <c r="H12" s="1733"/>
      <c r="I12" s="2213"/>
      <c r="J12" s="2214"/>
      <c r="K12" s="2215"/>
      <c r="L12" s="2216" t="s">
        <v>36</v>
      </c>
      <c r="M12" s="2217"/>
      <c r="N12" s="2218"/>
      <c r="O12" s="2219"/>
      <c r="P12" s="2220"/>
      <c r="Q12" s="2154"/>
      <c r="R12" s="2221"/>
      <c r="S12" s="2222"/>
      <c r="T12" s="2223"/>
      <c r="U12" s="2224"/>
      <c r="V12" s="2148"/>
      <c r="W12" s="2148"/>
      <c r="X12" s="2225"/>
      <c r="Y12" s="2148"/>
      <c r="Z12" s="2149"/>
      <c r="AA12" s="2226"/>
      <c r="AB12" s="2227"/>
      <c r="AC12" s="2228"/>
      <c r="AD12" s="2229"/>
      <c r="AE12" s="2149"/>
      <c r="AF12" s="2230"/>
      <c r="AG12" s="2231"/>
      <c r="AH12" s="2232"/>
      <c r="AI12" s="2233"/>
      <c r="AJ12" s="2234"/>
      <c r="AK12" s="2235"/>
      <c r="AL12" s="2236"/>
      <c r="AM12" s="2237"/>
      <c r="AN12" s="2238"/>
      <c r="AO12" s="2239"/>
      <c r="AP12" s="1817"/>
      <c r="AQ12" s="1733"/>
      <c r="AR12" s="1733"/>
      <c r="AS12" s="1733"/>
      <c r="AT12" s="2240"/>
      <c r="AU12" s="2240"/>
      <c r="AV12" s="2240"/>
      <c r="AW12" s="2241"/>
      <c r="AX12" s="2240"/>
      <c r="AY12" s="1733"/>
      <c r="AZ12" s="1733"/>
      <c r="BA12" s="1733"/>
      <c r="BB12" s="1733"/>
      <c r="BC12" s="2242"/>
      <c r="BD12" s="2243"/>
      <c r="BE12" s="2244"/>
      <c r="BF12" s="2180"/>
      <c r="BG12" s="2181"/>
      <c r="BH12" s="2245"/>
      <c r="BI12" s="1694"/>
      <c r="BJ12" s="1694"/>
      <c r="BK12" s="2246"/>
      <c r="BL12" s="2247"/>
      <c r="BM12" s="2025"/>
      <c r="BN12" s="2248"/>
      <c r="BO12" s="2249"/>
      <c r="BP12" s="2250"/>
      <c r="BQ12" s="2251"/>
      <c r="BR12" s="2186"/>
      <c r="BS12" s="2186"/>
      <c r="BT12" s="2252"/>
      <c r="BU12" s="2190"/>
      <c r="BV12" s="2023"/>
      <c r="BW12" s="2106"/>
      <c r="BX12" s="2253"/>
      <c r="BY12" s="2254" t="s">
        <v>38</v>
      </c>
      <c r="BZ12" s="2255"/>
      <c r="CA12" s="2256"/>
      <c r="CB12" s="2257"/>
      <c r="CC12" s="2258"/>
      <c r="CD12" s="2259"/>
      <c r="CE12" s="2260"/>
      <c r="CF12" s="2261"/>
      <c r="CG12" s="2262"/>
      <c r="CH12" s="2263"/>
      <c r="CI12" s="2264"/>
      <c r="CJ12" s="2265"/>
      <c r="CK12" s="2266"/>
      <c r="CL12" s="2267"/>
      <c r="CM12" s="2268"/>
      <c r="CN12" s="2269"/>
      <c r="CO12" s="2270"/>
      <c r="CP12" s="2211"/>
    </row>
    <row r="13" spans="1:94">
      <c r="A13" s="1733"/>
      <c r="B13" s="1894"/>
      <c r="C13" s="1733"/>
      <c r="D13" s="1733"/>
      <c r="E13" s="1733"/>
      <c r="F13" s="1733"/>
      <c r="G13" s="2271"/>
      <c r="H13" s="2240"/>
      <c r="I13" s="2272"/>
      <c r="J13" s="2273"/>
      <c r="K13" s="2274"/>
      <c r="L13" s="2275" t="s">
        <v>36</v>
      </c>
      <c r="M13" s="2276"/>
      <c r="N13" s="2277"/>
      <c r="O13" s="2278"/>
      <c r="P13" s="2279"/>
      <c r="Q13" s="2279"/>
      <c r="R13" s="2070"/>
      <c r="S13" s="2280"/>
      <c r="T13" s="2224"/>
      <c r="U13" s="2281"/>
      <c r="V13" s="2280"/>
      <c r="W13" s="2148"/>
      <c r="X13" s="2282"/>
      <c r="Y13" s="2282"/>
      <c r="Z13" s="2227"/>
      <c r="AA13" s="2283"/>
      <c r="AB13" s="2284"/>
      <c r="AC13" s="2285"/>
      <c r="AD13" s="2285"/>
      <c r="AE13" s="2286"/>
      <c r="AF13" s="2287"/>
      <c r="AG13" s="2288"/>
      <c r="AH13" s="2289"/>
      <c r="AI13" s="2290"/>
      <c r="AJ13" s="2291"/>
      <c r="AK13" s="2292"/>
      <c r="AL13" s="2293"/>
      <c r="AM13" s="2294"/>
      <c r="AN13" s="1733"/>
      <c r="AO13" s="1733"/>
      <c r="AP13" s="1733"/>
      <c r="AQ13" s="1733"/>
      <c r="AR13" s="1815"/>
      <c r="AS13" s="1733"/>
      <c r="AT13" s="1733"/>
      <c r="AU13" s="1733"/>
      <c r="AV13" s="1733"/>
      <c r="AW13" s="1733"/>
      <c r="AX13" s="1733"/>
      <c r="AY13" s="2295"/>
      <c r="AZ13" s="1894"/>
      <c r="BA13" s="1815"/>
      <c r="BB13" s="2296"/>
      <c r="BC13" s="1733"/>
      <c r="BD13" s="2173"/>
      <c r="BE13" s="2297"/>
      <c r="BF13" s="2298"/>
      <c r="BG13" s="1925"/>
      <c r="BH13" s="2299"/>
      <c r="BI13" s="1611"/>
      <c r="BJ13" s="2300"/>
      <c r="BK13" s="1606"/>
      <c r="BL13" s="2301"/>
      <c r="BM13" s="2302"/>
      <c r="BN13" s="2303"/>
      <c r="BO13" s="2106"/>
      <c r="BP13" s="2251"/>
      <c r="BQ13" s="2304"/>
      <c r="BR13" s="2305"/>
      <c r="BS13" s="1943"/>
      <c r="BT13" s="2190"/>
      <c r="BU13" s="2306"/>
      <c r="BV13" s="2307"/>
      <c r="BW13" s="2308"/>
      <c r="BX13" s="2309"/>
      <c r="BY13" s="2310" t="s">
        <v>38</v>
      </c>
      <c r="BZ13" s="2311"/>
      <c r="CA13" s="2312"/>
      <c r="CB13" s="2313"/>
      <c r="CC13" s="2314"/>
      <c r="CD13" s="2315"/>
      <c r="CE13" s="2316"/>
      <c r="CF13" s="1623"/>
      <c r="CG13" s="2317"/>
      <c r="CH13" s="2316"/>
      <c r="CI13" s="2318"/>
      <c r="CJ13" s="2319"/>
      <c r="CK13" s="2320"/>
      <c r="CL13" s="2321"/>
      <c r="CM13" s="2322"/>
      <c r="CN13" s="2323"/>
      <c r="CO13" s="2324"/>
      <c r="CP13" s="2325"/>
    </row>
    <row r="14" spans="1:94">
      <c r="A14" s="1733"/>
      <c r="B14" s="1894"/>
      <c r="C14" s="1733"/>
      <c r="D14" s="1733"/>
      <c r="E14" s="1733"/>
      <c r="F14" s="1894"/>
      <c r="G14" s="2326"/>
      <c r="H14" s="2327"/>
      <c r="I14" s="2328"/>
      <c r="J14" s="2329"/>
      <c r="K14" s="2330"/>
      <c r="L14" s="2331" t="s">
        <v>36</v>
      </c>
      <c r="M14" s="2332"/>
      <c r="N14" s="2333"/>
      <c r="O14" s="2334"/>
      <c r="P14" s="2279"/>
      <c r="Q14" s="2225"/>
      <c r="R14" s="2223"/>
      <c r="S14" s="2225"/>
      <c r="T14" s="2223"/>
      <c r="U14" s="2146"/>
      <c r="V14" s="2148"/>
      <c r="W14" s="2335"/>
      <c r="X14" s="2336"/>
      <c r="Y14" s="2337"/>
      <c r="Z14" s="2338"/>
      <c r="AA14" s="2339"/>
      <c r="AB14" s="2340"/>
      <c r="AC14" s="2285"/>
      <c r="AD14" s="2337"/>
      <c r="AE14" s="2341"/>
      <c r="AF14" s="2342"/>
      <c r="AG14" s="2343"/>
      <c r="AH14" s="2344"/>
      <c r="AI14" s="2345"/>
      <c r="AJ14" s="2346"/>
      <c r="AK14" s="2347"/>
      <c r="AL14" s="2348"/>
      <c r="AM14" s="2349"/>
      <c r="AN14" s="2350"/>
      <c r="AO14" s="2351"/>
      <c r="AP14" s="2352"/>
      <c r="AQ14" s="2353"/>
      <c r="AR14" s="2354"/>
      <c r="AS14" s="1733"/>
      <c r="AT14" s="1733"/>
      <c r="AU14" s="1733"/>
      <c r="AV14" s="1733"/>
      <c r="AW14" s="1733"/>
      <c r="AX14" s="1733"/>
      <c r="AY14" s="1733"/>
      <c r="AZ14" s="1733"/>
      <c r="BA14" s="1733"/>
      <c r="BB14" s="1733"/>
      <c r="BC14" s="2053"/>
      <c r="BD14" s="2241"/>
      <c r="BE14" s="2355"/>
      <c r="BF14" s="2356"/>
      <c r="BG14" s="2357"/>
      <c r="BH14" s="2358"/>
      <c r="BI14" s="2359"/>
      <c r="BJ14" s="2360"/>
      <c r="BK14" s="2361"/>
      <c r="BL14" s="2362"/>
      <c r="BM14" s="2363"/>
      <c r="BN14" s="2364"/>
      <c r="BO14" s="2304"/>
      <c r="BP14" s="2365"/>
      <c r="BQ14" s="2366"/>
      <c r="BR14" s="2364"/>
      <c r="BS14" s="2106"/>
      <c r="BT14" s="2249"/>
      <c r="BU14" s="2367"/>
      <c r="BV14" s="2368"/>
      <c r="BW14" s="2369"/>
      <c r="BX14" s="2370"/>
      <c r="BY14" s="2371" t="s">
        <v>38</v>
      </c>
      <c r="BZ14" s="2372"/>
      <c r="CA14" s="2373"/>
      <c r="CB14" s="2374"/>
      <c r="CC14" s="2375"/>
      <c r="CD14" s="2376"/>
      <c r="CE14" s="2377"/>
      <c r="CF14" s="2378"/>
      <c r="CG14" s="2379"/>
      <c r="CH14" s="2380"/>
      <c r="CI14" s="2381"/>
      <c r="CJ14" s="2382"/>
      <c r="CK14" s="2383"/>
      <c r="CL14" s="2384"/>
      <c r="CM14" s="2385"/>
      <c r="CN14" s="2386"/>
      <c r="CO14" s="2387"/>
      <c r="CP14" s="2388"/>
    </row>
    <row r="15" spans="1:94" ht="16.5" thickBot="1">
      <c r="A15" s="1733"/>
      <c r="B15" s="1894"/>
      <c r="C15" s="1733"/>
      <c r="D15" s="1733"/>
      <c r="E15" s="1733"/>
      <c r="F15" s="2389"/>
      <c r="G15" s="1733"/>
      <c r="H15" s="2390"/>
      <c r="I15" s="2391"/>
      <c r="J15" s="2392"/>
      <c r="K15" s="2393"/>
      <c r="L15" s="10565">
        <f>SUM(L16:R20)</f>
        <v>159</v>
      </c>
      <c r="M15" s="2394"/>
      <c r="N15" s="2395"/>
      <c r="O15" s="2396"/>
      <c r="P15" s="2397"/>
      <c r="Q15" s="2398"/>
      <c r="R15" s="2398"/>
      <c r="S15" s="2398"/>
      <c r="T15" s="2146"/>
      <c r="U15" s="2280"/>
      <c r="V15" s="2282"/>
      <c r="W15" s="2399"/>
      <c r="X15" s="2400"/>
      <c r="Y15" s="2400"/>
      <c r="Z15" s="2401"/>
      <c r="AA15" s="2402"/>
      <c r="AB15" s="2285"/>
      <c r="AC15" s="2285"/>
      <c r="AD15" s="2403"/>
      <c r="AE15" s="2404"/>
      <c r="AF15" s="2405"/>
      <c r="AG15" s="2406"/>
      <c r="AH15" s="2407"/>
      <c r="AI15" s="2408"/>
      <c r="AJ15" s="2409"/>
      <c r="AK15" s="2410"/>
      <c r="AL15" s="2411"/>
      <c r="AM15" s="2412"/>
      <c r="AN15" s="2413"/>
      <c r="AO15" s="2414"/>
      <c r="AP15" s="2415"/>
      <c r="AQ15" s="2416"/>
      <c r="AR15" s="1733"/>
      <c r="AS15" s="1733"/>
      <c r="AT15" s="1733"/>
      <c r="AU15" s="1733"/>
      <c r="AV15" s="1733"/>
      <c r="AW15" s="1733"/>
      <c r="AX15" s="1733"/>
      <c r="AY15" s="1733"/>
      <c r="AZ15" s="1733"/>
      <c r="BA15" s="1733"/>
      <c r="BB15" s="2417"/>
      <c r="BC15" s="2417"/>
      <c r="BD15" s="2418"/>
      <c r="BE15" s="2417"/>
      <c r="BF15" s="2419"/>
      <c r="BG15" s="2420"/>
      <c r="BH15" s="2421" t="s">
        <v>37</v>
      </c>
      <c r="BI15" s="2422" t="s">
        <v>37</v>
      </c>
      <c r="BJ15" s="2423" t="s">
        <v>37</v>
      </c>
      <c r="BK15" s="2424" t="s">
        <v>37</v>
      </c>
      <c r="BL15" s="2425" t="s">
        <v>37</v>
      </c>
      <c r="BM15" s="2365" t="s">
        <v>37</v>
      </c>
      <c r="BN15" s="2426" t="s">
        <v>37</v>
      </c>
      <c r="BO15" s="2427" t="s">
        <v>36</v>
      </c>
      <c r="BP15" s="2428"/>
      <c r="BQ15" s="2429"/>
      <c r="BR15" s="2430"/>
      <c r="BS15" s="2431"/>
      <c r="BT15" s="2432"/>
      <c r="BU15" s="2433"/>
      <c r="BV15" s="2434"/>
      <c r="BW15" s="2435"/>
      <c r="BX15" s="2436"/>
      <c r="BY15" s="2437" t="s">
        <v>38</v>
      </c>
      <c r="BZ15" s="2438"/>
      <c r="CA15" s="2439"/>
      <c r="CB15" s="2110"/>
      <c r="CC15" s="2440"/>
      <c r="CD15" s="2441"/>
      <c r="CE15" s="2442"/>
      <c r="CF15" s="2443"/>
      <c r="CG15" s="2444"/>
      <c r="CH15" s="2445"/>
      <c r="CI15" s="2446"/>
      <c r="CJ15" s="2447"/>
      <c r="CK15" s="2448"/>
      <c r="CL15" s="2449"/>
      <c r="CM15" s="2450"/>
      <c r="CN15" s="2451"/>
      <c r="CO15" s="2452"/>
      <c r="CP15" s="2453"/>
    </row>
    <row r="16" spans="1:94">
      <c r="A16" s="1733"/>
      <c r="B16" s="1894"/>
      <c r="C16" s="1733"/>
      <c r="D16" s="1894"/>
      <c r="E16" s="1733"/>
      <c r="F16" s="2454"/>
      <c r="G16" s="2455"/>
      <c r="H16" s="2456"/>
      <c r="I16" s="2457"/>
      <c r="J16" s="2458"/>
      <c r="K16" s="2459"/>
      <c r="L16" s="2460">
        <v>4</v>
      </c>
      <c r="M16" s="2461">
        <v>6</v>
      </c>
      <c r="N16" s="2461">
        <v>9</v>
      </c>
      <c r="O16" s="2462">
        <v>6</v>
      </c>
      <c r="P16" s="2463">
        <v>7</v>
      </c>
      <c r="Q16" s="2464">
        <v>4</v>
      </c>
      <c r="R16" s="2465">
        <v>5</v>
      </c>
      <c r="S16" s="2466"/>
      <c r="T16" s="2466"/>
      <c r="U16" s="2467"/>
      <c r="V16" s="2467"/>
      <c r="W16" s="2338"/>
      <c r="X16" s="2468"/>
      <c r="Y16" s="2337"/>
      <c r="Z16" s="2401"/>
      <c r="AA16" s="2469"/>
      <c r="AB16" s="2226"/>
      <c r="AC16" s="2470"/>
      <c r="AD16" s="2339"/>
      <c r="AE16" s="2284"/>
      <c r="AF16" s="2471"/>
      <c r="AG16" s="2472"/>
      <c r="AH16" s="2292"/>
      <c r="AI16" s="2473"/>
      <c r="AJ16" s="2474"/>
      <c r="AK16" s="2475"/>
      <c r="AL16" s="2476"/>
      <c r="AM16" s="2477"/>
      <c r="AN16" s="2478"/>
      <c r="AO16" s="1733"/>
      <c r="AP16" s="1733"/>
      <c r="AQ16" s="1733"/>
      <c r="AR16" s="1733"/>
      <c r="AS16" s="1733"/>
      <c r="AT16" s="1733"/>
      <c r="AU16" s="1733"/>
      <c r="AV16" s="1733"/>
      <c r="AW16" s="1733"/>
      <c r="AX16" s="1733"/>
      <c r="AY16" s="1733"/>
      <c r="AZ16" s="1733"/>
      <c r="BA16" s="1733"/>
      <c r="BB16" s="2417"/>
      <c r="BC16" s="2417"/>
      <c r="BD16" s="2479"/>
      <c r="BE16" s="2480"/>
      <c r="BF16" s="2481"/>
      <c r="BG16" s="2482" t="s">
        <v>37</v>
      </c>
      <c r="BH16" s="2421" t="s">
        <v>38</v>
      </c>
      <c r="BI16" s="2483" t="s">
        <v>38</v>
      </c>
      <c r="BJ16" s="2484"/>
      <c r="BK16" s="2485"/>
      <c r="BL16" s="2486"/>
      <c r="BM16" s="2487"/>
      <c r="BN16" s="2488" t="s">
        <v>36</v>
      </c>
      <c r="BO16" s="2489" t="s">
        <v>36</v>
      </c>
      <c r="BP16" s="2490" t="s">
        <v>36</v>
      </c>
      <c r="BQ16" s="2491"/>
      <c r="BR16" s="2492"/>
      <c r="BS16" s="1863"/>
      <c r="BT16" s="2493"/>
      <c r="BU16" s="2494"/>
      <c r="BV16" s="2495"/>
      <c r="BW16" s="2496"/>
      <c r="BX16" s="2497"/>
      <c r="BY16" s="2498" t="s">
        <v>38</v>
      </c>
      <c r="BZ16" s="2499"/>
      <c r="CA16" s="2500"/>
      <c r="CB16" s="1583"/>
      <c r="CC16" s="2501"/>
      <c r="CD16" s="2502"/>
      <c r="CE16" s="2503"/>
      <c r="CF16" s="2504"/>
      <c r="CG16" s="2505"/>
      <c r="CH16" s="2506"/>
      <c r="CI16" s="2507"/>
      <c r="CJ16" s="2508"/>
      <c r="CK16" s="2509"/>
      <c r="CL16" s="2510"/>
      <c r="CM16" s="2511"/>
      <c r="CN16" s="2451"/>
      <c r="CO16" s="2512"/>
      <c r="CP16" s="2513"/>
    </row>
    <row r="17" spans="1:94">
      <c r="A17" s="1733"/>
      <c r="B17" s="1894"/>
      <c r="C17" s="1733"/>
      <c r="D17" s="2514"/>
      <c r="E17" s="2515"/>
      <c r="F17" s="2516"/>
      <c r="G17" s="2517"/>
      <c r="H17" s="2518"/>
      <c r="I17" s="2519"/>
      <c r="J17" s="2520"/>
      <c r="K17" s="2521"/>
      <c r="L17" s="2522">
        <v>6</v>
      </c>
      <c r="M17" s="2523">
        <v>4</v>
      </c>
      <c r="N17" s="2279">
        <v>3</v>
      </c>
      <c r="O17" s="2279">
        <v>1</v>
      </c>
      <c r="P17" s="2524">
        <v>0</v>
      </c>
      <c r="Q17" s="2070">
        <v>5</v>
      </c>
      <c r="R17" s="2525">
        <v>0</v>
      </c>
      <c r="S17" s="2466"/>
      <c r="T17" s="2071"/>
      <c r="U17" s="2526"/>
      <c r="V17" s="2227"/>
      <c r="W17" s="2283"/>
      <c r="X17" s="2470"/>
      <c r="Y17" s="2338"/>
      <c r="Z17" s="2339"/>
      <c r="AA17" s="2337"/>
      <c r="AB17" s="2400"/>
      <c r="AC17" s="2226"/>
      <c r="AD17" s="2402"/>
      <c r="AE17" s="2527"/>
      <c r="AF17" s="2285"/>
      <c r="AG17" s="2528"/>
      <c r="AH17" s="2529"/>
      <c r="AI17" s="2530"/>
      <c r="AJ17" s="2531"/>
      <c r="AK17" s="2532"/>
      <c r="AL17" s="2533"/>
      <c r="AM17" s="2534"/>
      <c r="AN17" s="2535"/>
      <c r="AO17" s="2536"/>
      <c r="AP17" s="2240"/>
      <c r="AQ17" s="2271"/>
      <c r="AR17" s="1733"/>
      <c r="AS17" s="1733"/>
      <c r="AT17" s="1733"/>
      <c r="AU17" s="1733"/>
      <c r="AV17" s="1733"/>
      <c r="AW17" s="1733"/>
      <c r="AX17" s="1733"/>
      <c r="AY17" s="1733"/>
      <c r="AZ17" s="1733"/>
      <c r="BA17" s="1733"/>
      <c r="BB17" s="2417"/>
      <c r="BC17" s="2417"/>
      <c r="BD17" s="2537"/>
      <c r="BE17" s="2538"/>
      <c r="BF17" s="2539" t="s">
        <v>37</v>
      </c>
      <c r="BG17" s="2540" t="s">
        <v>38</v>
      </c>
      <c r="BH17" s="2541" t="s">
        <v>38</v>
      </c>
      <c r="BI17" s="2542"/>
      <c r="BJ17" s="2543"/>
      <c r="BK17" s="2485"/>
      <c r="BL17" s="2544"/>
      <c r="BM17" s="2368"/>
      <c r="BN17" s="2545"/>
      <c r="BO17" s="2546" t="s">
        <v>37</v>
      </c>
      <c r="BP17" s="2547" t="s">
        <v>36</v>
      </c>
      <c r="BQ17" s="2548"/>
      <c r="BR17" s="2549"/>
      <c r="BS17" s="2550"/>
      <c r="BT17" s="2551"/>
      <c r="BU17" s="2552"/>
      <c r="BV17" s="2553"/>
      <c r="BW17" s="2554"/>
      <c r="BX17" s="2555"/>
      <c r="BY17" s="2556" t="s">
        <v>38</v>
      </c>
      <c r="BZ17" s="2557"/>
      <c r="CA17" s="2558"/>
      <c r="CB17" s="2559"/>
      <c r="CC17" s="2560"/>
      <c r="CD17" s="2561"/>
      <c r="CE17" s="2562"/>
      <c r="CF17" s="2563"/>
      <c r="CG17" s="2564"/>
      <c r="CH17" s="2565"/>
      <c r="CI17" s="2566"/>
      <c r="CJ17" s="2567"/>
      <c r="CK17" s="2568"/>
      <c r="CL17" s="2569"/>
      <c r="CM17" s="2570"/>
      <c r="CN17" s="2571"/>
      <c r="CO17" s="2572"/>
      <c r="CP17" s="2573"/>
    </row>
    <row r="18" spans="1:94">
      <c r="A18" s="1733"/>
      <c r="B18" s="1894"/>
      <c r="C18" s="1894"/>
      <c r="D18" s="1733"/>
      <c r="E18" s="2574"/>
      <c r="F18" s="2575"/>
      <c r="G18" s="2576"/>
      <c r="H18" s="2577"/>
      <c r="I18" s="2578"/>
      <c r="J18" s="2579"/>
      <c r="K18" s="2580"/>
      <c r="L18" s="2581">
        <v>0</v>
      </c>
      <c r="M18" s="2582">
        <v>0</v>
      </c>
      <c r="N18" s="2583">
        <v>5</v>
      </c>
      <c r="O18" s="2584">
        <v>5</v>
      </c>
      <c r="P18" s="2144">
        <v>5</v>
      </c>
      <c r="Q18" s="2282">
        <v>8</v>
      </c>
      <c r="R18" s="2585">
        <v>6</v>
      </c>
      <c r="S18" s="2071"/>
      <c r="T18" s="2148"/>
      <c r="U18" s="2227"/>
      <c r="V18" s="2338"/>
      <c r="W18" s="2586"/>
      <c r="X18" s="2338"/>
      <c r="Y18" s="2587"/>
      <c r="Z18" s="2337"/>
      <c r="AA18" s="2226"/>
      <c r="AB18" s="2337"/>
      <c r="AC18" s="2401"/>
      <c r="AD18" s="2339"/>
      <c r="AE18" s="2588"/>
      <c r="AF18" s="2589"/>
      <c r="AG18" s="2590"/>
      <c r="AH18" s="2591"/>
      <c r="AI18" s="2592"/>
      <c r="AJ18" s="2593"/>
      <c r="AK18" s="2594"/>
      <c r="AL18" s="2595"/>
      <c r="AM18" s="2596"/>
      <c r="AN18" s="2597"/>
      <c r="AO18" s="2598"/>
      <c r="AP18" s="2599"/>
      <c r="AQ18" s="2326"/>
      <c r="AR18" s="2326"/>
      <c r="AS18" s="1733"/>
      <c r="AT18" s="1733"/>
      <c r="AU18" s="1733"/>
      <c r="AV18" s="1733"/>
      <c r="AW18" s="1733"/>
      <c r="AX18" s="1733"/>
      <c r="AY18" s="1733"/>
      <c r="AZ18" s="1733"/>
      <c r="BA18" s="1733"/>
      <c r="BB18" s="2417"/>
      <c r="BC18" s="2417"/>
      <c r="BD18" s="2600"/>
      <c r="BE18" s="2601" t="s">
        <v>37</v>
      </c>
      <c r="BF18" s="2602" t="s">
        <v>38</v>
      </c>
      <c r="BG18" s="2603" t="s">
        <v>38</v>
      </c>
      <c r="BH18" s="2604"/>
      <c r="BI18" s="1691"/>
      <c r="BJ18" s="2300"/>
      <c r="BK18" s="2605"/>
      <c r="BL18" s="2606"/>
      <c r="BM18" s="2025"/>
      <c r="BN18" s="2607"/>
      <c r="BO18" s="2608"/>
      <c r="BP18" s="2609" t="s">
        <v>36</v>
      </c>
      <c r="BQ18" s="2610" t="s">
        <v>36</v>
      </c>
      <c r="BR18" s="2611"/>
      <c r="BS18" s="2612"/>
      <c r="BT18" s="2613"/>
      <c r="BU18" s="2614"/>
      <c r="BV18" s="2615"/>
      <c r="BW18" s="2616"/>
      <c r="BX18" s="2617"/>
      <c r="BY18" s="2618" t="s">
        <v>38</v>
      </c>
      <c r="BZ18" s="2619"/>
      <c r="CA18" s="2620"/>
      <c r="CB18" s="2621"/>
      <c r="CC18" s="2622"/>
      <c r="CD18" s="2623"/>
      <c r="CE18" s="2624"/>
      <c r="CF18" s="2625"/>
      <c r="CG18" s="2626"/>
      <c r="CH18" s="2627"/>
      <c r="CI18" s="2628"/>
      <c r="CJ18" s="2629"/>
      <c r="CK18" s="2630"/>
      <c r="CL18" s="2631"/>
      <c r="CM18" s="2632"/>
      <c r="CN18" s="2633"/>
      <c r="CO18" s="2571"/>
      <c r="CP18" s="2634"/>
    </row>
    <row r="19" spans="1:94">
      <c r="A19" s="1733"/>
      <c r="B19" s="1894"/>
      <c r="C19" s="1894"/>
      <c r="D19" s="1733"/>
      <c r="E19" s="2635"/>
      <c r="F19" s="2636"/>
      <c r="G19" s="2637"/>
      <c r="H19" s="2638"/>
      <c r="I19" s="2639"/>
      <c r="J19" s="2640"/>
      <c r="K19" s="2641"/>
      <c r="L19" s="2642">
        <v>7</v>
      </c>
      <c r="M19" s="2643">
        <v>0</v>
      </c>
      <c r="N19" s="2225">
        <v>7</v>
      </c>
      <c r="O19" s="2220">
        <v>4</v>
      </c>
      <c r="P19" s="2071">
        <v>7</v>
      </c>
      <c r="Q19" s="2227">
        <v>5</v>
      </c>
      <c r="R19" s="2644">
        <v>4</v>
      </c>
      <c r="S19" s="2071"/>
      <c r="T19" s="2645"/>
      <c r="U19" s="2337"/>
      <c r="V19" s="2646"/>
      <c r="W19" s="2337"/>
      <c r="X19" s="2337"/>
      <c r="Y19" s="2401"/>
      <c r="Z19" s="2647"/>
      <c r="AA19" s="2285"/>
      <c r="AB19" s="2285"/>
      <c r="AC19" s="2586"/>
      <c r="AD19" s="2648"/>
      <c r="AE19" s="2149"/>
      <c r="AF19" s="2283"/>
      <c r="AG19" s="2649"/>
      <c r="AH19" s="2650"/>
      <c r="AI19" s="2651"/>
      <c r="AJ19" s="2652"/>
      <c r="AK19" s="2653"/>
      <c r="AL19" s="2654"/>
      <c r="AM19" s="2655"/>
      <c r="AN19" s="2656"/>
      <c r="AO19" s="2657"/>
      <c r="AP19" s="2658"/>
      <c r="AQ19" s="2659"/>
      <c r="AR19" s="2271"/>
      <c r="AS19" s="1733"/>
      <c r="AT19" s="1733"/>
      <c r="AU19" s="1733"/>
      <c r="AV19" s="1733"/>
      <c r="AW19" s="1733"/>
      <c r="AX19" s="1733"/>
      <c r="AY19" s="1733"/>
      <c r="AZ19" s="1733"/>
      <c r="BA19" s="1733"/>
      <c r="BB19" s="2417"/>
      <c r="BC19" s="2660"/>
      <c r="BD19" s="2538"/>
      <c r="BE19" s="2661" t="s">
        <v>38</v>
      </c>
      <c r="BF19" s="2662" t="s">
        <v>38</v>
      </c>
      <c r="BG19" s="2421"/>
      <c r="BH19" s="2663"/>
      <c r="BI19" s="1693"/>
      <c r="BJ19" s="2664"/>
      <c r="BK19" s="2665"/>
      <c r="BL19" s="2666"/>
      <c r="BM19" s="2667"/>
      <c r="BN19" s="2668"/>
      <c r="BO19" s="2669"/>
      <c r="BP19" s="2670" t="s">
        <v>37</v>
      </c>
      <c r="BQ19" s="2671" t="s">
        <v>36</v>
      </c>
      <c r="BR19" s="2672"/>
      <c r="BS19" s="2673"/>
      <c r="BT19" s="2674"/>
      <c r="BU19" s="2675"/>
      <c r="BV19" s="2676"/>
      <c r="BW19" s="2677"/>
      <c r="BX19" s="2678"/>
      <c r="BY19" s="2679" t="s">
        <v>38</v>
      </c>
      <c r="BZ19" s="2680"/>
      <c r="CA19" s="2681"/>
      <c r="CB19" s="2682"/>
      <c r="CC19" s="2683"/>
      <c r="CD19" s="2684"/>
      <c r="CE19" s="2685"/>
      <c r="CF19" s="2686"/>
      <c r="CG19" s="2687"/>
      <c r="CH19" s="2688"/>
      <c r="CI19" s="2689"/>
      <c r="CJ19" s="2690"/>
      <c r="CK19" s="2691"/>
      <c r="CL19" s="2692"/>
      <c r="CM19" s="2693"/>
      <c r="CN19" s="2694"/>
      <c r="CO19" s="2633"/>
      <c r="CP19" s="2634"/>
    </row>
    <row r="20" spans="1:94" ht="16.5" thickBot="1">
      <c r="A20" s="1733"/>
      <c r="B20" s="1894"/>
      <c r="C20" s="2695"/>
      <c r="D20" s="1733"/>
      <c r="E20" s="2696"/>
      <c r="F20" s="2697"/>
      <c r="G20" s="2698"/>
      <c r="H20" s="2699"/>
      <c r="I20" s="2700"/>
      <c r="J20" s="2701"/>
      <c r="K20" s="2582"/>
      <c r="L20" s="2702">
        <v>9</v>
      </c>
      <c r="M20" s="2703">
        <v>3</v>
      </c>
      <c r="N20" s="2704">
        <v>5</v>
      </c>
      <c r="O20" s="2705">
        <v>5</v>
      </c>
      <c r="P20" s="2706">
        <v>5</v>
      </c>
      <c r="Q20" s="2707">
        <v>1</v>
      </c>
      <c r="R20" s="2708">
        <v>8</v>
      </c>
      <c r="S20" s="2526" t="s">
        <v>37</v>
      </c>
      <c r="T20" s="2648" t="s">
        <v>37</v>
      </c>
      <c r="U20" s="2338" t="s">
        <v>37</v>
      </c>
      <c r="V20" s="2587" t="s">
        <v>37</v>
      </c>
      <c r="W20" s="2647" t="s">
        <v>37</v>
      </c>
      <c r="X20" s="2709" t="s">
        <v>37</v>
      </c>
      <c r="Y20" s="2647" t="s">
        <v>37</v>
      </c>
      <c r="Z20" s="2710" t="s">
        <v>37</v>
      </c>
      <c r="AA20" s="2647" t="s">
        <v>37</v>
      </c>
      <c r="AB20" s="2285" t="s">
        <v>37</v>
      </c>
      <c r="AC20" s="2338" t="s">
        <v>37</v>
      </c>
      <c r="AD20" s="2711" t="s">
        <v>37</v>
      </c>
      <c r="AE20" s="10565">
        <f>SUM(AE21:AK25)</f>
        <v>152</v>
      </c>
      <c r="AF20" s="2149"/>
      <c r="AG20" s="2712"/>
      <c r="AH20" s="2713"/>
      <c r="AI20" s="2714"/>
      <c r="AJ20" s="2715"/>
      <c r="AK20" s="2716"/>
      <c r="AL20" s="2717"/>
      <c r="AM20" s="2718"/>
      <c r="AN20" s="2719"/>
      <c r="AO20" s="2720"/>
      <c r="AP20" s="2721"/>
      <c r="AQ20" s="1733"/>
      <c r="AR20" s="2271"/>
      <c r="AS20" s="1733"/>
      <c r="AT20" s="1733"/>
      <c r="AU20" s="1733"/>
      <c r="AV20" s="1733"/>
      <c r="AW20" s="1733"/>
      <c r="AX20" s="1733"/>
      <c r="AY20" s="1733"/>
      <c r="AZ20" s="1733"/>
      <c r="BA20" s="1733"/>
      <c r="BB20" s="2722"/>
      <c r="BC20" s="2537"/>
      <c r="BD20" s="2601" t="s">
        <v>37</v>
      </c>
      <c r="BE20" s="2723" t="s">
        <v>38</v>
      </c>
      <c r="BF20" s="2724"/>
      <c r="BG20" s="2725"/>
      <c r="BH20" s="2726"/>
      <c r="BI20" s="2300"/>
      <c r="BJ20" s="2245"/>
      <c r="BK20" s="2727"/>
      <c r="BL20" s="2728"/>
      <c r="BM20" s="2729"/>
      <c r="BN20" s="2730"/>
      <c r="BO20" s="2731"/>
      <c r="BP20" s="2732"/>
      <c r="BQ20" s="2733" t="s">
        <v>36</v>
      </c>
      <c r="BR20" s="2734" t="s">
        <v>36</v>
      </c>
      <c r="BS20" s="2735"/>
      <c r="BT20" s="2736"/>
      <c r="BU20" s="2737"/>
      <c r="BV20" s="2738"/>
      <c r="BW20" s="2739"/>
      <c r="BX20" s="2740"/>
      <c r="BY20" s="2741" t="s">
        <v>38</v>
      </c>
      <c r="BZ20" s="2742"/>
      <c r="CA20" s="2743"/>
      <c r="CB20" s="2744"/>
      <c r="CC20" s="2745"/>
      <c r="CD20" s="2746"/>
      <c r="CE20" s="2747"/>
      <c r="CF20" s="2748"/>
      <c r="CG20" s="2749"/>
      <c r="CH20" s="2750"/>
      <c r="CI20" s="2751"/>
      <c r="CJ20" s="2752"/>
      <c r="CK20" s="2753"/>
      <c r="CL20" s="2754"/>
      <c r="CM20" s="2755"/>
      <c r="CN20" s="2756"/>
      <c r="CO20" s="2447"/>
      <c r="CP20" s="2757"/>
    </row>
    <row r="21" spans="1:94">
      <c r="A21" s="1733"/>
      <c r="B21" s="1733"/>
      <c r="C21" s="2758"/>
      <c r="D21" s="2759"/>
      <c r="E21" s="2760"/>
      <c r="F21" s="2761"/>
      <c r="G21" s="2762"/>
      <c r="H21" s="2763"/>
      <c r="I21" s="2764"/>
      <c r="J21" s="2765"/>
      <c r="K21" s="2766"/>
      <c r="L21" s="2767"/>
      <c r="M21" s="2394"/>
      <c r="N21" s="2397"/>
      <c r="O21" s="2071"/>
      <c r="P21" s="2224"/>
      <c r="Q21" s="2768"/>
      <c r="R21" s="2526"/>
      <c r="S21" s="2148"/>
      <c r="T21" s="2769"/>
      <c r="U21" s="2586"/>
      <c r="V21" s="2770"/>
      <c r="W21" s="2771"/>
      <c r="X21" s="2772"/>
      <c r="Y21" s="2401"/>
      <c r="Z21" s="2401"/>
      <c r="AA21" s="2339"/>
      <c r="AB21" s="2401"/>
      <c r="AC21" s="2586"/>
      <c r="AD21" s="2227"/>
      <c r="AE21" s="2460">
        <v>0</v>
      </c>
      <c r="AF21" s="2773">
        <v>6</v>
      </c>
      <c r="AG21" s="2774">
        <v>8</v>
      </c>
      <c r="AH21" s="2775">
        <v>2</v>
      </c>
      <c r="AI21" s="2776">
        <v>6</v>
      </c>
      <c r="AJ21" s="2776">
        <v>6</v>
      </c>
      <c r="AK21" s="2777">
        <v>4</v>
      </c>
      <c r="AL21" s="2290"/>
      <c r="AM21" s="2778"/>
      <c r="AN21" s="2779"/>
      <c r="AO21" s="2780"/>
      <c r="AP21" s="2781"/>
      <c r="AQ21" s="2782"/>
      <c r="AR21" s="1733"/>
      <c r="AS21" s="1894"/>
      <c r="AT21" s="1733"/>
      <c r="AU21" s="1733"/>
      <c r="AV21" s="1733"/>
      <c r="AW21" s="1733"/>
      <c r="AX21" s="1733"/>
      <c r="AY21" s="1733"/>
      <c r="AZ21" s="1733"/>
      <c r="BA21" s="1733"/>
      <c r="BB21" s="2417"/>
      <c r="BC21" s="2417"/>
      <c r="BD21" s="2783" t="s">
        <v>38</v>
      </c>
      <c r="BE21" s="2784"/>
      <c r="BF21" s="2785"/>
      <c r="BG21" s="2786"/>
      <c r="BH21" s="2787"/>
      <c r="BI21" s="2788"/>
      <c r="BJ21" s="2789"/>
      <c r="BK21" s="2790"/>
      <c r="BL21" s="2791"/>
      <c r="BM21" s="2792"/>
      <c r="BN21" s="2793"/>
      <c r="BO21" s="2794"/>
      <c r="BP21" s="2795"/>
      <c r="BQ21" s="2796" t="s">
        <v>37</v>
      </c>
      <c r="BR21" s="2797" t="s">
        <v>36</v>
      </c>
      <c r="BS21" s="2798"/>
      <c r="BT21" s="2799"/>
      <c r="BU21" s="2800"/>
      <c r="BV21" s="2801"/>
      <c r="BW21" s="2800"/>
      <c r="BX21" s="2800"/>
      <c r="BY21" s="2802" t="s">
        <v>38</v>
      </c>
      <c r="BZ21" s="2742"/>
      <c r="CA21" s="2803"/>
      <c r="CB21" s="2804"/>
      <c r="CC21" s="2805"/>
      <c r="CD21" s="2806"/>
      <c r="CE21" s="2807"/>
      <c r="CF21" s="2808"/>
      <c r="CG21" s="2809"/>
      <c r="CH21" s="2810"/>
      <c r="CI21" s="2811"/>
      <c r="CJ21" s="2812"/>
      <c r="CK21" s="2813"/>
      <c r="CL21" s="2814"/>
      <c r="CM21" s="2815"/>
      <c r="CN21" s="2755"/>
      <c r="CO21" s="2694"/>
      <c r="CP21" s="2572"/>
    </row>
    <row r="22" spans="1:94" ht="16.5" thickBot="1">
      <c r="A22" s="1733"/>
      <c r="B22" s="2514"/>
      <c r="C22" s="2212"/>
      <c r="D22" s="2816"/>
      <c r="E22" s="2817"/>
      <c r="F22" s="2818"/>
      <c r="G22" s="2819"/>
      <c r="H22" s="2820"/>
      <c r="I22" s="2641"/>
      <c r="J22" s="2821"/>
      <c r="K22" s="2523"/>
      <c r="L22" s="2822"/>
      <c r="M22" s="2279"/>
      <c r="N22" s="2225"/>
      <c r="O22" s="2466"/>
      <c r="P22" s="2466"/>
      <c r="Q22" s="2283"/>
      <c r="R22" s="2282"/>
      <c r="S22" s="2399"/>
      <c r="T22" s="2648"/>
      <c r="U22" s="2337"/>
      <c r="V22" s="2401"/>
      <c r="W22" s="2401"/>
      <c r="X22" s="2647"/>
      <c r="Y22" s="2823"/>
      <c r="Z22" s="2770"/>
      <c r="AA22" s="2402"/>
      <c r="AB22" s="2402"/>
      <c r="AC22" s="2402"/>
      <c r="AD22" s="2824"/>
      <c r="AE22" s="2825">
        <v>5</v>
      </c>
      <c r="AF22" s="2227">
        <v>0</v>
      </c>
      <c r="AG22" s="2826">
        <v>9</v>
      </c>
      <c r="AH22" s="2827">
        <v>0</v>
      </c>
      <c r="AI22" s="2533">
        <v>7</v>
      </c>
      <c r="AJ22" s="2285">
        <v>0</v>
      </c>
      <c r="AK22" s="2828">
        <v>6</v>
      </c>
      <c r="AL22" s="2151"/>
      <c r="AM22" s="2829"/>
      <c r="AN22" s="2830"/>
      <c r="AO22" s="2831"/>
      <c r="AP22" s="1733"/>
      <c r="AQ22" s="2832"/>
      <c r="AR22" s="1733"/>
      <c r="AS22" s="1733"/>
      <c r="AT22" s="1733"/>
      <c r="AU22" s="1733"/>
      <c r="AV22" s="1733"/>
      <c r="AW22" s="1733"/>
      <c r="AX22" s="1733"/>
      <c r="AY22" s="2295"/>
      <c r="AZ22" s="1733"/>
      <c r="BA22" s="2833"/>
      <c r="BB22" s="2834"/>
      <c r="BC22" s="2835" t="s">
        <v>37</v>
      </c>
      <c r="BD22" s="2836" t="s">
        <v>38</v>
      </c>
      <c r="BE22" s="2837"/>
      <c r="BF22" s="2838"/>
      <c r="BG22" s="2839"/>
      <c r="BH22" s="2840"/>
      <c r="BI22" s="2841"/>
      <c r="BJ22" s="2842"/>
      <c r="BK22" s="2843"/>
      <c r="BL22" s="2844"/>
      <c r="BM22" s="2845"/>
      <c r="BN22" s="2846"/>
      <c r="BO22" s="2847"/>
      <c r="BP22" s="2848"/>
      <c r="BQ22" s="2849"/>
      <c r="BR22" s="10565">
        <f>COUNTA(BR23:CD33)</f>
        <v>89</v>
      </c>
      <c r="BS22" s="2808"/>
      <c r="BT22" s="2850"/>
      <c r="BU22" s="2850"/>
      <c r="BV22" s="2851"/>
      <c r="BW22" s="2851"/>
      <c r="BX22" s="2800"/>
      <c r="BY22" s="2852" t="s">
        <v>38</v>
      </c>
      <c r="BZ22" s="2853"/>
      <c r="CA22" s="2804"/>
      <c r="CB22" s="2854"/>
      <c r="CC22" s="2800"/>
      <c r="CD22" s="2737"/>
      <c r="CE22" s="2855"/>
      <c r="CF22" s="2856"/>
      <c r="CG22" s="2744"/>
      <c r="CH22" s="2857"/>
      <c r="CI22" s="2858"/>
      <c r="CJ22" s="2859"/>
      <c r="CK22" s="2860"/>
      <c r="CL22" s="2861"/>
      <c r="CM22" s="2862"/>
      <c r="CN22" s="2863"/>
      <c r="CO22" s="2864"/>
      <c r="CP22" s="2386"/>
    </row>
    <row r="23" spans="1:94">
      <c r="A23" s="1733"/>
      <c r="B23" s="2865"/>
      <c r="C23" s="1733"/>
      <c r="D23" s="2866"/>
      <c r="E23" s="2867"/>
      <c r="F23" s="2868"/>
      <c r="G23" s="2869"/>
      <c r="H23" s="2870"/>
      <c r="I23" s="2523"/>
      <c r="J23" s="2144"/>
      <c r="K23" s="2583"/>
      <c r="L23" s="2822"/>
      <c r="M23" s="2276"/>
      <c r="N23" s="2070"/>
      <c r="O23" s="2147"/>
      <c r="P23" s="2148"/>
      <c r="Q23" s="2283"/>
      <c r="R23" s="2871"/>
      <c r="S23" s="2872"/>
      <c r="T23" s="2337"/>
      <c r="U23" s="2337"/>
      <c r="V23" s="2469"/>
      <c r="W23" s="2873"/>
      <c r="X23" s="2873"/>
      <c r="Y23" s="2772"/>
      <c r="Z23" s="2337"/>
      <c r="AA23" s="2468"/>
      <c r="AB23" s="2874"/>
      <c r="AC23" s="2875"/>
      <c r="AD23" s="2226"/>
      <c r="AE23" s="2876">
        <v>8</v>
      </c>
      <c r="AF23" s="2149">
        <v>5</v>
      </c>
      <c r="AG23" s="2149">
        <v>4</v>
      </c>
      <c r="AH23" s="2588">
        <v>0</v>
      </c>
      <c r="AI23" s="2877">
        <v>7</v>
      </c>
      <c r="AJ23" s="2286">
        <v>6</v>
      </c>
      <c r="AK23" s="2878">
        <v>2</v>
      </c>
      <c r="AL23" s="2879"/>
      <c r="AM23" s="2880"/>
      <c r="AN23" s="2881"/>
      <c r="AO23" s="2882"/>
      <c r="AP23" s="2883"/>
      <c r="AQ23" s="1733"/>
      <c r="AR23" s="2271"/>
      <c r="AS23" s="1733"/>
      <c r="AT23" s="1733"/>
      <c r="AU23" s="1733"/>
      <c r="AV23" s="1733"/>
      <c r="AW23" s="1733"/>
      <c r="AX23" s="1733"/>
      <c r="AY23" s="1733"/>
      <c r="AZ23" s="2514"/>
      <c r="BA23" s="2884"/>
      <c r="BB23" s="2885"/>
      <c r="BC23" s="2886" t="s">
        <v>38</v>
      </c>
      <c r="BD23" s="2837"/>
      <c r="BE23" s="2887"/>
      <c r="BF23" s="2888"/>
      <c r="BG23" s="2889"/>
      <c r="BH23" s="2890"/>
      <c r="BI23" s="1931"/>
      <c r="BJ23" s="2891"/>
      <c r="BK23" s="2892"/>
      <c r="BL23" s="2893"/>
      <c r="BM23" s="2894"/>
      <c r="BN23" s="2895"/>
      <c r="BO23" s="2896"/>
      <c r="BP23" s="2736"/>
      <c r="BQ23" s="2897"/>
      <c r="BR23" s="2898">
        <v>7</v>
      </c>
      <c r="BS23" s="2899">
        <v>7</v>
      </c>
      <c r="BT23" s="2900">
        <v>5</v>
      </c>
      <c r="BU23" s="2900">
        <v>8</v>
      </c>
      <c r="BV23" s="2900">
        <v>0</v>
      </c>
      <c r="BW23" s="2900">
        <v>3</v>
      </c>
      <c r="BX23" s="2900">
        <v>2</v>
      </c>
      <c r="BY23" s="2901">
        <v>8</v>
      </c>
      <c r="BZ23" s="2902">
        <v>0</v>
      </c>
      <c r="CA23" s="2903"/>
      <c r="CB23" s="2904">
        <v>5</v>
      </c>
      <c r="CC23" s="2905">
        <v>5</v>
      </c>
      <c r="CD23" s="2906">
        <v>1</v>
      </c>
      <c r="CE23" s="2743"/>
      <c r="CF23" s="2853"/>
      <c r="CG23" s="2907"/>
      <c r="CH23" s="2908"/>
      <c r="CI23" s="2909"/>
      <c r="CJ23" s="2910"/>
      <c r="CK23" s="2911"/>
      <c r="CL23" s="2912"/>
      <c r="CM23" s="2913"/>
      <c r="CN23" s="2914"/>
      <c r="CO23" s="2915"/>
      <c r="CP23" s="2916"/>
    </row>
    <row r="24" spans="1:94">
      <c r="A24" s="1733"/>
      <c r="B24" s="2917"/>
      <c r="C24" s="1733"/>
      <c r="D24" s="2918"/>
      <c r="E24" s="2919"/>
      <c r="F24" s="2920"/>
      <c r="G24" s="2921"/>
      <c r="H24" s="2334"/>
      <c r="I24" s="2822"/>
      <c r="J24" s="2922"/>
      <c r="K24" s="2922"/>
      <c r="L24" s="2822"/>
      <c r="M24" s="2279"/>
      <c r="N24" s="2583"/>
      <c r="O24" s="2147"/>
      <c r="P24" s="2466"/>
      <c r="Q24" s="2923"/>
      <c r="R24" s="2526"/>
      <c r="S24" s="2924"/>
      <c r="T24" s="2337"/>
      <c r="U24" s="2337"/>
      <c r="V24" s="2339"/>
      <c r="W24" s="2402"/>
      <c r="X24" s="2589"/>
      <c r="Y24" s="2647"/>
      <c r="Z24" s="2468"/>
      <c r="AA24" s="2401"/>
      <c r="AB24" s="2874"/>
      <c r="AC24" s="2284"/>
      <c r="AD24" s="2588"/>
      <c r="AE24" s="2925">
        <v>0</v>
      </c>
      <c r="AF24" s="2151">
        <v>6</v>
      </c>
      <c r="AG24" s="2221">
        <v>9</v>
      </c>
      <c r="AH24" s="2228">
        <v>7</v>
      </c>
      <c r="AI24" s="2926">
        <v>3</v>
      </c>
      <c r="AJ24" s="2877">
        <v>2</v>
      </c>
      <c r="AK24" s="2927">
        <v>6</v>
      </c>
      <c r="AL24" s="2928"/>
      <c r="AM24" s="2929"/>
      <c r="AN24" s="2930"/>
      <c r="AO24" s="2931"/>
      <c r="AP24" s="2932"/>
      <c r="AQ24" s="2240"/>
      <c r="AR24" s="2271"/>
      <c r="AS24" s="1733"/>
      <c r="AT24" s="1733"/>
      <c r="AU24" s="1733"/>
      <c r="AV24" s="1733"/>
      <c r="AW24" s="1733"/>
      <c r="AX24" s="1733"/>
      <c r="AY24" s="1733"/>
      <c r="AZ24" s="2134"/>
      <c r="BA24" s="1733"/>
      <c r="BB24" s="2933"/>
      <c r="BC24" s="2934" t="s">
        <v>38</v>
      </c>
      <c r="BD24" s="2935"/>
      <c r="BE24" s="2936"/>
      <c r="BF24" s="2937"/>
      <c r="BG24" s="2938"/>
      <c r="BH24" s="2939"/>
      <c r="BI24" s="2940"/>
      <c r="BJ24" s="2941"/>
      <c r="BK24" s="2942"/>
      <c r="BL24" s="2943"/>
      <c r="BM24" s="2944"/>
      <c r="BN24" s="2945"/>
      <c r="BO24" s="2946"/>
      <c r="BP24" s="2947"/>
      <c r="BQ24" s="2739"/>
      <c r="BR24" s="2948">
        <v>2</v>
      </c>
      <c r="BS24" s="2850"/>
      <c r="BT24" s="2850">
        <v>8</v>
      </c>
      <c r="BU24" s="2850">
        <v>0</v>
      </c>
      <c r="BV24" s="2850">
        <v>8</v>
      </c>
      <c r="BW24" s="2850"/>
      <c r="BX24" s="2850"/>
      <c r="BY24" s="2850"/>
      <c r="BZ24" s="2801">
        <v>1</v>
      </c>
      <c r="CA24" s="2801"/>
      <c r="CB24" s="2799">
        <v>9</v>
      </c>
      <c r="CC24" s="2853"/>
      <c r="CD24" s="2949">
        <v>4</v>
      </c>
      <c r="CE24" s="2742"/>
      <c r="CF24" s="2950"/>
      <c r="CG24" s="2951"/>
      <c r="CH24" s="2952"/>
      <c r="CI24" s="2953"/>
      <c r="CJ24" s="2954"/>
      <c r="CK24" s="2955"/>
      <c r="CL24" s="2956"/>
      <c r="CM24" s="2957"/>
      <c r="CN24" s="2958"/>
      <c r="CO24" s="2756"/>
      <c r="CP24" s="2959"/>
    </row>
    <row r="25" spans="1:94" ht="16.5" thickBot="1">
      <c r="A25" s="1733"/>
      <c r="B25" s="2514"/>
      <c r="C25" s="2514"/>
      <c r="D25" s="2960"/>
      <c r="E25" s="2961"/>
      <c r="F25" s="2962"/>
      <c r="G25" s="2963"/>
      <c r="H25" s="2964"/>
      <c r="I25" s="2582"/>
      <c r="J25" s="2821"/>
      <c r="K25" s="2583"/>
      <c r="L25" s="2524"/>
      <c r="M25" s="2524"/>
      <c r="N25" s="2144"/>
      <c r="O25" s="2146"/>
      <c r="P25" s="2526"/>
      <c r="Q25" s="2965"/>
      <c r="R25" s="2399"/>
      <c r="S25" s="2336"/>
      <c r="T25" s="2283"/>
      <c r="U25" s="2226"/>
      <c r="V25" s="2228"/>
      <c r="W25" s="2226"/>
      <c r="X25" s="2589"/>
      <c r="Y25" s="2284"/>
      <c r="Z25" s="2339"/>
      <c r="AA25" s="2468"/>
      <c r="AB25" s="2589"/>
      <c r="AC25" s="2401"/>
      <c r="AD25" s="2588"/>
      <c r="AE25" s="2966">
        <v>5</v>
      </c>
      <c r="AF25" s="2967">
        <v>7</v>
      </c>
      <c r="AG25" s="2968">
        <v>4</v>
      </c>
      <c r="AH25" s="2969">
        <v>5</v>
      </c>
      <c r="AI25" s="2970">
        <v>4</v>
      </c>
      <c r="AJ25" s="2971">
        <v>0</v>
      </c>
      <c r="AK25" s="2972">
        <v>3</v>
      </c>
      <c r="AL25" s="2290"/>
      <c r="AM25" s="2973"/>
      <c r="AN25" s="2974"/>
      <c r="AO25" s="2975"/>
      <c r="AP25" s="2976"/>
      <c r="AQ25" s="2977"/>
      <c r="AR25" s="1733"/>
      <c r="AS25" s="1894"/>
      <c r="AT25" s="1733"/>
      <c r="AU25" s="1733"/>
      <c r="AV25" s="1733"/>
      <c r="AW25" s="1733"/>
      <c r="AX25" s="1733"/>
      <c r="AY25" s="1733"/>
      <c r="AZ25" s="1733"/>
      <c r="BA25" s="2515"/>
      <c r="BB25" s="2417"/>
      <c r="BC25" s="2978" t="s">
        <v>38</v>
      </c>
      <c r="BD25" s="2979"/>
      <c r="BE25" s="2980"/>
      <c r="BF25" s="2981"/>
      <c r="BG25" s="2982"/>
      <c r="BH25" s="2983"/>
      <c r="BI25" s="2984"/>
      <c r="BJ25" s="2985"/>
      <c r="BK25" s="2986"/>
      <c r="BL25" s="2987"/>
      <c r="BM25" s="2988"/>
      <c r="BN25" s="2989"/>
      <c r="BO25" s="2678"/>
      <c r="BP25" s="2897"/>
      <c r="BQ25" s="2850"/>
      <c r="BR25" s="2948">
        <v>6</v>
      </c>
      <c r="BS25" s="2850"/>
      <c r="BT25" s="2850"/>
      <c r="BU25" s="2850"/>
      <c r="BV25" s="2850">
        <v>3</v>
      </c>
      <c r="BW25" s="2850"/>
      <c r="BX25" s="2850"/>
      <c r="BY25" s="2850"/>
      <c r="BZ25" s="2742">
        <v>8</v>
      </c>
      <c r="CA25" s="2851"/>
      <c r="CB25" s="2851">
        <v>5</v>
      </c>
      <c r="CC25" s="2799">
        <v>9</v>
      </c>
      <c r="CD25" s="2990">
        <v>8</v>
      </c>
      <c r="CE25" s="2801"/>
      <c r="CF25" s="2991"/>
      <c r="CG25" s="2992"/>
      <c r="CH25" s="2993"/>
      <c r="CI25" s="2994"/>
      <c r="CJ25" s="2995"/>
      <c r="CK25" s="2996"/>
      <c r="CL25" s="2997"/>
      <c r="CM25" s="2998"/>
      <c r="CN25" s="2999"/>
      <c r="CO25" s="3000"/>
      <c r="CP25" s="3001"/>
    </row>
    <row r="26" spans="1:94">
      <c r="A26" s="1733"/>
      <c r="B26" s="1733"/>
      <c r="C26" s="3002"/>
      <c r="D26" s="3003"/>
      <c r="E26" s="3004"/>
      <c r="F26" s="3005"/>
      <c r="G26" s="3006"/>
      <c r="H26" s="3007"/>
      <c r="I26" s="2582"/>
      <c r="J26" s="2821"/>
      <c r="K26" s="2072"/>
      <c r="L26" s="3008"/>
      <c r="M26" s="2279"/>
      <c r="N26" s="2397"/>
      <c r="O26" s="2397"/>
      <c r="P26" s="2398"/>
      <c r="Q26" s="2148"/>
      <c r="R26" s="3009"/>
      <c r="S26" s="3010"/>
      <c r="T26" s="3009"/>
      <c r="U26" s="2150"/>
      <c r="V26" s="2151"/>
      <c r="W26" s="2284"/>
      <c r="X26" s="2340"/>
      <c r="Y26" s="2226"/>
      <c r="Z26" s="2284"/>
      <c r="AA26" s="3011"/>
      <c r="AB26" s="3012"/>
      <c r="AC26" s="2712"/>
      <c r="AD26" s="2284"/>
      <c r="AE26" s="3013" t="s">
        <v>36</v>
      </c>
      <c r="AF26" s="3014"/>
      <c r="AG26" s="3015"/>
      <c r="AH26" s="2226"/>
      <c r="AI26" s="3016"/>
      <c r="AJ26" s="2221"/>
      <c r="AK26" s="3017"/>
      <c r="AL26" s="2151"/>
      <c r="AM26" s="3018"/>
      <c r="AN26" s="3019"/>
      <c r="AO26" s="3020"/>
      <c r="AP26" s="3021"/>
      <c r="AQ26" s="3022"/>
      <c r="AR26" s="1894"/>
      <c r="AS26" s="2514"/>
      <c r="AT26" s="1733"/>
      <c r="AU26" s="1733"/>
      <c r="AV26" s="1733"/>
      <c r="AW26" s="1733"/>
      <c r="AX26" s="1733"/>
      <c r="AY26" s="1733"/>
      <c r="AZ26" s="1733"/>
      <c r="BA26" s="1733"/>
      <c r="BB26" s="2660"/>
      <c r="BC26" s="3023" t="s">
        <v>38</v>
      </c>
      <c r="BD26" s="3024"/>
      <c r="BE26" s="3025"/>
      <c r="BF26" s="2725"/>
      <c r="BG26" s="2887"/>
      <c r="BH26" s="2982"/>
      <c r="BI26" s="3026"/>
      <c r="BJ26" s="3027"/>
      <c r="BK26" s="3028"/>
      <c r="BL26" s="3029"/>
      <c r="BM26" s="3030"/>
      <c r="BN26" s="3031"/>
      <c r="BO26" s="2808"/>
      <c r="BP26" s="2850"/>
      <c r="BQ26" s="2850"/>
      <c r="BR26" s="2948">
        <v>6</v>
      </c>
      <c r="BS26" s="2850"/>
      <c r="BT26" s="2850"/>
      <c r="BU26" s="2850"/>
      <c r="BV26" s="2850">
        <v>3</v>
      </c>
      <c r="BW26" s="2850">
        <v>3</v>
      </c>
      <c r="BX26" s="2850">
        <v>1</v>
      </c>
      <c r="BY26" s="2850">
        <v>0</v>
      </c>
      <c r="BZ26" s="2851">
        <v>5</v>
      </c>
      <c r="CA26" s="2742"/>
      <c r="CB26" s="2738">
        <v>0</v>
      </c>
      <c r="CC26" s="2742"/>
      <c r="CD26" s="3032">
        <v>4</v>
      </c>
      <c r="CE26" s="2742"/>
      <c r="CF26" s="3033"/>
      <c r="CG26" s="3034"/>
      <c r="CH26" s="3035"/>
      <c r="CI26" s="2736"/>
      <c r="CJ26" s="3036"/>
      <c r="CK26" s="3037"/>
      <c r="CL26" s="1964"/>
      <c r="CM26" s="1541"/>
      <c r="CN26" s="3038"/>
      <c r="CO26" s="3039"/>
      <c r="CP26" s="2755"/>
    </row>
    <row r="27" spans="1:94">
      <c r="A27" s="1733"/>
      <c r="B27" s="1733"/>
      <c r="C27" s="3040"/>
      <c r="D27" s="3041"/>
      <c r="E27" s="3042"/>
      <c r="F27" s="3043"/>
      <c r="G27" s="3044"/>
      <c r="H27" s="3045"/>
      <c r="I27" s="2582"/>
      <c r="J27" s="2279"/>
      <c r="K27" s="2583"/>
      <c r="L27" s="2334"/>
      <c r="M27" s="2822"/>
      <c r="N27" s="3046"/>
      <c r="O27" s="2276"/>
      <c r="P27" s="2225"/>
      <c r="Q27" s="2147"/>
      <c r="R27" s="2583"/>
      <c r="S27" s="3047"/>
      <c r="T27" s="2227"/>
      <c r="U27" s="2150"/>
      <c r="V27" s="2150"/>
      <c r="W27" s="2149"/>
      <c r="X27" s="2401"/>
      <c r="Y27" s="2402"/>
      <c r="Z27" s="2339"/>
      <c r="AA27" s="2401"/>
      <c r="AB27" s="3048"/>
      <c r="AC27" s="3049"/>
      <c r="AD27" s="2228"/>
      <c r="AE27" s="3013" t="s">
        <v>36</v>
      </c>
      <c r="AF27" s="3014"/>
      <c r="AG27" s="2284"/>
      <c r="AH27" s="2149"/>
      <c r="AI27" s="2286"/>
      <c r="AJ27" s="2144"/>
      <c r="AK27" s="2143"/>
      <c r="AL27" s="3050"/>
      <c r="AM27" s="3051"/>
      <c r="AN27" s="3052"/>
      <c r="AO27" s="3053"/>
      <c r="AP27" s="3054"/>
      <c r="AQ27" s="3055"/>
      <c r="AR27" s="2416"/>
      <c r="AS27" s="1894"/>
      <c r="AT27" s="1894"/>
      <c r="AU27" s="1733"/>
      <c r="AV27" s="1733"/>
      <c r="AW27" s="1733"/>
      <c r="AX27" s="1733"/>
      <c r="AY27" s="1733"/>
      <c r="AZ27" s="1733"/>
      <c r="BA27" s="1733"/>
      <c r="BB27" s="2479" t="s">
        <v>37</v>
      </c>
      <c r="BC27" s="2417" t="s">
        <v>38</v>
      </c>
      <c r="BD27" s="3056"/>
      <c r="BE27" s="3057"/>
      <c r="BF27" s="3058"/>
      <c r="BG27" s="3059"/>
      <c r="BH27" s="3060"/>
      <c r="BI27" s="3061"/>
      <c r="BJ27" s="3062"/>
      <c r="BK27" s="3063"/>
      <c r="BL27" s="3064"/>
      <c r="BM27" s="3065"/>
      <c r="BN27" s="3066"/>
      <c r="BO27" s="3067"/>
      <c r="BP27" s="2800"/>
      <c r="BQ27" s="2801"/>
      <c r="BR27" s="2948">
        <v>0</v>
      </c>
      <c r="BS27" s="2850"/>
      <c r="BT27" s="2850">
        <v>2</v>
      </c>
      <c r="BU27" s="2850">
        <v>2</v>
      </c>
      <c r="BV27" s="2850"/>
      <c r="BW27" s="2850"/>
      <c r="BX27" s="2850">
        <v>7</v>
      </c>
      <c r="BY27" s="2850">
        <v>9</v>
      </c>
      <c r="BZ27" s="2739">
        <v>0</v>
      </c>
      <c r="CA27" s="2801"/>
      <c r="CB27" s="2800">
        <v>3</v>
      </c>
      <c r="CC27" s="2851"/>
      <c r="CD27" s="3068">
        <v>1</v>
      </c>
      <c r="CE27" s="2742"/>
      <c r="CF27" s="2737"/>
      <c r="CG27" s="3069"/>
      <c r="CH27" s="3070"/>
      <c r="CI27" s="3071"/>
      <c r="CJ27" s="3072"/>
      <c r="CK27" s="3073"/>
      <c r="CL27" s="3074"/>
      <c r="CM27" s="2380"/>
      <c r="CN27" s="2756"/>
      <c r="CO27" s="3075"/>
      <c r="CP27" s="3076"/>
    </row>
    <row r="28" spans="1:94">
      <c r="A28" s="1733"/>
      <c r="B28" s="2514"/>
      <c r="C28" s="3077"/>
      <c r="D28" s="3078"/>
      <c r="E28" s="3079"/>
      <c r="F28" s="3080"/>
      <c r="G28" s="3081"/>
      <c r="H28" s="3082"/>
      <c r="I28" s="3083"/>
      <c r="J28" s="2580"/>
      <c r="K28" s="2154"/>
      <c r="L28" s="3084"/>
      <c r="M28" s="3046"/>
      <c r="N28" s="3085"/>
      <c r="O28" s="2580"/>
      <c r="P28" s="2583"/>
      <c r="Q28" s="2144"/>
      <c r="R28" s="3086"/>
      <c r="S28" s="3087"/>
      <c r="T28" s="2149"/>
      <c r="U28" s="2147"/>
      <c r="V28" s="2148"/>
      <c r="W28" s="2227"/>
      <c r="X28" s="2226"/>
      <c r="Y28" s="2402"/>
      <c r="Z28" s="2337"/>
      <c r="AA28" s="2337"/>
      <c r="AB28" s="2712"/>
      <c r="AC28" s="3088"/>
      <c r="AD28" s="2401"/>
      <c r="AE28" s="3013" t="s">
        <v>36</v>
      </c>
      <c r="AF28" s="3089"/>
      <c r="AG28" s="2402"/>
      <c r="AH28" s="2284"/>
      <c r="AI28" s="3050"/>
      <c r="AJ28" s="2149"/>
      <c r="AK28" s="3090"/>
      <c r="AL28" s="3091"/>
      <c r="AM28" s="3092"/>
      <c r="AN28" s="3093"/>
      <c r="AO28" s="3094"/>
      <c r="AP28" s="3095"/>
      <c r="AQ28" s="3096"/>
      <c r="AR28" s="3097"/>
      <c r="AS28" s="2514"/>
      <c r="AT28" s="1733"/>
      <c r="AU28" s="1733"/>
      <c r="AV28" s="1733"/>
      <c r="AW28" s="1733"/>
      <c r="AX28" s="1733"/>
      <c r="AY28" s="1733"/>
      <c r="AZ28" s="1733"/>
      <c r="BA28" s="1733"/>
      <c r="BB28" s="3098" t="s">
        <v>38</v>
      </c>
      <c r="BC28" s="2417" t="s">
        <v>38</v>
      </c>
      <c r="BD28" s="3099"/>
      <c r="BE28" s="3100"/>
      <c r="BF28" s="3101"/>
      <c r="BG28" s="3102"/>
      <c r="BH28" s="3103"/>
      <c r="BI28" s="3104"/>
      <c r="BJ28" s="3105"/>
      <c r="BK28" s="3106"/>
      <c r="BL28" s="3107"/>
      <c r="BM28" s="3108"/>
      <c r="BN28" s="3109"/>
      <c r="BO28" s="3110"/>
      <c r="BP28" s="3031"/>
      <c r="BQ28" s="2851"/>
      <c r="BR28" s="3111">
        <v>8</v>
      </c>
      <c r="BS28" s="2850">
        <v>1</v>
      </c>
      <c r="BT28" s="2739">
        <v>0</v>
      </c>
      <c r="BU28" s="2850">
        <v>0</v>
      </c>
      <c r="BV28" s="2850"/>
      <c r="BW28" s="2850">
        <v>9</v>
      </c>
      <c r="BX28" s="2739">
        <v>4</v>
      </c>
      <c r="BY28" s="2850"/>
      <c r="BZ28" s="2801">
        <v>8</v>
      </c>
      <c r="CA28" s="2801"/>
      <c r="CB28" s="2739">
        <v>7</v>
      </c>
      <c r="CC28" s="2739"/>
      <c r="CD28" s="3032">
        <v>4</v>
      </c>
      <c r="CE28" s="2851"/>
      <c r="CF28" s="3112"/>
      <c r="CG28" s="2808"/>
      <c r="CH28" s="3113"/>
      <c r="CI28" s="3114"/>
      <c r="CJ28" s="3115"/>
      <c r="CK28" s="3116"/>
      <c r="CL28" s="3117"/>
      <c r="CM28" s="3118"/>
      <c r="CN28" s="3039"/>
      <c r="CO28" s="3119"/>
      <c r="CP28" s="3120"/>
    </row>
    <row r="29" spans="1:94">
      <c r="A29" s="1733"/>
      <c r="B29" s="3121"/>
      <c r="C29" s="1733"/>
      <c r="D29" s="3122"/>
      <c r="E29" s="3123"/>
      <c r="F29" s="3124"/>
      <c r="G29" s="3125"/>
      <c r="H29" s="3126"/>
      <c r="I29" s="3127"/>
      <c r="J29" s="3128"/>
      <c r="K29" s="2822"/>
      <c r="L29" s="3129"/>
      <c r="M29" s="2821"/>
      <c r="N29" s="3046"/>
      <c r="O29" s="3045"/>
      <c r="P29" s="2821"/>
      <c r="Q29" s="2276"/>
      <c r="R29" s="3047"/>
      <c r="S29" s="2280"/>
      <c r="T29" s="2280"/>
      <c r="U29" s="2147"/>
      <c r="V29" s="2221"/>
      <c r="W29" s="2282"/>
      <c r="X29" s="2227"/>
      <c r="Y29" s="2285"/>
      <c r="Z29" s="2468"/>
      <c r="AA29" s="2468"/>
      <c r="AB29" s="2339"/>
      <c r="AC29" s="2402"/>
      <c r="AD29" s="2284"/>
      <c r="AE29" s="3013" t="s">
        <v>36</v>
      </c>
      <c r="AF29" s="2151"/>
      <c r="AG29" s="2151"/>
      <c r="AH29" s="2285"/>
      <c r="AI29" s="2284"/>
      <c r="AJ29" s="2965"/>
      <c r="AK29" s="3130"/>
      <c r="AL29" s="3131"/>
      <c r="AM29" s="3132"/>
      <c r="AN29" s="3133"/>
      <c r="AO29" s="3134"/>
      <c r="AP29" s="3135"/>
      <c r="AQ29" s="3136"/>
      <c r="AR29" s="3137"/>
      <c r="AS29" s="3138"/>
      <c r="AT29" s="1894"/>
      <c r="AU29" s="1733"/>
      <c r="AV29" s="1733"/>
      <c r="AW29" s="1733"/>
      <c r="AX29" s="1733"/>
      <c r="AY29" s="1733"/>
      <c r="AZ29" s="1733"/>
      <c r="BA29" s="1733"/>
      <c r="BB29" s="2660" t="s">
        <v>38</v>
      </c>
      <c r="BC29" s="2417"/>
      <c r="BD29" s="3139"/>
      <c r="BE29" s="3140"/>
      <c r="BF29" s="3141"/>
      <c r="BG29" s="3142"/>
      <c r="BH29" s="3143"/>
      <c r="BI29" s="3144"/>
      <c r="BJ29" s="3145"/>
      <c r="BK29" s="3146"/>
      <c r="BL29" s="3147"/>
      <c r="BM29" s="3148"/>
      <c r="BN29" s="2808"/>
      <c r="BO29" s="2736"/>
      <c r="BP29" s="3149"/>
      <c r="BQ29" s="2742"/>
      <c r="BR29" s="3150">
        <v>0</v>
      </c>
      <c r="BS29" s="2850"/>
      <c r="BT29" s="2850"/>
      <c r="BU29" s="2850">
        <v>3</v>
      </c>
      <c r="BV29" s="2850"/>
      <c r="BW29" s="2850">
        <v>8</v>
      </c>
      <c r="BX29" s="2850">
        <v>5</v>
      </c>
      <c r="BY29" s="2850"/>
      <c r="BZ29" s="2850">
        <v>3</v>
      </c>
      <c r="CA29" s="2850"/>
      <c r="CB29" s="2801">
        <v>0</v>
      </c>
      <c r="CC29" s="2850">
        <v>1</v>
      </c>
      <c r="CD29" s="3032"/>
      <c r="CE29" s="2801"/>
      <c r="CF29" s="2947"/>
      <c r="CG29" s="3151"/>
      <c r="CH29" s="3152"/>
      <c r="CI29" s="3153"/>
      <c r="CJ29" s="3154"/>
      <c r="CK29" s="3155"/>
      <c r="CL29" s="3156"/>
      <c r="CM29" s="3157"/>
      <c r="CN29" s="3038"/>
      <c r="CO29" s="3039"/>
      <c r="CP29" s="3158"/>
    </row>
    <row r="30" spans="1:94" ht="16.5" thickBot="1">
      <c r="A30" s="1733"/>
      <c r="B30" s="2514"/>
      <c r="C30" s="1894"/>
      <c r="D30" s="3159"/>
      <c r="E30" s="3160"/>
      <c r="F30" s="3161"/>
      <c r="G30" s="3162"/>
      <c r="H30" s="3163"/>
      <c r="I30" s="3164"/>
      <c r="J30" s="3165"/>
      <c r="K30" s="3128"/>
      <c r="L30" s="3085"/>
      <c r="M30" s="3166"/>
      <c r="N30" s="3008"/>
      <c r="O30" s="3085"/>
      <c r="P30" s="3045"/>
      <c r="Q30" s="2333"/>
      <c r="R30" s="2526"/>
      <c r="S30" s="3017"/>
      <c r="T30" s="3017"/>
      <c r="U30" s="2228"/>
      <c r="V30" s="2227"/>
      <c r="W30" s="2227"/>
      <c r="X30" s="2283"/>
      <c r="Y30" s="2873"/>
      <c r="Z30" s="3088"/>
      <c r="AA30" s="2874"/>
      <c r="AB30" s="2468"/>
      <c r="AC30" s="2227"/>
      <c r="AD30" s="3167"/>
      <c r="AE30" s="3013" t="s">
        <v>36</v>
      </c>
      <c r="AF30" s="2147"/>
      <c r="AG30" s="2227"/>
      <c r="AH30" s="2285"/>
      <c r="AI30" s="2226"/>
      <c r="AJ30" s="3168"/>
      <c r="AK30" s="3169"/>
      <c r="AL30" s="3170"/>
      <c r="AM30" s="3171"/>
      <c r="AN30" s="2651"/>
      <c r="AO30" s="3172"/>
      <c r="AP30" s="3173"/>
      <c r="AQ30" s="1733"/>
      <c r="AR30" s="1733"/>
      <c r="AS30" s="3138"/>
      <c r="AT30" s="1733"/>
      <c r="AU30" s="1733"/>
      <c r="AV30" s="1733"/>
      <c r="AW30" s="1733"/>
      <c r="AX30" s="1733"/>
      <c r="AY30" s="1733"/>
      <c r="AZ30" s="1733"/>
      <c r="BA30" s="1733"/>
      <c r="BB30" s="2479" t="s">
        <v>38</v>
      </c>
      <c r="BC30" s="3174"/>
      <c r="BD30" s="3175"/>
      <c r="BE30" s="3176"/>
      <c r="BF30" s="3177"/>
      <c r="BG30" s="3178"/>
      <c r="BH30" s="3179"/>
      <c r="BI30" s="3180"/>
      <c r="BJ30" s="3181"/>
      <c r="BK30" s="3182"/>
      <c r="BL30" s="3183"/>
      <c r="BM30" s="3184"/>
      <c r="BN30" s="3185"/>
      <c r="BO30" s="3186"/>
      <c r="BP30" s="2950"/>
      <c r="BQ30" s="2742"/>
      <c r="BR30" s="3187">
        <v>6</v>
      </c>
      <c r="BS30" s="2850"/>
      <c r="BT30" s="2850"/>
      <c r="BU30" s="2850">
        <v>6</v>
      </c>
      <c r="BV30" s="2850"/>
      <c r="BW30" s="2850">
        <v>8</v>
      </c>
      <c r="BX30" s="2850">
        <v>9</v>
      </c>
      <c r="BY30" s="2850">
        <v>5</v>
      </c>
      <c r="BZ30" s="2850">
        <v>2</v>
      </c>
      <c r="CA30" s="2850">
        <v>6</v>
      </c>
      <c r="CB30" s="2850">
        <v>3</v>
      </c>
      <c r="CC30" s="2850">
        <v>3</v>
      </c>
      <c r="CD30" s="3032"/>
      <c r="CE30" s="2801"/>
      <c r="CF30" s="2947"/>
      <c r="CG30" s="3188"/>
      <c r="CH30" s="2736"/>
      <c r="CI30" s="3189"/>
      <c r="CJ30" s="3190"/>
      <c r="CK30" s="3191"/>
      <c r="CL30" s="3192"/>
      <c r="CM30" s="2501"/>
      <c r="CN30" s="3193"/>
      <c r="CO30" s="3039"/>
      <c r="CP30" s="2447"/>
    </row>
    <row r="31" spans="1:94">
      <c r="A31" s="1733"/>
      <c r="B31" s="1894"/>
      <c r="C31" s="3194"/>
      <c r="D31" s="3195"/>
      <c r="E31" s="3196"/>
      <c r="F31" s="3197"/>
      <c r="G31" s="3198"/>
      <c r="H31" s="3199"/>
      <c r="I31" s="3046"/>
      <c r="J31" s="3083"/>
      <c r="K31" s="2521"/>
      <c r="L31" s="3200"/>
      <c r="M31" s="3201"/>
      <c r="N31" s="3202"/>
      <c r="O31" s="3085"/>
      <c r="P31" s="2460">
        <v>3</v>
      </c>
      <c r="Q31" s="3203">
        <v>3</v>
      </c>
      <c r="R31" s="3204">
        <v>5</v>
      </c>
      <c r="S31" s="3204">
        <v>0</v>
      </c>
      <c r="T31" s="3205">
        <v>7</v>
      </c>
      <c r="U31" s="3206">
        <v>3</v>
      </c>
      <c r="V31" s="3207">
        <v>2</v>
      </c>
      <c r="W31" s="10565">
        <f>SUM(P31:P35)+SUM(V31:V35)</f>
        <v>25</v>
      </c>
      <c r="X31" s="2338" t="s">
        <v>40</v>
      </c>
      <c r="Y31" s="2338" t="s">
        <v>40</v>
      </c>
      <c r="Z31" s="2338" t="s">
        <v>40</v>
      </c>
      <c r="AA31" s="2338" t="s">
        <v>40</v>
      </c>
      <c r="AB31" s="2338" t="s">
        <v>40</v>
      </c>
      <c r="AC31" s="2338" t="s">
        <v>40</v>
      </c>
      <c r="AD31" s="2338" t="s">
        <v>40</v>
      </c>
      <c r="AE31" s="2338" t="s">
        <v>40</v>
      </c>
      <c r="AF31" s="2221"/>
      <c r="AG31" s="2226"/>
      <c r="AH31" s="2401"/>
      <c r="AI31" s="2337"/>
      <c r="AJ31" s="3208"/>
      <c r="AK31" s="3209"/>
      <c r="AL31" s="3210"/>
      <c r="AM31" s="3211"/>
      <c r="AN31" s="2965"/>
      <c r="AO31" s="3212"/>
      <c r="AP31" s="3213"/>
      <c r="AQ31" s="2389"/>
      <c r="AR31" s="1894"/>
      <c r="AS31" s="1733"/>
      <c r="AT31" s="1733"/>
      <c r="AU31" s="1733"/>
      <c r="AV31" s="1733"/>
      <c r="AW31" s="1733"/>
      <c r="AX31" s="1733"/>
      <c r="AY31" s="1733"/>
      <c r="AZ31" s="1733"/>
      <c r="BA31" s="1733"/>
      <c r="BB31" s="3214" t="s">
        <v>38</v>
      </c>
      <c r="BC31" s="2417"/>
      <c r="BD31" s="3215"/>
      <c r="BE31" s="3216"/>
      <c r="BF31" s="3217"/>
      <c r="BG31" s="3218"/>
      <c r="BH31" s="3219"/>
      <c r="BI31" s="3220"/>
      <c r="BJ31" s="3221"/>
      <c r="BK31" s="3222"/>
      <c r="BL31" s="3223"/>
      <c r="BM31" s="3224"/>
      <c r="BN31" s="3225"/>
      <c r="BO31" s="3226"/>
      <c r="BP31" s="2850"/>
      <c r="BQ31" s="2801"/>
      <c r="BR31" s="2948"/>
      <c r="BS31" s="2800"/>
      <c r="BT31" s="2739"/>
      <c r="BU31" s="2742">
        <v>2</v>
      </c>
      <c r="BV31" s="2853">
        <v>1</v>
      </c>
      <c r="BW31" s="2801">
        <v>0</v>
      </c>
      <c r="BX31" s="2739">
        <v>2</v>
      </c>
      <c r="BY31" s="2801"/>
      <c r="BZ31" s="2850"/>
      <c r="CA31" s="2850"/>
      <c r="CB31" s="2850">
        <v>5</v>
      </c>
      <c r="CC31" s="2850"/>
      <c r="CD31" s="3032"/>
      <c r="CE31" s="2800"/>
      <c r="CF31" s="3151"/>
      <c r="CG31" s="3227"/>
      <c r="CH31" s="2736"/>
      <c r="CI31" s="3228"/>
      <c r="CJ31" s="3229"/>
      <c r="CK31" s="3230"/>
      <c r="CL31" s="3231"/>
      <c r="CM31" s="3232"/>
      <c r="CN31" s="3233"/>
      <c r="CO31" s="3234"/>
      <c r="CP31" s="3039"/>
    </row>
    <row r="32" spans="1:94">
      <c r="A32" s="1733"/>
      <c r="B32" s="2514"/>
      <c r="C32" s="1733"/>
      <c r="D32" s="3235"/>
      <c r="E32" s="3236"/>
      <c r="F32" s="3237"/>
      <c r="G32" s="3238"/>
      <c r="H32" s="3239"/>
      <c r="I32" s="3240"/>
      <c r="J32" s="3241"/>
      <c r="K32" s="3242"/>
      <c r="L32" s="3129"/>
      <c r="M32" s="3243"/>
      <c r="N32" s="2922"/>
      <c r="O32" s="3244"/>
      <c r="P32" s="3245">
        <v>4</v>
      </c>
      <c r="Q32" s="3083">
        <v>0</v>
      </c>
      <c r="R32" s="2767">
        <v>4</v>
      </c>
      <c r="S32" s="2072">
        <v>9</v>
      </c>
      <c r="T32" s="2144">
        <v>8</v>
      </c>
      <c r="U32" s="2221">
        <v>2</v>
      </c>
      <c r="V32" s="3246">
        <v>3</v>
      </c>
      <c r="W32" s="2149"/>
      <c r="X32" s="3247"/>
      <c r="Y32" s="2339"/>
      <c r="Z32" s="2340"/>
      <c r="AA32" s="2468"/>
      <c r="AB32" s="2337"/>
      <c r="AC32" s="2283"/>
      <c r="AD32" s="2588"/>
      <c r="AE32" s="2283"/>
      <c r="AF32" s="2400"/>
      <c r="AG32" s="2226"/>
      <c r="AH32" s="2468"/>
      <c r="AI32" s="2874"/>
      <c r="AJ32" s="2871"/>
      <c r="AK32" s="3248"/>
      <c r="AL32" s="3249"/>
      <c r="AM32" s="3250"/>
      <c r="AN32" s="3251"/>
      <c r="AO32" s="3252"/>
      <c r="AP32" s="1733"/>
      <c r="AQ32" s="2917"/>
      <c r="AR32" s="1733"/>
      <c r="AS32" s="1733"/>
      <c r="AT32" s="1733"/>
      <c r="AU32" s="1733"/>
      <c r="AV32" s="1733"/>
      <c r="AW32" s="1733"/>
      <c r="AX32" s="1733"/>
      <c r="AY32" s="1733"/>
      <c r="AZ32" s="1733"/>
      <c r="BA32" s="2515"/>
      <c r="BB32" s="2417" t="s">
        <v>38</v>
      </c>
      <c r="BC32" s="3253"/>
      <c r="BD32" s="3254"/>
      <c r="BE32" s="3255"/>
      <c r="BF32" s="3256"/>
      <c r="BG32" s="3257"/>
      <c r="BH32" s="3258"/>
      <c r="BI32" s="3259"/>
      <c r="BJ32" s="3260"/>
      <c r="BK32" s="3261"/>
      <c r="BL32" s="3262"/>
      <c r="BM32" s="3263"/>
      <c r="BN32" s="2808"/>
      <c r="BO32" s="3264"/>
      <c r="BP32" s="3265"/>
      <c r="BQ32" s="2739"/>
      <c r="BR32" s="3150"/>
      <c r="BS32" s="3152">
        <v>1</v>
      </c>
      <c r="BT32" s="2739">
        <v>4</v>
      </c>
      <c r="BU32" s="2742">
        <v>7</v>
      </c>
      <c r="BV32" s="2950">
        <v>7</v>
      </c>
      <c r="BW32" s="2850">
        <v>9</v>
      </c>
      <c r="BX32" s="2801">
        <v>9</v>
      </c>
      <c r="BY32" s="2850"/>
      <c r="BZ32" s="3152"/>
      <c r="CA32" s="2801"/>
      <c r="CB32" s="2850">
        <v>4</v>
      </c>
      <c r="CC32" s="2850">
        <v>2</v>
      </c>
      <c r="CD32" s="3266">
        <v>5</v>
      </c>
      <c r="CE32" s="2853"/>
      <c r="CF32" s="2736"/>
      <c r="CG32" s="2736"/>
      <c r="CH32" s="3267"/>
      <c r="CI32" s="3268"/>
      <c r="CJ32" s="3269"/>
      <c r="CK32" s="3270"/>
      <c r="CL32" s="3271"/>
      <c r="CM32" s="3272"/>
      <c r="CN32" s="3273"/>
      <c r="CO32" s="3274"/>
      <c r="CP32" s="2450"/>
    </row>
    <row r="33" spans="1:94" ht="16.5" thickBot="1">
      <c r="A33" s="1733"/>
      <c r="B33" s="1894"/>
      <c r="C33" s="2271"/>
      <c r="D33" s="2865"/>
      <c r="E33" s="3275"/>
      <c r="F33" s="3276"/>
      <c r="G33" s="3277"/>
      <c r="H33" s="3278"/>
      <c r="I33" s="3279"/>
      <c r="J33" s="3280"/>
      <c r="K33" s="3281"/>
      <c r="L33" s="2821"/>
      <c r="M33" s="2580"/>
      <c r="N33" s="3046"/>
      <c r="O33" s="3008"/>
      <c r="P33" s="3282">
        <v>0</v>
      </c>
      <c r="Q33" s="2279">
        <v>5</v>
      </c>
      <c r="R33" s="2394">
        <v>1</v>
      </c>
      <c r="S33" s="2821">
        <v>6</v>
      </c>
      <c r="T33" s="3283">
        <v>4</v>
      </c>
      <c r="U33" s="2228">
        <v>3</v>
      </c>
      <c r="V33" s="3284">
        <v>3</v>
      </c>
      <c r="W33" s="2335"/>
      <c r="X33" s="2282"/>
      <c r="Y33" s="2148"/>
      <c r="Z33" s="2283"/>
      <c r="AA33" s="3285"/>
      <c r="AB33" s="2771"/>
      <c r="AC33" s="2337"/>
      <c r="AD33" s="2467"/>
      <c r="AE33" s="2226"/>
      <c r="AF33" s="2527"/>
      <c r="AG33" s="2339"/>
      <c r="AH33" s="2402"/>
      <c r="AI33" s="3286"/>
      <c r="AJ33" s="2469"/>
      <c r="AK33" s="3287"/>
      <c r="AL33" s="3288"/>
      <c r="AM33" s="3289"/>
      <c r="AN33" s="3290"/>
      <c r="AO33" s="3291"/>
      <c r="AP33" s="1733"/>
      <c r="AQ33" s="2695"/>
      <c r="AR33" s="1733"/>
      <c r="AS33" s="1733"/>
      <c r="AT33" s="1733"/>
      <c r="AU33" s="1733"/>
      <c r="AV33" s="1733"/>
      <c r="AW33" s="1733"/>
      <c r="AX33" s="1733"/>
      <c r="AY33" s="1894"/>
      <c r="AZ33" s="1815"/>
      <c r="BA33" s="1733"/>
      <c r="BB33" s="3292" t="s">
        <v>38</v>
      </c>
      <c r="BC33" s="3293"/>
      <c r="BD33" s="3294"/>
      <c r="BE33" s="3295"/>
      <c r="BF33" s="3296"/>
      <c r="BG33" s="3297"/>
      <c r="BH33" s="3298"/>
      <c r="BI33" s="3299"/>
      <c r="BJ33" s="3300"/>
      <c r="BK33" s="3301"/>
      <c r="BL33" s="3302"/>
      <c r="BM33" s="3303"/>
      <c r="BN33" s="3304"/>
      <c r="BO33" s="3305"/>
      <c r="BP33" s="3306"/>
      <c r="BQ33" s="2950"/>
      <c r="BR33" s="3307">
        <v>5</v>
      </c>
      <c r="BS33" s="3308">
        <v>6</v>
      </c>
      <c r="BT33" s="3309"/>
      <c r="BU33" s="3310"/>
      <c r="BV33" s="3309">
        <v>4</v>
      </c>
      <c r="BW33" s="3311"/>
      <c r="BX33" s="3310"/>
      <c r="BY33" s="3308">
        <v>6</v>
      </c>
      <c r="BZ33" s="3312">
        <v>1</v>
      </c>
      <c r="CA33" s="3313">
        <v>6</v>
      </c>
      <c r="CB33" s="3308">
        <v>7</v>
      </c>
      <c r="CC33" s="3308">
        <v>9</v>
      </c>
      <c r="CD33" s="3314">
        <v>6</v>
      </c>
      <c r="CE33" s="3315"/>
      <c r="CF33" s="3316"/>
      <c r="CG33" s="3317"/>
      <c r="CH33" s="3318"/>
      <c r="CI33" s="3319"/>
      <c r="CJ33" s="3320"/>
      <c r="CK33" s="3321"/>
      <c r="CL33" s="3322"/>
      <c r="CM33" s="3323"/>
      <c r="CN33" s="3324"/>
      <c r="CO33" s="2106"/>
      <c r="CP33" s="2450"/>
    </row>
    <row r="34" spans="1:94">
      <c r="A34" s="1733"/>
      <c r="B34" s="1894"/>
      <c r="C34" s="2271"/>
      <c r="D34" s="1733"/>
      <c r="E34" s="3325"/>
      <c r="F34" s="3326"/>
      <c r="G34" s="3327"/>
      <c r="H34" s="3328"/>
      <c r="I34" s="3329"/>
      <c r="J34" s="3330"/>
      <c r="K34" s="3331"/>
      <c r="L34" s="3332"/>
      <c r="M34" s="2276"/>
      <c r="N34" s="3008"/>
      <c r="O34" s="3333"/>
      <c r="P34" s="3245">
        <v>3</v>
      </c>
      <c r="Q34" s="3334">
        <v>6</v>
      </c>
      <c r="R34" s="3202">
        <v>1</v>
      </c>
      <c r="S34" s="2072">
        <v>4</v>
      </c>
      <c r="T34" s="2070">
        <v>8</v>
      </c>
      <c r="U34" s="2280">
        <v>9</v>
      </c>
      <c r="V34" s="3335">
        <v>6</v>
      </c>
      <c r="W34" s="2336"/>
      <c r="X34" s="2149"/>
      <c r="Y34" s="2149"/>
      <c r="Z34" s="2148"/>
      <c r="AA34" s="2283"/>
      <c r="AB34" s="2337"/>
      <c r="AC34" s="2468"/>
      <c r="AD34" s="3336"/>
      <c r="AE34" s="2712"/>
      <c r="AF34" s="2469"/>
      <c r="AG34" s="2468"/>
      <c r="AH34" s="3011"/>
      <c r="AI34" s="2401"/>
      <c r="AJ34" s="3337"/>
      <c r="AK34" s="3338"/>
      <c r="AL34" s="3339"/>
      <c r="AM34" s="3340"/>
      <c r="AN34" s="3341"/>
      <c r="AO34" s="1816"/>
      <c r="AP34" s="1894"/>
      <c r="AQ34" s="1733"/>
      <c r="AR34" s="1733"/>
      <c r="AS34" s="1733"/>
      <c r="AT34" s="1733"/>
      <c r="AU34" s="1733"/>
      <c r="AV34" s="1894"/>
      <c r="AW34" s="1895"/>
      <c r="AX34" s="3342"/>
      <c r="AY34" s="1733"/>
      <c r="AZ34" s="1733"/>
      <c r="BA34" s="3343"/>
      <c r="BB34" s="3344" t="s">
        <v>38</v>
      </c>
      <c r="BC34" s="3345"/>
      <c r="BD34" s="3346"/>
      <c r="BE34" s="3347"/>
      <c r="BF34" s="3348"/>
      <c r="BG34" s="3349"/>
      <c r="BH34" s="3218"/>
      <c r="BI34" s="3350"/>
      <c r="BJ34" s="3351"/>
      <c r="BK34" s="3352"/>
      <c r="BL34" s="3353"/>
      <c r="BM34" s="3354"/>
      <c r="BN34" s="3355"/>
      <c r="BO34" s="3356"/>
      <c r="BP34" s="3357"/>
      <c r="BQ34" s="3358"/>
      <c r="BR34" s="2850"/>
      <c r="BS34" s="2801"/>
      <c r="BT34" s="2801"/>
      <c r="BU34" s="2800"/>
      <c r="BV34" s="3359" t="s">
        <v>36</v>
      </c>
      <c r="BW34" s="2853"/>
      <c r="BX34" s="3152"/>
      <c r="BY34" s="3360" t="s">
        <v>38</v>
      </c>
      <c r="BZ34" s="2742"/>
      <c r="CA34" s="2950"/>
      <c r="CB34" s="2801"/>
      <c r="CC34" s="2851"/>
      <c r="CD34" s="3361"/>
      <c r="CE34" s="3362"/>
      <c r="CF34" s="3363"/>
      <c r="CG34" s="3364"/>
      <c r="CH34" s="3365"/>
      <c r="CI34" s="3366"/>
      <c r="CJ34" s="3367"/>
      <c r="CK34" s="3368"/>
      <c r="CL34" s="3369"/>
      <c r="CM34" s="3370"/>
      <c r="CN34" s="3371"/>
      <c r="CO34" s="3372"/>
      <c r="CP34" s="3373"/>
    </row>
    <row r="35" spans="1:94" ht="16.5" thickBot="1">
      <c r="A35" s="1733"/>
      <c r="B35" s="1894"/>
      <c r="C35" s="1733"/>
      <c r="D35" s="2271"/>
      <c r="E35" s="1733"/>
      <c r="F35" s="3374"/>
      <c r="G35" s="3375"/>
      <c r="H35" s="3376"/>
      <c r="I35" s="3377"/>
      <c r="J35" s="3378"/>
      <c r="K35" s="3378"/>
      <c r="L35" s="2821"/>
      <c r="M35" s="2394"/>
      <c r="N35" s="3086"/>
      <c r="O35" s="2072"/>
      <c r="P35" s="3379">
        <v>1</v>
      </c>
      <c r="Q35" s="3380">
        <v>7</v>
      </c>
      <c r="R35" s="3381">
        <v>8</v>
      </c>
      <c r="S35" s="3382">
        <v>6</v>
      </c>
      <c r="T35" s="3383">
        <v>9</v>
      </c>
      <c r="U35" s="3384">
        <v>0</v>
      </c>
      <c r="V35" s="3385">
        <v>0</v>
      </c>
      <c r="W35" s="2146"/>
      <c r="X35" s="2148"/>
      <c r="Y35" s="2227"/>
      <c r="Z35" s="2526"/>
      <c r="AA35" s="3283"/>
      <c r="AB35" s="2339"/>
      <c r="AC35" s="2468"/>
      <c r="AD35" s="3386"/>
      <c r="AE35" s="3387"/>
      <c r="AF35" s="2646"/>
      <c r="AG35" s="2873"/>
      <c r="AH35" s="3388"/>
      <c r="AI35" s="3389"/>
      <c r="AJ35" s="3390"/>
      <c r="AK35" s="3391"/>
      <c r="AL35" s="3392"/>
      <c r="AM35" s="3393"/>
      <c r="AN35" s="3394"/>
      <c r="AO35" s="1733"/>
      <c r="AP35" s="2514"/>
      <c r="AQ35" s="1733"/>
      <c r="AR35" s="2514"/>
      <c r="AS35" s="3395"/>
      <c r="AT35" s="1896"/>
      <c r="AU35" s="2241"/>
      <c r="AV35" s="1733"/>
      <c r="AW35" s="1733"/>
      <c r="AX35" s="1733"/>
      <c r="AY35" s="3396"/>
      <c r="AZ35" s="3397"/>
      <c r="BA35" s="3398"/>
      <c r="BB35" s="3399" t="s">
        <v>38</v>
      </c>
      <c r="BC35" s="3400"/>
      <c r="BD35" s="3401"/>
      <c r="BE35" s="3402"/>
      <c r="BF35" s="3403"/>
      <c r="BG35" s="3404"/>
      <c r="BH35" s="3405"/>
      <c r="BI35" s="3406"/>
      <c r="BJ35" s="3407"/>
      <c r="BK35" s="3408"/>
      <c r="BL35" s="3409"/>
      <c r="BM35" s="3410"/>
      <c r="BN35" s="3411"/>
      <c r="BO35" s="3412"/>
      <c r="BP35" s="3413"/>
      <c r="BQ35" s="2950"/>
      <c r="BR35" s="2800"/>
      <c r="BS35" s="2801"/>
      <c r="BT35" s="3414"/>
      <c r="BU35" s="2853"/>
      <c r="BV35" s="2852" t="s">
        <v>36</v>
      </c>
      <c r="BW35" s="3033"/>
      <c r="BX35" s="2853"/>
      <c r="BY35" s="3415" t="s">
        <v>38</v>
      </c>
      <c r="BZ35" s="2950"/>
      <c r="CA35" s="2851"/>
      <c r="CB35" s="2800"/>
      <c r="CC35" s="3416"/>
      <c r="CD35" s="3417"/>
      <c r="CE35" s="3418"/>
      <c r="CF35" s="3419"/>
      <c r="CG35" s="3305"/>
      <c r="CH35" s="3420"/>
      <c r="CI35" s="2369"/>
      <c r="CJ35" s="3421"/>
      <c r="CK35" s="3422"/>
      <c r="CL35" s="2366"/>
      <c r="CM35" s="2304"/>
      <c r="CN35" s="3372"/>
      <c r="CO35" s="3423"/>
      <c r="CP35" s="3424"/>
    </row>
    <row r="36" spans="1:94">
      <c r="A36" s="1733"/>
      <c r="B36" s="1894"/>
      <c r="C36" s="1733"/>
      <c r="D36" s="1733"/>
      <c r="E36" s="2389"/>
      <c r="F36" s="1733"/>
      <c r="G36" s="3425"/>
      <c r="H36" s="3426"/>
      <c r="I36" s="3427"/>
      <c r="J36" s="3428"/>
      <c r="K36" s="3429"/>
      <c r="L36" s="3008"/>
      <c r="M36" s="2821"/>
      <c r="N36" s="2821"/>
      <c r="O36" s="2583"/>
      <c r="P36" s="3010"/>
      <c r="Q36" s="2222"/>
      <c r="R36" s="3009"/>
      <c r="S36" s="2221"/>
      <c r="T36" s="2144"/>
      <c r="U36" s="3430" t="s">
        <v>36</v>
      </c>
      <c r="V36" s="2280"/>
      <c r="W36" s="2148"/>
      <c r="X36" s="2872"/>
      <c r="Y36" s="2926"/>
      <c r="Z36" s="2227"/>
      <c r="AA36" s="2824"/>
      <c r="AB36" s="2468"/>
      <c r="AC36" s="3431"/>
      <c r="AD36" s="3432"/>
      <c r="AE36" s="3433"/>
      <c r="AF36" s="3434"/>
      <c r="AG36" s="2337"/>
      <c r="AH36" s="3435"/>
      <c r="AI36" s="3436"/>
      <c r="AJ36" s="3437"/>
      <c r="AK36" s="3438"/>
      <c r="AL36" s="3439"/>
      <c r="AM36" s="3440"/>
      <c r="AN36" s="3002"/>
      <c r="AO36" s="1733"/>
      <c r="AP36" s="1733"/>
      <c r="AQ36" s="3138"/>
      <c r="AR36" s="1733"/>
      <c r="AS36" s="1733"/>
      <c r="AT36" s="1733"/>
      <c r="AU36" s="3441"/>
      <c r="AV36" s="3442"/>
      <c r="AW36" s="3443"/>
      <c r="AX36" s="3444"/>
      <c r="AY36" s="3445"/>
      <c r="AZ36" s="3446"/>
      <c r="BA36" s="2180"/>
      <c r="BB36" s="3256" t="s">
        <v>38</v>
      </c>
      <c r="BC36" s="3447"/>
      <c r="BD36" s="3448"/>
      <c r="BE36" s="3447"/>
      <c r="BF36" s="3449"/>
      <c r="BG36" s="3447"/>
      <c r="BH36" s="3450"/>
      <c r="BI36" s="3451"/>
      <c r="BJ36" s="3452"/>
      <c r="BK36" s="3453"/>
      <c r="BL36" s="3454"/>
      <c r="BM36" s="3455"/>
      <c r="BN36" s="3456"/>
      <c r="BO36" s="3457"/>
      <c r="BP36" s="3458"/>
      <c r="BQ36" s="2807"/>
      <c r="BR36" s="2742"/>
      <c r="BS36" s="2801"/>
      <c r="BT36" s="2853"/>
      <c r="BU36" s="2808"/>
      <c r="BV36" s="2852" t="s">
        <v>36</v>
      </c>
      <c r="BW36" s="2853"/>
      <c r="BX36" s="3459"/>
      <c r="BY36" s="3460" t="s">
        <v>38</v>
      </c>
      <c r="BZ36" s="3461"/>
      <c r="CA36" s="3459"/>
      <c r="CB36" s="3462"/>
      <c r="CC36" s="3463"/>
      <c r="CD36" s="3464"/>
      <c r="CE36" s="3465"/>
      <c r="CF36" s="3466"/>
      <c r="CG36" s="3467"/>
      <c r="CH36" s="3468"/>
      <c r="CI36" s="3469"/>
      <c r="CJ36" s="3470"/>
      <c r="CK36" s="3471"/>
      <c r="CL36" s="3372"/>
      <c r="CM36" s="2250"/>
      <c r="CN36" s="3472"/>
      <c r="CO36" s="3473"/>
      <c r="CP36" s="3474"/>
    </row>
    <row r="37" spans="1:94">
      <c r="A37" s="1733"/>
      <c r="B37" s="1894"/>
      <c r="C37" s="1733"/>
      <c r="D37" s="1733"/>
      <c r="E37" s="1733"/>
      <c r="F37" s="3475"/>
      <c r="G37" s="1733"/>
      <c r="H37" s="3476"/>
      <c r="I37" s="3477"/>
      <c r="J37" s="3478"/>
      <c r="K37" s="3479"/>
      <c r="L37" s="3480"/>
      <c r="M37" s="3481"/>
      <c r="N37" s="2583"/>
      <c r="O37" s="3243"/>
      <c r="P37" s="3482"/>
      <c r="Q37" s="3483"/>
      <c r="R37" s="2526"/>
      <c r="S37" s="2149"/>
      <c r="T37" s="2824"/>
      <c r="U37" s="3484" t="s">
        <v>36</v>
      </c>
      <c r="V37" s="2221"/>
      <c r="W37" s="3283"/>
      <c r="X37" s="3247"/>
      <c r="Y37" s="3485"/>
      <c r="Z37" s="3486"/>
      <c r="AA37" s="3487"/>
      <c r="AB37" s="3431"/>
      <c r="AC37" s="3488"/>
      <c r="AD37" s="3489"/>
      <c r="AE37" s="3490"/>
      <c r="AF37" s="3491"/>
      <c r="AG37" s="3492"/>
      <c r="AH37" s="2341"/>
      <c r="AI37" s="3493"/>
      <c r="AJ37" s="3494"/>
      <c r="AK37" s="3495"/>
      <c r="AL37" s="3496"/>
      <c r="AM37" s="3497"/>
      <c r="AN37" s="3498"/>
      <c r="AO37" s="1733"/>
      <c r="AP37" s="1733"/>
      <c r="AQ37" s="3138"/>
      <c r="AR37" s="3499"/>
      <c r="AS37" s="3500"/>
      <c r="AT37" s="3501"/>
      <c r="AU37" s="3502"/>
      <c r="AV37" s="3503"/>
      <c r="AW37" s="3504"/>
      <c r="AX37" s="3505"/>
      <c r="AY37" s="1925"/>
      <c r="AZ37" s="3506"/>
      <c r="BA37" s="3507"/>
      <c r="BB37" s="3508" t="s">
        <v>38</v>
      </c>
      <c r="BC37" s="3509"/>
      <c r="BD37" s="3447"/>
      <c r="BE37" s="3510"/>
      <c r="BF37" s="3511"/>
      <c r="BG37" s="2888"/>
      <c r="BH37" s="3512"/>
      <c r="BI37" s="3513"/>
      <c r="BJ37" s="3514"/>
      <c r="BK37" s="3515"/>
      <c r="BL37" s="3516"/>
      <c r="BM37" s="3517"/>
      <c r="BN37" s="3518"/>
      <c r="BO37" s="3519"/>
      <c r="BP37" s="3520"/>
      <c r="BQ37" s="3521"/>
      <c r="BR37" s="3459"/>
      <c r="BS37" s="3522"/>
      <c r="BT37" s="3523"/>
      <c r="BU37" s="3524"/>
      <c r="BV37" s="3525" t="s">
        <v>36</v>
      </c>
      <c r="BW37" s="2803"/>
      <c r="BX37" s="2676"/>
      <c r="BY37" s="3526" t="s">
        <v>38</v>
      </c>
      <c r="BZ37" s="3527"/>
      <c r="CA37" s="3528"/>
      <c r="CB37" s="3529"/>
      <c r="CC37" s="3530"/>
      <c r="CD37" s="3531"/>
      <c r="CE37" s="3532"/>
      <c r="CF37" s="3533"/>
      <c r="CG37" s="3534"/>
      <c r="CH37" s="3535"/>
      <c r="CI37" s="3536"/>
      <c r="CJ37" s="3537"/>
      <c r="CK37" s="3538"/>
      <c r="CL37" s="2364"/>
      <c r="CM37" s="2365"/>
      <c r="CN37" s="2365"/>
      <c r="CO37" s="3473"/>
      <c r="CP37" s="3539"/>
    </row>
    <row r="38" spans="1:94">
      <c r="A38" s="1733"/>
      <c r="B38" s="1894"/>
      <c r="C38" s="1733"/>
      <c r="D38" s="1733"/>
      <c r="E38" s="2326"/>
      <c r="F38" s="3540"/>
      <c r="G38" s="3541"/>
      <c r="H38" s="3542"/>
      <c r="I38" s="3543"/>
      <c r="J38" s="3544"/>
      <c r="K38" s="3545"/>
      <c r="L38" s="3546"/>
      <c r="M38" s="3547"/>
      <c r="N38" s="3334"/>
      <c r="O38" s="3482"/>
      <c r="P38" s="3482"/>
      <c r="Q38" s="2524"/>
      <c r="R38" s="2335"/>
      <c r="S38" s="2965"/>
      <c r="T38" s="1990"/>
      <c r="U38" s="3548" t="s">
        <v>36</v>
      </c>
      <c r="V38" s="3549"/>
      <c r="W38" s="2070"/>
      <c r="X38" s="3550"/>
      <c r="Y38" s="2221"/>
      <c r="Z38" s="3551"/>
      <c r="AA38" s="3552"/>
      <c r="AB38" s="3337"/>
      <c r="AC38" s="3018"/>
      <c r="AD38" s="3553"/>
      <c r="AE38" s="3554"/>
      <c r="AF38" s="3555"/>
      <c r="AG38" s="3556"/>
      <c r="AH38" s="3557"/>
      <c r="AI38" s="3558"/>
      <c r="AJ38" s="3559"/>
      <c r="AK38" s="3560"/>
      <c r="AL38" s="1733"/>
      <c r="AM38" s="3561"/>
      <c r="AN38" s="2865"/>
      <c r="AO38" s="1733"/>
      <c r="AP38" s="1894"/>
      <c r="AQ38" s="2134"/>
      <c r="AR38" s="3562"/>
      <c r="AS38" s="3563"/>
      <c r="AT38" s="3564"/>
      <c r="AU38" s="3565"/>
      <c r="AV38" s="3566"/>
      <c r="AW38" s="3567"/>
      <c r="AX38" s="3568"/>
      <c r="AY38" s="3569"/>
      <c r="AZ38" s="3570"/>
      <c r="BA38" s="3571"/>
      <c r="BB38" s="3511" t="s">
        <v>38</v>
      </c>
      <c r="BC38" s="3511"/>
      <c r="BD38" s="3401"/>
      <c r="BE38" s="3511"/>
      <c r="BF38" s="3572"/>
      <c r="BG38" s="3510"/>
      <c r="BH38" s="3102"/>
      <c r="BI38" s="3573"/>
      <c r="BJ38" s="3574"/>
      <c r="BK38" s="3575"/>
      <c r="BL38" s="3576"/>
      <c r="BM38" s="3577"/>
      <c r="BN38" s="3578"/>
      <c r="BO38" s="3579"/>
      <c r="BP38" s="3580"/>
      <c r="BQ38" s="3581"/>
      <c r="BR38" s="3582"/>
      <c r="BS38" s="3583"/>
      <c r="BT38" s="3584"/>
      <c r="BU38" s="3585"/>
      <c r="BV38" s="3586" t="s">
        <v>36</v>
      </c>
      <c r="BW38" s="3587"/>
      <c r="BX38" s="3588"/>
      <c r="BY38" s="3589" t="s">
        <v>38</v>
      </c>
      <c r="BZ38" s="3590"/>
      <c r="CA38" s="3591"/>
      <c r="CB38" s="3592"/>
      <c r="CC38" s="3593"/>
      <c r="CD38" s="3594"/>
      <c r="CE38" s="3595"/>
      <c r="CF38" s="3596"/>
      <c r="CG38" s="3597"/>
      <c r="CH38" s="3598"/>
      <c r="CI38" s="3370"/>
      <c r="CJ38" s="3599"/>
      <c r="CK38" s="3600"/>
      <c r="CL38" s="2364"/>
      <c r="CM38" s="3422"/>
      <c r="CN38" s="3538"/>
      <c r="CO38" s="3371"/>
      <c r="CP38" s="3601"/>
    </row>
    <row r="39" spans="1:94">
      <c r="A39" s="1733"/>
      <c r="B39" s="1894"/>
      <c r="C39" s="1733"/>
      <c r="D39" s="1733"/>
      <c r="E39" s="1894"/>
      <c r="F39" s="2134"/>
      <c r="G39" s="3602"/>
      <c r="H39" s="3603"/>
      <c r="I39" s="3604"/>
      <c r="J39" s="3605"/>
      <c r="K39" s="3606"/>
      <c r="L39" s="3607"/>
      <c r="M39" s="3608"/>
      <c r="N39" s="3609"/>
      <c r="O39" s="2221"/>
      <c r="P39" s="2144"/>
      <c r="Q39" s="2394"/>
      <c r="R39" s="3610"/>
      <c r="S39" s="3611"/>
      <c r="T39" s="3612"/>
      <c r="U39" s="3613" t="s">
        <v>36</v>
      </c>
      <c r="V39" s="3614"/>
      <c r="W39" s="3615"/>
      <c r="X39" s="3616"/>
      <c r="Y39" s="3617"/>
      <c r="Z39" s="3618"/>
      <c r="AA39" s="3619"/>
      <c r="AB39" s="3620"/>
      <c r="AC39" s="3621"/>
      <c r="AD39" s="3622"/>
      <c r="AE39" s="3623"/>
      <c r="AF39" s="3624"/>
      <c r="AG39" s="3625"/>
      <c r="AH39" s="3626"/>
      <c r="AI39" s="3627"/>
      <c r="AJ39" s="3628"/>
      <c r="AK39" s="3629"/>
      <c r="AL39" s="2212"/>
      <c r="AM39" s="1733"/>
      <c r="AN39" s="1733"/>
      <c r="AO39" s="1733"/>
      <c r="AP39" s="1733"/>
      <c r="AQ39" s="1895"/>
      <c r="AR39" s="1733"/>
      <c r="AS39" s="3137"/>
      <c r="AT39" s="3630"/>
      <c r="AU39" s="3631"/>
      <c r="AV39" s="3632"/>
      <c r="AW39" s="3633"/>
      <c r="AX39" s="3634"/>
      <c r="AY39" s="3635"/>
      <c r="AZ39" s="3636"/>
      <c r="BA39" s="3636"/>
      <c r="BB39" s="3637" t="s">
        <v>38</v>
      </c>
      <c r="BC39" s="3511"/>
      <c r="BD39" s="3447"/>
      <c r="BE39" s="2888"/>
      <c r="BF39" s="3510"/>
      <c r="BG39" s="3511"/>
      <c r="BH39" s="3102"/>
      <c r="BI39" s="3638"/>
      <c r="BJ39" s="3639"/>
      <c r="BK39" s="3640"/>
      <c r="BL39" s="3641"/>
      <c r="BM39" s="3642"/>
      <c r="BN39" s="3643"/>
      <c r="BO39" s="3644"/>
      <c r="BP39" s="3645"/>
      <c r="BQ39" s="3646"/>
      <c r="BR39" s="3647"/>
      <c r="BS39" s="3648"/>
      <c r="BT39" s="3649"/>
      <c r="BU39" s="3650"/>
      <c r="BV39" s="3651" t="s">
        <v>36</v>
      </c>
      <c r="BW39" s="3652"/>
      <c r="BX39" s="3653"/>
      <c r="BY39" s="3654" t="s">
        <v>38</v>
      </c>
      <c r="BZ39" s="3655"/>
      <c r="CA39" s="3656"/>
      <c r="CB39" s="3657"/>
      <c r="CC39" s="3658"/>
      <c r="CD39" s="3659"/>
      <c r="CE39" s="3660"/>
      <c r="CF39" s="3661"/>
      <c r="CG39" s="3662"/>
      <c r="CH39" s="3663"/>
      <c r="CI39" s="3664"/>
      <c r="CJ39" s="2365"/>
      <c r="CK39" s="3372"/>
      <c r="CL39" s="3372"/>
      <c r="CM39" s="2302"/>
      <c r="CN39" s="3665"/>
      <c r="CO39" s="3600"/>
      <c r="CP39" s="3372"/>
    </row>
    <row r="40" spans="1:94">
      <c r="A40" s="1733"/>
      <c r="B40" s="1894"/>
      <c r="C40" s="1733"/>
      <c r="D40" s="1733"/>
      <c r="E40" s="1733"/>
      <c r="F40" s="1733"/>
      <c r="G40" s="1733"/>
      <c r="H40" s="1733"/>
      <c r="I40" s="3666"/>
      <c r="J40" s="3667"/>
      <c r="K40" s="3668"/>
      <c r="L40" s="3669"/>
      <c r="M40" s="3670"/>
      <c r="N40" s="3671"/>
      <c r="O40" s="3672"/>
      <c r="P40" s="2217"/>
      <c r="Q40" s="3082"/>
      <c r="R40" s="3673"/>
      <c r="S40" s="3674"/>
      <c r="T40" s="3675"/>
      <c r="U40" s="3676" t="s">
        <v>36</v>
      </c>
      <c r="V40" s="3677"/>
      <c r="W40" s="3678"/>
      <c r="X40" s="3679"/>
      <c r="Y40" s="3680"/>
      <c r="Z40" s="3681"/>
      <c r="AA40" s="2396"/>
      <c r="AB40" s="3682"/>
      <c r="AC40" s="3683"/>
      <c r="AD40" s="3684"/>
      <c r="AE40" s="3685"/>
      <c r="AF40" s="3686"/>
      <c r="AG40" s="3687"/>
      <c r="AH40" s="3688"/>
      <c r="AI40" s="3689"/>
      <c r="AJ40" s="3690"/>
      <c r="AK40" s="1733"/>
      <c r="AL40" s="2271"/>
      <c r="AM40" s="1733"/>
      <c r="AN40" s="1733"/>
      <c r="AO40" s="1733"/>
      <c r="AP40" s="1733"/>
      <c r="AQ40" s="1733"/>
      <c r="AR40" s="3691"/>
      <c r="AS40" s="1733"/>
      <c r="AT40" s="3692"/>
      <c r="AU40" s="3693"/>
      <c r="AV40" s="3694"/>
      <c r="AW40" s="3695"/>
      <c r="AX40" s="3696"/>
      <c r="AY40" s="3697"/>
      <c r="AZ40" s="3698"/>
      <c r="BA40" s="3699"/>
      <c r="BB40" s="3510" t="s">
        <v>38</v>
      </c>
      <c r="BC40" s="3511"/>
      <c r="BD40" s="3510"/>
      <c r="BE40" s="2838"/>
      <c r="BF40" s="2838"/>
      <c r="BG40" s="3511"/>
      <c r="BH40" s="3512"/>
      <c r="BI40" s="3700"/>
      <c r="BJ40" s="3570"/>
      <c r="BK40" s="3701"/>
      <c r="BL40" s="3702"/>
      <c r="BM40" s="3703"/>
      <c r="BN40" s="3704"/>
      <c r="BO40" s="3705"/>
      <c r="BP40" s="3706"/>
      <c r="BQ40" s="3707"/>
      <c r="BR40" s="3708"/>
      <c r="BS40" s="3709"/>
      <c r="BT40" s="3710"/>
      <c r="BU40" s="3711"/>
      <c r="BV40" s="3712" t="s">
        <v>36</v>
      </c>
      <c r="BW40" s="3713"/>
      <c r="BX40" s="3714"/>
      <c r="BY40" s="3715" t="s">
        <v>38</v>
      </c>
      <c r="BZ40" s="3716"/>
      <c r="CA40" s="3717"/>
      <c r="CB40" s="3718"/>
      <c r="CC40" s="3719"/>
      <c r="CD40" s="3720"/>
      <c r="CE40" s="3721"/>
      <c r="CF40" s="3722"/>
      <c r="CG40" s="3723"/>
      <c r="CH40" s="3724"/>
      <c r="CI40" s="3725"/>
      <c r="CJ40" s="3726"/>
      <c r="CK40" s="3664"/>
      <c r="CL40" s="3727"/>
      <c r="CM40" s="3728"/>
      <c r="CN40" s="3729"/>
      <c r="CO40" s="3422"/>
      <c r="CP40" s="3730"/>
    </row>
    <row r="41" spans="1:94">
      <c r="A41" s="1733"/>
      <c r="B41" s="1894"/>
      <c r="C41" s="1733"/>
      <c r="D41" s="1733"/>
      <c r="E41" s="1733"/>
      <c r="F41" s="1733"/>
      <c r="G41" s="1894"/>
      <c r="H41" s="3731"/>
      <c r="I41" s="3732"/>
      <c r="J41" s="3733"/>
      <c r="K41" s="3734"/>
      <c r="L41" s="3735"/>
      <c r="M41" s="3736"/>
      <c r="N41" s="3737"/>
      <c r="O41" s="3738"/>
      <c r="P41" s="3739"/>
      <c r="Q41" s="3740"/>
      <c r="R41" s="3741"/>
      <c r="S41" s="3742"/>
      <c r="T41" s="3743"/>
      <c r="U41" s="3744" t="s">
        <v>36</v>
      </c>
      <c r="V41" s="3745"/>
      <c r="W41" s="3746"/>
      <c r="X41" s="3747"/>
      <c r="Y41" s="3748"/>
      <c r="Z41" s="3749"/>
      <c r="AA41" s="3750"/>
      <c r="AB41" s="3751"/>
      <c r="AC41" s="3752"/>
      <c r="AD41" s="3753"/>
      <c r="AE41" s="3754"/>
      <c r="AF41" s="3755"/>
      <c r="AG41" s="3756"/>
      <c r="AH41" s="3757"/>
      <c r="AI41" s="3758"/>
      <c r="AJ41" s="1733"/>
      <c r="AK41" s="1894"/>
      <c r="AL41" s="1733"/>
      <c r="AM41" s="1733"/>
      <c r="AN41" s="1733"/>
      <c r="AO41" s="1733"/>
      <c r="AP41" s="1733"/>
      <c r="AQ41" s="1733"/>
      <c r="AR41" s="1733"/>
      <c r="AS41" s="2515"/>
      <c r="AT41" s="2172"/>
      <c r="AU41" s="3759"/>
      <c r="AV41" s="3760"/>
      <c r="AW41" s="3761"/>
      <c r="AX41" s="3762"/>
      <c r="AY41" s="3763"/>
      <c r="AZ41" s="3764"/>
      <c r="BA41" s="3765"/>
      <c r="BB41" s="2939" t="s">
        <v>38</v>
      </c>
      <c r="BC41" s="3447"/>
      <c r="BD41" s="3512"/>
      <c r="BE41" s="2888"/>
      <c r="BF41" s="3766"/>
      <c r="BG41" s="3767"/>
      <c r="BH41" s="3102"/>
      <c r="BI41" s="2019"/>
      <c r="BJ41" s="3768"/>
      <c r="BK41" s="3769"/>
      <c r="BL41" s="3770"/>
      <c r="BM41" s="3771"/>
      <c r="BN41" s="3772"/>
      <c r="BO41" s="3773"/>
      <c r="BP41" s="3774"/>
      <c r="BQ41" s="3775"/>
      <c r="BR41" s="3776"/>
      <c r="BS41" s="3777"/>
      <c r="BT41" s="3778"/>
      <c r="BU41" s="3779"/>
      <c r="BV41" s="3780" t="s">
        <v>36</v>
      </c>
      <c r="BW41" s="3781"/>
      <c r="BX41" s="3782"/>
      <c r="BY41" s="3783" t="s">
        <v>38</v>
      </c>
      <c r="BZ41" s="3784"/>
      <c r="CA41" s="3785"/>
      <c r="CB41" s="3786"/>
      <c r="CC41" s="3787"/>
      <c r="CD41" s="3788"/>
      <c r="CE41" s="3722"/>
      <c r="CF41" s="3789"/>
      <c r="CG41" s="3370"/>
      <c r="CH41" s="2363"/>
      <c r="CI41" s="3790"/>
      <c r="CJ41" s="3791"/>
      <c r="CK41" s="3792"/>
      <c r="CL41" s="2372"/>
      <c r="CM41" s="3793"/>
      <c r="CN41" s="3794"/>
      <c r="CO41" s="3795"/>
      <c r="CP41" s="3796"/>
    </row>
    <row r="42" spans="1:94">
      <c r="A42" s="1733"/>
      <c r="B42" s="1894"/>
      <c r="C42" s="1733"/>
      <c r="D42" s="1733"/>
      <c r="E42" s="1733"/>
      <c r="F42" s="1733"/>
      <c r="G42" s="1894"/>
      <c r="H42" s="3138"/>
      <c r="I42" s="3797"/>
      <c r="J42" s="3798"/>
      <c r="K42" s="3799"/>
      <c r="L42" s="3800"/>
      <c r="M42" s="3801"/>
      <c r="N42" s="3802"/>
      <c r="O42" s="3803"/>
      <c r="P42" s="3804"/>
      <c r="Q42" s="3805"/>
      <c r="R42" s="3806"/>
      <c r="S42" s="3807"/>
      <c r="T42" s="3808"/>
      <c r="U42" s="3809" t="s">
        <v>36</v>
      </c>
      <c r="V42" s="3810"/>
      <c r="W42" s="3811"/>
      <c r="X42" s="3812"/>
      <c r="Y42" s="3813"/>
      <c r="Z42" s="3814"/>
      <c r="AA42" s="3815"/>
      <c r="AB42" s="3816"/>
      <c r="AC42" s="3817"/>
      <c r="AD42" s="3818"/>
      <c r="AE42" s="3819"/>
      <c r="AF42" s="3820"/>
      <c r="AG42" s="1733"/>
      <c r="AH42" s="3821"/>
      <c r="AI42" s="3822"/>
      <c r="AJ42" s="3138"/>
      <c r="AK42" s="2389"/>
      <c r="AL42" s="1733"/>
      <c r="AM42" s="1733"/>
      <c r="AN42" s="1733"/>
      <c r="AO42" s="1733"/>
      <c r="AP42" s="1733"/>
      <c r="AQ42" s="1733"/>
      <c r="AR42" s="1733"/>
      <c r="AS42" s="2515"/>
      <c r="AT42" s="1733"/>
      <c r="AU42" s="3823"/>
      <c r="AV42" s="3824"/>
      <c r="AW42" s="3825"/>
      <c r="AX42" s="3632"/>
      <c r="AY42" s="3826"/>
      <c r="AZ42" s="3827"/>
      <c r="BA42" s="3828"/>
      <c r="BB42" s="3829" t="s">
        <v>38</v>
      </c>
      <c r="BC42" s="3059"/>
      <c r="BD42" s="3830"/>
      <c r="BE42" s="2888"/>
      <c r="BF42" s="3508"/>
      <c r="BG42" s="3767"/>
      <c r="BH42" s="3510"/>
      <c r="BI42" s="3831"/>
      <c r="BJ42" s="3832"/>
      <c r="BK42" s="2423"/>
      <c r="BL42" s="3833"/>
      <c r="BM42" s="2180"/>
      <c r="BN42" s="1925"/>
      <c r="BO42" s="3834"/>
      <c r="BP42" s="3835"/>
      <c r="BQ42" s="3836"/>
      <c r="BR42" s="3837"/>
      <c r="BS42" s="3838"/>
      <c r="BT42" s="3839"/>
      <c r="BU42" s="3840"/>
      <c r="BV42" s="3841" t="s">
        <v>36</v>
      </c>
      <c r="BW42" s="3842"/>
      <c r="BX42" s="3843"/>
      <c r="BY42" s="3829" t="s">
        <v>38</v>
      </c>
      <c r="BZ42" s="3782"/>
      <c r="CA42" s="3660"/>
      <c r="CB42" s="3844"/>
      <c r="CC42" s="3845"/>
      <c r="CD42" s="3846"/>
      <c r="CE42" s="3847"/>
      <c r="CF42" s="3422"/>
      <c r="CG42" s="2305"/>
      <c r="CH42" s="2306"/>
      <c r="CI42" s="2305"/>
      <c r="CJ42" s="3788"/>
      <c r="CK42" s="3848"/>
      <c r="CL42" s="3849"/>
      <c r="CM42" s="3850"/>
      <c r="CN42" s="3851"/>
      <c r="CO42" s="3852"/>
      <c r="CP42" s="3853"/>
    </row>
    <row r="43" spans="1:94">
      <c r="A43" s="1733"/>
      <c r="B43" s="1894"/>
      <c r="C43" s="1733"/>
      <c r="D43" s="1733"/>
      <c r="E43" s="1733"/>
      <c r="F43" s="1733"/>
      <c r="G43" s="1733"/>
      <c r="H43" s="1733"/>
      <c r="I43" s="1733"/>
      <c r="J43" s="1733"/>
      <c r="K43" s="1733"/>
      <c r="L43" s="3854"/>
      <c r="M43" s="3855"/>
      <c r="N43" s="3856"/>
      <c r="O43" s="3857"/>
      <c r="P43" s="3858"/>
      <c r="Q43" s="3859"/>
      <c r="R43" s="3860"/>
      <c r="S43" s="3861"/>
      <c r="T43" s="3862"/>
      <c r="U43" s="3863" t="s">
        <v>36</v>
      </c>
      <c r="V43" s="3864"/>
      <c r="W43" s="3865"/>
      <c r="X43" s="3866"/>
      <c r="Y43" s="3867"/>
      <c r="Z43" s="1733"/>
      <c r="AA43" s="3868"/>
      <c r="AB43" s="3869"/>
      <c r="AC43" s="1733"/>
      <c r="AD43" s="3870"/>
      <c r="AE43" s="3871"/>
      <c r="AF43" s="1733"/>
      <c r="AG43" s="2326"/>
      <c r="AH43" s="3872"/>
      <c r="AI43" s="3873"/>
      <c r="AJ43" s="1733"/>
      <c r="AK43" s="2212"/>
      <c r="AL43" s="1733"/>
      <c r="AM43" s="1733"/>
      <c r="AN43" s="1733"/>
      <c r="AO43" s="1733"/>
      <c r="AP43" s="1733"/>
      <c r="AQ43" s="1733"/>
      <c r="AR43" s="1733"/>
      <c r="AS43" s="1895"/>
      <c r="AT43" s="1894"/>
      <c r="AU43" s="3874"/>
      <c r="AV43" s="3875"/>
      <c r="AW43" s="3876"/>
      <c r="AX43" s="3877"/>
      <c r="AY43" s="3878"/>
      <c r="AZ43" s="3879"/>
      <c r="BA43" s="3880"/>
      <c r="BB43" s="3881" t="s">
        <v>38</v>
      </c>
      <c r="BC43" s="2937"/>
      <c r="BD43" s="3882"/>
      <c r="BE43" s="3883"/>
      <c r="BF43" s="2786"/>
      <c r="BG43" s="2888"/>
      <c r="BH43" s="3510"/>
      <c r="BI43" s="3884"/>
      <c r="BJ43" s="3768"/>
      <c r="BK43" s="2543"/>
      <c r="BL43" s="3885"/>
      <c r="BM43" s="3886"/>
      <c r="BN43" s="3697"/>
      <c r="BO43" s="3887"/>
      <c r="BP43" s="3888"/>
      <c r="BQ43" s="3889"/>
      <c r="BR43" s="3890"/>
      <c r="BS43" s="3891"/>
      <c r="BT43" s="3892"/>
      <c r="BU43" s="3893"/>
      <c r="BV43" s="3894" t="s">
        <v>36</v>
      </c>
      <c r="BW43" s="3895"/>
      <c r="BX43" s="2422"/>
      <c r="BY43" s="3896" t="s">
        <v>38</v>
      </c>
      <c r="BZ43" s="3897"/>
      <c r="CA43" s="3898"/>
      <c r="CB43" s="3899"/>
      <c r="CC43" s="3900"/>
      <c r="CD43" s="3725"/>
      <c r="CE43" s="3664"/>
      <c r="CF43" s="2365"/>
      <c r="CG43" s="2025"/>
      <c r="CH43" s="2305"/>
      <c r="CI43" s="3901"/>
      <c r="CJ43" s="3902"/>
      <c r="CK43" s="3903"/>
      <c r="CL43" s="3904"/>
      <c r="CM43" s="3905"/>
      <c r="CN43" s="3906"/>
      <c r="CO43" s="3907"/>
      <c r="CP43" s="3908"/>
    </row>
    <row r="44" spans="1:94">
      <c r="A44" s="1733"/>
      <c r="B44" s="1894"/>
      <c r="C44" s="1733"/>
      <c r="D44" s="1733"/>
      <c r="E44" s="1733"/>
      <c r="F44" s="1733"/>
      <c r="G44" s="1733"/>
      <c r="H44" s="1733"/>
      <c r="I44" s="1895"/>
      <c r="J44" s="3121"/>
      <c r="K44" s="3909"/>
      <c r="L44" s="3910"/>
      <c r="M44" s="3911"/>
      <c r="N44" s="1896"/>
      <c r="O44" s="1733"/>
      <c r="P44" s="3912"/>
      <c r="Q44" s="3913"/>
      <c r="R44" s="1733"/>
      <c r="S44" s="1733"/>
      <c r="T44" s="1733"/>
      <c r="U44" s="3914" t="s">
        <v>36</v>
      </c>
      <c r="V44" s="3915"/>
      <c r="W44" s="3916"/>
      <c r="X44" s="1733"/>
      <c r="Y44" s="1733"/>
      <c r="Z44" s="3731"/>
      <c r="AA44" s="1733"/>
      <c r="AB44" s="1733"/>
      <c r="AC44" s="1894"/>
      <c r="AD44" s="3917"/>
      <c r="AE44" s="3918"/>
      <c r="AF44" s="1894"/>
      <c r="AG44" s="3138"/>
      <c r="AH44" s="3919"/>
      <c r="AI44" s="3920"/>
      <c r="AJ44" s="1733"/>
      <c r="AK44" s="1733"/>
      <c r="AL44" s="1733"/>
      <c r="AM44" s="1733"/>
      <c r="AN44" s="1733"/>
      <c r="AO44" s="1733"/>
      <c r="AP44" s="1733"/>
      <c r="AQ44" s="1733"/>
      <c r="AR44" s="1733"/>
      <c r="AS44" s="2515"/>
      <c r="AT44" s="1733"/>
      <c r="AU44" s="3921"/>
      <c r="AV44" s="3922"/>
      <c r="AW44" s="3923"/>
      <c r="AX44" s="3924"/>
      <c r="AY44" s="2009"/>
      <c r="AZ44" s="3925"/>
      <c r="BA44" s="3926"/>
      <c r="BB44" s="3927" t="s">
        <v>38</v>
      </c>
      <c r="BC44" s="3928"/>
      <c r="BD44" s="3929"/>
      <c r="BE44" s="3930"/>
      <c r="BF44" s="3931"/>
      <c r="BG44" s="2939"/>
      <c r="BH44" s="3932"/>
      <c r="BI44" s="3933"/>
      <c r="BJ44" s="3934"/>
      <c r="BK44" s="1936"/>
      <c r="BL44" s="1932"/>
      <c r="BM44" s="3935"/>
      <c r="BN44" s="2542"/>
      <c r="BO44" s="3884"/>
      <c r="BP44" s="3936"/>
      <c r="BQ44" s="3937"/>
      <c r="BR44" s="3938"/>
      <c r="BS44" s="3939"/>
      <c r="BT44" s="3940"/>
      <c r="BU44" s="3941"/>
      <c r="BV44" s="3942" t="s">
        <v>36</v>
      </c>
      <c r="BW44" s="3943"/>
      <c r="BX44" s="3944"/>
      <c r="BY44" s="3945" t="s">
        <v>38</v>
      </c>
      <c r="BZ44" s="3946"/>
      <c r="CA44" s="3947"/>
      <c r="CB44" s="3948"/>
      <c r="CC44" s="3949"/>
      <c r="CD44" s="2247"/>
      <c r="CE44" s="3538"/>
      <c r="CF44" s="3950"/>
      <c r="CG44" s="2025"/>
      <c r="CH44" s="3951"/>
      <c r="CI44" s="3952"/>
      <c r="CJ44" s="3953"/>
      <c r="CK44" s="3954"/>
      <c r="CL44" s="3955"/>
      <c r="CM44" s="3956"/>
      <c r="CN44" s="3957"/>
      <c r="CO44" s="3958"/>
      <c r="CP44" s="3959"/>
    </row>
    <row r="45" spans="1:94">
      <c r="A45" s="1733"/>
      <c r="B45" s="1894"/>
      <c r="C45" s="1733"/>
      <c r="D45" s="1733"/>
      <c r="E45" s="1733"/>
      <c r="F45" s="1733"/>
      <c r="G45" s="1733"/>
      <c r="H45" s="1733"/>
      <c r="I45" s="1733"/>
      <c r="J45" s="1733"/>
      <c r="K45" s="1733"/>
      <c r="L45" s="1733"/>
      <c r="M45" s="1733"/>
      <c r="N45" s="3138"/>
      <c r="O45" s="3731"/>
      <c r="P45" s="3960"/>
      <c r="Q45" s="1733"/>
      <c r="R45" s="2271"/>
      <c r="S45" s="2271"/>
      <c r="T45" s="3961"/>
      <c r="U45" s="3962" t="s">
        <v>36</v>
      </c>
      <c r="V45" s="3963"/>
      <c r="W45" s="3964"/>
      <c r="X45" s="2212"/>
      <c r="Y45" s="3965"/>
      <c r="Z45" s="1733"/>
      <c r="AA45" s="1894"/>
      <c r="AB45" s="1733"/>
      <c r="AC45" s="1733"/>
      <c r="AD45" s="1733"/>
      <c r="AE45" s="1733"/>
      <c r="AF45" s="1733"/>
      <c r="AG45" s="1733"/>
      <c r="AH45" s="1733"/>
      <c r="AI45" s="2326"/>
      <c r="AJ45" s="1733"/>
      <c r="AK45" s="1733"/>
      <c r="AL45" s="1733"/>
      <c r="AM45" s="1733"/>
      <c r="AN45" s="1733"/>
      <c r="AO45" s="1733"/>
      <c r="AP45" s="1733"/>
      <c r="AQ45" s="1733"/>
      <c r="AR45" s="1733"/>
      <c r="AS45" s="3966"/>
      <c r="AT45" s="3967"/>
      <c r="AU45" s="3968"/>
      <c r="AV45" s="3969"/>
      <c r="AW45" s="3970"/>
      <c r="AX45" s="3971"/>
      <c r="AY45" s="3972"/>
      <c r="AZ45" s="3973"/>
      <c r="BA45" s="3974"/>
      <c r="BB45" s="3975" t="s">
        <v>38</v>
      </c>
      <c r="BC45" s="3976"/>
      <c r="BD45" s="3977"/>
      <c r="BE45" s="3978"/>
      <c r="BF45" s="3979"/>
      <c r="BG45" s="3980"/>
      <c r="BH45" s="3829"/>
      <c r="BI45" s="3981"/>
      <c r="BJ45" s="1691"/>
      <c r="BK45" s="3982"/>
      <c r="BL45" s="3934"/>
      <c r="BM45" s="1691"/>
      <c r="BN45" s="1930"/>
      <c r="BO45" s="1691"/>
      <c r="BP45" s="1939"/>
      <c r="BQ45" s="3983"/>
      <c r="BR45" s="3984"/>
      <c r="BS45" s="3985"/>
      <c r="BT45" s="3986"/>
      <c r="BU45" s="3987"/>
      <c r="BV45" s="3988" t="s">
        <v>36</v>
      </c>
      <c r="BW45" s="3989"/>
      <c r="BX45" s="2360"/>
      <c r="BY45" s="3990" t="s">
        <v>38</v>
      </c>
      <c r="BZ45" s="3991"/>
      <c r="CA45" s="3948"/>
      <c r="CB45" s="2247"/>
      <c r="CC45" s="3725"/>
      <c r="CD45" s="3538"/>
      <c r="CE45" s="2025"/>
      <c r="CF45" s="2364"/>
      <c r="CG45" s="2366"/>
      <c r="CH45" s="3992"/>
      <c r="CI45" s="3993"/>
      <c r="CJ45" s="3994"/>
      <c r="CK45" s="3995"/>
      <c r="CL45" s="3996"/>
      <c r="CM45" s="3997"/>
      <c r="CN45" s="3998"/>
      <c r="CO45" s="3999"/>
      <c r="CP45" s="4000"/>
    </row>
    <row r="46" spans="1:94">
      <c r="A46" s="1733"/>
      <c r="B46" s="1894"/>
      <c r="C46" s="1733"/>
      <c r="D46" s="1733"/>
      <c r="E46" s="1733"/>
      <c r="F46" s="1733"/>
      <c r="G46" s="1733"/>
      <c r="H46" s="1733"/>
      <c r="I46" s="1733"/>
      <c r="J46" s="1733"/>
      <c r="K46" s="1733"/>
      <c r="L46" s="1733"/>
      <c r="M46" s="2134"/>
      <c r="N46" s="1733"/>
      <c r="O46" s="1733"/>
      <c r="P46" s="1733"/>
      <c r="Q46" s="1894"/>
      <c r="R46" s="1894"/>
      <c r="S46" s="1733"/>
      <c r="T46" s="4001"/>
      <c r="U46" s="4002" t="s">
        <v>36</v>
      </c>
      <c r="V46" s="4003"/>
      <c r="W46" s="4004"/>
      <c r="X46" s="1733"/>
      <c r="Y46" s="4005"/>
      <c r="Z46" s="1733"/>
      <c r="AA46" s="1733"/>
      <c r="AB46" s="1733"/>
      <c r="AC46" s="1733"/>
      <c r="AD46" s="1733"/>
      <c r="AE46" s="1733"/>
      <c r="AF46" s="1733"/>
      <c r="AG46" s="1733"/>
      <c r="AH46" s="1733"/>
      <c r="AI46" s="1733"/>
      <c r="AJ46" s="1733"/>
      <c r="AK46" s="1733"/>
      <c r="AL46" s="1733"/>
      <c r="AM46" s="1733"/>
      <c r="AN46" s="1733"/>
      <c r="AO46" s="1733"/>
      <c r="AP46" s="1733"/>
      <c r="AQ46" s="1894"/>
      <c r="AR46" s="2240"/>
      <c r="AS46" s="4006"/>
      <c r="AT46" s="4007"/>
      <c r="AU46" s="4008"/>
      <c r="AV46" s="4009"/>
      <c r="AW46" s="4010"/>
      <c r="AX46" s="4011"/>
      <c r="AY46" s="4012"/>
      <c r="AZ46" s="4013"/>
      <c r="BA46" s="4014"/>
      <c r="BB46" s="4015" t="s">
        <v>38</v>
      </c>
      <c r="BC46" s="4016"/>
      <c r="BD46" s="4017"/>
      <c r="BE46" s="4018"/>
      <c r="BF46" s="4019"/>
      <c r="BG46" s="4020"/>
      <c r="BH46" s="4021"/>
      <c r="BI46" s="1779"/>
      <c r="BJ46" s="4022"/>
      <c r="BK46" s="1779"/>
      <c r="BL46" s="4023"/>
      <c r="BM46" s="4024"/>
      <c r="BN46" s="1779"/>
      <c r="BO46" s="4025"/>
      <c r="BP46" s="1780"/>
      <c r="BQ46" s="1691"/>
      <c r="BR46" s="4026"/>
      <c r="BS46" s="4027"/>
      <c r="BT46" s="4028"/>
      <c r="BU46" s="4029"/>
      <c r="BV46" s="4030" t="s">
        <v>36</v>
      </c>
      <c r="BW46" s="4031"/>
      <c r="BX46" s="3768"/>
      <c r="BY46" s="2787" t="s">
        <v>38</v>
      </c>
      <c r="BZ46" s="4032"/>
      <c r="CA46" s="3948"/>
      <c r="CB46" s="3422"/>
      <c r="CC46" s="2487"/>
      <c r="CD46" s="2366"/>
      <c r="CE46" s="2364"/>
      <c r="CF46" s="2364"/>
      <c r="CG46" s="3727"/>
      <c r="CH46" s="4033"/>
      <c r="CI46" s="4034"/>
      <c r="CJ46" s="4035"/>
      <c r="CK46" s="4036"/>
      <c r="CL46" s="4037"/>
      <c r="CM46" s="4038"/>
      <c r="CN46" s="4039"/>
      <c r="CO46" s="4040"/>
      <c r="CP46" s="4041"/>
    </row>
    <row r="47" spans="1:94">
      <c r="A47" s="1733"/>
      <c r="B47" s="1894"/>
      <c r="C47" s="1733"/>
      <c r="D47" s="1733"/>
      <c r="E47" s="1733"/>
      <c r="F47" s="1733"/>
      <c r="G47" s="1733"/>
      <c r="H47" s="1733"/>
      <c r="I47" s="1733"/>
      <c r="J47" s="1894"/>
      <c r="K47" s="1733"/>
      <c r="L47" s="1733"/>
      <c r="M47" s="1733"/>
      <c r="N47" s="1733"/>
      <c r="O47" s="1733"/>
      <c r="P47" s="1733"/>
      <c r="Q47" s="1733"/>
      <c r="R47" s="1894"/>
      <c r="S47" s="1733"/>
      <c r="T47" s="4042"/>
      <c r="U47" s="4043" t="s">
        <v>36</v>
      </c>
      <c r="V47" s="4044"/>
      <c r="W47" s="4045"/>
      <c r="X47" s="1733"/>
      <c r="Y47" s="3121"/>
      <c r="Z47" s="1733"/>
      <c r="AA47" s="1733"/>
      <c r="AB47" s="1733"/>
      <c r="AC47" s="1733"/>
      <c r="AD47" s="1733"/>
      <c r="AE47" s="1733"/>
      <c r="AF47" s="1733"/>
      <c r="AG47" s="1733"/>
      <c r="AH47" s="1733"/>
      <c r="AI47" s="1733"/>
      <c r="AJ47" s="1733"/>
      <c r="AK47" s="1733"/>
      <c r="AL47" s="1733"/>
      <c r="AM47" s="1733"/>
      <c r="AN47" s="1733"/>
      <c r="AO47" s="1733"/>
      <c r="AP47" s="1733"/>
      <c r="AQ47" s="2514"/>
      <c r="AR47" s="1733"/>
      <c r="AS47" s="4046"/>
      <c r="AT47" s="4047"/>
      <c r="AU47" s="4048"/>
      <c r="AV47" s="4049"/>
      <c r="AW47" s="4050"/>
      <c r="AX47" s="4051"/>
      <c r="AY47" s="4052"/>
      <c r="AZ47" s="4053"/>
      <c r="BA47" s="4054"/>
      <c r="BB47" s="4055" t="s">
        <v>38</v>
      </c>
      <c r="BC47" s="4056"/>
      <c r="BD47" s="4057"/>
      <c r="BE47" s="4058"/>
      <c r="BF47" s="4059"/>
      <c r="BG47" s="3929"/>
      <c r="BH47" s="4060"/>
      <c r="BI47" s="4061"/>
      <c r="BJ47" s="1858"/>
      <c r="BK47" s="1779"/>
      <c r="BL47" s="4062"/>
      <c r="BM47" s="4032"/>
      <c r="BN47" s="4063"/>
      <c r="BO47" s="2300"/>
      <c r="BP47" s="1851"/>
      <c r="BQ47" s="4064"/>
      <c r="BR47" s="4065"/>
      <c r="BS47" s="4066"/>
      <c r="BT47" s="4067"/>
      <c r="BU47" s="4068"/>
      <c r="BV47" s="4069" t="s">
        <v>36</v>
      </c>
      <c r="BW47" s="4070"/>
      <c r="BX47" s="1691"/>
      <c r="BY47" s="4071" t="s">
        <v>38</v>
      </c>
      <c r="BZ47" s="4072"/>
      <c r="CA47" s="3948"/>
      <c r="CB47" s="3664"/>
      <c r="CC47" s="3538"/>
      <c r="CD47" s="2307"/>
      <c r="CE47" s="4073"/>
      <c r="CF47" s="3950"/>
      <c r="CG47" s="2025"/>
      <c r="CH47" s="2251"/>
      <c r="CI47" s="4074"/>
      <c r="CJ47" s="4075"/>
      <c r="CK47" s="4076"/>
      <c r="CL47" s="4077"/>
      <c r="CM47" s="4078"/>
      <c r="CN47" s="4079"/>
      <c r="CO47" s="4080"/>
      <c r="CP47" s="4081"/>
    </row>
    <row r="48" spans="1:94">
      <c r="A48" s="1733"/>
      <c r="B48" s="1894"/>
      <c r="C48" s="1733"/>
      <c r="D48" s="1733"/>
      <c r="E48" s="1733"/>
      <c r="F48" s="1733"/>
      <c r="G48" s="1733"/>
      <c r="H48" s="1733"/>
      <c r="I48" s="1733"/>
      <c r="J48" s="1894"/>
      <c r="K48" s="1733"/>
      <c r="L48" s="1733"/>
      <c r="M48" s="1733"/>
      <c r="N48" s="1733"/>
      <c r="O48" s="1733"/>
      <c r="P48" s="1733"/>
      <c r="Q48" s="1733"/>
      <c r="R48" s="3194"/>
      <c r="S48" s="1733"/>
      <c r="T48" s="4082"/>
      <c r="U48" s="4083" t="s">
        <v>36</v>
      </c>
      <c r="V48" s="4084"/>
      <c r="W48" s="4085"/>
      <c r="X48" s="1733"/>
      <c r="Y48" s="2917"/>
      <c r="Z48" s="1733"/>
      <c r="AA48" s="1733"/>
      <c r="AB48" s="1733"/>
      <c r="AC48" s="1733"/>
      <c r="AD48" s="1733"/>
      <c r="AE48" s="1733"/>
      <c r="AF48" s="1733"/>
      <c r="AG48" s="1733"/>
      <c r="AH48" s="1733"/>
      <c r="AI48" s="1733"/>
      <c r="AJ48" s="1733"/>
      <c r="AK48" s="1733"/>
      <c r="AL48" s="1733"/>
      <c r="AM48" s="1733"/>
      <c r="AN48" s="1733"/>
      <c r="AO48" s="1733"/>
      <c r="AP48" s="1894"/>
      <c r="AQ48" s="2134"/>
      <c r="AR48" s="4086"/>
      <c r="AS48" s="4087"/>
      <c r="AT48" s="4088"/>
      <c r="AU48" s="4089"/>
      <c r="AV48" s="4090"/>
      <c r="AW48" s="4091"/>
      <c r="AX48" s="4092"/>
      <c r="AY48" s="4093"/>
      <c r="AZ48" s="4094"/>
      <c r="BA48" s="4095"/>
      <c r="BB48" s="4096" t="s">
        <v>38</v>
      </c>
      <c r="BC48" s="4097"/>
      <c r="BD48" s="4098"/>
      <c r="BE48" s="4099"/>
      <c r="BF48" s="4100"/>
      <c r="BG48" s="4101"/>
      <c r="BH48" s="4102"/>
      <c r="BI48" s="1933"/>
      <c r="BJ48" s="1780"/>
      <c r="BK48" s="4062"/>
      <c r="BL48" s="4103"/>
      <c r="BM48" s="4104"/>
      <c r="BN48" s="4105"/>
      <c r="BO48" s="4105"/>
      <c r="BP48" s="1691"/>
      <c r="BQ48" s="4106"/>
      <c r="BR48" s="4107"/>
      <c r="BS48" s="4108"/>
      <c r="BT48" s="4109"/>
      <c r="BU48" s="4110"/>
      <c r="BV48" s="4111" t="s">
        <v>36</v>
      </c>
      <c r="BW48" s="4112"/>
      <c r="BX48" s="4113"/>
      <c r="BY48" s="4114" t="s">
        <v>38</v>
      </c>
      <c r="BZ48" s="2012"/>
      <c r="CA48" s="2485"/>
      <c r="CB48" s="4115"/>
      <c r="CC48" s="2365"/>
      <c r="CD48" s="4116"/>
      <c r="CE48" s="2366"/>
      <c r="CF48" s="3472"/>
      <c r="CG48" s="4117"/>
      <c r="CH48" s="3601"/>
      <c r="CI48" s="4118"/>
      <c r="CJ48" s="4119"/>
      <c r="CK48" s="4120"/>
      <c r="CL48" s="4121"/>
      <c r="CM48" s="4122"/>
      <c r="CN48" s="4123"/>
      <c r="CO48" s="4124"/>
      <c r="CP48" s="4125"/>
    </row>
    <row r="49" spans="1:94">
      <c r="A49" s="1733"/>
      <c r="B49" s="1894"/>
      <c r="C49" s="1733"/>
      <c r="D49" s="1733"/>
      <c r="E49" s="1733"/>
      <c r="F49" s="1733"/>
      <c r="G49" s="1733"/>
      <c r="H49" s="1733"/>
      <c r="I49" s="1733"/>
      <c r="J49" s="1733"/>
      <c r="K49" s="1733"/>
      <c r="L49" s="1733"/>
      <c r="M49" s="1733"/>
      <c r="N49" s="1733"/>
      <c r="O49" s="1733"/>
      <c r="P49" s="1733"/>
      <c r="Q49" s="1733"/>
      <c r="R49" s="2271"/>
      <c r="S49" s="1733"/>
      <c r="T49" s="4126"/>
      <c r="U49" s="4127" t="s">
        <v>36</v>
      </c>
      <c r="V49" s="4128"/>
      <c r="W49" s="4129"/>
      <c r="X49" s="1733"/>
      <c r="Y49" s="2917"/>
      <c r="Z49" s="1733"/>
      <c r="AA49" s="1733"/>
      <c r="AB49" s="1733"/>
      <c r="AC49" s="1733"/>
      <c r="AD49" s="1733"/>
      <c r="AE49" s="1733"/>
      <c r="AF49" s="1733"/>
      <c r="AG49" s="1733"/>
      <c r="AH49" s="1733"/>
      <c r="AI49" s="1733"/>
      <c r="AJ49" s="1733"/>
      <c r="AK49" s="1733"/>
      <c r="AL49" s="1733"/>
      <c r="AM49" s="1733"/>
      <c r="AN49" s="1733"/>
      <c r="AO49" s="1894"/>
      <c r="AP49" s="1896"/>
      <c r="AQ49" s="4130"/>
      <c r="AR49" s="4131"/>
      <c r="AS49" s="4132"/>
      <c r="AT49" s="4133"/>
      <c r="AU49" s="4134"/>
      <c r="AV49" s="4135"/>
      <c r="AW49" s="4136"/>
      <c r="AX49" s="4137"/>
      <c r="AY49" s="4138"/>
      <c r="AZ49" s="4139"/>
      <c r="BA49" s="4140"/>
      <c r="BB49" s="4141" t="s">
        <v>38</v>
      </c>
      <c r="BC49" s="4142"/>
      <c r="BD49" s="4143"/>
      <c r="BE49" s="4144"/>
      <c r="BF49" s="4145"/>
      <c r="BG49" s="4146"/>
      <c r="BH49" s="4147"/>
      <c r="BI49" s="4148"/>
      <c r="BJ49" s="1850"/>
      <c r="BK49" s="1854"/>
      <c r="BL49" s="4149"/>
      <c r="BM49" s="1860"/>
      <c r="BN49" s="1939"/>
      <c r="BO49" s="4150"/>
      <c r="BP49" s="4151"/>
      <c r="BQ49" s="3832"/>
      <c r="BR49" s="4152"/>
      <c r="BS49" s="4153"/>
      <c r="BT49" s="4154"/>
      <c r="BU49" s="4155"/>
      <c r="BV49" s="4156" t="s">
        <v>36</v>
      </c>
      <c r="BW49" s="4157"/>
      <c r="BX49" s="2360"/>
      <c r="BY49" s="4158" t="s">
        <v>38</v>
      </c>
      <c r="BZ49" s="4032"/>
      <c r="CA49" s="3470"/>
      <c r="CB49" s="4116"/>
      <c r="CC49" s="2365"/>
      <c r="CD49" s="3471"/>
      <c r="CE49" s="2305"/>
      <c r="CF49" s="2363"/>
      <c r="CG49" s="3600"/>
      <c r="CH49" s="2249"/>
      <c r="CI49" s="4159"/>
      <c r="CJ49" s="4160"/>
      <c r="CK49" s="4161"/>
      <c r="CL49" s="4162"/>
      <c r="CM49" s="4163"/>
      <c r="CN49" s="4164"/>
      <c r="CO49" s="4165"/>
      <c r="CP49" s="4166"/>
    </row>
    <row r="50" spans="1:94" ht="16.5" thickBot="1">
      <c r="A50" s="1733"/>
      <c r="B50" s="1894"/>
      <c r="C50" s="1733"/>
      <c r="D50" s="1733"/>
      <c r="E50" s="1733"/>
      <c r="F50" s="1733"/>
      <c r="G50" s="1733"/>
      <c r="H50" s="1733"/>
      <c r="I50" s="1733"/>
      <c r="J50" s="1733"/>
      <c r="K50" s="1733"/>
      <c r="L50" s="1733"/>
      <c r="M50" s="1733"/>
      <c r="N50" s="1733"/>
      <c r="O50" s="1733"/>
      <c r="P50" s="1733"/>
      <c r="Q50" s="1733"/>
      <c r="R50" s="2695"/>
      <c r="S50" s="1733"/>
      <c r="T50" s="4167"/>
      <c r="U50" s="4168" t="s">
        <v>36</v>
      </c>
      <c r="V50" s="4169"/>
      <c r="W50" s="4170"/>
      <c r="X50" s="1733"/>
      <c r="Y50" s="2695"/>
      <c r="Z50" s="1733"/>
      <c r="AA50" s="1733"/>
      <c r="AB50" s="1733"/>
      <c r="AC50" s="1733"/>
      <c r="AD50" s="1733"/>
      <c r="AE50" s="1733"/>
      <c r="AF50" s="1733"/>
      <c r="AG50" s="1733"/>
      <c r="AH50" s="1733"/>
      <c r="AI50" s="1733"/>
      <c r="AJ50" s="1733"/>
      <c r="AK50" s="1733"/>
      <c r="AL50" s="1733"/>
      <c r="AM50" s="1733"/>
      <c r="AN50" s="2514"/>
      <c r="AO50" s="1733"/>
      <c r="AP50" s="1817"/>
      <c r="AQ50" s="4171"/>
      <c r="AR50" s="4172"/>
      <c r="AS50" s="4173"/>
      <c r="AT50" s="4174"/>
      <c r="AU50" s="4175"/>
      <c r="AV50" s="4176"/>
      <c r="AW50" s="4177"/>
      <c r="AX50" s="4178"/>
      <c r="AY50" s="4179"/>
      <c r="AZ50" s="4180"/>
      <c r="BA50" s="4181"/>
      <c r="BB50" s="4182" t="s">
        <v>38</v>
      </c>
      <c r="BC50" s="4183"/>
      <c r="BD50" s="4184"/>
      <c r="BE50" s="4185"/>
      <c r="BF50" s="4186"/>
      <c r="BG50" s="4187"/>
      <c r="BH50" s="4188"/>
      <c r="BI50" s="4189"/>
      <c r="BJ50" s="1930"/>
      <c r="BK50" s="2020"/>
      <c r="BL50" s="1772"/>
      <c r="BM50" s="4190"/>
      <c r="BN50" s="4103"/>
      <c r="BO50" s="1611"/>
      <c r="BP50" s="4025"/>
      <c r="BQ50" s="4191"/>
      <c r="BR50" s="4192"/>
      <c r="BS50" s="4193"/>
      <c r="BT50" s="4194"/>
      <c r="BU50" s="4195"/>
      <c r="BV50" s="3988" t="s">
        <v>36</v>
      </c>
      <c r="BW50" s="3989"/>
      <c r="BX50" s="2360"/>
      <c r="BY50" s="2787" t="s">
        <v>38</v>
      </c>
      <c r="BZ50" s="1693"/>
      <c r="CA50" s="2485"/>
      <c r="CB50" s="2301"/>
      <c r="CC50" s="2025"/>
      <c r="CD50" s="2366"/>
      <c r="CE50" s="3372"/>
      <c r="CF50" s="3371"/>
      <c r="CG50" s="3600"/>
      <c r="CH50" s="2251"/>
      <c r="CI50" s="2251"/>
      <c r="CJ50" s="4196"/>
      <c r="CK50" s="4197"/>
      <c r="CL50" s="4198"/>
      <c r="CM50" s="4199"/>
      <c r="CN50" s="4200"/>
      <c r="CO50" s="4201"/>
      <c r="CP50" s="4202"/>
    </row>
    <row r="51" spans="1:94">
      <c r="A51" s="1733"/>
      <c r="B51" s="1894"/>
      <c r="C51" s="1733"/>
      <c r="D51" s="1733"/>
      <c r="E51" s="1733"/>
      <c r="F51" s="1733"/>
      <c r="G51" s="1733"/>
      <c r="H51" s="1733"/>
      <c r="I51" s="1733"/>
      <c r="J51" s="1733"/>
      <c r="K51" s="1733"/>
      <c r="L51" s="1733"/>
      <c r="M51" s="1733"/>
      <c r="N51" s="1733"/>
      <c r="O51" s="1733"/>
      <c r="P51" s="1733"/>
      <c r="Q51" s="1733"/>
      <c r="R51" s="2695"/>
      <c r="S51" s="1733"/>
      <c r="T51" s="4203"/>
      <c r="U51" s="4204" t="s">
        <v>36</v>
      </c>
      <c r="V51" s="4205"/>
      <c r="W51" s="4206"/>
      <c r="X51" s="1733"/>
      <c r="Y51" s="2695"/>
      <c r="Z51" s="1733"/>
      <c r="AA51" s="1733"/>
      <c r="AB51" s="1733"/>
      <c r="AC51" s="1733"/>
      <c r="AD51" s="1733"/>
      <c r="AE51" s="1733"/>
      <c r="AF51" s="1733"/>
      <c r="AG51" s="1733"/>
      <c r="AH51" s="1733"/>
      <c r="AI51" s="1733"/>
      <c r="AJ51" s="1733"/>
      <c r="AK51" s="2134"/>
      <c r="AL51" s="1895"/>
      <c r="AM51" s="1733"/>
      <c r="AN51" s="1733"/>
      <c r="AO51" s="4207"/>
      <c r="AP51" s="4208"/>
      <c r="AQ51" s="4209"/>
      <c r="AR51" s="4210"/>
      <c r="AS51" s="4211"/>
      <c r="AT51" s="4212"/>
      <c r="AU51" s="4213"/>
      <c r="AV51" s="4214"/>
      <c r="AW51" s="4215"/>
      <c r="AX51" s="10587">
        <v>1</v>
      </c>
      <c r="AY51" s="10588">
        <v>1</v>
      </c>
      <c r="AZ51" s="10588">
        <v>1</v>
      </c>
      <c r="BA51" s="10588">
        <v>1</v>
      </c>
      <c r="BB51" s="10589">
        <v>1</v>
      </c>
      <c r="BC51" s="4218"/>
      <c r="BD51" s="4219"/>
      <c r="BE51" s="4220"/>
      <c r="BF51" s="4221"/>
      <c r="BG51" s="4222"/>
      <c r="BH51" s="4223"/>
      <c r="BI51" s="3407"/>
      <c r="BJ51" s="4224"/>
      <c r="BK51" s="1937"/>
      <c r="BL51" s="4225"/>
      <c r="BM51" s="1855"/>
      <c r="BN51" s="4103"/>
      <c r="BO51" s="1693"/>
      <c r="BP51" s="4226"/>
      <c r="BQ51" s="3699"/>
      <c r="BR51" s="4227"/>
      <c r="BS51" s="4228"/>
      <c r="BT51" s="4229"/>
      <c r="BU51" s="4230"/>
      <c r="BV51" s="4231" t="s">
        <v>36</v>
      </c>
      <c r="BW51" s="4232"/>
      <c r="BX51" s="3944"/>
      <c r="BY51" s="4158" t="s">
        <v>38</v>
      </c>
      <c r="BZ51" s="3846"/>
      <c r="CA51" s="3789"/>
      <c r="CB51" s="2185"/>
      <c r="CC51" s="2023"/>
      <c r="CD51" s="3664"/>
      <c r="CE51" s="3471"/>
      <c r="CF51" s="2365"/>
      <c r="CG51" s="2304"/>
      <c r="CH51" s="2106"/>
      <c r="CI51" s="2304"/>
      <c r="CJ51" s="2249"/>
      <c r="CK51" s="4233"/>
      <c r="CL51" s="4234"/>
      <c r="CM51" s="4235"/>
      <c r="CN51" s="4236"/>
      <c r="CO51" s="4237"/>
      <c r="CP51" s="4238"/>
    </row>
    <row r="52" spans="1:94">
      <c r="A52" s="1733"/>
      <c r="B52" s="1894"/>
      <c r="C52" s="1733"/>
      <c r="D52" s="1733"/>
      <c r="E52" s="1733"/>
      <c r="F52" s="1733"/>
      <c r="G52" s="1733"/>
      <c r="H52" s="1733"/>
      <c r="I52" s="1733"/>
      <c r="J52" s="1733"/>
      <c r="K52" s="1733"/>
      <c r="L52" s="1733"/>
      <c r="M52" s="1733"/>
      <c r="N52" s="1733"/>
      <c r="O52" s="1733"/>
      <c r="P52" s="1733"/>
      <c r="Q52" s="1733"/>
      <c r="R52" s="4239"/>
      <c r="S52" s="1733"/>
      <c r="T52" s="4240"/>
      <c r="U52" s="4241" t="s">
        <v>36</v>
      </c>
      <c r="V52" s="4242"/>
      <c r="W52" s="4243"/>
      <c r="X52" s="1733"/>
      <c r="Y52" s="2695"/>
      <c r="Z52" s="1733"/>
      <c r="AA52" s="1733"/>
      <c r="AB52" s="1733"/>
      <c r="AC52" s="1733"/>
      <c r="AD52" s="1733"/>
      <c r="AE52" s="1733"/>
      <c r="AF52" s="1733"/>
      <c r="AG52" s="1733"/>
      <c r="AH52" s="1894"/>
      <c r="AI52" s="2514"/>
      <c r="AJ52" s="1896"/>
      <c r="AK52" s="1733"/>
      <c r="AL52" s="1733"/>
      <c r="AM52" s="4244"/>
      <c r="AN52" s="4245"/>
      <c r="AO52" s="4246"/>
      <c r="AP52" s="4247"/>
      <c r="AQ52" s="4248"/>
      <c r="AR52" s="4249"/>
      <c r="AS52" s="4250"/>
      <c r="AT52" s="4251"/>
      <c r="AU52" s="4252"/>
      <c r="AV52" s="4253"/>
      <c r="AW52" s="4254"/>
      <c r="AX52" s="10590">
        <v>1</v>
      </c>
      <c r="AY52" s="10591">
        <v>1</v>
      </c>
      <c r="AZ52" s="10591">
        <v>1</v>
      </c>
      <c r="BA52" s="10591">
        <v>1</v>
      </c>
      <c r="BB52" s="10592">
        <v>1</v>
      </c>
      <c r="BC52" s="4255"/>
      <c r="BD52" s="4256"/>
      <c r="BE52" s="4257"/>
      <c r="BF52" s="4258"/>
      <c r="BG52" s="4259"/>
      <c r="BH52" s="4260"/>
      <c r="BI52" s="4261"/>
      <c r="BJ52" s="4262"/>
      <c r="BK52" s="4263"/>
      <c r="BL52" s="4149"/>
      <c r="BM52" s="1856"/>
      <c r="BN52" s="4103"/>
      <c r="BO52" s="1692"/>
      <c r="BP52" s="1930"/>
      <c r="BQ52" s="4264"/>
      <c r="BR52" s="4265"/>
      <c r="BS52" s="4266"/>
      <c r="BT52" s="4267"/>
      <c r="BU52" s="4268"/>
      <c r="BV52" s="4269" t="s">
        <v>36</v>
      </c>
      <c r="BW52" s="4270"/>
      <c r="BX52" s="4271"/>
      <c r="BY52" s="4272" t="s">
        <v>38</v>
      </c>
      <c r="BZ52" s="4273"/>
      <c r="CA52" s="3789"/>
      <c r="CB52" s="4274"/>
      <c r="CC52" s="2025"/>
      <c r="CD52" s="3663"/>
      <c r="CE52" s="4275"/>
      <c r="CF52" s="4276"/>
      <c r="CG52" s="2366"/>
      <c r="CH52" s="3727"/>
      <c r="CI52" s="2304"/>
      <c r="CJ52" s="3950"/>
      <c r="CK52" s="3372"/>
      <c r="CL52" s="2249"/>
      <c r="CM52" s="4277"/>
      <c r="CN52" s="2815"/>
      <c r="CO52" s="4278"/>
      <c r="CP52" s="4279"/>
    </row>
    <row r="53" spans="1:94">
      <c r="A53" s="1733"/>
      <c r="B53" s="1894"/>
      <c r="C53" s="1733"/>
      <c r="D53" s="1733"/>
      <c r="E53" s="1733"/>
      <c r="F53" s="1733"/>
      <c r="G53" s="1733"/>
      <c r="H53" s="1733"/>
      <c r="I53" s="1733"/>
      <c r="J53" s="1733"/>
      <c r="K53" s="1733"/>
      <c r="L53" s="1733"/>
      <c r="M53" s="1733"/>
      <c r="N53" s="1733"/>
      <c r="O53" s="1733"/>
      <c r="P53" s="1733"/>
      <c r="Q53" s="1733"/>
      <c r="R53" s="2695"/>
      <c r="S53" s="1733"/>
      <c r="T53" s="4280"/>
      <c r="U53" s="4204" t="s">
        <v>36</v>
      </c>
      <c r="V53" s="4281"/>
      <c r="W53" s="4282"/>
      <c r="X53" s="1733"/>
      <c r="Y53" s="3194"/>
      <c r="Z53" s="1733"/>
      <c r="AA53" s="1733"/>
      <c r="AB53" s="1733"/>
      <c r="AC53" s="1733"/>
      <c r="AD53" s="1733"/>
      <c r="AE53" s="1895"/>
      <c r="AF53" s="1815"/>
      <c r="AG53" s="1896"/>
      <c r="AH53" s="1733"/>
      <c r="AI53" s="1733"/>
      <c r="AJ53" s="1733"/>
      <c r="AK53" s="4283"/>
      <c r="AL53" s="4284"/>
      <c r="AM53" s="4285"/>
      <c r="AN53" s="4286"/>
      <c r="AO53" s="4287"/>
      <c r="AP53" s="4288"/>
      <c r="AQ53" s="4289"/>
      <c r="AR53" s="4290"/>
      <c r="AS53" s="4291"/>
      <c r="AT53" s="4292"/>
      <c r="AU53" s="4293"/>
      <c r="AV53" s="4294"/>
      <c r="AW53" s="4295"/>
      <c r="AX53" s="10590">
        <v>1</v>
      </c>
      <c r="AY53" s="10591">
        <v>1</v>
      </c>
      <c r="AZ53" s="10591">
        <v>1</v>
      </c>
      <c r="BA53" s="10591">
        <v>1</v>
      </c>
      <c r="BB53" s="10592">
        <v>1</v>
      </c>
      <c r="BC53" s="4296"/>
      <c r="BD53" s="4297"/>
      <c r="BE53" s="4298"/>
      <c r="BF53" s="4299"/>
      <c r="BG53" s="4300"/>
      <c r="BH53" s="4301"/>
      <c r="BI53" s="4302"/>
      <c r="BJ53" s="4303"/>
      <c r="BK53" s="4304"/>
      <c r="BL53" s="1771"/>
      <c r="BM53" s="4149"/>
      <c r="BN53" s="1690"/>
      <c r="BO53" s="4305"/>
      <c r="BP53" s="1779"/>
      <c r="BQ53" s="4306"/>
      <c r="BR53" s="4307"/>
      <c r="BS53" s="4308"/>
      <c r="BT53" s="4309"/>
      <c r="BU53" s="4310"/>
      <c r="BV53" s="4311" t="s">
        <v>36</v>
      </c>
      <c r="BW53" s="4312"/>
      <c r="BX53" s="3660"/>
      <c r="BY53" s="2787" t="s">
        <v>38</v>
      </c>
      <c r="BZ53" s="4313"/>
      <c r="CA53" s="4032"/>
      <c r="CB53" s="2362"/>
      <c r="CC53" s="2373"/>
      <c r="CD53" s="4314"/>
      <c r="CE53" s="2486"/>
      <c r="CF53" s="4315"/>
      <c r="CG53" s="4316"/>
      <c r="CH53" s="4317"/>
      <c r="CI53" s="4318"/>
      <c r="CJ53" s="2486"/>
      <c r="CK53" s="2373"/>
      <c r="CL53" s="3471"/>
      <c r="CM53" s="2305"/>
      <c r="CN53" s="4319"/>
      <c r="CO53" s="4320"/>
      <c r="CP53" s="4321"/>
    </row>
    <row r="54" spans="1:94">
      <c r="A54" s="1733"/>
      <c r="B54" s="1894"/>
      <c r="C54" s="1733"/>
      <c r="D54" s="1733"/>
      <c r="E54" s="1894"/>
      <c r="F54" s="1894"/>
      <c r="G54" s="1733"/>
      <c r="H54" s="1733"/>
      <c r="I54" s="1733"/>
      <c r="J54" s="1733"/>
      <c r="K54" s="1733"/>
      <c r="L54" s="1733"/>
      <c r="M54" s="1733"/>
      <c r="N54" s="1733"/>
      <c r="O54" s="1733"/>
      <c r="P54" s="1733"/>
      <c r="Q54" s="1733"/>
      <c r="R54" s="3909"/>
      <c r="S54" s="1733"/>
      <c r="T54" s="4322"/>
      <c r="U54" s="4323" t="s">
        <v>36</v>
      </c>
      <c r="V54" s="4324"/>
      <c r="W54" s="4325"/>
      <c r="X54" s="1733"/>
      <c r="Y54" s="3194"/>
      <c r="Z54" s="1894"/>
      <c r="AA54" s="2514"/>
      <c r="AB54" s="3395"/>
      <c r="AC54" s="4326"/>
      <c r="AD54" s="1733"/>
      <c r="AE54" s="1733"/>
      <c r="AF54" s="1733"/>
      <c r="AG54" s="3138"/>
      <c r="AH54" s="4327"/>
      <c r="AI54" s="4328"/>
      <c r="AJ54" s="4329"/>
      <c r="AK54" s="4330"/>
      <c r="AL54" s="4331"/>
      <c r="AM54" s="4332"/>
      <c r="AN54" s="4333"/>
      <c r="AO54" s="4333"/>
      <c r="AP54" s="4334"/>
      <c r="AQ54" s="4335"/>
      <c r="AR54" s="4336"/>
      <c r="AS54" s="4337"/>
      <c r="AT54" s="4338"/>
      <c r="AU54" s="4339"/>
      <c r="AV54" s="4340"/>
      <c r="AW54" s="4216"/>
      <c r="AX54" s="10590">
        <v>1</v>
      </c>
      <c r="AY54" s="10591">
        <v>1</v>
      </c>
      <c r="AZ54" s="10591">
        <v>1</v>
      </c>
      <c r="BA54" s="10591">
        <v>1</v>
      </c>
      <c r="BB54" s="10592">
        <v>1</v>
      </c>
      <c r="BC54" s="4341"/>
      <c r="BD54" s="4342"/>
      <c r="BE54" s="4343"/>
      <c r="BF54" s="4344"/>
      <c r="BG54" s="4345"/>
      <c r="BH54" s="4346"/>
      <c r="BI54" s="4347"/>
      <c r="BJ54" s="4348"/>
      <c r="BK54" s="4349"/>
      <c r="BL54" s="4350"/>
      <c r="BM54" s="4351"/>
      <c r="BN54" s="1690"/>
      <c r="BO54" s="1860"/>
      <c r="BP54" s="2181"/>
      <c r="BQ54" s="4352"/>
      <c r="BR54" s="4353"/>
      <c r="BS54" s="4354"/>
      <c r="BT54" s="4355"/>
      <c r="BU54" s="4356"/>
      <c r="BV54" s="4069" t="s">
        <v>36</v>
      </c>
      <c r="BW54" s="4357"/>
      <c r="BX54" s="4032"/>
      <c r="BY54" s="4358" t="s">
        <v>38</v>
      </c>
      <c r="BZ54" s="4024"/>
      <c r="CA54" s="3899"/>
      <c r="CB54" s="3898"/>
      <c r="CC54" s="3661"/>
      <c r="CD54" s="4359"/>
      <c r="CE54" s="4360"/>
      <c r="CF54" s="4361"/>
      <c r="CG54" s="4362"/>
      <c r="CH54" s="4363"/>
      <c r="CI54" s="3847"/>
      <c r="CJ54" s="4364"/>
      <c r="CK54" s="4365"/>
      <c r="CL54" s="2366"/>
      <c r="CM54" s="4366"/>
      <c r="CN54" s="4367"/>
      <c r="CO54" s="4368"/>
      <c r="CP54" s="4369"/>
    </row>
    <row r="55" spans="1:94">
      <c r="A55" s="1733"/>
      <c r="B55" s="1894"/>
      <c r="C55" s="1733"/>
      <c r="D55" s="1733"/>
      <c r="E55" s="1733"/>
      <c r="F55" s="1733"/>
      <c r="G55" s="4370"/>
      <c r="H55" s="1895"/>
      <c r="I55" s="1894"/>
      <c r="J55" s="1894"/>
      <c r="K55" s="1894"/>
      <c r="L55" s="1733"/>
      <c r="M55" s="1733"/>
      <c r="N55" s="1733"/>
      <c r="O55" s="1733"/>
      <c r="P55" s="1733"/>
      <c r="Q55" s="1733"/>
      <c r="R55" s="2695"/>
      <c r="S55" s="1894"/>
      <c r="T55" s="4371"/>
      <c r="U55" s="4372" t="s">
        <v>36</v>
      </c>
      <c r="V55" s="4373"/>
      <c r="W55" s="4374"/>
      <c r="X55" s="2240"/>
      <c r="Y55" s="1733"/>
      <c r="Z55" s="1733"/>
      <c r="AA55" s="1733"/>
      <c r="AB55" s="1733"/>
      <c r="AC55" s="1733"/>
      <c r="AD55" s="4375"/>
      <c r="AE55" s="4376"/>
      <c r="AF55" s="4377"/>
      <c r="AG55" s="4378"/>
      <c r="AH55" s="4379"/>
      <c r="AI55" s="4380"/>
      <c r="AJ55" s="4381"/>
      <c r="AK55" s="4382"/>
      <c r="AL55" s="4383"/>
      <c r="AM55" s="4384"/>
      <c r="AN55" s="4385"/>
      <c r="AO55" s="4386"/>
      <c r="AP55" s="4387"/>
      <c r="AQ55" s="4388"/>
      <c r="AR55" s="4389"/>
      <c r="AS55" s="4390"/>
      <c r="AT55" s="4391"/>
      <c r="AU55" s="4392"/>
      <c r="AV55" s="4393"/>
      <c r="AW55" s="4217"/>
      <c r="AX55" s="10590">
        <v>1</v>
      </c>
      <c r="AY55" s="10591">
        <v>1</v>
      </c>
      <c r="AZ55" s="10591">
        <v>1</v>
      </c>
      <c r="BA55" s="10591">
        <v>1</v>
      </c>
      <c r="BB55" s="10592">
        <v>1</v>
      </c>
      <c r="BC55" s="4394"/>
      <c r="BD55" s="4395"/>
      <c r="BE55" s="4396"/>
      <c r="BF55" s="4397"/>
      <c r="BG55" s="4398"/>
      <c r="BH55" s="4399"/>
      <c r="BI55" s="4400"/>
      <c r="BJ55" s="4401"/>
      <c r="BK55" s="1774"/>
      <c r="BL55" s="1771"/>
      <c r="BM55" s="1690"/>
      <c r="BN55" s="1781"/>
      <c r="BO55" s="1772"/>
      <c r="BP55" s="3981"/>
      <c r="BQ55" s="4402"/>
      <c r="BR55" s="4403"/>
      <c r="BS55" s="4404"/>
      <c r="BT55" s="4405"/>
      <c r="BU55" s="4406"/>
      <c r="BV55" s="4407" t="s">
        <v>36</v>
      </c>
      <c r="BW55" s="4408"/>
      <c r="BX55" s="4409"/>
      <c r="BY55" s="4410" t="s">
        <v>38</v>
      </c>
      <c r="BZ55" s="3899"/>
      <c r="CA55" s="4151"/>
      <c r="CB55" s="4411"/>
      <c r="CC55" s="4412"/>
      <c r="CD55" s="4413"/>
      <c r="CE55" s="4414"/>
      <c r="CF55" s="4415"/>
      <c r="CG55" s="4416"/>
      <c r="CH55" s="4417"/>
      <c r="CI55" s="4418"/>
      <c r="CJ55" s="4419"/>
      <c r="CK55" s="4420"/>
      <c r="CL55" s="4421"/>
      <c r="CM55" s="4422"/>
      <c r="CN55" s="4423"/>
      <c r="CO55" s="4424"/>
      <c r="CP55" s="4425"/>
    </row>
    <row r="56" spans="1:94" ht="16.5" thickBot="1">
      <c r="A56" s="1733"/>
      <c r="B56" s="1894"/>
      <c r="C56" s="1733"/>
      <c r="D56" s="4426"/>
      <c r="E56" s="4427"/>
      <c r="F56" s="4428"/>
      <c r="G56" s="4429"/>
      <c r="H56" s="1733"/>
      <c r="I56" s="1733"/>
      <c r="J56" s="1733"/>
      <c r="K56" s="1733"/>
      <c r="L56" s="2240"/>
      <c r="M56" s="4326"/>
      <c r="N56" s="1815"/>
      <c r="O56" s="3342"/>
      <c r="P56" s="4326"/>
      <c r="Q56" s="1733"/>
      <c r="R56" s="2240"/>
      <c r="S56" s="1733"/>
      <c r="T56" s="4430"/>
      <c r="U56" s="4431" t="s">
        <v>36</v>
      </c>
      <c r="V56" s="4432"/>
      <c r="W56" s="4433"/>
      <c r="X56" s="4434"/>
      <c r="Y56" s="4435"/>
      <c r="Z56" s="4436"/>
      <c r="AA56" s="4437"/>
      <c r="AB56" s="4438"/>
      <c r="AC56" s="4439"/>
      <c r="AD56" s="4440"/>
      <c r="AE56" s="4441"/>
      <c r="AF56" s="4442"/>
      <c r="AG56" s="4443"/>
      <c r="AH56" s="4444"/>
      <c r="AI56" s="4445"/>
      <c r="AJ56" s="4446"/>
      <c r="AK56" s="4447"/>
      <c r="AL56" s="4448"/>
      <c r="AM56" s="4449"/>
      <c r="AN56" s="4450"/>
      <c r="AO56" s="4451"/>
      <c r="AP56" s="4452"/>
      <c r="AQ56" s="4453"/>
      <c r="AR56" s="4454"/>
      <c r="AS56" s="4455"/>
      <c r="AT56" s="4456"/>
      <c r="AU56" s="4457"/>
      <c r="AV56" s="4458"/>
      <c r="AW56" s="4216"/>
      <c r="AX56" s="10593">
        <v>1</v>
      </c>
      <c r="AY56" s="10594">
        <v>1</v>
      </c>
      <c r="AZ56" s="10594">
        <v>1</v>
      </c>
      <c r="BA56" s="10594">
        <v>1</v>
      </c>
      <c r="BB56" s="10595">
        <v>1</v>
      </c>
      <c r="BC56" s="4459"/>
      <c r="BD56" s="4460"/>
      <c r="BE56" s="4461"/>
      <c r="BF56" s="4462"/>
      <c r="BG56" s="4463"/>
      <c r="BH56" s="4464"/>
      <c r="BI56" s="4465"/>
      <c r="BJ56" s="4466"/>
      <c r="BK56" s="4351"/>
      <c r="BL56" s="1781"/>
      <c r="BM56" s="4467"/>
      <c r="BN56" s="1857"/>
      <c r="BO56" s="1936"/>
      <c r="BP56" s="4025"/>
      <c r="BQ56" s="4468"/>
      <c r="BR56" s="4469"/>
      <c r="BS56" s="4470"/>
      <c r="BT56" s="4471"/>
      <c r="BU56" s="4472"/>
      <c r="BV56" s="4473" t="s">
        <v>36</v>
      </c>
      <c r="BW56" s="4474"/>
      <c r="BX56" s="4062"/>
      <c r="BY56" s="2787" t="s">
        <v>38</v>
      </c>
      <c r="BZ56" s="4305"/>
      <c r="CA56" s="4475"/>
      <c r="CB56" s="1627"/>
      <c r="CC56" s="4476"/>
      <c r="CD56" s="4477"/>
      <c r="CE56" s="4478"/>
      <c r="CF56" s="4479"/>
      <c r="CG56" s="4480"/>
      <c r="CH56" s="4481"/>
      <c r="CI56" s="4482"/>
      <c r="CJ56" s="4483"/>
      <c r="CK56" s="4484"/>
      <c r="CL56" s="4485"/>
      <c r="CM56" s="4486"/>
      <c r="CN56" s="4487"/>
      <c r="CO56" s="4488"/>
      <c r="CP56" s="4489"/>
    </row>
    <row r="57" spans="1:94">
      <c r="A57" s="1733"/>
      <c r="B57" s="1894"/>
      <c r="C57" s="1894"/>
      <c r="D57" s="2514"/>
      <c r="E57" s="4490"/>
      <c r="F57" s="4491"/>
      <c r="G57" s="4492"/>
      <c r="H57" s="4493"/>
      <c r="I57" s="4494"/>
      <c r="J57" s="4495"/>
      <c r="K57" s="4496"/>
      <c r="L57" s="4497"/>
      <c r="M57" s="3138"/>
      <c r="N57" s="1733"/>
      <c r="O57" s="1733"/>
      <c r="P57" s="1817"/>
      <c r="Q57" s="4498"/>
      <c r="R57" s="4499"/>
      <c r="S57" s="4500"/>
      <c r="T57" s="4501"/>
      <c r="U57" s="4502" t="s">
        <v>36</v>
      </c>
      <c r="V57" s="4503"/>
      <c r="W57" s="4504"/>
      <c r="X57" s="4505"/>
      <c r="Y57" s="4506"/>
      <c r="Z57" s="4507"/>
      <c r="AA57" s="4508"/>
      <c r="AB57" s="4509"/>
      <c r="AC57" s="4510"/>
      <c r="AD57" s="4511"/>
      <c r="AE57" s="4512"/>
      <c r="AF57" s="4513"/>
      <c r="AG57" s="4514"/>
      <c r="AH57" s="4515"/>
      <c r="AI57" s="4516"/>
      <c r="AJ57" s="4517"/>
      <c r="AK57" s="4518"/>
      <c r="AL57" s="4519"/>
      <c r="AM57" s="4520"/>
      <c r="AN57" s="4521"/>
      <c r="AO57" s="4522"/>
      <c r="AP57" s="4523"/>
      <c r="AQ57" s="4524"/>
      <c r="AR57" s="4525"/>
      <c r="AS57" s="4526"/>
      <c r="AT57" s="4527"/>
      <c r="AU57" s="4528"/>
      <c r="AV57" s="4529"/>
      <c r="AW57" s="4530"/>
      <c r="AX57" s="4531"/>
      <c r="AY57" s="4217"/>
      <c r="AZ57" s="4295"/>
      <c r="BA57" s="10565">
        <f>SUM(AX51:BB56)</f>
        <v>30</v>
      </c>
      <c r="BB57" s="4532"/>
      <c r="BC57" s="4533"/>
      <c r="BD57" s="4534"/>
      <c r="BE57" s="4535"/>
      <c r="BF57" s="4536"/>
      <c r="BG57" s="4537"/>
      <c r="BH57" s="4538"/>
      <c r="BI57" s="4539"/>
      <c r="BJ57" s="4540"/>
      <c r="BK57" s="4541"/>
      <c r="BL57" s="4542"/>
      <c r="BM57" s="1935"/>
      <c r="BN57" s="3765"/>
      <c r="BO57" s="3768"/>
      <c r="BP57" s="4543"/>
      <c r="BQ57" s="4544"/>
      <c r="BR57" s="4545"/>
      <c r="BS57" s="4546"/>
      <c r="BT57" s="4547"/>
      <c r="BU57" s="4548"/>
      <c r="BV57" s="4549" t="s">
        <v>36</v>
      </c>
      <c r="BW57" s="4550"/>
      <c r="BX57" s="3663"/>
      <c r="BY57" s="4551" t="s">
        <v>38</v>
      </c>
      <c r="BZ57" s="4552"/>
      <c r="CA57" s="4553"/>
      <c r="CB57" s="4554"/>
      <c r="CC57" s="4555"/>
      <c r="CD57" s="4556"/>
      <c r="CE57" s="4557"/>
      <c r="CF57" s="4558"/>
      <c r="CG57" s="4559"/>
      <c r="CH57" s="4560"/>
      <c r="CI57" s="4561"/>
      <c r="CJ57" s="4562"/>
      <c r="CK57" s="4563"/>
      <c r="CL57" s="4564"/>
      <c r="CM57" s="4565"/>
      <c r="CN57" s="4566"/>
      <c r="CO57" s="4567"/>
      <c r="CP57" s="4568"/>
    </row>
    <row r="58" spans="1:94">
      <c r="A58" s="1733"/>
      <c r="B58" s="1894"/>
      <c r="C58" s="1733"/>
      <c r="D58" s="1733"/>
      <c r="E58" s="1733"/>
      <c r="F58" s="4569"/>
      <c r="G58" s="4570"/>
      <c r="H58" s="4571"/>
      <c r="I58" s="4572"/>
      <c r="J58" s="4573"/>
      <c r="K58" s="4574"/>
      <c r="L58" s="4575"/>
      <c r="M58" s="4576"/>
      <c r="N58" s="4577"/>
      <c r="O58" s="4578"/>
      <c r="P58" s="4579"/>
      <c r="Q58" s="4580"/>
      <c r="R58" s="4581"/>
      <c r="S58" s="4582"/>
      <c r="T58" s="4583"/>
      <c r="U58" s="4584" t="s">
        <v>36</v>
      </c>
      <c r="V58" s="4585"/>
      <c r="W58" s="2034"/>
      <c r="X58" s="4149"/>
      <c r="Y58" s="4586"/>
      <c r="Z58" s="4587"/>
      <c r="AA58" s="3876"/>
      <c r="AB58" s="4588"/>
      <c r="AC58" s="3879"/>
      <c r="AD58" s="4589"/>
      <c r="AE58" s="4590"/>
      <c r="AF58" s="4591"/>
      <c r="AG58" s="4592"/>
      <c r="AH58" s="4593"/>
      <c r="AI58" s="4594"/>
      <c r="AJ58" s="4595"/>
      <c r="AK58" s="4596"/>
      <c r="AL58" s="4597"/>
      <c r="AM58" s="4598"/>
      <c r="AN58" s="4599"/>
      <c r="AO58" s="4600"/>
      <c r="AP58" s="4601"/>
      <c r="AQ58" s="4602"/>
      <c r="AR58" s="4603"/>
      <c r="AS58" s="4604"/>
      <c r="AT58" s="4605"/>
      <c r="AU58" s="4606"/>
      <c r="AV58" s="4607"/>
      <c r="AW58" s="4608"/>
      <c r="AX58" s="4609"/>
      <c r="AY58" s="4254"/>
      <c r="AZ58" s="4610"/>
      <c r="BA58" s="4611" t="s">
        <v>38</v>
      </c>
      <c r="BB58" s="4612"/>
      <c r="BC58" s="4613"/>
      <c r="BD58" s="4614"/>
      <c r="BE58" s="4615"/>
      <c r="BF58" s="4616"/>
      <c r="BG58" s="4617"/>
      <c r="BH58" s="4332"/>
      <c r="BI58" s="1938"/>
      <c r="BJ58" s="4618"/>
      <c r="BK58" s="3878"/>
      <c r="BL58" s="3698"/>
      <c r="BM58" s="3765"/>
      <c r="BN58" s="4619"/>
      <c r="BO58" s="3826"/>
      <c r="BP58" s="4620"/>
      <c r="BQ58" s="4621"/>
      <c r="BR58" s="4622"/>
      <c r="BS58" s="4623"/>
      <c r="BT58" s="4624"/>
      <c r="BU58" s="4625"/>
      <c r="BV58" s="4626" t="s">
        <v>36</v>
      </c>
      <c r="BW58" s="4627"/>
      <c r="BX58" s="4628"/>
      <c r="BY58" s="4629" t="s">
        <v>38</v>
      </c>
      <c r="BZ58" s="1772"/>
      <c r="CA58" s="4630"/>
      <c r="CB58" s="4631"/>
      <c r="CC58" s="4632"/>
      <c r="CD58" s="4633"/>
      <c r="CE58" s="4634"/>
      <c r="CF58" s="4635"/>
      <c r="CG58" s="4636"/>
      <c r="CH58" s="4637"/>
      <c r="CI58" s="4638"/>
      <c r="CJ58" s="4639"/>
      <c r="CK58" s="4640"/>
      <c r="CL58" s="4641"/>
      <c r="CM58" s="4642"/>
      <c r="CN58" s="4643"/>
      <c r="CO58" s="4644"/>
      <c r="CP58" s="4645"/>
    </row>
    <row r="59" spans="1:94">
      <c r="A59" s="1733"/>
      <c r="B59" s="1894"/>
      <c r="C59" s="1733"/>
      <c r="D59" s="1733"/>
      <c r="E59" s="4646"/>
      <c r="F59" s="1733"/>
      <c r="G59" s="4647"/>
      <c r="H59" s="4648"/>
      <c r="I59" s="4649"/>
      <c r="J59" s="4650"/>
      <c r="K59" s="4650"/>
      <c r="L59" s="1697"/>
      <c r="M59" s="4651"/>
      <c r="N59" s="4652"/>
      <c r="O59" s="4653"/>
      <c r="P59" s="4654"/>
      <c r="Q59" s="4655"/>
      <c r="R59" s="4656"/>
      <c r="S59" s="4657"/>
      <c r="T59" s="4658"/>
      <c r="U59" s="4659" t="s">
        <v>36</v>
      </c>
      <c r="V59" s="4660"/>
      <c r="W59" s="4661"/>
      <c r="X59" s="3632"/>
      <c r="Y59" s="4662"/>
      <c r="Z59" s="4663"/>
      <c r="AA59" s="4664"/>
      <c r="AB59" s="4665"/>
      <c r="AC59" s="4619"/>
      <c r="AD59" s="3696"/>
      <c r="AE59" s="4666"/>
      <c r="AF59" s="4667"/>
      <c r="AG59" s="4668"/>
      <c r="AH59" s="4669"/>
      <c r="AI59" s="4670"/>
      <c r="AJ59" s="4671"/>
      <c r="AK59" s="3112"/>
      <c r="AL59" s="4672"/>
      <c r="AM59" s="4673"/>
      <c r="AN59" s="4674"/>
      <c r="AO59" s="4675"/>
      <c r="AP59" s="4676"/>
      <c r="AQ59" s="3828"/>
      <c r="AR59" s="4677"/>
      <c r="AS59" s="4678"/>
      <c r="AT59" s="4679"/>
      <c r="AU59" s="4680"/>
      <c r="AV59" s="4681"/>
      <c r="AW59" s="4682"/>
      <c r="AX59" s="4683"/>
      <c r="AY59" s="4684"/>
      <c r="AZ59" s="4685"/>
      <c r="BA59" s="4686" t="s">
        <v>38</v>
      </c>
      <c r="BB59" s="4687"/>
      <c r="BC59" s="4688"/>
      <c r="BD59" s="4689"/>
      <c r="BE59" s="4690"/>
      <c r="BF59" s="4691"/>
      <c r="BG59" s="4692"/>
      <c r="BH59" s="4693"/>
      <c r="BI59" s="4694"/>
      <c r="BJ59" s="4695"/>
      <c r="BK59" s="4696"/>
      <c r="BL59" s="3721"/>
      <c r="BM59" s="4697"/>
      <c r="BN59" s="4698"/>
      <c r="BO59" s="4699"/>
      <c r="BP59" s="4700"/>
      <c r="BQ59" s="4701"/>
      <c r="BR59" s="4702"/>
      <c r="BS59" s="4703"/>
      <c r="BT59" s="4704"/>
      <c r="BU59" s="4705"/>
      <c r="BV59" s="4706" t="s">
        <v>36</v>
      </c>
      <c r="BW59" s="4707"/>
      <c r="BX59" s="4708"/>
      <c r="BY59" s="4709" t="s">
        <v>38</v>
      </c>
      <c r="BZ59" s="4710"/>
      <c r="CA59" s="4711"/>
      <c r="CB59" s="4712"/>
      <c r="CC59" s="4713"/>
      <c r="CD59" s="4714"/>
      <c r="CE59" s="4715"/>
      <c r="CF59" s="4716"/>
      <c r="CG59" s="4717"/>
      <c r="CH59" s="4718"/>
      <c r="CI59" s="4719"/>
      <c r="CJ59" s="4720"/>
      <c r="CK59" s="4721"/>
      <c r="CL59" s="4722"/>
      <c r="CM59" s="4723"/>
      <c r="CN59" s="4724"/>
      <c r="CO59" s="4725"/>
      <c r="CP59" s="4726"/>
    </row>
    <row r="60" spans="1:94">
      <c r="A60" s="1733"/>
      <c r="B60" s="1894"/>
      <c r="C60" s="1733"/>
      <c r="D60" s="1733"/>
      <c r="E60" s="1894"/>
      <c r="F60" s="1894"/>
      <c r="G60" s="4727"/>
      <c r="H60" s="4728"/>
      <c r="I60" s="4729"/>
      <c r="J60" s="4730"/>
      <c r="K60" s="4731"/>
      <c r="L60" s="4732"/>
      <c r="M60" s="4733"/>
      <c r="N60" s="4225"/>
      <c r="O60" s="4734"/>
      <c r="P60" s="4735"/>
      <c r="Q60" s="4731"/>
      <c r="R60" s="1937"/>
      <c r="S60" s="4736"/>
      <c r="T60" s="4737"/>
      <c r="U60" s="4738" t="s">
        <v>36</v>
      </c>
      <c r="V60" s="4739"/>
      <c r="W60" s="4740"/>
      <c r="X60" s="3828"/>
      <c r="Y60" s="1849"/>
      <c r="Z60" s="4741"/>
      <c r="AA60" s="4742"/>
      <c r="AB60" s="1934"/>
      <c r="AC60" s="1934"/>
      <c r="AD60" s="4743"/>
      <c r="AE60" s="4744"/>
      <c r="AF60" s="4745"/>
      <c r="AG60" s="4746"/>
      <c r="AH60" s="4747"/>
      <c r="AI60" s="2744"/>
      <c r="AJ60" s="4748"/>
      <c r="AK60" s="2799"/>
      <c r="AL60" s="4749"/>
      <c r="AM60" s="3583"/>
      <c r="AN60" s="4750"/>
      <c r="AO60" s="4751"/>
      <c r="AP60" s="4752"/>
      <c r="AQ60" s="4753"/>
      <c r="AR60" s="3764"/>
      <c r="AS60" s="4754"/>
      <c r="AT60" s="4755"/>
      <c r="AU60" s="4756"/>
      <c r="AV60" s="4757"/>
      <c r="AW60" s="4758"/>
      <c r="AX60" s="4759"/>
      <c r="AY60" s="4760"/>
      <c r="AZ60" s="4761"/>
      <c r="BA60" s="4762" t="s">
        <v>38</v>
      </c>
      <c r="BB60" s="4763"/>
      <c r="BC60" s="4764"/>
      <c r="BD60" s="4765"/>
      <c r="BE60" s="4695"/>
      <c r="BF60" s="4766"/>
      <c r="BG60" s="4767"/>
      <c r="BH60" s="4768"/>
      <c r="BI60" s="4769"/>
      <c r="BJ60" s="4770"/>
      <c r="BK60" s="4771"/>
      <c r="BL60" s="4772"/>
      <c r="BM60" s="4773"/>
      <c r="BN60" s="4774"/>
      <c r="BO60" s="4775"/>
      <c r="BP60" s="4776"/>
      <c r="BQ60" s="4777"/>
      <c r="BR60" s="4778"/>
      <c r="BS60" s="4779"/>
      <c r="BT60" s="4780"/>
      <c r="BU60" s="4781"/>
      <c r="BV60" s="4782" t="s">
        <v>36</v>
      </c>
      <c r="BW60" s="4783"/>
      <c r="BX60" s="4784"/>
      <c r="BY60" s="4785" t="s">
        <v>38</v>
      </c>
      <c r="BZ60" s="4786"/>
      <c r="CA60" s="4787"/>
      <c r="CB60" s="4788"/>
      <c r="CC60" s="4789"/>
      <c r="CD60" s="4790"/>
      <c r="CE60" s="4791"/>
      <c r="CF60" s="4716"/>
      <c r="CG60" s="4792"/>
      <c r="CH60" s="4793"/>
      <c r="CI60" s="4794"/>
      <c r="CJ60" s="4795"/>
      <c r="CK60" s="4796"/>
      <c r="CL60" s="4797"/>
      <c r="CM60" s="4798"/>
      <c r="CN60" s="4799"/>
      <c r="CO60" s="4800"/>
      <c r="CP60" s="4801"/>
    </row>
    <row r="61" spans="1:94">
      <c r="A61" s="1733"/>
      <c r="B61" s="2212"/>
      <c r="C61" s="1733"/>
      <c r="D61" s="1894"/>
      <c r="E61" s="2917"/>
      <c r="F61" s="1894"/>
      <c r="G61" s="4802"/>
      <c r="H61" s="4803"/>
      <c r="I61" s="4617"/>
      <c r="J61" s="4804"/>
      <c r="K61" s="4805"/>
      <c r="L61" s="1521"/>
      <c r="M61" s="1688"/>
      <c r="N61" s="4806"/>
      <c r="O61" s="1687"/>
      <c r="P61" s="4807"/>
      <c r="Q61" s="4808"/>
      <c r="R61" s="4809"/>
      <c r="S61" s="4810"/>
      <c r="T61" s="4811"/>
      <c r="U61" s="4812" t="s">
        <v>36</v>
      </c>
      <c r="V61" s="4813"/>
      <c r="W61" s="1744"/>
      <c r="X61" s="4814"/>
      <c r="Y61" s="1933"/>
      <c r="Z61" s="1934"/>
      <c r="AA61" s="3827"/>
      <c r="AB61" s="4815"/>
      <c r="AC61" s="3643"/>
      <c r="AD61" s="4816"/>
      <c r="AE61" s="4817"/>
      <c r="AF61" s="4818"/>
      <c r="AG61" s="4819"/>
      <c r="AH61" s="4820"/>
      <c r="AI61" s="2803"/>
      <c r="AJ61" s="2853"/>
      <c r="AK61" s="2853"/>
      <c r="AL61" s="2804"/>
      <c r="AM61" s="4821"/>
      <c r="AN61" s="4822"/>
      <c r="AO61" s="4823"/>
      <c r="AP61" s="4824"/>
      <c r="AQ61" s="4825"/>
      <c r="AR61" s="4826"/>
      <c r="AS61" s="3826"/>
      <c r="AT61" s="4827"/>
      <c r="AU61" s="4828"/>
      <c r="AV61" s="4829"/>
      <c r="AW61" s="4830"/>
      <c r="AX61" s="4831"/>
      <c r="AY61" s="4832"/>
      <c r="AZ61" s="4833"/>
      <c r="BA61" s="4834" t="s">
        <v>38</v>
      </c>
      <c r="BB61" s="4835"/>
      <c r="BC61" s="4836"/>
      <c r="BD61" s="4837"/>
      <c r="BE61" s="4838"/>
      <c r="BF61" s="4839"/>
      <c r="BG61" s="4840"/>
      <c r="BH61" s="4841"/>
      <c r="BI61" s="4842"/>
      <c r="BJ61" s="4843"/>
      <c r="BK61" s="4844"/>
      <c r="BL61" s="4845"/>
      <c r="BM61" s="4846"/>
      <c r="BN61" s="4847"/>
      <c r="BO61" s="4848"/>
      <c r="BP61" s="4849"/>
      <c r="BQ61" s="4850"/>
      <c r="BR61" s="4851"/>
      <c r="BS61" s="4852"/>
      <c r="BT61" s="4853"/>
      <c r="BU61" s="4854"/>
      <c r="BV61" s="4855" t="s">
        <v>36</v>
      </c>
      <c r="BW61" s="4856"/>
      <c r="BX61" s="4857"/>
      <c r="BY61" s="4858" t="s">
        <v>38</v>
      </c>
      <c r="BZ61" s="4859"/>
      <c r="CA61" s="4860"/>
      <c r="CB61" s="4861"/>
      <c r="CC61" s="4862"/>
      <c r="CD61" s="4863"/>
      <c r="CE61" s="4864"/>
      <c r="CF61" s="4865"/>
      <c r="CG61" s="4866"/>
      <c r="CH61" s="4867"/>
      <c r="CI61" s="4868"/>
      <c r="CJ61" s="4869"/>
      <c r="CK61" s="4870"/>
      <c r="CL61" s="4871"/>
      <c r="CM61" s="4872"/>
      <c r="CN61" s="4873"/>
      <c r="CO61" s="4874"/>
      <c r="CP61" s="4875"/>
    </row>
    <row r="62" spans="1:94">
      <c r="A62" s="1733"/>
      <c r="B62" s="1733"/>
      <c r="C62" s="3194"/>
      <c r="D62" s="1733"/>
      <c r="E62" s="1733"/>
      <c r="F62" s="1733"/>
      <c r="G62" s="4876"/>
      <c r="H62" s="4877"/>
      <c r="I62" s="4878"/>
      <c r="J62" s="4879"/>
      <c r="K62" s="4349"/>
      <c r="L62" s="4880"/>
      <c r="M62" s="1522"/>
      <c r="N62" s="1521"/>
      <c r="O62" s="4881"/>
      <c r="P62" s="4882"/>
      <c r="Q62" s="1602"/>
      <c r="R62" s="1679"/>
      <c r="S62" s="4883"/>
      <c r="T62" s="4884"/>
      <c r="U62" s="4885" t="s">
        <v>36</v>
      </c>
      <c r="V62" s="4886"/>
      <c r="W62" s="4887"/>
      <c r="X62" s="4888"/>
      <c r="Y62" s="3827"/>
      <c r="Z62" s="1857"/>
      <c r="AA62" s="4889"/>
      <c r="AB62" s="4890"/>
      <c r="AC62" s="4889"/>
      <c r="AD62" s="3762"/>
      <c r="AE62" s="4891"/>
      <c r="AF62" s="4892"/>
      <c r="AG62" s="4893"/>
      <c r="AH62" s="4894"/>
      <c r="AI62" s="2947"/>
      <c r="AJ62" s="2853"/>
      <c r="AK62" s="2853"/>
      <c r="AL62" s="4895"/>
      <c r="AM62" s="2736"/>
      <c r="AN62" s="4896"/>
      <c r="AO62" s="4897"/>
      <c r="AP62" s="4898"/>
      <c r="AQ62" s="4899"/>
      <c r="AR62" s="3696"/>
      <c r="AS62" s="1934"/>
      <c r="AT62" s="3886"/>
      <c r="AU62" s="2841"/>
      <c r="AV62" s="4900"/>
      <c r="AW62" s="4901"/>
      <c r="AX62" s="4902"/>
      <c r="AY62" s="4903"/>
      <c r="AZ62" s="4904"/>
      <c r="BA62" s="4905" t="s">
        <v>38</v>
      </c>
      <c r="BB62" s="4906"/>
      <c r="BC62" s="3880"/>
      <c r="BD62" s="4907"/>
      <c r="BE62" s="4908"/>
      <c r="BF62" s="4909"/>
      <c r="BG62" s="4910"/>
      <c r="BH62" s="4911"/>
      <c r="BI62" s="4912"/>
      <c r="BJ62" s="4913"/>
      <c r="BK62" s="4914"/>
      <c r="BL62" s="4915"/>
      <c r="BM62" s="4916"/>
      <c r="BN62" s="4917"/>
      <c r="BO62" s="4918"/>
      <c r="BP62" s="4919"/>
      <c r="BQ62" s="4920"/>
      <c r="BR62" s="4921"/>
      <c r="BS62" s="4922"/>
      <c r="BT62" s="4923"/>
      <c r="BU62" s="4924"/>
      <c r="BV62" s="4925" t="s">
        <v>36</v>
      </c>
      <c r="BW62" s="4926"/>
      <c r="BX62" s="4927"/>
      <c r="BY62" s="4928" t="s">
        <v>38</v>
      </c>
      <c r="BZ62" s="4929"/>
      <c r="CA62" s="4930"/>
      <c r="CB62" s="4931"/>
      <c r="CC62" s="4932"/>
      <c r="CD62" s="4933"/>
      <c r="CE62" s="4934"/>
      <c r="CF62" s="4935"/>
      <c r="CG62" s="4936"/>
      <c r="CH62" s="4937"/>
      <c r="CI62" s="4938"/>
      <c r="CJ62" s="4939"/>
      <c r="CK62" s="4940"/>
      <c r="CL62" s="4941"/>
      <c r="CM62" s="4942"/>
      <c r="CN62" s="1801"/>
      <c r="CO62" s="4943"/>
      <c r="CP62" s="4944"/>
    </row>
    <row r="63" spans="1:94">
      <c r="A63" s="1894"/>
      <c r="B63" s="4945"/>
      <c r="C63" s="2241"/>
      <c r="D63" s="4946"/>
      <c r="E63" s="4947"/>
      <c r="F63" s="4948"/>
      <c r="G63" s="4949"/>
      <c r="H63" s="4950"/>
      <c r="I63" s="4951"/>
      <c r="J63" s="1688"/>
      <c r="K63" s="4952"/>
      <c r="L63" s="4953"/>
      <c r="M63" s="4954"/>
      <c r="N63" s="4955"/>
      <c r="O63" s="4956"/>
      <c r="P63" s="4957"/>
      <c r="Q63" s="1601"/>
      <c r="R63" s="1769"/>
      <c r="S63" s="4958"/>
      <c r="T63" s="4959"/>
      <c r="U63" s="4960" t="s">
        <v>36</v>
      </c>
      <c r="V63" s="4961"/>
      <c r="W63" s="4962"/>
      <c r="X63" s="4963"/>
      <c r="Y63" s="3879"/>
      <c r="Z63" s="4964"/>
      <c r="AA63" s="4965"/>
      <c r="AB63" s="4889"/>
      <c r="AC63" s="4966"/>
      <c r="AD63" s="4663"/>
      <c r="AE63" s="4967"/>
      <c r="AF63" s="4968"/>
      <c r="AG63" s="4969"/>
      <c r="AH63" s="4970"/>
      <c r="AI63" s="2799"/>
      <c r="AJ63" s="2799"/>
      <c r="AK63" s="3152"/>
      <c r="AL63" s="2736"/>
      <c r="AM63" s="4971"/>
      <c r="AN63" s="4972"/>
      <c r="AO63" s="4973"/>
      <c r="AP63" s="4974"/>
      <c r="AQ63" s="4975"/>
      <c r="AR63" s="3827"/>
      <c r="AS63" s="4889"/>
      <c r="AT63" s="4815"/>
      <c r="AU63" s="3886"/>
      <c r="AV63" s="4976"/>
      <c r="AW63" s="4977"/>
      <c r="AX63" s="4814"/>
      <c r="AY63" s="4978"/>
      <c r="AZ63" s="4979"/>
      <c r="BA63" s="4980" t="s">
        <v>38</v>
      </c>
      <c r="BB63" s="4981"/>
      <c r="BC63" s="4982"/>
      <c r="BD63" s="4983"/>
      <c r="BE63" s="4984"/>
      <c r="BF63" s="4985"/>
      <c r="BG63" s="4986"/>
      <c r="BH63" s="4987"/>
      <c r="BI63" s="4988"/>
      <c r="BJ63" s="4989"/>
      <c r="BK63" s="4990"/>
      <c r="BL63" s="4991"/>
      <c r="BM63" s="4992"/>
      <c r="BN63" s="4993"/>
      <c r="BO63" s="4994"/>
      <c r="BP63" s="4995"/>
      <c r="BQ63" s="4996"/>
      <c r="BR63" s="3033"/>
      <c r="BS63" s="4997"/>
      <c r="BT63" s="4998"/>
      <c r="BU63" s="4999"/>
      <c r="BV63" s="5000" t="s">
        <v>36</v>
      </c>
      <c r="BW63" s="5001"/>
      <c r="BX63" s="5002"/>
      <c r="BY63" s="5003" t="s">
        <v>38</v>
      </c>
      <c r="BZ63" s="5004"/>
      <c r="CA63" s="5005"/>
      <c r="CB63" s="5006"/>
      <c r="CC63" s="5007"/>
      <c r="CD63" s="5008"/>
      <c r="CE63" s="5009"/>
      <c r="CF63" s="5010"/>
      <c r="CG63" s="5011"/>
      <c r="CH63" s="5012"/>
      <c r="CI63" s="5013"/>
      <c r="CJ63" s="5014"/>
      <c r="CK63" s="5015"/>
      <c r="CL63" s="4939"/>
      <c r="CM63" s="5016"/>
      <c r="CN63" s="5017"/>
      <c r="CO63" s="4941"/>
      <c r="CP63" s="4941"/>
    </row>
    <row r="64" spans="1:94">
      <c r="A64" s="1733"/>
      <c r="B64" s="5018"/>
      <c r="C64" s="5019"/>
      <c r="D64" s="5020"/>
      <c r="E64" s="5021"/>
      <c r="F64" s="5022"/>
      <c r="G64" s="5023"/>
      <c r="H64" s="5024"/>
      <c r="I64" s="5025"/>
      <c r="J64" s="5026"/>
      <c r="K64" s="1603"/>
      <c r="L64" s="1770"/>
      <c r="M64" s="5027"/>
      <c r="N64" s="5028"/>
      <c r="O64" s="1524"/>
      <c r="P64" s="5029"/>
      <c r="Q64" s="5030"/>
      <c r="R64" s="1609"/>
      <c r="S64" s="5031"/>
      <c r="T64" s="5032"/>
      <c r="U64" s="5033" t="s">
        <v>36</v>
      </c>
      <c r="V64" s="5034"/>
      <c r="W64" s="5035"/>
      <c r="X64" s="4814"/>
      <c r="Y64" s="5036"/>
      <c r="Z64" s="1850"/>
      <c r="AA64" s="4965"/>
      <c r="AB64" s="4815"/>
      <c r="AC64" s="1927"/>
      <c r="AD64" s="5037"/>
      <c r="AE64" s="5038"/>
      <c r="AF64" s="5039"/>
      <c r="AG64" s="5040"/>
      <c r="AH64" s="5041"/>
      <c r="AI64" s="5042"/>
      <c r="AJ64" s="2808"/>
      <c r="AK64" s="5043"/>
      <c r="AL64" s="5044"/>
      <c r="AM64" s="5045"/>
      <c r="AN64" s="5046"/>
      <c r="AO64" s="5047"/>
      <c r="AP64" s="5048"/>
      <c r="AQ64" s="5049"/>
      <c r="AR64" s="5050"/>
      <c r="AS64" s="3698"/>
      <c r="AT64" s="5051"/>
      <c r="AU64" s="5036"/>
      <c r="AV64" s="5052"/>
      <c r="AW64" s="5053"/>
      <c r="AX64" s="5054"/>
      <c r="AY64" s="5055"/>
      <c r="AZ64" s="4665"/>
      <c r="BA64" s="5056" t="s">
        <v>38</v>
      </c>
      <c r="BB64" s="5057"/>
      <c r="BC64" s="5058"/>
      <c r="BD64" s="5059"/>
      <c r="BE64" s="5060"/>
      <c r="BF64" s="5061"/>
      <c r="BG64" s="5062"/>
      <c r="BH64" s="5063"/>
      <c r="BI64" s="5064"/>
      <c r="BJ64" s="5065"/>
      <c r="BK64" s="5066"/>
      <c r="BL64" s="5067"/>
      <c r="BM64" s="5068"/>
      <c r="BN64" s="5069"/>
      <c r="BO64" s="5070"/>
      <c r="BP64" s="5071"/>
      <c r="BQ64" s="5072"/>
      <c r="BR64" s="5073"/>
      <c r="BS64" s="5074"/>
      <c r="BT64" s="5075"/>
      <c r="BU64" s="5076"/>
      <c r="BV64" s="5077" t="s">
        <v>36</v>
      </c>
      <c r="BW64" s="5078"/>
      <c r="BX64" s="5079"/>
      <c r="BY64" s="5080" t="s">
        <v>38</v>
      </c>
      <c r="BZ64" s="5081"/>
      <c r="CA64" s="5082"/>
      <c r="CB64" s="5083"/>
      <c r="CC64" s="5084"/>
      <c r="CD64" s="5085"/>
      <c r="CE64" s="5086"/>
      <c r="CF64" s="5087"/>
      <c r="CG64" s="5088"/>
      <c r="CH64" s="4871"/>
      <c r="CI64" s="5089"/>
      <c r="CJ64" s="5090"/>
      <c r="CK64" s="5091"/>
      <c r="CL64" s="5092"/>
      <c r="CM64" s="5093"/>
      <c r="CN64" s="5094"/>
      <c r="CO64" s="5095"/>
      <c r="CP64" s="5096"/>
    </row>
    <row r="65" spans="1:94">
      <c r="A65" s="5097"/>
      <c r="B65" s="5098"/>
      <c r="C65" s="5099"/>
      <c r="D65" s="5100"/>
      <c r="E65" s="5101"/>
      <c r="F65" s="5102"/>
      <c r="G65" s="5103"/>
      <c r="H65" s="5104"/>
      <c r="I65" s="5105"/>
      <c r="J65" s="5106"/>
      <c r="K65" s="1687"/>
      <c r="L65" s="5107"/>
      <c r="M65" s="5029"/>
      <c r="N65" s="5108"/>
      <c r="O65" s="5028"/>
      <c r="P65" s="5029"/>
      <c r="Q65" s="5109"/>
      <c r="R65" s="4350"/>
      <c r="S65" s="5110"/>
      <c r="T65" s="5111"/>
      <c r="U65" s="5112" t="s">
        <v>36</v>
      </c>
      <c r="V65" s="5113"/>
      <c r="W65" s="4891"/>
      <c r="X65" s="5114"/>
      <c r="Y65" s="3879"/>
      <c r="Z65" s="1938"/>
      <c r="AA65" s="5115"/>
      <c r="AB65" s="1849"/>
      <c r="AC65" s="5116"/>
      <c r="AD65" s="3762"/>
      <c r="AE65" s="5117"/>
      <c r="AF65" s="5118"/>
      <c r="AG65" s="5119"/>
      <c r="AH65" s="5120"/>
      <c r="AI65" s="2678"/>
      <c r="AJ65" s="5121"/>
      <c r="AK65" s="5122"/>
      <c r="AL65" s="5123"/>
      <c r="AM65" s="5124"/>
      <c r="AN65" s="5125"/>
      <c r="AO65" s="4698"/>
      <c r="AP65" s="5126"/>
      <c r="AQ65" s="4665"/>
      <c r="AR65" s="3828"/>
      <c r="AS65" s="5127"/>
      <c r="AT65" s="5054"/>
      <c r="AU65" s="5049"/>
      <c r="AV65" s="4619"/>
      <c r="AW65" s="5128"/>
      <c r="AX65" s="5129"/>
      <c r="AY65" s="5130"/>
      <c r="AZ65" s="5131"/>
      <c r="BA65" s="5132" t="s">
        <v>38</v>
      </c>
      <c r="BB65" s="5133"/>
      <c r="BC65" s="5134"/>
      <c r="BD65" s="5135"/>
      <c r="BE65" s="5136"/>
      <c r="BF65" s="5137"/>
      <c r="BG65" s="5138"/>
      <c r="BH65" s="5139"/>
      <c r="BI65" s="5140"/>
      <c r="BJ65" s="5141"/>
      <c r="BK65" s="5142"/>
      <c r="BL65" s="5143"/>
      <c r="BM65" s="5144"/>
      <c r="BN65" s="5145"/>
      <c r="BO65" s="5146"/>
      <c r="BP65" s="5147"/>
      <c r="BQ65" s="5148"/>
      <c r="BR65" s="5149"/>
      <c r="BS65" s="5150"/>
      <c r="BT65" s="5151"/>
      <c r="BU65" s="5152"/>
      <c r="BV65" s="5153" t="s">
        <v>36</v>
      </c>
      <c r="BW65" s="5154"/>
      <c r="BX65" s="5155"/>
      <c r="BY65" s="5156" t="s">
        <v>38</v>
      </c>
      <c r="BZ65" s="5157"/>
      <c r="CA65" s="5158"/>
      <c r="CB65" s="5159"/>
      <c r="CC65" s="5160"/>
      <c r="CD65" s="5161"/>
      <c r="CE65" s="5162"/>
      <c r="CF65" s="5163"/>
      <c r="CG65" s="5164"/>
      <c r="CH65" s="5165"/>
      <c r="CI65" s="5166"/>
      <c r="CJ65" s="5167"/>
      <c r="CK65" s="5168"/>
      <c r="CL65" s="5169"/>
      <c r="CM65" s="5170"/>
      <c r="CN65" s="5171"/>
      <c r="CO65" s="4875"/>
      <c r="CP65" s="5172"/>
    </row>
    <row r="66" spans="1:94">
      <c r="A66" s="5173"/>
      <c r="B66" s="5174"/>
      <c r="C66" s="5175"/>
      <c r="D66" s="5176"/>
      <c r="E66" s="5177"/>
      <c r="F66" s="5178"/>
      <c r="G66" s="5179"/>
      <c r="H66" s="5180"/>
      <c r="I66" s="5181"/>
      <c r="J66" s="1616"/>
      <c r="K66" s="4332"/>
      <c r="L66" s="1686"/>
      <c r="M66" s="4954"/>
      <c r="N66" s="5029"/>
      <c r="O66" s="5029"/>
      <c r="P66" s="4954"/>
      <c r="Q66" s="5109"/>
      <c r="R66" s="5182"/>
      <c r="S66" s="5183"/>
      <c r="T66" s="5184"/>
      <c r="U66" s="5185" t="s">
        <v>36</v>
      </c>
      <c r="V66" s="5186"/>
      <c r="W66" s="5187"/>
      <c r="X66" s="5188"/>
      <c r="Y66" s="5036"/>
      <c r="Z66" s="5189"/>
      <c r="AA66" s="4541"/>
      <c r="AB66" s="5115"/>
      <c r="AC66" s="1926"/>
      <c r="AD66" s="3697"/>
      <c r="AE66" s="5190"/>
      <c r="AF66" s="5191"/>
      <c r="AG66" s="5192"/>
      <c r="AH66" s="5193"/>
      <c r="AI66" s="5194"/>
      <c r="AJ66" s="5195"/>
      <c r="AK66" s="5196"/>
      <c r="AL66" s="5197"/>
      <c r="AM66" s="5198"/>
      <c r="AN66" s="5199"/>
      <c r="AO66" s="2009"/>
      <c r="AP66" s="5200"/>
      <c r="AQ66" s="5201"/>
      <c r="AR66" s="5202"/>
      <c r="AS66" s="4451"/>
      <c r="AT66" s="3573"/>
      <c r="AU66" s="5203"/>
      <c r="AV66" s="5204"/>
      <c r="AW66" s="2180"/>
      <c r="AX66" s="5205"/>
      <c r="AY66" s="5206"/>
      <c r="AZ66" s="5207"/>
      <c r="BA66" s="5208" t="s">
        <v>38</v>
      </c>
      <c r="BB66" s="5209"/>
      <c r="BC66" s="5210"/>
      <c r="BD66" s="5211"/>
      <c r="BE66" s="5212"/>
      <c r="BF66" s="5213"/>
      <c r="BG66" s="5214"/>
      <c r="BH66" s="5215"/>
      <c r="BI66" s="5216"/>
      <c r="BJ66" s="5217"/>
      <c r="BK66" s="5218"/>
      <c r="BL66" s="5219"/>
      <c r="BM66" s="5220"/>
      <c r="BN66" s="5221"/>
      <c r="BO66" s="5222"/>
      <c r="BP66" s="5223"/>
      <c r="BQ66" s="5224"/>
      <c r="BR66" s="5225"/>
      <c r="BS66" s="5226"/>
      <c r="BT66" s="5227"/>
      <c r="BU66" s="5228"/>
      <c r="BV66" s="5229" t="s">
        <v>36</v>
      </c>
      <c r="BW66" s="5230"/>
      <c r="BX66" s="5231"/>
      <c r="BY66" s="5232" t="s">
        <v>38</v>
      </c>
      <c r="BZ66" s="5233"/>
      <c r="CA66" s="5234"/>
      <c r="CB66" s="5235"/>
      <c r="CC66" s="5236"/>
      <c r="CD66" s="5237"/>
      <c r="CE66" s="5238"/>
      <c r="CF66" s="5239"/>
      <c r="CG66" s="5240"/>
      <c r="CH66" s="5241"/>
      <c r="CI66" s="5242"/>
      <c r="CJ66" s="5243"/>
      <c r="CK66" s="5244"/>
      <c r="CL66" s="5245"/>
      <c r="CM66" s="5246"/>
      <c r="CN66" s="5247"/>
      <c r="CO66" s="5248"/>
      <c r="CP66" s="5249"/>
    </row>
    <row r="67" spans="1:94">
      <c r="A67" s="5250"/>
      <c r="B67" s="5251"/>
      <c r="C67" s="5252"/>
      <c r="D67" s="5253"/>
      <c r="E67" s="5254"/>
      <c r="F67" s="4872"/>
      <c r="G67" s="5255"/>
      <c r="H67" s="5256"/>
      <c r="I67" s="5257"/>
      <c r="J67" s="5258"/>
      <c r="K67" s="5259"/>
      <c r="L67" s="5030"/>
      <c r="M67" s="5260"/>
      <c r="N67" s="4954"/>
      <c r="O67" s="4954"/>
      <c r="P67" s="4955"/>
      <c r="Q67" s="5261"/>
      <c r="R67" s="5262"/>
      <c r="S67" s="5263"/>
      <c r="T67" s="5264"/>
      <c r="U67" s="5265" t="s">
        <v>36</v>
      </c>
      <c r="V67" s="5266"/>
      <c r="W67" s="5267"/>
      <c r="X67" s="3877"/>
      <c r="Y67" s="2542"/>
      <c r="Z67" s="1935"/>
      <c r="AA67" s="4742"/>
      <c r="AB67" s="5268"/>
      <c r="AC67" s="4542"/>
      <c r="AD67" s="5269"/>
      <c r="AE67" s="5270"/>
      <c r="AF67" s="5271"/>
      <c r="AG67" s="5272"/>
      <c r="AH67" s="5273"/>
      <c r="AI67" s="5274"/>
      <c r="AJ67" s="5275"/>
      <c r="AK67" s="5276"/>
      <c r="AL67" s="5277"/>
      <c r="AM67" s="5278"/>
      <c r="AN67" s="5279"/>
      <c r="AO67" s="5280"/>
      <c r="AP67" s="5281"/>
      <c r="AQ67" s="5282"/>
      <c r="AR67" s="5283"/>
      <c r="AS67" s="5284"/>
      <c r="AT67" s="5285"/>
      <c r="AU67" s="5286"/>
      <c r="AV67" s="5287"/>
      <c r="AW67" s="5288"/>
      <c r="AX67" s="5289"/>
      <c r="AY67" s="5290"/>
      <c r="AZ67" s="5291"/>
      <c r="BA67" s="5292" t="s">
        <v>38</v>
      </c>
      <c r="BB67" s="5293"/>
      <c r="BC67" s="5294"/>
      <c r="BD67" s="5295"/>
      <c r="BE67" s="5296"/>
      <c r="BF67" s="5297"/>
      <c r="BG67" s="5298"/>
      <c r="BH67" s="5299"/>
      <c r="BI67" s="5300"/>
      <c r="BJ67" s="5301"/>
      <c r="BK67" s="5302"/>
      <c r="BL67" s="5303"/>
      <c r="BM67" s="5304"/>
      <c r="BN67" s="5305"/>
      <c r="BO67" s="5306"/>
      <c r="BP67" s="5307"/>
      <c r="BQ67" s="5308"/>
      <c r="BR67" s="5309"/>
      <c r="BS67" s="5310"/>
      <c r="BT67" s="5311"/>
      <c r="BU67" s="5312"/>
      <c r="BV67" s="5313" t="s">
        <v>36</v>
      </c>
      <c r="BW67" s="5314"/>
      <c r="BX67" s="5315"/>
      <c r="BY67" s="5316" t="s">
        <v>38</v>
      </c>
      <c r="BZ67" s="5317"/>
      <c r="CA67" s="5318"/>
      <c r="CB67" s="5319"/>
      <c r="CC67" s="5320"/>
      <c r="CD67" s="5321"/>
      <c r="CE67" s="5322"/>
      <c r="CF67" s="5323"/>
      <c r="CG67" s="5324"/>
      <c r="CH67" s="5325"/>
      <c r="CI67" s="5326"/>
      <c r="CJ67" s="5327"/>
      <c r="CK67" s="5328"/>
      <c r="CL67" s="5329"/>
      <c r="CM67" s="5330"/>
      <c r="CN67" s="5331"/>
      <c r="CO67" s="5332"/>
      <c r="CP67" s="5333"/>
    </row>
    <row r="68" spans="1:94">
      <c r="A68" s="5334"/>
      <c r="B68" s="5335"/>
      <c r="C68" s="5336"/>
      <c r="D68" s="5337"/>
      <c r="E68" s="5338"/>
      <c r="F68" s="5339"/>
      <c r="G68" s="5340"/>
      <c r="H68" s="5341"/>
      <c r="I68" s="5342"/>
      <c r="J68" s="5343"/>
      <c r="K68" s="5344"/>
      <c r="L68" s="5345"/>
      <c r="M68" s="5346"/>
      <c r="N68" s="1822"/>
      <c r="O68" s="1822"/>
      <c r="P68" s="5347"/>
      <c r="Q68" s="5348"/>
      <c r="R68" s="5349"/>
      <c r="S68" s="5350"/>
      <c r="T68" s="5351"/>
      <c r="U68" s="5352" t="s">
        <v>36</v>
      </c>
      <c r="V68" s="5353"/>
      <c r="W68" s="5354"/>
      <c r="X68" s="4189"/>
      <c r="Y68" s="3700"/>
      <c r="Z68" s="1934"/>
      <c r="AA68" s="1933"/>
      <c r="AB68" s="5355"/>
      <c r="AC68" s="5356"/>
      <c r="AD68" s="5357"/>
      <c r="AE68" s="5358"/>
      <c r="AF68" s="5359"/>
      <c r="AG68" s="5360"/>
      <c r="AH68" s="5361"/>
      <c r="AI68" s="5362"/>
      <c r="AJ68" s="5363"/>
      <c r="AK68" s="5364"/>
      <c r="AL68" s="5365"/>
      <c r="AM68" s="5366"/>
      <c r="AN68" s="5367"/>
      <c r="AO68" s="5368"/>
      <c r="AP68" s="5369"/>
      <c r="AQ68" s="5370"/>
      <c r="AR68" s="5371"/>
      <c r="AS68" s="5372"/>
      <c r="AT68" s="5373"/>
      <c r="AU68" s="5374"/>
      <c r="AV68" s="5375"/>
      <c r="AW68" s="5376"/>
      <c r="AX68" s="5377"/>
      <c r="AY68" s="5378"/>
      <c r="AZ68" s="5379"/>
      <c r="BA68" s="5380" t="s">
        <v>38</v>
      </c>
      <c r="BB68" s="5381"/>
      <c r="BC68" s="5382"/>
      <c r="BD68" s="5383"/>
      <c r="BE68" s="5384"/>
      <c r="BF68" s="5385"/>
      <c r="BG68" s="5386"/>
      <c r="BH68" s="5387"/>
      <c r="BI68" s="5388"/>
      <c r="BJ68" s="5389"/>
      <c r="BK68" s="5390"/>
      <c r="BL68" s="5391"/>
      <c r="BM68" s="5392"/>
      <c r="BN68" s="5393"/>
      <c r="BO68" s="5394"/>
      <c r="BP68" s="5395"/>
      <c r="BQ68" s="5396"/>
      <c r="BR68" s="5397"/>
      <c r="BS68" s="5398"/>
      <c r="BT68" s="5399"/>
      <c r="BU68" s="5400"/>
      <c r="BV68" s="5401" t="s">
        <v>36</v>
      </c>
      <c r="BW68" s="5402"/>
      <c r="BX68" s="5403"/>
      <c r="BY68" s="5404" t="s">
        <v>38</v>
      </c>
      <c r="BZ68" s="5405"/>
      <c r="CA68" s="5406"/>
      <c r="CB68" s="5407"/>
      <c r="CC68" s="5408"/>
      <c r="CD68" s="5318"/>
      <c r="CE68" s="5409"/>
      <c r="CF68" s="5410"/>
      <c r="CG68" s="5411"/>
      <c r="CH68" s="5412"/>
      <c r="CI68" s="5413"/>
      <c r="CJ68" s="5414"/>
      <c r="CK68" s="5415"/>
      <c r="CL68" s="5416"/>
      <c r="CM68" s="5417"/>
      <c r="CN68" s="5418"/>
      <c r="CO68" s="5419"/>
      <c r="CP68" s="5420"/>
    </row>
    <row r="69" spans="1:94">
      <c r="A69" s="5421"/>
      <c r="B69" s="5422"/>
      <c r="C69" s="5423"/>
      <c r="D69" s="5424"/>
      <c r="E69" s="5425"/>
      <c r="F69" s="5426"/>
      <c r="G69" s="5427"/>
      <c r="H69" s="5428"/>
      <c r="I69" s="5429"/>
      <c r="J69" s="4197"/>
      <c r="K69" s="5430"/>
      <c r="L69" s="4955"/>
      <c r="M69" s="5431"/>
      <c r="N69" s="5432"/>
      <c r="O69" s="5347"/>
      <c r="P69" s="5433"/>
      <c r="Q69" s="5348"/>
      <c r="R69" s="5434"/>
      <c r="S69" s="5435"/>
      <c r="T69" s="5436"/>
      <c r="U69" s="5437" t="s">
        <v>36</v>
      </c>
      <c r="V69" s="5438"/>
      <c r="W69" s="5439"/>
      <c r="X69" s="4189"/>
      <c r="Y69" s="3826"/>
      <c r="Z69" s="5440"/>
      <c r="AA69" s="1938"/>
      <c r="AB69" s="5126"/>
      <c r="AC69" s="4587"/>
      <c r="AD69" s="5441"/>
      <c r="AE69" s="5442"/>
      <c r="AF69" s="5443"/>
      <c r="AG69" s="5444"/>
      <c r="AH69" s="5445"/>
      <c r="AI69" s="5446"/>
      <c r="AJ69" s="5447"/>
      <c r="AK69" s="5448"/>
      <c r="AL69" s="5449"/>
      <c r="AM69" s="5450"/>
      <c r="AN69" s="5451"/>
      <c r="AO69" s="5452"/>
      <c r="AP69" s="5453"/>
      <c r="AQ69" s="5454"/>
      <c r="AR69" s="5455"/>
      <c r="AS69" s="5456"/>
      <c r="AT69" s="5457"/>
      <c r="AU69" s="5458"/>
      <c r="AV69" s="5459"/>
      <c r="AW69" s="5460"/>
      <c r="AX69" s="5461"/>
      <c r="AY69" s="5462"/>
      <c r="AZ69" s="5463"/>
      <c r="BA69" s="5464" t="s">
        <v>38</v>
      </c>
      <c r="BB69" s="5465"/>
      <c r="BC69" s="5466"/>
      <c r="BD69" s="5467"/>
      <c r="BE69" s="5468"/>
      <c r="BF69" s="5469"/>
      <c r="BG69" s="5470"/>
      <c r="BH69" s="5471"/>
      <c r="BI69" s="5472"/>
      <c r="BJ69" s="5473"/>
      <c r="BK69" s="5474"/>
      <c r="BL69" s="5475"/>
      <c r="BM69" s="5476"/>
      <c r="BN69" s="5477"/>
      <c r="BO69" s="5478"/>
      <c r="BP69" s="5479"/>
      <c r="BQ69" s="5480"/>
      <c r="BR69" s="5481"/>
      <c r="BS69" s="5482"/>
      <c r="BT69" s="5483"/>
      <c r="BU69" s="5484"/>
      <c r="BV69" s="5485" t="s">
        <v>36</v>
      </c>
      <c r="BW69" s="5486"/>
      <c r="BX69" s="5487"/>
      <c r="BY69" s="5488" t="s">
        <v>38</v>
      </c>
      <c r="BZ69" s="5489"/>
      <c r="CA69" s="5490"/>
      <c r="CB69" s="5491"/>
      <c r="CC69" s="5492"/>
      <c r="CD69" s="5493"/>
      <c r="CE69" s="5494"/>
      <c r="CF69" s="5495"/>
      <c r="CG69" s="5496"/>
      <c r="CH69" s="5497"/>
      <c r="CI69" s="5498"/>
      <c r="CJ69" s="5499"/>
      <c r="CK69" s="5500"/>
      <c r="CL69" s="5501"/>
      <c r="CM69" s="5502"/>
      <c r="CN69" s="5503"/>
      <c r="CO69" s="5504"/>
      <c r="CP69" s="5505"/>
    </row>
    <row r="70" spans="1:94">
      <c r="A70" s="5506"/>
      <c r="B70" s="5507"/>
      <c r="C70" s="5508"/>
      <c r="D70" s="5509"/>
      <c r="E70" s="5510"/>
      <c r="F70" s="5511"/>
      <c r="G70" s="5512"/>
      <c r="H70" s="5513"/>
      <c r="I70" s="5514"/>
      <c r="J70" s="5515"/>
      <c r="K70" s="1858"/>
      <c r="L70" s="5347"/>
      <c r="M70" s="5516"/>
      <c r="N70" s="4955"/>
      <c r="O70" s="5029"/>
      <c r="P70" s="5433"/>
      <c r="Q70" s="5109"/>
      <c r="R70" s="5517"/>
      <c r="S70" s="5518"/>
      <c r="T70" s="5519"/>
      <c r="U70" s="5520" t="s">
        <v>36</v>
      </c>
      <c r="V70" s="5521"/>
      <c r="W70" s="5439"/>
      <c r="X70" s="4662"/>
      <c r="Y70" s="5440"/>
      <c r="Z70" s="1938"/>
      <c r="AA70" s="5522"/>
      <c r="AB70" s="1927"/>
      <c r="AC70" s="5523"/>
      <c r="AD70" s="5524"/>
      <c r="AE70" s="5525"/>
      <c r="AF70" s="5526"/>
      <c r="AG70" s="5527"/>
      <c r="AH70" s="5528"/>
      <c r="AI70" s="5529"/>
      <c r="AJ70" s="5530"/>
      <c r="AK70" s="5531"/>
      <c r="AL70" s="5532"/>
      <c r="AM70" s="5533"/>
      <c r="AN70" s="5534"/>
      <c r="AO70" s="5535"/>
      <c r="AP70" s="5536"/>
      <c r="AQ70" s="5537"/>
      <c r="AR70" s="5538"/>
      <c r="AS70" s="5539"/>
      <c r="AT70" s="5540"/>
      <c r="AU70" s="5541"/>
      <c r="AV70" s="5542"/>
      <c r="AW70" s="5543"/>
      <c r="AX70" s="5544"/>
      <c r="AY70" s="5545"/>
      <c r="AZ70" s="5546"/>
      <c r="BA70" s="5547" t="s">
        <v>38</v>
      </c>
      <c r="BB70" s="5548"/>
      <c r="BC70" s="5549"/>
      <c r="BD70" s="5550"/>
      <c r="BE70" s="5551"/>
      <c r="BF70" s="5552"/>
      <c r="BG70" s="5553"/>
      <c r="BH70" s="5554"/>
      <c r="BI70" s="5555"/>
      <c r="BJ70" s="5556"/>
      <c r="BK70" s="5557"/>
      <c r="BL70" s="5558"/>
      <c r="BM70" s="5559"/>
      <c r="BN70" s="5560"/>
      <c r="BO70" s="5561"/>
      <c r="BP70" s="5562"/>
      <c r="BQ70" s="5563"/>
      <c r="BR70" s="5564"/>
      <c r="BS70" s="5565"/>
      <c r="BT70" s="5566"/>
      <c r="BU70" s="5567"/>
      <c r="BV70" s="5568" t="s">
        <v>36</v>
      </c>
      <c r="BW70" s="5569"/>
      <c r="BX70" s="5570"/>
      <c r="BY70" s="5571" t="s">
        <v>38</v>
      </c>
      <c r="BZ70" s="5572"/>
      <c r="CA70" s="5573"/>
      <c r="CB70" s="5574"/>
      <c r="CC70" s="5575"/>
      <c r="CD70" s="5576"/>
      <c r="CE70" s="5577"/>
      <c r="CF70" s="5578"/>
      <c r="CG70" s="5579"/>
      <c r="CH70" s="5580"/>
      <c r="CI70" s="5581"/>
      <c r="CJ70" s="5582"/>
      <c r="CK70" s="5583"/>
      <c r="CL70" s="5584"/>
      <c r="CM70" s="5585"/>
      <c r="CN70" s="5586"/>
      <c r="CO70" s="5587"/>
      <c r="CP70" s="5588"/>
    </row>
    <row r="71" spans="1:94" ht="16.5" thickBot="1">
      <c r="A71" s="5589"/>
      <c r="B71" s="5590"/>
      <c r="C71" s="5591"/>
      <c r="D71" s="5592"/>
      <c r="E71" s="5593"/>
      <c r="F71" s="5594"/>
      <c r="G71" s="5595"/>
      <c r="H71" s="5596"/>
      <c r="I71" s="5597"/>
      <c r="J71" s="5598"/>
      <c r="K71" s="1528"/>
      <c r="L71" s="5599"/>
      <c r="M71" s="4956"/>
      <c r="N71" s="4955"/>
      <c r="O71" s="4955"/>
      <c r="P71" s="5433"/>
      <c r="Q71" s="5600"/>
      <c r="R71" s="5601"/>
      <c r="S71" s="5602"/>
      <c r="T71" s="5603"/>
      <c r="U71" s="5604" t="s">
        <v>36</v>
      </c>
      <c r="V71" s="5605"/>
      <c r="W71" s="1678"/>
      <c r="X71" s="5606"/>
      <c r="Y71" s="4741"/>
      <c r="Z71" s="1929"/>
      <c r="AA71" s="4542"/>
      <c r="AB71" s="5607"/>
      <c r="AC71" s="5608"/>
      <c r="AD71" s="5609"/>
      <c r="AE71" s="5610"/>
      <c r="AF71" s="5611"/>
      <c r="AG71" s="5612"/>
      <c r="AH71" s="5613"/>
      <c r="AI71" s="5614"/>
      <c r="AJ71" s="5615"/>
      <c r="AK71" s="5616"/>
      <c r="AL71" s="5617"/>
      <c r="AM71" s="5618"/>
      <c r="AN71" s="5619"/>
      <c r="AO71" s="5620"/>
      <c r="AP71" s="5621"/>
      <c r="AQ71" s="5622"/>
      <c r="AR71" s="5623"/>
      <c r="AS71" s="5624"/>
      <c r="AT71" s="5625"/>
      <c r="AU71" s="5626"/>
      <c r="AV71" s="5627"/>
      <c r="AW71" s="5628"/>
      <c r="AX71" s="5629"/>
      <c r="AY71" s="5221"/>
      <c r="AZ71" s="5235"/>
      <c r="BA71" s="5630" t="s">
        <v>38</v>
      </c>
      <c r="BB71" s="5631"/>
      <c r="BC71" s="5632"/>
      <c r="BD71" s="5633"/>
      <c r="BE71" s="5634"/>
      <c r="BF71" s="5635"/>
      <c r="BG71" s="5636"/>
      <c r="BH71" s="5637"/>
      <c r="BI71" s="5638"/>
      <c r="BJ71" s="5639"/>
      <c r="BK71" s="5640"/>
      <c r="BL71" s="5641"/>
      <c r="BM71" s="5642"/>
      <c r="BN71" s="5643"/>
      <c r="BO71" s="5644"/>
      <c r="BP71" s="5645"/>
      <c r="BQ71" s="5646"/>
      <c r="BR71" s="5647"/>
      <c r="BS71" s="5648"/>
      <c r="BT71" s="5649"/>
      <c r="BU71" s="5650"/>
      <c r="BV71" s="5651" t="s">
        <v>36</v>
      </c>
      <c r="BW71" s="5652"/>
      <c r="BX71" s="5653"/>
      <c r="BY71" s="5654" t="s">
        <v>38</v>
      </c>
      <c r="BZ71" s="5655"/>
      <c r="CA71" s="5656"/>
      <c r="CB71" s="5657"/>
      <c r="CC71" s="5658"/>
      <c r="CD71" s="5659"/>
      <c r="CE71" s="5660"/>
      <c r="CF71" s="5661"/>
      <c r="CG71" s="5662"/>
      <c r="CH71" s="5663"/>
      <c r="CI71" s="5664"/>
      <c r="CJ71" s="5665"/>
      <c r="CK71" s="5666"/>
      <c r="CL71" s="5667"/>
      <c r="CM71" s="5668"/>
      <c r="CN71" s="5669"/>
      <c r="CO71" s="5670"/>
      <c r="CP71" s="5671"/>
    </row>
    <row r="72" spans="1:94">
      <c r="A72" s="5672"/>
      <c r="B72" s="5673"/>
      <c r="C72" s="5674"/>
      <c r="D72" s="5675"/>
      <c r="E72" s="5676"/>
      <c r="F72" s="5677"/>
      <c r="G72" s="5678"/>
      <c r="H72" s="5679"/>
      <c r="I72" s="5680"/>
      <c r="J72" s="5681"/>
      <c r="K72" s="5599"/>
      <c r="L72" s="5682"/>
      <c r="M72" s="5433"/>
      <c r="N72" s="5432"/>
      <c r="O72" s="4954"/>
      <c r="P72" s="1529"/>
      <c r="Q72" s="5683"/>
      <c r="R72" s="5684"/>
      <c r="S72" s="5685"/>
      <c r="T72" s="5686"/>
      <c r="U72" s="5687" t="s">
        <v>36</v>
      </c>
      <c r="V72" s="5688"/>
      <c r="W72" s="4514"/>
      <c r="X72" s="5689"/>
      <c r="Y72" s="5690"/>
      <c r="Z72" s="1776"/>
      <c r="AA72" s="5691"/>
      <c r="AB72" s="5692"/>
      <c r="AC72" s="5693"/>
      <c r="AD72" s="5694"/>
      <c r="AE72" s="5695"/>
      <c r="AF72" s="5696"/>
      <c r="AG72" s="5697"/>
      <c r="AH72" s="5698"/>
      <c r="AI72" s="5699"/>
      <c r="AJ72" s="5700"/>
      <c r="AK72" s="5701"/>
      <c r="AL72" s="5702"/>
      <c r="AM72" s="5703"/>
      <c r="AN72" s="5704"/>
      <c r="AO72" s="5705"/>
      <c r="AP72" s="5706"/>
      <c r="AQ72" s="5707"/>
      <c r="AR72" s="10587">
        <v>7</v>
      </c>
      <c r="AS72" s="10588">
        <v>5</v>
      </c>
      <c r="AT72" s="10589">
        <v>6</v>
      </c>
      <c r="AU72" s="5708"/>
      <c r="AV72" s="5709"/>
      <c r="AW72" s="5710"/>
      <c r="AX72" s="5711"/>
      <c r="AY72" s="5712"/>
      <c r="AZ72" s="5218"/>
      <c r="BA72" s="5713" t="s">
        <v>38</v>
      </c>
      <c r="BB72" s="5714"/>
      <c r="BC72" s="5715"/>
      <c r="BD72" s="5716"/>
      <c r="BE72" s="5717"/>
      <c r="BF72" s="5718"/>
      <c r="BG72" s="5719"/>
      <c r="BH72" s="5720"/>
      <c r="BI72" s="5721"/>
      <c r="BJ72" s="5722"/>
      <c r="BK72" s="5723"/>
      <c r="BL72" s="5724"/>
      <c r="BM72" s="5725"/>
      <c r="BN72" s="5726"/>
      <c r="BO72" s="5727"/>
      <c r="BP72" s="5728"/>
      <c r="BQ72" s="5729"/>
      <c r="BR72" s="5730"/>
      <c r="BS72" s="5731"/>
      <c r="BT72" s="5732"/>
      <c r="BU72" s="5733"/>
      <c r="BV72" s="5734" t="s">
        <v>36</v>
      </c>
      <c r="BW72" s="5735"/>
      <c r="BX72" s="5736"/>
      <c r="BY72" s="5737" t="s">
        <v>38</v>
      </c>
      <c r="BZ72" s="5738"/>
      <c r="CA72" s="5739"/>
      <c r="CB72" s="5740"/>
      <c r="CC72" s="5741"/>
      <c r="CD72" s="5742"/>
      <c r="CE72" s="5743"/>
      <c r="CF72" s="5744"/>
      <c r="CG72" s="5745"/>
      <c r="CH72" s="5746"/>
      <c r="CI72" s="5747"/>
      <c r="CJ72" s="5748"/>
      <c r="CK72" s="5749"/>
      <c r="CL72" s="5750"/>
      <c r="CM72" s="5751"/>
      <c r="CN72" s="5752"/>
      <c r="CO72" s="5753"/>
      <c r="CP72" s="5754"/>
    </row>
    <row r="73" spans="1:94" ht="16.5" thickBot="1">
      <c r="A73" s="5755"/>
      <c r="B73" s="5756"/>
      <c r="C73" s="5757"/>
      <c r="D73" s="5758"/>
      <c r="E73" s="5759"/>
      <c r="F73" s="5760"/>
      <c r="G73" s="5761"/>
      <c r="H73" s="5202"/>
      <c r="I73" s="5762"/>
      <c r="J73" s="5763"/>
      <c r="K73" s="1770"/>
      <c r="L73" s="5682"/>
      <c r="M73" s="5432"/>
      <c r="N73" s="1662"/>
      <c r="O73" s="5431"/>
      <c r="P73" s="5764"/>
      <c r="Q73" s="5765"/>
      <c r="R73" s="5766"/>
      <c r="S73" s="5767"/>
      <c r="T73" s="5768"/>
      <c r="U73" s="5769" t="s">
        <v>36</v>
      </c>
      <c r="V73" s="5770"/>
      <c r="W73" s="5035"/>
      <c r="X73" s="4731"/>
      <c r="Y73" s="5690"/>
      <c r="Z73" s="5771"/>
      <c r="AA73" s="5606"/>
      <c r="AB73" s="5772"/>
      <c r="AC73" s="3876"/>
      <c r="AD73" s="5773"/>
      <c r="AE73" s="5774"/>
      <c r="AF73" s="5775"/>
      <c r="AG73" s="5776"/>
      <c r="AH73" s="5777"/>
      <c r="AI73" s="5778"/>
      <c r="AJ73" s="5779"/>
      <c r="AK73" s="5780"/>
      <c r="AL73" s="5781"/>
      <c r="AM73" s="5782"/>
      <c r="AN73" s="5783"/>
      <c r="AO73" s="5784"/>
      <c r="AP73" s="5785"/>
      <c r="AQ73" s="5786"/>
      <c r="AR73" s="10593">
        <v>1.1666666666666667</v>
      </c>
      <c r="AS73" s="10594">
        <v>1.25</v>
      </c>
      <c r="AT73" s="10595">
        <v>1.2</v>
      </c>
      <c r="AU73" s="5787"/>
      <c r="AV73" s="5788"/>
      <c r="AW73" s="5789"/>
      <c r="AX73" s="5790"/>
      <c r="AY73" s="5791"/>
      <c r="AZ73" s="5792"/>
      <c r="BA73" s="5793" t="s">
        <v>38</v>
      </c>
      <c r="BB73" s="5794"/>
      <c r="BC73" s="5795"/>
      <c r="BD73" s="5796"/>
      <c r="BE73" s="5797"/>
      <c r="BF73" s="5798"/>
      <c r="BG73" s="5799"/>
      <c r="BH73" s="5800"/>
      <c r="BI73" s="5715"/>
      <c r="BJ73" s="5801"/>
      <c r="BK73" s="5802"/>
      <c r="BL73" s="5803"/>
      <c r="BM73" s="5804"/>
      <c r="BN73" s="5805"/>
      <c r="BO73" s="5806"/>
      <c r="BP73" s="5807"/>
      <c r="BQ73" s="5808"/>
      <c r="BR73" s="5809"/>
      <c r="BS73" s="5810"/>
      <c r="BT73" s="5811"/>
      <c r="BU73" s="5812"/>
      <c r="BV73" s="5813" t="s">
        <v>36</v>
      </c>
      <c r="BW73" s="5814"/>
      <c r="BX73" s="5815"/>
      <c r="BY73" s="5816" t="s">
        <v>38</v>
      </c>
      <c r="BZ73" s="5817"/>
      <c r="CA73" s="5818"/>
      <c r="CB73" s="5819"/>
      <c r="CC73" s="5820"/>
      <c r="CD73" s="5821"/>
      <c r="CE73" s="5822"/>
      <c r="CF73" s="5823"/>
      <c r="CG73" s="5824"/>
      <c r="CH73" s="5825"/>
      <c r="CI73" s="5826"/>
      <c r="CJ73" s="5827"/>
      <c r="CK73" s="5828"/>
      <c r="CL73" s="5829"/>
      <c r="CM73" s="5830"/>
      <c r="CN73" s="5831"/>
      <c r="CO73" s="5832"/>
      <c r="CP73" s="5833"/>
    </row>
    <row r="74" spans="1:94">
      <c r="A74" s="5834"/>
      <c r="B74" s="5835"/>
      <c r="C74" s="5836"/>
      <c r="D74" s="5837"/>
      <c r="E74" s="5838"/>
      <c r="F74" s="5349"/>
      <c r="G74" s="5839"/>
      <c r="H74" s="5840"/>
      <c r="I74" s="5841"/>
      <c r="J74" s="5842"/>
      <c r="K74" s="1863"/>
      <c r="L74" s="5843"/>
      <c r="M74" s="5261"/>
      <c r="N74" s="5844"/>
      <c r="O74" s="5028"/>
      <c r="P74" s="5027"/>
      <c r="Q74" s="1822"/>
      <c r="R74" s="5845"/>
      <c r="S74" s="5846"/>
      <c r="T74" s="5847"/>
      <c r="U74" s="5848" t="s">
        <v>36</v>
      </c>
      <c r="V74" s="5849"/>
      <c r="W74" s="5850"/>
      <c r="X74" s="5522"/>
      <c r="Y74" s="4809"/>
      <c r="Z74" s="5851"/>
      <c r="AA74" s="1683"/>
      <c r="AB74" s="5852"/>
      <c r="AC74" s="5853"/>
      <c r="AD74" s="5854"/>
      <c r="AE74" s="5855"/>
      <c r="AF74" s="5856"/>
      <c r="AG74" s="5857"/>
      <c r="AH74" s="5858"/>
      <c r="AI74" s="5859"/>
      <c r="AJ74" s="5860"/>
      <c r="AK74" s="5861"/>
      <c r="AL74" s="5862"/>
      <c r="AM74" s="5863"/>
      <c r="AN74" s="5864"/>
      <c r="AO74" s="5865"/>
      <c r="AP74" s="5866"/>
      <c r="AQ74" s="5867"/>
      <c r="AR74" s="5868"/>
      <c r="AS74" s="5869"/>
      <c r="AT74" s="5870"/>
      <c r="AU74" s="5871"/>
      <c r="AV74" s="5872"/>
      <c r="AW74" s="5873"/>
      <c r="AX74" s="5874"/>
      <c r="AY74" s="5875"/>
      <c r="AZ74" s="5876"/>
      <c r="BA74" s="5877" t="s">
        <v>38</v>
      </c>
      <c r="BB74" s="5878"/>
      <c r="BC74" s="5879"/>
      <c r="BD74" s="5880"/>
      <c r="BE74" s="5881"/>
      <c r="BF74" s="5882"/>
      <c r="BG74" s="5881"/>
      <c r="BH74" s="5883"/>
      <c r="BI74" s="5884"/>
      <c r="BJ74" s="5885"/>
      <c r="BK74" s="5886"/>
      <c r="BL74" s="5887"/>
      <c r="BM74" s="5888"/>
      <c r="BN74" s="5889"/>
      <c r="BO74" s="4895"/>
      <c r="BP74" s="5890"/>
      <c r="BQ74" s="5891"/>
      <c r="BR74" s="5892"/>
      <c r="BS74" s="5893"/>
      <c r="BT74" s="5894"/>
      <c r="BU74" s="5882"/>
      <c r="BV74" s="5895" t="s">
        <v>36</v>
      </c>
      <c r="BW74" s="5896"/>
      <c r="BX74" s="5897"/>
      <c r="BY74" s="5898" t="s">
        <v>38</v>
      </c>
      <c r="BZ74" s="5899"/>
      <c r="CA74" s="5900"/>
      <c r="CB74" s="5901"/>
      <c r="CC74" s="5742"/>
      <c r="CD74" s="5407"/>
      <c r="CE74" s="5902"/>
      <c r="CF74" s="5903"/>
      <c r="CG74" s="5904"/>
      <c r="CH74" s="5905"/>
      <c r="CI74" s="5906"/>
      <c r="CJ74" s="5907"/>
      <c r="CK74" s="5908"/>
      <c r="CL74" s="5909"/>
      <c r="CM74" s="5910"/>
      <c r="CN74" s="5911"/>
      <c r="CO74" s="5912"/>
      <c r="CP74" s="5913"/>
    </row>
    <row r="75" spans="1:94">
      <c r="A75" s="5914"/>
      <c r="B75" s="5915"/>
      <c r="C75" s="5916"/>
      <c r="D75" s="5917"/>
      <c r="E75" s="4152"/>
      <c r="F75" s="5918"/>
      <c r="G75" s="5919"/>
      <c r="H75" s="5920"/>
      <c r="I75" s="5921"/>
      <c r="J75" s="5922"/>
      <c r="K75" s="5923"/>
      <c r="L75" s="5924"/>
      <c r="M75" s="5925"/>
      <c r="N75" s="5926"/>
      <c r="O75" s="5927"/>
      <c r="P75" s="5928"/>
      <c r="Q75" s="5929"/>
      <c r="R75" s="5930"/>
      <c r="S75" s="5931"/>
      <c r="T75" s="5932"/>
      <c r="U75" s="5933" t="s">
        <v>36</v>
      </c>
      <c r="V75" s="3936"/>
      <c r="W75" s="5187"/>
      <c r="X75" s="5934"/>
      <c r="Y75" s="5935"/>
      <c r="Z75" s="5936"/>
      <c r="AA75" s="5937"/>
      <c r="AB75" s="5938"/>
      <c r="AC75" s="5939"/>
      <c r="AD75" s="5940"/>
      <c r="AE75" s="5941"/>
      <c r="AF75" s="5942"/>
      <c r="AG75" s="5716"/>
      <c r="AH75" s="5943"/>
      <c r="AI75" s="5944"/>
      <c r="AJ75" s="5945"/>
      <c r="AK75" s="5946"/>
      <c r="AL75" s="5947"/>
      <c r="AM75" s="5948"/>
      <c r="AN75" s="5949"/>
      <c r="AO75" s="5950"/>
      <c r="AP75" s="5951"/>
      <c r="AQ75" s="5952"/>
      <c r="AR75" s="5953"/>
      <c r="AS75" s="5954"/>
      <c r="AT75" s="5955"/>
      <c r="AU75" s="5956"/>
      <c r="AV75" s="5957"/>
      <c r="AW75" s="5958"/>
      <c r="AX75" s="5959"/>
      <c r="AY75" s="5960"/>
      <c r="AZ75" s="5961"/>
      <c r="BA75" s="5962" t="s">
        <v>38</v>
      </c>
      <c r="BB75" s="5963"/>
      <c r="BC75" s="5964"/>
      <c r="BD75" s="5965"/>
      <c r="BE75" s="5966"/>
      <c r="BF75" s="5967"/>
      <c r="BG75" s="5968"/>
      <c r="BH75" s="5969"/>
      <c r="BI75" s="5970"/>
      <c r="BJ75" s="5971"/>
      <c r="BK75" s="5972"/>
      <c r="BL75" s="5973"/>
      <c r="BM75" s="5974"/>
      <c r="BN75" s="5975"/>
      <c r="BO75" s="5976"/>
      <c r="BP75" s="5977"/>
      <c r="BQ75" s="5978"/>
      <c r="BR75" s="5979"/>
      <c r="BS75" s="5980"/>
      <c r="BT75" s="5981"/>
      <c r="BU75" s="5982"/>
      <c r="BV75" s="5983" t="s">
        <v>36</v>
      </c>
      <c r="BW75" s="5984"/>
      <c r="BX75" s="5985"/>
      <c r="BY75" s="5986" t="s">
        <v>38</v>
      </c>
      <c r="BZ75" s="5987"/>
      <c r="CA75" s="5988"/>
      <c r="CB75" s="5989"/>
      <c r="CC75" s="5990"/>
      <c r="CD75" s="5991"/>
      <c r="CE75" s="5992"/>
      <c r="CF75" s="5993"/>
      <c r="CG75" s="5994"/>
      <c r="CH75" s="5995"/>
      <c r="CI75" s="5996"/>
      <c r="CJ75" s="5997"/>
      <c r="CK75" s="5998"/>
      <c r="CL75" s="5999"/>
      <c r="CM75" s="6000"/>
      <c r="CN75" s="6001"/>
      <c r="CO75" s="6002"/>
      <c r="CP75" s="6003"/>
    </row>
    <row r="76" spans="1:94">
      <c r="A76" s="6004"/>
      <c r="B76" s="6005"/>
      <c r="C76" s="6006"/>
      <c r="D76" s="6007"/>
      <c r="E76" s="6008"/>
      <c r="F76" s="6009"/>
      <c r="G76" s="6010"/>
      <c r="H76" s="6011"/>
      <c r="I76" s="6012"/>
      <c r="J76" s="6013"/>
      <c r="K76" s="6014"/>
      <c r="L76" s="6015"/>
      <c r="M76" s="6016"/>
      <c r="N76" s="6017"/>
      <c r="O76" s="6018"/>
      <c r="P76" s="3576"/>
      <c r="Q76" s="4107"/>
      <c r="R76" s="6019"/>
      <c r="S76" s="6020"/>
      <c r="T76" s="6021"/>
      <c r="U76" s="6022" t="s">
        <v>36</v>
      </c>
      <c r="V76" s="6023"/>
      <c r="W76" s="6024"/>
      <c r="X76" s="6025"/>
      <c r="Y76" s="6026"/>
      <c r="Z76" s="6027"/>
      <c r="AA76" s="6028"/>
      <c r="AB76" s="6029"/>
      <c r="AC76" s="6030"/>
      <c r="AD76" s="6031"/>
      <c r="AE76" s="6032"/>
      <c r="AF76" s="6033"/>
      <c r="AG76" s="6034"/>
      <c r="AH76" s="6035"/>
      <c r="AI76" s="6036"/>
      <c r="AJ76" s="6037"/>
      <c r="AK76" s="6038"/>
      <c r="AL76" s="6039"/>
      <c r="AM76" s="6040"/>
      <c r="AN76" s="6041"/>
      <c r="AO76" s="6042"/>
      <c r="AP76" s="6043"/>
      <c r="AQ76" s="6044"/>
      <c r="AR76" s="6045"/>
      <c r="AS76" s="6046"/>
      <c r="AT76" s="6047"/>
      <c r="AU76" s="6048"/>
      <c r="AV76" s="6049"/>
      <c r="AW76" s="6050"/>
      <c r="AX76" s="6051"/>
      <c r="AY76" s="6052"/>
      <c r="AZ76" s="6053"/>
      <c r="BA76" s="6054" t="s">
        <v>38</v>
      </c>
      <c r="BB76" s="6055"/>
      <c r="BC76" s="6056"/>
      <c r="BD76" s="6057"/>
      <c r="BE76" s="6058"/>
      <c r="BF76" s="6059"/>
      <c r="BG76" s="6059"/>
      <c r="BH76" s="6060"/>
      <c r="BI76" s="5969"/>
      <c r="BJ76" s="6061"/>
      <c r="BK76" s="6062"/>
      <c r="BL76" s="6063"/>
      <c r="BM76" s="6060"/>
      <c r="BN76" s="6064"/>
      <c r="BO76" s="6065"/>
      <c r="BP76" s="6066"/>
      <c r="BQ76" s="6067"/>
      <c r="BR76" s="6068"/>
      <c r="BS76" s="6069"/>
      <c r="BT76" s="6070"/>
      <c r="BU76" s="6071"/>
      <c r="BV76" s="6072" t="s">
        <v>36</v>
      </c>
      <c r="BW76" s="6073"/>
      <c r="BX76" s="6074"/>
      <c r="BY76" s="6075" t="s">
        <v>38</v>
      </c>
      <c r="BZ76" s="6076"/>
      <c r="CA76" s="6077"/>
      <c r="CB76" s="6078"/>
      <c r="CC76" s="6079"/>
      <c r="CD76" s="6080"/>
      <c r="CE76" s="6081"/>
      <c r="CF76" s="6082"/>
      <c r="CG76" s="6083"/>
      <c r="CH76" s="6084"/>
      <c r="CI76" s="6085"/>
      <c r="CJ76" s="6086"/>
      <c r="CK76" s="5671"/>
      <c r="CL76" s="6087"/>
      <c r="CM76" s="6000"/>
      <c r="CN76" s="6088"/>
      <c r="CO76" s="6089"/>
      <c r="CP76" s="6090"/>
    </row>
    <row r="77" spans="1:94">
      <c r="A77" s="6091"/>
      <c r="B77" s="6092"/>
      <c r="C77" s="6093"/>
      <c r="D77" s="6094"/>
      <c r="E77" s="6095"/>
      <c r="F77" s="6096"/>
      <c r="G77" s="6097"/>
      <c r="H77" s="6098"/>
      <c r="I77" s="6099"/>
      <c r="J77" s="6100"/>
      <c r="K77" s="6101"/>
      <c r="L77" s="6102"/>
      <c r="M77" s="6103"/>
      <c r="N77" s="6104"/>
      <c r="O77" s="6105"/>
      <c r="P77" s="6106"/>
      <c r="Q77" s="6107"/>
      <c r="R77" s="6108"/>
      <c r="S77" s="6109"/>
      <c r="T77" s="6110"/>
      <c r="U77" s="6111" t="s">
        <v>36</v>
      </c>
      <c r="V77" s="6112"/>
      <c r="W77" s="6113"/>
      <c r="X77" s="6114"/>
      <c r="Y77" s="6115"/>
      <c r="Z77" s="6116"/>
      <c r="AA77" s="6117"/>
      <c r="AB77" s="6118"/>
      <c r="AC77" s="6119"/>
      <c r="AD77" s="6120"/>
      <c r="AE77" s="6121"/>
      <c r="AF77" s="6122"/>
      <c r="AG77" s="6123"/>
      <c r="AH77" s="6124"/>
      <c r="AI77" s="6125"/>
      <c r="AJ77" s="6126"/>
      <c r="AK77" s="6127"/>
      <c r="AL77" s="6128"/>
      <c r="AM77" s="6129"/>
      <c r="AN77" s="6130"/>
      <c r="AO77" s="6131"/>
      <c r="AP77" s="6132"/>
      <c r="AQ77" s="6133"/>
      <c r="AR77" s="6134"/>
      <c r="AS77" s="6135"/>
      <c r="AT77" s="6136"/>
      <c r="AU77" s="6137"/>
      <c r="AV77" s="6138"/>
      <c r="AW77" s="6139"/>
      <c r="AX77" s="6140"/>
      <c r="AY77" s="6141"/>
      <c r="AZ77" s="6142"/>
      <c r="BA77" s="6143" t="s">
        <v>38</v>
      </c>
      <c r="BB77" s="6144"/>
      <c r="BC77" s="6145"/>
      <c r="BD77" s="6146"/>
      <c r="BE77" s="5981"/>
      <c r="BF77" s="6147"/>
      <c r="BG77" s="6148"/>
      <c r="BH77" s="6149"/>
      <c r="BI77" s="6150"/>
      <c r="BJ77" s="6151"/>
      <c r="BK77" s="6152"/>
      <c r="BL77" s="6153"/>
      <c r="BM77" s="6154"/>
      <c r="BN77" s="6155"/>
      <c r="BO77" s="6156"/>
      <c r="BP77" s="6157"/>
      <c r="BQ77" s="6158"/>
      <c r="BR77" s="6159"/>
      <c r="BS77" s="6069"/>
      <c r="BT77" s="6160"/>
      <c r="BU77" s="6161"/>
      <c r="BV77" s="6162" t="s">
        <v>36</v>
      </c>
      <c r="BW77" s="6163"/>
      <c r="BX77" s="5967"/>
      <c r="BY77" s="6164" t="s">
        <v>38</v>
      </c>
      <c r="BZ77" s="6165"/>
      <c r="CA77" s="6158"/>
      <c r="CB77" s="6166"/>
      <c r="CC77" s="6167"/>
      <c r="CD77" s="6168"/>
      <c r="CE77" s="6169"/>
      <c r="CF77" s="6170"/>
      <c r="CG77" s="6171"/>
      <c r="CH77" s="6172"/>
      <c r="CI77" s="6173"/>
      <c r="CJ77" s="6174"/>
      <c r="CK77" s="6175"/>
      <c r="CL77" s="6176"/>
      <c r="CM77" s="6177"/>
      <c r="CN77" s="6178"/>
      <c r="CO77" s="6179"/>
      <c r="CP77" s="6180"/>
    </row>
    <row r="78" spans="1:94">
      <c r="A78" s="6181"/>
      <c r="B78" s="6182"/>
      <c r="C78" s="6183"/>
      <c r="D78" s="6184"/>
      <c r="E78" s="6185"/>
      <c r="F78" s="6186"/>
      <c r="G78" s="6187"/>
      <c r="H78" s="6188"/>
      <c r="I78" s="6189"/>
      <c r="J78" s="6190"/>
      <c r="K78" s="6191"/>
      <c r="L78" s="6192"/>
      <c r="M78" s="6193"/>
      <c r="N78" s="6194"/>
      <c r="O78" s="6195"/>
      <c r="P78" s="6196"/>
      <c r="Q78" s="6197"/>
      <c r="R78" s="6198"/>
      <c r="S78" s="6199"/>
      <c r="T78" s="6200"/>
      <c r="U78" s="6201" t="s">
        <v>36</v>
      </c>
      <c r="V78" s="6202"/>
      <c r="W78" s="6203"/>
      <c r="X78" s="6204"/>
      <c r="Y78" s="6205"/>
      <c r="Z78" s="6206"/>
      <c r="AA78" s="6207"/>
      <c r="AB78" s="6208"/>
      <c r="AC78" s="6209"/>
      <c r="AD78" s="6122"/>
      <c r="AE78" s="6210"/>
      <c r="AF78" s="6211"/>
      <c r="AG78" s="6119"/>
      <c r="AH78" s="6212"/>
      <c r="AI78" s="6213"/>
      <c r="AJ78" s="6214"/>
      <c r="AK78" s="6215"/>
      <c r="AL78" s="6216"/>
      <c r="AM78" s="6217"/>
      <c r="AN78" s="6218"/>
      <c r="AO78" s="6219"/>
      <c r="AP78" s="6220"/>
      <c r="AQ78" s="6221"/>
      <c r="AR78" s="6222"/>
      <c r="AS78" s="6223"/>
      <c r="AT78" s="6224"/>
      <c r="AU78" s="6225"/>
      <c r="AV78" s="6226"/>
      <c r="AW78" s="6227"/>
      <c r="AX78" s="6228"/>
      <c r="AY78" s="6229"/>
      <c r="AZ78" s="6230"/>
      <c r="BA78" s="6231" t="s">
        <v>38</v>
      </c>
      <c r="BB78" s="6232"/>
      <c r="BC78" s="6233"/>
      <c r="BD78" s="6234"/>
      <c r="BE78" s="6235"/>
      <c r="BF78" s="6236"/>
      <c r="BG78" s="6237"/>
      <c r="BH78" s="6238"/>
      <c r="BI78" s="6239"/>
      <c r="BJ78" s="6240"/>
      <c r="BK78" s="6241"/>
      <c r="BL78" s="6242"/>
      <c r="BM78" s="6243"/>
      <c r="BN78" s="6244"/>
      <c r="BO78" s="6245"/>
      <c r="BP78" s="6246"/>
      <c r="BQ78" s="6247"/>
      <c r="BR78" s="6248"/>
      <c r="BS78" s="6249"/>
      <c r="BT78" s="6250"/>
      <c r="BU78" s="6251"/>
      <c r="BV78" s="6252" t="s">
        <v>36</v>
      </c>
      <c r="BW78" s="6253"/>
      <c r="BX78" s="6254"/>
      <c r="BY78" s="6255" t="s">
        <v>38</v>
      </c>
      <c r="BZ78" s="6256"/>
      <c r="CA78" s="6257"/>
      <c r="CB78" s="6258"/>
      <c r="CC78" s="6259"/>
      <c r="CD78" s="6260"/>
      <c r="CE78" s="6261"/>
      <c r="CF78" s="6262"/>
      <c r="CG78" s="6263"/>
      <c r="CH78" s="6264"/>
      <c r="CI78" s="6265"/>
      <c r="CJ78" s="6266"/>
      <c r="CK78" s="6266"/>
      <c r="CL78" s="6267"/>
      <c r="CM78" s="6268"/>
      <c r="CN78" s="6269"/>
      <c r="CO78" s="6270"/>
      <c r="CP78" s="6271"/>
    </row>
    <row r="79" spans="1:94">
      <c r="A79" s="6272"/>
      <c r="B79" s="6273"/>
      <c r="C79" s="6274"/>
      <c r="D79" s="6275"/>
      <c r="E79" s="6276"/>
      <c r="F79" s="6277"/>
      <c r="G79" s="6278"/>
      <c r="H79" s="6279"/>
      <c r="I79" s="6280"/>
      <c r="J79" s="6281"/>
      <c r="K79" s="6282"/>
      <c r="L79" s="6283"/>
      <c r="M79" s="6284"/>
      <c r="N79" s="6285"/>
      <c r="O79" s="6286"/>
      <c r="P79" s="6287"/>
      <c r="Q79" s="6288"/>
      <c r="R79" s="6289"/>
      <c r="S79" s="6290"/>
      <c r="T79" s="6291"/>
      <c r="U79" s="6292" t="s">
        <v>36</v>
      </c>
      <c r="V79" s="6293"/>
      <c r="W79" s="6294"/>
      <c r="X79" s="6295"/>
      <c r="Y79" s="6296"/>
      <c r="Z79" s="6297"/>
      <c r="AA79" s="6298"/>
      <c r="AB79" s="6299"/>
      <c r="AC79" s="6300"/>
      <c r="AD79" s="6301"/>
      <c r="AE79" s="6302"/>
      <c r="AF79" s="6303"/>
      <c r="AG79" s="6304"/>
      <c r="AH79" s="6305"/>
      <c r="AI79" s="6306"/>
      <c r="AJ79" s="6307"/>
      <c r="AK79" s="6308"/>
      <c r="AL79" s="6309"/>
      <c r="AM79" s="6310"/>
      <c r="AN79" s="6311"/>
      <c r="AO79" s="5959"/>
      <c r="AP79" s="6312"/>
      <c r="AQ79" s="6309"/>
      <c r="AR79" s="6313"/>
      <c r="AS79" s="6314"/>
      <c r="AT79" s="6315"/>
      <c r="AU79" s="4864"/>
      <c r="AV79" s="6316"/>
      <c r="AW79" s="6317"/>
      <c r="AX79" s="6318"/>
      <c r="AY79" s="6319"/>
      <c r="AZ79" s="6320"/>
      <c r="BA79" s="6321" t="s">
        <v>38</v>
      </c>
      <c r="BB79" s="6322"/>
      <c r="BC79" s="6323"/>
      <c r="BD79" s="6234"/>
      <c r="BE79" s="6324"/>
      <c r="BF79" s="6325"/>
      <c r="BG79" s="6326"/>
      <c r="BH79" s="6327"/>
      <c r="BI79" s="6328"/>
      <c r="BJ79" s="6329"/>
      <c r="BK79" s="6330"/>
      <c r="BL79" s="6331"/>
      <c r="BM79" s="6332"/>
      <c r="BN79" s="6333"/>
      <c r="BO79" s="6334"/>
      <c r="BP79" s="6335"/>
      <c r="BQ79" s="6336"/>
      <c r="BR79" s="5799"/>
      <c r="BS79" s="6337"/>
      <c r="BT79" s="5967"/>
      <c r="BU79" s="6338"/>
      <c r="BV79" s="6339" t="s">
        <v>36</v>
      </c>
      <c r="BW79" s="6340"/>
      <c r="BX79" s="6338"/>
      <c r="BY79" s="6341" t="s">
        <v>38</v>
      </c>
      <c r="BZ79" s="6342"/>
      <c r="CA79" s="6343"/>
      <c r="CB79" s="6344"/>
      <c r="CC79" s="6345"/>
      <c r="CD79" s="6346"/>
      <c r="CE79" s="6347"/>
      <c r="CF79" s="6348"/>
      <c r="CG79" s="6349"/>
      <c r="CH79" s="6350"/>
      <c r="CI79" s="6351"/>
      <c r="CJ79" s="5829"/>
      <c r="CK79" s="6352"/>
      <c r="CL79" s="6353"/>
      <c r="CM79" s="6354"/>
      <c r="CN79" s="6355"/>
      <c r="CO79" s="6356"/>
      <c r="CP79" s="6357"/>
    </row>
    <row r="80" spans="1:94">
      <c r="A80" s="6358"/>
      <c r="B80" s="6359"/>
      <c r="C80" s="6360"/>
      <c r="D80" s="6361"/>
      <c r="E80" s="6362"/>
      <c r="F80" s="6363"/>
      <c r="G80" s="6364"/>
      <c r="H80" s="6365"/>
      <c r="I80" s="6366"/>
      <c r="J80" s="6367"/>
      <c r="K80" s="6368"/>
      <c r="L80" s="6369"/>
      <c r="M80" s="6370"/>
      <c r="N80" s="6371"/>
      <c r="O80" s="6372"/>
      <c r="P80" s="6373"/>
      <c r="Q80" s="6374"/>
      <c r="R80" s="6375"/>
      <c r="S80" s="6376"/>
      <c r="T80" s="6377"/>
      <c r="U80" s="6378" t="s">
        <v>36</v>
      </c>
      <c r="V80" s="6379"/>
      <c r="W80" s="6380"/>
      <c r="X80" s="6381"/>
      <c r="Y80" s="6382"/>
      <c r="Z80" s="6383"/>
      <c r="AA80" s="6384"/>
      <c r="AB80" s="6385"/>
      <c r="AC80" s="6386"/>
      <c r="AD80" s="6387"/>
      <c r="AE80" s="6388"/>
      <c r="AF80" s="6389"/>
      <c r="AG80" s="6052"/>
      <c r="AH80" s="6390"/>
      <c r="AI80" s="6391"/>
      <c r="AJ80" s="6392"/>
      <c r="AK80" s="6218"/>
      <c r="AL80" s="6393"/>
      <c r="AM80" s="6394"/>
      <c r="AN80" s="6395"/>
      <c r="AO80" s="6396"/>
      <c r="AP80" s="5875"/>
      <c r="AQ80" s="6397"/>
      <c r="AR80" s="6398"/>
      <c r="AS80" s="6399"/>
      <c r="AT80" s="6400"/>
      <c r="AU80" s="6401"/>
      <c r="AV80" s="6402"/>
      <c r="AW80" s="6403"/>
      <c r="AX80" s="6404"/>
      <c r="AY80" s="5966"/>
      <c r="AZ80" s="6405"/>
      <c r="BA80" s="6406" t="s">
        <v>38</v>
      </c>
      <c r="BB80" s="6407"/>
      <c r="BC80" s="6408"/>
      <c r="BD80" s="6409"/>
      <c r="BE80" s="6410"/>
      <c r="BF80" s="6411"/>
      <c r="BG80" s="6412"/>
      <c r="BH80" s="6413"/>
      <c r="BI80" s="6414"/>
      <c r="BJ80" s="6415"/>
      <c r="BK80" s="6416"/>
      <c r="BL80" s="6417"/>
      <c r="BM80" s="6418"/>
      <c r="BN80" s="6419"/>
      <c r="BO80" s="6420"/>
      <c r="BP80" s="6421"/>
      <c r="BQ80" s="6422"/>
      <c r="BR80" s="5969"/>
      <c r="BS80" s="5969"/>
      <c r="BT80" s="6423"/>
      <c r="BU80" s="6424"/>
      <c r="BV80" s="6425" t="s">
        <v>36</v>
      </c>
      <c r="BW80" s="6426"/>
      <c r="BX80" s="6427"/>
      <c r="BY80" s="6428" t="s">
        <v>38</v>
      </c>
      <c r="BZ80" s="6429"/>
      <c r="CA80" s="6430"/>
      <c r="CB80" s="6431"/>
      <c r="CC80" s="6431"/>
      <c r="CD80" s="6432"/>
      <c r="CE80" s="6433"/>
      <c r="CF80" s="6434"/>
      <c r="CG80" s="6435"/>
      <c r="CH80" s="6436"/>
      <c r="CI80" s="6437"/>
      <c r="CJ80" s="6438"/>
      <c r="CK80" s="6439"/>
      <c r="CL80" s="6440"/>
      <c r="CM80" s="6441"/>
      <c r="CN80" s="6442"/>
      <c r="CO80" s="6443"/>
      <c r="CP80" s="6444"/>
    </row>
    <row r="81" spans="1:94">
      <c r="A81" s="6445"/>
      <c r="B81" s="6446"/>
      <c r="C81" s="6447"/>
      <c r="D81" s="6448"/>
      <c r="E81" s="6449"/>
      <c r="F81" s="6450"/>
      <c r="G81" s="6451"/>
      <c r="H81" s="6452"/>
      <c r="I81" s="6453"/>
      <c r="J81" s="6454"/>
      <c r="K81" s="6455"/>
      <c r="L81" s="6456"/>
      <c r="M81" s="6445"/>
      <c r="N81" s="6457"/>
      <c r="O81" s="6458"/>
      <c r="P81" s="6459"/>
      <c r="Q81" s="6460"/>
      <c r="R81" s="6461"/>
      <c r="S81" s="6462" t="s">
        <v>36</v>
      </c>
      <c r="T81" s="6463" t="s">
        <v>40</v>
      </c>
      <c r="U81" s="6464" t="s">
        <v>40</v>
      </c>
      <c r="V81" s="6465"/>
      <c r="W81" s="6466"/>
      <c r="X81" s="6467"/>
      <c r="Y81" s="6468"/>
      <c r="Z81" s="6469"/>
      <c r="AA81" s="6470"/>
      <c r="AB81" s="6471"/>
      <c r="AC81" s="6472"/>
      <c r="AD81" s="6473"/>
      <c r="AE81" s="6474"/>
      <c r="AF81" s="6475"/>
      <c r="AG81" s="6476"/>
      <c r="AH81" s="6477"/>
      <c r="AI81" s="6478"/>
      <c r="AJ81" s="6479"/>
      <c r="AK81" s="6480"/>
      <c r="AL81" s="6481"/>
      <c r="AM81" s="6482"/>
      <c r="AN81" s="6483"/>
      <c r="AO81" s="6484"/>
      <c r="AP81" s="6485"/>
      <c r="AQ81" s="6486"/>
      <c r="AR81" s="6487"/>
      <c r="AS81" s="6488"/>
      <c r="AT81" s="6489"/>
      <c r="AU81" s="6490"/>
      <c r="AV81" s="6491"/>
      <c r="AW81" s="6492"/>
      <c r="AX81" s="6493"/>
      <c r="AY81" s="6494"/>
      <c r="AZ81" s="6495"/>
      <c r="BA81" s="6496" t="s">
        <v>38</v>
      </c>
      <c r="BB81" s="6497"/>
      <c r="BC81" s="6498"/>
      <c r="BD81" s="6499"/>
      <c r="BE81" s="6500"/>
      <c r="BF81" s="6501"/>
      <c r="BG81" s="6502"/>
      <c r="BH81" s="6503"/>
      <c r="BI81" s="6504"/>
      <c r="BJ81" s="6505"/>
      <c r="BK81" s="6506"/>
      <c r="BL81" s="6507"/>
      <c r="BM81" s="6508"/>
      <c r="BN81" s="6509"/>
      <c r="BO81" s="6510"/>
      <c r="BP81" s="6511"/>
      <c r="BQ81" s="6512"/>
      <c r="BR81" s="6513"/>
      <c r="BS81" s="6514"/>
      <c r="BT81" s="6515"/>
      <c r="BU81" s="6516"/>
      <c r="BV81" s="6517" t="s">
        <v>36</v>
      </c>
      <c r="BW81" s="6518"/>
      <c r="BX81" s="6519"/>
      <c r="BY81" s="6520" t="s">
        <v>38</v>
      </c>
      <c r="BZ81" s="6521"/>
      <c r="CA81" s="6522"/>
      <c r="CB81" s="5812"/>
      <c r="CC81" s="6523"/>
      <c r="CD81" s="6524"/>
      <c r="CE81" s="6525"/>
      <c r="CF81" s="6526"/>
      <c r="CG81" s="6527"/>
      <c r="CH81" s="6528"/>
      <c r="CI81" s="6529"/>
      <c r="CJ81" s="6530"/>
      <c r="CK81" s="6531"/>
      <c r="CL81" s="6532"/>
      <c r="CM81" s="6533"/>
      <c r="CN81" s="6534"/>
      <c r="CO81" s="6535"/>
      <c r="CP81" s="6536"/>
    </row>
    <row r="82" spans="1:94">
      <c r="A82" s="6537"/>
      <c r="B82" s="6538"/>
      <c r="C82" s="6539"/>
      <c r="D82" s="6540"/>
      <c r="E82" s="6541"/>
      <c r="F82" s="6542"/>
      <c r="G82" s="6543"/>
      <c r="H82" s="6544"/>
      <c r="I82" s="6545"/>
      <c r="J82" s="6546"/>
      <c r="K82" s="6547"/>
      <c r="L82" s="6548"/>
      <c r="M82" s="6549"/>
      <c r="N82" s="6550"/>
      <c r="O82" s="5633"/>
      <c r="P82" s="6551"/>
      <c r="Q82" s="6552"/>
      <c r="R82" s="6553"/>
      <c r="S82" s="6554" t="s">
        <v>36</v>
      </c>
      <c r="T82" s="6555"/>
      <c r="U82" s="6556"/>
      <c r="V82" s="6557"/>
      <c r="W82" s="6558"/>
      <c r="X82" s="6559"/>
      <c r="Y82" s="6560"/>
      <c r="Z82" s="6561"/>
      <c r="AA82" s="6562"/>
      <c r="AB82" s="6563"/>
      <c r="AC82" s="6564"/>
      <c r="AD82" s="6565"/>
      <c r="AE82" s="6566"/>
      <c r="AF82" s="6567"/>
      <c r="AG82" s="6568"/>
      <c r="AH82" s="6569"/>
      <c r="AI82" s="6570"/>
      <c r="AJ82" s="6571"/>
      <c r="AK82" s="6572"/>
      <c r="AL82" s="6573"/>
      <c r="AM82" s="6574"/>
      <c r="AN82" s="6575"/>
      <c r="AO82" s="6576"/>
      <c r="AP82" s="6577"/>
      <c r="AQ82" s="6578"/>
      <c r="AR82" s="6579"/>
      <c r="AS82" s="6580"/>
      <c r="AT82" s="6581"/>
      <c r="AU82" s="6582"/>
      <c r="AV82" s="6583"/>
      <c r="AW82" s="6584"/>
      <c r="AX82" s="6585"/>
      <c r="AY82" s="6586"/>
      <c r="AZ82" s="6587"/>
      <c r="BA82" s="6588" t="s">
        <v>38</v>
      </c>
      <c r="BB82" s="6589"/>
      <c r="BC82" s="6590"/>
      <c r="BD82" s="6591"/>
      <c r="BE82" s="6592"/>
      <c r="BF82" s="6593"/>
      <c r="BG82" s="6594"/>
      <c r="BH82" s="6595"/>
      <c r="BI82" s="6596"/>
      <c r="BJ82" s="6597"/>
      <c r="BK82" s="6598"/>
      <c r="BL82" s="6599"/>
      <c r="BM82" s="6600"/>
      <c r="BN82" s="6601"/>
      <c r="BO82" s="6602"/>
      <c r="BP82" s="6603"/>
      <c r="BQ82" s="6604"/>
      <c r="BR82" s="6605"/>
      <c r="BS82" s="6606"/>
      <c r="BT82" s="6607"/>
      <c r="BU82" s="6608"/>
      <c r="BV82" s="6609" t="s">
        <v>36</v>
      </c>
      <c r="BW82" s="6610"/>
      <c r="BX82" s="6611"/>
      <c r="BY82" s="6612" t="s">
        <v>38</v>
      </c>
      <c r="BZ82" s="6613"/>
      <c r="CA82" s="6614"/>
      <c r="CB82" s="6615"/>
      <c r="CC82" s="6616"/>
      <c r="CD82" s="6617"/>
      <c r="CE82" s="6618"/>
      <c r="CF82" s="6619"/>
      <c r="CG82" s="6620"/>
      <c r="CH82" s="6621"/>
      <c r="CI82" s="6622"/>
      <c r="CJ82" s="6623"/>
      <c r="CK82" s="6624"/>
      <c r="CL82" s="6625"/>
      <c r="CM82" s="6626"/>
      <c r="CN82" s="6627"/>
      <c r="CO82" s="6628"/>
      <c r="CP82" s="6629"/>
    </row>
    <row r="83" spans="1:94">
      <c r="A83" s="6630"/>
      <c r="B83" s="6631"/>
      <c r="C83" s="6632"/>
      <c r="D83" s="6633"/>
      <c r="E83" s="6634"/>
      <c r="F83" s="6635"/>
      <c r="G83" s="6636"/>
      <c r="H83" s="6637"/>
      <c r="I83" s="6638"/>
      <c r="J83" s="6639"/>
      <c r="K83" s="6640"/>
      <c r="L83" s="6641"/>
      <c r="M83" s="6642"/>
      <c r="N83" s="6643"/>
      <c r="O83" s="6644"/>
      <c r="P83" s="6645"/>
      <c r="Q83" s="6646"/>
      <c r="R83" s="6647"/>
      <c r="S83" s="6648" t="s">
        <v>36</v>
      </c>
      <c r="T83" s="6649"/>
      <c r="U83" s="6650"/>
      <c r="V83" s="6651"/>
      <c r="W83" s="6652"/>
      <c r="X83" s="6653"/>
      <c r="Y83" s="6654"/>
      <c r="Z83" s="6655"/>
      <c r="AA83" s="6656"/>
      <c r="AB83" s="6657"/>
      <c r="AC83" s="6658"/>
      <c r="AD83" s="6659"/>
      <c r="AE83" s="6660"/>
      <c r="AF83" s="6661"/>
      <c r="AG83" s="6662"/>
      <c r="AH83" s="6663"/>
      <c r="AI83" s="6664"/>
      <c r="AJ83" s="6665"/>
      <c r="AK83" s="6666"/>
      <c r="AL83" s="6667"/>
      <c r="AM83" s="6668"/>
      <c r="AN83" s="6669"/>
      <c r="AO83" s="6576"/>
      <c r="AP83" s="6485"/>
      <c r="AQ83" s="6670"/>
      <c r="AR83" s="6671"/>
      <c r="AS83" s="6672"/>
      <c r="AT83" s="6673"/>
      <c r="AU83" s="6674"/>
      <c r="AV83" s="6675"/>
      <c r="AW83" s="5629"/>
      <c r="AX83" s="6676"/>
      <c r="AY83" s="6677"/>
      <c r="AZ83" s="6678"/>
      <c r="BA83" s="6679" t="s">
        <v>38</v>
      </c>
      <c r="BB83" s="6680"/>
      <c r="BC83" s="6681"/>
      <c r="BD83" s="6682"/>
      <c r="BE83" s="6683"/>
      <c r="BF83" s="6684"/>
      <c r="BG83" s="6685"/>
      <c r="BH83" s="6686"/>
      <c r="BI83" s="6687"/>
      <c r="BJ83" s="6688"/>
      <c r="BK83" s="6689"/>
      <c r="BL83" s="6690"/>
      <c r="BM83" s="6691"/>
      <c r="BN83" s="6692"/>
      <c r="BO83" s="6693"/>
      <c r="BP83" s="6694"/>
      <c r="BQ83" s="6695"/>
      <c r="BR83" s="6696"/>
      <c r="BS83" s="6697"/>
      <c r="BT83" s="6698"/>
      <c r="BU83" s="6699"/>
      <c r="BV83" s="6700" t="s">
        <v>36</v>
      </c>
      <c r="BW83" s="6701"/>
      <c r="BX83" s="6702"/>
      <c r="BY83" s="6703" t="s">
        <v>38</v>
      </c>
      <c r="BZ83" s="6704"/>
      <c r="CA83" s="6705"/>
      <c r="CB83" s="6706"/>
      <c r="CC83" s="6707"/>
      <c r="CD83" s="6708"/>
      <c r="CE83" s="6709"/>
      <c r="CF83" s="6710"/>
      <c r="CG83" s="6711"/>
      <c r="CH83" s="6712"/>
      <c r="CI83" s="6713"/>
      <c r="CJ83" s="6714"/>
      <c r="CK83" s="6715"/>
      <c r="CL83" s="6716"/>
      <c r="CM83" s="6717"/>
      <c r="CN83" s="6718"/>
      <c r="CO83" s="6719"/>
      <c r="CP83" s="6720"/>
    </row>
    <row r="84" spans="1:94">
      <c r="A84" s="6721"/>
      <c r="B84" s="6722"/>
      <c r="C84" s="6723"/>
      <c r="D84" s="6724"/>
      <c r="E84" s="6725"/>
      <c r="F84" s="6726"/>
      <c r="G84" s="6727"/>
      <c r="H84" s="6728"/>
      <c r="I84" s="6729"/>
      <c r="J84" s="6730"/>
      <c r="K84" s="6731"/>
      <c r="L84" s="6732"/>
      <c r="M84" s="6733"/>
      <c r="N84" s="6734"/>
      <c r="O84" s="6735"/>
      <c r="P84" s="6736"/>
      <c r="Q84" s="6737"/>
      <c r="R84" s="6738"/>
      <c r="S84" s="6739" t="s">
        <v>36</v>
      </c>
      <c r="T84" s="6740"/>
      <c r="U84" s="6386"/>
      <c r="V84" s="6741"/>
      <c r="W84" s="6742"/>
      <c r="X84" s="6743"/>
      <c r="Y84" s="6744"/>
      <c r="Z84" s="6745"/>
      <c r="AA84" s="6746"/>
      <c r="AB84" s="6747"/>
      <c r="AC84" s="6748"/>
      <c r="AD84" s="6749"/>
      <c r="AE84" s="6750"/>
      <c r="AF84" s="6751"/>
      <c r="AG84" s="6752"/>
      <c r="AH84" s="6753"/>
      <c r="AI84" s="6754"/>
      <c r="AJ84" s="6755"/>
      <c r="AK84" s="6756"/>
      <c r="AL84" s="6757"/>
      <c r="AM84" s="6758"/>
      <c r="AN84" s="6119"/>
      <c r="AO84" s="6759"/>
      <c r="AP84" s="5960"/>
      <c r="AQ84" s="6760"/>
      <c r="AR84" s="6761"/>
      <c r="AS84" s="6762"/>
      <c r="AT84" s="6763"/>
      <c r="AU84" s="5544"/>
      <c r="AV84" s="6764"/>
      <c r="AW84" s="6765"/>
      <c r="AX84" s="6766"/>
      <c r="AY84" s="6767"/>
      <c r="AZ84" s="6768"/>
      <c r="BA84" s="6769" t="s">
        <v>38</v>
      </c>
      <c r="BB84" s="6770"/>
      <c r="BC84" s="6771"/>
      <c r="BD84" s="6772"/>
      <c r="BE84" s="6773"/>
      <c r="BF84" s="6774"/>
      <c r="BG84" s="6775"/>
      <c r="BH84" s="6776"/>
      <c r="BI84" s="6777"/>
      <c r="BJ84" s="6778"/>
      <c r="BK84" s="6779"/>
      <c r="BL84" s="6780"/>
      <c r="BM84" s="5728"/>
      <c r="BN84" s="6781"/>
      <c r="BO84" s="6782"/>
      <c r="BP84" s="6783"/>
      <c r="BQ84" s="6784"/>
      <c r="BR84" s="6785"/>
      <c r="BS84" s="6786"/>
      <c r="BT84" s="6787"/>
      <c r="BU84" s="6788"/>
      <c r="BV84" s="6789" t="s">
        <v>36</v>
      </c>
      <c r="BW84" s="6790"/>
      <c r="BX84" s="6791"/>
      <c r="BY84" s="6792" t="s">
        <v>38</v>
      </c>
      <c r="BZ84" s="6793"/>
      <c r="CA84" s="6794"/>
      <c r="CB84" s="6795"/>
      <c r="CC84" s="6796"/>
      <c r="CD84" s="6797"/>
      <c r="CE84" s="6798"/>
      <c r="CF84" s="6799"/>
      <c r="CG84" s="6800"/>
      <c r="CH84" s="6801"/>
      <c r="CI84" s="6802"/>
      <c r="CJ84" s="6803"/>
      <c r="CK84" s="6804"/>
      <c r="CL84" s="6805"/>
      <c r="CM84" s="6806"/>
      <c r="CN84" s="6807"/>
      <c r="CO84" s="6808"/>
      <c r="CP84" s="6809"/>
    </row>
    <row r="85" spans="1:94">
      <c r="A85" s="6810"/>
      <c r="B85" s="6811"/>
      <c r="C85" s="6812"/>
      <c r="D85" s="6813"/>
      <c r="E85" s="6814"/>
      <c r="F85" s="6815"/>
      <c r="G85" s="6816"/>
      <c r="H85" s="6817"/>
      <c r="I85" s="6818"/>
      <c r="J85" s="6819"/>
      <c r="K85" s="6820"/>
      <c r="L85" s="6821"/>
      <c r="M85" s="6822"/>
      <c r="N85" s="6823"/>
      <c r="O85" s="6824"/>
      <c r="P85" s="6825"/>
      <c r="Q85" s="6826"/>
      <c r="R85" s="6827"/>
      <c r="S85" s="6828" t="s">
        <v>36</v>
      </c>
      <c r="T85" s="6829"/>
      <c r="U85" s="6830"/>
      <c r="V85" s="6831"/>
      <c r="W85" s="6832"/>
      <c r="X85" s="6833"/>
      <c r="Y85" s="6834"/>
      <c r="Z85" s="6835"/>
      <c r="AA85" s="1984"/>
      <c r="AB85" s="6836"/>
      <c r="AC85" s="6837"/>
      <c r="AD85" s="6838"/>
      <c r="AE85" s="6839"/>
      <c r="AF85" s="6840"/>
      <c r="AG85" s="6841"/>
      <c r="AH85" s="6842"/>
      <c r="AI85" s="6843"/>
      <c r="AJ85" s="6844"/>
      <c r="AK85" s="6845"/>
      <c r="AL85" s="6846"/>
      <c r="AM85" s="6847"/>
      <c r="AN85" s="6848"/>
      <c r="AO85" s="6395"/>
      <c r="AP85" s="6849"/>
      <c r="AQ85" s="6850"/>
      <c r="AR85" s="6851"/>
      <c r="AS85" s="6852"/>
      <c r="AT85" s="6853"/>
      <c r="AU85" s="6854"/>
      <c r="AV85" s="6855"/>
      <c r="AW85" s="6856"/>
      <c r="AX85" s="6857"/>
      <c r="AY85" s="6858"/>
      <c r="AZ85" s="6859"/>
      <c r="BA85" s="6860" t="s">
        <v>38</v>
      </c>
      <c r="BB85" s="6861"/>
      <c r="BC85" s="6862"/>
      <c r="BD85" s="6863"/>
      <c r="BE85" s="6864"/>
      <c r="BF85" s="6865"/>
      <c r="BG85" s="6866"/>
      <c r="BH85" s="6867"/>
      <c r="BI85" s="6868"/>
      <c r="BJ85" s="6869"/>
      <c r="BK85" s="6870"/>
      <c r="BL85" s="6871"/>
      <c r="BM85" s="6872"/>
      <c r="BN85" s="6873"/>
      <c r="BO85" s="6874"/>
      <c r="BP85" s="6875"/>
      <c r="BQ85" s="6876"/>
      <c r="BR85" s="6877"/>
      <c r="BS85" s="6878"/>
      <c r="BT85" s="6879"/>
      <c r="BU85" s="6880"/>
      <c r="BV85" s="6881" t="s">
        <v>36</v>
      </c>
      <c r="BW85" s="6882"/>
      <c r="BX85" s="6883"/>
      <c r="BY85" s="6884" t="s">
        <v>38</v>
      </c>
      <c r="BZ85" s="6885"/>
      <c r="CA85" s="6886"/>
      <c r="CB85" s="6887"/>
      <c r="CC85" s="6888"/>
      <c r="CD85" s="6889"/>
      <c r="CE85" s="6890"/>
      <c r="CF85" s="6891"/>
      <c r="CG85" s="6892"/>
      <c r="CH85" s="6893"/>
      <c r="CI85" s="6894"/>
      <c r="CJ85" s="6895"/>
      <c r="CK85" s="6896"/>
      <c r="CL85" s="6897"/>
      <c r="CM85" s="6898"/>
      <c r="CN85" s="6899"/>
      <c r="CO85" s="6900"/>
      <c r="CP85" s="6901"/>
    </row>
    <row r="86" spans="1:94">
      <c r="A86" s="6902"/>
      <c r="B86" s="6903"/>
      <c r="C86" s="6904"/>
      <c r="D86" s="6905"/>
      <c r="E86" s="6906"/>
      <c r="F86" s="6907"/>
      <c r="G86" s="6908"/>
      <c r="H86" s="6909"/>
      <c r="I86" s="6910"/>
      <c r="J86" s="6911"/>
      <c r="K86" s="6912"/>
      <c r="L86" s="6913"/>
      <c r="M86" s="6914"/>
      <c r="N86" s="6915"/>
      <c r="O86" s="6916"/>
      <c r="P86" s="6917"/>
      <c r="Q86" s="6918"/>
      <c r="R86" s="6919"/>
      <c r="S86" s="6920" t="s">
        <v>36</v>
      </c>
      <c r="T86" s="6921"/>
      <c r="U86" s="6922"/>
      <c r="V86" s="6923"/>
      <c r="W86" s="6924"/>
      <c r="X86" s="6925"/>
      <c r="Y86" s="6926"/>
      <c r="Z86" s="6927"/>
      <c r="AA86" s="6928"/>
      <c r="AB86" s="6929"/>
      <c r="AC86" s="6930"/>
      <c r="AD86" s="6931"/>
      <c r="AE86" s="6932"/>
      <c r="AF86" s="6933"/>
      <c r="AG86" s="6934"/>
      <c r="AH86" s="6935"/>
      <c r="AI86" s="5145"/>
      <c r="AJ86" s="6676"/>
      <c r="AK86" s="6936"/>
      <c r="AL86" s="6937"/>
      <c r="AM86" s="6938"/>
      <c r="AN86" s="6939"/>
      <c r="AO86" s="6940"/>
      <c r="AP86" s="6941"/>
      <c r="AQ86" s="6942"/>
      <c r="AR86" s="5739"/>
      <c r="AS86" s="6943"/>
      <c r="AT86" s="6944"/>
      <c r="AU86" s="6945"/>
      <c r="AV86" s="6946"/>
      <c r="AW86" s="6947"/>
      <c r="AX86" s="6948"/>
      <c r="AY86" s="6949"/>
      <c r="AZ86" s="6950"/>
      <c r="BA86" s="6951" t="s">
        <v>38</v>
      </c>
      <c r="BB86" s="6952"/>
      <c r="BC86" s="6953"/>
      <c r="BD86" s="6954"/>
      <c r="BE86" s="6955"/>
      <c r="BF86" s="6956"/>
      <c r="BG86" s="6957"/>
      <c r="BH86" s="6958"/>
      <c r="BI86" s="6959"/>
      <c r="BJ86" s="6960"/>
      <c r="BK86" s="6961"/>
      <c r="BL86" s="6962"/>
      <c r="BM86" s="6963"/>
      <c r="BN86" s="6964"/>
      <c r="BO86" s="6965"/>
      <c r="BP86" s="6966"/>
      <c r="BQ86" s="6967"/>
      <c r="BR86" s="6968"/>
      <c r="BS86" s="6969"/>
      <c r="BT86" s="6970"/>
      <c r="BU86" s="6971"/>
      <c r="BV86" s="6972" t="s">
        <v>36</v>
      </c>
      <c r="BW86" s="6973"/>
      <c r="BX86" s="6974"/>
      <c r="BY86" s="6975" t="s">
        <v>38</v>
      </c>
      <c r="BZ86" s="6976"/>
      <c r="CA86" s="6977"/>
      <c r="CB86" s="6978"/>
      <c r="CC86" s="6979"/>
      <c r="CD86" s="6980"/>
      <c r="CE86" s="6981"/>
      <c r="CF86" s="6982"/>
      <c r="CG86" s="6983"/>
      <c r="CH86" s="6984"/>
      <c r="CI86" s="6985"/>
      <c r="CJ86" s="6986"/>
      <c r="CK86" s="6987"/>
      <c r="CL86" s="6988"/>
      <c r="CM86" s="6989"/>
      <c r="CN86" s="6990"/>
      <c r="CO86" s="6991"/>
      <c r="CP86" s="6992"/>
    </row>
    <row r="87" spans="1:94">
      <c r="A87" s="6993"/>
      <c r="B87" s="6994"/>
      <c r="C87" s="6995"/>
      <c r="D87" s="6996"/>
      <c r="E87" s="6997"/>
      <c r="F87" s="6998"/>
      <c r="G87" s="6999"/>
      <c r="H87" s="7000"/>
      <c r="I87" s="7001"/>
      <c r="J87" s="7002"/>
      <c r="K87" s="7003"/>
      <c r="L87" s="7004"/>
      <c r="M87" s="6733"/>
      <c r="N87" s="7005"/>
      <c r="O87" s="7006"/>
      <c r="P87" s="7007"/>
      <c r="Q87" s="7008"/>
      <c r="R87" s="7009"/>
      <c r="S87" s="7010" t="s">
        <v>36</v>
      </c>
      <c r="T87" s="7011"/>
      <c r="U87" s="7012"/>
      <c r="V87" s="7013"/>
      <c r="W87" s="7014"/>
      <c r="X87" s="7015"/>
      <c r="Y87" s="7016"/>
      <c r="Z87" s="7017"/>
      <c r="AA87" s="7018"/>
      <c r="AB87" s="7019"/>
      <c r="AC87" s="7020"/>
      <c r="AD87" s="7021"/>
      <c r="AE87" s="7022"/>
      <c r="AF87" s="6941"/>
      <c r="AG87" s="7023"/>
      <c r="AH87" s="6585"/>
      <c r="AI87" s="7024"/>
      <c r="AJ87" s="7025"/>
      <c r="AK87" s="6205"/>
      <c r="AL87" s="7026"/>
      <c r="AM87" s="7027"/>
      <c r="AN87" s="7028"/>
      <c r="AO87" s="7029"/>
      <c r="AP87" s="7030"/>
      <c r="AQ87" s="7031"/>
      <c r="AR87" s="7032"/>
      <c r="AS87" s="7033"/>
      <c r="AT87" s="7034"/>
      <c r="AU87" s="7035"/>
      <c r="AV87" s="7036"/>
      <c r="AW87" s="7037"/>
      <c r="AX87" s="7037"/>
      <c r="AY87" s="7038"/>
      <c r="AZ87" s="7039"/>
      <c r="BA87" s="7040" t="s">
        <v>38</v>
      </c>
      <c r="BB87" s="7041"/>
      <c r="BC87" s="7042"/>
      <c r="BD87" s="7043"/>
      <c r="BE87" s="7044"/>
      <c r="BF87" s="7045"/>
      <c r="BG87" s="7046"/>
      <c r="BH87" s="7047"/>
      <c r="BI87" s="7048"/>
      <c r="BJ87" s="7049"/>
      <c r="BK87" s="7050"/>
      <c r="BL87" s="7051"/>
      <c r="BM87" s="7052"/>
      <c r="BN87" s="7053"/>
      <c r="BO87" s="7054"/>
      <c r="BP87" s="7055"/>
      <c r="BQ87" s="7056"/>
      <c r="BR87" s="7057"/>
      <c r="BS87" s="7058"/>
      <c r="BT87" s="7059"/>
      <c r="BU87" s="7060"/>
      <c r="BV87" s="7061" t="s">
        <v>36</v>
      </c>
      <c r="BW87" s="7062"/>
      <c r="BX87" s="7063"/>
      <c r="BY87" s="7064" t="s">
        <v>38</v>
      </c>
      <c r="BZ87" s="7065"/>
      <c r="CA87" s="7066"/>
      <c r="CB87" s="7067"/>
      <c r="CC87" s="7068"/>
      <c r="CD87" s="7069"/>
      <c r="CE87" s="7070"/>
      <c r="CF87" s="7071"/>
      <c r="CG87" s="7072"/>
      <c r="CH87" s="7073"/>
      <c r="CI87" s="7074"/>
      <c r="CJ87" s="7075"/>
      <c r="CK87" s="7076"/>
      <c r="CL87" s="7077"/>
      <c r="CM87" s="7078"/>
      <c r="CN87" s="7079"/>
      <c r="CO87" s="7080"/>
      <c r="CP87" s="7081"/>
    </row>
    <row r="88" spans="1:94">
      <c r="A88" s="7082"/>
      <c r="B88" s="7083"/>
      <c r="C88" s="7084"/>
      <c r="D88" s="7085"/>
      <c r="E88" s="7086"/>
      <c r="F88" s="7087"/>
      <c r="G88" s="7088"/>
      <c r="H88" s="7089"/>
      <c r="I88" s="7090"/>
      <c r="J88" s="7091"/>
      <c r="K88" s="7092"/>
      <c r="L88" s="7093"/>
      <c r="M88" s="7094"/>
      <c r="N88" s="7095"/>
      <c r="O88" s="7096"/>
      <c r="P88" s="7097"/>
      <c r="Q88" s="7098"/>
      <c r="R88" s="7099"/>
      <c r="S88" s="7100" t="s">
        <v>36</v>
      </c>
      <c r="T88" s="7101"/>
      <c r="U88" s="7102"/>
      <c r="V88" s="7103"/>
      <c r="W88" s="5972"/>
      <c r="X88" s="7104"/>
      <c r="Y88" s="7105"/>
      <c r="Z88" s="6732"/>
      <c r="AA88" s="7106"/>
      <c r="AB88" s="7107"/>
      <c r="AC88" s="7108"/>
      <c r="AD88" s="7109"/>
      <c r="AE88" s="7110"/>
      <c r="AF88" s="7111"/>
      <c r="AG88" s="6122"/>
      <c r="AH88" s="7112"/>
      <c r="AI88" s="7113"/>
      <c r="AJ88" s="7114"/>
      <c r="AK88" s="7115"/>
      <c r="AL88" s="6573"/>
      <c r="AM88" s="7116"/>
      <c r="AN88" s="6650"/>
      <c r="AO88" s="7117"/>
      <c r="AP88" s="7118"/>
      <c r="AQ88" s="7119"/>
      <c r="AR88" s="7120"/>
      <c r="AS88" s="7121"/>
      <c r="AT88" s="7122"/>
      <c r="AU88" s="7123"/>
      <c r="AV88" s="7124"/>
      <c r="AW88" s="7125"/>
      <c r="AX88" s="7126"/>
      <c r="AY88" s="7127"/>
      <c r="AZ88" s="7128"/>
      <c r="BA88" s="7129" t="s">
        <v>38</v>
      </c>
      <c r="BB88" s="7130"/>
      <c r="BC88" s="7131"/>
      <c r="BD88" s="7132"/>
      <c r="BE88" s="7133"/>
      <c r="BF88" s="7134"/>
      <c r="BG88" s="7135"/>
      <c r="BH88" s="7136"/>
      <c r="BI88" s="7137"/>
      <c r="BJ88" s="7138"/>
      <c r="BK88" s="7139"/>
      <c r="BL88" s="7140"/>
      <c r="BM88" s="7141"/>
      <c r="BN88" s="7142"/>
      <c r="BO88" s="7143"/>
      <c r="BP88" s="7144"/>
      <c r="BQ88" s="7145"/>
      <c r="BR88" s="7146"/>
      <c r="BS88" s="7147"/>
      <c r="BT88" s="7148"/>
      <c r="BU88" s="7149"/>
      <c r="BV88" s="7150" t="s">
        <v>36</v>
      </c>
      <c r="BW88" s="7151"/>
      <c r="BX88" s="7152"/>
      <c r="BY88" s="7153" t="s">
        <v>38</v>
      </c>
      <c r="BZ88" s="7154"/>
      <c r="CA88" s="7155"/>
      <c r="CB88" s="7156"/>
      <c r="CC88" s="7157"/>
      <c r="CD88" s="7158"/>
      <c r="CE88" s="7159"/>
      <c r="CF88" s="7160"/>
      <c r="CG88" s="7161"/>
      <c r="CH88" s="7073"/>
      <c r="CI88" s="7162"/>
      <c r="CJ88" s="7163"/>
      <c r="CK88" s="7164"/>
      <c r="CL88" s="7165"/>
      <c r="CM88" s="7166"/>
      <c r="CN88" s="7167"/>
      <c r="CO88" s="7168"/>
      <c r="CP88" s="7169"/>
    </row>
    <row r="89" spans="1:94">
      <c r="A89" s="7170"/>
      <c r="B89" s="7171"/>
      <c r="C89" s="7172"/>
      <c r="D89" s="7173"/>
      <c r="E89" s="7174"/>
      <c r="F89" s="7175"/>
      <c r="G89" s="7176"/>
      <c r="H89" s="7177"/>
      <c r="I89" s="7178"/>
      <c r="J89" s="7179"/>
      <c r="K89" s="7180"/>
      <c r="L89" s="7181"/>
      <c r="M89" s="7182"/>
      <c r="N89" s="7183"/>
      <c r="O89" s="7184"/>
      <c r="P89" s="7185"/>
      <c r="Q89" s="7186"/>
      <c r="R89" s="7187"/>
      <c r="S89" s="3415" t="s">
        <v>36</v>
      </c>
      <c r="T89" s="7188"/>
      <c r="U89" s="7189"/>
      <c r="V89" s="7190"/>
      <c r="W89" s="7191"/>
      <c r="X89" s="7192"/>
      <c r="Y89" s="7193"/>
      <c r="Z89" s="7194"/>
      <c r="AA89" s="7195"/>
      <c r="AB89" s="7196"/>
      <c r="AC89" s="7197"/>
      <c r="AD89" s="7198"/>
      <c r="AE89" s="7199"/>
      <c r="AF89" s="7200"/>
      <c r="AG89" s="7201"/>
      <c r="AH89" s="7202"/>
      <c r="AI89" s="7113"/>
      <c r="AJ89" s="6668"/>
      <c r="AK89" s="7203"/>
      <c r="AL89" s="7204"/>
      <c r="AM89" s="7205"/>
      <c r="AN89" s="7206"/>
      <c r="AO89" s="7207"/>
      <c r="AP89" s="7208"/>
      <c r="AQ89" s="7209"/>
      <c r="AR89" s="7210"/>
      <c r="AS89" s="7211"/>
      <c r="AT89" s="7212"/>
      <c r="AU89" s="7213"/>
      <c r="AV89" s="7214"/>
      <c r="AW89" s="7215"/>
      <c r="AX89" s="7216"/>
      <c r="AY89" s="7217"/>
      <c r="AZ89" s="7218"/>
      <c r="BA89" s="7219" t="s">
        <v>38</v>
      </c>
      <c r="BB89" s="7220"/>
      <c r="BC89" s="7221"/>
      <c r="BD89" s="7222"/>
      <c r="BE89" s="7223"/>
      <c r="BF89" s="7224"/>
      <c r="BG89" s="7225"/>
      <c r="BH89" s="7226"/>
      <c r="BI89" s="7227"/>
      <c r="BJ89" s="7228"/>
      <c r="BK89" s="7229"/>
      <c r="BL89" s="7230"/>
      <c r="BM89" s="7231"/>
      <c r="BN89" s="7232"/>
      <c r="BO89" s="7233"/>
      <c r="BP89" s="7234"/>
      <c r="BQ89" s="7235"/>
      <c r="BR89" s="7236"/>
      <c r="BS89" s="7237"/>
      <c r="BT89" s="7238"/>
      <c r="BU89" s="7239"/>
      <c r="BV89" s="7240" t="s">
        <v>36</v>
      </c>
      <c r="BW89" s="7241"/>
      <c r="BX89" s="7242"/>
      <c r="BY89" s="7243" t="s">
        <v>38</v>
      </c>
      <c r="BZ89" s="7244"/>
      <c r="CA89" s="7245"/>
      <c r="CB89" s="7246"/>
      <c r="CC89" s="7247"/>
      <c r="CD89" s="7248"/>
      <c r="CE89" s="7249"/>
      <c r="CF89" s="7250"/>
      <c r="CG89" s="7251"/>
      <c r="CH89" s="7252"/>
      <c r="CI89" s="7253"/>
      <c r="CJ89" s="7254"/>
      <c r="CK89" s="7255"/>
      <c r="CL89" s="7256"/>
      <c r="CM89" s="7257"/>
      <c r="CN89" s="7258"/>
      <c r="CO89" s="7259"/>
      <c r="CP89" s="7260"/>
    </row>
    <row r="90" spans="1:94">
      <c r="A90" s="7261"/>
      <c r="B90" s="7262"/>
      <c r="C90" s="7263"/>
      <c r="D90" s="7264"/>
      <c r="E90" s="7265"/>
      <c r="F90" s="7266"/>
      <c r="G90" s="7267"/>
      <c r="H90" s="7177"/>
      <c r="I90" s="7268"/>
      <c r="J90" s="7269"/>
      <c r="K90" s="7270"/>
      <c r="L90" s="7271"/>
      <c r="M90" s="7272"/>
      <c r="N90" s="7273"/>
      <c r="O90" s="7274"/>
      <c r="P90" s="7275"/>
      <c r="Q90" s="7276"/>
      <c r="R90" s="7277"/>
      <c r="S90" s="7278" t="s">
        <v>36</v>
      </c>
      <c r="T90" s="7279"/>
      <c r="U90" s="7280"/>
      <c r="V90" s="7281"/>
      <c r="W90" s="7282"/>
      <c r="X90" s="7283"/>
      <c r="Y90" s="7284"/>
      <c r="Z90" s="7285"/>
      <c r="AA90" s="7286"/>
      <c r="AB90" s="7287"/>
      <c r="AC90" s="7288"/>
      <c r="AD90" s="7289"/>
      <c r="AE90" s="7290"/>
      <c r="AF90" s="7291"/>
      <c r="AG90" s="7292"/>
      <c r="AH90" s="6850"/>
      <c r="AI90" s="5390"/>
      <c r="AJ90" s="7293"/>
      <c r="AK90" s="7294"/>
      <c r="AL90" s="7295"/>
      <c r="AM90" s="7296"/>
      <c r="AN90" s="7297"/>
      <c r="AO90" s="7298"/>
      <c r="AP90" s="7299"/>
      <c r="AQ90" s="7300"/>
      <c r="AR90" s="7301"/>
      <c r="AS90" s="7302"/>
      <c r="AT90" s="7303"/>
      <c r="AU90" s="7304"/>
      <c r="AV90" s="7305"/>
      <c r="AW90" s="7306"/>
      <c r="AX90" s="7307"/>
      <c r="AY90" s="7308"/>
      <c r="AZ90" s="7309"/>
      <c r="BA90" s="7310" t="s">
        <v>38</v>
      </c>
      <c r="BB90" s="7311"/>
      <c r="BC90" s="7312"/>
      <c r="BD90" s="7313"/>
      <c r="BE90" s="7314"/>
      <c r="BF90" s="7315"/>
      <c r="BG90" s="7316"/>
      <c r="BH90" s="7317"/>
      <c r="BI90" s="7318"/>
      <c r="BJ90" s="7319"/>
      <c r="BK90" s="7320"/>
      <c r="BL90" s="7321"/>
      <c r="BM90" s="7322"/>
      <c r="BN90" s="7323"/>
      <c r="BO90" s="7324"/>
      <c r="BP90" s="7325"/>
      <c r="BQ90" s="7326"/>
      <c r="BR90" s="7327"/>
      <c r="BS90" s="7328"/>
      <c r="BT90" s="7329"/>
      <c r="BU90" s="7330"/>
      <c r="BV90" s="7331" t="s">
        <v>36</v>
      </c>
      <c r="BW90" s="7332"/>
      <c r="BX90" s="7333"/>
      <c r="BY90" s="7334" t="s">
        <v>38</v>
      </c>
      <c r="BZ90" s="7335"/>
      <c r="CA90" s="7336"/>
      <c r="CB90" s="7337"/>
      <c r="CC90" s="7338"/>
      <c r="CD90" s="7339"/>
      <c r="CE90" s="7340"/>
      <c r="CF90" s="7341"/>
      <c r="CG90" s="7342"/>
      <c r="CH90" s="7343"/>
      <c r="CI90" s="7344"/>
      <c r="CJ90" s="7345"/>
      <c r="CK90" s="7346"/>
      <c r="CL90" s="7347"/>
      <c r="CM90" s="7348"/>
      <c r="CN90" s="7349"/>
      <c r="CO90" s="7350"/>
      <c r="CP90" s="7351"/>
    </row>
    <row r="91" spans="1:94">
      <c r="A91" s="7352"/>
      <c r="B91" s="7353"/>
      <c r="C91" s="7354"/>
      <c r="D91" s="7355"/>
      <c r="E91" s="7356"/>
      <c r="F91" s="7357"/>
      <c r="G91" s="7358"/>
      <c r="H91" s="7359"/>
      <c r="I91" s="7360"/>
      <c r="J91" s="7361"/>
      <c r="K91" s="7362"/>
      <c r="L91" s="7363"/>
      <c r="M91" s="7364"/>
      <c r="N91" s="7365"/>
      <c r="O91" s="7006"/>
      <c r="P91" s="7366"/>
      <c r="Q91" s="7367"/>
      <c r="R91" s="7368"/>
      <c r="S91" s="7369" t="s">
        <v>36</v>
      </c>
      <c r="T91" s="7370"/>
      <c r="U91" s="7371"/>
      <c r="V91" s="6148"/>
      <c r="W91" s="7372"/>
      <c r="X91" s="7373"/>
      <c r="Y91" s="7374"/>
      <c r="Z91" s="7375"/>
      <c r="AA91" s="7376"/>
      <c r="AB91" s="7377"/>
      <c r="AC91" s="7378"/>
      <c r="AD91" s="7379"/>
      <c r="AE91" s="6052"/>
      <c r="AF91" s="7380"/>
      <c r="AG91" s="7381"/>
      <c r="AH91" s="7382"/>
      <c r="AI91" s="7383"/>
      <c r="AJ91" s="7384"/>
      <c r="AK91" s="7385"/>
      <c r="AL91" s="7386"/>
      <c r="AM91" s="7387"/>
      <c r="AN91" s="7388"/>
      <c r="AO91" s="7389"/>
      <c r="AP91" s="7390"/>
      <c r="AQ91" s="7391"/>
      <c r="AR91" s="7392"/>
      <c r="AS91" s="7393"/>
      <c r="AT91" s="7394"/>
      <c r="AU91" s="7395"/>
      <c r="AV91" s="7396"/>
      <c r="AW91" s="7397"/>
      <c r="AX91" s="7398"/>
      <c r="AY91" s="7399"/>
      <c r="AZ91" s="7400"/>
      <c r="BA91" s="7401" t="s">
        <v>38</v>
      </c>
      <c r="BB91" s="7402"/>
      <c r="BC91" s="7403"/>
      <c r="BD91" s="7404"/>
      <c r="BE91" s="7405"/>
      <c r="BF91" s="7406"/>
      <c r="BG91" s="7407"/>
      <c r="BH91" s="7408"/>
      <c r="BI91" s="7409"/>
      <c r="BJ91" s="7410"/>
      <c r="BK91" s="7411"/>
      <c r="BL91" s="7412"/>
      <c r="BM91" s="7413"/>
      <c r="BN91" s="7414"/>
      <c r="BO91" s="7415"/>
      <c r="BP91" s="7416"/>
      <c r="BQ91" s="7417"/>
      <c r="BR91" s="7418"/>
      <c r="BS91" s="7419"/>
      <c r="BT91" s="7420"/>
      <c r="BU91" s="7421"/>
      <c r="BV91" s="7422" t="s">
        <v>36</v>
      </c>
      <c r="BW91" s="7423"/>
      <c r="BX91" s="7424"/>
      <c r="BY91" s="7425" t="s">
        <v>38</v>
      </c>
      <c r="BZ91" s="7426"/>
      <c r="CA91" s="7427"/>
      <c r="CB91" s="7428"/>
      <c r="CC91" s="7429"/>
      <c r="CD91" s="7430"/>
      <c r="CE91" s="7431"/>
      <c r="CF91" s="7432"/>
      <c r="CG91" s="7433"/>
      <c r="CH91" s="7434"/>
      <c r="CI91" s="7435"/>
      <c r="CJ91" s="7073"/>
      <c r="CK91" s="7436"/>
      <c r="CL91" s="7437"/>
      <c r="CM91" s="7438"/>
      <c r="CN91" s="7439"/>
      <c r="CO91" s="7164"/>
      <c r="CP91" s="7440"/>
    </row>
    <row r="92" spans="1:94" ht="16.5" thickBot="1">
      <c r="A92" s="7441"/>
      <c r="B92" s="7442"/>
      <c r="C92" s="7443"/>
      <c r="D92" s="7444"/>
      <c r="E92" s="7445"/>
      <c r="F92" s="7446"/>
      <c r="G92" s="7447"/>
      <c r="H92" s="7448"/>
      <c r="I92" s="7449"/>
      <c r="J92" s="7450"/>
      <c r="K92" s="7451"/>
      <c r="L92" s="7452"/>
      <c r="M92" s="7453"/>
      <c r="N92" s="6642"/>
      <c r="O92" s="7454"/>
      <c r="P92" s="7005"/>
      <c r="Q92" s="7455"/>
      <c r="R92" s="7456"/>
      <c r="S92" s="7457" t="s">
        <v>36</v>
      </c>
      <c r="T92" s="7458"/>
      <c r="U92" s="7459"/>
      <c r="V92" s="7460"/>
      <c r="W92" s="6549"/>
      <c r="X92" s="7461"/>
      <c r="Y92" s="6549"/>
      <c r="Z92" s="6500"/>
      <c r="AA92" s="7462"/>
      <c r="AB92" s="7463"/>
      <c r="AC92" s="7464"/>
      <c r="AD92" s="7465"/>
      <c r="AE92" s="7466"/>
      <c r="AF92" s="7467"/>
      <c r="AG92" s="7468"/>
      <c r="AH92" s="7469"/>
      <c r="AI92" s="7470"/>
      <c r="AJ92" s="7471"/>
      <c r="AK92" s="7472"/>
      <c r="AL92" s="7473"/>
      <c r="AM92" s="7474"/>
      <c r="AN92" s="7475"/>
      <c r="AO92" s="7476"/>
      <c r="AP92" s="7477"/>
      <c r="AQ92" s="7478"/>
      <c r="AR92" s="7479"/>
      <c r="AS92" s="7480"/>
      <c r="AT92" s="7481"/>
      <c r="AU92" s="7482"/>
      <c r="AV92" s="7483"/>
      <c r="AW92" s="7484"/>
      <c r="AX92" s="7485"/>
      <c r="AY92" s="7486"/>
      <c r="AZ92" s="7487"/>
      <c r="BA92" s="7488" t="s">
        <v>38</v>
      </c>
      <c r="BB92" s="7489"/>
      <c r="BC92" s="7490"/>
      <c r="BD92" s="7491"/>
      <c r="BE92" s="7492"/>
      <c r="BF92" s="7493"/>
      <c r="BG92" s="7494"/>
      <c r="BH92" s="7495"/>
      <c r="BI92" s="7496"/>
      <c r="BJ92" s="7497"/>
      <c r="BK92" s="7498"/>
      <c r="BL92" s="7499"/>
      <c r="BM92" s="7500"/>
      <c r="BN92" s="7501"/>
      <c r="BO92" s="7502"/>
      <c r="BP92" s="7503"/>
      <c r="BQ92" s="7504"/>
      <c r="BR92" s="7505"/>
      <c r="BS92" s="7506"/>
      <c r="BT92" s="7507"/>
      <c r="BU92" s="7508"/>
      <c r="BV92" s="10565">
        <f>AVERAGE(BV93:CA97)</f>
        <v>5.2777777777777777</v>
      </c>
      <c r="BW92" s="7509"/>
      <c r="BX92" s="7510"/>
      <c r="BY92" s="7511" t="s">
        <v>38</v>
      </c>
      <c r="BZ92" s="7512"/>
      <c r="CA92" s="7513"/>
      <c r="CB92" s="7514"/>
      <c r="CC92" s="7515"/>
      <c r="CD92" s="7516"/>
      <c r="CE92" s="7517"/>
      <c r="CF92" s="7518"/>
      <c r="CG92" s="7519"/>
      <c r="CH92" s="7520"/>
      <c r="CI92" s="7521"/>
      <c r="CJ92" s="7522"/>
      <c r="CK92" s="7523"/>
      <c r="CL92" s="7524"/>
      <c r="CM92" s="7525"/>
      <c r="CN92" s="7526"/>
      <c r="CO92" s="7527"/>
      <c r="CP92" s="7528"/>
    </row>
    <row r="93" spans="1:94">
      <c r="A93" s="7529"/>
      <c r="B93" s="7530"/>
      <c r="C93" s="7531"/>
      <c r="D93" s="7532"/>
      <c r="E93" s="7533"/>
      <c r="F93" s="7534"/>
      <c r="G93" s="7535"/>
      <c r="H93" s="7536"/>
      <c r="I93" s="7537"/>
      <c r="J93" s="7538"/>
      <c r="K93" s="7539"/>
      <c r="L93" s="7540"/>
      <c r="M93" s="7541"/>
      <c r="N93" s="7542"/>
      <c r="O93" s="7543"/>
      <c r="P93" s="7544"/>
      <c r="Q93" s="7545"/>
      <c r="R93" s="7546"/>
      <c r="S93" s="7547" t="s">
        <v>36</v>
      </c>
      <c r="T93" s="7548"/>
      <c r="U93" s="7549"/>
      <c r="V93" s="7550"/>
      <c r="W93" s="7551"/>
      <c r="X93" s="7552"/>
      <c r="Y93" s="7553"/>
      <c r="Z93" s="7554"/>
      <c r="AA93" s="7555"/>
      <c r="AB93" s="6235"/>
      <c r="AC93" s="7556"/>
      <c r="AD93" s="7557"/>
      <c r="AE93" s="7558"/>
      <c r="AF93" s="7559"/>
      <c r="AG93" s="7560"/>
      <c r="AH93" s="7561"/>
      <c r="AI93" s="7562"/>
      <c r="AJ93" s="7563"/>
      <c r="AK93" s="7564"/>
      <c r="AL93" s="7565"/>
      <c r="AM93" s="7566"/>
      <c r="AN93" s="7567"/>
      <c r="AO93" s="7568"/>
      <c r="AP93" s="7569"/>
      <c r="AQ93" s="7570"/>
      <c r="AR93" s="7571"/>
      <c r="AS93" s="7572"/>
      <c r="AT93" s="7573"/>
      <c r="AU93" s="7574"/>
      <c r="AV93" s="7575"/>
      <c r="AW93" s="7576"/>
      <c r="AX93" s="7577"/>
      <c r="AY93" s="7578"/>
      <c r="AZ93" s="7579"/>
      <c r="BA93" s="7580" t="s">
        <v>38</v>
      </c>
      <c r="BB93" s="7581"/>
      <c r="BC93" s="7582"/>
      <c r="BD93" s="7583"/>
      <c r="BE93" s="7584"/>
      <c r="BF93" s="7585"/>
      <c r="BG93" s="7586"/>
      <c r="BH93" s="7587"/>
      <c r="BI93" s="7588"/>
      <c r="BJ93" s="7589"/>
      <c r="BK93" s="7590"/>
      <c r="BL93" s="7591"/>
      <c r="BM93" s="7592"/>
      <c r="BN93" s="7593"/>
      <c r="BO93" s="7594"/>
      <c r="BP93" s="7595"/>
      <c r="BQ93" s="7596"/>
      <c r="BR93" s="7597"/>
      <c r="BS93" s="7598"/>
      <c r="BT93" s="7599"/>
      <c r="BU93" s="7600"/>
      <c r="BV93" s="10566">
        <v>7</v>
      </c>
      <c r="BW93" s="10567"/>
      <c r="BX93" s="10568">
        <v>7</v>
      </c>
      <c r="BY93" s="10567"/>
      <c r="BZ93" s="10567"/>
      <c r="CA93" s="10569">
        <v>2</v>
      </c>
      <c r="CB93" s="7601"/>
      <c r="CC93" s="7602"/>
      <c r="CD93" s="7603"/>
      <c r="CE93" s="7604"/>
      <c r="CF93" s="7605"/>
      <c r="CG93" s="7606"/>
      <c r="CH93" s="7607"/>
      <c r="CI93" s="7608"/>
      <c r="CJ93" s="7609"/>
      <c r="CK93" s="7610"/>
      <c r="CL93" s="7439"/>
      <c r="CM93" s="7611"/>
      <c r="CN93" s="7612"/>
      <c r="CO93" s="7438"/>
      <c r="CP93" s="7613"/>
    </row>
    <row r="94" spans="1:94">
      <c r="A94" s="7614"/>
      <c r="B94" s="7615"/>
      <c r="C94" s="7616"/>
      <c r="D94" s="7617"/>
      <c r="E94" s="7618"/>
      <c r="F94" s="7619"/>
      <c r="G94" s="7620"/>
      <c r="H94" s="7621"/>
      <c r="I94" s="7622"/>
      <c r="J94" s="7623"/>
      <c r="K94" s="7624"/>
      <c r="L94" s="7625"/>
      <c r="M94" s="7626"/>
      <c r="N94" s="7627"/>
      <c r="O94" s="7628"/>
      <c r="P94" s="7629"/>
      <c r="Q94" s="7630"/>
      <c r="R94" s="7631"/>
      <c r="S94" s="7632" t="s">
        <v>36</v>
      </c>
      <c r="T94" s="7633"/>
      <c r="U94" s="7634"/>
      <c r="V94" s="7635"/>
      <c r="W94" s="6445"/>
      <c r="X94" s="7636"/>
      <c r="Y94" s="6549"/>
      <c r="Z94" s="6458"/>
      <c r="AA94" s="7637"/>
      <c r="AB94" s="7638"/>
      <c r="AC94" s="7639"/>
      <c r="AD94" s="7640"/>
      <c r="AE94" s="7641"/>
      <c r="AF94" s="7642"/>
      <c r="AG94" s="7643"/>
      <c r="AH94" s="7644"/>
      <c r="AI94" s="7645"/>
      <c r="AJ94" s="7646"/>
      <c r="AK94" s="7647"/>
      <c r="AL94" s="7648"/>
      <c r="AM94" s="7649"/>
      <c r="AN94" s="7650"/>
      <c r="AO94" s="7651"/>
      <c r="AP94" s="7652"/>
      <c r="AQ94" s="7653"/>
      <c r="AR94" s="7654"/>
      <c r="AS94" s="7655"/>
      <c r="AT94" s="7656"/>
      <c r="AU94" s="7657"/>
      <c r="AV94" s="7658"/>
      <c r="AW94" s="7659"/>
      <c r="AX94" s="7660"/>
      <c r="AY94" s="7661"/>
      <c r="AZ94" s="7662"/>
      <c r="BA94" s="7663" t="s">
        <v>38</v>
      </c>
      <c r="BB94" s="7664"/>
      <c r="BC94" s="7665"/>
      <c r="BD94" s="7666"/>
      <c r="BE94" s="7667"/>
      <c r="BF94" s="7668"/>
      <c r="BG94" s="7669"/>
      <c r="BH94" s="7670"/>
      <c r="BI94" s="7671"/>
      <c r="BJ94" s="7672"/>
      <c r="BK94" s="7673"/>
      <c r="BL94" s="7674"/>
      <c r="BM94" s="7675"/>
      <c r="BN94" s="6878"/>
      <c r="BO94" s="7676"/>
      <c r="BP94" s="7677"/>
      <c r="BQ94" s="7678"/>
      <c r="BR94" s="7679"/>
      <c r="BS94" s="7680"/>
      <c r="BT94" s="7681"/>
      <c r="BU94" s="7682"/>
      <c r="BV94" s="10570">
        <v>4</v>
      </c>
      <c r="BW94" s="7513"/>
      <c r="BX94" s="10571">
        <v>7</v>
      </c>
      <c r="BY94" s="7683">
        <v>7</v>
      </c>
      <c r="BZ94" s="10572">
        <v>3</v>
      </c>
      <c r="CA94" s="10573">
        <v>7</v>
      </c>
      <c r="CB94" s="7513"/>
      <c r="CC94" s="7684"/>
      <c r="CD94" s="7685"/>
      <c r="CE94" s="7686"/>
      <c r="CF94" s="7687"/>
      <c r="CG94" s="7688"/>
      <c r="CH94" s="7689"/>
      <c r="CI94" s="7690"/>
      <c r="CJ94" s="7691"/>
      <c r="CK94" s="7692"/>
      <c r="CL94" s="7693"/>
      <c r="CM94" s="7694"/>
      <c r="CN94" s="7695"/>
      <c r="CO94" s="7696"/>
      <c r="CP94" s="7697"/>
    </row>
    <row r="95" spans="1:94">
      <c r="A95" s="7698"/>
      <c r="B95" s="7699"/>
      <c r="C95" s="7700"/>
      <c r="D95" s="7701"/>
      <c r="E95" s="7702"/>
      <c r="F95" s="7703"/>
      <c r="G95" s="7704"/>
      <c r="H95" s="6734"/>
      <c r="I95" s="7705"/>
      <c r="J95" s="7706"/>
      <c r="K95" s="7707"/>
      <c r="L95" s="7708"/>
      <c r="M95" s="7709"/>
      <c r="N95" s="7710"/>
      <c r="O95" s="6917"/>
      <c r="P95" s="7711"/>
      <c r="Q95" s="7712"/>
      <c r="R95" s="7713"/>
      <c r="S95" s="7714" t="s">
        <v>36</v>
      </c>
      <c r="T95" s="7715"/>
      <c r="U95" s="7716"/>
      <c r="V95" s="7717"/>
      <c r="W95" s="7718"/>
      <c r="X95" s="7719"/>
      <c r="Y95" s="7720"/>
      <c r="Z95" s="7721"/>
      <c r="AA95" s="7722"/>
      <c r="AB95" s="7723"/>
      <c r="AC95" s="7724"/>
      <c r="AD95" s="7725"/>
      <c r="AE95" s="7726"/>
      <c r="AF95" s="7727"/>
      <c r="AG95" s="7728"/>
      <c r="AH95" s="7729"/>
      <c r="AI95" s="7730"/>
      <c r="AJ95" s="7731"/>
      <c r="AK95" s="7732"/>
      <c r="AL95" s="7733"/>
      <c r="AM95" s="7734"/>
      <c r="AN95" s="7735"/>
      <c r="AO95" s="7736"/>
      <c r="AP95" s="7737"/>
      <c r="AQ95" s="7738"/>
      <c r="AR95" s="7739"/>
      <c r="AS95" s="7740"/>
      <c r="AT95" s="7741"/>
      <c r="AU95" s="7742"/>
      <c r="AV95" s="7743"/>
      <c r="AW95" s="7744"/>
      <c r="AX95" s="7745"/>
      <c r="AY95" s="7746"/>
      <c r="AZ95" s="7747"/>
      <c r="BA95" s="7748" t="s">
        <v>38</v>
      </c>
      <c r="BB95" s="7749"/>
      <c r="BC95" s="7750"/>
      <c r="BD95" s="7751"/>
      <c r="BE95" s="7752"/>
      <c r="BF95" s="7753"/>
      <c r="BG95" s="7754"/>
      <c r="BH95" s="7755"/>
      <c r="BI95" s="7756"/>
      <c r="BJ95" s="7757"/>
      <c r="BK95" s="7758"/>
      <c r="BL95" s="7759"/>
      <c r="BM95" s="7760"/>
      <c r="BN95" s="7761"/>
      <c r="BO95" s="7762"/>
      <c r="BP95" s="7763"/>
      <c r="BQ95" s="7764"/>
      <c r="BR95" s="7765"/>
      <c r="BS95" s="7766"/>
      <c r="BT95" s="7767"/>
      <c r="BU95" s="7768"/>
      <c r="BV95" s="10574"/>
      <c r="BW95" s="10575">
        <v>3</v>
      </c>
      <c r="BX95" s="7513"/>
      <c r="BY95" s="7513"/>
      <c r="BZ95" s="10576">
        <v>4</v>
      </c>
      <c r="CA95" s="10577"/>
      <c r="CB95" s="7769"/>
      <c r="CC95" s="7770"/>
      <c r="CD95" s="7771"/>
      <c r="CE95" s="7772"/>
      <c r="CF95" s="7773"/>
      <c r="CG95" s="7774"/>
      <c r="CH95" s="7775"/>
      <c r="CI95" s="7776"/>
      <c r="CJ95" s="7777"/>
      <c r="CK95" s="7778"/>
      <c r="CL95" s="7779"/>
      <c r="CM95" s="7780"/>
      <c r="CN95" s="7781"/>
      <c r="CO95" s="7782"/>
      <c r="CP95" s="7778"/>
    </row>
    <row r="96" spans="1:94">
      <c r="A96" s="7783"/>
      <c r="B96" s="7784"/>
      <c r="C96" s="7785"/>
      <c r="D96" s="7786"/>
      <c r="E96" s="7787"/>
      <c r="F96" s="7788"/>
      <c r="G96" s="7789"/>
      <c r="H96" s="7790"/>
      <c r="I96" s="7791"/>
      <c r="J96" s="7792"/>
      <c r="K96" s="7614"/>
      <c r="L96" s="7793"/>
      <c r="M96" s="7794"/>
      <c r="N96" s="7795"/>
      <c r="O96" s="7796"/>
      <c r="P96" s="7797"/>
      <c r="Q96" s="7798"/>
      <c r="R96" s="7799"/>
      <c r="S96" s="7800" t="s">
        <v>36</v>
      </c>
      <c r="T96" s="7801"/>
      <c r="U96" s="7802"/>
      <c r="V96" s="7803"/>
      <c r="W96" s="7804"/>
      <c r="X96" s="7805"/>
      <c r="Y96" s="7806"/>
      <c r="Z96" s="7807"/>
      <c r="AA96" s="7808"/>
      <c r="AB96" s="7809"/>
      <c r="AC96" s="7810"/>
      <c r="AD96" s="7811"/>
      <c r="AE96" s="7812"/>
      <c r="AF96" s="7813"/>
      <c r="AG96" s="7814"/>
      <c r="AH96" s="7815"/>
      <c r="AI96" s="7816"/>
      <c r="AJ96" s="7817"/>
      <c r="AK96" s="7818"/>
      <c r="AL96" s="7819"/>
      <c r="AM96" s="7820"/>
      <c r="AN96" s="7821"/>
      <c r="AO96" s="7732"/>
      <c r="AP96" s="7822"/>
      <c r="AQ96" s="7823"/>
      <c r="AR96" s="7824"/>
      <c r="AS96" s="7825"/>
      <c r="AT96" s="6704"/>
      <c r="AU96" s="7826"/>
      <c r="AV96" s="7827"/>
      <c r="AW96" s="7828"/>
      <c r="AX96" s="7829"/>
      <c r="AY96" s="7830"/>
      <c r="AZ96" s="7831"/>
      <c r="BA96" s="7832" t="s">
        <v>38</v>
      </c>
      <c r="BB96" s="7833"/>
      <c r="BC96" s="7834"/>
      <c r="BD96" s="7835"/>
      <c r="BE96" s="7836"/>
      <c r="BF96" s="7837"/>
      <c r="BG96" s="7838"/>
      <c r="BH96" s="7839"/>
      <c r="BI96" s="7840"/>
      <c r="BJ96" s="7841"/>
      <c r="BK96" s="7842"/>
      <c r="BL96" s="7843"/>
      <c r="BM96" s="7844"/>
      <c r="BN96" s="7845"/>
      <c r="BO96" s="7846"/>
      <c r="BP96" s="7847"/>
      <c r="BQ96" s="7848"/>
      <c r="BR96" s="7849"/>
      <c r="BS96" s="7850"/>
      <c r="BT96" s="7851"/>
      <c r="BU96" s="7852"/>
      <c r="BV96" s="10578">
        <v>5</v>
      </c>
      <c r="BW96" s="10579">
        <v>3</v>
      </c>
      <c r="BX96" s="7513"/>
      <c r="BY96" s="10580">
        <v>0</v>
      </c>
      <c r="BZ96" s="7513"/>
      <c r="CA96" s="10581">
        <v>8</v>
      </c>
      <c r="CB96" s="7853"/>
      <c r="CC96" s="7854"/>
      <c r="CD96" s="7855"/>
      <c r="CE96" s="7856"/>
      <c r="CF96" s="7857"/>
      <c r="CG96" s="7858"/>
      <c r="CH96" s="7859"/>
      <c r="CI96" s="7860"/>
      <c r="CJ96" s="7861"/>
      <c r="CK96" s="7862"/>
      <c r="CL96" s="7863"/>
      <c r="CM96" s="7611"/>
      <c r="CN96" s="7695"/>
      <c r="CO96" s="7864"/>
      <c r="CP96" s="7865"/>
    </row>
    <row r="97" spans="1:94" ht="16.5" thickBot="1">
      <c r="A97" s="7866"/>
      <c r="B97" s="7867"/>
      <c r="C97" s="7868"/>
      <c r="D97" s="7869"/>
      <c r="E97" s="7870"/>
      <c r="F97" s="7871"/>
      <c r="G97" s="7872"/>
      <c r="H97" s="7873"/>
      <c r="I97" s="7874"/>
      <c r="J97" s="7875"/>
      <c r="K97" s="7876"/>
      <c r="L97" s="7877"/>
      <c r="M97" s="7878"/>
      <c r="N97" s="7879"/>
      <c r="O97" s="7880"/>
      <c r="P97" s="7881"/>
      <c r="Q97" s="7882"/>
      <c r="R97" s="7883"/>
      <c r="S97" s="7884" t="s">
        <v>36</v>
      </c>
      <c r="T97" s="7885"/>
      <c r="U97" s="7886"/>
      <c r="V97" s="7887"/>
      <c r="W97" s="7888"/>
      <c r="X97" s="7889"/>
      <c r="Y97" s="7890"/>
      <c r="Z97" s="7891"/>
      <c r="AA97" s="7892"/>
      <c r="AB97" s="7893"/>
      <c r="AC97" s="7894"/>
      <c r="AD97" s="7895"/>
      <c r="AE97" s="7896"/>
      <c r="AF97" s="7897"/>
      <c r="AG97" s="7898"/>
      <c r="AH97" s="7899"/>
      <c r="AI97" s="7839"/>
      <c r="AJ97" s="7900"/>
      <c r="AK97" s="7901"/>
      <c r="AL97" s="7902"/>
      <c r="AM97" s="7903"/>
      <c r="AN97" s="7904"/>
      <c r="AO97" s="7569"/>
      <c r="AP97" s="7905"/>
      <c r="AQ97" s="7906"/>
      <c r="AR97" s="7907"/>
      <c r="AS97" s="7908"/>
      <c r="AT97" s="7909"/>
      <c r="AU97" s="7910"/>
      <c r="AV97" s="7911"/>
      <c r="AW97" s="7912"/>
      <c r="AX97" s="7913"/>
      <c r="AY97" s="7914"/>
      <c r="AZ97" s="7915"/>
      <c r="BA97" s="7916" t="s">
        <v>38</v>
      </c>
      <c r="BB97" s="7917"/>
      <c r="BC97" s="7918"/>
      <c r="BD97" s="7919"/>
      <c r="BE97" s="7920"/>
      <c r="BF97" s="7921"/>
      <c r="BG97" s="7922"/>
      <c r="BH97" s="7923"/>
      <c r="BI97" s="7924"/>
      <c r="BJ97" s="7925"/>
      <c r="BK97" s="7926"/>
      <c r="BL97" s="7927"/>
      <c r="BM97" s="7928"/>
      <c r="BN97" s="7929"/>
      <c r="BO97" s="7696"/>
      <c r="BP97" s="7930"/>
      <c r="BQ97" s="7931"/>
      <c r="BR97" s="7932"/>
      <c r="BS97" s="7933"/>
      <c r="BT97" s="7934"/>
      <c r="BU97" s="7935"/>
      <c r="BV97" s="10582">
        <v>8</v>
      </c>
      <c r="BW97" s="10583"/>
      <c r="BX97" s="10584">
        <v>6</v>
      </c>
      <c r="BY97" s="10583"/>
      <c r="BZ97" s="10583">
        <v>6</v>
      </c>
      <c r="CA97" s="10585">
        <v>8</v>
      </c>
      <c r="CB97" s="7936"/>
      <c r="CC97" s="7937"/>
      <c r="CD97" s="7938"/>
      <c r="CE97" s="7939"/>
      <c r="CF97" s="7940"/>
      <c r="CG97" s="7941"/>
      <c r="CH97" s="7942"/>
      <c r="CI97" s="7943"/>
      <c r="CJ97" s="7944"/>
      <c r="CK97" s="7945"/>
      <c r="CL97" s="7946"/>
      <c r="CM97" s="7865"/>
      <c r="CN97" s="7947"/>
      <c r="CO97" s="7948"/>
      <c r="CP97" s="7949"/>
    </row>
    <row r="98" spans="1:94">
      <c r="A98" s="7950"/>
      <c r="B98" s="7951"/>
      <c r="C98" s="7952"/>
      <c r="D98" s="7953"/>
      <c r="E98" s="7954"/>
      <c r="F98" s="7955"/>
      <c r="G98" s="7956"/>
      <c r="H98" s="7957"/>
      <c r="I98" s="7958"/>
      <c r="J98" s="7959"/>
      <c r="K98" s="7960"/>
      <c r="L98" s="7961"/>
      <c r="M98" s="7962"/>
      <c r="N98" s="7963"/>
      <c r="O98" s="7964"/>
      <c r="P98" s="7965"/>
      <c r="Q98" s="7966"/>
      <c r="R98" s="7967"/>
      <c r="S98" s="7968" t="s">
        <v>36</v>
      </c>
      <c r="T98" s="7969"/>
      <c r="U98" s="7970"/>
      <c r="V98" s="7971"/>
      <c r="W98" s="7972"/>
      <c r="X98" s="7973"/>
      <c r="Y98" s="7974"/>
      <c r="Z98" s="7975"/>
      <c r="AA98" s="7976"/>
      <c r="AB98" s="7977"/>
      <c r="AC98" s="7978"/>
      <c r="AD98" s="7979"/>
      <c r="AE98" s="7980"/>
      <c r="AF98" s="7981"/>
      <c r="AG98" s="7982"/>
      <c r="AH98" s="7983"/>
      <c r="AI98" s="7984"/>
      <c r="AJ98" s="7985"/>
      <c r="AK98" s="7986"/>
      <c r="AL98" s="7987"/>
      <c r="AM98" s="7988"/>
      <c r="AN98" s="7989"/>
      <c r="AO98" s="7990"/>
      <c r="AP98" s="7395"/>
      <c r="AQ98" s="7991"/>
      <c r="AR98" s="7992"/>
      <c r="AS98" s="7993"/>
      <c r="AT98" s="7994"/>
      <c r="AU98" s="7995"/>
      <c r="AV98" s="7996"/>
      <c r="AW98" s="7997"/>
      <c r="AX98" s="7998"/>
      <c r="AY98" s="7999"/>
      <c r="AZ98" s="8000"/>
      <c r="BA98" s="8001" t="s">
        <v>38</v>
      </c>
      <c r="BB98" s="8002"/>
      <c r="BC98" s="8003"/>
      <c r="BD98" s="8004"/>
      <c r="BE98" s="8005"/>
      <c r="BF98" s="8006"/>
      <c r="BG98" s="8007"/>
      <c r="BH98" s="8008"/>
      <c r="BI98" s="8009"/>
      <c r="BJ98" s="8010"/>
      <c r="BK98" s="8011"/>
      <c r="BL98" s="8012"/>
      <c r="BM98" s="8013"/>
      <c r="BN98" s="8014"/>
      <c r="BO98" s="8015"/>
      <c r="BP98" s="8016"/>
      <c r="BQ98" s="8017"/>
      <c r="BR98" s="8018"/>
      <c r="BS98" s="8019"/>
      <c r="BT98" s="8020"/>
      <c r="BU98" s="7768"/>
      <c r="BV98" s="8021"/>
      <c r="BW98" s="8022"/>
      <c r="BX98" s="8023"/>
      <c r="BY98" s="8024"/>
      <c r="BZ98" s="7683"/>
      <c r="CA98" s="8025"/>
      <c r="CB98" s="8026"/>
      <c r="CC98" s="8027"/>
      <c r="CD98" s="8028"/>
      <c r="CE98" s="8029"/>
      <c r="CF98" s="8030"/>
      <c r="CG98" s="8031"/>
      <c r="CH98" s="8032"/>
      <c r="CI98" s="8033"/>
      <c r="CJ98" s="8034"/>
      <c r="CK98" s="8035"/>
      <c r="CL98" s="8036"/>
      <c r="CM98" s="7526"/>
      <c r="CN98" s="8037"/>
      <c r="CO98" s="8038"/>
      <c r="CP98" s="8039"/>
    </row>
    <row r="99" spans="1:94">
      <c r="A99" s="8040"/>
      <c r="B99" s="8041"/>
      <c r="C99" s="8042"/>
      <c r="D99" s="7951"/>
      <c r="E99" s="8043"/>
      <c r="F99" s="8044"/>
      <c r="G99" s="8045"/>
      <c r="H99" s="8046"/>
      <c r="I99" s="8047"/>
      <c r="J99" s="8048"/>
      <c r="K99" s="8049"/>
      <c r="L99" s="8050"/>
      <c r="M99" s="8051"/>
      <c r="N99" s="8052"/>
      <c r="O99" s="8053"/>
      <c r="P99" s="8054"/>
      <c r="Q99" s="8055"/>
      <c r="R99" s="8056"/>
      <c r="S99" s="8057" t="s">
        <v>36</v>
      </c>
      <c r="T99" s="8058"/>
      <c r="U99" s="8059"/>
      <c r="V99" s="8060"/>
      <c r="W99" s="8061"/>
      <c r="X99" s="7192"/>
      <c r="Y99" s="6751"/>
      <c r="Z99" s="8062"/>
      <c r="AA99" s="8063"/>
      <c r="AB99" s="8064"/>
      <c r="AC99" s="8065"/>
      <c r="AD99" s="8066"/>
      <c r="AE99" s="8067"/>
      <c r="AF99" s="8068"/>
      <c r="AG99" s="8069"/>
      <c r="AH99" s="8070"/>
      <c r="AI99" s="8071"/>
      <c r="AJ99" s="8072"/>
      <c r="AK99" s="8073"/>
      <c r="AL99" s="8074"/>
      <c r="AM99" s="8075"/>
      <c r="AN99" s="8076"/>
      <c r="AO99" s="8077"/>
      <c r="AP99" s="8078"/>
      <c r="AQ99" s="8079"/>
      <c r="AR99" s="8080"/>
      <c r="AS99" s="8081"/>
      <c r="AT99" s="8082"/>
      <c r="AU99" s="8083"/>
      <c r="AV99" s="8084"/>
      <c r="AW99" s="8085"/>
      <c r="AX99" s="8086"/>
      <c r="AY99" s="8087"/>
      <c r="AZ99" s="8088"/>
      <c r="BA99" s="8089" t="s">
        <v>38</v>
      </c>
      <c r="BB99" s="8090"/>
      <c r="BC99" s="8091"/>
      <c r="BD99" s="8092"/>
      <c r="BE99" s="8093"/>
      <c r="BF99" s="8083"/>
      <c r="BG99" s="8094"/>
      <c r="BH99" s="8095"/>
      <c r="BI99" s="8096"/>
      <c r="BJ99" s="8097"/>
      <c r="BK99" s="8098"/>
      <c r="BL99" s="8099"/>
      <c r="BM99" s="8100"/>
      <c r="BN99" s="8101"/>
      <c r="BO99" s="8102"/>
      <c r="BP99" s="8103"/>
      <c r="BQ99" s="8104"/>
      <c r="BR99" s="8105"/>
      <c r="BS99" s="8106"/>
      <c r="BT99" s="8107"/>
      <c r="BU99" s="7772"/>
      <c r="BV99" s="8108"/>
      <c r="BW99" s="8109"/>
      <c r="BX99" s="7933"/>
      <c r="BY99" s="8110"/>
      <c r="BZ99" s="8111"/>
      <c r="CA99" s="8112"/>
      <c r="CB99" s="8113"/>
      <c r="CC99" s="8114"/>
      <c r="CD99" s="8115"/>
      <c r="CE99" s="8116"/>
      <c r="CF99" s="8117"/>
      <c r="CG99" s="8118"/>
      <c r="CH99" s="8119"/>
      <c r="CI99" s="8120"/>
      <c r="CJ99" s="8121"/>
      <c r="CK99" s="8122"/>
      <c r="CL99" s="8123"/>
      <c r="CM99" s="7694"/>
      <c r="CN99" s="7947"/>
      <c r="CO99" s="8124"/>
      <c r="CP99" s="8037"/>
    </row>
    <row r="100" spans="1:94">
      <c r="A100" s="8125"/>
      <c r="B100" s="8126"/>
      <c r="C100" s="8127"/>
      <c r="D100" s="8128"/>
      <c r="E100" s="8129"/>
      <c r="F100" s="8130"/>
      <c r="G100" s="8131"/>
      <c r="H100" s="8132"/>
      <c r="I100" s="8133"/>
      <c r="J100" s="8134"/>
      <c r="K100" s="6416"/>
      <c r="L100" s="8050"/>
      <c r="M100" s="8135"/>
      <c r="N100" s="8136"/>
      <c r="O100" s="8137"/>
      <c r="P100" s="8138"/>
      <c r="Q100" s="8139"/>
      <c r="R100" s="8140"/>
      <c r="S100" s="8141" t="s">
        <v>36</v>
      </c>
      <c r="T100" s="8142"/>
      <c r="U100" s="8143"/>
      <c r="V100" s="8144"/>
      <c r="W100" s="8145"/>
      <c r="X100" s="8146"/>
      <c r="Y100" s="8147"/>
      <c r="Z100" s="8148"/>
      <c r="AA100" s="8149"/>
      <c r="AB100" s="8150"/>
      <c r="AC100" s="8151"/>
      <c r="AD100" s="8152"/>
      <c r="AE100" s="8153"/>
      <c r="AF100" s="8154"/>
      <c r="AG100" s="8155"/>
      <c r="AH100" s="8156"/>
      <c r="AI100" s="8157"/>
      <c r="AJ100" s="8158"/>
      <c r="AK100" s="8159"/>
      <c r="AL100" s="7904"/>
      <c r="AM100" s="7984"/>
      <c r="AN100" s="8160"/>
      <c r="AO100" s="8161"/>
      <c r="AP100" s="8162"/>
      <c r="AQ100" s="8163"/>
      <c r="AR100" s="8164"/>
      <c r="AS100" s="8165"/>
      <c r="AT100" s="8073"/>
      <c r="AU100" s="8166"/>
      <c r="AV100" s="8167"/>
      <c r="AW100" s="8168"/>
      <c r="AX100" s="8169"/>
      <c r="AY100" s="8170"/>
      <c r="AZ100" s="8171"/>
      <c r="BA100" s="8172" t="s">
        <v>38</v>
      </c>
      <c r="BB100" s="8173"/>
      <c r="BC100" s="8174"/>
      <c r="BD100" s="8175"/>
      <c r="BE100" s="8007"/>
      <c r="BF100" s="8176"/>
      <c r="BG100" s="8177"/>
      <c r="BH100" s="8178"/>
      <c r="BI100" s="8179"/>
      <c r="BJ100" s="8180"/>
      <c r="BK100" s="8181"/>
      <c r="BL100" s="8182"/>
      <c r="BM100" s="8183"/>
      <c r="BN100" s="8005"/>
      <c r="BO100" s="8184"/>
      <c r="BP100" s="8185"/>
      <c r="BQ100" s="8186"/>
      <c r="BR100" s="8187"/>
      <c r="BS100" s="8188"/>
      <c r="BT100" s="8189"/>
      <c r="BU100" s="7768"/>
      <c r="BV100" s="8190"/>
      <c r="BW100" s="8191"/>
      <c r="BX100" s="8192"/>
      <c r="BY100" s="8193"/>
      <c r="BZ100" s="8194"/>
      <c r="CA100" s="8195"/>
      <c r="CB100" s="8196"/>
      <c r="CC100" s="8197"/>
      <c r="CD100" s="8198"/>
      <c r="CE100" s="8199"/>
      <c r="CF100" s="8200"/>
      <c r="CG100" s="8201"/>
      <c r="CH100" s="8202"/>
      <c r="CI100" s="8203"/>
      <c r="CJ100" s="7946"/>
      <c r="CK100" s="8204"/>
      <c r="CL100" s="7694"/>
      <c r="CM100" s="8205"/>
      <c r="CN100" s="7612"/>
      <c r="CO100" s="8206"/>
      <c r="CP100" s="8207"/>
    </row>
    <row r="101" spans="1:94">
      <c r="A101" s="8208"/>
      <c r="B101" s="8209"/>
      <c r="C101" s="7878"/>
      <c r="D101" s="8210"/>
      <c r="E101" s="8211"/>
      <c r="F101" s="8212"/>
      <c r="G101" s="8213"/>
      <c r="H101" s="8214"/>
      <c r="I101" s="8215"/>
      <c r="J101" s="8216"/>
      <c r="K101" s="8217"/>
      <c r="L101" s="8217"/>
      <c r="M101" s="8218"/>
      <c r="N101" s="8135"/>
      <c r="O101" s="8219"/>
      <c r="P101" s="7877"/>
      <c r="Q101" s="8220"/>
      <c r="R101" s="8221"/>
      <c r="S101" s="8222" t="s">
        <v>36</v>
      </c>
      <c r="T101" s="8223"/>
      <c r="U101" s="8224"/>
      <c r="V101" s="6810"/>
      <c r="W101" s="8225"/>
      <c r="X101" s="8226"/>
      <c r="Y101" s="8227"/>
      <c r="Z101" s="8228"/>
      <c r="AA101" s="6576"/>
      <c r="AB101" s="8229"/>
      <c r="AC101" s="8230"/>
      <c r="AD101" s="8231"/>
      <c r="AE101" s="8232"/>
      <c r="AF101" s="8233"/>
      <c r="AG101" s="8234"/>
      <c r="AH101" s="8235"/>
      <c r="AI101" s="8236"/>
      <c r="AJ101" s="8237"/>
      <c r="AK101" s="8238"/>
      <c r="AL101" s="8239"/>
      <c r="AM101" s="8240"/>
      <c r="AN101" s="7984"/>
      <c r="AO101" s="6885"/>
      <c r="AP101" s="8093"/>
      <c r="AQ101" s="8241"/>
      <c r="AR101" s="8242"/>
      <c r="AS101" s="8243"/>
      <c r="AT101" s="8244"/>
      <c r="AU101" s="8245"/>
      <c r="AV101" s="8246"/>
      <c r="AW101" s="8247"/>
      <c r="AX101" s="8248"/>
      <c r="AY101" s="8249"/>
      <c r="AZ101" s="8250"/>
      <c r="BA101" s="8251" t="s">
        <v>38</v>
      </c>
      <c r="BB101" s="8252"/>
      <c r="BC101" s="8253"/>
      <c r="BD101" s="8254"/>
      <c r="BE101" s="7647"/>
      <c r="BF101" s="8255"/>
      <c r="BG101" s="8256"/>
      <c r="BH101" s="8257"/>
      <c r="BI101" s="8258"/>
      <c r="BJ101" s="8259"/>
      <c r="BK101" s="8260"/>
      <c r="BL101" s="8261"/>
      <c r="BM101" s="8262"/>
      <c r="BN101" s="8263"/>
      <c r="BO101" s="7575"/>
      <c r="BP101" s="8264"/>
      <c r="BQ101" s="8265"/>
      <c r="BR101" s="8266"/>
      <c r="BS101" s="8267"/>
      <c r="BT101" s="8268"/>
      <c r="BU101" s="8269"/>
      <c r="BV101" s="8270"/>
      <c r="BW101" s="8271"/>
      <c r="BX101" s="8272"/>
      <c r="BY101" s="8273"/>
      <c r="BZ101" s="8274"/>
      <c r="CA101" s="8275"/>
      <c r="CB101" s="8276"/>
      <c r="CC101" s="8277"/>
      <c r="CD101" s="8278"/>
      <c r="CE101" s="8279"/>
      <c r="CF101" s="8280"/>
      <c r="CG101" s="8281"/>
      <c r="CH101" s="8282"/>
      <c r="CI101" s="7694"/>
      <c r="CJ101" s="8283"/>
      <c r="CK101" s="8284"/>
      <c r="CL101" s="8285"/>
      <c r="CM101" s="8286"/>
      <c r="CN101" s="7611"/>
      <c r="CO101" s="8287"/>
      <c r="CP101" s="8288"/>
    </row>
    <row r="102" spans="1:94">
      <c r="A102" s="8289"/>
      <c r="B102" s="8290"/>
      <c r="C102" s="8291"/>
      <c r="D102" s="8292"/>
      <c r="E102" s="7951"/>
      <c r="F102" s="8293"/>
      <c r="G102" s="8294"/>
      <c r="H102" s="8295"/>
      <c r="I102" s="8296"/>
      <c r="J102" s="8297"/>
      <c r="K102" s="8137"/>
      <c r="L102" s="7873"/>
      <c r="M102" s="8298"/>
      <c r="N102" s="8299"/>
      <c r="O102" s="8049"/>
      <c r="P102" s="8300"/>
      <c r="Q102" s="8301"/>
      <c r="R102" s="8302"/>
      <c r="S102" s="8303" t="s">
        <v>36</v>
      </c>
      <c r="T102" s="8304"/>
      <c r="U102" s="8305"/>
      <c r="V102" s="8306"/>
      <c r="W102" s="8307"/>
      <c r="X102" s="8308"/>
      <c r="Y102" s="8309"/>
      <c r="Z102" s="8310"/>
      <c r="AA102" s="8311"/>
      <c r="AB102" s="8312"/>
      <c r="AC102" s="8313"/>
      <c r="AD102" s="8314"/>
      <c r="AE102" s="8315"/>
      <c r="AF102" s="8316"/>
      <c r="AG102" s="8317"/>
      <c r="AH102" s="8318"/>
      <c r="AI102" s="8319"/>
      <c r="AJ102" s="8320"/>
      <c r="AK102" s="8321"/>
      <c r="AL102" s="8322"/>
      <c r="AM102" s="8323"/>
      <c r="AN102" s="8324"/>
      <c r="AO102" s="8325"/>
      <c r="AP102" s="8326"/>
      <c r="AQ102" s="8327"/>
      <c r="AR102" s="8328"/>
      <c r="AS102" s="8329"/>
      <c r="AT102" s="8330"/>
      <c r="AU102" s="8331"/>
      <c r="AV102" s="8332"/>
      <c r="AW102" s="8333"/>
      <c r="AX102" s="8334"/>
      <c r="AY102" s="8335"/>
      <c r="AZ102" s="8336"/>
      <c r="BA102" s="8337" t="s">
        <v>38</v>
      </c>
      <c r="BB102" s="8338"/>
      <c r="BC102" s="8339"/>
      <c r="BD102" s="7576"/>
      <c r="BE102" s="7735"/>
      <c r="BF102" s="8340"/>
      <c r="BG102" s="7819"/>
      <c r="BH102" s="8167"/>
      <c r="BI102" s="8249"/>
      <c r="BJ102" s="8341"/>
      <c r="BK102" s="8342"/>
      <c r="BL102" s="8343"/>
      <c r="BM102" s="8344"/>
      <c r="BN102" s="8345"/>
      <c r="BO102" s="8346"/>
      <c r="BP102" s="8347"/>
      <c r="BQ102" s="8348"/>
      <c r="BR102" s="8349"/>
      <c r="BS102" s="8350"/>
      <c r="BT102" s="8351"/>
      <c r="BU102" s="8352"/>
      <c r="BV102" s="8353"/>
      <c r="BW102" s="8354"/>
      <c r="BX102" s="8355"/>
      <c r="BY102" s="8356"/>
      <c r="BZ102" s="8357"/>
      <c r="CA102" s="8358"/>
      <c r="CB102" s="8359"/>
      <c r="CC102" s="8360"/>
      <c r="CD102" s="8361"/>
      <c r="CE102" s="7440"/>
      <c r="CF102" s="8362"/>
      <c r="CG102" s="7782"/>
      <c r="CH102" s="8363"/>
      <c r="CI102" s="7946"/>
      <c r="CJ102" s="8364"/>
      <c r="CK102" s="8365"/>
      <c r="CL102" s="8366"/>
      <c r="CM102" s="8124"/>
      <c r="CN102" s="8367"/>
      <c r="CO102" s="8366"/>
      <c r="CP102" s="7947"/>
    </row>
    <row r="103" spans="1:94">
      <c r="A103" s="8368"/>
      <c r="B103" s="8369"/>
      <c r="C103" s="8370"/>
      <c r="D103" s="8371"/>
      <c r="E103" s="8372"/>
      <c r="F103" s="8373"/>
      <c r="G103" s="8374"/>
      <c r="H103" s="8375"/>
      <c r="I103" s="8376"/>
      <c r="J103" s="8377"/>
      <c r="K103" s="8378"/>
      <c r="L103" s="8379"/>
      <c r="M103" s="8380"/>
      <c r="N103" s="8136"/>
      <c r="O103" s="8049"/>
      <c r="P103" s="8381"/>
      <c r="Q103" s="8382"/>
      <c r="R103" s="8383"/>
      <c r="S103" s="8384" t="s">
        <v>36</v>
      </c>
      <c r="T103" s="8385"/>
      <c r="U103" s="8386"/>
      <c r="V103" s="8387"/>
      <c r="W103" s="8388"/>
      <c r="X103" s="8389"/>
      <c r="Y103" s="8390"/>
      <c r="Z103" s="7282"/>
      <c r="AA103" s="8391"/>
      <c r="AB103" s="8392"/>
      <c r="AC103" s="8393"/>
      <c r="AD103" s="8394"/>
      <c r="AE103" s="8395"/>
      <c r="AF103" s="8396"/>
      <c r="AG103" s="8397"/>
      <c r="AH103" s="8398"/>
      <c r="AI103" s="8399"/>
      <c r="AJ103" s="8400"/>
      <c r="AK103" s="8401"/>
      <c r="AL103" s="8402"/>
      <c r="AM103" s="8403"/>
      <c r="AN103" s="8404"/>
      <c r="AO103" s="8405"/>
      <c r="AP103" s="8406"/>
      <c r="AQ103" s="8407"/>
      <c r="AR103" s="8408"/>
      <c r="AS103" s="8409"/>
      <c r="AT103" s="8410"/>
      <c r="AU103" s="8411"/>
      <c r="AV103" s="8412"/>
      <c r="AW103" s="8413"/>
      <c r="AX103" s="8414"/>
      <c r="AY103" s="8415"/>
      <c r="AZ103" s="8416"/>
      <c r="BA103" s="8417" t="s">
        <v>38</v>
      </c>
      <c r="BB103" s="8418"/>
      <c r="BC103" s="8419"/>
      <c r="BD103" s="8420"/>
      <c r="BE103" s="7569"/>
      <c r="BF103" s="8421"/>
      <c r="BG103" s="8340"/>
      <c r="BH103" s="8333"/>
      <c r="BI103" s="8422"/>
      <c r="BJ103" s="8423"/>
      <c r="BK103" s="8424"/>
      <c r="BL103" s="8425"/>
      <c r="BM103" s="8426"/>
      <c r="BN103" s="7072"/>
      <c r="BO103" s="8427"/>
      <c r="BP103" s="8428"/>
      <c r="BQ103" s="8429"/>
      <c r="BR103" s="8430"/>
      <c r="BS103" s="8431"/>
      <c r="BT103" s="8432"/>
      <c r="BU103" s="8433"/>
      <c r="BV103" s="8434"/>
      <c r="BW103" s="8435"/>
      <c r="BX103" s="8436"/>
      <c r="BY103" s="8437"/>
      <c r="BZ103" s="8438"/>
      <c r="CA103" s="8439"/>
      <c r="CB103" s="8440"/>
      <c r="CC103" s="8441"/>
      <c r="CD103" s="8442"/>
      <c r="CE103" s="8443"/>
      <c r="CF103" s="8444"/>
      <c r="CG103" s="8444"/>
      <c r="CH103" s="8445"/>
      <c r="CI103" s="8446"/>
      <c r="CJ103" s="8447"/>
      <c r="CK103" s="8448"/>
      <c r="CL103" s="8449"/>
      <c r="CM103" s="8450"/>
      <c r="CN103" s="7781"/>
      <c r="CO103" s="7526"/>
      <c r="CP103" s="8451"/>
    </row>
    <row r="104" spans="1:94">
      <c r="A104" s="8452"/>
      <c r="B104" s="8453"/>
      <c r="C104" s="8454"/>
      <c r="D104" s="8455"/>
      <c r="E104" s="8456"/>
      <c r="F104" s="8457"/>
      <c r="G104" s="8458"/>
      <c r="H104" s="8459"/>
      <c r="I104" s="8460"/>
      <c r="J104" s="8461"/>
      <c r="K104" s="8462"/>
      <c r="L104" s="8296"/>
      <c r="M104" s="8463"/>
      <c r="N104" s="8464"/>
      <c r="O104" s="8049"/>
      <c r="P104" s="8465"/>
      <c r="Q104" s="8466"/>
      <c r="R104" s="8467"/>
      <c r="S104" s="8468" t="s">
        <v>36</v>
      </c>
      <c r="T104" s="8469"/>
      <c r="U104" s="8470"/>
      <c r="V104" s="8471"/>
      <c r="W104" s="8472"/>
      <c r="X104" s="8473"/>
      <c r="Y104" s="8474"/>
      <c r="Z104" s="8475"/>
      <c r="AA104" s="8476"/>
      <c r="AB104" s="8477"/>
      <c r="AC104" s="8478"/>
      <c r="AD104" s="8479"/>
      <c r="AE104" s="8480"/>
      <c r="AF104" s="8481"/>
      <c r="AG104" s="6319"/>
      <c r="AH104" s="8310"/>
      <c r="AI104" s="8482"/>
      <c r="AJ104" s="8483"/>
      <c r="AK104" s="8484"/>
      <c r="AL104" s="8485"/>
      <c r="AM104" s="8486"/>
      <c r="AN104" s="8487"/>
      <c r="AO104" s="8488"/>
      <c r="AP104" s="8489"/>
      <c r="AQ104" s="8490"/>
      <c r="AR104" s="8491"/>
      <c r="AS104" s="8492"/>
      <c r="AT104" s="8121"/>
      <c r="AU104" s="8493"/>
      <c r="AV104" s="8494"/>
      <c r="AW104" s="8086"/>
      <c r="AX104" s="6788"/>
      <c r="AY104" s="8495"/>
      <c r="AZ104" s="8496"/>
      <c r="BA104" s="8497" t="s">
        <v>38</v>
      </c>
      <c r="BB104" s="8498"/>
      <c r="BC104" s="8499"/>
      <c r="BD104" s="6892"/>
      <c r="BE104" s="7735"/>
      <c r="BF104" s="7735"/>
      <c r="BG104" s="8500"/>
      <c r="BH104" s="8501"/>
      <c r="BI104" s="8502"/>
      <c r="BJ104" s="8503"/>
      <c r="BK104" s="8504"/>
      <c r="BL104" s="8505"/>
      <c r="BM104" s="8506"/>
      <c r="BN104" s="8507"/>
      <c r="BO104" s="7651"/>
      <c r="BP104" s="7651"/>
      <c r="BQ104" s="8508"/>
      <c r="BR104" s="7164"/>
      <c r="BS104" s="8509"/>
      <c r="BT104" s="8510"/>
      <c r="BU104" s="8511"/>
      <c r="BV104" s="8512"/>
      <c r="BW104" s="8513"/>
      <c r="BX104" s="8514"/>
      <c r="BY104" s="8515"/>
      <c r="BZ104" s="8516"/>
      <c r="CA104" s="8517"/>
      <c r="CB104" s="8518"/>
      <c r="CC104" s="8519"/>
      <c r="CD104" s="8520"/>
      <c r="CE104" s="8521"/>
      <c r="CF104" s="7862"/>
      <c r="CG104" s="8203"/>
      <c r="CH104" s="8522"/>
      <c r="CI104" s="8523"/>
      <c r="CJ104" s="8524"/>
      <c r="CK104" s="8525"/>
      <c r="CL104" s="8526"/>
      <c r="CM104" s="8122"/>
      <c r="CN104" s="7526"/>
      <c r="CO104" s="7695"/>
      <c r="CP104" s="8527"/>
    </row>
    <row r="105" spans="1:94">
      <c r="A105" s="8528"/>
      <c r="B105" s="7545"/>
      <c r="C105" s="8529"/>
      <c r="D105" s="8530"/>
      <c r="E105" s="8531"/>
      <c r="F105" s="8532"/>
      <c r="G105" s="8533"/>
      <c r="H105" s="8534"/>
      <c r="I105" s="8046"/>
      <c r="J105" s="8535"/>
      <c r="K105" s="8536"/>
      <c r="L105" s="8537"/>
      <c r="M105" s="8538"/>
      <c r="N105" s="8040"/>
      <c r="O105" s="8539"/>
      <c r="P105" s="8540"/>
      <c r="Q105" s="8541"/>
      <c r="R105" s="8542"/>
      <c r="S105" s="8543" t="s">
        <v>36</v>
      </c>
      <c r="T105" s="8544"/>
      <c r="U105" s="8545"/>
      <c r="V105" s="8546"/>
      <c r="W105" s="8547"/>
      <c r="X105" s="8472"/>
      <c r="Y105" s="8548"/>
      <c r="Z105" s="5721"/>
      <c r="AA105" s="8549"/>
      <c r="AB105" s="8550"/>
      <c r="AC105" s="8551"/>
      <c r="AD105" s="8552"/>
      <c r="AE105" s="8553"/>
      <c r="AF105" s="8554"/>
      <c r="AG105" s="8555"/>
      <c r="AH105" s="8556"/>
      <c r="AI105" s="8557"/>
      <c r="AJ105" s="8558"/>
      <c r="AK105" s="8559"/>
      <c r="AL105" s="8560"/>
      <c r="AM105" s="8561"/>
      <c r="AN105" s="8562"/>
      <c r="AO105" s="8563"/>
      <c r="AP105" s="8564"/>
      <c r="AQ105" s="8565"/>
      <c r="AR105" s="8566"/>
      <c r="AS105" s="8567"/>
      <c r="AT105" s="8568"/>
      <c r="AU105" s="8569"/>
      <c r="AV105" s="8570"/>
      <c r="AW105" s="8571"/>
      <c r="AX105" s="8572"/>
      <c r="AY105" s="8573"/>
      <c r="AZ105" s="8574"/>
      <c r="BA105" s="8575" t="s">
        <v>38</v>
      </c>
      <c r="BB105" s="8576"/>
      <c r="BC105" s="8577"/>
      <c r="BD105" s="8578"/>
      <c r="BE105" s="8579"/>
      <c r="BF105" s="8246"/>
      <c r="BG105" s="8580"/>
      <c r="BH105" s="8581"/>
      <c r="BI105" s="8582"/>
      <c r="BJ105" s="8583"/>
      <c r="BK105" s="8584"/>
      <c r="BL105" s="8585"/>
      <c r="BM105" s="8586"/>
      <c r="BN105" s="8587"/>
      <c r="BO105" s="8588"/>
      <c r="BP105" s="8589"/>
      <c r="BQ105" s="8590"/>
      <c r="BR105" s="8591"/>
      <c r="BS105" s="8508"/>
      <c r="BT105" s="8592"/>
      <c r="BU105" s="8593"/>
      <c r="BV105" s="8594"/>
      <c r="BW105" s="8595"/>
      <c r="BX105" s="8596"/>
      <c r="BY105" s="7523"/>
      <c r="BZ105" s="8597"/>
      <c r="CA105" s="8598"/>
      <c r="CB105" s="8599"/>
      <c r="CC105" s="8600"/>
      <c r="CD105" s="8601"/>
      <c r="CE105" s="8521"/>
      <c r="CF105" s="8602"/>
      <c r="CG105" s="8284"/>
      <c r="CH105" s="8603"/>
      <c r="CI105" s="8604"/>
      <c r="CJ105" s="8605"/>
      <c r="CK105" s="8606"/>
      <c r="CL105" s="8607"/>
      <c r="CM105" s="8038"/>
      <c r="CN105" s="8608"/>
      <c r="CO105" s="8609"/>
      <c r="CP105" s="8610"/>
    </row>
    <row r="106" spans="1:94">
      <c r="A106" s="8611"/>
      <c r="B106" s="8612"/>
      <c r="C106" s="8613"/>
      <c r="D106" s="8296"/>
      <c r="E106" s="8614"/>
      <c r="F106" s="8615"/>
      <c r="G106" s="8616"/>
      <c r="H106" s="8617"/>
      <c r="I106" s="8128"/>
      <c r="J106" s="8618"/>
      <c r="K106" s="8208"/>
      <c r="L106" s="8464"/>
      <c r="M106" s="8208"/>
      <c r="N106" s="8619"/>
      <c r="O106" s="8620"/>
      <c r="P106" s="8621"/>
      <c r="Q106" s="8622"/>
      <c r="R106" s="8623"/>
      <c r="S106" s="8624" t="s">
        <v>36</v>
      </c>
      <c r="T106" s="8625"/>
      <c r="U106" s="8626"/>
      <c r="V106" s="8627"/>
      <c r="W106" s="8628"/>
      <c r="X106" s="8629"/>
      <c r="Y106" s="7463"/>
      <c r="Z106" s="8630"/>
      <c r="AA106" s="8631"/>
      <c r="AB106" s="8632"/>
      <c r="AC106" s="8633"/>
      <c r="AD106" s="8634"/>
      <c r="AE106" s="8635"/>
      <c r="AF106" s="8636"/>
      <c r="AG106" s="8637"/>
      <c r="AH106" s="8638"/>
      <c r="AI106" s="8639"/>
      <c r="AJ106" s="6281"/>
      <c r="AK106" s="8640"/>
      <c r="AL106" s="8641"/>
      <c r="AM106" s="8642"/>
      <c r="AN106" s="8643"/>
      <c r="AO106" s="8644"/>
      <c r="AP106" s="8645"/>
      <c r="AQ106" s="8646"/>
      <c r="AR106" s="8647"/>
      <c r="AS106" s="8648"/>
      <c r="AT106" s="8649"/>
      <c r="AU106" s="8650"/>
      <c r="AV106" s="8651"/>
      <c r="AW106" s="8652"/>
      <c r="AX106" s="8653"/>
      <c r="AY106" s="8654"/>
      <c r="AZ106" s="8655"/>
      <c r="BA106" s="8656" t="s">
        <v>38</v>
      </c>
      <c r="BB106" s="8657"/>
      <c r="BC106" s="8658"/>
      <c r="BD106" s="8659"/>
      <c r="BE106" s="8660"/>
      <c r="BF106" s="8661"/>
      <c r="BG106" s="8662"/>
      <c r="BH106" s="8663"/>
      <c r="BI106" s="8664"/>
      <c r="BJ106" s="8665"/>
      <c r="BK106" s="8666"/>
      <c r="BL106" s="8667"/>
      <c r="BM106" s="8668"/>
      <c r="BN106" s="8669"/>
      <c r="BO106" s="8670"/>
      <c r="BP106" s="8671"/>
      <c r="BQ106" s="8672"/>
      <c r="BR106" s="8673"/>
      <c r="BS106" s="8674"/>
      <c r="BT106" s="7565"/>
      <c r="BU106" s="8675"/>
      <c r="BV106" s="8676"/>
      <c r="BW106" s="8677"/>
      <c r="BX106" s="8678"/>
      <c r="BY106" s="8679"/>
      <c r="BZ106" s="8680"/>
      <c r="CA106" s="8681"/>
      <c r="CB106" s="8682"/>
      <c r="CC106" s="8683"/>
      <c r="CD106" s="8684"/>
      <c r="CE106" s="8685"/>
      <c r="CF106" s="8284"/>
      <c r="CG106" s="8686"/>
      <c r="CH106" s="8687"/>
      <c r="CI106" s="8282"/>
      <c r="CJ106" s="8688"/>
      <c r="CK106" s="8689"/>
      <c r="CL106" s="8690"/>
      <c r="CM106" s="8691"/>
      <c r="CN106" s="8524"/>
      <c r="CO106" s="8692"/>
      <c r="CP106" s="8693"/>
    </row>
    <row r="107" spans="1:94">
      <c r="A107" s="8694"/>
      <c r="B107" s="8695"/>
      <c r="C107" s="8696"/>
      <c r="D107" s="8209"/>
      <c r="E107" s="8697"/>
      <c r="F107" s="8698"/>
      <c r="G107" s="8699"/>
      <c r="H107" s="8700"/>
      <c r="I107" s="8701"/>
      <c r="J107" s="8702"/>
      <c r="K107" s="8703"/>
      <c r="L107" s="8704"/>
      <c r="M107" s="8705"/>
      <c r="N107" s="8619"/>
      <c r="O107" s="8706"/>
      <c r="P107" s="8707"/>
      <c r="Q107" s="8708"/>
      <c r="R107" s="8709"/>
      <c r="S107" s="8710" t="s">
        <v>36</v>
      </c>
      <c r="T107" s="8711"/>
      <c r="U107" s="8712"/>
      <c r="V107" s="8713"/>
      <c r="W107" s="8714"/>
      <c r="X107" s="8715"/>
      <c r="Y107" s="8716"/>
      <c r="Z107" s="7463"/>
      <c r="AA107" s="8717"/>
      <c r="AB107" s="8718"/>
      <c r="AC107" s="8719"/>
      <c r="AD107" s="8720"/>
      <c r="AE107" s="8721"/>
      <c r="AF107" s="7190"/>
      <c r="AG107" s="8722"/>
      <c r="AH107" s="8723"/>
      <c r="AI107" s="8724"/>
      <c r="AJ107" s="8725"/>
      <c r="AK107" s="8726"/>
      <c r="AL107" s="8727"/>
      <c r="AM107" s="8728"/>
      <c r="AN107" s="8729"/>
      <c r="AO107" s="8730"/>
      <c r="AP107" s="8731"/>
      <c r="AQ107" s="8732"/>
      <c r="AR107" s="8733"/>
      <c r="AS107" s="8734"/>
      <c r="AT107" s="8735"/>
      <c r="AU107" s="8736"/>
      <c r="AV107" s="8737"/>
      <c r="AW107" s="8738"/>
      <c r="AX107" s="8739"/>
      <c r="AY107" s="8740"/>
      <c r="AZ107" s="8741"/>
      <c r="BA107" s="8742" t="s">
        <v>38</v>
      </c>
      <c r="BB107" s="8743"/>
      <c r="BC107" s="8744"/>
      <c r="BD107" s="8745"/>
      <c r="BE107" s="8746"/>
      <c r="BF107" s="8747"/>
      <c r="BG107" s="8748"/>
      <c r="BH107" s="8749"/>
      <c r="BI107" s="8750"/>
      <c r="BJ107" s="8751"/>
      <c r="BK107" s="8752"/>
      <c r="BL107" s="8753"/>
      <c r="BM107" s="8754"/>
      <c r="BN107" s="8755"/>
      <c r="BO107" s="8756"/>
      <c r="BP107" s="8757"/>
      <c r="BQ107" s="8758"/>
      <c r="BR107" s="8428"/>
      <c r="BS107" s="8759"/>
      <c r="BT107" s="8760"/>
      <c r="BU107" s="8761"/>
      <c r="BV107" s="8762"/>
      <c r="BW107" s="8763"/>
      <c r="BX107" s="8764"/>
      <c r="BY107" s="8765"/>
      <c r="BZ107" s="8766"/>
      <c r="CA107" s="8767"/>
      <c r="CB107" s="8768"/>
      <c r="CC107" s="8769"/>
      <c r="CD107" s="8770"/>
      <c r="CE107" s="8771"/>
      <c r="CF107" s="8772"/>
      <c r="CG107" s="8205"/>
      <c r="CH107" s="8445"/>
      <c r="CI107" s="8526"/>
      <c r="CJ107" s="8773"/>
      <c r="CK107" s="8774"/>
      <c r="CL107" s="8775"/>
      <c r="CM107" s="8448"/>
      <c r="CN107" s="8776"/>
      <c r="CO107" s="8777"/>
      <c r="CP107" s="8778"/>
    </row>
    <row r="108" spans="1:94">
      <c r="A108" s="8779"/>
      <c r="B108" s="8780"/>
      <c r="C108" s="8781"/>
      <c r="D108" s="8782"/>
      <c r="E108" s="8783"/>
      <c r="F108" s="8784"/>
      <c r="G108" s="8785"/>
      <c r="H108" s="8786"/>
      <c r="I108" s="8787"/>
      <c r="J108" s="8788"/>
      <c r="K108" s="8703"/>
      <c r="L108" s="8530"/>
      <c r="M108" s="8789"/>
      <c r="N108" s="8461"/>
      <c r="O108" s="8790"/>
      <c r="P108" s="8791"/>
      <c r="Q108" s="8792" t="s">
        <v>36</v>
      </c>
      <c r="R108" s="8793" t="s">
        <v>40</v>
      </c>
      <c r="S108" s="6464" t="s">
        <v>40</v>
      </c>
      <c r="T108" s="8794"/>
      <c r="U108" s="8795"/>
      <c r="V108" s="8796"/>
      <c r="W108" s="8627"/>
      <c r="X108" s="8797"/>
      <c r="Y108" s="7551"/>
      <c r="Z108" s="8798"/>
      <c r="AA108" s="7719"/>
      <c r="AB108" s="8799"/>
      <c r="AC108" s="8800"/>
      <c r="AD108" s="8380"/>
      <c r="AE108" s="8801"/>
      <c r="AF108" s="8802"/>
      <c r="AG108" s="8803"/>
      <c r="AH108" s="8804"/>
      <c r="AI108" s="8805"/>
      <c r="AJ108" s="8806"/>
      <c r="AK108" s="8807"/>
      <c r="AL108" s="8808"/>
      <c r="AM108" s="8809"/>
      <c r="AN108" s="8727"/>
      <c r="AO108" s="8810"/>
      <c r="AP108" s="8811"/>
      <c r="AQ108" s="8812"/>
      <c r="AR108" s="8813"/>
      <c r="AS108" s="8814"/>
      <c r="AT108" s="8815"/>
      <c r="AU108" s="8816"/>
      <c r="AV108" s="8817"/>
      <c r="AW108" s="8818"/>
      <c r="AX108" s="8819"/>
      <c r="AY108" s="8820"/>
      <c r="AZ108" s="8821"/>
      <c r="BA108" s="8822" t="s">
        <v>38</v>
      </c>
      <c r="BB108" s="8823"/>
      <c r="BC108" s="8824"/>
      <c r="BD108" s="8825"/>
      <c r="BE108" s="8826"/>
      <c r="BF108" s="8827"/>
      <c r="BG108" s="8828"/>
      <c r="BH108" s="8290"/>
      <c r="BI108" s="8829"/>
      <c r="BJ108" s="8830"/>
      <c r="BK108" s="8831"/>
      <c r="BL108" s="8832"/>
      <c r="BM108" s="8833"/>
      <c r="BN108" s="8834"/>
      <c r="BO108" s="8835"/>
      <c r="BP108" s="8836"/>
      <c r="BQ108" s="7477"/>
      <c r="BR108" s="8837"/>
      <c r="BS108" s="8838"/>
      <c r="BT108" s="8839"/>
      <c r="BU108" s="8840"/>
      <c r="BV108" s="8841"/>
      <c r="BW108" s="8842"/>
      <c r="BX108" s="8843"/>
      <c r="BY108" s="8844"/>
      <c r="BZ108" s="8845"/>
      <c r="CA108" s="8846"/>
      <c r="CB108" s="8847"/>
      <c r="CC108" s="8848"/>
      <c r="CD108" s="8849"/>
      <c r="CE108" s="8850"/>
      <c r="CF108" s="8772"/>
      <c r="CG108" s="8035"/>
      <c r="CH108" s="8122"/>
      <c r="CI108" s="8284"/>
      <c r="CJ108" s="8851"/>
      <c r="CK108" s="8852"/>
      <c r="CL108" s="8853"/>
      <c r="CM108" s="8854"/>
      <c r="CN108" s="8691"/>
      <c r="CO108" s="8855"/>
      <c r="CP108" s="8778"/>
    </row>
    <row r="109" spans="1:94">
      <c r="A109" s="8779"/>
      <c r="B109" s="8856"/>
      <c r="C109" s="8857"/>
      <c r="D109" s="8858"/>
      <c r="E109" s="8704"/>
      <c r="F109" s="8859"/>
      <c r="G109" s="8860"/>
      <c r="H109" s="8861"/>
      <c r="I109" s="8459"/>
      <c r="J109" s="8862"/>
      <c r="K109" s="8863"/>
      <c r="L109" s="8864"/>
      <c r="M109" s="8865"/>
      <c r="N109" s="8866"/>
      <c r="O109" s="8867"/>
      <c r="P109" s="8868"/>
      <c r="Q109" s="8869" t="s">
        <v>36</v>
      </c>
      <c r="R109" s="8870"/>
      <c r="S109" s="8871"/>
      <c r="T109" s="8872"/>
      <c r="U109" s="8873"/>
      <c r="V109" s="8874"/>
      <c r="W109" s="8875"/>
      <c r="X109" s="8876"/>
      <c r="Y109" s="8877"/>
      <c r="Z109" s="8878"/>
      <c r="AA109" s="8879"/>
      <c r="AB109" s="8880"/>
      <c r="AC109" s="8881"/>
      <c r="AD109" s="8882"/>
      <c r="AE109" s="8883"/>
      <c r="AF109" s="8884"/>
      <c r="AG109" s="8885"/>
      <c r="AH109" s="8886"/>
      <c r="AI109" s="8887"/>
      <c r="AJ109" s="8888"/>
      <c r="AK109" s="8889"/>
      <c r="AL109" s="8889"/>
      <c r="AM109" s="8890"/>
      <c r="AN109" s="8891"/>
      <c r="AO109" s="8892"/>
      <c r="AP109" s="8893"/>
      <c r="AQ109" s="8894"/>
      <c r="AR109" s="8895"/>
      <c r="AS109" s="8896"/>
      <c r="AT109" s="8897"/>
      <c r="AU109" s="8898"/>
      <c r="AV109" s="8899"/>
      <c r="AW109" s="8900"/>
      <c r="AX109" s="8901"/>
      <c r="AY109" s="8902"/>
      <c r="AZ109" s="8903"/>
      <c r="BA109" s="8904" t="s">
        <v>38</v>
      </c>
      <c r="BB109" s="8905"/>
      <c r="BC109" s="8906"/>
      <c r="BD109" s="8907"/>
      <c r="BE109" s="8908"/>
      <c r="BF109" s="8909"/>
      <c r="BG109" s="8910"/>
      <c r="BH109" s="8911"/>
      <c r="BI109" s="8912"/>
      <c r="BJ109" s="8913"/>
      <c r="BK109" s="8914"/>
      <c r="BL109" s="8915"/>
      <c r="BM109" s="8916"/>
      <c r="BN109" s="8917"/>
      <c r="BO109" s="8918"/>
      <c r="BP109" s="8919"/>
      <c r="BQ109" s="8428"/>
      <c r="BR109" s="8920"/>
      <c r="BS109" s="7838"/>
      <c r="BT109" s="8921"/>
      <c r="BU109" s="8922"/>
      <c r="BV109" s="8923"/>
      <c r="BW109" s="8924"/>
      <c r="BX109" s="8925"/>
      <c r="BY109" s="8926"/>
      <c r="BZ109" s="8766"/>
      <c r="CA109" s="8927"/>
      <c r="CB109" s="8928"/>
      <c r="CC109" s="8929"/>
      <c r="CD109" s="8930"/>
      <c r="CE109" s="8931"/>
      <c r="CF109" s="8932"/>
      <c r="CG109" s="8933"/>
      <c r="CH109" s="8284"/>
      <c r="CI109" s="8446"/>
      <c r="CJ109" s="8934"/>
      <c r="CK109" s="8851"/>
      <c r="CL109" s="8935"/>
      <c r="CM109" s="8936"/>
      <c r="CN109" s="8937"/>
      <c r="CO109" s="8938"/>
      <c r="CP109" s="8939"/>
    </row>
    <row r="110" spans="1:94">
      <c r="A110" s="8940"/>
      <c r="B110" s="8941"/>
      <c r="C110" s="8942"/>
      <c r="D110" s="8943"/>
      <c r="E110" s="8944"/>
      <c r="F110" s="8945"/>
      <c r="G110" s="8946"/>
      <c r="H110" s="8947"/>
      <c r="I110" s="8948"/>
      <c r="J110" s="8949"/>
      <c r="K110" s="8292"/>
      <c r="L110" s="8864"/>
      <c r="M110" s="8292"/>
      <c r="N110" s="8950"/>
      <c r="O110" s="8951"/>
      <c r="P110" s="8952"/>
      <c r="Q110" s="8953" t="s">
        <v>36</v>
      </c>
      <c r="R110" s="8954"/>
      <c r="S110" s="8955"/>
      <c r="T110" s="8956"/>
      <c r="U110" s="8957"/>
      <c r="V110" s="8958"/>
      <c r="W110" s="8959"/>
      <c r="X110" s="8960"/>
      <c r="Y110" s="8961"/>
      <c r="Z110" s="8962"/>
      <c r="AA110" s="8797"/>
      <c r="AB110" s="8963"/>
      <c r="AC110" s="8964"/>
      <c r="AD110" s="6617"/>
      <c r="AE110" s="8965"/>
      <c r="AF110" s="8966"/>
      <c r="AG110" s="8967"/>
      <c r="AH110" s="8968"/>
      <c r="AI110" s="8828"/>
      <c r="AJ110" s="8472"/>
      <c r="AK110" s="8969"/>
      <c r="AL110" s="8970"/>
      <c r="AM110" s="8971"/>
      <c r="AN110" s="8972"/>
      <c r="AO110" s="6409"/>
      <c r="AP110" s="8973"/>
      <c r="AQ110" s="8974"/>
      <c r="AR110" s="8975"/>
      <c r="AS110" s="8976"/>
      <c r="AT110" s="8977"/>
      <c r="AU110" s="8978"/>
      <c r="AV110" s="8900"/>
      <c r="AW110" s="8979"/>
      <c r="AX110" s="8980"/>
      <c r="AY110" s="8981"/>
      <c r="AZ110" s="8982"/>
      <c r="BA110" s="8983" t="s">
        <v>38</v>
      </c>
      <c r="BB110" s="8984"/>
      <c r="BC110" s="8985"/>
      <c r="BD110" s="8986"/>
      <c r="BE110" s="8987"/>
      <c r="BF110" s="8988"/>
      <c r="BG110" s="8989"/>
      <c r="BH110" s="8990"/>
      <c r="BI110" s="8991"/>
      <c r="BJ110" s="8992"/>
      <c r="BK110" s="8993"/>
      <c r="BL110" s="8994"/>
      <c r="BM110" s="8995"/>
      <c r="BN110" s="8996"/>
      <c r="BO110" s="8997"/>
      <c r="BP110" s="8998"/>
      <c r="BQ110" s="8999"/>
      <c r="BR110" s="9000"/>
      <c r="BS110" s="9001"/>
      <c r="BT110" s="9002"/>
      <c r="BU110" s="9003"/>
      <c r="BV110" s="9004"/>
      <c r="BW110" s="9005"/>
      <c r="BX110" s="9006"/>
      <c r="BY110" s="9007"/>
      <c r="BZ110" s="9008"/>
      <c r="CA110" s="6870"/>
      <c r="CB110" s="9009"/>
      <c r="CC110" s="9010"/>
      <c r="CD110" s="9011"/>
      <c r="CE110" s="9012"/>
      <c r="CF110" s="9013"/>
      <c r="CG110" s="9014"/>
      <c r="CH110" s="9015"/>
      <c r="CI110" s="9016"/>
      <c r="CJ110" s="7440"/>
      <c r="CK110" s="8934"/>
      <c r="CL110" s="9017"/>
      <c r="CM110" s="8936"/>
      <c r="CN110" s="8936"/>
      <c r="CO110" s="9018"/>
      <c r="CP110" s="9019"/>
    </row>
    <row r="111" spans="1:94">
      <c r="A111" s="9020"/>
      <c r="B111" s="9021"/>
      <c r="C111" s="9022"/>
      <c r="D111" s="8949"/>
      <c r="E111" s="9023"/>
      <c r="F111" s="9024"/>
      <c r="G111" s="9025"/>
      <c r="H111" s="9026"/>
      <c r="I111" s="9027"/>
      <c r="J111" s="8530"/>
      <c r="K111" s="9028"/>
      <c r="L111" s="8455"/>
      <c r="M111" s="8862"/>
      <c r="N111" s="9029"/>
      <c r="O111" s="9030"/>
      <c r="P111" s="9031"/>
      <c r="Q111" s="9032" t="s">
        <v>36</v>
      </c>
      <c r="R111" s="9033"/>
      <c r="S111" s="9034"/>
      <c r="T111" s="9035"/>
      <c r="U111" s="9036"/>
      <c r="V111" s="9037"/>
      <c r="W111" s="9038"/>
      <c r="X111" s="9039"/>
      <c r="Y111" s="9040"/>
      <c r="Z111" s="9041"/>
      <c r="AA111" s="8472"/>
      <c r="AB111" s="9042"/>
      <c r="AC111" s="8547"/>
      <c r="AD111" s="9043"/>
      <c r="AE111" s="9044"/>
      <c r="AF111" s="9043"/>
      <c r="AG111" s="9045"/>
      <c r="AH111" s="9046"/>
      <c r="AI111" s="8307"/>
      <c r="AJ111" s="9047"/>
      <c r="AK111" s="9048"/>
      <c r="AL111" s="9049"/>
      <c r="AM111" s="8828"/>
      <c r="AN111" s="8724"/>
      <c r="AO111" s="6500"/>
      <c r="AP111" s="9050"/>
      <c r="AQ111" s="9051"/>
      <c r="AR111" s="9052"/>
      <c r="AS111" s="9053"/>
      <c r="AT111" s="9054"/>
      <c r="AU111" s="9055"/>
      <c r="AV111" s="9056"/>
      <c r="AW111" s="9057"/>
      <c r="AX111" s="9058"/>
      <c r="AY111" s="9059"/>
      <c r="AZ111" s="9060"/>
      <c r="BA111" s="9061" t="s">
        <v>38</v>
      </c>
      <c r="BB111" s="9062"/>
      <c r="BC111" s="9063"/>
      <c r="BD111" s="9064"/>
      <c r="BE111" s="9065"/>
      <c r="BF111" s="9066"/>
      <c r="BG111" s="9067"/>
      <c r="BH111" s="9068"/>
      <c r="BI111" s="9069"/>
      <c r="BJ111" s="9070"/>
      <c r="BK111" s="9071"/>
      <c r="BL111" s="9072"/>
      <c r="BM111" s="9073"/>
      <c r="BN111" s="9074"/>
      <c r="BO111" s="9075"/>
      <c r="BP111" s="9076"/>
      <c r="BQ111" s="9077"/>
      <c r="BR111" s="9078"/>
      <c r="BS111" s="9079"/>
      <c r="BT111" s="7823"/>
      <c r="BU111" s="9080"/>
      <c r="BV111" s="9081"/>
      <c r="BW111" s="9082"/>
      <c r="BX111" s="9083"/>
      <c r="BY111" s="9084"/>
      <c r="BZ111" s="9085"/>
      <c r="CA111" s="9086"/>
      <c r="CB111" s="9087"/>
      <c r="CC111" s="9088"/>
      <c r="CD111" s="9089"/>
      <c r="CE111" s="9090"/>
      <c r="CF111" s="9091"/>
      <c r="CG111" s="9092"/>
      <c r="CH111" s="8852"/>
      <c r="CI111" s="9093"/>
      <c r="CJ111" s="9016"/>
      <c r="CK111" s="9094"/>
      <c r="CL111" s="9095"/>
      <c r="CM111" s="8936"/>
      <c r="CN111" s="8936"/>
      <c r="CO111" s="9096"/>
      <c r="CP111" s="9018"/>
    </row>
    <row r="112" spans="1:94">
      <c r="A112" s="9097"/>
      <c r="B112" s="9098"/>
      <c r="C112" s="9099"/>
      <c r="D112" s="9100"/>
      <c r="E112" s="8454"/>
      <c r="F112" s="9101"/>
      <c r="G112" s="9102"/>
      <c r="H112" s="9103"/>
      <c r="I112" s="9104"/>
      <c r="J112" s="9105"/>
      <c r="K112" s="8700"/>
      <c r="L112" s="9106"/>
      <c r="M112" s="8944"/>
      <c r="N112" s="9107"/>
      <c r="O112" s="9108"/>
      <c r="P112" s="9109"/>
      <c r="Q112" s="9110" t="s">
        <v>36</v>
      </c>
      <c r="R112" s="9111"/>
      <c r="S112" s="9112"/>
      <c r="T112" s="9113"/>
      <c r="U112" s="9114"/>
      <c r="V112" s="9115"/>
      <c r="W112" s="9116"/>
      <c r="X112" s="9117"/>
      <c r="Y112" s="9118"/>
      <c r="Z112" s="8899"/>
      <c r="AA112" s="9045"/>
      <c r="AB112" s="9119"/>
      <c r="AC112" s="9120"/>
      <c r="AD112" s="6236"/>
      <c r="AE112" s="9121"/>
      <c r="AF112" s="9122"/>
      <c r="AG112" s="9123"/>
      <c r="AH112" s="9124"/>
      <c r="AI112" s="8967"/>
      <c r="AJ112" s="8738"/>
      <c r="AK112" s="9125"/>
      <c r="AL112" s="8962"/>
      <c r="AM112" s="9126"/>
      <c r="AN112" s="8966"/>
      <c r="AO112" s="9127"/>
      <c r="AP112" s="9128"/>
      <c r="AQ112" s="9129"/>
      <c r="AR112" s="9130"/>
      <c r="AS112" s="9131"/>
      <c r="AT112" s="9132"/>
      <c r="AU112" s="9055"/>
      <c r="AV112" s="9133"/>
      <c r="AW112" s="9134"/>
      <c r="AX112" s="9135"/>
      <c r="AY112" s="9136"/>
      <c r="AZ112" s="9137"/>
      <c r="BA112" s="9138" t="s">
        <v>38</v>
      </c>
      <c r="BB112" s="9139"/>
      <c r="BC112" s="9140"/>
      <c r="BD112" s="9141"/>
      <c r="BE112" s="9065"/>
      <c r="BF112" s="9142"/>
      <c r="BG112" s="9143"/>
      <c r="BH112" s="9144"/>
      <c r="BI112" s="9145"/>
      <c r="BJ112" s="9146"/>
      <c r="BK112" s="9147"/>
      <c r="BL112" s="9148"/>
      <c r="BM112" s="9149"/>
      <c r="BN112" s="9150"/>
      <c r="BO112" s="9151"/>
      <c r="BP112" s="9152"/>
      <c r="BQ112" s="9153"/>
      <c r="BR112" s="9154"/>
      <c r="BS112" s="9155"/>
      <c r="BT112" s="9156"/>
      <c r="BU112" s="9157"/>
      <c r="BV112" s="9158"/>
      <c r="BW112" s="9159"/>
      <c r="BX112" s="9160"/>
      <c r="BY112" s="9161"/>
      <c r="BZ112" s="9162"/>
      <c r="CA112" s="9163"/>
      <c r="CB112" s="9164"/>
      <c r="CC112" s="9165"/>
      <c r="CD112" s="9166"/>
      <c r="CE112" s="9167"/>
      <c r="CF112" s="9014"/>
      <c r="CG112" s="9168"/>
      <c r="CH112" s="9169"/>
      <c r="CI112" s="8852"/>
      <c r="CJ112" s="8934"/>
      <c r="CK112" s="8691"/>
      <c r="CL112" s="9170"/>
      <c r="CM112" s="8936"/>
      <c r="CN112" s="9171"/>
      <c r="CO112" s="9171"/>
      <c r="CP112" s="9172"/>
    </row>
    <row r="113" spans="1:94">
      <c r="A113" s="9173"/>
      <c r="B113" s="9021"/>
      <c r="C113" s="9174"/>
      <c r="D113" s="9175"/>
      <c r="E113" s="8704"/>
      <c r="F113" s="9176"/>
      <c r="G113" s="9177"/>
      <c r="H113" s="9178"/>
      <c r="I113" s="9179"/>
      <c r="J113" s="9180"/>
      <c r="K113" s="9181"/>
      <c r="L113" s="9182"/>
      <c r="M113" s="9183"/>
      <c r="N113" s="9184"/>
      <c r="O113" s="9185"/>
      <c r="P113" s="9186"/>
      <c r="Q113" s="9187" t="s">
        <v>36</v>
      </c>
      <c r="R113" s="9188"/>
      <c r="S113" s="9189"/>
      <c r="T113" s="9190"/>
      <c r="U113" s="9191"/>
      <c r="V113" s="9192"/>
      <c r="W113" s="9193"/>
      <c r="X113" s="9194"/>
      <c r="Y113" s="8463"/>
      <c r="Z113" s="9195"/>
      <c r="AA113" s="9196"/>
      <c r="AB113" s="9197"/>
      <c r="AC113" s="9198"/>
      <c r="AD113" s="9046"/>
      <c r="AE113" s="9199"/>
      <c r="AF113" s="9200"/>
      <c r="AG113" s="8989"/>
      <c r="AH113" s="8816"/>
      <c r="AI113" s="8816"/>
      <c r="AJ113" s="9201"/>
      <c r="AK113" s="9202"/>
      <c r="AL113" s="9040"/>
      <c r="AM113" s="9203"/>
      <c r="AN113" s="9204"/>
      <c r="AO113" s="8963"/>
      <c r="AP113" s="9205"/>
      <c r="AQ113" s="9206"/>
      <c r="AR113" s="9207"/>
      <c r="AS113" s="9208"/>
      <c r="AT113" s="9209"/>
      <c r="AU113" s="9210"/>
      <c r="AV113" s="9115"/>
      <c r="AW113" s="8790"/>
      <c r="AX113" s="9211"/>
      <c r="AY113" s="9212"/>
      <c r="AZ113" s="9213"/>
      <c r="BA113" s="9214" t="s">
        <v>38</v>
      </c>
      <c r="BB113" s="9215"/>
      <c r="BC113" s="9216"/>
      <c r="BD113" s="9217"/>
      <c r="BE113" s="9218"/>
      <c r="BF113" s="9219"/>
      <c r="BG113" s="9220"/>
      <c r="BH113" s="9221"/>
      <c r="BI113" s="9222"/>
      <c r="BJ113" s="9223"/>
      <c r="BK113" s="9224"/>
      <c r="BL113" s="9225"/>
      <c r="BM113" s="9226"/>
      <c r="BN113" s="9227"/>
      <c r="BO113" s="9228"/>
      <c r="BP113" s="9229"/>
      <c r="BQ113" s="9230"/>
      <c r="BR113" s="9231"/>
      <c r="BS113" s="9232"/>
      <c r="BT113" s="9233"/>
      <c r="BU113" s="9234"/>
      <c r="BV113" s="9235"/>
      <c r="BW113" s="9236"/>
      <c r="BX113" s="9237"/>
      <c r="BY113" s="9238"/>
      <c r="BZ113" s="9239"/>
      <c r="CA113" s="9240"/>
      <c r="CB113" s="9241"/>
      <c r="CC113" s="9242"/>
      <c r="CD113" s="9243"/>
      <c r="CE113" s="9244"/>
      <c r="CF113" s="9245"/>
      <c r="CG113" s="8526"/>
      <c r="CH113" s="7611"/>
      <c r="CI113" s="9246"/>
      <c r="CJ113" s="8445"/>
      <c r="CK113" s="9247"/>
      <c r="CL113" s="8608"/>
      <c r="CM113" s="9248"/>
      <c r="CN113" s="8934"/>
      <c r="CO113" s="9248"/>
      <c r="CP113" s="9017"/>
    </row>
    <row r="114" spans="1:94">
      <c r="A114" s="9037"/>
      <c r="B114" s="9022"/>
      <c r="C114" s="8703"/>
      <c r="D114" s="9249"/>
      <c r="E114" s="9250"/>
      <c r="F114" s="9194"/>
      <c r="G114" s="9251"/>
      <c r="H114" s="9252"/>
      <c r="I114" s="9253"/>
      <c r="J114" s="9056"/>
      <c r="K114" s="9254"/>
      <c r="L114" s="8780"/>
      <c r="M114" s="7866"/>
      <c r="N114" s="9255"/>
      <c r="O114" s="9256"/>
      <c r="P114" s="9257"/>
      <c r="Q114" s="9258" t="s">
        <v>36</v>
      </c>
      <c r="R114" s="9259"/>
      <c r="S114" s="9260"/>
      <c r="T114" s="9261"/>
      <c r="U114" s="9262"/>
      <c r="V114" s="9263"/>
      <c r="W114" s="9264"/>
      <c r="X114" s="9265"/>
      <c r="Y114" s="9266"/>
      <c r="Z114" s="9267"/>
      <c r="AA114" s="9268"/>
      <c r="AB114" s="9269"/>
      <c r="AC114" s="9046"/>
      <c r="AD114" s="8887"/>
      <c r="AE114" s="9270"/>
      <c r="AF114" s="8900"/>
      <c r="AG114" s="9271"/>
      <c r="AH114" s="9272"/>
      <c r="AI114" s="9198"/>
      <c r="AJ114" s="9273"/>
      <c r="AK114" s="9274"/>
      <c r="AL114" s="8989"/>
      <c r="AM114" s="8816"/>
      <c r="AN114" s="9275"/>
      <c r="AO114" s="9276"/>
      <c r="AP114" s="9277"/>
      <c r="AQ114" s="9278"/>
      <c r="AR114" s="9279"/>
      <c r="AS114" s="9280"/>
      <c r="AT114" s="8979"/>
      <c r="AU114" s="9281"/>
      <c r="AV114" s="9282"/>
      <c r="AW114" s="9283"/>
      <c r="AX114" s="9284"/>
      <c r="AY114" s="9285"/>
      <c r="AZ114" s="9286"/>
      <c r="BA114" s="9287" t="s">
        <v>38</v>
      </c>
      <c r="BB114" s="9288"/>
      <c r="BC114" s="9289"/>
      <c r="BD114" s="8900"/>
      <c r="BE114" s="9290"/>
      <c r="BF114" s="9291"/>
      <c r="BG114" s="9292"/>
      <c r="BH114" s="9293"/>
      <c r="BI114" s="9294"/>
      <c r="BJ114" s="9295"/>
      <c r="BK114" s="9296"/>
      <c r="BL114" s="9297"/>
      <c r="BM114" s="9298"/>
      <c r="BN114" s="9299"/>
      <c r="BO114" s="9300"/>
      <c r="BP114" s="9301"/>
      <c r="BQ114" s="9302"/>
      <c r="BR114" s="9303"/>
      <c r="BS114" s="9304"/>
      <c r="BT114" s="9305"/>
      <c r="BU114" s="9306"/>
      <c r="BV114" s="9307"/>
      <c r="BW114" s="9308"/>
      <c r="BX114" s="9309"/>
      <c r="BY114" s="9310"/>
      <c r="BZ114" s="9311"/>
      <c r="CA114" s="9312"/>
      <c r="CB114" s="9313"/>
      <c r="CC114" s="9314"/>
      <c r="CD114" s="9315"/>
      <c r="CE114" s="9316"/>
      <c r="CF114" s="9317"/>
      <c r="CG114" s="9318"/>
      <c r="CH114" s="9319"/>
      <c r="CI114" s="9320"/>
      <c r="CJ114" s="9321"/>
      <c r="CK114" s="9322"/>
      <c r="CL114" s="9323"/>
      <c r="CM114" s="9324"/>
      <c r="CN114" s="9325"/>
      <c r="CO114" s="9326"/>
      <c r="CP114" s="9327"/>
    </row>
    <row r="115" spans="1:94">
      <c r="A115" s="9193"/>
      <c r="B115" s="9328"/>
      <c r="C115" s="9329"/>
      <c r="D115" s="9330"/>
      <c r="E115" s="9331"/>
      <c r="F115" s="8700"/>
      <c r="G115" s="9332"/>
      <c r="H115" s="9333"/>
      <c r="I115" s="9334"/>
      <c r="J115" s="9335"/>
      <c r="K115" s="9336"/>
      <c r="L115" s="9337"/>
      <c r="M115" s="9338"/>
      <c r="N115" s="9339"/>
      <c r="O115" s="9340"/>
      <c r="P115" s="9341"/>
      <c r="Q115" s="9342" t="s">
        <v>36</v>
      </c>
      <c r="R115" s="9343"/>
      <c r="S115" s="9344"/>
      <c r="T115" s="9345"/>
      <c r="U115" s="9346"/>
      <c r="V115" s="9347"/>
      <c r="W115" s="9348"/>
      <c r="X115" s="9349"/>
      <c r="Y115" s="9350"/>
      <c r="Z115" s="9351"/>
      <c r="AA115" s="9352"/>
      <c r="AB115" s="9353"/>
      <c r="AC115" s="9354"/>
      <c r="AD115" s="9355"/>
      <c r="AE115" s="9269"/>
      <c r="AF115" s="9356"/>
      <c r="AG115" s="8989"/>
      <c r="AH115" s="8816"/>
      <c r="AI115" s="9270"/>
      <c r="AJ115" s="9357"/>
      <c r="AK115" s="9358"/>
      <c r="AL115" s="8989"/>
      <c r="AM115" s="9359"/>
      <c r="AN115" s="9360"/>
      <c r="AO115" s="9361"/>
      <c r="AP115" s="9362"/>
      <c r="AQ115" s="9363"/>
      <c r="AR115" s="9364"/>
      <c r="AS115" s="9365"/>
      <c r="AT115" s="9366"/>
      <c r="AU115" s="9367"/>
      <c r="AV115" s="9200"/>
      <c r="AW115" s="9056"/>
      <c r="AX115" s="9368"/>
      <c r="AY115" s="9369"/>
      <c r="AZ115" s="9370"/>
      <c r="BA115" s="9371" t="s">
        <v>38</v>
      </c>
      <c r="BB115" s="9372"/>
      <c r="BC115" s="9373"/>
      <c r="BD115" s="9374"/>
      <c r="BE115" s="9375"/>
      <c r="BF115" s="9292"/>
      <c r="BG115" s="9376"/>
      <c r="BH115" s="9376"/>
      <c r="BI115" s="9220"/>
      <c r="BJ115" s="9377"/>
      <c r="BK115" s="9378"/>
      <c r="BL115" s="9379"/>
      <c r="BM115" s="9380"/>
      <c r="BN115" s="9381"/>
      <c r="BO115" s="9382"/>
      <c r="BP115" s="9383"/>
      <c r="BQ115" s="9384"/>
      <c r="BR115" s="9385"/>
      <c r="BS115" s="9386"/>
      <c r="BT115" s="9387"/>
      <c r="BU115" s="9388"/>
      <c r="BV115" s="9389"/>
      <c r="BW115" s="9390"/>
      <c r="BX115" s="9391"/>
      <c r="BY115" s="9392"/>
      <c r="BZ115" s="9393"/>
      <c r="CA115" s="9394"/>
      <c r="CB115" s="9395"/>
      <c r="CC115" s="9396"/>
      <c r="CD115" s="9397"/>
      <c r="CE115" s="9398"/>
      <c r="CF115" s="9399"/>
      <c r="CG115" s="9400"/>
      <c r="CH115" s="9401"/>
      <c r="CI115" s="9402"/>
      <c r="CJ115" s="9403"/>
      <c r="CK115" s="9404"/>
      <c r="CL115" s="9405"/>
      <c r="CM115" s="9406"/>
      <c r="CN115" s="9407"/>
      <c r="CO115" s="9408"/>
      <c r="CP115" s="9409"/>
    </row>
    <row r="116" spans="1:94">
      <c r="A116" s="9106"/>
      <c r="B116" s="9410"/>
      <c r="C116" s="9411"/>
      <c r="D116" s="9412"/>
      <c r="E116" s="9413"/>
      <c r="F116" s="8456"/>
      <c r="G116" s="9414"/>
      <c r="H116" s="9415"/>
      <c r="I116" s="9416"/>
      <c r="J116" s="9417"/>
      <c r="K116" s="9418"/>
      <c r="L116" s="9419"/>
      <c r="M116" s="9420"/>
      <c r="N116" s="9421"/>
      <c r="O116" s="9422"/>
      <c r="P116" s="9423"/>
      <c r="Q116" s="9424" t="s">
        <v>36</v>
      </c>
      <c r="R116" s="9425"/>
      <c r="S116" s="9426"/>
      <c r="T116" s="9427"/>
      <c r="U116" s="9428"/>
      <c r="V116" s="9429"/>
      <c r="W116" s="9430"/>
      <c r="X116" s="9431"/>
      <c r="Y116" s="9432"/>
      <c r="Z116" s="9433"/>
      <c r="AA116" s="9434"/>
      <c r="AB116" s="9435"/>
      <c r="AC116" s="9436"/>
      <c r="AD116" s="9435"/>
      <c r="AE116" s="8368"/>
      <c r="AF116" s="9437"/>
      <c r="AG116" s="9266"/>
      <c r="AH116" s="9272"/>
      <c r="AI116" s="9435"/>
      <c r="AJ116" s="9270"/>
      <c r="AK116" s="9355"/>
      <c r="AL116" s="9200"/>
      <c r="AM116" s="9435"/>
      <c r="AN116" s="9360"/>
      <c r="AO116" s="9438"/>
      <c r="AP116" s="5799"/>
      <c r="AQ116" s="9439"/>
      <c r="AR116" s="9440"/>
      <c r="AS116" s="9441"/>
      <c r="AT116" s="9442"/>
      <c r="AU116" s="9443"/>
      <c r="AV116" s="9433"/>
      <c r="AW116" s="9444"/>
      <c r="AX116" s="9445"/>
      <c r="AY116" s="9446"/>
      <c r="AZ116" s="9447"/>
      <c r="BA116" s="9448" t="s">
        <v>38</v>
      </c>
      <c r="BB116" s="9449"/>
      <c r="BC116" s="9450"/>
      <c r="BD116" s="9451"/>
      <c r="BE116" s="9452"/>
      <c r="BF116" s="9453"/>
      <c r="BG116" s="9454"/>
      <c r="BH116" s="9455"/>
      <c r="BI116" s="9456"/>
      <c r="BJ116" s="9457"/>
      <c r="BK116" s="9458"/>
      <c r="BL116" s="9459"/>
      <c r="BM116" s="9460"/>
      <c r="BN116" s="9461"/>
      <c r="BO116" s="9462"/>
      <c r="BP116" s="9463"/>
      <c r="BQ116" s="9464"/>
      <c r="BR116" s="9465"/>
      <c r="BS116" s="9466"/>
      <c r="BT116" s="9467"/>
      <c r="BU116" s="9468"/>
      <c r="BV116" s="9469"/>
      <c r="BW116" s="9470"/>
      <c r="BX116" s="9471"/>
      <c r="BY116" s="9472"/>
      <c r="BZ116" s="9473"/>
      <c r="CA116" s="9474"/>
      <c r="CB116" s="9475"/>
      <c r="CC116" s="9476"/>
      <c r="CD116" s="9477"/>
      <c r="CE116" s="9478"/>
      <c r="CF116" s="9479"/>
      <c r="CG116" s="9480"/>
      <c r="CH116" s="9481"/>
      <c r="CI116" s="9482"/>
      <c r="CJ116" s="9483"/>
      <c r="CK116" s="9484"/>
      <c r="CL116" s="9485"/>
      <c r="CM116" s="9486"/>
      <c r="CN116" s="9487"/>
      <c r="CO116" s="9488"/>
      <c r="CP116" s="9489"/>
    </row>
    <row r="117" spans="1:94">
      <c r="A117" s="9490"/>
      <c r="B117" s="9491"/>
      <c r="C117" s="9492"/>
      <c r="D117" s="9493"/>
      <c r="E117" s="9494"/>
      <c r="F117" s="9173"/>
      <c r="G117" s="9495"/>
      <c r="H117" s="9496"/>
      <c r="I117" s="9497"/>
      <c r="J117" s="9498"/>
      <c r="K117" s="9099"/>
      <c r="L117" s="9499"/>
      <c r="M117" s="9211"/>
      <c r="N117" s="9500"/>
      <c r="O117" s="9501"/>
      <c r="P117" s="9502"/>
      <c r="Q117" s="9503" t="s">
        <v>36</v>
      </c>
      <c r="R117" s="9504"/>
      <c r="S117" s="9505"/>
      <c r="T117" s="9506"/>
      <c r="U117" s="9507"/>
      <c r="V117" s="9508"/>
      <c r="W117" s="9509"/>
      <c r="X117" s="9510"/>
      <c r="Y117" s="9511"/>
      <c r="Z117" s="9512"/>
      <c r="AA117" s="9513"/>
      <c r="AB117" s="9038"/>
      <c r="AC117" s="9514"/>
      <c r="AD117" s="9515"/>
      <c r="AE117" s="9516"/>
      <c r="AF117" s="9266"/>
      <c r="AG117" s="9517"/>
      <c r="AH117" s="9518"/>
      <c r="AI117" s="9272"/>
      <c r="AJ117" s="9519"/>
      <c r="AK117" s="8989"/>
      <c r="AL117" s="9520"/>
      <c r="AM117" s="7950"/>
      <c r="AN117" s="7961"/>
      <c r="AO117" s="9521"/>
      <c r="AP117" s="9522"/>
      <c r="AQ117" s="9523"/>
      <c r="AR117" s="9524"/>
      <c r="AS117" s="9525"/>
      <c r="AT117" s="9526"/>
      <c r="AU117" s="9267"/>
      <c r="AV117" s="9444"/>
      <c r="AW117" s="9527"/>
      <c r="AX117" s="9528"/>
      <c r="AY117" s="9529"/>
      <c r="AZ117" s="9530"/>
      <c r="BA117" s="9531" t="s">
        <v>38</v>
      </c>
      <c r="BB117" s="9532"/>
      <c r="BC117" s="8898"/>
      <c r="BD117" s="9533"/>
      <c r="BE117" s="9219"/>
      <c r="BF117" s="9534"/>
      <c r="BG117" s="9535"/>
      <c r="BH117" s="9536"/>
      <c r="BI117" s="8979"/>
      <c r="BJ117" s="9537"/>
      <c r="BK117" s="9538"/>
      <c r="BL117" s="9539"/>
      <c r="BM117" s="9540"/>
      <c r="BN117" s="9461"/>
      <c r="BO117" s="9541"/>
      <c r="BP117" s="9542"/>
      <c r="BQ117" s="9543"/>
      <c r="BR117" s="9544"/>
      <c r="BS117" s="9545"/>
      <c r="BT117" s="9546"/>
      <c r="BU117" s="9547"/>
      <c r="BV117" s="9548"/>
      <c r="BW117" s="9549"/>
      <c r="BX117" s="9550"/>
      <c r="BY117" s="9551"/>
      <c r="BZ117" s="9552"/>
      <c r="CA117" s="9553"/>
      <c r="CB117" s="9554"/>
      <c r="CC117" s="9555"/>
      <c r="CD117" s="9556"/>
      <c r="CE117" s="9557"/>
      <c r="CF117" s="9558"/>
      <c r="CG117" s="9559"/>
      <c r="CH117" s="9560"/>
      <c r="CI117" s="9561"/>
      <c r="CJ117" s="9562"/>
      <c r="CK117" s="9563"/>
      <c r="CL117" s="9564"/>
      <c r="CM117" s="9565"/>
      <c r="CN117" s="9566"/>
      <c r="CO117" s="9567"/>
      <c r="CP117" s="9568"/>
    </row>
    <row r="118" spans="1:94">
      <c r="A118" s="9569"/>
      <c r="B118" s="9570"/>
      <c r="C118" s="9571"/>
      <c r="D118" s="9572"/>
      <c r="E118" s="9573"/>
      <c r="F118" s="9100"/>
      <c r="G118" s="9574"/>
      <c r="H118" s="9575"/>
      <c r="I118" s="9576"/>
      <c r="J118" s="9577"/>
      <c r="K118" s="9578"/>
      <c r="L118" s="9579"/>
      <c r="M118" s="8865"/>
      <c r="N118" s="9580"/>
      <c r="O118" s="9581"/>
      <c r="P118" s="9582"/>
      <c r="Q118" s="9583" t="s">
        <v>36</v>
      </c>
      <c r="R118" s="9584"/>
      <c r="S118" s="9585"/>
      <c r="T118" s="9586"/>
      <c r="U118" s="9587"/>
      <c r="V118" s="9588"/>
      <c r="W118" s="9589"/>
      <c r="X118" s="9590"/>
      <c r="Y118" s="9512"/>
      <c r="Z118" s="9591"/>
      <c r="AA118" s="8902"/>
      <c r="AB118" s="9271"/>
      <c r="AC118" s="9517"/>
      <c r="AD118" s="9592"/>
      <c r="AE118" s="8368"/>
      <c r="AF118" s="9518"/>
      <c r="AG118" s="9593"/>
      <c r="AH118" s="9594"/>
      <c r="AI118" s="9595"/>
      <c r="AJ118" s="9596"/>
      <c r="AK118" s="9597"/>
      <c r="AL118" s="9598"/>
      <c r="AM118" s="9599"/>
      <c r="AN118" s="8962"/>
      <c r="AO118" s="8971"/>
      <c r="AP118" s="5800"/>
      <c r="AQ118" s="9600"/>
      <c r="AR118" s="9601"/>
      <c r="AS118" s="9602"/>
      <c r="AT118" s="9603"/>
      <c r="AU118" s="9604"/>
      <c r="AV118" s="9605"/>
      <c r="AW118" s="9606"/>
      <c r="AX118" s="9607"/>
      <c r="AY118" s="9608"/>
      <c r="AZ118" s="9609"/>
      <c r="BA118" s="9610" t="s">
        <v>38</v>
      </c>
      <c r="BB118" s="9611"/>
      <c r="BC118" s="9612"/>
      <c r="BD118" s="9290"/>
      <c r="BE118" s="9220"/>
      <c r="BF118" s="9613"/>
      <c r="BG118" s="9614"/>
      <c r="BH118" s="9615"/>
      <c r="BI118" s="9616"/>
      <c r="BJ118" s="9617"/>
      <c r="BK118" s="9618"/>
      <c r="BL118" s="9619"/>
      <c r="BM118" s="9620"/>
      <c r="BN118" s="9621"/>
      <c r="BO118" s="9622"/>
      <c r="BP118" s="9623"/>
      <c r="BQ118" s="9543"/>
      <c r="BR118" s="9624"/>
      <c r="BS118" s="9625"/>
      <c r="BT118" s="9626"/>
      <c r="BU118" s="9627"/>
      <c r="BV118" s="9628"/>
      <c r="BW118" s="9629"/>
      <c r="BX118" s="9630"/>
      <c r="BY118" s="9631"/>
      <c r="BZ118" s="9632"/>
      <c r="CA118" s="9633"/>
      <c r="CB118" s="9634"/>
      <c r="CC118" s="9635"/>
      <c r="CD118" s="9636"/>
      <c r="CE118" s="9637"/>
      <c r="CF118" s="9638"/>
      <c r="CG118" s="9639"/>
      <c r="CH118" s="9640"/>
      <c r="CI118" s="9641"/>
      <c r="CJ118" s="9642"/>
      <c r="CK118" s="9643"/>
      <c r="CL118" s="9644"/>
      <c r="CM118" s="9645"/>
      <c r="CN118" s="9646"/>
      <c r="CO118" s="9647"/>
      <c r="CP118" s="9648"/>
    </row>
    <row r="119" spans="1:94">
      <c r="A119" s="9649"/>
      <c r="B119" s="9650"/>
      <c r="C119" s="9651"/>
      <c r="D119" s="9652"/>
      <c r="E119" s="9653"/>
      <c r="F119" s="9191"/>
      <c r="G119" s="9654"/>
      <c r="H119" s="9655"/>
      <c r="I119" s="9656"/>
      <c r="J119" s="9653"/>
      <c r="K119" s="9657"/>
      <c r="L119" s="9658"/>
      <c r="M119" s="9193"/>
      <c r="N119" s="9659"/>
      <c r="O119" s="9660"/>
      <c r="P119" s="9661"/>
      <c r="Q119" s="9662" t="s">
        <v>36</v>
      </c>
      <c r="R119" s="9663"/>
      <c r="S119" s="9451"/>
      <c r="T119" s="8945"/>
      <c r="U119" s="9664"/>
      <c r="V119" s="9665"/>
      <c r="W119" s="9666"/>
      <c r="X119" s="9667"/>
      <c r="Y119" s="9668"/>
      <c r="Z119" s="9669"/>
      <c r="AA119" s="9670"/>
      <c r="AB119" s="9671"/>
      <c r="AC119" s="9672"/>
      <c r="AD119" s="9374"/>
      <c r="AE119" s="9142"/>
      <c r="AF119" s="9271"/>
      <c r="AG119" s="9673"/>
      <c r="AH119" s="6617"/>
      <c r="AI119" s="9674"/>
      <c r="AJ119" s="9596"/>
      <c r="AK119" s="9196"/>
      <c r="AL119" s="9675"/>
      <c r="AM119" s="9676"/>
      <c r="AN119" s="9677"/>
      <c r="AO119" s="8797"/>
      <c r="AP119" s="9678"/>
      <c r="AQ119" s="9679"/>
      <c r="AR119" s="9680"/>
      <c r="AS119" s="9681"/>
      <c r="AT119" s="9682"/>
      <c r="AU119" s="9683"/>
      <c r="AV119" s="9684"/>
      <c r="AW119" s="9685"/>
      <c r="AX119" s="9686"/>
      <c r="AY119" s="9687"/>
      <c r="AZ119" s="9688"/>
      <c r="BA119" s="9689" t="s">
        <v>38</v>
      </c>
      <c r="BB119" s="9690"/>
      <c r="BC119" s="9054"/>
      <c r="BD119" s="9691"/>
      <c r="BE119" s="9692"/>
      <c r="BF119" s="9693"/>
      <c r="BG119" s="9615"/>
      <c r="BH119" s="9694"/>
      <c r="BI119" s="9695"/>
      <c r="BJ119" s="9696"/>
      <c r="BK119" s="9697"/>
      <c r="BL119" s="9698"/>
      <c r="BM119" s="9699"/>
      <c r="BN119" s="9700"/>
      <c r="BO119" s="9701"/>
      <c r="BP119" s="9702"/>
      <c r="BQ119" s="9703"/>
      <c r="BR119" s="9704"/>
      <c r="BS119" s="9705"/>
      <c r="BT119" s="9706"/>
      <c r="BU119" s="9707"/>
      <c r="BV119" s="9708"/>
      <c r="BW119" s="9709"/>
      <c r="BX119" s="9631"/>
      <c r="BY119" s="9710"/>
      <c r="BZ119" s="9711"/>
      <c r="CA119" s="9712"/>
      <c r="CB119" s="9713"/>
      <c r="CC119" s="9714"/>
      <c r="CD119" s="9715"/>
      <c r="CE119" s="9716"/>
      <c r="CF119" s="9717"/>
      <c r="CG119" s="9718"/>
      <c r="CH119" s="9719"/>
      <c r="CI119" s="9720"/>
      <c r="CJ119" s="9721"/>
      <c r="CK119" s="9722"/>
      <c r="CL119" s="9721"/>
      <c r="CM119" s="9723"/>
      <c r="CN119" s="9724"/>
      <c r="CO119" s="9725"/>
      <c r="CP119" s="9726"/>
    </row>
    <row r="120" spans="1:94">
      <c r="A120" s="9727"/>
      <c r="B120" s="9728"/>
      <c r="C120" s="9729"/>
      <c r="D120" s="9730"/>
      <c r="E120" s="9731"/>
      <c r="F120" s="9732"/>
      <c r="G120" s="9733"/>
      <c r="H120" s="9734"/>
      <c r="I120" s="9735"/>
      <c r="J120" s="9736"/>
      <c r="K120" s="9498"/>
      <c r="L120" s="9737"/>
      <c r="M120" s="9738"/>
      <c r="N120" s="9739"/>
      <c r="O120" s="9740"/>
      <c r="P120" s="9741"/>
      <c r="Q120" s="9742" t="s">
        <v>36</v>
      </c>
      <c r="R120" s="9743"/>
      <c r="S120" s="9744"/>
      <c r="T120" s="9264"/>
      <c r="U120" s="9745"/>
      <c r="V120" s="9746"/>
      <c r="W120" s="9747"/>
      <c r="X120" s="9748"/>
      <c r="Y120" s="9749"/>
      <c r="Z120" s="9585"/>
      <c r="AA120" s="9672"/>
      <c r="AB120" s="9750"/>
      <c r="AC120" s="8902"/>
      <c r="AD120" s="9751"/>
      <c r="AE120" s="9752"/>
      <c r="AF120" s="9751"/>
      <c r="AG120" s="9518"/>
      <c r="AH120" s="9753"/>
      <c r="AI120" s="9754"/>
      <c r="AJ120" s="9755"/>
      <c r="AK120" s="9756"/>
      <c r="AL120" s="9675"/>
      <c r="AM120" s="9757"/>
      <c r="AN120" s="9758"/>
      <c r="AO120" s="8736"/>
      <c r="AP120" s="9759"/>
      <c r="AQ120" s="9760"/>
      <c r="AR120" s="9761"/>
      <c r="AS120" s="9762"/>
      <c r="AT120" s="9763"/>
      <c r="AU120" s="9764"/>
      <c r="AV120" s="9765"/>
      <c r="AW120" s="9591"/>
      <c r="AX120" s="9766"/>
      <c r="AY120" s="9767"/>
      <c r="AZ120" s="9768"/>
      <c r="BA120" s="9769" t="s">
        <v>38</v>
      </c>
      <c r="BB120" s="9770"/>
      <c r="BC120" s="9771"/>
      <c r="BD120" s="9669"/>
      <c r="BE120" s="9772"/>
      <c r="BF120" s="9773"/>
      <c r="BG120" s="9614"/>
      <c r="BH120" s="9774"/>
      <c r="BI120" s="9775"/>
      <c r="BJ120" s="9776"/>
      <c r="BK120" s="9777"/>
      <c r="BL120" s="9778"/>
      <c r="BM120" s="9779"/>
      <c r="BN120" s="9780"/>
      <c r="BO120" s="9781"/>
      <c r="BP120" s="9782"/>
      <c r="BQ120" s="9702"/>
      <c r="BR120" s="9783"/>
      <c r="BS120" s="9784"/>
      <c r="BT120" s="9785"/>
      <c r="BU120" s="9786"/>
      <c r="BV120" s="9787"/>
      <c r="BW120" s="9788"/>
      <c r="BX120" s="9789"/>
      <c r="BY120" s="9553"/>
      <c r="BZ120" s="9790"/>
      <c r="CA120" s="9791"/>
      <c r="CB120" s="9792"/>
      <c r="CC120" s="9793"/>
      <c r="CD120" s="9794"/>
      <c r="CE120" s="9795"/>
      <c r="CF120" s="9796"/>
      <c r="CG120" s="9797"/>
      <c r="CH120" s="9798"/>
      <c r="CI120" s="9799"/>
      <c r="CJ120" s="9800"/>
      <c r="CK120" s="9800"/>
      <c r="CL120" s="9801"/>
      <c r="CM120" s="9802"/>
      <c r="CN120" s="9803"/>
      <c r="CO120" s="9804"/>
      <c r="CP120" s="9805"/>
    </row>
    <row r="121" spans="1:94">
      <c r="A121" s="9806"/>
      <c r="B121" s="9807"/>
      <c r="C121" s="9808"/>
      <c r="D121" s="9809"/>
      <c r="E121" s="9810"/>
      <c r="F121" s="9811"/>
      <c r="G121" s="9812"/>
      <c r="H121" s="9813"/>
      <c r="I121" s="9814"/>
      <c r="J121" s="9815"/>
      <c r="K121" s="9816"/>
      <c r="L121" s="9817"/>
      <c r="M121" s="9818"/>
      <c r="N121" s="9421"/>
      <c r="O121" s="9819"/>
      <c r="P121" s="9820"/>
      <c r="Q121" s="9821" t="s">
        <v>36</v>
      </c>
      <c r="R121" s="9822"/>
      <c r="S121" s="9692"/>
      <c r="T121" s="9823"/>
      <c r="U121" s="9428"/>
      <c r="V121" s="9824"/>
      <c r="W121" s="9825"/>
      <c r="X121" s="9826"/>
      <c r="Y121" s="9827"/>
      <c r="Z121" s="9828"/>
      <c r="AA121" s="9829"/>
      <c r="AB121" s="9830"/>
      <c r="AC121" s="9831"/>
      <c r="AD121" s="9291"/>
      <c r="AE121" s="9832"/>
      <c r="AF121" s="9833"/>
      <c r="AG121" s="9834"/>
      <c r="AH121" s="9835"/>
      <c r="AI121" s="9836"/>
      <c r="AJ121" s="9837"/>
      <c r="AK121" s="9838"/>
      <c r="AL121" s="9269"/>
      <c r="AM121" s="9839"/>
      <c r="AN121" s="9840"/>
      <c r="AO121" s="9841"/>
      <c r="AP121" s="9842"/>
      <c r="AQ121" s="9843"/>
      <c r="AR121" s="9844"/>
      <c r="AS121" s="9845"/>
      <c r="AT121" s="9846"/>
      <c r="AU121" s="9847"/>
      <c r="AV121" s="9848"/>
      <c r="AW121" s="9849"/>
      <c r="AX121" s="9850"/>
      <c r="AY121" s="9851"/>
      <c r="AZ121" s="9852"/>
      <c r="BA121" s="9853" t="s">
        <v>38</v>
      </c>
      <c r="BB121" s="9854"/>
      <c r="BC121" s="9283"/>
      <c r="BD121" s="9855"/>
      <c r="BE121" s="9774"/>
      <c r="BF121" s="9775"/>
      <c r="BG121" s="9856"/>
      <c r="BH121" s="9857"/>
      <c r="BI121" s="9858"/>
      <c r="BJ121" s="9859"/>
      <c r="BK121" s="9860"/>
      <c r="BL121" s="9861"/>
      <c r="BM121" s="9862"/>
      <c r="BN121" s="9863"/>
      <c r="BO121" s="9623"/>
      <c r="BP121" s="9864"/>
      <c r="BQ121" s="9865"/>
      <c r="BR121" s="9866"/>
      <c r="BS121" s="9867"/>
      <c r="BT121" s="9868"/>
      <c r="BU121" s="9869"/>
      <c r="BV121" s="9870"/>
      <c r="BW121" s="9871"/>
      <c r="BX121" s="9872"/>
      <c r="BY121" s="9873"/>
      <c r="BZ121" s="9874"/>
      <c r="CA121" s="9875"/>
      <c r="CB121" s="9876"/>
      <c r="CC121" s="9877"/>
      <c r="CD121" s="9878"/>
      <c r="CE121" s="9879"/>
      <c r="CF121" s="9880"/>
      <c r="CG121" s="9881"/>
      <c r="CH121" s="9882"/>
      <c r="CI121" s="9799"/>
      <c r="CJ121" s="9883"/>
      <c r="CK121" s="9884"/>
      <c r="CL121" s="9885"/>
      <c r="CM121" s="9886"/>
      <c r="CN121" s="9887"/>
      <c r="CO121" s="9888"/>
      <c r="CP121" s="9889"/>
    </row>
    <row r="122" spans="1:94">
      <c r="A122" s="9890"/>
      <c r="B122" s="9891"/>
      <c r="C122" s="9892"/>
      <c r="D122" s="9893"/>
      <c r="E122" s="9894"/>
      <c r="F122" s="9895"/>
      <c r="G122" s="9896"/>
      <c r="H122" s="9897"/>
      <c r="I122" s="9898"/>
      <c r="J122" s="9899"/>
      <c r="K122" s="9900"/>
      <c r="L122" s="9901"/>
      <c r="M122" s="8865"/>
      <c r="N122" s="9902"/>
      <c r="O122" s="9903"/>
      <c r="P122" s="9904"/>
      <c r="Q122" s="9905" t="s">
        <v>36</v>
      </c>
      <c r="R122" s="9906"/>
      <c r="S122" s="9746"/>
      <c r="T122" s="9668"/>
      <c r="U122" s="9907"/>
      <c r="V122" s="9908"/>
      <c r="W122" s="9909"/>
      <c r="X122" s="9910"/>
      <c r="Y122" s="9911"/>
      <c r="Z122" s="9912"/>
      <c r="AA122" s="9913"/>
      <c r="AB122" s="9914"/>
      <c r="AC122" s="9914"/>
      <c r="AD122" s="9915"/>
      <c r="AE122" s="9916"/>
      <c r="AF122" s="9667"/>
      <c r="AG122" s="9917"/>
      <c r="AH122" s="9918"/>
      <c r="AI122" s="9919"/>
      <c r="AJ122" s="9920"/>
      <c r="AK122" s="9585"/>
      <c r="AL122" s="9757"/>
      <c r="AM122" s="9921"/>
      <c r="AN122" s="9922"/>
      <c r="AO122" s="9923"/>
      <c r="AP122" s="9924"/>
      <c r="AQ122" s="9925"/>
      <c r="AR122" s="9926"/>
      <c r="AS122" s="9927"/>
      <c r="AT122" s="9928"/>
      <c r="AU122" s="9929"/>
      <c r="AV122" s="9930"/>
      <c r="AW122" s="9931"/>
      <c r="AX122" s="9932"/>
      <c r="AY122" s="9933"/>
      <c r="AZ122" s="9934"/>
      <c r="BA122" s="9935" t="s">
        <v>38</v>
      </c>
      <c r="BB122" s="9936"/>
      <c r="BC122" s="9432"/>
      <c r="BD122" s="9292"/>
      <c r="BE122" s="9614"/>
      <c r="BF122" s="9937"/>
      <c r="BG122" s="9938"/>
      <c r="BH122" s="9939"/>
      <c r="BI122" s="9940"/>
      <c r="BJ122" s="9941"/>
      <c r="BK122" s="9942"/>
      <c r="BL122" s="9943"/>
      <c r="BM122" s="9944"/>
      <c r="BN122" s="9945"/>
      <c r="BO122" s="9946"/>
      <c r="BP122" s="9947"/>
      <c r="BQ122" s="9948"/>
      <c r="BR122" s="9949"/>
      <c r="BS122" s="9950"/>
      <c r="BT122" s="9951"/>
      <c r="BU122" s="9952"/>
      <c r="BV122" s="9953"/>
      <c r="BW122" s="9954"/>
      <c r="BX122" s="9955"/>
      <c r="BY122" s="9956"/>
      <c r="BZ122" s="9957"/>
      <c r="CA122" s="9958"/>
      <c r="CB122" s="9959"/>
      <c r="CC122" s="9960"/>
      <c r="CD122" s="9961"/>
      <c r="CE122" s="9962"/>
      <c r="CF122" s="9963"/>
      <c r="CG122" s="9964"/>
      <c r="CH122" s="9965"/>
      <c r="CI122" s="9966"/>
      <c r="CJ122" s="9967"/>
      <c r="CK122" s="9968"/>
      <c r="CL122" s="9882"/>
      <c r="CM122" s="9969"/>
      <c r="CN122" s="9970"/>
      <c r="CO122" s="9971"/>
      <c r="CP122" s="9972"/>
    </row>
    <row r="123" spans="1:94">
      <c r="A123" s="9973"/>
      <c r="B123" s="9974"/>
      <c r="C123" s="9975"/>
      <c r="D123" s="9976"/>
      <c r="E123" s="9977"/>
      <c r="F123" s="9978"/>
      <c r="G123" s="9979"/>
      <c r="H123" s="9980"/>
      <c r="I123" s="9981"/>
      <c r="J123" s="9982"/>
      <c r="K123" s="9983"/>
      <c r="L123" s="9984"/>
      <c r="M123" s="9114"/>
      <c r="N123" s="9985"/>
      <c r="O123" s="9986"/>
      <c r="P123" s="9987"/>
      <c r="Q123" s="9988" t="s">
        <v>36</v>
      </c>
      <c r="R123" s="9989"/>
      <c r="S123" s="9990"/>
      <c r="T123" s="9991"/>
      <c r="U123" s="9992"/>
      <c r="V123" s="9992"/>
      <c r="W123" s="9993"/>
      <c r="X123" s="9910"/>
      <c r="Y123" s="9994"/>
      <c r="Z123" s="9995"/>
      <c r="AA123" s="9996"/>
      <c r="AB123" s="9669"/>
      <c r="AC123" s="9748"/>
      <c r="AD123" s="9997"/>
      <c r="AE123" s="9998"/>
      <c r="AF123" s="9999"/>
      <c r="AG123" s="10000"/>
      <c r="AH123" s="10001"/>
      <c r="AI123" s="10002"/>
      <c r="AJ123" s="10003"/>
      <c r="AK123" s="10004"/>
      <c r="AL123" s="10005"/>
      <c r="AM123" s="10006"/>
      <c r="AN123" s="10007"/>
      <c r="AO123" s="10008"/>
      <c r="AP123" s="10009"/>
      <c r="AQ123" s="10010"/>
      <c r="AR123" s="10011"/>
      <c r="AS123" s="10012"/>
      <c r="AT123" s="10013"/>
      <c r="AU123" s="10014"/>
      <c r="AV123" s="10015"/>
      <c r="AW123" s="10016"/>
      <c r="AX123" s="10017"/>
      <c r="AY123" s="10018"/>
      <c r="AZ123" s="10019"/>
      <c r="BA123" s="10020" t="s">
        <v>38</v>
      </c>
      <c r="BB123" s="10021"/>
      <c r="BC123" s="10022"/>
      <c r="BD123" s="10023"/>
      <c r="BE123" s="10024"/>
      <c r="BF123" s="10025"/>
      <c r="BG123" s="10026"/>
      <c r="BH123" s="10027"/>
      <c r="BI123" s="10028"/>
      <c r="BJ123" s="10029"/>
      <c r="BK123" s="10030"/>
      <c r="BL123" s="10031"/>
      <c r="BM123" s="10032"/>
      <c r="BN123" s="10033"/>
      <c r="BO123" s="10034"/>
      <c r="BP123" s="10035"/>
      <c r="BQ123" s="10036"/>
      <c r="BR123" s="10037"/>
      <c r="BS123" s="10038"/>
      <c r="BT123" s="10039"/>
      <c r="BU123" s="10040"/>
      <c r="BV123" s="9710"/>
      <c r="BW123" s="10041"/>
      <c r="BX123" s="10042"/>
      <c r="BY123" s="10043"/>
      <c r="BZ123" s="10044"/>
      <c r="CA123" s="10045"/>
      <c r="CB123" s="10046"/>
      <c r="CC123" s="10047"/>
      <c r="CD123" s="10048"/>
      <c r="CE123" s="10049"/>
      <c r="CF123" s="10050"/>
      <c r="CG123" s="9883"/>
      <c r="CH123" s="10051"/>
      <c r="CI123" s="10052"/>
      <c r="CJ123" s="10053"/>
      <c r="CK123" s="10054"/>
      <c r="CL123" s="10055"/>
      <c r="CM123" s="10056"/>
      <c r="CN123" s="10057"/>
      <c r="CO123" s="10058"/>
      <c r="CP123" s="10059"/>
    </row>
    <row r="124" spans="1:94">
      <c r="A124" s="10060"/>
      <c r="B124" s="10061"/>
      <c r="C124" s="10062"/>
      <c r="D124" s="10063"/>
      <c r="E124" s="10064"/>
      <c r="F124" s="10065"/>
      <c r="G124" s="10066"/>
      <c r="H124" s="10067"/>
      <c r="I124" s="10068"/>
      <c r="J124" s="10069"/>
      <c r="K124" s="10070"/>
      <c r="L124" s="10071"/>
      <c r="M124" s="10072"/>
      <c r="N124" s="10073"/>
      <c r="O124" s="10074"/>
      <c r="P124" s="10075"/>
      <c r="Q124" s="10076" t="s">
        <v>36</v>
      </c>
      <c r="R124" s="10077"/>
      <c r="S124" s="10078"/>
      <c r="T124" s="9991"/>
      <c r="U124" s="10079"/>
      <c r="V124" s="10080"/>
      <c r="W124" s="10081"/>
      <c r="X124" s="10082"/>
      <c r="Y124" s="10083"/>
      <c r="Z124" s="10084"/>
      <c r="AA124" s="10085"/>
      <c r="AB124" s="10086"/>
      <c r="AC124" s="10087"/>
      <c r="AD124" s="10088"/>
      <c r="AE124" s="10089"/>
      <c r="AF124" s="10090"/>
      <c r="AG124" s="10091"/>
      <c r="AH124" s="10092"/>
      <c r="AI124" s="10093"/>
      <c r="AJ124" s="10094"/>
      <c r="AK124" s="10095"/>
      <c r="AL124" s="10096"/>
      <c r="AM124" s="10097"/>
      <c r="AN124" s="10098"/>
      <c r="AO124" s="10099"/>
      <c r="AP124" s="10100"/>
      <c r="AQ124" s="10101"/>
      <c r="AR124" s="10102"/>
      <c r="AS124" s="10103"/>
      <c r="AT124" s="10104"/>
      <c r="AU124" s="10105"/>
      <c r="AV124" s="10106"/>
      <c r="AW124" s="10107"/>
      <c r="AX124" s="10108"/>
      <c r="AY124" s="10109"/>
      <c r="AZ124" s="10110"/>
      <c r="BA124" s="10111" t="s">
        <v>38</v>
      </c>
      <c r="BB124" s="10112"/>
      <c r="BC124" s="10113"/>
      <c r="BD124" s="9917"/>
      <c r="BE124" s="10114"/>
      <c r="BF124" s="10115"/>
      <c r="BG124" s="10116"/>
      <c r="BH124" s="10117"/>
      <c r="BI124" s="10028"/>
      <c r="BJ124" s="10118"/>
      <c r="BK124" s="10119"/>
      <c r="BL124" s="10120"/>
      <c r="BM124" s="10121"/>
      <c r="BN124" s="10122"/>
      <c r="BO124" s="10123"/>
      <c r="BP124" s="10124"/>
      <c r="BQ124" s="10125"/>
      <c r="BR124" s="10126"/>
      <c r="BS124" s="10127"/>
      <c r="BT124" s="10128"/>
      <c r="BU124" s="10129"/>
      <c r="BV124" s="10130"/>
      <c r="BW124" s="10131"/>
      <c r="BX124" s="10132"/>
      <c r="BY124" s="10133"/>
      <c r="BZ124" s="10134"/>
      <c r="CA124" s="10135"/>
      <c r="CB124" s="10136"/>
      <c r="CC124" s="10137"/>
      <c r="CD124" s="10138"/>
      <c r="CE124" s="10139"/>
      <c r="CF124" s="10140"/>
      <c r="CG124" s="10141"/>
      <c r="CH124" s="10051"/>
      <c r="CI124" s="10142"/>
      <c r="CJ124" s="10143"/>
      <c r="CK124" s="10144"/>
      <c r="CL124" s="10145"/>
      <c r="CM124" s="9971"/>
      <c r="CN124" s="10146"/>
      <c r="CO124" s="10147"/>
      <c r="CP124" s="10148"/>
    </row>
    <row r="125" spans="1:94" ht="16.5" thickBot="1">
      <c r="A125" s="10149"/>
      <c r="B125" s="10150"/>
      <c r="C125" s="10151"/>
      <c r="D125" s="10152"/>
      <c r="E125" s="10153"/>
      <c r="F125" s="10154"/>
      <c r="G125" s="10155"/>
      <c r="H125" s="10156"/>
      <c r="I125" s="10157"/>
      <c r="J125" s="10158"/>
      <c r="K125" s="10159"/>
      <c r="L125" s="10160"/>
      <c r="M125" s="10161"/>
      <c r="N125" s="10162"/>
      <c r="O125" s="10163"/>
      <c r="P125" s="10164"/>
      <c r="Q125" s="10165" t="s">
        <v>36</v>
      </c>
      <c r="R125" s="10166"/>
      <c r="S125" s="10167"/>
      <c r="T125" s="9264"/>
      <c r="U125" s="10168"/>
      <c r="V125" s="10169"/>
      <c r="W125" s="10170"/>
      <c r="X125" s="10171"/>
      <c r="Y125" s="10172"/>
      <c r="Z125" s="10083"/>
      <c r="AA125" s="9827"/>
      <c r="AB125" s="9907"/>
      <c r="AC125" s="9824"/>
      <c r="AD125" s="10173"/>
      <c r="AE125" s="10174"/>
      <c r="AF125" s="10175"/>
      <c r="AG125" s="10176"/>
      <c r="AH125" s="10177"/>
      <c r="AI125" s="10178"/>
      <c r="AJ125" s="10094"/>
      <c r="AK125" s="10179"/>
      <c r="AL125" s="10180"/>
      <c r="AM125" s="10181"/>
      <c r="AN125" s="10182"/>
      <c r="AO125" s="10183"/>
      <c r="AP125" s="10099"/>
      <c r="AQ125" s="10184"/>
      <c r="AR125" s="10185"/>
      <c r="AS125" s="10186"/>
      <c r="AT125" s="10187"/>
      <c r="AU125" s="10188"/>
      <c r="AV125" s="10189"/>
      <c r="AW125" s="10190"/>
      <c r="AX125" s="10191"/>
      <c r="AY125" s="10192"/>
      <c r="AZ125" s="10193"/>
      <c r="BA125" s="10194" t="s">
        <v>38</v>
      </c>
      <c r="BB125" s="10195"/>
      <c r="BC125" s="10196"/>
      <c r="BD125" s="10197"/>
      <c r="BE125" s="10198"/>
      <c r="BF125" s="10199"/>
      <c r="BG125" s="10200"/>
      <c r="BH125" s="10201"/>
      <c r="BI125" s="10202"/>
      <c r="BJ125" s="10203"/>
      <c r="BK125" s="10204"/>
      <c r="BL125" s="10205"/>
      <c r="BM125" s="10206"/>
      <c r="BN125" s="10207"/>
      <c r="BO125" s="10208"/>
      <c r="BP125" s="10209"/>
      <c r="BQ125" s="10210"/>
      <c r="BR125" s="10211"/>
      <c r="BS125" s="10212"/>
      <c r="BT125" s="10213"/>
      <c r="BU125" s="10214"/>
      <c r="BV125" s="10215"/>
      <c r="BW125" s="10216"/>
      <c r="BX125" s="10217"/>
      <c r="BY125" s="10218"/>
      <c r="BZ125" s="10219"/>
      <c r="CA125" s="10220"/>
      <c r="CB125" s="10221"/>
      <c r="CC125" s="10222"/>
      <c r="CD125" s="10223"/>
      <c r="CE125" s="10224"/>
      <c r="CF125" s="10225"/>
      <c r="CG125" s="10226"/>
      <c r="CH125" s="10227"/>
      <c r="CI125" s="10228"/>
      <c r="CJ125" s="10229"/>
      <c r="CK125" s="10230"/>
      <c r="CL125" s="10231"/>
      <c r="CM125" s="10232"/>
      <c r="CN125" s="10233"/>
      <c r="CO125" s="10148"/>
      <c r="CP125" s="10234"/>
    </row>
    <row r="126" spans="1:94">
      <c r="A126" s="10235"/>
      <c r="B126" s="10236"/>
      <c r="C126" s="10237"/>
      <c r="D126" s="10238"/>
      <c r="E126" s="10239"/>
      <c r="F126" s="10240"/>
      <c r="G126" s="10241"/>
      <c r="H126" s="10242"/>
      <c r="I126" s="10243"/>
      <c r="J126" s="10244"/>
      <c r="K126" s="10245"/>
      <c r="L126" s="10246"/>
      <c r="M126" s="10247"/>
      <c r="N126" s="10248"/>
      <c r="O126" s="10249"/>
      <c r="P126" s="10250"/>
      <c r="Q126" s="10251" t="s">
        <v>36</v>
      </c>
      <c r="R126" s="10252"/>
      <c r="S126" s="10253"/>
      <c r="T126" s="10254"/>
      <c r="U126" s="10255"/>
      <c r="V126" s="10256"/>
      <c r="W126" s="10257"/>
      <c r="X126" s="10258"/>
      <c r="Y126" s="10259"/>
      <c r="Z126" s="10260"/>
      <c r="AA126" s="9912"/>
      <c r="AB126" s="10261"/>
      <c r="AC126" s="10262"/>
      <c r="AD126" s="9825"/>
      <c r="AE126" s="10263"/>
      <c r="AF126" s="10264"/>
      <c r="AG126" s="10265"/>
      <c r="AH126" s="10266"/>
      <c r="AI126" s="10267"/>
      <c r="AJ126" s="10268"/>
      <c r="AK126" s="10269"/>
      <c r="AL126" s="10270"/>
      <c r="AM126" s="10271">
        <v>4</v>
      </c>
      <c r="AN126" s="10272">
        <v>6</v>
      </c>
      <c r="AO126" s="10273">
        <v>4</v>
      </c>
      <c r="AP126" s="10274">
        <v>1</v>
      </c>
      <c r="AQ126" s="10275">
        <v>6</v>
      </c>
      <c r="AR126" s="10276">
        <v>2</v>
      </c>
      <c r="AS126" s="10277">
        <v>6</v>
      </c>
      <c r="AT126" s="10278">
        <v>4</v>
      </c>
      <c r="AU126" s="10279">
        <v>5</v>
      </c>
      <c r="AV126" s="10280"/>
      <c r="AW126" s="10281"/>
      <c r="AX126" s="10282"/>
      <c r="AY126" s="10283"/>
      <c r="AZ126" s="10284"/>
      <c r="BA126" s="10285" t="s">
        <v>38</v>
      </c>
      <c r="BB126" s="10286"/>
      <c r="BC126" s="10287"/>
      <c r="BD126" s="10288"/>
      <c r="BE126" s="10289"/>
      <c r="BF126" s="10290"/>
      <c r="BG126" s="10291"/>
      <c r="BH126" s="10292"/>
      <c r="BI126" s="9391"/>
      <c r="BJ126" s="10293"/>
      <c r="BK126" s="10294"/>
      <c r="BL126" s="10295"/>
      <c r="BM126" s="10296"/>
      <c r="BN126" s="10297"/>
      <c r="BO126" s="8814"/>
      <c r="BP126" s="10116"/>
      <c r="BQ126" s="10298"/>
      <c r="BR126" s="10299"/>
      <c r="BS126" s="10300"/>
      <c r="BT126" s="10301"/>
      <c r="BU126" s="10302"/>
      <c r="BV126" s="10303"/>
      <c r="BW126" s="10304"/>
      <c r="BX126" s="10305"/>
      <c r="BY126" s="10306"/>
      <c r="BZ126" s="10307"/>
      <c r="CA126" s="10308"/>
      <c r="CB126" s="10309"/>
      <c r="CC126" s="10310"/>
      <c r="CD126" s="10311"/>
      <c r="CE126" s="10312"/>
      <c r="CF126" s="10313"/>
      <c r="CG126" s="10314"/>
      <c r="CH126" s="10315"/>
      <c r="CI126" s="10316"/>
      <c r="CJ126" s="10317"/>
      <c r="CK126" s="10318"/>
      <c r="CL126" s="10319"/>
      <c r="CM126" s="10320"/>
      <c r="CN126" s="10321"/>
      <c r="CO126" s="10059"/>
      <c r="CP126" s="10322"/>
    </row>
    <row r="127" spans="1:94">
      <c r="A127" s="10323"/>
      <c r="B127" s="10324"/>
      <c r="C127" s="10325"/>
      <c r="D127" s="10326"/>
      <c r="E127" s="10327"/>
      <c r="F127" s="10328"/>
      <c r="G127" s="10329"/>
      <c r="H127" s="10330"/>
      <c r="I127" s="10331"/>
      <c r="J127" s="10332"/>
      <c r="K127" s="10333"/>
      <c r="L127" s="10334"/>
      <c r="M127" s="10335"/>
      <c r="N127" s="10336"/>
      <c r="O127" s="10337"/>
      <c r="P127" s="10338"/>
      <c r="Q127" s="10339" t="s">
        <v>36</v>
      </c>
      <c r="R127" s="10340"/>
      <c r="S127" s="10341"/>
      <c r="T127" s="10342"/>
      <c r="U127" s="10343"/>
      <c r="V127" s="10344"/>
      <c r="W127" s="10345"/>
      <c r="X127" s="10346"/>
      <c r="Y127" s="9665"/>
      <c r="Z127" s="10347"/>
      <c r="AA127" s="10348"/>
      <c r="AB127" s="10349"/>
      <c r="AC127" s="9908"/>
      <c r="AD127" s="10350"/>
      <c r="AE127" s="10351"/>
      <c r="AF127" s="10352"/>
      <c r="AG127" s="10353"/>
      <c r="AH127" s="10354"/>
      <c r="AI127" s="10355"/>
      <c r="AJ127" s="10356"/>
      <c r="AK127" s="10357"/>
      <c r="AL127" s="10358"/>
      <c r="AM127" s="10590" cm="1">
        <f t="array" ref="AM127:AU127">AM126:AU126+1</f>
        <v>5</v>
      </c>
      <c r="AN127" s="10591">
        <v>7</v>
      </c>
      <c r="AO127" s="10591">
        <v>5</v>
      </c>
      <c r="AP127" s="10591">
        <v>2</v>
      </c>
      <c r="AQ127" s="10591">
        <v>7</v>
      </c>
      <c r="AR127" s="10591">
        <v>3</v>
      </c>
      <c r="AS127" s="10591">
        <v>7</v>
      </c>
      <c r="AT127" s="10591">
        <v>5</v>
      </c>
      <c r="AU127" s="10592">
        <v>6</v>
      </c>
      <c r="AV127" s="10360"/>
      <c r="AW127" s="10361"/>
      <c r="AX127" s="10362"/>
      <c r="AY127" s="10363"/>
      <c r="AZ127" s="10364"/>
      <c r="BA127" s="10365" t="s">
        <v>38</v>
      </c>
      <c r="BB127" s="10366"/>
      <c r="BC127" s="10367"/>
      <c r="BD127" s="10368"/>
      <c r="BE127" s="10369"/>
      <c r="BF127" s="10370"/>
      <c r="BG127" s="10371"/>
      <c r="BH127" s="10372"/>
      <c r="BI127" s="10373"/>
      <c r="BJ127" s="10374"/>
      <c r="BK127" s="10375"/>
      <c r="BL127" s="10376"/>
      <c r="BM127" s="10377"/>
      <c r="BN127" s="10378"/>
      <c r="BO127" s="10026"/>
      <c r="BP127" s="10379"/>
      <c r="BQ127" s="10380"/>
      <c r="BR127" s="10381"/>
      <c r="BS127" s="10382"/>
      <c r="BT127" s="10383"/>
      <c r="BU127" s="10384"/>
      <c r="BV127" s="10385"/>
      <c r="BW127" s="10386"/>
      <c r="BX127" s="10387"/>
      <c r="BY127" s="10388"/>
      <c r="BZ127" s="10389"/>
      <c r="CA127" s="10389"/>
      <c r="CB127" s="10390"/>
      <c r="CC127" s="10391"/>
      <c r="CD127" s="10392"/>
      <c r="CE127" s="10393"/>
      <c r="CF127" s="10394"/>
      <c r="CG127" s="10395"/>
      <c r="CH127" s="10396"/>
      <c r="CI127" s="10397"/>
      <c r="CJ127" s="10398"/>
      <c r="CK127" s="10399"/>
      <c r="CL127" s="10400"/>
      <c r="CM127" s="10401"/>
      <c r="CN127" s="10402"/>
      <c r="CO127" s="10403"/>
      <c r="CP127" s="10404"/>
    </row>
    <row r="128" spans="1:94" ht="16.5" thickBot="1">
      <c r="A128" s="10405"/>
      <c r="B128" s="10406"/>
      <c r="C128" s="10407"/>
      <c r="D128" s="10408"/>
      <c r="E128" s="10409"/>
      <c r="F128" s="10410"/>
      <c r="G128" s="10411"/>
      <c r="H128" s="10412"/>
      <c r="I128" s="10413"/>
      <c r="J128" s="10414"/>
      <c r="K128" s="10415"/>
      <c r="L128" s="10416"/>
      <c r="M128" s="10417"/>
      <c r="N128" s="10418"/>
      <c r="O128" s="10121"/>
      <c r="P128" s="10419"/>
      <c r="Q128" s="10420" t="s">
        <v>36</v>
      </c>
      <c r="R128" s="10421"/>
      <c r="S128" s="10422"/>
      <c r="T128" s="10423"/>
      <c r="U128" s="10424"/>
      <c r="V128" s="10425"/>
      <c r="W128" s="10345"/>
      <c r="X128" s="10426"/>
      <c r="Y128" s="10256"/>
      <c r="Z128" s="10427"/>
      <c r="AA128" s="10256"/>
      <c r="AB128" s="10428"/>
      <c r="AC128" s="10429"/>
      <c r="AD128" s="9901"/>
      <c r="AE128" s="10430"/>
      <c r="AF128" s="10431"/>
      <c r="AG128" s="10432"/>
      <c r="AH128" s="10433"/>
      <c r="AI128" s="10434"/>
      <c r="AJ128" s="10435"/>
      <c r="AK128" s="10436"/>
      <c r="AL128" s="10437"/>
      <c r="AM128" s="10593" cm="1">
        <f t="array" ref="AM128:AU128">_xlfn.ANCHORARRAY(AM127)/AM126:AU126</f>
        <v>1.25</v>
      </c>
      <c r="AN128" s="10594">
        <v>1.1666666666666667</v>
      </c>
      <c r="AO128" s="10594">
        <v>1.25</v>
      </c>
      <c r="AP128" s="10594">
        <v>2</v>
      </c>
      <c r="AQ128" s="10594">
        <v>1.1666666666666667</v>
      </c>
      <c r="AR128" s="10594">
        <v>1.5</v>
      </c>
      <c r="AS128" s="10594">
        <v>1.1666666666666667</v>
      </c>
      <c r="AT128" s="10594">
        <v>1.25</v>
      </c>
      <c r="AU128" s="10595">
        <v>1.2</v>
      </c>
      <c r="AV128" s="10438"/>
      <c r="AW128" s="10439"/>
      <c r="AX128" s="10440"/>
      <c r="AY128" s="10441"/>
      <c r="AZ128" s="10442"/>
      <c r="BA128" s="10443" t="s">
        <v>38</v>
      </c>
      <c r="BB128" s="10444"/>
      <c r="BC128" s="10445"/>
      <c r="BD128" s="10446"/>
      <c r="BE128" s="10447"/>
      <c r="BF128" s="10448"/>
      <c r="BG128" s="10449"/>
      <c r="BH128" s="10450"/>
      <c r="BI128" s="10351"/>
      <c r="BJ128" s="10451"/>
      <c r="BK128" s="10452"/>
      <c r="BL128" s="10453"/>
      <c r="BM128" s="10454"/>
      <c r="BN128" s="10455"/>
      <c r="BO128" s="10456"/>
      <c r="BP128" s="10372"/>
      <c r="BQ128" s="10457"/>
      <c r="BR128" s="10458"/>
      <c r="BS128" s="10459"/>
      <c r="BT128" s="10460"/>
      <c r="BU128" s="10461"/>
      <c r="BV128" s="10462"/>
      <c r="BW128" s="10463"/>
      <c r="BX128" s="10464"/>
      <c r="BY128" s="10465"/>
      <c r="BZ128" s="10466"/>
      <c r="CA128" s="10467"/>
      <c r="CB128" s="10468"/>
      <c r="CC128" s="10469"/>
      <c r="CD128" s="10470"/>
      <c r="CE128" s="10471"/>
      <c r="CF128" s="10472"/>
      <c r="CG128" s="10473"/>
      <c r="CH128" s="10474"/>
      <c r="CI128" s="10475"/>
      <c r="CJ128" s="10476"/>
      <c r="CK128" s="10477"/>
      <c r="CL128" s="10478"/>
      <c r="CM128" s="10479"/>
      <c r="CN128" s="10480"/>
      <c r="CO128" s="10481"/>
      <c r="CP128" s="10482"/>
    </row>
    <row r="129" spans="1:94">
      <c r="A129" s="10483"/>
      <c r="B129" s="10484"/>
      <c r="C129" s="10485"/>
      <c r="D129" s="10486"/>
      <c r="E129" s="10487"/>
      <c r="F129" s="10488"/>
      <c r="G129" s="10489"/>
      <c r="H129" s="10490"/>
      <c r="I129" s="10491"/>
      <c r="J129" s="10492"/>
      <c r="K129" s="10493"/>
      <c r="L129" s="10494"/>
      <c r="M129" s="10495"/>
      <c r="N129" s="9430"/>
      <c r="O129" s="10496"/>
      <c r="P129" s="10497"/>
      <c r="Q129" s="6464" t="s">
        <v>37</v>
      </c>
      <c r="R129" s="10498" t="s">
        <v>37</v>
      </c>
      <c r="S129" s="10499" t="s">
        <v>37</v>
      </c>
      <c r="T129" s="10500" t="s">
        <v>37</v>
      </c>
      <c r="U129" s="10501" t="s">
        <v>37</v>
      </c>
      <c r="V129" s="10502" t="s">
        <v>37</v>
      </c>
      <c r="W129" s="10503" t="s">
        <v>37</v>
      </c>
      <c r="X129" s="10504" t="s">
        <v>37</v>
      </c>
      <c r="Y129" s="10505" t="s">
        <v>37</v>
      </c>
      <c r="Z129" s="10506" t="s">
        <v>37</v>
      </c>
      <c r="AA129" s="10507" t="s">
        <v>37</v>
      </c>
      <c r="AB129" s="10508" t="s">
        <v>37</v>
      </c>
      <c r="AC129" s="9507" t="s">
        <v>37</v>
      </c>
      <c r="AD129" s="10509" t="s">
        <v>37</v>
      </c>
      <c r="AE129" s="10510" t="s">
        <v>37</v>
      </c>
      <c r="AF129" s="10511" t="s">
        <v>37</v>
      </c>
      <c r="AG129" s="10512" t="s">
        <v>37</v>
      </c>
      <c r="AH129" s="10513" t="s">
        <v>37</v>
      </c>
      <c r="AI129" s="10514" t="s">
        <v>37</v>
      </c>
      <c r="AJ129" s="10515" t="s">
        <v>37</v>
      </c>
      <c r="AK129" s="10358" t="s">
        <v>37</v>
      </c>
      <c r="AL129" s="10516" t="s">
        <v>37</v>
      </c>
      <c r="AM129" s="10565">
        <f>SUM(AM126:AU128)</f>
        <v>96.950000000000017</v>
      </c>
      <c r="AN129" s="10517" t="s">
        <v>37</v>
      </c>
      <c r="AO129" s="10359" t="s">
        <v>37</v>
      </c>
      <c r="AP129" s="10518" t="s">
        <v>37</v>
      </c>
      <c r="AQ129" s="10519" t="s">
        <v>37</v>
      </c>
      <c r="AR129" s="10520" t="s">
        <v>37</v>
      </c>
      <c r="AS129" s="10565">
        <f>SUM(AR72:AT73)</f>
        <v>21.616666666666667</v>
      </c>
      <c r="AT129" s="10521" t="s">
        <v>37</v>
      </c>
      <c r="AU129" s="10360" t="s">
        <v>37</v>
      </c>
      <c r="AV129" s="10519" t="s">
        <v>37</v>
      </c>
      <c r="AW129" s="10438" t="s">
        <v>37</v>
      </c>
      <c r="AX129" s="10522" t="s">
        <v>37</v>
      </c>
      <c r="AY129" s="10523" t="s">
        <v>37</v>
      </c>
      <c r="AZ129" s="10524" t="s">
        <v>37</v>
      </c>
      <c r="BA129" s="105" t="s">
        <v>38</v>
      </c>
      <c r="BB129" s="10525"/>
      <c r="BC129" s="10526"/>
      <c r="BD129" s="10527"/>
      <c r="BE129" s="10528"/>
      <c r="BF129" s="10529"/>
      <c r="BG129" s="8976"/>
      <c r="BH129" s="10530"/>
      <c r="BI129" s="10530"/>
      <c r="BJ129" s="10531"/>
      <c r="BK129" s="10532"/>
      <c r="BL129" s="10533"/>
      <c r="BM129" s="10534"/>
      <c r="BN129" s="10535"/>
      <c r="BO129" s="10536"/>
      <c r="BP129" s="10537"/>
      <c r="BQ129" s="10538"/>
      <c r="BR129" s="10539"/>
      <c r="BS129" s="10540"/>
      <c r="BT129" s="10541"/>
      <c r="BU129" s="10542"/>
      <c r="BV129" s="10543"/>
      <c r="BW129" s="10544"/>
      <c r="BX129" s="10545"/>
      <c r="BY129" s="10546"/>
      <c r="BZ129" s="10547"/>
      <c r="CA129" s="10548"/>
      <c r="CB129" s="10549"/>
      <c r="CC129" s="10550"/>
      <c r="CD129" s="10551"/>
      <c r="CE129" s="10552"/>
      <c r="CF129" s="10553"/>
      <c r="CG129" s="10554"/>
      <c r="CH129" s="10555"/>
      <c r="CI129" s="10556"/>
      <c r="CJ129" s="10557"/>
      <c r="CK129" s="10558"/>
      <c r="CL129" s="10559"/>
      <c r="CM129" s="10560"/>
      <c r="CN129" s="10561"/>
      <c r="CO129" s="10562"/>
      <c r="CP129" s="1056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039E6-0AA5-44EB-A199-9D0A823F759C}">
  <sheetPr codeName="Sheet1">
    <tabColor rgb="FF001838"/>
  </sheetPr>
  <dimension ref="B1:XX1000"/>
  <sheetViews>
    <sheetView showGridLines="0" workbookViewId="0">
      <selection activeCell="F23" sqref="F23"/>
    </sheetView>
  </sheetViews>
  <sheetFormatPr defaultColWidth="8.85546875" defaultRowHeight="15"/>
  <cols>
    <col min="1" max="1" width="3.42578125" customWidth="1"/>
    <col min="2" max="2" width="14.42578125" customWidth="1"/>
    <col min="3" max="3" width="11.140625" customWidth="1"/>
    <col min="4" max="4" width="8.42578125" customWidth="1"/>
    <col min="5" max="5" width="13.140625" bestFit="1" customWidth="1"/>
    <col min="6" max="6" width="202.7109375" customWidth="1"/>
  </cols>
  <sheetData>
    <row r="1" spans="2:6" ht="15.75" thickBot="1"/>
    <row r="2" spans="2:6" ht="16.5" thickBot="1">
      <c r="B2" s="10606" t="s">
        <v>41</v>
      </c>
      <c r="C2" s="10607" t="s">
        <v>42</v>
      </c>
      <c r="D2" s="10607" t="s">
        <v>43</v>
      </c>
      <c r="E2" s="10607" t="s">
        <v>44</v>
      </c>
      <c r="F2" s="10608" t="s">
        <v>21</v>
      </c>
    </row>
    <row r="3" spans="2:6">
      <c r="B3" s="10609" cm="1">
        <f t="array" ref="B3:B30">_xlfn.SEQUENCE(28,,1)</f>
        <v>1</v>
      </c>
      <c r="C3" s="10609" t="s">
        <v>45</v>
      </c>
      <c r="D3" s="10609" t="s">
        <v>46</v>
      </c>
      <c r="E3" s="10609">
        <f>BackgroundCalcs!W2</f>
        <v>1</v>
      </c>
      <c r="F3" t="str">
        <f>BackgroundCalcs!AE2</f>
        <v>"Your first task is to navigate to the dark green cell, Q49. Each time you go off the path you will be penalized 1 second."</v>
      </c>
    </row>
    <row r="4" spans="2:6">
      <c r="B4" s="10609">
        <v>2</v>
      </c>
      <c r="C4" s="10609" t="s">
        <v>47</v>
      </c>
      <c r="D4" s="10609" t="s">
        <v>48</v>
      </c>
      <c r="E4" s="10609">
        <f>BackgroundCalcs!W3</f>
        <v>1</v>
      </c>
      <c r="F4" t="str">
        <f>BackgroundCalcs!AE3</f>
        <v>"Go to the next tab to the right (""Maze Tab""). Follow the arrows through the maze. Each time you go off the path you will be penalized 1 second."</v>
      </c>
    </row>
    <row r="5" spans="2:6">
      <c r="B5" s="10609">
        <v>3</v>
      </c>
      <c r="C5" s="10609" t="s">
        <v>47</v>
      </c>
      <c r="D5" s="10609" t="s">
        <v>49</v>
      </c>
      <c r="E5" s="10609">
        <f>BackgroundCalcs!W4</f>
        <v>1</v>
      </c>
      <c r="F5" t="str">
        <f>BackgroundCalcs!AE4</f>
        <v>"Follow the arrows through the maze. Each time you go off the path you will be penalized 1 second."</v>
      </c>
    </row>
    <row r="6" spans="2:6">
      <c r="B6" s="10609">
        <v>4</v>
      </c>
      <c r="C6" s="10609" t="s">
        <v>47</v>
      </c>
      <c r="D6" s="10609" t="s">
        <v>50</v>
      </c>
      <c r="E6" s="10609">
        <f>BackgroundCalcs!W5</f>
        <v>1</v>
      </c>
      <c r="F6" t="str">
        <f>BackgroundCalcs!AE5</f>
        <v>"Follow the arrows through the maze. Each time you go off the path you will be penalized 1 second."</v>
      </c>
    </row>
    <row r="7" spans="2:6">
      <c r="B7" s="10609">
        <v>5</v>
      </c>
      <c r="C7" s="10609" t="s">
        <v>47</v>
      </c>
      <c r="D7" s="10609" t="s">
        <v>51</v>
      </c>
      <c r="E7" s="10609">
        <f>BackgroundCalcs!W6</f>
        <v>1</v>
      </c>
      <c r="F7" t="str">
        <f>BackgroundCalcs!AE6</f>
        <v>"Follow the arrows through the maze. Each time you go off the path you will be penalized 1 second."</v>
      </c>
    </row>
    <row r="8" spans="2:6">
      <c r="B8" s="10609">
        <v>6</v>
      </c>
      <c r="C8" s="10609" t="s">
        <v>47</v>
      </c>
      <c r="D8" s="10609" t="s">
        <v>52</v>
      </c>
      <c r="E8" s="10609">
        <f>BackgroundCalcs!W7</f>
        <v>1</v>
      </c>
      <c r="F8" t="str">
        <f>BackgroundCalcs!AE7</f>
        <v>"Follow the arrows through the maze. Each time you go off the path you will be penalized 1 second."</v>
      </c>
    </row>
    <row r="9" spans="2:6">
      <c r="B9" s="10609">
        <v>7</v>
      </c>
      <c r="C9" s="10609" t="s">
        <v>47</v>
      </c>
      <c r="D9" s="10609" t="s">
        <v>53</v>
      </c>
      <c r="E9" s="10609">
        <f>BackgroundCalcs!W8</f>
        <v>1</v>
      </c>
      <c r="F9" t="str">
        <f>BackgroundCalcs!AE8</f>
        <v>"Follow the arrows through the maze. Each time you go off the path you will be penalized 1 second."</v>
      </c>
    </row>
    <row r="10" spans="2:6">
      <c r="B10" s="10609">
        <v>8</v>
      </c>
      <c r="C10" s="10609" t="s">
        <v>47</v>
      </c>
      <c r="D10" s="10609" t="s">
        <v>54</v>
      </c>
      <c r="E10" s="10609">
        <f>BackgroundCalcs!W9</f>
        <v>1</v>
      </c>
      <c r="F10" t="str">
        <f>BackgroundCalcs!AE9</f>
        <v>"Follow the arrows through the maze. Each time you go off the path you will be penalized 1 second."</v>
      </c>
    </row>
    <row r="11" spans="2:6">
      <c r="B11" s="10609">
        <v>9</v>
      </c>
      <c r="C11" s="10609" t="s">
        <v>47</v>
      </c>
      <c r="D11" s="10609" t="s">
        <v>55</v>
      </c>
      <c r="E11" s="10609">
        <f>BackgroundCalcs!W10</f>
        <v>1</v>
      </c>
      <c r="F11" t="str">
        <f>BackgroundCalcs!AE10</f>
        <v>"Follow the arrows through the maze. Each time you go off the path you will be penalized 1 second."</v>
      </c>
    </row>
    <row r="12" spans="2:6">
      <c r="B12" s="10609">
        <v>10</v>
      </c>
      <c r="C12" s="10609" t="s">
        <v>47</v>
      </c>
      <c r="D12" s="10609" t="s">
        <v>56</v>
      </c>
      <c r="E12" s="10609">
        <f>BackgroundCalcs!W11</f>
        <v>1</v>
      </c>
      <c r="F12" t="str">
        <f>BackgroundCalcs!AE11</f>
        <v>"Follow the arrows through the maze. Each time you go off the path you will be penalized 1 second."</v>
      </c>
    </row>
    <row r="13" spans="2:6">
      <c r="B13" s="10609">
        <v>11</v>
      </c>
      <c r="C13" s="10609" t="s">
        <v>47</v>
      </c>
      <c r="D13" s="10609" t="s">
        <v>57</v>
      </c>
      <c r="E13" s="10609">
        <f>BackgroundCalcs!W12</f>
        <v>1</v>
      </c>
      <c r="F13" t="str">
        <f>BackgroundCalcs!AE12</f>
        <v>"Follow the arrows through the maze. Each time you go off the path you will be penalized 1 second."</v>
      </c>
    </row>
    <row r="14" spans="2:6">
      <c r="B14" s="10609">
        <v>12</v>
      </c>
      <c r="C14" s="10609" t="s">
        <v>47</v>
      </c>
      <c r="D14" s="10609" t="s">
        <v>58</v>
      </c>
      <c r="E14" s="10609">
        <f>BackgroundCalcs!W13</f>
        <v>1</v>
      </c>
      <c r="F14" t="str">
        <f>BackgroundCalcs!AE13</f>
        <v>"Follow the arrows through the maze. Each time you go off the path you will be penalized 1 second."</v>
      </c>
    </row>
    <row r="15" spans="2:6">
      <c r="B15" s="10609">
        <v>13</v>
      </c>
      <c r="C15" s="10609" t="s">
        <v>47</v>
      </c>
      <c r="D15" s="10609" t="s">
        <v>59</v>
      </c>
      <c r="E15" s="10609">
        <f>BackgroundCalcs!W14</f>
        <v>1</v>
      </c>
      <c r="F15" t="str">
        <f>BackgroundCalcs!AE14</f>
        <v>"Follow the arrows through the maze. Each time you go off the path you will be penalized 1 second."</v>
      </c>
    </row>
    <row r="16" spans="2:6">
      <c r="B16" s="10609">
        <v>14</v>
      </c>
      <c r="C16" s="10609" t="s">
        <v>47</v>
      </c>
      <c r="D16" s="10609" t="s">
        <v>60</v>
      </c>
      <c r="E16" s="10609">
        <f>BackgroundCalcs!W15</f>
        <v>1</v>
      </c>
      <c r="F16" t="str">
        <f>BackgroundCalcs!AE15</f>
        <v>"Follow the arrows through the maze. Each time you go off the path you will be penalized 1 second."</v>
      </c>
    </row>
    <row r="17" spans="2:6">
      <c r="B17" s="10609">
        <v>15</v>
      </c>
      <c r="C17" s="10609" t="s">
        <v>61</v>
      </c>
      <c r="D17" s="10609" t="s">
        <v>62</v>
      </c>
      <c r="E17" s="10609">
        <f>BackgroundCalcs!W16</f>
        <v>1</v>
      </c>
      <c r="F17" t="str">
        <f>BackgroundCalcs!AE16</f>
        <v>"Sum the values in the rectangle below (L16:R20)."</v>
      </c>
    </row>
    <row r="18" spans="2:6">
      <c r="B18" s="10609">
        <v>16</v>
      </c>
      <c r="C18" s="10609" t="s">
        <v>61</v>
      </c>
      <c r="D18" s="10609" t="s">
        <v>63</v>
      </c>
      <c r="E18" s="10609">
        <f ca="1">BackgroundCalcs!W17</f>
        <v>1</v>
      </c>
      <c r="F18" t="str">
        <f>BackgroundCalcs!AE17</f>
        <v>"Sum the values in the rectangle below (AE21:AK25)."</v>
      </c>
    </row>
    <row r="19" spans="2:6">
      <c r="B19" s="10609">
        <v>17</v>
      </c>
      <c r="C19" s="10609" t="s">
        <v>61</v>
      </c>
      <c r="D19" s="10609" t="s">
        <v>64</v>
      </c>
      <c r="E19" s="10609">
        <f ca="1">BackgroundCalcs!W18</f>
        <v>1</v>
      </c>
      <c r="F19" t="str">
        <f>BackgroundCalcs!AE18</f>
        <v>"Sum the values of the left-most and right-most columns of the rectangle below (P31:V35)."</v>
      </c>
    </row>
    <row r="20" spans="2:6">
      <c r="B20" s="10609">
        <v>18</v>
      </c>
      <c r="C20" s="10609" t="s">
        <v>61</v>
      </c>
      <c r="D20" s="10609" t="s">
        <v>65</v>
      </c>
      <c r="E20" s="10609">
        <f>BackgroundCalcs!W19</f>
        <v>1</v>
      </c>
      <c r="F20" t="str">
        <f>BackgroundCalcs!AE19</f>
        <v>"Follow the arrows along the path. Each time you go off the path you will be penalized 1 second."</v>
      </c>
    </row>
    <row r="21" spans="2:6">
      <c r="B21" s="10609">
        <v>19</v>
      </c>
      <c r="C21" s="10609" t="s">
        <v>61</v>
      </c>
      <c r="D21" s="10609" t="s">
        <v>66</v>
      </c>
      <c r="E21" s="10609">
        <f>BackgroundCalcs!W20</f>
        <v>1</v>
      </c>
      <c r="F21" t="str">
        <f>BackgroundCalcs!AE20</f>
        <v>"Follow the arrows along the path. Each time you go off the path you will be penalized 1 second."</v>
      </c>
    </row>
    <row r="22" spans="2:6">
      <c r="B22" s="10609">
        <v>20</v>
      </c>
      <c r="C22" s="10609" t="s">
        <v>61</v>
      </c>
      <c r="D22" s="10609" t="s">
        <v>67</v>
      </c>
      <c r="E22" s="10609">
        <f>BackgroundCalcs!W21</f>
        <v>1</v>
      </c>
      <c r="F22" t="str">
        <f>BackgroundCalcs!AE21</f>
        <v>"Follow the arrows along the path. Each time you go off the path you will be penalized 1 second."</v>
      </c>
    </row>
    <row r="23" spans="2:6">
      <c r="B23" s="10609">
        <v>21</v>
      </c>
      <c r="C23" s="10609" t="s">
        <v>61</v>
      </c>
      <c r="D23" s="10609" t="s">
        <v>68</v>
      </c>
      <c r="E23" s="10609">
        <f>BackgroundCalcs!W22</f>
        <v>1</v>
      </c>
      <c r="F23" t="str">
        <f>BackgroundCalcs!AE22</f>
        <v>"In cells AM127:AU127, add 1 to each value in the cells above (AM126:AU126). In cells AM128:AU128, divide the values in cells AM127:AU127 by the values in cells AM126:AU126. Finally, sum the range AM126:AU128 and enter it in cell AM129."</v>
      </c>
    </row>
    <row r="24" spans="2:6">
      <c r="B24" s="10609">
        <v>22</v>
      </c>
      <c r="C24" s="10609" t="s">
        <v>61</v>
      </c>
      <c r="D24" s="10609" t="s">
        <v>69</v>
      </c>
      <c r="E24" s="10609">
        <f>BackgroundCalcs!W23</f>
        <v>1</v>
      </c>
      <c r="F24" t="str">
        <f>BackgroundCalcs!AE23</f>
        <v>"Copy the values in cells AS127:AU128. Go to cell AR72 and paste values. Sum the values in AR72:AT73 and enter it in cell AS129."</v>
      </c>
    </row>
    <row r="25" spans="2:6">
      <c r="B25" s="10609">
        <v>23</v>
      </c>
      <c r="C25" s="10609" t="s">
        <v>61</v>
      </c>
      <c r="D25" s="10609" t="s">
        <v>70</v>
      </c>
      <c r="E25" s="10609">
        <f>BackgroundCalcs!W24</f>
        <v>1</v>
      </c>
      <c r="F25" t="str">
        <f>BackgroundCalcs!AE24</f>
        <v>"Follow the arrows along the path. Each time you go off the path you will be penalized 1 second."</v>
      </c>
    </row>
    <row r="26" spans="2:6">
      <c r="B26" s="10609">
        <v>24</v>
      </c>
      <c r="C26" s="10609" t="s">
        <v>61</v>
      </c>
      <c r="D26" s="10609" t="s">
        <v>71</v>
      </c>
      <c r="E26" s="10609">
        <f>BackgroundCalcs!W25</f>
        <v>1</v>
      </c>
      <c r="F26" t="str">
        <f>BackgroundCalcs!AE25</f>
        <v>"In cells AX51:BB56, fill in the number 1 in each cell. Then sum the values in AX51:BB56 in cell BA57."</v>
      </c>
    </row>
    <row r="27" spans="2:6">
      <c r="B27" s="10609">
        <v>25</v>
      </c>
      <c r="C27" s="10609" t="s">
        <v>61</v>
      </c>
      <c r="D27" s="10609" t="s">
        <v>72</v>
      </c>
      <c r="E27" s="10609">
        <f ca="1">BackgroundCalcs!W26</f>
        <v>1</v>
      </c>
      <c r="F27" t="str">
        <f>BackgroundCalcs!AE26</f>
        <v>"Count the number of numbers in the rectange below (BR23:CD33)."</v>
      </c>
    </row>
    <row r="28" spans="2:6">
      <c r="B28" s="10609">
        <v>26</v>
      </c>
      <c r="C28" s="10609" t="s">
        <v>61</v>
      </c>
      <c r="D28" s="10609" t="s">
        <v>73</v>
      </c>
      <c r="E28" s="10609">
        <f ca="1">BackgroundCalcs!W27</f>
        <v>1</v>
      </c>
      <c r="F28" t="str">
        <f>BackgroundCalcs!AE27</f>
        <v>"Average the values in the rectangle below (BV93:CA97)."</v>
      </c>
    </row>
    <row r="29" spans="2:6">
      <c r="B29" s="10609">
        <v>27</v>
      </c>
      <c r="C29" s="10609" t="s">
        <v>61</v>
      </c>
      <c r="D29" s="10609" t="s">
        <v>74</v>
      </c>
      <c r="E29" s="10609">
        <f ca="1">BackgroundCalcs!W28</f>
        <v>1</v>
      </c>
      <c r="F29" t="str">
        <f>BackgroundCalcs!AE28</f>
        <v>"Find the most common value in the rectangle below (BR23:CD33). Use the MODE function."</v>
      </c>
    </row>
    <row r="30" spans="2:6">
      <c r="B30" s="10609">
        <v>28</v>
      </c>
      <c r="C30" s="10609" t="s">
        <v>61</v>
      </c>
      <c r="D30" s="10609" t="s">
        <v>75</v>
      </c>
      <c r="E30" s="10609">
        <f>BackgroundCalcs!W29</f>
        <v>1</v>
      </c>
      <c r="F30" t="str">
        <f>BackgroundCalcs!AE29</f>
        <v>"Go to cell CE6 to complete the speed challenge."</v>
      </c>
    </row>
    <row r="31" spans="2:6">
      <c r="B31" s="10609"/>
    </row>
    <row r="1000" spans="648:648" ht="15.75">
      <c r="XX1000" s="10635">
        <v>125713</v>
      </c>
    </row>
  </sheetData>
  <conditionalFormatting sqref="E3:E30">
    <cfRule type="iconSet" priority="1">
      <iconSet iconSet="3Symbols" showValue="0">
        <cfvo type="percent" val="0"/>
        <cfvo type="num" val="0" gte="0"/>
        <cfvo type="num" val="1"/>
      </iconSet>
    </cfRule>
    <cfRule type="iconSet" priority="2">
      <iconSet iconSet="3Symbols">
        <cfvo type="percent" val="0"/>
        <cfvo type="percent" val="33"/>
        <cfvo type="percent" val="67"/>
      </iconSet>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1D967-8F43-493B-8C81-43C90010F3B5}">
  <sheetPr codeName="Sheet7">
    <tabColor rgb="FF001838"/>
  </sheetPr>
  <dimension ref="A1:XX1000"/>
  <sheetViews>
    <sheetView zoomScale="115" zoomScaleNormal="115" workbookViewId="0">
      <selection activeCell="B139" sqref="B139"/>
    </sheetView>
  </sheetViews>
  <sheetFormatPr defaultColWidth="0" defaultRowHeight="15" customHeight="1" zeroHeight="1"/>
  <cols>
    <col min="1" max="1" width="3.140625" style="15" customWidth="1"/>
    <col min="2" max="2" width="19.85546875" style="11" customWidth="1"/>
    <col min="3" max="5" width="19.85546875" style="15" customWidth="1"/>
    <col min="6" max="6" width="3.140625" style="15" customWidth="1"/>
    <col min="7" max="8" width="0" style="15" hidden="1" customWidth="1"/>
    <col min="9" max="26" width="8.85546875" style="15" hidden="1"/>
    <col min="27" max="69" width="5.85546875" style="15" hidden="1" customWidth="1"/>
    <col min="70" max="70" width="8.85546875" style="15" hidden="1" customWidth="1"/>
    <col min="71" max="71" width="5.85546875" style="15" hidden="1" customWidth="1"/>
    <col min="72" max="72" width="8.85546875" style="15" hidden="1" customWidth="1"/>
    <col min="73" max="103" width="5.85546875" style="15" hidden="1" customWidth="1"/>
    <col min="104" max="104" width="8.85546875" style="15" hidden="1" customWidth="1"/>
    <col min="105" max="16384" width="8.85546875" style="15" hidden="1"/>
  </cols>
  <sheetData>
    <row r="1" spans="1:99" ht="18.75">
      <c r="A1" s="23"/>
      <c r="B1" s="24"/>
      <c r="C1" s="23"/>
      <c r="D1" s="23"/>
      <c r="E1" s="23"/>
      <c r="F1" s="23"/>
    </row>
    <row r="2" spans="1:99" ht="18.75">
      <c r="A2" s="45">
        <f>IF(ISNUMBER(E16),1,0)</f>
        <v>1</v>
      </c>
      <c r="B2" s="24" t="str">
        <f>SpreadsheetName</f>
        <v>MECC 2025 Regionals - Speed Challenge - Junior Varsity</v>
      </c>
      <c r="C2" s="23"/>
      <c r="D2" s="23"/>
      <c r="E2" s="23"/>
      <c r="F2" s="23"/>
    </row>
    <row r="3" spans="1:99">
      <c r="A3" s="23"/>
      <c r="B3" s="25"/>
      <c r="C3" s="23"/>
      <c r="D3" s="23"/>
      <c r="E3" s="23"/>
      <c r="F3" s="23"/>
    </row>
    <row r="4" spans="1:99" ht="16.5" thickBot="1">
      <c r="A4" s="23"/>
      <c r="B4" s="26" t="s">
        <v>76</v>
      </c>
      <c r="C4" s="23"/>
      <c r="D4" s="23"/>
      <c r="E4" s="23"/>
      <c r="F4" s="23"/>
    </row>
    <row r="5" spans="1:99" ht="39.75" customHeight="1" thickBot="1">
      <c r="A5" s="23"/>
      <c r="B5" s="27" t="str">
        <f>BackgroundCalcs!D55</f>
        <v>I finished the MECC 2025 Regionals - Speed Challenge - Junior Varsity in 665 seconds. Sign up for the Microsoft Excel Collegiate Challenge and give it a try! #ExcelEsports #MECC #ExcelChampionships #DataSkills</v>
      </c>
      <c r="C5" s="28"/>
      <c r="D5" s="28"/>
      <c r="E5" s="29"/>
      <c r="F5" s="23"/>
    </row>
    <row r="6" spans="1:99" ht="15.75" thickBot="1">
      <c r="A6" s="23"/>
      <c r="B6" s="23"/>
      <c r="C6" s="23"/>
      <c r="D6" s="23"/>
      <c r="E6" s="23"/>
      <c r="F6" s="23"/>
    </row>
    <row r="7" spans="1:99">
      <c r="A7" s="23"/>
      <c r="B7" s="23"/>
      <c r="C7" s="10646" t="str">
        <f>HYPERLINK(BackgroundCalcs!D65,"Post to Twitter")</f>
        <v>Post to Twitter</v>
      </c>
      <c r="D7" s="10646" t="str">
        <f>HYPERLINK(BackgroundCalcs!D59,"Post to LinkedIn")</f>
        <v>Post to LinkedIn</v>
      </c>
      <c r="E7" s="23"/>
      <c r="F7" s="23"/>
    </row>
    <row r="8" spans="1:99" ht="15.75" thickBot="1">
      <c r="A8" s="23"/>
      <c r="B8" s="23"/>
      <c r="C8" s="10647"/>
      <c r="D8" s="10647"/>
      <c r="E8" s="23"/>
      <c r="F8" s="23"/>
      <c r="CT8" s="22"/>
      <c r="CU8" s="22"/>
    </row>
    <row r="9" spans="1:99">
      <c r="A9" s="23"/>
      <c r="B9" s="23"/>
      <c r="C9" s="23"/>
      <c r="D9" s="23"/>
      <c r="E9" s="23"/>
      <c r="F9" s="23"/>
    </row>
    <row r="10" spans="1:99">
      <c r="A10" s="23"/>
      <c r="B10" s="30" t="s">
        <v>77</v>
      </c>
      <c r="C10" s="23"/>
      <c r="D10" s="23"/>
      <c r="E10" s="23"/>
      <c r="F10" s="23"/>
    </row>
    <row r="11" spans="1:99" ht="15.75" thickBot="1">
      <c r="A11" s="23"/>
      <c r="B11" s="31" t="s">
        <v>78</v>
      </c>
      <c r="C11" s="31" t="s">
        <v>79</v>
      </c>
      <c r="D11" s="31" t="s">
        <v>80</v>
      </c>
      <c r="E11" s="31" t="s">
        <v>81</v>
      </c>
      <c r="F11" s="23"/>
      <c r="BF11" s="32"/>
    </row>
    <row r="12" spans="1:99">
      <c r="A12" s="23"/>
      <c r="B12" s="33">
        <v>46083.972002314818</v>
      </c>
      <c r="C12" s="34">
        <v>655</v>
      </c>
      <c r="D12" s="34">
        <v>10</v>
      </c>
      <c r="E12" s="35">
        <v>665</v>
      </c>
      <c r="F12" s="23"/>
    </row>
    <row r="13" spans="1:99">
      <c r="A13" s="23"/>
      <c r="B13" s="23"/>
      <c r="C13" s="23"/>
      <c r="D13" s="23"/>
      <c r="E13" s="23"/>
      <c r="F13" s="23"/>
    </row>
    <row r="14" spans="1:99" ht="15.75" thickBot="1">
      <c r="A14" s="23"/>
      <c r="B14" s="30" t="s">
        <v>82</v>
      </c>
      <c r="C14" s="23"/>
      <c r="D14" s="23"/>
      <c r="E14" s="23"/>
      <c r="F14" s="23"/>
    </row>
    <row r="15" spans="1:99" ht="15.75" thickBot="1">
      <c r="A15" s="23"/>
      <c r="B15" s="31" t="s">
        <v>78</v>
      </c>
      <c r="C15" s="31" t="s">
        <v>79</v>
      </c>
      <c r="D15" s="31" t="s">
        <v>80</v>
      </c>
      <c r="E15" s="31" t="s">
        <v>81</v>
      </c>
      <c r="F15" s="23"/>
      <c r="BP15" s="36"/>
      <c r="BR15" s="36"/>
      <c r="BT15" s="36"/>
      <c r="BW15" s="32"/>
      <c r="BY15" s="32"/>
      <c r="CA15" s="32"/>
      <c r="CC15" s="37"/>
    </row>
    <row r="16" spans="1:99">
      <c r="A16" s="23"/>
      <c r="B16" s="33">
        <f>IF(ISBLANK(B20),"",INDEX(B20:B138,MATCH(C16,C20:C138,0)))</f>
        <v>46083.972002314818</v>
      </c>
      <c r="C16" s="34">
        <f>IF(ISBLANK(C20),"",INDEX(C20:C138,MATCH($E$16,$E$20:$E$138,0)))</f>
        <v>655</v>
      </c>
      <c r="D16" s="34">
        <f>IF(ISBLANK(D20),"",INDEX(D20:D138,MATCH($E$16,$E$20:$E$138,0)))</f>
        <v>10</v>
      </c>
      <c r="E16" s="35">
        <f>IF(ISBLANK(E20),"",MIN(E20:E138))</f>
        <v>665</v>
      </c>
      <c r="F16" s="23"/>
    </row>
    <row r="17" spans="1:104">
      <c r="A17" s="23"/>
      <c r="B17" s="23"/>
      <c r="C17" s="23"/>
      <c r="D17" s="23"/>
      <c r="E17" s="23"/>
      <c r="F17" s="23"/>
      <c r="CZ17" s="32"/>
    </row>
    <row r="18" spans="1:104">
      <c r="A18" s="23"/>
      <c r="B18" s="30" t="s">
        <v>83</v>
      </c>
      <c r="C18" s="23"/>
      <c r="D18" s="23"/>
      <c r="E18" s="23"/>
      <c r="F18" s="23"/>
    </row>
    <row r="19" spans="1:104" ht="15.75" thickBot="1">
      <c r="A19" s="23"/>
      <c r="B19" s="31" t="s">
        <v>78</v>
      </c>
      <c r="C19" s="31" t="s">
        <v>79</v>
      </c>
      <c r="D19" s="31" t="s">
        <v>80</v>
      </c>
      <c r="E19" s="31" t="s">
        <v>81</v>
      </c>
      <c r="F19" s="23"/>
    </row>
    <row r="20" spans="1:104">
      <c r="A20" s="23"/>
      <c r="B20" s="33">
        <v>46083.972002314818</v>
      </c>
      <c r="C20" s="35">
        <v>655</v>
      </c>
      <c r="D20" s="35">
        <v>10</v>
      </c>
      <c r="E20" s="35">
        <v>665</v>
      </c>
      <c r="F20" s="23"/>
    </row>
    <row r="21" spans="1:104">
      <c r="A21" s="23"/>
      <c r="B21" s="33"/>
      <c r="C21" s="35"/>
      <c r="D21" s="35"/>
      <c r="E21" s="35"/>
      <c r="F21" s="23"/>
    </row>
    <row r="22" spans="1:104">
      <c r="A22" s="23"/>
      <c r="B22" s="33"/>
      <c r="C22" s="35"/>
      <c r="D22" s="35"/>
      <c r="E22" s="35"/>
      <c r="F22" s="23"/>
    </row>
    <row r="23" spans="1:104">
      <c r="A23" s="23"/>
      <c r="B23" s="33"/>
      <c r="C23" s="35"/>
      <c r="D23" s="35"/>
      <c r="E23" s="35"/>
      <c r="F23" s="23"/>
    </row>
    <row r="24" spans="1:104">
      <c r="A24" s="23"/>
      <c r="B24" s="33"/>
      <c r="C24" s="35"/>
      <c r="D24" s="35"/>
      <c r="E24" s="35"/>
      <c r="F24" s="23"/>
    </row>
    <row r="25" spans="1:104">
      <c r="A25" s="23"/>
      <c r="B25" s="33"/>
      <c r="C25" s="35"/>
      <c r="D25" s="35"/>
      <c r="E25" s="35"/>
      <c r="F25" s="23"/>
    </row>
    <row r="26" spans="1:104">
      <c r="A26" s="23"/>
      <c r="B26" s="33"/>
      <c r="C26" s="35"/>
      <c r="D26" s="35"/>
      <c r="E26" s="35"/>
      <c r="F26" s="23"/>
    </row>
    <row r="27" spans="1:104">
      <c r="A27" s="23"/>
      <c r="B27" s="33"/>
      <c r="C27" s="35"/>
      <c r="D27" s="35"/>
      <c r="E27" s="35"/>
      <c r="F27" s="23"/>
    </row>
    <row r="28" spans="1:104">
      <c r="A28" s="23"/>
      <c r="B28" s="33"/>
      <c r="C28" s="35"/>
      <c r="D28" s="35"/>
      <c r="E28" s="35"/>
      <c r="F28" s="23"/>
    </row>
    <row r="29" spans="1:104">
      <c r="A29" s="23"/>
      <c r="B29" s="33"/>
      <c r="C29" s="35"/>
      <c r="D29" s="35"/>
      <c r="E29" s="35"/>
      <c r="F29" s="23"/>
    </row>
    <row r="30" spans="1:104">
      <c r="A30" s="23"/>
      <c r="B30" s="33"/>
      <c r="C30" s="35"/>
      <c r="D30" s="35"/>
      <c r="E30" s="35"/>
      <c r="F30" s="23"/>
    </row>
    <row r="31" spans="1:104">
      <c r="A31" s="23"/>
      <c r="B31" s="33"/>
      <c r="C31" s="35"/>
      <c r="D31" s="35"/>
      <c r="E31" s="35"/>
      <c r="F31" s="23"/>
    </row>
    <row r="32" spans="1:104">
      <c r="A32" s="23"/>
      <c r="B32" s="33"/>
      <c r="C32" s="35"/>
      <c r="D32" s="35"/>
      <c r="E32" s="35"/>
      <c r="F32" s="23"/>
    </row>
    <row r="33" spans="1:6">
      <c r="A33" s="23"/>
      <c r="B33" s="33"/>
      <c r="C33" s="35"/>
      <c r="D33" s="35"/>
      <c r="E33" s="35"/>
      <c r="F33" s="23"/>
    </row>
    <row r="34" spans="1:6">
      <c r="A34" s="23"/>
      <c r="B34" s="33"/>
      <c r="C34" s="35"/>
      <c r="D34" s="35"/>
      <c r="E34" s="35"/>
      <c r="F34" s="23"/>
    </row>
    <row r="35" spans="1:6">
      <c r="A35" s="23"/>
      <c r="B35" s="33"/>
      <c r="C35" s="35"/>
      <c r="D35" s="35"/>
      <c r="E35" s="35"/>
      <c r="F35" s="23"/>
    </row>
    <row r="36" spans="1:6">
      <c r="A36" s="23"/>
      <c r="B36" s="33"/>
      <c r="C36" s="35"/>
      <c r="D36" s="35"/>
      <c r="E36" s="35"/>
      <c r="F36" s="23"/>
    </row>
    <row r="37" spans="1:6">
      <c r="A37" s="23"/>
      <c r="B37" s="33"/>
      <c r="C37" s="35"/>
      <c r="D37" s="35"/>
      <c r="E37" s="35"/>
      <c r="F37" s="23"/>
    </row>
    <row r="38" spans="1:6">
      <c r="A38" s="23"/>
      <c r="B38" s="33"/>
      <c r="C38" s="35"/>
      <c r="D38" s="35"/>
      <c r="E38" s="35"/>
      <c r="F38" s="23"/>
    </row>
    <row r="39" spans="1:6">
      <c r="A39" s="23"/>
      <c r="B39" s="33"/>
      <c r="C39" s="35"/>
      <c r="D39" s="35"/>
      <c r="E39" s="35"/>
      <c r="F39" s="23"/>
    </row>
    <row r="40" spans="1:6">
      <c r="A40" s="23"/>
      <c r="B40" s="33"/>
      <c r="C40" s="35"/>
      <c r="D40" s="35"/>
      <c r="E40" s="35"/>
      <c r="F40" s="23"/>
    </row>
    <row r="41" spans="1:6">
      <c r="A41" s="23"/>
      <c r="B41" s="33"/>
      <c r="C41" s="35"/>
      <c r="D41" s="35"/>
      <c r="E41" s="35"/>
      <c r="F41" s="23"/>
    </row>
    <row r="42" spans="1:6">
      <c r="A42" s="23"/>
      <c r="B42" s="33"/>
      <c r="C42" s="35"/>
      <c r="D42" s="35"/>
      <c r="E42" s="35"/>
      <c r="F42" s="23"/>
    </row>
    <row r="43" spans="1:6">
      <c r="A43" s="23"/>
      <c r="B43" s="33"/>
      <c r="C43" s="35"/>
      <c r="D43" s="35"/>
      <c r="E43" s="35"/>
      <c r="F43" s="23"/>
    </row>
    <row r="44" spans="1:6">
      <c r="A44" s="23"/>
      <c r="B44" s="33"/>
      <c r="C44" s="35"/>
      <c r="D44" s="35"/>
      <c r="E44" s="35"/>
      <c r="F44" s="23"/>
    </row>
    <row r="45" spans="1:6">
      <c r="A45" s="23"/>
      <c r="B45" s="33"/>
      <c r="C45" s="35"/>
      <c r="D45" s="35"/>
      <c r="E45" s="35"/>
      <c r="F45" s="23"/>
    </row>
    <row r="46" spans="1:6">
      <c r="A46" s="23"/>
      <c r="B46" s="33"/>
      <c r="C46" s="35"/>
      <c r="D46" s="35"/>
      <c r="E46" s="35"/>
      <c r="F46" s="23"/>
    </row>
    <row r="47" spans="1:6">
      <c r="A47" s="23"/>
      <c r="B47" s="33"/>
      <c r="C47" s="35"/>
      <c r="D47" s="35"/>
      <c r="E47" s="35"/>
      <c r="F47" s="23"/>
    </row>
    <row r="48" spans="1:6">
      <c r="A48" s="23"/>
      <c r="B48" s="33"/>
      <c r="C48" s="35"/>
      <c r="D48" s="35"/>
      <c r="E48" s="35"/>
      <c r="F48" s="23"/>
    </row>
    <row r="49" spans="1:6">
      <c r="A49" s="23"/>
      <c r="B49" s="33"/>
      <c r="C49" s="35"/>
      <c r="D49" s="35"/>
      <c r="E49" s="35"/>
      <c r="F49" s="23"/>
    </row>
    <row r="50" spans="1:6">
      <c r="A50" s="23"/>
      <c r="B50" s="33"/>
      <c r="C50" s="35"/>
      <c r="D50" s="35"/>
      <c r="E50" s="35"/>
      <c r="F50" s="23"/>
    </row>
    <row r="51" spans="1:6">
      <c r="A51" s="23"/>
      <c r="B51" s="33"/>
      <c r="C51" s="35"/>
      <c r="D51" s="35"/>
      <c r="E51" s="35"/>
      <c r="F51" s="23"/>
    </row>
    <row r="52" spans="1:6">
      <c r="A52" s="23"/>
      <c r="B52" s="33"/>
      <c r="C52" s="35"/>
      <c r="D52" s="35"/>
      <c r="E52" s="35"/>
      <c r="F52" s="23"/>
    </row>
    <row r="53" spans="1:6">
      <c r="A53" s="23"/>
      <c r="B53" s="33"/>
      <c r="C53" s="35"/>
      <c r="D53" s="35"/>
      <c r="E53" s="35"/>
      <c r="F53" s="23"/>
    </row>
    <row r="54" spans="1:6">
      <c r="A54" s="23"/>
      <c r="B54" s="33"/>
      <c r="C54" s="35"/>
      <c r="D54" s="35"/>
      <c r="E54" s="35"/>
      <c r="F54" s="23"/>
    </row>
    <row r="55" spans="1:6">
      <c r="A55" s="23"/>
      <c r="B55" s="33"/>
      <c r="C55" s="35"/>
      <c r="D55" s="35"/>
      <c r="E55" s="35"/>
      <c r="F55" s="23"/>
    </row>
    <row r="56" spans="1:6">
      <c r="A56" s="23"/>
      <c r="B56" s="33"/>
      <c r="C56" s="35"/>
      <c r="D56" s="35"/>
      <c r="E56" s="35"/>
      <c r="F56" s="23"/>
    </row>
    <row r="57" spans="1:6">
      <c r="A57" s="23"/>
      <c r="B57" s="33"/>
      <c r="C57" s="35"/>
      <c r="D57" s="35"/>
      <c r="E57" s="35"/>
      <c r="F57" s="23"/>
    </row>
    <row r="58" spans="1:6">
      <c r="A58" s="23"/>
      <c r="B58" s="33"/>
      <c r="C58" s="35"/>
      <c r="D58" s="35"/>
      <c r="E58" s="35"/>
      <c r="F58" s="23"/>
    </row>
    <row r="59" spans="1:6">
      <c r="A59" s="23"/>
      <c r="B59" s="33"/>
      <c r="C59" s="35"/>
      <c r="D59" s="35"/>
      <c r="E59" s="35"/>
      <c r="F59" s="23"/>
    </row>
    <row r="60" spans="1:6">
      <c r="A60" s="23"/>
      <c r="B60" s="33"/>
      <c r="C60" s="35"/>
      <c r="D60" s="35"/>
      <c r="E60" s="35"/>
      <c r="F60" s="23"/>
    </row>
    <row r="61" spans="1:6">
      <c r="A61" s="23"/>
      <c r="B61" s="33"/>
      <c r="C61" s="35"/>
      <c r="D61" s="35"/>
      <c r="E61" s="35"/>
      <c r="F61" s="23"/>
    </row>
    <row r="62" spans="1:6">
      <c r="A62" s="23"/>
      <c r="B62" s="33"/>
      <c r="C62" s="35"/>
      <c r="D62" s="35"/>
      <c r="E62" s="35"/>
      <c r="F62" s="23"/>
    </row>
    <row r="63" spans="1:6">
      <c r="A63" s="23"/>
      <c r="B63" s="33"/>
      <c r="C63" s="35"/>
      <c r="D63" s="35"/>
      <c r="E63" s="35"/>
      <c r="F63" s="23"/>
    </row>
    <row r="64" spans="1:6">
      <c r="A64" s="23"/>
      <c r="B64" s="33"/>
      <c r="C64" s="35"/>
      <c r="D64" s="35"/>
      <c r="E64" s="35"/>
      <c r="F64" s="23"/>
    </row>
    <row r="65" spans="1:6">
      <c r="A65" s="23"/>
      <c r="B65" s="33"/>
      <c r="C65" s="35"/>
      <c r="D65" s="35"/>
      <c r="E65" s="35"/>
      <c r="F65" s="23"/>
    </row>
    <row r="66" spans="1:6">
      <c r="A66" s="23"/>
      <c r="B66" s="33"/>
      <c r="C66" s="35"/>
      <c r="D66" s="35"/>
      <c r="E66" s="35"/>
      <c r="F66" s="23"/>
    </row>
    <row r="67" spans="1:6">
      <c r="A67" s="23"/>
      <c r="B67" s="33"/>
      <c r="C67" s="35"/>
      <c r="D67" s="35"/>
      <c r="E67" s="35"/>
      <c r="F67" s="23"/>
    </row>
    <row r="68" spans="1:6">
      <c r="A68" s="23"/>
      <c r="B68" s="33"/>
      <c r="C68" s="35"/>
      <c r="D68" s="35"/>
      <c r="E68" s="35"/>
      <c r="F68" s="23"/>
    </row>
    <row r="69" spans="1:6">
      <c r="A69" s="23"/>
      <c r="B69" s="33"/>
      <c r="C69" s="35"/>
      <c r="D69" s="35"/>
      <c r="E69" s="35"/>
      <c r="F69" s="23"/>
    </row>
    <row r="70" spans="1:6">
      <c r="A70" s="23"/>
      <c r="B70" s="33"/>
      <c r="C70" s="35"/>
      <c r="D70" s="35"/>
      <c r="E70" s="35"/>
      <c r="F70" s="23"/>
    </row>
    <row r="71" spans="1:6">
      <c r="A71" s="23"/>
      <c r="B71" s="33"/>
      <c r="C71" s="35"/>
      <c r="D71" s="35"/>
      <c r="E71" s="35"/>
      <c r="F71" s="23"/>
    </row>
    <row r="72" spans="1:6">
      <c r="A72" s="23"/>
      <c r="B72" s="33"/>
      <c r="C72" s="35"/>
      <c r="D72" s="35"/>
      <c r="E72" s="35"/>
      <c r="F72" s="23"/>
    </row>
    <row r="73" spans="1:6">
      <c r="A73" s="23"/>
      <c r="B73" s="33"/>
      <c r="C73" s="35"/>
      <c r="D73" s="35"/>
      <c r="E73" s="35"/>
      <c r="F73" s="23"/>
    </row>
    <row r="74" spans="1:6">
      <c r="A74" s="23"/>
      <c r="B74" s="33"/>
      <c r="C74" s="35"/>
      <c r="D74" s="35"/>
      <c r="E74" s="35"/>
      <c r="F74" s="23"/>
    </row>
    <row r="75" spans="1:6">
      <c r="A75" s="23"/>
      <c r="B75" s="33"/>
      <c r="C75" s="35"/>
      <c r="D75" s="35"/>
      <c r="E75" s="35"/>
      <c r="F75" s="23"/>
    </row>
    <row r="76" spans="1:6">
      <c r="A76" s="23"/>
      <c r="B76" s="33"/>
      <c r="C76" s="35"/>
      <c r="D76" s="35"/>
      <c r="E76" s="35"/>
      <c r="F76" s="23"/>
    </row>
    <row r="77" spans="1:6">
      <c r="A77" s="23"/>
      <c r="B77" s="33"/>
      <c r="C77" s="35"/>
      <c r="D77" s="35"/>
      <c r="E77" s="35"/>
      <c r="F77" s="23"/>
    </row>
    <row r="78" spans="1:6">
      <c r="A78" s="23"/>
      <c r="B78" s="33"/>
      <c r="C78" s="35"/>
      <c r="D78" s="35"/>
      <c r="E78" s="35"/>
      <c r="F78" s="23"/>
    </row>
    <row r="79" spans="1:6">
      <c r="A79" s="23"/>
      <c r="B79" s="33"/>
      <c r="C79" s="35"/>
      <c r="D79" s="35"/>
      <c r="E79" s="35"/>
      <c r="F79" s="23"/>
    </row>
    <row r="80" spans="1:6">
      <c r="A80" s="23"/>
      <c r="B80" s="33"/>
      <c r="C80" s="35"/>
      <c r="D80" s="35"/>
      <c r="E80" s="35"/>
      <c r="F80" s="23"/>
    </row>
    <row r="81" spans="1:6">
      <c r="A81" s="23"/>
      <c r="B81" s="33"/>
      <c r="C81" s="35"/>
      <c r="D81" s="35"/>
      <c r="E81" s="35"/>
      <c r="F81" s="23"/>
    </row>
    <row r="82" spans="1:6">
      <c r="A82" s="23"/>
      <c r="B82" s="33"/>
      <c r="C82" s="35"/>
      <c r="D82" s="35"/>
      <c r="E82" s="35"/>
      <c r="F82" s="23"/>
    </row>
    <row r="83" spans="1:6">
      <c r="A83" s="23"/>
      <c r="B83" s="33"/>
      <c r="C83" s="35"/>
      <c r="D83" s="35"/>
      <c r="E83" s="35"/>
      <c r="F83" s="23"/>
    </row>
    <row r="84" spans="1:6">
      <c r="A84" s="23"/>
      <c r="B84" s="33"/>
      <c r="C84" s="35"/>
      <c r="D84" s="35"/>
      <c r="E84" s="35"/>
      <c r="F84" s="23"/>
    </row>
    <row r="85" spans="1:6">
      <c r="A85" s="23"/>
      <c r="B85" s="33"/>
      <c r="C85" s="35"/>
      <c r="D85" s="35"/>
      <c r="E85" s="35"/>
      <c r="F85" s="23"/>
    </row>
    <row r="86" spans="1:6">
      <c r="A86" s="23"/>
      <c r="B86" s="33"/>
      <c r="C86" s="35"/>
      <c r="D86" s="35"/>
      <c r="E86" s="35"/>
      <c r="F86" s="23"/>
    </row>
    <row r="87" spans="1:6">
      <c r="A87" s="23"/>
      <c r="B87" s="33"/>
      <c r="C87" s="35"/>
      <c r="D87" s="35"/>
      <c r="E87" s="35"/>
      <c r="F87" s="23"/>
    </row>
    <row r="88" spans="1:6">
      <c r="A88" s="23"/>
      <c r="B88" s="33"/>
      <c r="C88" s="35"/>
      <c r="D88" s="35"/>
      <c r="E88" s="35"/>
      <c r="F88" s="23"/>
    </row>
    <row r="89" spans="1:6">
      <c r="A89" s="23"/>
      <c r="B89" s="33"/>
      <c r="C89" s="35"/>
      <c r="D89" s="35"/>
      <c r="E89" s="35"/>
      <c r="F89" s="23"/>
    </row>
    <row r="90" spans="1:6">
      <c r="A90" s="23"/>
      <c r="B90" s="33"/>
      <c r="C90" s="35"/>
      <c r="D90" s="35"/>
      <c r="E90" s="35"/>
      <c r="F90" s="23"/>
    </row>
    <row r="91" spans="1:6">
      <c r="A91" s="23"/>
      <c r="B91" s="33"/>
      <c r="C91" s="35"/>
      <c r="D91" s="35"/>
      <c r="E91" s="35"/>
      <c r="F91" s="23"/>
    </row>
    <row r="92" spans="1:6">
      <c r="A92" s="23"/>
      <c r="B92" s="33"/>
      <c r="C92" s="35"/>
      <c r="D92" s="35"/>
      <c r="E92" s="35"/>
      <c r="F92" s="23"/>
    </row>
    <row r="93" spans="1:6">
      <c r="A93" s="23"/>
      <c r="B93" s="33"/>
      <c r="C93" s="35"/>
      <c r="D93" s="35"/>
      <c r="E93" s="35"/>
      <c r="F93" s="23"/>
    </row>
    <row r="94" spans="1:6">
      <c r="A94" s="23"/>
      <c r="B94" s="33"/>
      <c r="C94" s="35"/>
      <c r="D94" s="35"/>
      <c r="E94" s="35"/>
      <c r="F94" s="23"/>
    </row>
    <row r="95" spans="1:6">
      <c r="A95" s="23"/>
      <c r="B95" s="33"/>
      <c r="C95" s="35"/>
      <c r="D95" s="35"/>
      <c r="E95" s="35"/>
      <c r="F95" s="23"/>
    </row>
    <row r="96" spans="1:6">
      <c r="A96" s="23"/>
      <c r="B96" s="33"/>
      <c r="C96" s="35"/>
      <c r="D96" s="35"/>
      <c r="E96" s="35"/>
      <c r="F96" s="23"/>
    </row>
    <row r="97" spans="1:6">
      <c r="A97" s="23"/>
      <c r="B97" s="33"/>
      <c r="C97" s="35"/>
      <c r="D97" s="35"/>
      <c r="E97" s="35"/>
      <c r="F97" s="23"/>
    </row>
    <row r="98" spans="1:6">
      <c r="A98" s="23"/>
      <c r="B98" s="33"/>
      <c r="C98" s="35"/>
      <c r="D98" s="35"/>
      <c r="E98" s="35"/>
      <c r="F98" s="23"/>
    </row>
    <row r="99" spans="1:6">
      <c r="A99" s="23"/>
      <c r="B99" s="33"/>
      <c r="C99" s="35"/>
      <c r="D99" s="35"/>
      <c r="E99" s="35"/>
      <c r="F99" s="23"/>
    </row>
    <row r="100" spans="1:6">
      <c r="A100" s="23"/>
      <c r="B100" s="33"/>
      <c r="C100" s="35"/>
      <c r="D100" s="35"/>
      <c r="E100" s="35"/>
      <c r="F100" s="23"/>
    </row>
    <row r="101" spans="1:6">
      <c r="A101" s="23"/>
      <c r="B101" s="33"/>
      <c r="C101" s="35"/>
      <c r="D101" s="35"/>
      <c r="E101" s="35"/>
      <c r="F101" s="23"/>
    </row>
    <row r="102" spans="1:6">
      <c r="A102" s="23"/>
      <c r="B102" s="33"/>
      <c r="C102" s="35"/>
      <c r="D102" s="35"/>
      <c r="E102" s="35"/>
      <c r="F102" s="23"/>
    </row>
    <row r="103" spans="1:6">
      <c r="A103" s="23"/>
      <c r="B103" s="33"/>
      <c r="C103" s="35"/>
      <c r="D103" s="35"/>
      <c r="E103" s="35"/>
      <c r="F103" s="23"/>
    </row>
    <row r="104" spans="1:6">
      <c r="A104" s="23"/>
      <c r="B104" s="33"/>
      <c r="C104" s="35"/>
      <c r="D104" s="35"/>
      <c r="E104" s="35"/>
      <c r="F104" s="23"/>
    </row>
    <row r="105" spans="1:6">
      <c r="A105" s="23"/>
      <c r="B105" s="33"/>
      <c r="C105" s="35"/>
      <c r="D105" s="35"/>
      <c r="E105" s="35"/>
      <c r="F105" s="23"/>
    </row>
    <row r="106" spans="1:6">
      <c r="A106" s="23"/>
      <c r="B106" s="33"/>
      <c r="C106" s="35"/>
      <c r="D106" s="35"/>
      <c r="E106" s="35"/>
      <c r="F106" s="23"/>
    </row>
    <row r="107" spans="1:6">
      <c r="A107" s="23"/>
      <c r="B107" s="33"/>
      <c r="C107" s="35"/>
      <c r="D107" s="35"/>
      <c r="E107" s="35"/>
      <c r="F107" s="23"/>
    </row>
    <row r="108" spans="1:6">
      <c r="A108" s="23"/>
      <c r="B108" s="33"/>
      <c r="C108" s="35"/>
      <c r="D108" s="35"/>
      <c r="E108" s="35"/>
      <c r="F108" s="23"/>
    </row>
    <row r="109" spans="1:6">
      <c r="A109" s="23"/>
      <c r="B109" s="33"/>
      <c r="C109" s="35"/>
      <c r="D109" s="35"/>
      <c r="E109" s="35"/>
      <c r="F109" s="23"/>
    </row>
    <row r="110" spans="1:6">
      <c r="A110" s="23"/>
      <c r="B110" s="33"/>
      <c r="C110" s="35"/>
      <c r="D110" s="35"/>
      <c r="E110" s="35"/>
      <c r="F110" s="23"/>
    </row>
    <row r="111" spans="1:6">
      <c r="A111" s="23"/>
      <c r="B111" s="33"/>
      <c r="C111" s="35"/>
      <c r="D111" s="35"/>
      <c r="E111" s="35"/>
      <c r="F111" s="23"/>
    </row>
    <row r="112" spans="1:6">
      <c r="A112" s="23"/>
      <c r="B112" s="33"/>
      <c r="C112" s="35"/>
      <c r="D112" s="35"/>
      <c r="E112" s="35"/>
      <c r="F112" s="23"/>
    </row>
    <row r="113" spans="1:6">
      <c r="A113" s="23"/>
      <c r="B113" s="33"/>
      <c r="C113" s="35"/>
      <c r="D113" s="35"/>
      <c r="E113" s="35"/>
      <c r="F113" s="23"/>
    </row>
    <row r="114" spans="1:6">
      <c r="A114" s="23"/>
      <c r="B114" s="33"/>
      <c r="C114" s="35"/>
      <c r="D114" s="35"/>
      <c r="E114" s="35"/>
      <c r="F114" s="23"/>
    </row>
    <row r="115" spans="1:6">
      <c r="A115" s="23"/>
      <c r="B115" s="33"/>
      <c r="C115" s="35"/>
      <c r="D115" s="35"/>
      <c r="E115" s="35"/>
      <c r="F115" s="23"/>
    </row>
    <row r="116" spans="1:6">
      <c r="A116" s="23"/>
      <c r="B116" s="33"/>
      <c r="C116" s="35"/>
      <c r="D116" s="35"/>
      <c r="E116" s="35"/>
      <c r="F116" s="23"/>
    </row>
    <row r="117" spans="1:6">
      <c r="A117" s="23"/>
      <c r="B117" s="33"/>
      <c r="C117" s="35"/>
      <c r="D117" s="35"/>
      <c r="E117" s="35"/>
      <c r="F117" s="23"/>
    </row>
    <row r="118" spans="1:6">
      <c r="A118" s="23"/>
      <c r="B118" s="33"/>
      <c r="C118" s="35"/>
      <c r="D118" s="35"/>
      <c r="E118" s="35"/>
      <c r="F118" s="23"/>
    </row>
    <row r="119" spans="1:6">
      <c r="A119" s="23"/>
      <c r="B119" s="33"/>
      <c r="C119" s="35"/>
      <c r="D119" s="35"/>
      <c r="E119" s="35"/>
      <c r="F119" s="23"/>
    </row>
    <row r="120" spans="1:6">
      <c r="A120" s="23"/>
      <c r="B120" s="33"/>
      <c r="C120" s="35"/>
      <c r="D120" s="35"/>
      <c r="E120" s="35"/>
      <c r="F120" s="23"/>
    </row>
    <row r="121" spans="1:6">
      <c r="A121" s="23"/>
      <c r="B121" s="33"/>
      <c r="C121" s="35"/>
      <c r="D121" s="35"/>
      <c r="E121" s="35"/>
      <c r="F121" s="23"/>
    </row>
    <row r="122" spans="1:6">
      <c r="A122" s="23"/>
      <c r="B122" s="33"/>
      <c r="C122" s="35"/>
      <c r="D122" s="35"/>
      <c r="E122" s="35"/>
      <c r="F122" s="23"/>
    </row>
    <row r="123" spans="1:6">
      <c r="A123" s="23"/>
      <c r="B123" s="33"/>
      <c r="C123" s="35"/>
      <c r="D123" s="35"/>
      <c r="E123" s="35"/>
      <c r="F123" s="23"/>
    </row>
    <row r="124" spans="1:6">
      <c r="A124" s="23"/>
      <c r="B124" s="33"/>
      <c r="C124" s="35"/>
      <c r="D124" s="35"/>
      <c r="E124" s="35"/>
      <c r="F124" s="23"/>
    </row>
    <row r="125" spans="1:6">
      <c r="A125" s="23"/>
      <c r="B125" s="33"/>
      <c r="C125" s="35"/>
      <c r="D125" s="35"/>
      <c r="E125" s="35"/>
      <c r="F125" s="23"/>
    </row>
    <row r="126" spans="1:6">
      <c r="A126" s="23"/>
      <c r="B126" s="33"/>
      <c r="C126" s="35"/>
      <c r="D126" s="35"/>
      <c r="E126" s="35"/>
      <c r="F126" s="23"/>
    </row>
    <row r="127" spans="1:6">
      <c r="A127" s="23"/>
      <c r="B127" s="33"/>
      <c r="C127" s="35"/>
      <c r="D127" s="35"/>
      <c r="E127" s="35"/>
      <c r="F127" s="23"/>
    </row>
    <row r="128" spans="1:6">
      <c r="A128" s="23"/>
      <c r="B128" s="33"/>
      <c r="C128" s="35"/>
      <c r="D128" s="35"/>
      <c r="E128" s="35"/>
      <c r="F128" s="23"/>
    </row>
    <row r="129" spans="1:6">
      <c r="A129" s="23"/>
      <c r="B129" s="33"/>
      <c r="C129" s="35"/>
      <c r="D129" s="35"/>
      <c r="E129" s="35"/>
      <c r="F129" s="23"/>
    </row>
    <row r="130" spans="1:6">
      <c r="A130" s="23"/>
      <c r="B130" s="33"/>
      <c r="C130" s="35"/>
      <c r="D130" s="35"/>
      <c r="E130" s="35"/>
      <c r="F130" s="23"/>
    </row>
    <row r="131" spans="1:6">
      <c r="A131" s="23"/>
      <c r="B131" s="33"/>
      <c r="C131" s="35"/>
      <c r="D131" s="35"/>
      <c r="E131" s="35"/>
      <c r="F131" s="23"/>
    </row>
    <row r="132" spans="1:6">
      <c r="A132" s="23"/>
      <c r="B132" s="33"/>
      <c r="C132" s="35"/>
      <c r="D132" s="35"/>
      <c r="E132" s="35"/>
      <c r="F132" s="23"/>
    </row>
    <row r="133" spans="1:6">
      <c r="A133" s="23"/>
      <c r="B133" s="33"/>
      <c r="C133" s="35"/>
      <c r="D133" s="35"/>
      <c r="E133" s="35"/>
      <c r="F133" s="23"/>
    </row>
    <row r="134" spans="1:6">
      <c r="A134" s="23"/>
      <c r="B134" s="33"/>
      <c r="C134" s="35"/>
      <c r="D134" s="35"/>
      <c r="E134" s="35"/>
      <c r="F134" s="23"/>
    </row>
    <row r="135" spans="1:6">
      <c r="A135" s="23"/>
      <c r="B135" s="33"/>
      <c r="C135" s="35"/>
      <c r="D135" s="35"/>
      <c r="E135" s="35"/>
      <c r="F135" s="23"/>
    </row>
    <row r="136" spans="1:6">
      <c r="A136" s="23"/>
      <c r="B136" s="33"/>
      <c r="C136" s="35"/>
      <c r="D136" s="35"/>
      <c r="E136" s="35"/>
      <c r="F136" s="23"/>
    </row>
    <row r="137" spans="1:6">
      <c r="A137" s="23"/>
      <c r="B137" s="33"/>
      <c r="C137" s="35"/>
      <c r="D137" s="35"/>
      <c r="E137" s="35"/>
      <c r="F137" s="23"/>
    </row>
    <row r="138" spans="1:6">
      <c r="A138" s="23"/>
      <c r="B138" s="33"/>
      <c r="C138" s="35"/>
      <c r="D138" s="35"/>
      <c r="E138" s="35"/>
      <c r="F138" s="23"/>
    </row>
    <row r="139" spans="1:6"/>
    <row r="140" spans="1:6"/>
    <row r="141" spans="1:6"/>
    <row r="142" spans="1:6"/>
    <row r="1000" spans="648:648" ht="15.75">
      <c r="XX1000" s="10635">
        <v>125713</v>
      </c>
    </row>
  </sheetData>
  <sheetProtection algorithmName="SHA-512" hashValue="Ly32ZKwuvRD5rJuwAsQr4Sopla78uFURsqzWXIeVPzjLgPBL/3pkYpDJ4DF2cT5LJucFSgi9BPPZkxYQspGU2Q==" saltValue="myCEtg226u5ivSww5uF9rw==" spinCount="100000" sheet="1" objects="1" scenarios="1" selectLockedCells="1"/>
  <mergeCells count="2">
    <mergeCell ref="C7:C8"/>
    <mergeCell ref="D7:D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990BC-4AE1-4C7A-BFAD-2951B480B74B}">
  <sheetPr codeName="Sheet8"/>
  <dimension ref="A1:AH71"/>
  <sheetViews>
    <sheetView zoomScale="90" zoomScaleNormal="90" workbookViewId="0">
      <selection activeCell="Y2" sqref="Y2:Y29"/>
    </sheetView>
  </sheetViews>
  <sheetFormatPr defaultColWidth="8.85546875" defaultRowHeight="15"/>
  <cols>
    <col min="1" max="1" width="8.85546875" style="2"/>
    <col min="2" max="2" width="22.85546875" style="2" bestFit="1" customWidth="1"/>
    <col min="3" max="3" width="3.85546875" style="2" customWidth="1"/>
    <col min="4" max="4" width="23.42578125" style="2" customWidth="1"/>
    <col min="5" max="5" width="3.85546875" style="2" customWidth="1"/>
    <col min="6" max="6" width="17.85546875" style="2" customWidth="1"/>
    <col min="7" max="7" width="21.85546875" style="2" bestFit="1" customWidth="1"/>
    <col min="8" max="8" width="3.85546875" style="2" customWidth="1"/>
    <col min="9" max="9" width="17.85546875" style="2" bestFit="1" customWidth="1"/>
    <col min="10" max="12" width="15.42578125" style="2" customWidth="1"/>
    <col min="13" max="13" width="3.85546875" style="2" customWidth="1"/>
    <col min="14" max="15" width="15.42578125" style="2" customWidth="1"/>
    <col min="16" max="16" width="3.85546875" style="2" customWidth="1"/>
    <col min="17" max="18" width="15.42578125" style="2" customWidth="1"/>
    <col min="19" max="19" width="16.85546875" style="2" bestFit="1" customWidth="1"/>
    <col min="20" max="20" width="16.85546875" style="2" customWidth="1"/>
    <col min="21" max="21" width="3.85546875" style="2" customWidth="1"/>
    <col min="22" max="22" width="14.140625" style="2" bestFit="1" customWidth="1"/>
    <col min="23" max="23" width="13" style="2" customWidth="1"/>
    <col min="24" max="24" width="3.85546875" style="2" customWidth="1"/>
    <col min="25" max="28" width="15.140625" style="2" customWidth="1"/>
    <col min="29" max="29" width="12.42578125" style="2" bestFit="1" customWidth="1"/>
    <col min="30" max="30" width="36.85546875" style="2" bestFit="1" customWidth="1"/>
    <col min="31" max="31" width="8.85546875" style="2"/>
    <col min="32" max="32" width="153.85546875" style="2" bestFit="1" customWidth="1"/>
    <col min="33" max="16384" width="8.85546875" style="2"/>
  </cols>
  <sheetData>
    <row r="1" spans="1:34">
      <c r="A1" s="1"/>
      <c r="B1" s="1"/>
      <c r="D1" s="1" t="s">
        <v>84</v>
      </c>
      <c r="F1" s="1" t="s">
        <v>85</v>
      </c>
      <c r="G1" s="1" t="s">
        <v>86</v>
      </c>
      <c r="I1" s="1" t="s">
        <v>87</v>
      </c>
      <c r="J1" s="1" t="s">
        <v>88</v>
      </c>
      <c r="K1" s="1" t="s">
        <v>89</v>
      </c>
      <c r="L1" s="1" t="s">
        <v>90</v>
      </c>
      <c r="N1" s="1" t="s">
        <v>87</v>
      </c>
      <c r="O1" s="1" t="s">
        <v>91</v>
      </c>
      <c r="P1"/>
      <c r="Q1" s="3" t="s">
        <v>92</v>
      </c>
      <c r="R1" s="4" t="s">
        <v>93</v>
      </c>
      <c r="S1" s="4" t="s">
        <v>94</v>
      </c>
      <c r="T1" s="5" t="s">
        <v>95</v>
      </c>
      <c r="V1" s="43" t="s">
        <v>41</v>
      </c>
      <c r="W1" s="43" t="s">
        <v>96</v>
      </c>
      <c r="X1" s="43"/>
      <c r="Y1" s="43" t="s">
        <v>97</v>
      </c>
      <c r="Z1" s="43" t="s">
        <v>98</v>
      </c>
      <c r="AA1" s="43" t="s">
        <v>99</v>
      </c>
      <c r="AB1" s="43" t="s">
        <v>100</v>
      </c>
      <c r="AC1" s="2" t="s">
        <v>101</v>
      </c>
      <c r="AD1" s="2" t="s">
        <v>102</v>
      </c>
      <c r="AE1" s="2" t="s">
        <v>103</v>
      </c>
    </row>
    <row r="2" spans="1:34">
      <c r="B2" s="7"/>
      <c r="D2" s="2" t="s">
        <v>104</v>
      </c>
      <c r="F2" s="8">
        <v>46083.972002314818</v>
      </c>
      <c r="G2" s="8">
        <v>46083.979583333334</v>
      </c>
      <c r="I2" s="8" t="s">
        <v>45</v>
      </c>
      <c r="J2" s="8" t="s">
        <v>105</v>
      </c>
      <c r="K2" s="8"/>
      <c r="L2" s="8" t="s">
        <v>106</v>
      </c>
      <c r="N2" s="2" t="s">
        <v>107</v>
      </c>
      <c r="O2" s="2" t="s">
        <v>108</v>
      </c>
      <c r="P2">
        <v>1</v>
      </c>
      <c r="Q2" s="9" t="s">
        <v>109</v>
      </c>
      <c r="R2" s="9" t="b">
        <v>1</v>
      </c>
      <c r="S2" s="10">
        <v>10</v>
      </c>
      <c r="T2" s="10">
        <f>pCountNew</f>
        <v>10</v>
      </c>
      <c r="V2" s="43" cm="1">
        <f t="array" ref="V2:V29">_xlfn.SEQUENCE(28)</f>
        <v>1</v>
      </c>
      <c r="W2" s="43">
        <f>IFERROR(IF(AND(AA2=AB2,R2,AC2),1,0),0)</f>
        <v>1</v>
      </c>
      <c r="X2" s="43"/>
      <c r="Y2" s="43">
        <v>0</v>
      </c>
      <c r="Z2" s="43">
        <f t="shared" ref="Z2:Z7" si="0">W2*Y2</f>
        <v>0</v>
      </c>
      <c r="AA2" s="2" t="b">
        <v>1</v>
      </c>
      <c r="AB2" s="2" t="b">
        <f>R2</f>
        <v>1</v>
      </c>
      <c r="AC2" s="2" t="b">
        <v>1</v>
      </c>
      <c r="AD2" s="2" t="s">
        <v>110</v>
      </c>
      <c r="AE2" s="11" t="s">
        <v>111</v>
      </c>
    </row>
    <row r="3" spans="1:34">
      <c r="B3" s="7"/>
      <c r="I3" s="8"/>
      <c r="J3" s="8"/>
      <c r="K3" s="8"/>
      <c r="L3" s="8"/>
      <c r="N3" s="2" t="s">
        <v>21</v>
      </c>
      <c r="O3" s="2" t="s">
        <v>112</v>
      </c>
      <c r="P3">
        <v>2</v>
      </c>
      <c r="Q3" s="9" t="s">
        <v>113</v>
      </c>
      <c r="R3" s="9" t="b">
        <v>1</v>
      </c>
      <c r="S3" s="7"/>
      <c r="T3" s="7"/>
      <c r="V3" s="43">
        <v>2</v>
      </c>
      <c r="W3" s="43">
        <f t="shared" ref="W3:W29" si="1">IFERROR(IF(AND(AA3=AB3,R3,AC3),1,0),0)</f>
        <v>1</v>
      </c>
      <c r="X3" s="43"/>
      <c r="Y3" s="43">
        <v>0</v>
      </c>
      <c r="Z3" s="43">
        <f t="shared" si="0"/>
        <v>0</v>
      </c>
      <c r="AA3" s="2" t="b">
        <v>1</v>
      </c>
      <c r="AB3" s="2" t="b">
        <f>R3</f>
        <v>1</v>
      </c>
      <c r="AC3" s="2" t="b">
        <v>1</v>
      </c>
      <c r="AD3" s="2" t="s">
        <v>110</v>
      </c>
      <c r="AE3" s="11" t="s">
        <v>114</v>
      </c>
    </row>
    <row r="4" spans="1:34">
      <c r="B4" s="7"/>
      <c r="C4" s="12"/>
      <c r="D4" s="1" t="s">
        <v>115</v>
      </c>
      <c r="F4" s="1" t="s">
        <v>116</v>
      </c>
      <c r="G4" s="1" t="s">
        <v>117</v>
      </c>
      <c r="I4" s="8"/>
      <c r="J4" s="8"/>
      <c r="K4" s="8"/>
      <c r="L4" s="8"/>
      <c r="O4" s="8"/>
      <c r="P4" s="42">
        <v>3</v>
      </c>
      <c r="Q4" s="9" t="s">
        <v>118</v>
      </c>
      <c r="R4" s="9" t="b">
        <v>1</v>
      </c>
      <c r="U4" s="42"/>
      <c r="V4" s="2">
        <v>3</v>
      </c>
      <c r="W4" s="43">
        <f t="shared" si="1"/>
        <v>1</v>
      </c>
      <c r="Y4" s="43">
        <v>0</v>
      </c>
      <c r="Z4" s="43">
        <f t="shared" si="0"/>
        <v>0</v>
      </c>
      <c r="AA4" s="2" t="b">
        <v>1</v>
      </c>
      <c r="AB4" s="2" t="b">
        <f t="shared" ref="AB4:AB15" si="2">R4</f>
        <v>1</v>
      </c>
      <c r="AC4" s="2" t="b">
        <v>1</v>
      </c>
      <c r="AD4" s="2" t="s">
        <v>110</v>
      </c>
      <c r="AE4" s="11" t="s">
        <v>119</v>
      </c>
    </row>
    <row r="5" spans="1:34">
      <c r="B5" s="7"/>
      <c r="D5" s="2" t="s">
        <v>13</v>
      </c>
      <c r="F5" s="2" t="b">
        <v>0</v>
      </c>
      <c r="G5" s="2">
        <f>ROUND((endTime-startTime)*3600*24,0)</f>
        <v>655</v>
      </c>
      <c r="I5" s="8"/>
      <c r="J5" s="8"/>
      <c r="K5" s="8"/>
      <c r="L5" s="8"/>
      <c r="P5">
        <v>4</v>
      </c>
      <c r="Q5" s="9" t="s">
        <v>120</v>
      </c>
      <c r="R5" s="9" t="b">
        <v>1</v>
      </c>
      <c r="S5" s="7"/>
      <c r="T5" s="7"/>
      <c r="U5" s="12"/>
      <c r="V5" s="43">
        <v>4</v>
      </c>
      <c r="W5" s="43">
        <f t="shared" si="1"/>
        <v>1</v>
      </c>
      <c r="X5" s="43"/>
      <c r="Y5" s="43">
        <v>0</v>
      </c>
      <c r="Z5" s="43">
        <f t="shared" si="0"/>
        <v>0</v>
      </c>
      <c r="AA5" s="2" t="b">
        <v>1</v>
      </c>
      <c r="AB5" s="2" t="b">
        <f t="shared" si="2"/>
        <v>1</v>
      </c>
      <c r="AC5" s="2" t="b">
        <v>1</v>
      </c>
      <c r="AD5" s="2" t="s">
        <v>110</v>
      </c>
      <c r="AE5" s="11" t="s">
        <v>119</v>
      </c>
    </row>
    <row r="6" spans="1:34">
      <c r="B6" s="7"/>
      <c r="J6" s="8"/>
      <c r="K6" s="8"/>
      <c r="L6" s="8"/>
      <c r="N6" s="8"/>
      <c r="O6" s="8"/>
      <c r="P6">
        <v>5</v>
      </c>
      <c r="Q6" s="9" t="s">
        <v>121</v>
      </c>
      <c r="R6" s="9" t="b">
        <v>1</v>
      </c>
      <c r="S6" s="7"/>
      <c r="T6" s="7"/>
      <c r="V6" s="43">
        <v>5</v>
      </c>
      <c r="W6" s="43">
        <f t="shared" si="1"/>
        <v>1</v>
      </c>
      <c r="X6" s="43"/>
      <c r="Y6" s="43">
        <v>0</v>
      </c>
      <c r="Z6" s="43">
        <f t="shared" si="0"/>
        <v>0</v>
      </c>
      <c r="AA6" s="2" t="b">
        <v>1</v>
      </c>
      <c r="AB6" s="2" t="b">
        <f t="shared" si="2"/>
        <v>1</v>
      </c>
      <c r="AC6" s="2" t="b">
        <v>1</v>
      </c>
      <c r="AD6" s="2" t="s">
        <v>110</v>
      </c>
      <c r="AE6" s="11" t="s">
        <v>119</v>
      </c>
    </row>
    <row r="7" spans="1:34">
      <c r="B7" s="7"/>
      <c r="D7" s="1"/>
      <c r="F7" s="1" t="s">
        <v>122</v>
      </c>
      <c r="G7" s="1" t="s">
        <v>123</v>
      </c>
      <c r="J7" s="8"/>
      <c r="K7" s="8"/>
      <c r="L7" s="8"/>
      <c r="N7" s="8"/>
      <c r="P7">
        <v>6</v>
      </c>
      <c r="Q7" s="9" t="s">
        <v>124</v>
      </c>
      <c r="R7" s="9" t="b">
        <v>1</v>
      </c>
      <c r="S7" s="7"/>
      <c r="T7" s="7"/>
      <c r="V7" s="43">
        <v>6</v>
      </c>
      <c r="W7" s="43">
        <f t="shared" si="1"/>
        <v>1</v>
      </c>
      <c r="X7" s="43"/>
      <c r="Y7" s="43">
        <v>0</v>
      </c>
      <c r="Z7" s="43">
        <f t="shared" si="0"/>
        <v>0</v>
      </c>
      <c r="AA7" s="2" t="b">
        <v>1</v>
      </c>
      <c r="AB7" s="2" t="b">
        <f t="shared" si="2"/>
        <v>1</v>
      </c>
      <c r="AC7" s="2" t="b">
        <v>1</v>
      </c>
      <c r="AD7" s="2" t="s">
        <v>110</v>
      </c>
      <c r="AE7" s="11" t="s">
        <v>119</v>
      </c>
      <c r="AH7" s="11"/>
    </row>
    <row r="8" spans="1:34">
      <c r="B8" s="7"/>
      <c r="F8" s="2" t="b">
        <f ca="1">IF(AND(ISERROR(MATCH(FALSE,R2:R29,0)),PRODUCT(W2:W29)=1),TRUE,FALSE)</f>
        <v>1</v>
      </c>
      <c r="G8" s="2" t="b">
        <v>0</v>
      </c>
      <c r="N8" s="8"/>
      <c r="O8" s="8"/>
      <c r="P8">
        <v>7</v>
      </c>
      <c r="Q8" s="9" t="s">
        <v>125</v>
      </c>
      <c r="R8" s="9" t="b">
        <v>1</v>
      </c>
      <c r="S8" s="7"/>
      <c r="T8" s="7"/>
      <c r="V8" s="43">
        <v>7</v>
      </c>
      <c r="W8" s="43">
        <f t="shared" si="1"/>
        <v>1</v>
      </c>
      <c r="X8" s="43"/>
      <c r="Y8" s="43">
        <v>0</v>
      </c>
      <c r="Z8" s="43">
        <f t="shared" ref="Z8:Z29" si="3">W8*Y8</f>
        <v>0</v>
      </c>
      <c r="AA8" s="2" t="b">
        <v>1</v>
      </c>
      <c r="AB8" s="2" t="b">
        <f t="shared" si="2"/>
        <v>1</v>
      </c>
      <c r="AC8" s="2" t="b">
        <v>1</v>
      </c>
      <c r="AD8" s="2" t="s">
        <v>110</v>
      </c>
      <c r="AE8" s="11" t="s">
        <v>119</v>
      </c>
    </row>
    <row r="9" spans="1:34">
      <c r="B9" s="7"/>
      <c r="N9" s="8"/>
      <c r="P9">
        <v>8</v>
      </c>
      <c r="Q9" s="9" t="s">
        <v>126</v>
      </c>
      <c r="R9" s="9" t="b">
        <v>1</v>
      </c>
      <c r="S9" s="13"/>
      <c r="T9" s="13"/>
      <c r="V9" s="43">
        <v>8</v>
      </c>
      <c r="W9" s="43">
        <f t="shared" si="1"/>
        <v>1</v>
      </c>
      <c r="X9" s="43"/>
      <c r="Y9" s="43">
        <v>0</v>
      </c>
      <c r="Z9" s="43">
        <f t="shared" si="3"/>
        <v>0</v>
      </c>
      <c r="AA9" s="2" t="b">
        <v>1</v>
      </c>
      <c r="AB9" s="2" t="b">
        <f t="shared" si="2"/>
        <v>1</v>
      </c>
      <c r="AC9" s="2" t="b">
        <v>1</v>
      </c>
      <c r="AD9" s="2" t="s">
        <v>110</v>
      </c>
      <c r="AE9" s="11" t="s">
        <v>119</v>
      </c>
      <c r="AH9" s="11"/>
    </row>
    <row r="10" spans="1:34">
      <c r="B10" s="7"/>
      <c r="D10" s="1"/>
      <c r="F10" s="1" t="s">
        <v>127</v>
      </c>
      <c r="G10" s="1"/>
      <c r="N10" s="8"/>
      <c r="O10" s="8"/>
      <c r="P10">
        <v>9</v>
      </c>
      <c r="Q10" s="9" t="s">
        <v>128</v>
      </c>
      <c r="R10" s="9" t="b">
        <v>1</v>
      </c>
      <c r="V10" s="43">
        <v>9</v>
      </c>
      <c r="W10" s="43">
        <f t="shared" si="1"/>
        <v>1</v>
      </c>
      <c r="X10" s="43"/>
      <c r="Y10" s="43">
        <v>0</v>
      </c>
      <c r="Z10" s="43">
        <f t="shared" si="3"/>
        <v>0</v>
      </c>
      <c r="AA10" s="2" t="b">
        <v>1</v>
      </c>
      <c r="AB10" s="2" t="b">
        <f t="shared" si="2"/>
        <v>1</v>
      </c>
      <c r="AC10" s="2" t="b">
        <v>1</v>
      </c>
      <c r="AD10" s="2" t="s">
        <v>110</v>
      </c>
      <c r="AE10" s="11" t="s">
        <v>119</v>
      </c>
      <c r="AH10" s="11"/>
    </row>
    <row r="11" spans="1:34">
      <c r="B11" s="7"/>
      <c r="F11" s="2">
        <f>SUM(W3:W15)</f>
        <v>13</v>
      </c>
      <c r="N11" s="8"/>
      <c r="P11">
        <v>10</v>
      </c>
      <c r="Q11" s="9" t="s">
        <v>129</v>
      </c>
      <c r="R11" s="9" t="b">
        <v>1</v>
      </c>
      <c r="S11" s="7"/>
      <c r="T11" s="7"/>
      <c r="V11" s="43">
        <v>10</v>
      </c>
      <c r="W11" s="43">
        <f t="shared" si="1"/>
        <v>1</v>
      </c>
      <c r="X11" s="43"/>
      <c r="Y11" s="43">
        <v>0</v>
      </c>
      <c r="Z11" s="43">
        <f t="shared" si="3"/>
        <v>0</v>
      </c>
      <c r="AA11" s="2" t="b">
        <v>1</v>
      </c>
      <c r="AB11" s="2" t="b">
        <f t="shared" si="2"/>
        <v>1</v>
      </c>
      <c r="AC11" s="2" t="b">
        <v>1</v>
      </c>
      <c r="AD11" s="2" t="s">
        <v>110</v>
      </c>
      <c r="AE11" s="11" t="s">
        <v>119</v>
      </c>
      <c r="AH11" s="11"/>
    </row>
    <row r="12" spans="1:34">
      <c r="B12" s="7"/>
      <c r="N12" s="8"/>
      <c r="O12" s="8"/>
      <c r="P12">
        <v>11</v>
      </c>
      <c r="Q12" s="9" t="s">
        <v>130</v>
      </c>
      <c r="R12" s="9" t="b">
        <v>1</v>
      </c>
      <c r="V12" s="43">
        <v>11</v>
      </c>
      <c r="W12" s="43">
        <f t="shared" si="1"/>
        <v>1</v>
      </c>
      <c r="X12" s="43"/>
      <c r="Y12" s="43">
        <v>0</v>
      </c>
      <c r="Z12" s="43">
        <f t="shared" si="3"/>
        <v>0</v>
      </c>
      <c r="AA12" s="2" t="b">
        <v>1</v>
      </c>
      <c r="AB12" s="2" t="b">
        <f t="shared" si="2"/>
        <v>1</v>
      </c>
      <c r="AC12" s="2" t="b">
        <v>1</v>
      </c>
      <c r="AD12" s="2" t="s">
        <v>110</v>
      </c>
      <c r="AE12" s="11" t="s">
        <v>119</v>
      </c>
    </row>
    <row r="13" spans="1:34">
      <c r="B13" s="7"/>
      <c r="D13" s="1" t="s">
        <v>131</v>
      </c>
      <c r="F13" s="1"/>
      <c r="N13" s="8"/>
      <c r="P13">
        <v>12</v>
      </c>
      <c r="Q13" s="9" t="s">
        <v>132</v>
      </c>
      <c r="R13" s="9" t="b">
        <v>1</v>
      </c>
      <c r="V13" s="43">
        <v>12</v>
      </c>
      <c r="W13" s="43">
        <f t="shared" si="1"/>
        <v>1</v>
      </c>
      <c r="X13" s="43"/>
      <c r="Y13" s="43">
        <v>0</v>
      </c>
      <c r="Z13" s="43">
        <f t="shared" si="3"/>
        <v>0</v>
      </c>
      <c r="AA13" s="2" t="b">
        <v>1</v>
      </c>
      <c r="AB13" s="2" t="b">
        <f t="shared" si="2"/>
        <v>1</v>
      </c>
      <c r="AC13" s="2" t="b">
        <v>1</v>
      </c>
      <c r="AD13" s="2" t="s">
        <v>110</v>
      </c>
      <c r="AE13" s="11" t="s">
        <v>119</v>
      </c>
      <c r="AH13" s="11"/>
    </row>
    <row r="14" spans="1:34">
      <c r="B14" s="7"/>
      <c r="D14" s="2">
        <f>COUNTA(I2:I26)</f>
        <v>1</v>
      </c>
      <c r="P14">
        <v>13</v>
      </c>
      <c r="Q14" s="9" t="s">
        <v>133</v>
      </c>
      <c r="R14" s="9" t="b">
        <v>1</v>
      </c>
      <c r="V14" s="43">
        <v>13</v>
      </c>
      <c r="W14" s="43">
        <f t="shared" si="1"/>
        <v>1</v>
      </c>
      <c r="X14" s="43"/>
      <c r="Y14" s="43">
        <v>0</v>
      </c>
      <c r="Z14" s="43">
        <f t="shared" si="3"/>
        <v>0</v>
      </c>
      <c r="AA14" s="2" t="b">
        <v>1</v>
      </c>
      <c r="AB14" s="2" t="b">
        <f t="shared" si="2"/>
        <v>1</v>
      </c>
      <c r="AC14" s="2" t="b">
        <v>1</v>
      </c>
      <c r="AD14" s="2" t="s">
        <v>110</v>
      </c>
      <c r="AE14" s="11" t="s">
        <v>119</v>
      </c>
      <c r="AH14" s="11"/>
    </row>
    <row r="15" spans="1:34">
      <c r="B15" s="7"/>
      <c r="G15" s="1" t="s">
        <v>134</v>
      </c>
      <c r="P15" s="2">
        <v>14</v>
      </c>
      <c r="Q15" s="9" t="s">
        <v>135</v>
      </c>
      <c r="R15" s="9" t="b">
        <v>1</v>
      </c>
      <c r="V15" s="43">
        <v>14</v>
      </c>
      <c r="W15" s="43">
        <f t="shared" si="1"/>
        <v>1</v>
      </c>
      <c r="X15" s="43"/>
      <c r="Y15" s="43">
        <v>0</v>
      </c>
      <c r="Z15" s="43">
        <f t="shared" si="3"/>
        <v>0</v>
      </c>
      <c r="AA15" s="2" t="b">
        <v>1</v>
      </c>
      <c r="AB15" s="2" t="b">
        <f t="shared" si="2"/>
        <v>1</v>
      </c>
      <c r="AC15" s="2" t="b">
        <v>1</v>
      </c>
      <c r="AD15" s="2" t="s">
        <v>110</v>
      </c>
      <c r="AE15" s="11" t="s">
        <v>119</v>
      </c>
      <c r="AH15" s="11"/>
    </row>
    <row r="16" spans="1:34">
      <c r="B16" s="7"/>
      <c r="D16" s="1" t="s">
        <v>136</v>
      </c>
      <c r="G16" s="2">
        <f ca="1">SUM(W2:W29)</f>
        <v>28</v>
      </c>
      <c r="P16">
        <v>15</v>
      </c>
      <c r="Q16" s="9" t="s">
        <v>137</v>
      </c>
      <c r="R16" s="9" t="b">
        <v>1</v>
      </c>
      <c r="V16" s="43">
        <v>15</v>
      </c>
      <c r="W16" s="43">
        <f t="shared" si="1"/>
        <v>1</v>
      </c>
      <c r="X16" s="43"/>
      <c r="Y16" s="43">
        <v>0</v>
      </c>
      <c r="Z16" s="43">
        <f t="shared" si="3"/>
        <v>0</v>
      </c>
      <c r="AA16" s="43">
        <v>159</v>
      </c>
      <c r="AB16" s="2">
        <f>stop15</f>
        <v>159</v>
      </c>
      <c r="AC16" s="2" t="b">
        <v>1</v>
      </c>
      <c r="AD16" s="2" t="s">
        <v>110</v>
      </c>
      <c r="AE16" s="11" t="s">
        <v>138</v>
      </c>
    </row>
    <row r="17" spans="2:34">
      <c r="B17" s="7"/>
      <c r="D17" s="2">
        <f>COUNTA(N2:N100)</f>
        <v>2</v>
      </c>
      <c r="P17">
        <v>16</v>
      </c>
      <c r="Q17" s="9" t="s">
        <v>139</v>
      </c>
      <c r="R17" s="9" t="b">
        <v>1</v>
      </c>
      <c r="V17" s="43">
        <v>16</v>
      </c>
      <c r="W17" s="43">
        <f t="shared" ca="1" si="1"/>
        <v>1</v>
      </c>
      <c r="X17" s="43"/>
      <c r="Y17" s="43">
        <v>0</v>
      </c>
      <c r="Z17" s="43">
        <f t="shared" ca="1" si="3"/>
        <v>0</v>
      </c>
      <c r="AA17" s="43">
        <v>152</v>
      </c>
      <c r="AB17" s="2">
        <f>stop16</f>
        <v>152</v>
      </c>
      <c r="AC17" s="10604" t="b">
        <f ca="1">IFERROR(IFERROR(LEN(_xlfn.FORMULATEXT(stop16)),0)&gt;5,FALSE)</f>
        <v>1</v>
      </c>
      <c r="AD17" s="10604" t="s">
        <v>140</v>
      </c>
      <c r="AE17" s="11" t="s">
        <v>141</v>
      </c>
      <c r="AH17" s="11"/>
    </row>
    <row r="18" spans="2:34">
      <c r="B18" s="7"/>
      <c r="P18">
        <v>17</v>
      </c>
      <c r="Q18" s="9" t="s">
        <v>142</v>
      </c>
      <c r="R18" s="9" t="b">
        <v>1</v>
      </c>
      <c r="V18" s="43">
        <v>17</v>
      </c>
      <c r="W18" s="43">
        <f t="shared" ca="1" si="1"/>
        <v>1</v>
      </c>
      <c r="X18" s="43"/>
      <c r="Y18" s="43">
        <v>0</v>
      </c>
      <c r="Z18" s="43">
        <f t="shared" ca="1" si="3"/>
        <v>0</v>
      </c>
      <c r="AA18" s="43">
        <v>25</v>
      </c>
      <c r="AB18" s="43">
        <f>stop17</f>
        <v>25</v>
      </c>
      <c r="AC18" s="10604" t="b">
        <f ca="1">IFERROR(IFERROR(LEN(_xlfn.FORMULATEXT(stop17)),0)&gt;5,FALSE)</f>
        <v>1</v>
      </c>
      <c r="AD18" s="10604" t="s">
        <v>143</v>
      </c>
      <c r="AE18" s="11" t="s">
        <v>144</v>
      </c>
      <c r="AH18" s="11"/>
    </row>
    <row r="19" spans="2:34">
      <c r="B19" s="7"/>
      <c r="D19" s="1" t="s">
        <v>145</v>
      </c>
      <c r="P19">
        <v>18</v>
      </c>
      <c r="Q19" s="9" t="s">
        <v>146</v>
      </c>
      <c r="R19" s="9" t="b">
        <v>1</v>
      </c>
      <c r="V19" s="2">
        <v>18</v>
      </c>
      <c r="W19" s="43">
        <f t="shared" si="1"/>
        <v>1</v>
      </c>
      <c r="Y19" s="43">
        <v>0</v>
      </c>
      <c r="Z19" s="43">
        <f t="shared" si="3"/>
        <v>0</v>
      </c>
      <c r="AA19" s="2" t="b">
        <v>1</v>
      </c>
      <c r="AB19" s="2" t="b">
        <f t="shared" ref="AB19:AB21" si="4">R19</f>
        <v>1</v>
      </c>
      <c r="AC19" s="2" t="b">
        <v>1</v>
      </c>
      <c r="AD19" s="2" t="s">
        <v>110</v>
      </c>
      <c r="AE19" s="11" t="s">
        <v>147</v>
      </c>
      <c r="AH19" s="11"/>
    </row>
    <row r="20" spans="2:34">
      <c r="B20" s="7"/>
      <c r="D20" s="2">
        <f>COUNTA(AB2:AB100)</f>
        <v>28</v>
      </c>
      <c r="J20" s="15"/>
      <c r="P20" s="2">
        <v>19</v>
      </c>
      <c r="Q20" s="9" t="s">
        <v>148</v>
      </c>
      <c r="R20" s="9" t="b">
        <v>1</v>
      </c>
      <c r="V20" s="2">
        <v>19</v>
      </c>
      <c r="W20" s="43">
        <f t="shared" si="1"/>
        <v>1</v>
      </c>
      <c r="Y20" s="43">
        <v>0</v>
      </c>
      <c r="Z20" s="43">
        <f t="shared" si="3"/>
        <v>0</v>
      </c>
      <c r="AA20" s="2" t="b">
        <v>1</v>
      </c>
      <c r="AB20" s="2" t="b">
        <f t="shared" si="4"/>
        <v>1</v>
      </c>
      <c r="AC20" s="2" t="b">
        <v>1</v>
      </c>
      <c r="AD20" s="2" t="s">
        <v>110</v>
      </c>
      <c r="AE20" s="11" t="s">
        <v>147</v>
      </c>
    </row>
    <row r="21" spans="2:34">
      <c r="B21" s="7"/>
      <c r="J21" s="15"/>
      <c r="P21">
        <v>20</v>
      </c>
      <c r="Q21" s="9" t="s">
        <v>149</v>
      </c>
      <c r="R21" s="9" t="b">
        <v>1</v>
      </c>
      <c r="V21" s="2">
        <v>20</v>
      </c>
      <c r="W21" s="43">
        <f t="shared" si="1"/>
        <v>1</v>
      </c>
      <c r="Y21" s="43">
        <v>0</v>
      </c>
      <c r="Z21" s="43">
        <f t="shared" si="3"/>
        <v>0</v>
      </c>
      <c r="AA21" s="2" t="b">
        <v>1</v>
      </c>
      <c r="AB21" s="2" t="b">
        <f t="shared" si="4"/>
        <v>1</v>
      </c>
      <c r="AC21" s="2" t="b">
        <v>1</v>
      </c>
      <c r="AD21" s="2" t="s">
        <v>110</v>
      </c>
      <c r="AE21" s="11" t="s">
        <v>147</v>
      </c>
      <c r="AH21" s="11"/>
    </row>
    <row r="22" spans="2:34">
      <c r="B22" s="7"/>
      <c r="F22" s="1"/>
      <c r="G22" s="1" t="s">
        <v>150</v>
      </c>
      <c r="J22" s="15"/>
      <c r="P22">
        <v>21</v>
      </c>
      <c r="Q22" s="9" t="s">
        <v>151</v>
      </c>
      <c r="R22" s="9" t="b">
        <v>1</v>
      </c>
      <c r="V22" s="2">
        <v>21</v>
      </c>
      <c r="W22" s="43">
        <f t="shared" si="1"/>
        <v>1</v>
      </c>
      <c r="Y22" s="43">
        <v>0</v>
      </c>
      <c r="Z22" s="43">
        <f t="shared" si="3"/>
        <v>0</v>
      </c>
      <c r="AA22" s="43">
        <v>96.950000000000017</v>
      </c>
      <c r="AB22" s="43">
        <f>stop21</f>
        <v>96.950000000000017</v>
      </c>
      <c r="AC22" s="10604" t="b">
        <f>IFERROR(SUM('Last Tab'!$AM$126:$AU$128)=BackgroundCalcs!AA22,FALSE)</f>
        <v>1</v>
      </c>
      <c r="AD22" s="10604" t="s">
        <v>152</v>
      </c>
      <c r="AE22" s="11" t="s">
        <v>153</v>
      </c>
      <c r="AH22" s="11"/>
    </row>
    <row r="23" spans="2:34">
      <c r="B23" s="7"/>
      <c r="G23" s="2">
        <v>0</v>
      </c>
      <c r="J23" s="15"/>
      <c r="P23">
        <v>22</v>
      </c>
      <c r="Q23" s="9" t="s">
        <v>154</v>
      </c>
      <c r="R23" s="9" t="b">
        <v>1</v>
      </c>
      <c r="V23" s="2">
        <v>22</v>
      </c>
      <c r="W23" s="43">
        <f t="shared" si="1"/>
        <v>1</v>
      </c>
      <c r="Y23" s="43">
        <v>0</v>
      </c>
      <c r="Z23" s="43">
        <f t="shared" si="3"/>
        <v>0</v>
      </c>
      <c r="AA23" s="43">
        <v>21.616666666666667</v>
      </c>
      <c r="AB23" s="2">
        <f>stop22</f>
        <v>21.616666666666667</v>
      </c>
      <c r="AC23" s="10604" t="b">
        <f>IFERROR(SUM('Last Tab'!AR72:AT73)=BackgroundCalcs!AA23,FALSE)</f>
        <v>1</v>
      </c>
      <c r="AD23" s="10604" t="s">
        <v>155</v>
      </c>
      <c r="AE23" s="11" t="s">
        <v>156</v>
      </c>
      <c r="AH23" s="11"/>
    </row>
    <row r="24" spans="2:34">
      <c r="B24" s="7"/>
      <c r="J24" s="15"/>
      <c r="P24">
        <v>23</v>
      </c>
      <c r="Q24" s="9" t="s">
        <v>157</v>
      </c>
      <c r="R24" s="9" t="b">
        <v>1</v>
      </c>
      <c r="V24" s="2">
        <v>23</v>
      </c>
      <c r="W24" s="43">
        <f t="shared" si="1"/>
        <v>1</v>
      </c>
      <c r="Y24" s="43">
        <v>0</v>
      </c>
      <c r="Z24" s="43">
        <f t="shared" si="3"/>
        <v>0</v>
      </c>
      <c r="AA24" s="2" t="b">
        <v>1</v>
      </c>
      <c r="AB24" s="2" t="b">
        <f t="shared" ref="AB24" si="5">R24</f>
        <v>1</v>
      </c>
      <c r="AC24" s="2" t="b">
        <v>1</v>
      </c>
      <c r="AD24" s="2" t="s">
        <v>110</v>
      </c>
      <c r="AE24" s="11" t="s">
        <v>147</v>
      </c>
    </row>
    <row r="25" spans="2:34">
      <c r="B25" s="7"/>
      <c r="F25" s="1" t="s">
        <v>158</v>
      </c>
      <c r="G25" s="1" t="s">
        <v>159</v>
      </c>
      <c r="J25" s="15"/>
      <c r="P25" s="2">
        <v>24</v>
      </c>
      <c r="Q25" s="9" t="s">
        <v>160</v>
      </c>
      <c r="R25" s="9" t="b">
        <v>1</v>
      </c>
      <c r="V25" s="2">
        <v>24</v>
      </c>
      <c r="W25" s="43">
        <f t="shared" si="1"/>
        <v>1</v>
      </c>
      <c r="Y25" s="43">
        <v>0</v>
      </c>
      <c r="Z25" s="43">
        <f t="shared" si="3"/>
        <v>0</v>
      </c>
      <c r="AA25" s="43">
        <v>30</v>
      </c>
      <c r="AB25" s="2">
        <f>stop24</f>
        <v>30</v>
      </c>
      <c r="AC25" s="10604" t="b">
        <f>IFERROR(SUM('Last Tab'!$AX$51:$BB$56)=BackgroundCalcs!AA25,FALSE)</f>
        <v>1</v>
      </c>
      <c r="AD25" s="10604" t="s">
        <v>155</v>
      </c>
      <c r="AE25" s="11" t="s">
        <v>161</v>
      </c>
      <c r="AH25" s="11"/>
    </row>
    <row r="26" spans="2:34">
      <c r="B26" s="7"/>
      <c r="F26" s="2" t="b">
        <v>1</v>
      </c>
      <c r="G26" s="7">
        <v>45747.43482638889</v>
      </c>
      <c r="J26" s="15"/>
      <c r="P26">
        <v>25</v>
      </c>
      <c r="Q26" s="9" t="s">
        <v>162</v>
      </c>
      <c r="R26" s="9" t="b">
        <v>1</v>
      </c>
      <c r="V26" s="2">
        <v>25</v>
      </c>
      <c r="W26" s="43">
        <f t="shared" ca="1" si="1"/>
        <v>1</v>
      </c>
      <c r="Y26" s="43">
        <v>0</v>
      </c>
      <c r="Z26" s="43">
        <f t="shared" ca="1" si="3"/>
        <v>0</v>
      </c>
      <c r="AA26" s="43">
        <v>89</v>
      </c>
      <c r="AB26" s="2">
        <f>stop25</f>
        <v>89</v>
      </c>
      <c r="AC26" s="10604" t="b">
        <f ca="1">IFERROR(IFERROR(LEN(_xlfn.FORMULATEXT(stop25)),0)&gt;5,FALSE)</f>
        <v>1</v>
      </c>
      <c r="AD26" s="10604" t="s">
        <v>143</v>
      </c>
      <c r="AE26" s="11" t="s">
        <v>163</v>
      </c>
      <c r="AH26" s="11"/>
    </row>
    <row r="27" spans="2:34">
      <c r="B27" s="7"/>
      <c r="J27" s="15"/>
      <c r="P27">
        <v>26</v>
      </c>
      <c r="Q27" s="9" t="s">
        <v>164</v>
      </c>
      <c r="R27" s="9" t="b">
        <v>1</v>
      </c>
      <c r="V27" s="2">
        <v>26</v>
      </c>
      <c r="W27" s="43">
        <f t="shared" ca="1" si="1"/>
        <v>1</v>
      </c>
      <c r="Y27" s="43">
        <v>0</v>
      </c>
      <c r="Z27" s="43">
        <f t="shared" ca="1" si="3"/>
        <v>0</v>
      </c>
      <c r="AA27" s="43">
        <v>5.2777777777777777</v>
      </c>
      <c r="AB27" s="2">
        <f>stop26</f>
        <v>5.2777777777777777</v>
      </c>
      <c r="AC27" s="10604" t="b">
        <f ca="1">IFERROR(IFERROR(LEN(_xlfn.FORMULATEXT(stop26)),0)&gt;5,FALSE)</f>
        <v>1</v>
      </c>
      <c r="AD27" s="10604" t="s">
        <v>165</v>
      </c>
      <c r="AE27" s="11" t="s">
        <v>166</v>
      </c>
      <c r="AH27" s="11"/>
    </row>
    <row r="28" spans="2:34">
      <c r="B28" s="7"/>
      <c r="F28" s="1" t="s">
        <v>81</v>
      </c>
      <c r="G28" s="1" t="s">
        <v>167</v>
      </c>
      <c r="J28" s="15"/>
      <c r="P28">
        <v>27</v>
      </c>
      <c r="Q28" s="9" t="s">
        <v>168</v>
      </c>
      <c r="R28" s="9" t="b">
        <v>1</v>
      </c>
      <c r="V28" s="2">
        <v>27</v>
      </c>
      <c r="W28" s="43">
        <f t="shared" ca="1" si="1"/>
        <v>1</v>
      </c>
      <c r="Y28" s="43">
        <v>0</v>
      </c>
      <c r="Z28" s="43">
        <f t="shared" ca="1" si="3"/>
        <v>0</v>
      </c>
      <c r="AA28" s="2">
        <v>0</v>
      </c>
      <c r="AB28" s="2">
        <f>stop27</f>
        <v>0</v>
      </c>
      <c r="AC28" s="10604" t="b">
        <f ca="1">IFERROR(IFERROR(LEN(_xlfn.FORMULATEXT(stop27)),0)&gt;5,FALSE)</f>
        <v>1</v>
      </c>
      <c r="AD28" s="10604" t="s">
        <v>143</v>
      </c>
      <c r="AE28" s="11" t="s">
        <v>169</v>
      </c>
    </row>
    <row r="29" spans="2:34">
      <c r="B29" s="7"/>
      <c r="F29" s="16">
        <v>0.5877083333034534</v>
      </c>
      <c r="G29" s="2">
        <f>totalTime*24*3600</f>
        <v>50777.999997418374</v>
      </c>
      <c r="J29" s="15"/>
      <c r="P29">
        <v>28</v>
      </c>
      <c r="Q29" s="9" t="s">
        <v>170</v>
      </c>
      <c r="R29" s="9" t="b">
        <v>1</v>
      </c>
      <c r="V29" s="2">
        <v>28</v>
      </c>
      <c r="W29" s="43">
        <f t="shared" si="1"/>
        <v>1</v>
      </c>
      <c r="Y29" s="43">
        <v>0</v>
      </c>
      <c r="Z29" s="43">
        <f t="shared" si="3"/>
        <v>0</v>
      </c>
      <c r="AA29" s="2" t="b">
        <v>1</v>
      </c>
      <c r="AB29" s="2" t="b">
        <v>1</v>
      </c>
      <c r="AC29" s="2" t="b">
        <v>1</v>
      </c>
      <c r="AD29" s="2" t="s">
        <v>110</v>
      </c>
      <c r="AE29" s="11" t="s">
        <v>171</v>
      </c>
      <c r="AH29" s="11"/>
    </row>
    <row r="30" spans="2:34">
      <c r="B30" s="7"/>
      <c r="J30" s="15"/>
      <c r="Q30" s="9"/>
      <c r="R30" s="9"/>
      <c r="AE30" s="11" t="s">
        <v>172</v>
      </c>
      <c r="AH30" s="11"/>
    </row>
    <row r="31" spans="2:34">
      <c r="B31" s="7"/>
      <c r="J31" s="15"/>
      <c r="P31"/>
      <c r="Q31" s="9"/>
      <c r="R31" s="9"/>
      <c r="AC31" s="10605"/>
      <c r="AH31" s="11"/>
    </row>
    <row r="32" spans="2:34">
      <c r="B32" s="7"/>
      <c r="J32" s="15"/>
      <c r="P32"/>
      <c r="Q32" s="14"/>
      <c r="R32"/>
    </row>
    <row r="33" spans="2:34">
      <c r="B33" s="7"/>
      <c r="P33"/>
      <c r="Q33" s="14"/>
      <c r="R33"/>
      <c r="AH33" s="11"/>
    </row>
    <row r="34" spans="2:34">
      <c r="B34" s="7"/>
      <c r="P34"/>
      <c r="Q34" s="14"/>
      <c r="R34"/>
      <c r="AH34" s="11"/>
    </row>
    <row r="35" spans="2:34">
      <c r="B35" s="7"/>
      <c r="D35" s="1" t="s">
        <v>173</v>
      </c>
      <c r="AH35" s="11"/>
    </row>
    <row r="36" spans="2:34">
      <c r="B36" s="7"/>
      <c r="D36" s="2">
        <f>StudentIDCell</f>
        <v>0</v>
      </c>
    </row>
    <row r="37" spans="2:34">
      <c r="B37" s="7"/>
      <c r="D37" s="2">
        <f>StudentNameCell</f>
        <v>0</v>
      </c>
      <c r="AH37" s="11"/>
    </row>
    <row r="38" spans="2:34">
      <c r="B38" s="7"/>
      <c r="AH38" s="11"/>
    </row>
    <row r="39" spans="2:34">
      <c r="B39" s="7"/>
      <c r="AH39" s="11"/>
    </row>
    <row r="40" spans="2:34">
      <c r="B40" s="7"/>
    </row>
    <row r="41" spans="2:34">
      <c r="B41" s="7"/>
      <c r="AH41" s="11"/>
    </row>
    <row r="42" spans="2:34">
      <c r="B42" s="7"/>
      <c r="F42" s="6" t="s">
        <v>174</v>
      </c>
      <c r="AH42" s="11"/>
    </row>
    <row r="43" spans="2:34">
      <c r="B43" s="7"/>
      <c r="F43" s="2">
        <f>'Start Tab'!AN11</f>
        <v>1</v>
      </c>
      <c r="AH43" s="11"/>
    </row>
    <row r="44" spans="2:34">
      <c r="B44" s="7"/>
    </row>
    <row r="45" spans="2:34">
      <c r="B45" s="7"/>
      <c r="D45" s="6" t="s">
        <v>175</v>
      </c>
      <c r="F45" s="6" t="s">
        <v>176</v>
      </c>
      <c r="AH45" s="11"/>
    </row>
    <row r="46" spans="2:34">
      <c r="B46" s="7"/>
      <c r="D46" s="2" t="s">
        <v>177</v>
      </c>
      <c r="F46" s="2">
        <f>'Start Tab'!AN8</f>
        <v>1</v>
      </c>
      <c r="AH46" s="11"/>
    </row>
    <row r="47" spans="2:34">
      <c r="B47" s="7"/>
      <c r="D47" s="2" t="s">
        <v>104</v>
      </c>
      <c r="AH47" s="11"/>
    </row>
    <row r="48" spans="2:34">
      <c r="B48" s="7"/>
      <c r="F48" s="6" t="s">
        <v>178</v>
      </c>
    </row>
    <row r="49" spans="2:34">
      <c r="B49" s="7"/>
      <c r="D49" s="6" t="s">
        <v>179</v>
      </c>
      <c r="F49" s="2">
        <f>'Start Tab'!AN9</f>
        <v>0</v>
      </c>
      <c r="AH49" s="11"/>
    </row>
    <row r="50" spans="2:34">
      <c r="B50" s="7"/>
      <c r="D50" s="17" t="s">
        <v>180</v>
      </c>
      <c r="AH50" s="11"/>
    </row>
    <row r="51" spans="2:34">
      <c r="B51" s="7"/>
      <c r="D51" t="s">
        <v>181</v>
      </c>
      <c r="F51" s="6" t="s">
        <v>182</v>
      </c>
      <c r="AH51" s="11"/>
    </row>
    <row r="52" spans="2:34">
      <c r="B52" s="7"/>
      <c r="F52" s="2">
        <f>'Start Tab'!AN10</f>
        <v>0</v>
      </c>
    </row>
    <row r="53" spans="2:34">
      <c r="B53" s="7"/>
      <c r="AH53" s="11"/>
    </row>
    <row r="54" spans="2:34">
      <c r="B54" s="7"/>
      <c r="AH54" s="11"/>
    </row>
    <row r="55" spans="2:34">
      <c r="B55" s="7"/>
      <c r="D55" s="9" t="str">
        <f>"I finished the "&amp;SpreadsheetName&amp;" in "&amp;Results!$E$16&amp;" seconds. Sign up for the Microsoft Excel Collegiate Challenge and give it a try! #ExcelEsports #MECC #ExcelChampionships #DataSkills"</f>
        <v>I finished the MECC 2025 Regionals - Speed Challenge - Junior Varsity in 665 seconds. Sign up for the Microsoft Excel Collegiate Challenge and give it a try! #ExcelEsports #MECC #ExcelChampionships #DataSkills</v>
      </c>
    </row>
    <row r="56" spans="2:34">
      <c r="D56" s="2">
        <f>LEN(D55)</f>
        <v>209</v>
      </c>
    </row>
    <row r="58" spans="2:34">
      <c r="D58" s="18"/>
    </row>
    <row r="59" spans="2:34">
      <c r="D59" s="19" t="s">
        <v>183</v>
      </c>
    </row>
    <row r="61" spans="2:34">
      <c r="D61" s="11" t="s">
        <v>184</v>
      </c>
    </row>
    <row r="63" spans="2:34">
      <c r="D63" s="20"/>
    </row>
    <row r="64" spans="2:34">
      <c r="D64" s="11"/>
    </row>
    <row r="65" spans="2:4">
      <c r="D65" s="11" t="str">
        <f>"https://twitter.com/intent/tweet?text=I+finished+the+MECC+Junior+Varsity+Speed+Challenge+in+"&amp;Results!$E$16&amp;"+seconds.+Sign+up+and+give+it+a+try!&amp;hashtags=ExcelEsports,MECC,ExcelChampionships,DataSkills"</f>
        <v>https://twitter.com/intent/tweet?text=I+finished+the+MECC+Junior+Varsity+Speed+Challenge+in+665+seconds.+Sign+up+and+give+it+a+try!&amp;hashtags=ExcelEsports,MECC,ExcelChampionships,DataSkills</v>
      </c>
    </row>
    <row r="67" spans="2:4">
      <c r="D67" s="21" t="s">
        <v>185</v>
      </c>
    </row>
    <row r="69" spans="2:4">
      <c r="D69" s="11" t="str">
        <f>"http://www.facebook.com/sharer.php?t=I%20finished%20the%20MECC%20Keyboarding%20Challenge%20in%20"&amp;Results!$E$16&amp;"%20seconds.%20Sign%20up%20for%20the%20Microsoft%20Excel%20Collegiate%20Challenge%20and%20give%20it%20a%20try!"</f>
        <v>http://www.facebook.com/sharer.php?t=I%20finished%20the%20MECC%20Keyboarding%20Challenge%20in%20665%20seconds.%20Sign%20up%20for%20the%20Microsoft%20Excel%20Collegiate%20Challenge%20and%20give%20it%20a%20try!</v>
      </c>
    </row>
    <row r="71" spans="2:4">
      <c r="B71" s="2" t="s">
        <v>186</v>
      </c>
    </row>
  </sheetData>
  <phoneticPr fontId="28" type="noConversion"/>
  <hyperlinks>
    <hyperlink ref="D59" r:id="rId1" xr:uid="{51656B79-AD81-4663-BE92-5F81067B31E0}"/>
    <hyperlink ref="D67" r:id="rId2" xr:uid="{C2E34A70-9F68-4258-948D-469F61ECA54C}"/>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FEDF4-44E1-48A5-97A8-3EC0638E998E}">
  <sheetPr codeName="Sheet6"/>
  <dimension ref="A1:B2"/>
  <sheetViews>
    <sheetView workbookViewId="0">
      <selection activeCell="B2" sqref="B2"/>
    </sheetView>
  </sheetViews>
  <sheetFormatPr defaultColWidth="8.85546875" defaultRowHeight="15"/>
  <cols>
    <col min="1" max="1" width="14" bestFit="1" customWidth="1"/>
  </cols>
  <sheetData>
    <row r="1" spans="1:2">
      <c r="A1" t="s">
        <v>187</v>
      </c>
      <c r="B1" s="46">
        <f>Results!E16</f>
        <v>665</v>
      </c>
    </row>
    <row r="2" spans="1:2">
      <c r="A2" t="s">
        <v>188</v>
      </c>
      <c r="B2">
        <f>IF(ISNUMBER(B1),IF(B1&lt;900,B1,900),0)</f>
        <v>665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EA1A0-9F14-41EF-8EA5-B63FA65F8505}">
  <sheetPr codeName="Sheet2"/>
  <dimension ref="A1:G902"/>
  <sheetViews>
    <sheetView workbookViewId="0"/>
  </sheetViews>
  <sheetFormatPr defaultColWidth="8.85546875" defaultRowHeight="15"/>
  <cols>
    <col min="1" max="1" width="12.140625" bestFit="1" customWidth="1"/>
    <col min="2" max="2" width="15.140625" bestFit="1" customWidth="1"/>
    <col min="3" max="3" width="6" bestFit="1" customWidth="1"/>
    <col min="4" max="4" width="30.140625" bestFit="1" customWidth="1"/>
    <col min="5" max="5" width="7.85546875" bestFit="1" customWidth="1"/>
    <col min="6" max="6" width="15.140625" bestFit="1" customWidth="1"/>
    <col min="7" max="7" width="16.85546875" bestFit="1" customWidth="1"/>
  </cols>
  <sheetData>
    <row r="1" spans="1:7">
      <c r="A1" t="s">
        <v>189</v>
      </c>
      <c r="B1" t="s">
        <v>190</v>
      </c>
      <c r="C1" t="s">
        <v>191</v>
      </c>
      <c r="D1" t="s">
        <v>192</v>
      </c>
      <c r="E1" t="s">
        <v>193</v>
      </c>
      <c r="F1" t="s">
        <v>194</v>
      </c>
      <c r="G1" t="s">
        <v>195</v>
      </c>
    </row>
    <row r="2" spans="1:7">
      <c r="A2" t="s">
        <v>196</v>
      </c>
      <c r="B2" t="s">
        <v>107</v>
      </c>
      <c r="C2" t="s">
        <v>197</v>
      </c>
      <c r="D2" t="s">
        <v>198</v>
      </c>
      <c r="E2">
        <v>1000000</v>
      </c>
      <c r="F2" t="s">
        <v>199</v>
      </c>
      <c r="G2" t="s">
        <v>200</v>
      </c>
    </row>
    <row r="3" spans="1:7">
      <c r="A3" t="s">
        <v>196</v>
      </c>
      <c r="B3" t="s">
        <v>201</v>
      </c>
      <c r="C3" t="s">
        <v>202</v>
      </c>
      <c r="D3" t="s">
        <v>198</v>
      </c>
      <c r="E3">
        <v>-1</v>
      </c>
      <c r="F3" t="s">
        <v>203</v>
      </c>
      <c r="G3" t="s">
        <v>204</v>
      </c>
    </row>
    <row r="4" spans="1:7">
      <c r="A4" t="s">
        <v>196</v>
      </c>
      <c r="B4" t="s">
        <v>201</v>
      </c>
      <c r="C4" t="s">
        <v>202</v>
      </c>
      <c r="D4" t="s">
        <v>205</v>
      </c>
      <c r="E4">
        <v>-2</v>
      </c>
      <c r="F4" t="s">
        <v>203</v>
      </c>
      <c r="G4" t="s">
        <v>204</v>
      </c>
    </row>
    <row r="5" spans="1:7">
      <c r="A5" t="s">
        <v>196</v>
      </c>
      <c r="B5" t="s">
        <v>201</v>
      </c>
      <c r="C5" t="s">
        <v>202</v>
      </c>
      <c r="D5" t="s">
        <v>206</v>
      </c>
      <c r="E5">
        <v>-3</v>
      </c>
      <c r="F5" t="s">
        <v>203</v>
      </c>
      <c r="G5" t="s">
        <v>204</v>
      </c>
    </row>
    <row r="6" spans="1:7">
      <c r="A6" t="s">
        <v>196</v>
      </c>
      <c r="B6" t="s">
        <v>201</v>
      </c>
      <c r="C6" t="s">
        <v>202</v>
      </c>
      <c r="D6" t="s">
        <v>207</v>
      </c>
      <c r="E6">
        <v>-4</v>
      </c>
      <c r="F6" t="s">
        <v>203</v>
      </c>
      <c r="G6" t="s">
        <v>204</v>
      </c>
    </row>
    <row r="7" spans="1:7">
      <c r="A7" t="s">
        <v>196</v>
      </c>
      <c r="B7" t="s">
        <v>201</v>
      </c>
      <c r="C7" t="s">
        <v>202</v>
      </c>
      <c r="D7" t="s">
        <v>208</v>
      </c>
      <c r="E7">
        <v>-5</v>
      </c>
      <c r="F7" t="s">
        <v>203</v>
      </c>
      <c r="G7" t="s">
        <v>204</v>
      </c>
    </row>
    <row r="8" spans="1:7">
      <c r="A8" t="s">
        <v>196</v>
      </c>
      <c r="B8" t="s">
        <v>201</v>
      </c>
      <c r="C8" t="s">
        <v>202</v>
      </c>
      <c r="D8" t="s">
        <v>209</v>
      </c>
      <c r="E8">
        <v>-6</v>
      </c>
      <c r="F8" t="s">
        <v>203</v>
      </c>
      <c r="G8" t="s">
        <v>204</v>
      </c>
    </row>
    <row r="9" spans="1:7">
      <c r="A9" t="s">
        <v>196</v>
      </c>
      <c r="B9" t="s">
        <v>201</v>
      </c>
      <c r="C9" t="s">
        <v>202</v>
      </c>
      <c r="D9" t="s">
        <v>210</v>
      </c>
      <c r="E9">
        <v>-7</v>
      </c>
      <c r="F9" t="s">
        <v>203</v>
      </c>
      <c r="G9" t="s">
        <v>204</v>
      </c>
    </row>
    <row r="10" spans="1:7">
      <c r="A10" t="s">
        <v>196</v>
      </c>
      <c r="B10" t="s">
        <v>201</v>
      </c>
      <c r="C10" t="s">
        <v>202</v>
      </c>
      <c r="D10" t="s">
        <v>211</v>
      </c>
      <c r="E10">
        <v>-8</v>
      </c>
      <c r="F10" t="s">
        <v>203</v>
      </c>
      <c r="G10" t="s">
        <v>204</v>
      </c>
    </row>
    <row r="11" spans="1:7">
      <c r="A11" t="s">
        <v>196</v>
      </c>
      <c r="B11" t="s">
        <v>201</v>
      </c>
      <c r="C11" t="s">
        <v>202</v>
      </c>
      <c r="D11" t="s">
        <v>212</v>
      </c>
      <c r="E11">
        <v>-9</v>
      </c>
      <c r="F11" t="s">
        <v>203</v>
      </c>
      <c r="G11" t="s">
        <v>204</v>
      </c>
    </row>
    <row r="12" spans="1:7">
      <c r="A12" t="s">
        <v>196</v>
      </c>
      <c r="B12" t="s">
        <v>201</v>
      </c>
      <c r="C12" t="s">
        <v>202</v>
      </c>
      <c r="D12" t="s">
        <v>213</v>
      </c>
      <c r="E12">
        <v>-10</v>
      </c>
      <c r="F12" t="s">
        <v>203</v>
      </c>
      <c r="G12" t="s">
        <v>204</v>
      </c>
    </row>
    <row r="13" spans="1:7">
      <c r="A13" t="s">
        <v>196</v>
      </c>
      <c r="B13" t="s">
        <v>201</v>
      </c>
      <c r="C13" t="s">
        <v>202</v>
      </c>
      <c r="D13" t="s">
        <v>214</v>
      </c>
      <c r="E13">
        <v>-11</v>
      </c>
      <c r="F13" t="s">
        <v>203</v>
      </c>
      <c r="G13" t="s">
        <v>204</v>
      </c>
    </row>
    <row r="14" spans="1:7">
      <c r="A14" t="s">
        <v>196</v>
      </c>
      <c r="B14" t="s">
        <v>201</v>
      </c>
      <c r="C14" t="s">
        <v>202</v>
      </c>
      <c r="D14" t="s">
        <v>215</v>
      </c>
      <c r="E14">
        <v>-12</v>
      </c>
      <c r="F14" t="s">
        <v>203</v>
      </c>
      <c r="G14" t="s">
        <v>204</v>
      </c>
    </row>
    <row r="15" spans="1:7">
      <c r="A15" t="s">
        <v>196</v>
      </c>
      <c r="B15" t="s">
        <v>201</v>
      </c>
      <c r="C15" t="s">
        <v>202</v>
      </c>
      <c r="D15" t="s">
        <v>216</v>
      </c>
      <c r="E15">
        <v>-13</v>
      </c>
      <c r="F15" t="s">
        <v>203</v>
      </c>
      <c r="G15" t="s">
        <v>204</v>
      </c>
    </row>
    <row r="16" spans="1:7">
      <c r="A16" t="s">
        <v>196</v>
      </c>
      <c r="B16" t="s">
        <v>201</v>
      </c>
      <c r="C16" t="s">
        <v>202</v>
      </c>
      <c r="D16" t="s">
        <v>217</v>
      </c>
      <c r="E16">
        <v>-14</v>
      </c>
      <c r="F16" t="s">
        <v>203</v>
      </c>
      <c r="G16" t="s">
        <v>204</v>
      </c>
    </row>
    <row r="17" spans="1:7">
      <c r="A17" t="s">
        <v>196</v>
      </c>
      <c r="B17" t="s">
        <v>201</v>
      </c>
      <c r="C17" t="s">
        <v>202</v>
      </c>
      <c r="D17" t="s">
        <v>218</v>
      </c>
      <c r="E17">
        <v>-15</v>
      </c>
      <c r="F17" t="s">
        <v>203</v>
      </c>
      <c r="G17" t="s">
        <v>204</v>
      </c>
    </row>
    <row r="18" spans="1:7">
      <c r="A18" t="s">
        <v>196</v>
      </c>
      <c r="B18" t="s">
        <v>201</v>
      </c>
      <c r="C18" t="s">
        <v>202</v>
      </c>
      <c r="D18" t="s">
        <v>219</v>
      </c>
      <c r="E18">
        <v>-16</v>
      </c>
      <c r="F18" t="s">
        <v>203</v>
      </c>
      <c r="G18" t="s">
        <v>204</v>
      </c>
    </row>
    <row r="19" spans="1:7">
      <c r="A19" t="s">
        <v>196</v>
      </c>
      <c r="B19" t="s">
        <v>201</v>
      </c>
      <c r="C19" t="s">
        <v>202</v>
      </c>
      <c r="D19" t="s">
        <v>220</v>
      </c>
      <c r="E19">
        <v>-17</v>
      </c>
      <c r="F19" t="s">
        <v>203</v>
      </c>
      <c r="G19" t="s">
        <v>204</v>
      </c>
    </row>
    <row r="20" spans="1:7">
      <c r="A20" t="s">
        <v>196</v>
      </c>
      <c r="B20" t="s">
        <v>201</v>
      </c>
      <c r="C20" t="s">
        <v>202</v>
      </c>
      <c r="D20" t="s">
        <v>221</v>
      </c>
      <c r="E20">
        <v>-18</v>
      </c>
      <c r="F20" t="s">
        <v>203</v>
      </c>
      <c r="G20" t="s">
        <v>204</v>
      </c>
    </row>
    <row r="21" spans="1:7">
      <c r="A21" t="s">
        <v>196</v>
      </c>
      <c r="B21" t="s">
        <v>201</v>
      </c>
      <c r="C21" t="s">
        <v>202</v>
      </c>
      <c r="D21" t="s">
        <v>222</v>
      </c>
      <c r="E21">
        <v>-19</v>
      </c>
      <c r="F21" t="s">
        <v>203</v>
      </c>
      <c r="G21" t="s">
        <v>204</v>
      </c>
    </row>
    <row r="22" spans="1:7">
      <c r="A22" t="s">
        <v>196</v>
      </c>
      <c r="B22" t="s">
        <v>201</v>
      </c>
      <c r="C22" t="s">
        <v>202</v>
      </c>
      <c r="D22" t="s">
        <v>223</v>
      </c>
      <c r="E22">
        <v>-20</v>
      </c>
      <c r="F22" t="s">
        <v>203</v>
      </c>
      <c r="G22" t="s">
        <v>204</v>
      </c>
    </row>
    <row r="23" spans="1:7">
      <c r="A23" t="s">
        <v>196</v>
      </c>
      <c r="B23" t="s">
        <v>201</v>
      </c>
      <c r="C23" t="s">
        <v>202</v>
      </c>
      <c r="D23" t="s">
        <v>224</v>
      </c>
      <c r="E23">
        <v>-21</v>
      </c>
      <c r="F23" t="s">
        <v>203</v>
      </c>
      <c r="G23" t="s">
        <v>204</v>
      </c>
    </row>
    <row r="24" spans="1:7">
      <c r="A24" t="s">
        <v>196</v>
      </c>
      <c r="B24" t="s">
        <v>201</v>
      </c>
      <c r="C24" t="s">
        <v>202</v>
      </c>
      <c r="D24" t="s">
        <v>225</v>
      </c>
      <c r="E24">
        <v>-22</v>
      </c>
      <c r="F24" t="s">
        <v>203</v>
      </c>
      <c r="G24" t="s">
        <v>204</v>
      </c>
    </row>
    <row r="25" spans="1:7">
      <c r="A25" t="s">
        <v>196</v>
      </c>
      <c r="B25" t="s">
        <v>201</v>
      </c>
      <c r="C25" t="s">
        <v>202</v>
      </c>
      <c r="D25" t="s">
        <v>226</v>
      </c>
      <c r="E25">
        <v>-23</v>
      </c>
      <c r="F25" t="s">
        <v>203</v>
      </c>
      <c r="G25" t="s">
        <v>204</v>
      </c>
    </row>
    <row r="26" spans="1:7">
      <c r="A26" t="s">
        <v>196</v>
      </c>
      <c r="B26" t="s">
        <v>201</v>
      </c>
      <c r="C26" t="s">
        <v>202</v>
      </c>
      <c r="D26" t="s">
        <v>227</v>
      </c>
      <c r="E26">
        <v>-24</v>
      </c>
      <c r="F26" t="s">
        <v>203</v>
      </c>
      <c r="G26" t="s">
        <v>204</v>
      </c>
    </row>
    <row r="27" spans="1:7">
      <c r="A27" t="s">
        <v>196</v>
      </c>
      <c r="B27" t="s">
        <v>201</v>
      </c>
      <c r="C27" t="s">
        <v>202</v>
      </c>
      <c r="D27" t="s">
        <v>228</v>
      </c>
      <c r="E27">
        <v>-25</v>
      </c>
      <c r="F27" t="s">
        <v>203</v>
      </c>
      <c r="G27" t="s">
        <v>204</v>
      </c>
    </row>
    <row r="28" spans="1:7">
      <c r="A28" t="s">
        <v>196</v>
      </c>
      <c r="B28" t="s">
        <v>201</v>
      </c>
      <c r="C28" t="s">
        <v>202</v>
      </c>
      <c r="D28" t="s">
        <v>229</v>
      </c>
      <c r="E28">
        <v>-26</v>
      </c>
      <c r="F28" t="s">
        <v>203</v>
      </c>
      <c r="G28" t="s">
        <v>204</v>
      </c>
    </row>
    <row r="29" spans="1:7">
      <c r="A29" t="s">
        <v>196</v>
      </c>
      <c r="B29" t="s">
        <v>201</v>
      </c>
      <c r="C29" t="s">
        <v>202</v>
      </c>
      <c r="D29" t="s">
        <v>230</v>
      </c>
      <c r="E29">
        <v>-27</v>
      </c>
      <c r="F29" t="s">
        <v>203</v>
      </c>
      <c r="G29" t="s">
        <v>204</v>
      </c>
    </row>
    <row r="30" spans="1:7">
      <c r="A30" t="s">
        <v>196</v>
      </c>
      <c r="B30" t="s">
        <v>201</v>
      </c>
      <c r="C30" t="s">
        <v>202</v>
      </c>
      <c r="D30" t="s">
        <v>231</v>
      </c>
      <c r="E30">
        <v>-28</v>
      </c>
      <c r="F30" t="s">
        <v>203</v>
      </c>
      <c r="G30" t="s">
        <v>204</v>
      </c>
    </row>
    <row r="31" spans="1:7">
      <c r="A31" t="s">
        <v>196</v>
      </c>
      <c r="B31" t="s">
        <v>201</v>
      </c>
      <c r="C31" t="s">
        <v>202</v>
      </c>
      <c r="D31" t="s">
        <v>232</v>
      </c>
      <c r="E31">
        <v>-29</v>
      </c>
      <c r="F31" t="s">
        <v>203</v>
      </c>
      <c r="G31" t="s">
        <v>204</v>
      </c>
    </row>
    <row r="32" spans="1:7">
      <c r="A32" t="s">
        <v>196</v>
      </c>
      <c r="B32" t="s">
        <v>201</v>
      </c>
      <c r="C32" t="s">
        <v>202</v>
      </c>
      <c r="D32" t="s">
        <v>233</v>
      </c>
      <c r="E32">
        <v>-30</v>
      </c>
      <c r="F32" t="s">
        <v>203</v>
      </c>
      <c r="G32" t="s">
        <v>204</v>
      </c>
    </row>
    <row r="33" spans="1:7">
      <c r="A33" t="s">
        <v>196</v>
      </c>
      <c r="B33" t="s">
        <v>201</v>
      </c>
      <c r="C33" t="s">
        <v>202</v>
      </c>
      <c r="D33" t="s">
        <v>234</v>
      </c>
      <c r="E33">
        <v>-31</v>
      </c>
      <c r="F33" t="s">
        <v>203</v>
      </c>
      <c r="G33" t="s">
        <v>204</v>
      </c>
    </row>
    <row r="34" spans="1:7">
      <c r="A34" t="s">
        <v>196</v>
      </c>
      <c r="B34" t="s">
        <v>201</v>
      </c>
      <c r="C34" t="s">
        <v>202</v>
      </c>
      <c r="D34" t="s">
        <v>235</v>
      </c>
      <c r="E34">
        <v>-32</v>
      </c>
      <c r="F34" t="s">
        <v>203</v>
      </c>
      <c r="G34" t="s">
        <v>204</v>
      </c>
    </row>
    <row r="35" spans="1:7">
      <c r="A35" t="s">
        <v>196</v>
      </c>
      <c r="B35" t="s">
        <v>201</v>
      </c>
      <c r="C35" t="s">
        <v>202</v>
      </c>
      <c r="D35" t="s">
        <v>236</v>
      </c>
      <c r="E35">
        <v>-33</v>
      </c>
      <c r="F35" t="s">
        <v>203</v>
      </c>
      <c r="G35" t="s">
        <v>204</v>
      </c>
    </row>
    <row r="36" spans="1:7">
      <c r="A36" t="s">
        <v>196</v>
      </c>
      <c r="B36" t="s">
        <v>201</v>
      </c>
      <c r="C36" t="s">
        <v>202</v>
      </c>
      <c r="D36" t="s">
        <v>237</v>
      </c>
      <c r="E36">
        <v>-34</v>
      </c>
      <c r="F36" t="s">
        <v>203</v>
      </c>
      <c r="G36" t="s">
        <v>204</v>
      </c>
    </row>
    <row r="37" spans="1:7">
      <c r="A37" t="s">
        <v>196</v>
      </c>
      <c r="B37" t="s">
        <v>201</v>
      </c>
      <c r="C37" t="s">
        <v>202</v>
      </c>
      <c r="D37" t="s">
        <v>238</v>
      </c>
      <c r="E37">
        <v>-35</v>
      </c>
      <c r="F37" t="s">
        <v>203</v>
      </c>
      <c r="G37" t="s">
        <v>204</v>
      </c>
    </row>
    <row r="38" spans="1:7">
      <c r="A38" t="s">
        <v>196</v>
      </c>
      <c r="B38" t="s">
        <v>201</v>
      </c>
      <c r="C38" t="s">
        <v>202</v>
      </c>
      <c r="D38" t="s">
        <v>239</v>
      </c>
      <c r="E38">
        <v>-36</v>
      </c>
      <c r="F38" t="s">
        <v>203</v>
      </c>
      <c r="G38" t="s">
        <v>204</v>
      </c>
    </row>
    <row r="39" spans="1:7">
      <c r="A39" t="s">
        <v>196</v>
      </c>
      <c r="B39" t="s">
        <v>201</v>
      </c>
      <c r="C39" t="s">
        <v>202</v>
      </c>
      <c r="D39" t="s">
        <v>240</v>
      </c>
      <c r="E39">
        <v>-37</v>
      </c>
      <c r="F39" t="s">
        <v>203</v>
      </c>
      <c r="G39" t="s">
        <v>204</v>
      </c>
    </row>
    <row r="40" spans="1:7">
      <c r="A40" t="s">
        <v>196</v>
      </c>
      <c r="B40" t="s">
        <v>201</v>
      </c>
      <c r="C40" t="s">
        <v>202</v>
      </c>
      <c r="D40" t="s">
        <v>241</v>
      </c>
      <c r="E40">
        <v>-38</v>
      </c>
      <c r="F40" t="s">
        <v>203</v>
      </c>
      <c r="G40" t="s">
        <v>204</v>
      </c>
    </row>
    <row r="41" spans="1:7">
      <c r="A41" t="s">
        <v>196</v>
      </c>
      <c r="B41" t="s">
        <v>201</v>
      </c>
      <c r="C41" t="s">
        <v>202</v>
      </c>
      <c r="D41" t="s">
        <v>242</v>
      </c>
      <c r="E41">
        <v>-39</v>
      </c>
      <c r="F41" t="s">
        <v>203</v>
      </c>
      <c r="G41" t="s">
        <v>204</v>
      </c>
    </row>
    <row r="42" spans="1:7">
      <c r="A42" t="s">
        <v>196</v>
      </c>
      <c r="B42" t="s">
        <v>201</v>
      </c>
      <c r="C42" t="s">
        <v>202</v>
      </c>
      <c r="D42" t="s">
        <v>243</v>
      </c>
      <c r="E42">
        <v>-40</v>
      </c>
      <c r="F42" t="s">
        <v>203</v>
      </c>
      <c r="G42" t="s">
        <v>204</v>
      </c>
    </row>
    <row r="43" spans="1:7">
      <c r="A43" t="s">
        <v>196</v>
      </c>
      <c r="B43" t="s">
        <v>201</v>
      </c>
      <c r="C43" t="s">
        <v>202</v>
      </c>
      <c r="D43" t="s">
        <v>244</v>
      </c>
      <c r="E43">
        <v>-41</v>
      </c>
      <c r="F43" t="s">
        <v>203</v>
      </c>
      <c r="G43" t="s">
        <v>204</v>
      </c>
    </row>
    <row r="44" spans="1:7">
      <c r="A44" t="s">
        <v>196</v>
      </c>
      <c r="B44" t="s">
        <v>201</v>
      </c>
      <c r="C44" t="s">
        <v>202</v>
      </c>
      <c r="D44" t="s">
        <v>245</v>
      </c>
      <c r="E44">
        <v>-42</v>
      </c>
      <c r="F44" t="s">
        <v>203</v>
      </c>
      <c r="G44" t="s">
        <v>204</v>
      </c>
    </row>
    <row r="45" spans="1:7">
      <c r="A45" t="s">
        <v>196</v>
      </c>
      <c r="B45" t="s">
        <v>201</v>
      </c>
      <c r="C45" t="s">
        <v>202</v>
      </c>
      <c r="D45" t="s">
        <v>246</v>
      </c>
      <c r="E45">
        <v>-43</v>
      </c>
      <c r="F45" t="s">
        <v>203</v>
      </c>
      <c r="G45" t="s">
        <v>204</v>
      </c>
    </row>
    <row r="46" spans="1:7">
      <c r="A46" t="s">
        <v>196</v>
      </c>
      <c r="B46" t="s">
        <v>201</v>
      </c>
      <c r="C46" t="s">
        <v>202</v>
      </c>
      <c r="D46" t="s">
        <v>247</v>
      </c>
      <c r="E46">
        <v>-44</v>
      </c>
      <c r="F46" t="s">
        <v>203</v>
      </c>
      <c r="G46" t="s">
        <v>204</v>
      </c>
    </row>
    <row r="47" spans="1:7">
      <c r="A47" t="s">
        <v>196</v>
      </c>
      <c r="B47" t="s">
        <v>201</v>
      </c>
      <c r="C47" t="s">
        <v>202</v>
      </c>
      <c r="D47" t="s">
        <v>248</v>
      </c>
      <c r="E47">
        <v>-45</v>
      </c>
      <c r="F47" t="s">
        <v>203</v>
      </c>
      <c r="G47" t="s">
        <v>204</v>
      </c>
    </row>
    <row r="48" spans="1:7">
      <c r="A48" t="s">
        <v>196</v>
      </c>
      <c r="B48" t="s">
        <v>201</v>
      </c>
      <c r="C48" t="s">
        <v>202</v>
      </c>
      <c r="D48" t="s">
        <v>249</v>
      </c>
      <c r="E48">
        <v>-46</v>
      </c>
      <c r="F48" t="s">
        <v>203</v>
      </c>
      <c r="G48" t="s">
        <v>204</v>
      </c>
    </row>
    <row r="49" spans="1:7">
      <c r="A49" t="s">
        <v>196</v>
      </c>
      <c r="B49" t="s">
        <v>201</v>
      </c>
      <c r="C49" t="s">
        <v>202</v>
      </c>
      <c r="D49" t="s">
        <v>250</v>
      </c>
      <c r="E49">
        <v>-47</v>
      </c>
      <c r="F49" t="s">
        <v>203</v>
      </c>
      <c r="G49" t="s">
        <v>204</v>
      </c>
    </row>
    <row r="50" spans="1:7">
      <c r="A50" t="s">
        <v>196</v>
      </c>
      <c r="B50" t="s">
        <v>201</v>
      </c>
      <c r="C50" t="s">
        <v>202</v>
      </c>
      <c r="D50" t="s">
        <v>251</v>
      </c>
      <c r="E50">
        <v>-48</v>
      </c>
      <c r="F50" t="s">
        <v>203</v>
      </c>
      <c r="G50" t="s">
        <v>204</v>
      </c>
    </row>
    <row r="51" spans="1:7">
      <c r="A51" t="s">
        <v>196</v>
      </c>
      <c r="B51" t="s">
        <v>201</v>
      </c>
      <c r="C51" t="s">
        <v>202</v>
      </c>
      <c r="D51" t="s">
        <v>252</v>
      </c>
      <c r="E51">
        <v>-49</v>
      </c>
      <c r="F51" t="s">
        <v>203</v>
      </c>
      <c r="G51" t="s">
        <v>204</v>
      </c>
    </row>
    <row r="52" spans="1:7">
      <c r="A52" t="s">
        <v>196</v>
      </c>
      <c r="B52" t="s">
        <v>201</v>
      </c>
      <c r="C52" t="s">
        <v>202</v>
      </c>
      <c r="D52" t="s">
        <v>253</v>
      </c>
      <c r="E52">
        <v>-50</v>
      </c>
      <c r="F52" t="s">
        <v>203</v>
      </c>
      <c r="G52" t="s">
        <v>204</v>
      </c>
    </row>
    <row r="53" spans="1:7">
      <c r="A53" t="s">
        <v>196</v>
      </c>
      <c r="B53" t="s">
        <v>201</v>
      </c>
      <c r="C53" t="s">
        <v>202</v>
      </c>
      <c r="D53" t="s">
        <v>254</v>
      </c>
      <c r="E53">
        <v>-51</v>
      </c>
      <c r="F53" t="s">
        <v>203</v>
      </c>
      <c r="G53" t="s">
        <v>204</v>
      </c>
    </row>
    <row r="54" spans="1:7">
      <c r="A54" t="s">
        <v>196</v>
      </c>
      <c r="B54" t="s">
        <v>201</v>
      </c>
      <c r="C54" t="s">
        <v>202</v>
      </c>
      <c r="D54" t="s">
        <v>255</v>
      </c>
      <c r="E54">
        <v>-52</v>
      </c>
      <c r="F54" t="s">
        <v>203</v>
      </c>
      <c r="G54" t="s">
        <v>204</v>
      </c>
    </row>
    <row r="55" spans="1:7">
      <c r="A55" t="s">
        <v>196</v>
      </c>
      <c r="B55" t="s">
        <v>201</v>
      </c>
      <c r="C55" t="s">
        <v>202</v>
      </c>
      <c r="D55" t="s">
        <v>256</v>
      </c>
      <c r="E55">
        <v>-53</v>
      </c>
      <c r="F55" t="s">
        <v>203</v>
      </c>
      <c r="G55" t="s">
        <v>204</v>
      </c>
    </row>
    <row r="56" spans="1:7">
      <c r="A56" t="s">
        <v>196</v>
      </c>
      <c r="B56" t="s">
        <v>201</v>
      </c>
      <c r="C56" t="s">
        <v>202</v>
      </c>
      <c r="D56" t="s">
        <v>257</v>
      </c>
      <c r="E56">
        <v>-54</v>
      </c>
      <c r="F56" t="s">
        <v>203</v>
      </c>
      <c r="G56" t="s">
        <v>204</v>
      </c>
    </row>
    <row r="57" spans="1:7">
      <c r="A57" t="s">
        <v>196</v>
      </c>
      <c r="B57" t="s">
        <v>201</v>
      </c>
      <c r="C57" t="s">
        <v>202</v>
      </c>
      <c r="D57" t="s">
        <v>258</v>
      </c>
      <c r="E57">
        <v>-55</v>
      </c>
      <c r="F57" t="s">
        <v>203</v>
      </c>
      <c r="G57" t="s">
        <v>204</v>
      </c>
    </row>
    <row r="58" spans="1:7">
      <c r="A58" t="s">
        <v>196</v>
      </c>
      <c r="B58" t="s">
        <v>201</v>
      </c>
      <c r="C58" t="s">
        <v>202</v>
      </c>
      <c r="D58" t="s">
        <v>259</v>
      </c>
      <c r="E58">
        <v>-56</v>
      </c>
      <c r="F58" t="s">
        <v>203</v>
      </c>
      <c r="G58" t="s">
        <v>204</v>
      </c>
    </row>
    <row r="59" spans="1:7">
      <c r="A59" t="s">
        <v>196</v>
      </c>
      <c r="B59" t="s">
        <v>201</v>
      </c>
      <c r="C59" t="s">
        <v>202</v>
      </c>
      <c r="D59" t="s">
        <v>260</v>
      </c>
      <c r="E59">
        <v>-57</v>
      </c>
      <c r="F59" t="s">
        <v>203</v>
      </c>
      <c r="G59" t="s">
        <v>204</v>
      </c>
    </row>
    <row r="60" spans="1:7">
      <c r="A60" t="s">
        <v>196</v>
      </c>
      <c r="B60" t="s">
        <v>201</v>
      </c>
      <c r="C60" t="s">
        <v>202</v>
      </c>
      <c r="D60" t="s">
        <v>261</v>
      </c>
      <c r="E60">
        <v>-58</v>
      </c>
      <c r="F60" t="s">
        <v>203</v>
      </c>
      <c r="G60" t="s">
        <v>204</v>
      </c>
    </row>
    <row r="61" spans="1:7">
      <c r="A61" t="s">
        <v>196</v>
      </c>
      <c r="B61" t="s">
        <v>201</v>
      </c>
      <c r="C61" t="s">
        <v>202</v>
      </c>
      <c r="D61" t="s">
        <v>262</v>
      </c>
      <c r="E61">
        <v>-59</v>
      </c>
      <c r="F61" t="s">
        <v>203</v>
      </c>
      <c r="G61" t="s">
        <v>204</v>
      </c>
    </row>
    <row r="62" spans="1:7">
      <c r="A62" t="s">
        <v>196</v>
      </c>
      <c r="B62" t="s">
        <v>201</v>
      </c>
      <c r="C62" t="s">
        <v>202</v>
      </c>
      <c r="D62" t="s">
        <v>263</v>
      </c>
      <c r="E62">
        <v>-60</v>
      </c>
      <c r="F62" t="s">
        <v>203</v>
      </c>
      <c r="G62" t="s">
        <v>204</v>
      </c>
    </row>
    <row r="63" spans="1:7">
      <c r="A63" t="s">
        <v>196</v>
      </c>
      <c r="B63" t="s">
        <v>201</v>
      </c>
      <c r="C63" t="s">
        <v>202</v>
      </c>
      <c r="D63" t="s">
        <v>264</v>
      </c>
      <c r="E63">
        <v>-61</v>
      </c>
      <c r="F63" t="s">
        <v>203</v>
      </c>
      <c r="G63" t="s">
        <v>204</v>
      </c>
    </row>
    <row r="64" spans="1:7">
      <c r="A64" t="s">
        <v>196</v>
      </c>
      <c r="B64" t="s">
        <v>201</v>
      </c>
      <c r="C64" t="s">
        <v>202</v>
      </c>
      <c r="D64" t="s">
        <v>265</v>
      </c>
      <c r="E64">
        <v>-62</v>
      </c>
      <c r="F64" t="s">
        <v>203</v>
      </c>
      <c r="G64" t="s">
        <v>204</v>
      </c>
    </row>
    <row r="65" spans="1:7">
      <c r="A65" t="s">
        <v>196</v>
      </c>
      <c r="B65" t="s">
        <v>201</v>
      </c>
      <c r="C65" t="s">
        <v>202</v>
      </c>
      <c r="D65" t="s">
        <v>266</v>
      </c>
      <c r="E65">
        <v>-63</v>
      </c>
      <c r="F65" t="s">
        <v>203</v>
      </c>
      <c r="G65" t="s">
        <v>204</v>
      </c>
    </row>
    <row r="66" spans="1:7">
      <c r="A66" t="s">
        <v>196</v>
      </c>
      <c r="B66" t="s">
        <v>201</v>
      </c>
      <c r="C66" t="s">
        <v>202</v>
      </c>
      <c r="D66" t="s">
        <v>267</v>
      </c>
      <c r="E66">
        <v>-64</v>
      </c>
      <c r="F66" t="s">
        <v>203</v>
      </c>
      <c r="G66" t="s">
        <v>204</v>
      </c>
    </row>
    <row r="67" spans="1:7">
      <c r="A67" t="s">
        <v>196</v>
      </c>
      <c r="B67" t="s">
        <v>201</v>
      </c>
      <c r="C67" t="s">
        <v>202</v>
      </c>
      <c r="D67" t="s">
        <v>268</v>
      </c>
      <c r="E67">
        <v>-65</v>
      </c>
      <c r="F67" t="s">
        <v>203</v>
      </c>
      <c r="G67" t="s">
        <v>204</v>
      </c>
    </row>
    <row r="68" spans="1:7">
      <c r="A68" t="s">
        <v>196</v>
      </c>
      <c r="B68" t="s">
        <v>201</v>
      </c>
      <c r="C68" t="s">
        <v>202</v>
      </c>
      <c r="D68" t="s">
        <v>269</v>
      </c>
      <c r="E68">
        <v>-66</v>
      </c>
      <c r="F68" t="s">
        <v>203</v>
      </c>
      <c r="G68" t="s">
        <v>204</v>
      </c>
    </row>
    <row r="69" spans="1:7">
      <c r="A69" t="s">
        <v>196</v>
      </c>
      <c r="B69" t="s">
        <v>201</v>
      </c>
      <c r="C69" t="s">
        <v>202</v>
      </c>
      <c r="D69" t="s">
        <v>270</v>
      </c>
      <c r="E69">
        <v>-67</v>
      </c>
      <c r="F69" t="s">
        <v>203</v>
      </c>
      <c r="G69" t="s">
        <v>204</v>
      </c>
    </row>
    <row r="70" spans="1:7">
      <c r="A70" t="s">
        <v>196</v>
      </c>
      <c r="B70" t="s">
        <v>201</v>
      </c>
      <c r="C70" t="s">
        <v>202</v>
      </c>
      <c r="D70" t="s">
        <v>271</v>
      </c>
      <c r="E70">
        <v>-68</v>
      </c>
      <c r="F70" t="s">
        <v>203</v>
      </c>
      <c r="G70" t="s">
        <v>204</v>
      </c>
    </row>
    <row r="71" spans="1:7">
      <c r="A71" t="s">
        <v>196</v>
      </c>
      <c r="B71" t="s">
        <v>201</v>
      </c>
      <c r="C71" t="s">
        <v>202</v>
      </c>
      <c r="D71" t="s">
        <v>272</v>
      </c>
      <c r="E71">
        <v>-69</v>
      </c>
      <c r="F71" t="s">
        <v>203</v>
      </c>
      <c r="G71" t="s">
        <v>204</v>
      </c>
    </row>
    <row r="72" spans="1:7">
      <c r="A72" t="s">
        <v>196</v>
      </c>
      <c r="B72" t="s">
        <v>201</v>
      </c>
      <c r="C72" t="s">
        <v>202</v>
      </c>
      <c r="D72" t="s">
        <v>273</v>
      </c>
      <c r="E72">
        <v>-70</v>
      </c>
      <c r="F72" t="s">
        <v>203</v>
      </c>
      <c r="G72" t="s">
        <v>204</v>
      </c>
    </row>
    <row r="73" spans="1:7">
      <c r="A73" t="s">
        <v>196</v>
      </c>
      <c r="B73" t="s">
        <v>201</v>
      </c>
      <c r="C73" t="s">
        <v>202</v>
      </c>
      <c r="D73" t="s">
        <v>274</v>
      </c>
      <c r="E73">
        <v>-71</v>
      </c>
      <c r="F73" t="s">
        <v>203</v>
      </c>
      <c r="G73" t="s">
        <v>204</v>
      </c>
    </row>
    <row r="74" spans="1:7">
      <c r="A74" t="s">
        <v>196</v>
      </c>
      <c r="B74" t="s">
        <v>201</v>
      </c>
      <c r="C74" t="s">
        <v>202</v>
      </c>
      <c r="D74" t="s">
        <v>275</v>
      </c>
      <c r="E74">
        <v>-72</v>
      </c>
      <c r="F74" t="s">
        <v>203</v>
      </c>
      <c r="G74" t="s">
        <v>204</v>
      </c>
    </row>
    <row r="75" spans="1:7">
      <c r="A75" t="s">
        <v>196</v>
      </c>
      <c r="B75" t="s">
        <v>201</v>
      </c>
      <c r="C75" t="s">
        <v>202</v>
      </c>
      <c r="D75" t="s">
        <v>276</v>
      </c>
      <c r="E75">
        <v>-73</v>
      </c>
      <c r="F75" t="s">
        <v>203</v>
      </c>
      <c r="G75" t="s">
        <v>204</v>
      </c>
    </row>
    <row r="76" spans="1:7">
      <c r="A76" t="s">
        <v>196</v>
      </c>
      <c r="B76" t="s">
        <v>201</v>
      </c>
      <c r="C76" t="s">
        <v>202</v>
      </c>
      <c r="D76" t="s">
        <v>277</v>
      </c>
      <c r="E76">
        <v>-74</v>
      </c>
      <c r="F76" t="s">
        <v>203</v>
      </c>
      <c r="G76" t="s">
        <v>204</v>
      </c>
    </row>
    <row r="77" spans="1:7">
      <c r="A77" t="s">
        <v>196</v>
      </c>
      <c r="B77" t="s">
        <v>201</v>
      </c>
      <c r="C77" t="s">
        <v>202</v>
      </c>
      <c r="D77" t="s">
        <v>278</v>
      </c>
      <c r="E77">
        <v>-75</v>
      </c>
      <c r="F77" t="s">
        <v>203</v>
      </c>
      <c r="G77" t="s">
        <v>204</v>
      </c>
    </row>
    <row r="78" spans="1:7">
      <c r="A78" t="s">
        <v>196</v>
      </c>
      <c r="B78" t="s">
        <v>201</v>
      </c>
      <c r="C78" t="s">
        <v>202</v>
      </c>
      <c r="D78" t="s">
        <v>279</v>
      </c>
      <c r="E78">
        <v>-76</v>
      </c>
      <c r="F78" t="s">
        <v>203</v>
      </c>
      <c r="G78" t="s">
        <v>204</v>
      </c>
    </row>
    <row r="79" spans="1:7">
      <c r="A79" t="s">
        <v>196</v>
      </c>
      <c r="B79" t="s">
        <v>201</v>
      </c>
      <c r="C79" t="s">
        <v>202</v>
      </c>
      <c r="D79" t="s">
        <v>280</v>
      </c>
      <c r="E79">
        <v>-77</v>
      </c>
      <c r="F79" t="s">
        <v>203</v>
      </c>
      <c r="G79" t="s">
        <v>204</v>
      </c>
    </row>
    <row r="80" spans="1:7">
      <c r="A80" t="s">
        <v>196</v>
      </c>
      <c r="B80" t="s">
        <v>201</v>
      </c>
      <c r="C80" t="s">
        <v>202</v>
      </c>
      <c r="D80" t="s">
        <v>281</v>
      </c>
      <c r="E80">
        <v>-78</v>
      </c>
      <c r="F80" t="s">
        <v>203</v>
      </c>
      <c r="G80" t="s">
        <v>204</v>
      </c>
    </row>
    <row r="81" spans="1:7">
      <c r="A81" t="s">
        <v>196</v>
      </c>
      <c r="B81" t="s">
        <v>201</v>
      </c>
      <c r="C81" t="s">
        <v>202</v>
      </c>
      <c r="D81" t="s">
        <v>282</v>
      </c>
      <c r="E81">
        <v>-79</v>
      </c>
      <c r="F81" t="s">
        <v>203</v>
      </c>
      <c r="G81" t="s">
        <v>204</v>
      </c>
    </row>
    <row r="82" spans="1:7">
      <c r="A82" t="s">
        <v>196</v>
      </c>
      <c r="B82" t="s">
        <v>201</v>
      </c>
      <c r="C82" t="s">
        <v>202</v>
      </c>
      <c r="D82" t="s">
        <v>283</v>
      </c>
      <c r="E82">
        <v>-80</v>
      </c>
      <c r="F82" t="s">
        <v>203</v>
      </c>
      <c r="G82" t="s">
        <v>204</v>
      </c>
    </row>
    <row r="83" spans="1:7">
      <c r="A83" t="s">
        <v>196</v>
      </c>
      <c r="B83" t="s">
        <v>201</v>
      </c>
      <c r="C83" t="s">
        <v>202</v>
      </c>
      <c r="D83" t="s">
        <v>284</v>
      </c>
      <c r="E83">
        <v>-81</v>
      </c>
      <c r="F83" t="s">
        <v>203</v>
      </c>
      <c r="G83" t="s">
        <v>204</v>
      </c>
    </row>
    <row r="84" spans="1:7">
      <c r="A84" t="s">
        <v>196</v>
      </c>
      <c r="B84" t="s">
        <v>201</v>
      </c>
      <c r="C84" t="s">
        <v>202</v>
      </c>
      <c r="D84" t="s">
        <v>285</v>
      </c>
      <c r="E84">
        <v>-82</v>
      </c>
      <c r="F84" t="s">
        <v>203</v>
      </c>
      <c r="G84" t="s">
        <v>204</v>
      </c>
    </row>
    <row r="85" spans="1:7">
      <c r="A85" t="s">
        <v>196</v>
      </c>
      <c r="B85" t="s">
        <v>201</v>
      </c>
      <c r="C85" t="s">
        <v>202</v>
      </c>
      <c r="D85" t="s">
        <v>286</v>
      </c>
      <c r="E85">
        <v>-83</v>
      </c>
      <c r="F85" t="s">
        <v>203</v>
      </c>
      <c r="G85" t="s">
        <v>204</v>
      </c>
    </row>
    <row r="86" spans="1:7">
      <c r="A86" t="s">
        <v>196</v>
      </c>
      <c r="B86" t="s">
        <v>201</v>
      </c>
      <c r="C86" t="s">
        <v>202</v>
      </c>
      <c r="D86" t="s">
        <v>287</v>
      </c>
      <c r="E86">
        <v>-84</v>
      </c>
      <c r="F86" t="s">
        <v>203</v>
      </c>
      <c r="G86" t="s">
        <v>204</v>
      </c>
    </row>
    <row r="87" spans="1:7">
      <c r="A87" t="s">
        <v>196</v>
      </c>
      <c r="B87" t="s">
        <v>201</v>
      </c>
      <c r="C87" t="s">
        <v>202</v>
      </c>
      <c r="D87" t="s">
        <v>288</v>
      </c>
      <c r="E87">
        <v>-85</v>
      </c>
      <c r="F87" t="s">
        <v>203</v>
      </c>
      <c r="G87" t="s">
        <v>204</v>
      </c>
    </row>
    <row r="88" spans="1:7">
      <c r="A88" t="s">
        <v>196</v>
      </c>
      <c r="B88" t="s">
        <v>201</v>
      </c>
      <c r="C88" t="s">
        <v>202</v>
      </c>
      <c r="D88" t="s">
        <v>289</v>
      </c>
      <c r="E88">
        <v>-86</v>
      </c>
      <c r="F88" t="s">
        <v>203</v>
      </c>
      <c r="G88" t="s">
        <v>204</v>
      </c>
    </row>
    <row r="89" spans="1:7">
      <c r="A89" t="s">
        <v>196</v>
      </c>
      <c r="B89" t="s">
        <v>201</v>
      </c>
      <c r="C89" t="s">
        <v>202</v>
      </c>
      <c r="D89" t="s">
        <v>290</v>
      </c>
      <c r="E89">
        <v>-87</v>
      </c>
      <c r="F89" t="s">
        <v>203</v>
      </c>
      <c r="G89" t="s">
        <v>204</v>
      </c>
    </row>
    <row r="90" spans="1:7">
      <c r="A90" t="s">
        <v>196</v>
      </c>
      <c r="B90" t="s">
        <v>201</v>
      </c>
      <c r="C90" t="s">
        <v>202</v>
      </c>
      <c r="D90" t="s">
        <v>291</v>
      </c>
      <c r="E90">
        <v>-88</v>
      </c>
      <c r="F90" t="s">
        <v>203</v>
      </c>
      <c r="G90" t="s">
        <v>204</v>
      </c>
    </row>
    <row r="91" spans="1:7">
      <c r="A91" t="s">
        <v>196</v>
      </c>
      <c r="B91" t="s">
        <v>201</v>
      </c>
      <c r="C91" t="s">
        <v>202</v>
      </c>
      <c r="D91" t="s">
        <v>292</v>
      </c>
      <c r="E91">
        <v>-89</v>
      </c>
      <c r="F91" t="s">
        <v>203</v>
      </c>
      <c r="G91" t="s">
        <v>204</v>
      </c>
    </row>
    <row r="92" spans="1:7">
      <c r="A92" t="s">
        <v>196</v>
      </c>
      <c r="B92" t="s">
        <v>201</v>
      </c>
      <c r="C92" t="s">
        <v>202</v>
      </c>
      <c r="D92" t="s">
        <v>293</v>
      </c>
      <c r="E92">
        <v>-90</v>
      </c>
      <c r="F92" t="s">
        <v>203</v>
      </c>
      <c r="G92" t="s">
        <v>204</v>
      </c>
    </row>
    <row r="93" spans="1:7">
      <c r="A93" t="s">
        <v>196</v>
      </c>
      <c r="B93" t="s">
        <v>201</v>
      </c>
      <c r="C93" t="s">
        <v>202</v>
      </c>
      <c r="D93" t="s">
        <v>294</v>
      </c>
      <c r="E93">
        <v>-91</v>
      </c>
      <c r="F93" t="s">
        <v>203</v>
      </c>
      <c r="G93" t="s">
        <v>204</v>
      </c>
    </row>
    <row r="94" spans="1:7">
      <c r="A94" t="s">
        <v>196</v>
      </c>
      <c r="B94" t="s">
        <v>201</v>
      </c>
      <c r="C94" t="s">
        <v>202</v>
      </c>
      <c r="D94" t="s">
        <v>295</v>
      </c>
      <c r="E94">
        <v>-92</v>
      </c>
      <c r="F94" t="s">
        <v>203</v>
      </c>
      <c r="G94" t="s">
        <v>204</v>
      </c>
    </row>
    <row r="95" spans="1:7">
      <c r="A95" t="s">
        <v>196</v>
      </c>
      <c r="B95" t="s">
        <v>201</v>
      </c>
      <c r="C95" t="s">
        <v>202</v>
      </c>
      <c r="D95" t="s">
        <v>296</v>
      </c>
      <c r="E95">
        <v>-93</v>
      </c>
      <c r="F95" t="s">
        <v>203</v>
      </c>
      <c r="G95" t="s">
        <v>204</v>
      </c>
    </row>
    <row r="96" spans="1:7">
      <c r="A96" t="s">
        <v>196</v>
      </c>
      <c r="B96" t="s">
        <v>201</v>
      </c>
      <c r="C96" t="s">
        <v>202</v>
      </c>
      <c r="D96" t="s">
        <v>297</v>
      </c>
      <c r="E96">
        <v>-94</v>
      </c>
      <c r="F96" t="s">
        <v>203</v>
      </c>
      <c r="G96" t="s">
        <v>204</v>
      </c>
    </row>
    <row r="97" spans="1:7">
      <c r="A97" t="s">
        <v>196</v>
      </c>
      <c r="B97" t="s">
        <v>201</v>
      </c>
      <c r="C97" t="s">
        <v>202</v>
      </c>
      <c r="D97" t="s">
        <v>298</v>
      </c>
      <c r="E97">
        <v>-95</v>
      </c>
      <c r="F97" t="s">
        <v>203</v>
      </c>
      <c r="G97" t="s">
        <v>204</v>
      </c>
    </row>
    <row r="98" spans="1:7">
      <c r="A98" t="s">
        <v>196</v>
      </c>
      <c r="B98" t="s">
        <v>201</v>
      </c>
      <c r="C98" t="s">
        <v>202</v>
      </c>
      <c r="D98" t="s">
        <v>299</v>
      </c>
      <c r="E98">
        <v>-96</v>
      </c>
      <c r="F98" t="s">
        <v>203</v>
      </c>
      <c r="G98" t="s">
        <v>204</v>
      </c>
    </row>
    <row r="99" spans="1:7">
      <c r="A99" t="s">
        <v>196</v>
      </c>
      <c r="B99" t="s">
        <v>201</v>
      </c>
      <c r="C99" t="s">
        <v>202</v>
      </c>
      <c r="D99" t="s">
        <v>300</v>
      </c>
      <c r="E99">
        <v>-97</v>
      </c>
      <c r="F99" t="s">
        <v>203</v>
      </c>
      <c r="G99" t="s">
        <v>204</v>
      </c>
    </row>
    <row r="100" spans="1:7">
      <c r="A100" t="s">
        <v>196</v>
      </c>
      <c r="B100" t="s">
        <v>201</v>
      </c>
      <c r="C100" t="s">
        <v>202</v>
      </c>
      <c r="D100" t="s">
        <v>301</v>
      </c>
      <c r="E100">
        <v>-98</v>
      </c>
      <c r="F100" t="s">
        <v>203</v>
      </c>
      <c r="G100" t="s">
        <v>204</v>
      </c>
    </row>
    <row r="101" spans="1:7">
      <c r="A101" t="s">
        <v>196</v>
      </c>
      <c r="B101" t="s">
        <v>201</v>
      </c>
      <c r="C101" t="s">
        <v>202</v>
      </c>
      <c r="D101" t="s">
        <v>302</v>
      </c>
      <c r="E101">
        <v>-99</v>
      </c>
      <c r="F101" t="s">
        <v>203</v>
      </c>
      <c r="G101" t="s">
        <v>204</v>
      </c>
    </row>
    <row r="102" spans="1:7">
      <c r="A102" t="s">
        <v>196</v>
      </c>
      <c r="B102" t="s">
        <v>201</v>
      </c>
      <c r="C102" t="s">
        <v>202</v>
      </c>
      <c r="D102" t="s">
        <v>303</v>
      </c>
      <c r="E102">
        <v>-100</v>
      </c>
      <c r="F102" t="s">
        <v>203</v>
      </c>
      <c r="G102" t="s">
        <v>204</v>
      </c>
    </row>
    <row r="103" spans="1:7">
      <c r="A103" t="s">
        <v>196</v>
      </c>
      <c r="B103" t="s">
        <v>201</v>
      </c>
      <c r="C103" t="s">
        <v>202</v>
      </c>
      <c r="D103" t="s">
        <v>304</v>
      </c>
      <c r="E103">
        <v>-101</v>
      </c>
      <c r="F103" t="s">
        <v>203</v>
      </c>
      <c r="G103" t="s">
        <v>204</v>
      </c>
    </row>
    <row r="104" spans="1:7">
      <c r="A104" t="s">
        <v>196</v>
      </c>
      <c r="B104" t="s">
        <v>201</v>
      </c>
      <c r="C104" t="s">
        <v>202</v>
      </c>
      <c r="D104" t="s">
        <v>305</v>
      </c>
      <c r="E104">
        <v>-102</v>
      </c>
      <c r="F104" t="s">
        <v>203</v>
      </c>
      <c r="G104" t="s">
        <v>204</v>
      </c>
    </row>
    <row r="105" spans="1:7">
      <c r="A105" t="s">
        <v>196</v>
      </c>
      <c r="B105" t="s">
        <v>201</v>
      </c>
      <c r="C105" t="s">
        <v>202</v>
      </c>
      <c r="D105" t="s">
        <v>306</v>
      </c>
      <c r="E105">
        <v>-103</v>
      </c>
      <c r="F105" t="s">
        <v>203</v>
      </c>
      <c r="G105" t="s">
        <v>204</v>
      </c>
    </row>
    <row r="106" spans="1:7">
      <c r="A106" t="s">
        <v>196</v>
      </c>
      <c r="B106" t="s">
        <v>201</v>
      </c>
      <c r="C106" t="s">
        <v>202</v>
      </c>
      <c r="D106" t="s">
        <v>307</v>
      </c>
      <c r="E106">
        <v>-104</v>
      </c>
      <c r="F106" t="s">
        <v>203</v>
      </c>
      <c r="G106" t="s">
        <v>204</v>
      </c>
    </row>
    <row r="107" spans="1:7">
      <c r="A107" t="s">
        <v>196</v>
      </c>
      <c r="B107" t="s">
        <v>201</v>
      </c>
      <c r="C107" t="s">
        <v>202</v>
      </c>
      <c r="D107" t="s">
        <v>308</v>
      </c>
      <c r="E107">
        <v>-105</v>
      </c>
      <c r="F107" t="s">
        <v>203</v>
      </c>
      <c r="G107" t="s">
        <v>204</v>
      </c>
    </row>
    <row r="108" spans="1:7">
      <c r="A108" t="s">
        <v>196</v>
      </c>
      <c r="B108" t="s">
        <v>201</v>
      </c>
      <c r="C108" t="s">
        <v>202</v>
      </c>
      <c r="D108" t="s">
        <v>309</v>
      </c>
      <c r="E108">
        <v>-106</v>
      </c>
      <c r="F108" t="s">
        <v>203</v>
      </c>
      <c r="G108" t="s">
        <v>204</v>
      </c>
    </row>
    <row r="109" spans="1:7">
      <c r="A109" t="s">
        <v>196</v>
      </c>
      <c r="B109" t="s">
        <v>201</v>
      </c>
      <c r="C109" t="s">
        <v>202</v>
      </c>
      <c r="D109" t="s">
        <v>310</v>
      </c>
      <c r="E109">
        <v>-107</v>
      </c>
      <c r="F109" t="s">
        <v>203</v>
      </c>
      <c r="G109" t="s">
        <v>204</v>
      </c>
    </row>
    <row r="110" spans="1:7">
      <c r="A110" t="s">
        <v>196</v>
      </c>
      <c r="B110" t="s">
        <v>201</v>
      </c>
      <c r="C110" t="s">
        <v>202</v>
      </c>
      <c r="D110" t="s">
        <v>311</v>
      </c>
      <c r="E110">
        <v>-108</v>
      </c>
      <c r="F110" t="s">
        <v>203</v>
      </c>
      <c r="G110" t="s">
        <v>204</v>
      </c>
    </row>
    <row r="111" spans="1:7">
      <c r="A111" t="s">
        <v>196</v>
      </c>
      <c r="B111" t="s">
        <v>201</v>
      </c>
      <c r="C111" t="s">
        <v>202</v>
      </c>
      <c r="D111" t="s">
        <v>312</v>
      </c>
      <c r="E111">
        <v>-109</v>
      </c>
      <c r="F111" t="s">
        <v>203</v>
      </c>
      <c r="G111" t="s">
        <v>204</v>
      </c>
    </row>
    <row r="112" spans="1:7">
      <c r="A112" t="s">
        <v>196</v>
      </c>
      <c r="B112" t="s">
        <v>201</v>
      </c>
      <c r="C112" t="s">
        <v>202</v>
      </c>
      <c r="D112" t="s">
        <v>313</v>
      </c>
      <c r="E112">
        <v>-110</v>
      </c>
      <c r="F112" t="s">
        <v>203</v>
      </c>
      <c r="G112" t="s">
        <v>204</v>
      </c>
    </row>
    <row r="113" spans="1:7">
      <c r="A113" t="s">
        <v>196</v>
      </c>
      <c r="B113" t="s">
        <v>201</v>
      </c>
      <c r="C113" t="s">
        <v>202</v>
      </c>
      <c r="D113" t="s">
        <v>314</v>
      </c>
      <c r="E113">
        <v>-111</v>
      </c>
      <c r="F113" t="s">
        <v>203</v>
      </c>
      <c r="G113" t="s">
        <v>204</v>
      </c>
    </row>
    <row r="114" spans="1:7">
      <c r="A114" t="s">
        <v>196</v>
      </c>
      <c r="B114" t="s">
        <v>201</v>
      </c>
      <c r="C114" t="s">
        <v>202</v>
      </c>
      <c r="D114" t="s">
        <v>315</v>
      </c>
      <c r="E114">
        <v>-112</v>
      </c>
      <c r="F114" t="s">
        <v>203</v>
      </c>
      <c r="G114" t="s">
        <v>204</v>
      </c>
    </row>
    <row r="115" spans="1:7">
      <c r="A115" t="s">
        <v>196</v>
      </c>
      <c r="B115" t="s">
        <v>201</v>
      </c>
      <c r="C115" t="s">
        <v>202</v>
      </c>
      <c r="D115" t="s">
        <v>316</v>
      </c>
      <c r="E115">
        <v>-113</v>
      </c>
      <c r="F115" t="s">
        <v>203</v>
      </c>
      <c r="G115" t="s">
        <v>204</v>
      </c>
    </row>
    <row r="116" spans="1:7">
      <c r="A116" t="s">
        <v>196</v>
      </c>
      <c r="B116" t="s">
        <v>201</v>
      </c>
      <c r="C116" t="s">
        <v>202</v>
      </c>
      <c r="D116" t="s">
        <v>317</v>
      </c>
      <c r="E116">
        <v>-114</v>
      </c>
      <c r="F116" t="s">
        <v>203</v>
      </c>
      <c r="G116" t="s">
        <v>204</v>
      </c>
    </row>
    <row r="117" spans="1:7">
      <c r="A117" t="s">
        <v>196</v>
      </c>
      <c r="B117" t="s">
        <v>201</v>
      </c>
      <c r="C117" t="s">
        <v>202</v>
      </c>
      <c r="D117" t="s">
        <v>318</v>
      </c>
      <c r="E117">
        <v>-115</v>
      </c>
      <c r="F117" t="s">
        <v>203</v>
      </c>
      <c r="G117" t="s">
        <v>204</v>
      </c>
    </row>
    <row r="118" spans="1:7">
      <c r="A118" t="s">
        <v>196</v>
      </c>
      <c r="B118" t="s">
        <v>201</v>
      </c>
      <c r="C118" t="s">
        <v>202</v>
      </c>
      <c r="D118" t="s">
        <v>319</v>
      </c>
      <c r="E118">
        <v>-116</v>
      </c>
      <c r="F118" t="s">
        <v>203</v>
      </c>
      <c r="G118" t="s">
        <v>204</v>
      </c>
    </row>
    <row r="119" spans="1:7">
      <c r="A119" t="s">
        <v>196</v>
      </c>
      <c r="B119" t="s">
        <v>201</v>
      </c>
      <c r="C119" t="s">
        <v>202</v>
      </c>
      <c r="D119" t="s">
        <v>320</v>
      </c>
      <c r="E119">
        <v>-117</v>
      </c>
      <c r="F119" t="s">
        <v>203</v>
      </c>
      <c r="G119" t="s">
        <v>204</v>
      </c>
    </row>
    <row r="120" spans="1:7">
      <c r="A120" t="s">
        <v>196</v>
      </c>
      <c r="B120" t="s">
        <v>201</v>
      </c>
      <c r="C120" t="s">
        <v>202</v>
      </c>
      <c r="D120" t="s">
        <v>321</v>
      </c>
      <c r="E120">
        <v>-118</v>
      </c>
      <c r="F120" t="s">
        <v>203</v>
      </c>
      <c r="G120" t="s">
        <v>204</v>
      </c>
    </row>
    <row r="121" spans="1:7">
      <c r="A121" t="s">
        <v>196</v>
      </c>
      <c r="B121" t="s">
        <v>201</v>
      </c>
      <c r="C121" t="s">
        <v>202</v>
      </c>
      <c r="D121" t="s">
        <v>322</v>
      </c>
      <c r="E121">
        <v>-119</v>
      </c>
      <c r="F121" t="s">
        <v>203</v>
      </c>
      <c r="G121" t="s">
        <v>204</v>
      </c>
    </row>
    <row r="122" spans="1:7">
      <c r="A122" t="s">
        <v>196</v>
      </c>
      <c r="B122" t="s">
        <v>201</v>
      </c>
      <c r="C122" t="s">
        <v>202</v>
      </c>
      <c r="D122" t="s">
        <v>323</v>
      </c>
      <c r="E122">
        <v>-120</v>
      </c>
      <c r="F122" t="s">
        <v>203</v>
      </c>
      <c r="G122" t="s">
        <v>204</v>
      </c>
    </row>
    <row r="123" spans="1:7">
      <c r="A123" t="s">
        <v>196</v>
      </c>
      <c r="B123" t="s">
        <v>201</v>
      </c>
      <c r="C123" t="s">
        <v>202</v>
      </c>
      <c r="D123" t="s">
        <v>324</v>
      </c>
      <c r="E123">
        <v>-121</v>
      </c>
      <c r="F123" t="s">
        <v>203</v>
      </c>
      <c r="G123" t="s">
        <v>204</v>
      </c>
    </row>
    <row r="124" spans="1:7">
      <c r="A124" t="s">
        <v>196</v>
      </c>
      <c r="B124" t="s">
        <v>201</v>
      </c>
      <c r="C124" t="s">
        <v>202</v>
      </c>
      <c r="D124" t="s">
        <v>325</v>
      </c>
      <c r="E124">
        <v>-122</v>
      </c>
      <c r="F124" t="s">
        <v>203</v>
      </c>
      <c r="G124" t="s">
        <v>204</v>
      </c>
    </row>
    <row r="125" spans="1:7">
      <c r="A125" t="s">
        <v>196</v>
      </c>
      <c r="B125" t="s">
        <v>201</v>
      </c>
      <c r="C125" t="s">
        <v>202</v>
      </c>
      <c r="D125" t="s">
        <v>326</v>
      </c>
      <c r="E125">
        <v>-123</v>
      </c>
      <c r="F125" t="s">
        <v>203</v>
      </c>
      <c r="G125" t="s">
        <v>204</v>
      </c>
    </row>
    <row r="126" spans="1:7">
      <c r="A126" t="s">
        <v>196</v>
      </c>
      <c r="B126" t="s">
        <v>201</v>
      </c>
      <c r="C126" t="s">
        <v>202</v>
      </c>
      <c r="D126" t="s">
        <v>327</v>
      </c>
      <c r="E126">
        <v>-124</v>
      </c>
      <c r="F126" t="s">
        <v>203</v>
      </c>
      <c r="G126" t="s">
        <v>204</v>
      </c>
    </row>
    <row r="127" spans="1:7">
      <c r="A127" t="s">
        <v>196</v>
      </c>
      <c r="B127" t="s">
        <v>201</v>
      </c>
      <c r="C127" t="s">
        <v>202</v>
      </c>
      <c r="D127" t="s">
        <v>328</v>
      </c>
      <c r="E127">
        <v>-125</v>
      </c>
      <c r="F127" t="s">
        <v>203</v>
      </c>
      <c r="G127" t="s">
        <v>204</v>
      </c>
    </row>
    <row r="128" spans="1:7">
      <c r="A128" t="s">
        <v>196</v>
      </c>
      <c r="B128" t="s">
        <v>201</v>
      </c>
      <c r="C128" t="s">
        <v>202</v>
      </c>
      <c r="D128" t="s">
        <v>329</v>
      </c>
      <c r="E128">
        <v>-126</v>
      </c>
      <c r="F128" t="s">
        <v>203</v>
      </c>
      <c r="G128" t="s">
        <v>204</v>
      </c>
    </row>
    <row r="129" spans="1:7">
      <c r="A129" t="s">
        <v>196</v>
      </c>
      <c r="B129" t="s">
        <v>201</v>
      </c>
      <c r="C129" t="s">
        <v>202</v>
      </c>
      <c r="D129" t="s">
        <v>330</v>
      </c>
      <c r="E129">
        <v>-127</v>
      </c>
      <c r="F129" t="s">
        <v>203</v>
      </c>
      <c r="G129" t="s">
        <v>204</v>
      </c>
    </row>
    <row r="130" spans="1:7">
      <c r="A130" t="s">
        <v>196</v>
      </c>
      <c r="B130" t="s">
        <v>201</v>
      </c>
      <c r="C130" t="s">
        <v>202</v>
      </c>
      <c r="D130" t="s">
        <v>331</v>
      </c>
      <c r="E130">
        <v>-128</v>
      </c>
      <c r="F130" t="s">
        <v>203</v>
      </c>
      <c r="G130" t="s">
        <v>204</v>
      </c>
    </row>
    <row r="131" spans="1:7">
      <c r="A131" t="s">
        <v>196</v>
      </c>
      <c r="B131" t="s">
        <v>201</v>
      </c>
      <c r="C131" t="s">
        <v>202</v>
      </c>
      <c r="D131" t="s">
        <v>332</v>
      </c>
      <c r="E131">
        <v>-129</v>
      </c>
      <c r="F131" t="s">
        <v>203</v>
      </c>
      <c r="G131" t="s">
        <v>204</v>
      </c>
    </row>
    <row r="132" spans="1:7">
      <c r="A132" t="s">
        <v>196</v>
      </c>
      <c r="B132" t="s">
        <v>201</v>
      </c>
      <c r="C132" t="s">
        <v>202</v>
      </c>
      <c r="D132" t="s">
        <v>333</v>
      </c>
      <c r="E132">
        <v>-130</v>
      </c>
      <c r="F132" t="s">
        <v>203</v>
      </c>
      <c r="G132" t="s">
        <v>204</v>
      </c>
    </row>
    <row r="133" spans="1:7">
      <c r="A133" t="s">
        <v>196</v>
      </c>
      <c r="B133" t="s">
        <v>201</v>
      </c>
      <c r="C133" t="s">
        <v>202</v>
      </c>
      <c r="D133" t="s">
        <v>334</v>
      </c>
      <c r="E133">
        <v>-131</v>
      </c>
      <c r="F133" t="s">
        <v>203</v>
      </c>
      <c r="G133" t="s">
        <v>204</v>
      </c>
    </row>
    <row r="134" spans="1:7">
      <c r="A134" t="s">
        <v>196</v>
      </c>
      <c r="B134" t="s">
        <v>201</v>
      </c>
      <c r="C134" t="s">
        <v>202</v>
      </c>
      <c r="D134" t="s">
        <v>335</v>
      </c>
      <c r="E134">
        <v>-132</v>
      </c>
      <c r="F134" t="s">
        <v>203</v>
      </c>
      <c r="G134" t="s">
        <v>204</v>
      </c>
    </row>
    <row r="135" spans="1:7">
      <c r="A135" t="s">
        <v>196</v>
      </c>
      <c r="B135" t="s">
        <v>201</v>
      </c>
      <c r="C135" t="s">
        <v>202</v>
      </c>
      <c r="D135" t="s">
        <v>336</v>
      </c>
      <c r="E135">
        <v>-133</v>
      </c>
      <c r="F135" t="s">
        <v>203</v>
      </c>
      <c r="G135" t="s">
        <v>204</v>
      </c>
    </row>
    <row r="136" spans="1:7">
      <c r="A136" t="s">
        <v>196</v>
      </c>
      <c r="B136" t="s">
        <v>201</v>
      </c>
      <c r="C136" t="s">
        <v>202</v>
      </c>
      <c r="D136" t="s">
        <v>337</v>
      </c>
      <c r="E136">
        <v>-134</v>
      </c>
      <c r="F136" t="s">
        <v>203</v>
      </c>
      <c r="G136" t="s">
        <v>204</v>
      </c>
    </row>
    <row r="137" spans="1:7">
      <c r="A137" t="s">
        <v>196</v>
      </c>
      <c r="B137" t="s">
        <v>201</v>
      </c>
      <c r="C137" t="s">
        <v>202</v>
      </c>
      <c r="D137" t="s">
        <v>338</v>
      </c>
      <c r="E137">
        <v>-135</v>
      </c>
      <c r="F137" t="s">
        <v>203</v>
      </c>
      <c r="G137" t="s">
        <v>204</v>
      </c>
    </row>
    <row r="138" spans="1:7">
      <c r="A138" t="s">
        <v>196</v>
      </c>
      <c r="B138" t="s">
        <v>201</v>
      </c>
      <c r="C138" t="s">
        <v>202</v>
      </c>
      <c r="D138" t="s">
        <v>339</v>
      </c>
      <c r="E138">
        <v>-136</v>
      </c>
      <c r="F138" t="s">
        <v>203</v>
      </c>
      <c r="G138" t="s">
        <v>204</v>
      </c>
    </row>
    <row r="139" spans="1:7">
      <c r="A139" t="s">
        <v>196</v>
      </c>
      <c r="B139" t="s">
        <v>201</v>
      </c>
      <c r="C139" t="s">
        <v>202</v>
      </c>
      <c r="D139" t="s">
        <v>340</v>
      </c>
      <c r="E139">
        <v>-137</v>
      </c>
      <c r="F139" t="s">
        <v>203</v>
      </c>
      <c r="G139" t="s">
        <v>204</v>
      </c>
    </row>
    <row r="140" spans="1:7">
      <c r="A140" t="s">
        <v>196</v>
      </c>
      <c r="B140" t="s">
        <v>201</v>
      </c>
      <c r="C140" t="s">
        <v>202</v>
      </c>
      <c r="D140" t="s">
        <v>341</v>
      </c>
      <c r="E140">
        <v>-138</v>
      </c>
      <c r="F140" t="s">
        <v>203</v>
      </c>
      <c r="G140" t="s">
        <v>204</v>
      </c>
    </row>
    <row r="141" spans="1:7">
      <c r="A141" t="s">
        <v>196</v>
      </c>
      <c r="B141" t="s">
        <v>201</v>
      </c>
      <c r="C141" t="s">
        <v>202</v>
      </c>
      <c r="D141" t="s">
        <v>342</v>
      </c>
      <c r="E141">
        <v>-139</v>
      </c>
      <c r="F141" t="s">
        <v>203</v>
      </c>
      <c r="G141" t="s">
        <v>204</v>
      </c>
    </row>
    <row r="142" spans="1:7">
      <c r="A142" t="s">
        <v>196</v>
      </c>
      <c r="B142" t="s">
        <v>201</v>
      </c>
      <c r="C142" t="s">
        <v>202</v>
      </c>
      <c r="D142" t="s">
        <v>343</v>
      </c>
      <c r="E142">
        <v>-140</v>
      </c>
      <c r="F142" t="s">
        <v>203</v>
      </c>
      <c r="G142" t="s">
        <v>204</v>
      </c>
    </row>
    <row r="143" spans="1:7">
      <c r="A143" t="s">
        <v>196</v>
      </c>
      <c r="B143" t="s">
        <v>201</v>
      </c>
      <c r="C143" t="s">
        <v>202</v>
      </c>
      <c r="D143" t="s">
        <v>344</v>
      </c>
      <c r="E143">
        <v>-141</v>
      </c>
      <c r="F143" t="s">
        <v>203</v>
      </c>
      <c r="G143" t="s">
        <v>204</v>
      </c>
    </row>
    <row r="144" spans="1:7">
      <c r="A144" t="s">
        <v>196</v>
      </c>
      <c r="B144" t="s">
        <v>201</v>
      </c>
      <c r="C144" t="s">
        <v>202</v>
      </c>
      <c r="D144" t="s">
        <v>345</v>
      </c>
      <c r="E144">
        <v>-142</v>
      </c>
      <c r="F144" t="s">
        <v>203</v>
      </c>
      <c r="G144" t="s">
        <v>204</v>
      </c>
    </row>
    <row r="145" spans="1:7">
      <c r="A145" t="s">
        <v>196</v>
      </c>
      <c r="B145" t="s">
        <v>201</v>
      </c>
      <c r="C145" t="s">
        <v>202</v>
      </c>
      <c r="D145" t="s">
        <v>346</v>
      </c>
      <c r="E145">
        <v>-143</v>
      </c>
      <c r="F145" t="s">
        <v>203</v>
      </c>
      <c r="G145" t="s">
        <v>204</v>
      </c>
    </row>
    <row r="146" spans="1:7">
      <c r="A146" t="s">
        <v>196</v>
      </c>
      <c r="B146" t="s">
        <v>201</v>
      </c>
      <c r="C146" t="s">
        <v>202</v>
      </c>
      <c r="D146" t="s">
        <v>347</v>
      </c>
      <c r="E146">
        <v>-144</v>
      </c>
      <c r="F146" t="s">
        <v>203</v>
      </c>
      <c r="G146" t="s">
        <v>204</v>
      </c>
    </row>
    <row r="147" spans="1:7">
      <c r="A147" t="s">
        <v>196</v>
      </c>
      <c r="B147" t="s">
        <v>201</v>
      </c>
      <c r="C147" t="s">
        <v>202</v>
      </c>
      <c r="D147" t="s">
        <v>348</v>
      </c>
      <c r="E147">
        <v>-145</v>
      </c>
      <c r="F147" t="s">
        <v>203</v>
      </c>
      <c r="G147" t="s">
        <v>204</v>
      </c>
    </row>
    <row r="148" spans="1:7">
      <c r="A148" t="s">
        <v>196</v>
      </c>
      <c r="B148" t="s">
        <v>201</v>
      </c>
      <c r="C148" t="s">
        <v>202</v>
      </c>
      <c r="D148" t="s">
        <v>349</v>
      </c>
      <c r="E148">
        <v>-146</v>
      </c>
      <c r="F148" t="s">
        <v>203</v>
      </c>
      <c r="G148" t="s">
        <v>204</v>
      </c>
    </row>
    <row r="149" spans="1:7">
      <c r="A149" t="s">
        <v>196</v>
      </c>
      <c r="B149" t="s">
        <v>201</v>
      </c>
      <c r="C149" t="s">
        <v>202</v>
      </c>
      <c r="D149" t="s">
        <v>350</v>
      </c>
      <c r="E149">
        <v>-147</v>
      </c>
      <c r="F149" t="s">
        <v>203</v>
      </c>
      <c r="G149" t="s">
        <v>204</v>
      </c>
    </row>
    <row r="150" spans="1:7">
      <c r="A150" t="s">
        <v>196</v>
      </c>
      <c r="B150" t="s">
        <v>201</v>
      </c>
      <c r="C150" t="s">
        <v>202</v>
      </c>
      <c r="D150" t="s">
        <v>351</v>
      </c>
      <c r="E150">
        <v>-148</v>
      </c>
      <c r="F150" t="s">
        <v>203</v>
      </c>
      <c r="G150" t="s">
        <v>204</v>
      </c>
    </row>
    <row r="151" spans="1:7">
      <c r="A151" t="s">
        <v>196</v>
      </c>
      <c r="B151" t="s">
        <v>201</v>
      </c>
      <c r="C151" t="s">
        <v>202</v>
      </c>
      <c r="D151" t="s">
        <v>352</v>
      </c>
      <c r="E151">
        <v>-149</v>
      </c>
      <c r="F151" t="s">
        <v>203</v>
      </c>
      <c r="G151" t="s">
        <v>204</v>
      </c>
    </row>
    <row r="152" spans="1:7">
      <c r="A152" t="s">
        <v>196</v>
      </c>
      <c r="B152" t="s">
        <v>201</v>
      </c>
      <c r="C152" t="s">
        <v>202</v>
      </c>
      <c r="D152" t="s">
        <v>353</v>
      </c>
      <c r="E152">
        <v>-150</v>
      </c>
      <c r="F152" t="s">
        <v>203</v>
      </c>
      <c r="G152" t="s">
        <v>204</v>
      </c>
    </row>
    <row r="153" spans="1:7">
      <c r="A153" t="s">
        <v>196</v>
      </c>
      <c r="B153" t="s">
        <v>201</v>
      </c>
      <c r="C153" t="s">
        <v>202</v>
      </c>
      <c r="D153" t="s">
        <v>354</v>
      </c>
      <c r="E153">
        <v>-151</v>
      </c>
      <c r="F153" t="s">
        <v>203</v>
      </c>
      <c r="G153" t="s">
        <v>204</v>
      </c>
    </row>
    <row r="154" spans="1:7">
      <c r="A154" t="s">
        <v>196</v>
      </c>
      <c r="B154" t="s">
        <v>201</v>
      </c>
      <c r="C154" t="s">
        <v>202</v>
      </c>
      <c r="D154" t="s">
        <v>355</v>
      </c>
      <c r="E154">
        <v>-152</v>
      </c>
      <c r="F154" t="s">
        <v>203</v>
      </c>
      <c r="G154" t="s">
        <v>204</v>
      </c>
    </row>
    <row r="155" spans="1:7">
      <c r="A155" t="s">
        <v>196</v>
      </c>
      <c r="B155" t="s">
        <v>201</v>
      </c>
      <c r="C155" t="s">
        <v>202</v>
      </c>
      <c r="D155" t="s">
        <v>356</v>
      </c>
      <c r="E155">
        <v>-153</v>
      </c>
      <c r="F155" t="s">
        <v>203</v>
      </c>
      <c r="G155" t="s">
        <v>204</v>
      </c>
    </row>
    <row r="156" spans="1:7">
      <c r="A156" t="s">
        <v>196</v>
      </c>
      <c r="B156" t="s">
        <v>201</v>
      </c>
      <c r="C156" t="s">
        <v>202</v>
      </c>
      <c r="D156" t="s">
        <v>357</v>
      </c>
      <c r="E156">
        <v>-154</v>
      </c>
      <c r="F156" t="s">
        <v>203</v>
      </c>
      <c r="G156" t="s">
        <v>204</v>
      </c>
    </row>
    <row r="157" spans="1:7">
      <c r="A157" t="s">
        <v>196</v>
      </c>
      <c r="B157" t="s">
        <v>201</v>
      </c>
      <c r="C157" t="s">
        <v>202</v>
      </c>
      <c r="D157" t="s">
        <v>358</v>
      </c>
      <c r="E157">
        <v>-155</v>
      </c>
      <c r="F157" t="s">
        <v>203</v>
      </c>
      <c r="G157" t="s">
        <v>204</v>
      </c>
    </row>
    <row r="158" spans="1:7">
      <c r="A158" t="s">
        <v>196</v>
      </c>
      <c r="B158" t="s">
        <v>201</v>
      </c>
      <c r="C158" t="s">
        <v>202</v>
      </c>
      <c r="D158" t="s">
        <v>359</v>
      </c>
      <c r="E158">
        <v>-156</v>
      </c>
      <c r="F158" t="s">
        <v>203</v>
      </c>
      <c r="G158" t="s">
        <v>204</v>
      </c>
    </row>
    <row r="159" spans="1:7">
      <c r="A159" t="s">
        <v>196</v>
      </c>
      <c r="B159" t="s">
        <v>201</v>
      </c>
      <c r="C159" t="s">
        <v>202</v>
      </c>
      <c r="D159" t="s">
        <v>360</v>
      </c>
      <c r="E159">
        <v>-157</v>
      </c>
      <c r="F159" t="s">
        <v>203</v>
      </c>
      <c r="G159" t="s">
        <v>204</v>
      </c>
    </row>
    <row r="160" spans="1:7">
      <c r="A160" t="s">
        <v>196</v>
      </c>
      <c r="B160" t="s">
        <v>201</v>
      </c>
      <c r="C160" t="s">
        <v>202</v>
      </c>
      <c r="D160" t="s">
        <v>361</v>
      </c>
      <c r="E160">
        <v>-158</v>
      </c>
      <c r="F160" t="s">
        <v>203</v>
      </c>
      <c r="G160" t="s">
        <v>204</v>
      </c>
    </row>
    <row r="161" spans="1:7">
      <c r="A161" t="s">
        <v>196</v>
      </c>
      <c r="B161" t="s">
        <v>201</v>
      </c>
      <c r="C161" t="s">
        <v>202</v>
      </c>
      <c r="D161" t="s">
        <v>362</v>
      </c>
      <c r="E161">
        <v>-159</v>
      </c>
      <c r="F161" t="s">
        <v>203</v>
      </c>
      <c r="G161" t="s">
        <v>204</v>
      </c>
    </row>
    <row r="162" spans="1:7">
      <c r="A162" t="s">
        <v>196</v>
      </c>
      <c r="B162" t="s">
        <v>201</v>
      </c>
      <c r="C162" t="s">
        <v>202</v>
      </c>
      <c r="D162" t="s">
        <v>363</v>
      </c>
      <c r="E162">
        <v>-160</v>
      </c>
      <c r="F162" t="s">
        <v>203</v>
      </c>
      <c r="G162" t="s">
        <v>204</v>
      </c>
    </row>
    <row r="163" spans="1:7">
      <c r="A163" t="s">
        <v>196</v>
      </c>
      <c r="B163" t="s">
        <v>201</v>
      </c>
      <c r="C163" t="s">
        <v>202</v>
      </c>
      <c r="D163" t="s">
        <v>364</v>
      </c>
      <c r="E163">
        <v>-161</v>
      </c>
      <c r="F163" t="s">
        <v>203</v>
      </c>
      <c r="G163" t="s">
        <v>204</v>
      </c>
    </row>
    <row r="164" spans="1:7">
      <c r="A164" t="s">
        <v>196</v>
      </c>
      <c r="B164" t="s">
        <v>201</v>
      </c>
      <c r="C164" t="s">
        <v>202</v>
      </c>
      <c r="D164" t="s">
        <v>365</v>
      </c>
      <c r="E164">
        <v>-162</v>
      </c>
      <c r="F164" t="s">
        <v>203</v>
      </c>
      <c r="G164" t="s">
        <v>204</v>
      </c>
    </row>
    <row r="165" spans="1:7">
      <c r="A165" t="s">
        <v>196</v>
      </c>
      <c r="B165" t="s">
        <v>201</v>
      </c>
      <c r="C165" t="s">
        <v>202</v>
      </c>
      <c r="D165" t="s">
        <v>366</v>
      </c>
      <c r="E165">
        <v>-163</v>
      </c>
      <c r="F165" t="s">
        <v>203</v>
      </c>
      <c r="G165" t="s">
        <v>204</v>
      </c>
    </row>
    <row r="166" spans="1:7">
      <c r="A166" t="s">
        <v>196</v>
      </c>
      <c r="B166" t="s">
        <v>201</v>
      </c>
      <c r="C166" t="s">
        <v>202</v>
      </c>
      <c r="D166" t="s">
        <v>367</v>
      </c>
      <c r="E166">
        <v>-164</v>
      </c>
      <c r="F166" t="s">
        <v>203</v>
      </c>
      <c r="G166" t="s">
        <v>204</v>
      </c>
    </row>
    <row r="167" spans="1:7">
      <c r="A167" t="s">
        <v>196</v>
      </c>
      <c r="B167" t="s">
        <v>201</v>
      </c>
      <c r="C167" t="s">
        <v>202</v>
      </c>
      <c r="D167" t="s">
        <v>368</v>
      </c>
      <c r="E167">
        <v>-165</v>
      </c>
      <c r="F167" t="s">
        <v>203</v>
      </c>
      <c r="G167" t="s">
        <v>204</v>
      </c>
    </row>
    <row r="168" spans="1:7">
      <c r="A168" t="s">
        <v>196</v>
      </c>
      <c r="B168" t="s">
        <v>201</v>
      </c>
      <c r="C168" t="s">
        <v>202</v>
      </c>
      <c r="D168" t="s">
        <v>369</v>
      </c>
      <c r="E168">
        <v>-166</v>
      </c>
      <c r="F168" t="s">
        <v>203</v>
      </c>
      <c r="G168" t="s">
        <v>204</v>
      </c>
    </row>
    <row r="169" spans="1:7">
      <c r="A169" t="s">
        <v>196</v>
      </c>
      <c r="B169" t="s">
        <v>201</v>
      </c>
      <c r="C169" t="s">
        <v>202</v>
      </c>
      <c r="D169" t="s">
        <v>370</v>
      </c>
      <c r="E169">
        <v>-167</v>
      </c>
      <c r="F169" t="s">
        <v>203</v>
      </c>
      <c r="G169" t="s">
        <v>204</v>
      </c>
    </row>
    <row r="170" spans="1:7">
      <c r="A170" t="s">
        <v>196</v>
      </c>
      <c r="B170" t="s">
        <v>201</v>
      </c>
      <c r="C170" t="s">
        <v>202</v>
      </c>
      <c r="D170" t="s">
        <v>371</v>
      </c>
      <c r="E170">
        <v>-168</v>
      </c>
      <c r="F170" t="s">
        <v>203</v>
      </c>
      <c r="G170" t="s">
        <v>204</v>
      </c>
    </row>
    <row r="171" spans="1:7">
      <c r="A171" t="s">
        <v>196</v>
      </c>
      <c r="B171" t="s">
        <v>201</v>
      </c>
      <c r="C171" t="s">
        <v>202</v>
      </c>
      <c r="D171" t="s">
        <v>372</v>
      </c>
      <c r="E171">
        <v>-169</v>
      </c>
      <c r="F171" t="s">
        <v>203</v>
      </c>
      <c r="G171" t="s">
        <v>204</v>
      </c>
    </row>
    <row r="172" spans="1:7">
      <c r="A172" t="s">
        <v>196</v>
      </c>
      <c r="B172" t="s">
        <v>201</v>
      </c>
      <c r="C172" t="s">
        <v>202</v>
      </c>
      <c r="D172" t="s">
        <v>373</v>
      </c>
      <c r="E172">
        <v>-170</v>
      </c>
      <c r="F172" t="s">
        <v>203</v>
      </c>
      <c r="G172" t="s">
        <v>204</v>
      </c>
    </row>
    <row r="173" spans="1:7">
      <c r="A173" t="s">
        <v>196</v>
      </c>
      <c r="B173" t="s">
        <v>201</v>
      </c>
      <c r="C173" t="s">
        <v>202</v>
      </c>
      <c r="D173" t="s">
        <v>374</v>
      </c>
      <c r="E173">
        <v>-171</v>
      </c>
      <c r="F173" t="s">
        <v>203</v>
      </c>
      <c r="G173" t="s">
        <v>204</v>
      </c>
    </row>
    <row r="174" spans="1:7">
      <c r="A174" t="s">
        <v>196</v>
      </c>
      <c r="B174" t="s">
        <v>201</v>
      </c>
      <c r="C174" t="s">
        <v>202</v>
      </c>
      <c r="D174" t="s">
        <v>375</v>
      </c>
      <c r="E174">
        <v>-172</v>
      </c>
      <c r="F174" t="s">
        <v>203</v>
      </c>
      <c r="G174" t="s">
        <v>204</v>
      </c>
    </row>
    <row r="175" spans="1:7">
      <c r="A175" t="s">
        <v>196</v>
      </c>
      <c r="B175" t="s">
        <v>201</v>
      </c>
      <c r="C175" t="s">
        <v>202</v>
      </c>
      <c r="D175" t="s">
        <v>376</v>
      </c>
      <c r="E175">
        <v>-173</v>
      </c>
      <c r="F175" t="s">
        <v>203</v>
      </c>
      <c r="G175" t="s">
        <v>204</v>
      </c>
    </row>
    <row r="176" spans="1:7">
      <c r="A176" t="s">
        <v>196</v>
      </c>
      <c r="B176" t="s">
        <v>201</v>
      </c>
      <c r="C176" t="s">
        <v>202</v>
      </c>
      <c r="D176" t="s">
        <v>377</v>
      </c>
      <c r="E176">
        <v>-174</v>
      </c>
      <c r="F176" t="s">
        <v>203</v>
      </c>
      <c r="G176" t="s">
        <v>204</v>
      </c>
    </row>
    <row r="177" spans="1:7">
      <c r="A177" t="s">
        <v>196</v>
      </c>
      <c r="B177" t="s">
        <v>201</v>
      </c>
      <c r="C177" t="s">
        <v>202</v>
      </c>
      <c r="D177" t="s">
        <v>378</v>
      </c>
      <c r="E177">
        <v>-175</v>
      </c>
      <c r="F177" t="s">
        <v>203</v>
      </c>
      <c r="G177" t="s">
        <v>204</v>
      </c>
    </row>
    <row r="178" spans="1:7">
      <c r="A178" t="s">
        <v>196</v>
      </c>
      <c r="B178" t="s">
        <v>201</v>
      </c>
      <c r="C178" t="s">
        <v>202</v>
      </c>
      <c r="D178" t="s">
        <v>379</v>
      </c>
      <c r="E178">
        <v>-176</v>
      </c>
      <c r="F178" t="s">
        <v>203</v>
      </c>
      <c r="G178" t="s">
        <v>204</v>
      </c>
    </row>
    <row r="179" spans="1:7">
      <c r="A179" t="s">
        <v>196</v>
      </c>
      <c r="B179" t="s">
        <v>201</v>
      </c>
      <c r="C179" t="s">
        <v>202</v>
      </c>
      <c r="D179" t="s">
        <v>380</v>
      </c>
      <c r="E179">
        <v>-177</v>
      </c>
      <c r="F179" t="s">
        <v>203</v>
      </c>
      <c r="G179" t="s">
        <v>204</v>
      </c>
    </row>
    <row r="180" spans="1:7">
      <c r="A180" t="s">
        <v>196</v>
      </c>
      <c r="B180" t="s">
        <v>201</v>
      </c>
      <c r="C180" t="s">
        <v>202</v>
      </c>
      <c r="D180" t="s">
        <v>381</v>
      </c>
      <c r="E180">
        <v>-178</v>
      </c>
      <c r="F180" t="s">
        <v>203</v>
      </c>
      <c r="G180" t="s">
        <v>204</v>
      </c>
    </row>
    <row r="181" spans="1:7">
      <c r="A181" t="s">
        <v>196</v>
      </c>
      <c r="B181" t="s">
        <v>201</v>
      </c>
      <c r="C181" t="s">
        <v>202</v>
      </c>
      <c r="D181" t="s">
        <v>382</v>
      </c>
      <c r="E181">
        <v>-179</v>
      </c>
      <c r="F181" t="s">
        <v>203</v>
      </c>
      <c r="G181" t="s">
        <v>204</v>
      </c>
    </row>
    <row r="182" spans="1:7">
      <c r="A182" t="s">
        <v>196</v>
      </c>
      <c r="B182" t="s">
        <v>201</v>
      </c>
      <c r="C182" t="s">
        <v>202</v>
      </c>
      <c r="D182" t="s">
        <v>383</v>
      </c>
      <c r="E182">
        <v>-180</v>
      </c>
      <c r="F182" t="s">
        <v>203</v>
      </c>
      <c r="G182" t="s">
        <v>204</v>
      </c>
    </row>
    <row r="183" spans="1:7">
      <c r="A183" t="s">
        <v>196</v>
      </c>
      <c r="B183" t="s">
        <v>201</v>
      </c>
      <c r="C183" t="s">
        <v>202</v>
      </c>
      <c r="D183" t="s">
        <v>384</v>
      </c>
      <c r="E183">
        <v>-181</v>
      </c>
      <c r="F183" t="s">
        <v>203</v>
      </c>
      <c r="G183" t="s">
        <v>204</v>
      </c>
    </row>
    <row r="184" spans="1:7">
      <c r="A184" t="s">
        <v>196</v>
      </c>
      <c r="B184" t="s">
        <v>201</v>
      </c>
      <c r="C184" t="s">
        <v>202</v>
      </c>
      <c r="D184" t="s">
        <v>385</v>
      </c>
      <c r="E184">
        <v>-182</v>
      </c>
      <c r="F184" t="s">
        <v>203</v>
      </c>
      <c r="G184" t="s">
        <v>204</v>
      </c>
    </row>
    <row r="185" spans="1:7">
      <c r="A185" t="s">
        <v>196</v>
      </c>
      <c r="B185" t="s">
        <v>201</v>
      </c>
      <c r="C185" t="s">
        <v>202</v>
      </c>
      <c r="D185" t="s">
        <v>386</v>
      </c>
      <c r="E185">
        <v>-183</v>
      </c>
      <c r="F185" t="s">
        <v>203</v>
      </c>
      <c r="G185" t="s">
        <v>204</v>
      </c>
    </row>
    <row r="186" spans="1:7">
      <c r="A186" t="s">
        <v>196</v>
      </c>
      <c r="B186" t="s">
        <v>201</v>
      </c>
      <c r="C186" t="s">
        <v>202</v>
      </c>
      <c r="D186" t="s">
        <v>387</v>
      </c>
      <c r="E186">
        <v>-184</v>
      </c>
      <c r="F186" t="s">
        <v>203</v>
      </c>
      <c r="G186" t="s">
        <v>204</v>
      </c>
    </row>
    <row r="187" spans="1:7">
      <c r="A187" t="s">
        <v>196</v>
      </c>
      <c r="B187" t="s">
        <v>201</v>
      </c>
      <c r="C187" t="s">
        <v>202</v>
      </c>
      <c r="D187" t="s">
        <v>388</v>
      </c>
      <c r="E187">
        <v>-185</v>
      </c>
      <c r="F187" t="s">
        <v>203</v>
      </c>
      <c r="G187" t="s">
        <v>204</v>
      </c>
    </row>
    <row r="188" spans="1:7">
      <c r="A188" t="s">
        <v>196</v>
      </c>
      <c r="B188" t="s">
        <v>201</v>
      </c>
      <c r="C188" t="s">
        <v>202</v>
      </c>
      <c r="D188" t="s">
        <v>389</v>
      </c>
      <c r="E188">
        <v>-186</v>
      </c>
      <c r="F188" t="s">
        <v>203</v>
      </c>
      <c r="G188" t="s">
        <v>204</v>
      </c>
    </row>
    <row r="189" spans="1:7">
      <c r="A189" t="s">
        <v>196</v>
      </c>
      <c r="B189" t="s">
        <v>201</v>
      </c>
      <c r="C189" t="s">
        <v>202</v>
      </c>
      <c r="D189" t="s">
        <v>390</v>
      </c>
      <c r="E189">
        <v>-187</v>
      </c>
      <c r="F189" t="s">
        <v>203</v>
      </c>
      <c r="G189" t="s">
        <v>204</v>
      </c>
    </row>
    <row r="190" spans="1:7">
      <c r="A190" t="s">
        <v>196</v>
      </c>
      <c r="B190" t="s">
        <v>201</v>
      </c>
      <c r="C190" t="s">
        <v>202</v>
      </c>
      <c r="D190" t="s">
        <v>391</v>
      </c>
      <c r="E190">
        <v>-188</v>
      </c>
      <c r="F190" t="s">
        <v>203</v>
      </c>
      <c r="G190" t="s">
        <v>204</v>
      </c>
    </row>
    <row r="191" spans="1:7">
      <c r="A191" t="s">
        <v>196</v>
      </c>
      <c r="B191" t="s">
        <v>201</v>
      </c>
      <c r="C191" t="s">
        <v>202</v>
      </c>
      <c r="D191" t="s">
        <v>392</v>
      </c>
      <c r="E191">
        <v>-189</v>
      </c>
      <c r="F191" t="s">
        <v>203</v>
      </c>
      <c r="G191" t="s">
        <v>204</v>
      </c>
    </row>
    <row r="192" spans="1:7">
      <c r="A192" t="s">
        <v>196</v>
      </c>
      <c r="B192" t="s">
        <v>201</v>
      </c>
      <c r="C192" t="s">
        <v>202</v>
      </c>
      <c r="D192" t="s">
        <v>393</v>
      </c>
      <c r="E192">
        <v>-190</v>
      </c>
      <c r="F192" t="s">
        <v>203</v>
      </c>
      <c r="G192" t="s">
        <v>204</v>
      </c>
    </row>
    <row r="193" spans="1:7">
      <c r="A193" t="s">
        <v>196</v>
      </c>
      <c r="B193" t="s">
        <v>201</v>
      </c>
      <c r="C193" t="s">
        <v>202</v>
      </c>
      <c r="D193" t="s">
        <v>394</v>
      </c>
      <c r="E193">
        <v>-191</v>
      </c>
      <c r="F193" t="s">
        <v>203</v>
      </c>
      <c r="G193" t="s">
        <v>204</v>
      </c>
    </row>
    <row r="194" spans="1:7">
      <c r="A194" t="s">
        <v>196</v>
      </c>
      <c r="B194" t="s">
        <v>201</v>
      </c>
      <c r="C194" t="s">
        <v>202</v>
      </c>
      <c r="D194" t="s">
        <v>395</v>
      </c>
      <c r="E194">
        <v>-192</v>
      </c>
      <c r="F194" t="s">
        <v>203</v>
      </c>
      <c r="G194" t="s">
        <v>204</v>
      </c>
    </row>
    <row r="195" spans="1:7">
      <c r="A195" t="s">
        <v>196</v>
      </c>
      <c r="B195" t="s">
        <v>201</v>
      </c>
      <c r="C195" t="s">
        <v>202</v>
      </c>
      <c r="D195" t="s">
        <v>396</v>
      </c>
      <c r="E195">
        <v>-193</v>
      </c>
      <c r="F195" t="s">
        <v>203</v>
      </c>
      <c r="G195" t="s">
        <v>204</v>
      </c>
    </row>
    <row r="196" spans="1:7">
      <c r="A196" t="s">
        <v>196</v>
      </c>
      <c r="B196" t="s">
        <v>201</v>
      </c>
      <c r="C196" t="s">
        <v>202</v>
      </c>
      <c r="D196" t="s">
        <v>397</v>
      </c>
      <c r="E196">
        <v>-194</v>
      </c>
      <c r="F196" t="s">
        <v>203</v>
      </c>
      <c r="G196" t="s">
        <v>204</v>
      </c>
    </row>
    <row r="197" spans="1:7">
      <c r="A197" t="s">
        <v>196</v>
      </c>
      <c r="B197" t="s">
        <v>201</v>
      </c>
      <c r="C197" t="s">
        <v>202</v>
      </c>
      <c r="D197" t="s">
        <v>398</v>
      </c>
      <c r="E197">
        <v>-195</v>
      </c>
      <c r="F197" t="s">
        <v>203</v>
      </c>
      <c r="G197" t="s">
        <v>204</v>
      </c>
    </row>
    <row r="198" spans="1:7">
      <c r="A198" t="s">
        <v>196</v>
      </c>
      <c r="B198" t="s">
        <v>201</v>
      </c>
      <c r="C198" t="s">
        <v>202</v>
      </c>
      <c r="D198" t="s">
        <v>399</v>
      </c>
      <c r="E198">
        <v>-196</v>
      </c>
      <c r="F198" t="s">
        <v>203</v>
      </c>
      <c r="G198" t="s">
        <v>204</v>
      </c>
    </row>
    <row r="199" spans="1:7">
      <c r="A199" t="s">
        <v>196</v>
      </c>
      <c r="B199" t="s">
        <v>201</v>
      </c>
      <c r="C199" t="s">
        <v>202</v>
      </c>
      <c r="D199" t="s">
        <v>400</v>
      </c>
      <c r="E199">
        <v>-197</v>
      </c>
      <c r="F199" t="s">
        <v>203</v>
      </c>
      <c r="G199" t="s">
        <v>204</v>
      </c>
    </row>
    <row r="200" spans="1:7">
      <c r="A200" t="s">
        <v>196</v>
      </c>
      <c r="B200" t="s">
        <v>201</v>
      </c>
      <c r="C200" t="s">
        <v>202</v>
      </c>
      <c r="D200" t="s">
        <v>401</v>
      </c>
      <c r="E200">
        <v>-198</v>
      </c>
      <c r="F200" t="s">
        <v>203</v>
      </c>
      <c r="G200" t="s">
        <v>204</v>
      </c>
    </row>
    <row r="201" spans="1:7">
      <c r="A201" t="s">
        <v>196</v>
      </c>
      <c r="B201" t="s">
        <v>201</v>
      </c>
      <c r="C201" t="s">
        <v>202</v>
      </c>
      <c r="D201" t="s">
        <v>402</v>
      </c>
      <c r="E201">
        <v>-199</v>
      </c>
      <c r="F201" t="s">
        <v>203</v>
      </c>
      <c r="G201" t="s">
        <v>204</v>
      </c>
    </row>
    <row r="202" spans="1:7">
      <c r="A202" t="s">
        <v>196</v>
      </c>
      <c r="B202" t="s">
        <v>201</v>
      </c>
      <c r="C202" t="s">
        <v>202</v>
      </c>
      <c r="D202" t="s">
        <v>403</v>
      </c>
      <c r="E202">
        <v>-200</v>
      </c>
      <c r="F202" t="s">
        <v>203</v>
      </c>
      <c r="G202" t="s">
        <v>204</v>
      </c>
    </row>
    <row r="203" spans="1:7">
      <c r="A203" t="s">
        <v>196</v>
      </c>
      <c r="B203" t="s">
        <v>201</v>
      </c>
      <c r="C203" t="s">
        <v>202</v>
      </c>
      <c r="D203" t="s">
        <v>404</v>
      </c>
      <c r="E203">
        <v>-201</v>
      </c>
      <c r="F203" t="s">
        <v>203</v>
      </c>
      <c r="G203" t="s">
        <v>204</v>
      </c>
    </row>
    <row r="204" spans="1:7">
      <c r="A204" t="s">
        <v>196</v>
      </c>
      <c r="B204" t="s">
        <v>201</v>
      </c>
      <c r="C204" t="s">
        <v>202</v>
      </c>
      <c r="D204" t="s">
        <v>405</v>
      </c>
      <c r="E204">
        <v>-202</v>
      </c>
      <c r="F204" t="s">
        <v>203</v>
      </c>
      <c r="G204" t="s">
        <v>204</v>
      </c>
    </row>
    <row r="205" spans="1:7">
      <c r="A205" t="s">
        <v>196</v>
      </c>
      <c r="B205" t="s">
        <v>201</v>
      </c>
      <c r="C205" t="s">
        <v>202</v>
      </c>
      <c r="D205" t="s">
        <v>406</v>
      </c>
      <c r="E205">
        <v>-203</v>
      </c>
      <c r="F205" t="s">
        <v>203</v>
      </c>
      <c r="G205" t="s">
        <v>204</v>
      </c>
    </row>
    <row r="206" spans="1:7">
      <c r="A206" t="s">
        <v>196</v>
      </c>
      <c r="B206" t="s">
        <v>201</v>
      </c>
      <c r="C206" t="s">
        <v>202</v>
      </c>
      <c r="D206" t="s">
        <v>407</v>
      </c>
      <c r="E206">
        <v>-204</v>
      </c>
      <c r="F206" t="s">
        <v>203</v>
      </c>
      <c r="G206" t="s">
        <v>204</v>
      </c>
    </row>
    <row r="207" spans="1:7">
      <c r="A207" t="s">
        <v>196</v>
      </c>
      <c r="B207" t="s">
        <v>201</v>
      </c>
      <c r="C207" t="s">
        <v>202</v>
      </c>
      <c r="D207" t="s">
        <v>408</v>
      </c>
      <c r="E207">
        <v>-205</v>
      </c>
      <c r="F207" t="s">
        <v>203</v>
      </c>
      <c r="G207" t="s">
        <v>204</v>
      </c>
    </row>
    <row r="208" spans="1:7">
      <c r="A208" t="s">
        <v>196</v>
      </c>
      <c r="B208" t="s">
        <v>201</v>
      </c>
      <c r="C208" t="s">
        <v>202</v>
      </c>
      <c r="D208" t="s">
        <v>409</v>
      </c>
      <c r="E208">
        <v>-206</v>
      </c>
      <c r="F208" t="s">
        <v>203</v>
      </c>
      <c r="G208" t="s">
        <v>204</v>
      </c>
    </row>
    <row r="209" spans="1:7">
      <c r="A209" t="s">
        <v>196</v>
      </c>
      <c r="B209" t="s">
        <v>201</v>
      </c>
      <c r="C209" t="s">
        <v>202</v>
      </c>
      <c r="D209" t="s">
        <v>410</v>
      </c>
      <c r="E209">
        <v>-207</v>
      </c>
      <c r="F209" t="s">
        <v>203</v>
      </c>
      <c r="G209" t="s">
        <v>204</v>
      </c>
    </row>
    <row r="210" spans="1:7">
      <c r="A210" t="s">
        <v>196</v>
      </c>
      <c r="B210" t="s">
        <v>201</v>
      </c>
      <c r="C210" t="s">
        <v>202</v>
      </c>
      <c r="D210" t="s">
        <v>411</v>
      </c>
      <c r="E210">
        <v>-208</v>
      </c>
      <c r="F210" t="s">
        <v>203</v>
      </c>
      <c r="G210" t="s">
        <v>204</v>
      </c>
    </row>
    <row r="211" spans="1:7">
      <c r="A211" t="s">
        <v>196</v>
      </c>
      <c r="B211" t="s">
        <v>201</v>
      </c>
      <c r="C211" t="s">
        <v>202</v>
      </c>
      <c r="D211" t="s">
        <v>412</v>
      </c>
      <c r="E211">
        <v>-209</v>
      </c>
      <c r="F211" t="s">
        <v>203</v>
      </c>
      <c r="G211" t="s">
        <v>204</v>
      </c>
    </row>
    <row r="212" spans="1:7">
      <c r="A212" t="s">
        <v>196</v>
      </c>
      <c r="B212" t="s">
        <v>201</v>
      </c>
      <c r="C212" t="s">
        <v>202</v>
      </c>
      <c r="D212" t="s">
        <v>413</v>
      </c>
      <c r="E212">
        <v>-210</v>
      </c>
      <c r="F212" t="s">
        <v>203</v>
      </c>
      <c r="G212" t="s">
        <v>204</v>
      </c>
    </row>
    <row r="213" spans="1:7">
      <c r="A213" t="s">
        <v>196</v>
      </c>
      <c r="B213" t="s">
        <v>201</v>
      </c>
      <c r="C213" t="s">
        <v>202</v>
      </c>
      <c r="D213" t="s">
        <v>414</v>
      </c>
      <c r="E213">
        <v>-211</v>
      </c>
      <c r="F213" t="s">
        <v>203</v>
      </c>
      <c r="G213" t="s">
        <v>204</v>
      </c>
    </row>
    <row r="214" spans="1:7">
      <c r="A214" t="s">
        <v>196</v>
      </c>
      <c r="B214" t="s">
        <v>201</v>
      </c>
      <c r="C214" t="s">
        <v>202</v>
      </c>
      <c r="D214" t="s">
        <v>415</v>
      </c>
      <c r="E214">
        <v>-212</v>
      </c>
      <c r="F214" t="s">
        <v>203</v>
      </c>
      <c r="G214" t="s">
        <v>204</v>
      </c>
    </row>
    <row r="215" spans="1:7">
      <c r="A215" t="s">
        <v>196</v>
      </c>
      <c r="B215" t="s">
        <v>201</v>
      </c>
      <c r="C215" t="s">
        <v>202</v>
      </c>
      <c r="D215" t="s">
        <v>416</v>
      </c>
      <c r="E215">
        <v>-213</v>
      </c>
      <c r="F215" t="s">
        <v>203</v>
      </c>
      <c r="G215" t="s">
        <v>204</v>
      </c>
    </row>
    <row r="216" spans="1:7">
      <c r="A216" t="s">
        <v>196</v>
      </c>
      <c r="B216" t="s">
        <v>201</v>
      </c>
      <c r="C216" t="s">
        <v>202</v>
      </c>
      <c r="D216" t="s">
        <v>417</v>
      </c>
      <c r="E216">
        <v>-214</v>
      </c>
      <c r="F216" t="s">
        <v>203</v>
      </c>
      <c r="G216" t="s">
        <v>204</v>
      </c>
    </row>
    <row r="217" spans="1:7">
      <c r="A217" t="s">
        <v>196</v>
      </c>
      <c r="B217" t="s">
        <v>201</v>
      </c>
      <c r="C217" t="s">
        <v>202</v>
      </c>
      <c r="D217" t="s">
        <v>418</v>
      </c>
      <c r="E217">
        <v>-215</v>
      </c>
      <c r="F217" t="s">
        <v>203</v>
      </c>
      <c r="G217" t="s">
        <v>204</v>
      </c>
    </row>
    <row r="218" spans="1:7">
      <c r="A218" t="s">
        <v>196</v>
      </c>
      <c r="B218" t="s">
        <v>201</v>
      </c>
      <c r="C218" t="s">
        <v>202</v>
      </c>
      <c r="D218" t="s">
        <v>419</v>
      </c>
      <c r="E218">
        <v>-216</v>
      </c>
      <c r="F218" t="s">
        <v>203</v>
      </c>
      <c r="G218" t="s">
        <v>204</v>
      </c>
    </row>
    <row r="219" spans="1:7">
      <c r="A219" t="s">
        <v>196</v>
      </c>
      <c r="B219" t="s">
        <v>201</v>
      </c>
      <c r="C219" t="s">
        <v>202</v>
      </c>
      <c r="D219" t="s">
        <v>420</v>
      </c>
      <c r="E219">
        <v>-217</v>
      </c>
      <c r="F219" t="s">
        <v>203</v>
      </c>
      <c r="G219" t="s">
        <v>204</v>
      </c>
    </row>
    <row r="220" spans="1:7">
      <c r="A220" t="s">
        <v>196</v>
      </c>
      <c r="B220" t="s">
        <v>201</v>
      </c>
      <c r="C220" t="s">
        <v>202</v>
      </c>
      <c r="D220" t="s">
        <v>421</v>
      </c>
      <c r="E220">
        <v>-218</v>
      </c>
      <c r="F220" t="s">
        <v>203</v>
      </c>
      <c r="G220" t="s">
        <v>204</v>
      </c>
    </row>
    <row r="221" spans="1:7">
      <c r="A221" t="s">
        <v>196</v>
      </c>
      <c r="B221" t="s">
        <v>201</v>
      </c>
      <c r="C221" t="s">
        <v>202</v>
      </c>
      <c r="D221" t="s">
        <v>422</v>
      </c>
      <c r="E221">
        <v>-219</v>
      </c>
      <c r="F221" t="s">
        <v>203</v>
      </c>
      <c r="G221" t="s">
        <v>204</v>
      </c>
    </row>
    <row r="222" spans="1:7">
      <c r="A222" t="s">
        <v>196</v>
      </c>
      <c r="B222" t="s">
        <v>201</v>
      </c>
      <c r="C222" t="s">
        <v>202</v>
      </c>
      <c r="D222" t="s">
        <v>423</v>
      </c>
      <c r="E222">
        <v>-220</v>
      </c>
      <c r="F222" t="s">
        <v>203</v>
      </c>
      <c r="G222" t="s">
        <v>204</v>
      </c>
    </row>
    <row r="223" spans="1:7">
      <c r="A223" t="s">
        <v>196</v>
      </c>
      <c r="B223" t="s">
        <v>201</v>
      </c>
      <c r="C223" t="s">
        <v>202</v>
      </c>
      <c r="D223" t="s">
        <v>424</v>
      </c>
      <c r="E223">
        <v>-221</v>
      </c>
      <c r="F223" t="s">
        <v>203</v>
      </c>
      <c r="G223" t="s">
        <v>204</v>
      </c>
    </row>
    <row r="224" spans="1:7">
      <c r="A224" t="s">
        <v>196</v>
      </c>
      <c r="B224" t="s">
        <v>201</v>
      </c>
      <c r="C224" t="s">
        <v>202</v>
      </c>
      <c r="D224" t="s">
        <v>425</v>
      </c>
      <c r="E224">
        <v>-222</v>
      </c>
      <c r="F224" t="s">
        <v>203</v>
      </c>
      <c r="G224" t="s">
        <v>204</v>
      </c>
    </row>
    <row r="225" spans="1:7">
      <c r="A225" t="s">
        <v>196</v>
      </c>
      <c r="B225" t="s">
        <v>201</v>
      </c>
      <c r="C225" t="s">
        <v>202</v>
      </c>
      <c r="D225" t="s">
        <v>426</v>
      </c>
      <c r="E225">
        <v>-223</v>
      </c>
      <c r="F225" t="s">
        <v>203</v>
      </c>
      <c r="G225" t="s">
        <v>204</v>
      </c>
    </row>
    <row r="226" spans="1:7">
      <c r="A226" t="s">
        <v>196</v>
      </c>
      <c r="B226" t="s">
        <v>201</v>
      </c>
      <c r="C226" t="s">
        <v>202</v>
      </c>
      <c r="D226" t="s">
        <v>427</v>
      </c>
      <c r="E226">
        <v>-224</v>
      </c>
      <c r="F226" t="s">
        <v>203</v>
      </c>
      <c r="G226" t="s">
        <v>204</v>
      </c>
    </row>
    <row r="227" spans="1:7">
      <c r="A227" t="s">
        <v>196</v>
      </c>
      <c r="B227" t="s">
        <v>201</v>
      </c>
      <c r="C227" t="s">
        <v>202</v>
      </c>
      <c r="D227" t="s">
        <v>428</v>
      </c>
      <c r="E227">
        <v>-225</v>
      </c>
      <c r="F227" t="s">
        <v>203</v>
      </c>
      <c r="G227" t="s">
        <v>204</v>
      </c>
    </row>
    <row r="228" spans="1:7">
      <c r="A228" t="s">
        <v>196</v>
      </c>
      <c r="B228" t="s">
        <v>201</v>
      </c>
      <c r="C228" t="s">
        <v>202</v>
      </c>
      <c r="D228" t="s">
        <v>429</v>
      </c>
      <c r="E228">
        <v>-226</v>
      </c>
      <c r="F228" t="s">
        <v>203</v>
      </c>
      <c r="G228" t="s">
        <v>204</v>
      </c>
    </row>
    <row r="229" spans="1:7">
      <c r="A229" t="s">
        <v>196</v>
      </c>
      <c r="B229" t="s">
        <v>201</v>
      </c>
      <c r="C229" t="s">
        <v>202</v>
      </c>
      <c r="D229" t="s">
        <v>430</v>
      </c>
      <c r="E229">
        <v>-227</v>
      </c>
      <c r="F229" t="s">
        <v>203</v>
      </c>
      <c r="G229" t="s">
        <v>204</v>
      </c>
    </row>
    <row r="230" spans="1:7">
      <c r="A230" t="s">
        <v>196</v>
      </c>
      <c r="B230" t="s">
        <v>201</v>
      </c>
      <c r="C230" t="s">
        <v>202</v>
      </c>
      <c r="D230" t="s">
        <v>431</v>
      </c>
      <c r="E230">
        <v>-228</v>
      </c>
      <c r="F230" t="s">
        <v>203</v>
      </c>
      <c r="G230" t="s">
        <v>204</v>
      </c>
    </row>
    <row r="231" spans="1:7">
      <c r="A231" t="s">
        <v>196</v>
      </c>
      <c r="B231" t="s">
        <v>201</v>
      </c>
      <c r="C231" t="s">
        <v>202</v>
      </c>
      <c r="D231" t="s">
        <v>432</v>
      </c>
      <c r="E231">
        <v>-229</v>
      </c>
      <c r="F231" t="s">
        <v>203</v>
      </c>
      <c r="G231" t="s">
        <v>204</v>
      </c>
    </row>
    <row r="232" spans="1:7">
      <c r="A232" t="s">
        <v>196</v>
      </c>
      <c r="B232" t="s">
        <v>201</v>
      </c>
      <c r="C232" t="s">
        <v>202</v>
      </c>
      <c r="D232" t="s">
        <v>433</v>
      </c>
      <c r="E232">
        <v>-230</v>
      </c>
      <c r="F232" t="s">
        <v>203</v>
      </c>
      <c r="G232" t="s">
        <v>204</v>
      </c>
    </row>
    <row r="233" spans="1:7">
      <c r="A233" t="s">
        <v>196</v>
      </c>
      <c r="B233" t="s">
        <v>201</v>
      </c>
      <c r="C233" t="s">
        <v>202</v>
      </c>
      <c r="D233" t="s">
        <v>434</v>
      </c>
      <c r="E233">
        <v>-231</v>
      </c>
      <c r="F233" t="s">
        <v>203</v>
      </c>
      <c r="G233" t="s">
        <v>204</v>
      </c>
    </row>
    <row r="234" spans="1:7">
      <c r="A234" t="s">
        <v>196</v>
      </c>
      <c r="B234" t="s">
        <v>201</v>
      </c>
      <c r="C234" t="s">
        <v>202</v>
      </c>
      <c r="D234" t="s">
        <v>435</v>
      </c>
      <c r="E234">
        <v>-232</v>
      </c>
      <c r="F234" t="s">
        <v>203</v>
      </c>
      <c r="G234" t="s">
        <v>204</v>
      </c>
    </row>
    <row r="235" spans="1:7">
      <c r="A235" t="s">
        <v>196</v>
      </c>
      <c r="B235" t="s">
        <v>201</v>
      </c>
      <c r="C235" t="s">
        <v>202</v>
      </c>
      <c r="D235" t="s">
        <v>436</v>
      </c>
      <c r="E235">
        <v>-233</v>
      </c>
      <c r="F235" t="s">
        <v>203</v>
      </c>
      <c r="G235" t="s">
        <v>204</v>
      </c>
    </row>
    <row r="236" spans="1:7">
      <c r="A236" t="s">
        <v>196</v>
      </c>
      <c r="B236" t="s">
        <v>201</v>
      </c>
      <c r="C236" t="s">
        <v>202</v>
      </c>
      <c r="D236" t="s">
        <v>437</v>
      </c>
      <c r="E236">
        <v>-234</v>
      </c>
      <c r="F236" t="s">
        <v>203</v>
      </c>
      <c r="G236" t="s">
        <v>204</v>
      </c>
    </row>
    <row r="237" spans="1:7">
      <c r="A237" t="s">
        <v>196</v>
      </c>
      <c r="B237" t="s">
        <v>201</v>
      </c>
      <c r="C237" t="s">
        <v>202</v>
      </c>
      <c r="D237" t="s">
        <v>438</v>
      </c>
      <c r="E237">
        <v>-235</v>
      </c>
      <c r="F237" t="s">
        <v>203</v>
      </c>
      <c r="G237" t="s">
        <v>204</v>
      </c>
    </row>
    <row r="238" spans="1:7">
      <c r="A238" t="s">
        <v>196</v>
      </c>
      <c r="B238" t="s">
        <v>201</v>
      </c>
      <c r="C238" t="s">
        <v>202</v>
      </c>
      <c r="D238" t="s">
        <v>439</v>
      </c>
      <c r="E238">
        <v>-236</v>
      </c>
      <c r="F238" t="s">
        <v>203</v>
      </c>
      <c r="G238" t="s">
        <v>204</v>
      </c>
    </row>
    <row r="239" spans="1:7">
      <c r="A239" t="s">
        <v>196</v>
      </c>
      <c r="B239" t="s">
        <v>201</v>
      </c>
      <c r="C239" t="s">
        <v>202</v>
      </c>
      <c r="D239" t="s">
        <v>440</v>
      </c>
      <c r="E239">
        <v>-237</v>
      </c>
      <c r="F239" t="s">
        <v>203</v>
      </c>
      <c r="G239" t="s">
        <v>204</v>
      </c>
    </row>
    <row r="240" spans="1:7">
      <c r="A240" t="s">
        <v>196</v>
      </c>
      <c r="B240" t="s">
        <v>201</v>
      </c>
      <c r="C240" t="s">
        <v>202</v>
      </c>
      <c r="D240" t="s">
        <v>441</v>
      </c>
      <c r="E240">
        <v>-238</v>
      </c>
      <c r="F240" t="s">
        <v>203</v>
      </c>
      <c r="G240" t="s">
        <v>204</v>
      </c>
    </row>
    <row r="241" spans="1:7">
      <c r="A241" t="s">
        <v>196</v>
      </c>
      <c r="B241" t="s">
        <v>201</v>
      </c>
      <c r="C241" t="s">
        <v>202</v>
      </c>
      <c r="D241" t="s">
        <v>442</v>
      </c>
      <c r="E241">
        <v>-239</v>
      </c>
      <c r="F241" t="s">
        <v>203</v>
      </c>
      <c r="G241" t="s">
        <v>204</v>
      </c>
    </row>
    <row r="242" spans="1:7">
      <c r="A242" t="s">
        <v>196</v>
      </c>
      <c r="B242" t="s">
        <v>201</v>
      </c>
      <c r="C242" t="s">
        <v>202</v>
      </c>
      <c r="D242" t="s">
        <v>443</v>
      </c>
      <c r="E242">
        <v>-240</v>
      </c>
      <c r="F242" t="s">
        <v>203</v>
      </c>
      <c r="G242" t="s">
        <v>204</v>
      </c>
    </row>
    <row r="243" spans="1:7">
      <c r="A243" t="s">
        <v>196</v>
      </c>
      <c r="B243" t="s">
        <v>201</v>
      </c>
      <c r="C243" t="s">
        <v>202</v>
      </c>
      <c r="D243" t="s">
        <v>444</v>
      </c>
      <c r="E243">
        <v>-241</v>
      </c>
      <c r="F243" t="s">
        <v>203</v>
      </c>
      <c r="G243" t="s">
        <v>204</v>
      </c>
    </row>
    <row r="244" spans="1:7">
      <c r="A244" t="s">
        <v>196</v>
      </c>
      <c r="B244" t="s">
        <v>201</v>
      </c>
      <c r="C244" t="s">
        <v>202</v>
      </c>
      <c r="D244" t="s">
        <v>445</v>
      </c>
      <c r="E244">
        <v>-242</v>
      </c>
      <c r="F244" t="s">
        <v>203</v>
      </c>
      <c r="G244" t="s">
        <v>204</v>
      </c>
    </row>
    <row r="245" spans="1:7">
      <c r="A245" t="s">
        <v>196</v>
      </c>
      <c r="B245" t="s">
        <v>201</v>
      </c>
      <c r="C245" t="s">
        <v>202</v>
      </c>
      <c r="D245" t="s">
        <v>446</v>
      </c>
      <c r="E245">
        <v>-243</v>
      </c>
      <c r="F245" t="s">
        <v>203</v>
      </c>
      <c r="G245" t="s">
        <v>204</v>
      </c>
    </row>
    <row r="246" spans="1:7">
      <c r="A246" t="s">
        <v>196</v>
      </c>
      <c r="B246" t="s">
        <v>201</v>
      </c>
      <c r="C246" t="s">
        <v>202</v>
      </c>
      <c r="D246" t="s">
        <v>447</v>
      </c>
      <c r="E246">
        <v>-244</v>
      </c>
      <c r="F246" t="s">
        <v>203</v>
      </c>
      <c r="G246" t="s">
        <v>204</v>
      </c>
    </row>
    <row r="247" spans="1:7">
      <c r="A247" t="s">
        <v>196</v>
      </c>
      <c r="B247" t="s">
        <v>201</v>
      </c>
      <c r="C247" t="s">
        <v>202</v>
      </c>
      <c r="D247" t="s">
        <v>448</v>
      </c>
      <c r="E247">
        <v>-245</v>
      </c>
      <c r="F247" t="s">
        <v>203</v>
      </c>
      <c r="G247" t="s">
        <v>204</v>
      </c>
    </row>
    <row r="248" spans="1:7">
      <c r="A248" t="s">
        <v>196</v>
      </c>
      <c r="B248" t="s">
        <v>201</v>
      </c>
      <c r="C248" t="s">
        <v>202</v>
      </c>
      <c r="D248" t="s">
        <v>449</v>
      </c>
      <c r="E248">
        <v>-246</v>
      </c>
      <c r="F248" t="s">
        <v>203</v>
      </c>
      <c r="G248" t="s">
        <v>204</v>
      </c>
    </row>
    <row r="249" spans="1:7">
      <c r="A249" t="s">
        <v>196</v>
      </c>
      <c r="B249" t="s">
        <v>201</v>
      </c>
      <c r="C249" t="s">
        <v>202</v>
      </c>
      <c r="D249" t="s">
        <v>450</v>
      </c>
      <c r="E249">
        <v>-247</v>
      </c>
      <c r="F249" t="s">
        <v>203</v>
      </c>
      <c r="G249" t="s">
        <v>204</v>
      </c>
    </row>
    <row r="250" spans="1:7">
      <c r="A250" t="s">
        <v>196</v>
      </c>
      <c r="B250" t="s">
        <v>201</v>
      </c>
      <c r="C250" t="s">
        <v>202</v>
      </c>
      <c r="D250" t="s">
        <v>451</v>
      </c>
      <c r="E250">
        <v>-248</v>
      </c>
      <c r="F250" t="s">
        <v>203</v>
      </c>
      <c r="G250" t="s">
        <v>204</v>
      </c>
    </row>
    <row r="251" spans="1:7">
      <c r="A251" t="s">
        <v>196</v>
      </c>
      <c r="B251" t="s">
        <v>201</v>
      </c>
      <c r="C251" t="s">
        <v>202</v>
      </c>
      <c r="D251" t="s">
        <v>452</v>
      </c>
      <c r="E251">
        <v>-249</v>
      </c>
      <c r="F251" t="s">
        <v>203</v>
      </c>
      <c r="G251" t="s">
        <v>204</v>
      </c>
    </row>
    <row r="252" spans="1:7">
      <c r="A252" t="s">
        <v>196</v>
      </c>
      <c r="B252" t="s">
        <v>201</v>
      </c>
      <c r="C252" t="s">
        <v>202</v>
      </c>
      <c r="D252" t="s">
        <v>453</v>
      </c>
      <c r="E252">
        <v>-250</v>
      </c>
      <c r="F252" t="s">
        <v>203</v>
      </c>
      <c r="G252" t="s">
        <v>204</v>
      </c>
    </row>
    <row r="253" spans="1:7">
      <c r="A253" t="s">
        <v>196</v>
      </c>
      <c r="B253" t="s">
        <v>201</v>
      </c>
      <c r="C253" t="s">
        <v>202</v>
      </c>
      <c r="D253" t="s">
        <v>454</v>
      </c>
      <c r="E253">
        <v>-251</v>
      </c>
      <c r="F253" t="s">
        <v>203</v>
      </c>
      <c r="G253" t="s">
        <v>204</v>
      </c>
    </row>
    <row r="254" spans="1:7">
      <c r="A254" t="s">
        <v>196</v>
      </c>
      <c r="B254" t="s">
        <v>201</v>
      </c>
      <c r="C254" t="s">
        <v>202</v>
      </c>
      <c r="D254" t="s">
        <v>455</v>
      </c>
      <c r="E254">
        <v>-252</v>
      </c>
      <c r="F254" t="s">
        <v>203</v>
      </c>
      <c r="G254" t="s">
        <v>204</v>
      </c>
    </row>
    <row r="255" spans="1:7">
      <c r="A255" t="s">
        <v>196</v>
      </c>
      <c r="B255" t="s">
        <v>201</v>
      </c>
      <c r="C255" t="s">
        <v>202</v>
      </c>
      <c r="D255" t="s">
        <v>456</v>
      </c>
      <c r="E255">
        <v>-253</v>
      </c>
      <c r="F255" t="s">
        <v>203</v>
      </c>
      <c r="G255" t="s">
        <v>204</v>
      </c>
    </row>
    <row r="256" spans="1:7">
      <c r="A256" t="s">
        <v>196</v>
      </c>
      <c r="B256" t="s">
        <v>201</v>
      </c>
      <c r="C256" t="s">
        <v>202</v>
      </c>
      <c r="D256" t="s">
        <v>457</v>
      </c>
      <c r="E256">
        <v>-254</v>
      </c>
      <c r="F256" t="s">
        <v>203</v>
      </c>
      <c r="G256" t="s">
        <v>204</v>
      </c>
    </row>
    <row r="257" spans="1:7">
      <c r="A257" t="s">
        <v>196</v>
      </c>
      <c r="B257" t="s">
        <v>201</v>
      </c>
      <c r="C257" t="s">
        <v>202</v>
      </c>
      <c r="D257" t="s">
        <v>458</v>
      </c>
      <c r="E257">
        <v>-255</v>
      </c>
      <c r="F257" t="s">
        <v>203</v>
      </c>
      <c r="G257" t="s">
        <v>204</v>
      </c>
    </row>
    <row r="258" spans="1:7">
      <c r="A258" t="s">
        <v>196</v>
      </c>
      <c r="B258" t="s">
        <v>201</v>
      </c>
      <c r="C258" t="s">
        <v>202</v>
      </c>
      <c r="D258" t="s">
        <v>459</v>
      </c>
      <c r="E258">
        <v>-256</v>
      </c>
      <c r="F258" t="s">
        <v>203</v>
      </c>
      <c r="G258" t="s">
        <v>204</v>
      </c>
    </row>
    <row r="259" spans="1:7">
      <c r="A259" t="s">
        <v>196</v>
      </c>
      <c r="B259" t="s">
        <v>201</v>
      </c>
      <c r="C259" t="s">
        <v>202</v>
      </c>
      <c r="D259" t="s">
        <v>460</v>
      </c>
      <c r="E259">
        <v>-257</v>
      </c>
      <c r="F259" t="s">
        <v>203</v>
      </c>
      <c r="G259" t="s">
        <v>204</v>
      </c>
    </row>
    <row r="260" spans="1:7">
      <c r="A260" t="s">
        <v>196</v>
      </c>
      <c r="B260" t="s">
        <v>201</v>
      </c>
      <c r="C260" t="s">
        <v>202</v>
      </c>
      <c r="D260" t="s">
        <v>461</v>
      </c>
      <c r="E260">
        <v>-258</v>
      </c>
      <c r="F260" t="s">
        <v>203</v>
      </c>
      <c r="G260" t="s">
        <v>204</v>
      </c>
    </row>
    <row r="261" spans="1:7">
      <c r="A261" t="s">
        <v>196</v>
      </c>
      <c r="B261" t="s">
        <v>201</v>
      </c>
      <c r="C261" t="s">
        <v>202</v>
      </c>
      <c r="D261" t="s">
        <v>462</v>
      </c>
      <c r="E261">
        <v>-259</v>
      </c>
      <c r="F261" t="s">
        <v>203</v>
      </c>
      <c r="G261" t="s">
        <v>204</v>
      </c>
    </row>
    <row r="262" spans="1:7">
      <c r="A262" t="s">
        <v>196</v>
      </c>
      <c r="B262" t="s">
        <v>201</v>
      </c>
      <c r="C262" t="s">
        <v>202</v>
      </c>
      <c r="D262" t="s">
        <v>463</v>
      </c>
      <c r="E262">
        <v>-260</v>
      </c>
      <c r="F262" t="s">
        <v>203</v>
      </c>
      <c r="G262" t="s">
        <v>204</v>
      </c>
    </row>
    <row r="263" spans="1:7">
      <c r="A263" t="s">
        <v>196</v>
      </c>
      <c r="B263" t="s">
        <v>201</v>
      </c>
      <c r="C263" t="s">
        <v>202</v>
      </c>
      <c r="D263" t="s">
        <v>464</v>
      </c>
      <c r="E263">
        <v>-261</v>
      </c>
      <c r="F263" t="s">
        <v>203</v>
      </c>
      <c r="G263" t="s">
        <v>204</v>
      </c>
    </row>
    <row r="264" spans="1:7">
      <c r="A264" t="s">
        <v>196</v>
      </c>
      <c r="B264" t="s">
        <v>201</v>
      </c>
      <c r="C264" t="s">
        <v>202</v>
      </c>
      <c r="D264" t="s">
        <v>465</v>
      </c>
      <c r="E264">
        <v>-262</v>
      </c>
      <c r="F264" t="s">
        <v>203</v>
      </c>
      <c r="G264" t="s">
        <v>204</v>
      </c>
    </row>
    <row r="265" spans="1:7">
      <c r="A265" t="s">
        <v>196</v>
      </c>
      <c r="B265" t="s">
        <v>201</v>
      </c>
      <c r="C265" t="s">
        <v>202</v>
      </c>
      <c r="D265" t="s">
        <v>466</v>
      </c>
      <c r="E265">
        <v>-263</v>
      </c>
      <c r="F265" t="s">
        <v>203</v>
      </c>
      <c r="G265" t="s">
        <v>204</v>
      </c>
    </row>
    <row r="266" spans="1:7">
      <c r="A266" t="s">
        <v>196</v>
      </c>
      <c r="B266" t="s">
        <v>201</v>
      </c>
      <c r="C266" t="s">
        <v>202</v>
      </c>
      <c r="D266" t="s">
        <v>467</v>
      </c>
      <c r="E266">
        <v>-264</v>
      </c>
      <c r="F266" t="s">
        <v>203</v>
      </c>
      <c r="G266" t="s">
        <v>204</v>
      </c>
    </row>
    <row r="267" spans="1:7">
      <c r="A267" t="s">
        <v>196</v>
      </c>
      <c r="B267" t="s">
        <v>201</v>
      </c>
      <c r="C267" t="s">
        <v>202</v>
      </c>
      <c r="D267" t="s">
        <v>468</v>
      </c>
      <c r="E267">
        <v>-265</v>
      </c>
      <c r="F267" t="s">
        <v>203</v>
      </c>
      <c r="G267" t="s">
        <v>204</v>
      </c>
    </row>
    <row r="268" spans="1:7">
      <c r="A268" t="s">
        <v>196</v>
      </c>
      <c r="B268" t="s">
        <v>201</v>
      </c>
      <c r="C268" t="s">
        <v>202</v>
      </c>
      <c r="D268" t="s">
        <v>469</v>
      </c>
      <c r="E268">
        <v>-266</v>
      </c>
      <c r="F268" t="s">
        <v>203</v>
      </c>
      <c r="G268" t="s">
        <v>204</v>
      </c>
    </row>
    <row r="269" spans="1:7">
      <c r="A269" t="s">
        <v>196</v>
      </c>
      <c r="B269" t="s">
        <v>201</v>
      </c>
      <c r="C269" t="s">
        <v>202</v>
      </c>
      <c r="D269" t="s">
        <v>470</v>
      </c>
      <c r="E269">
        <v>-267</v>
      </c>
      <c r="F269" t="s">
        <v>203</v>
      </c>
      <c r="G269" t="s">
        <v>204</v>
      </c>
    </row>
    <row r="270" spans="1:7">
      <c r="A270" t="s">
        <v>196</v>
      </c>
      <c r="B270" t="s">
        <v>201</v>
      </c>
      <c r="C270" t="s">
        <v>202</v>
      </c>
      <c r="D270" t="s">
        <v>471</v>
      </c>
      <c r="E270">
        <v>-268</v>
      </c>
      <c r="F270" t="s">
        <v>203</v>
      </c>
      <c r="G270" t="s">
        <v>204</v>
      </c>
    </row>
    <row r="271" spans="1:7">
      <c r="A271" t="s">
        <v>196</v>
      </c>
      <c r="B271" t="s">
        <v>201</v>
      </c>
      <c r="C271" t="s">
        <v>202</v>
      </c>
      <c r="D271" t="s">
        <v>472</v>
      </c>
      <c r="E271">
        <v>-269</v>
      </c>
      <c r="F271" t="s">
        <v>203</v>
      </c>
      <c r="G271" t="s">
        <v>204</v>
      </c>
    </row>
    <row r="272" spans="1:7">
      <c r="A272" t="s">
        <v>196</v>
      </c>
      <c r="B272" t="s">
        <v>201</v>
      </c>
      <c r="C272" t="s">
        <v>202</v>
      </c>
      <c r="D272" t="s">
        <v>473</v>
      </c>
      <c r="E272">
        <v>-270</v>
      </c>
      <c r="F272" t="s">
        <v>203</v>
      </c>
      <c r="G272" t="s">
        <v>204</v>
      </c>
    </row>
    <row r="273" spans="1:7">
      <c r="A273" t="s">
        <v>196</v>
      </c>
      <c r="B273" t="s">
        <v>201</v>
      </c>
      <c r="C273" t="s">
        <v>202</v>
      </c>
      <c r="D273" t="s">
        <v>474</v>
      </c>
      <c r="E273">
        <v>-271</v>
      </c>
      <c r="F273" t="s">
        <v>203</v>
      </c>
      <c r="G273" t="s">
        <v>204</v>
      </c>
    </row>
    <row r="274" spans="1:7">
      <c r="A274" t="s">
        <v>196</v>
      </c>
      <c r="B274" t="s">
        <v>201</v>
      </c>
      <c r="C274" t="s">
        <v>202</v>
      </c>
      <c r="D274" t="s">
        <v>475</v>
      </c>
      <c r="E274">
        <v>-272</v>
      </c>
      <c r="F274" t="s">
        <v>203</v>
      </c>
      <c r="G274" t="s">
        <v>204</v>
      </c>
    </row>
    <row r="275" spans="1:7">
      <c r="A275" t="s">
        <v>196</v>
      </c>
      <c r="B275" t="s">
        <v>201</v>
      </c>
      <c r="C275" t="s">
        <v>202</v>
      </c>
      <c r="D275" t="s">
        <v>476</v>
      </c>
      <c r="E275">
        <v>-273</v>
      </c>
      <c r="F275" t="s">
        <v>203</v>
      </c>
      <c r="G275" t="s">
        <v>204</v>
      </c>
    </row>
    <row r="276" spans="1:7">
      <c r="A276" t="s">
        <v>196</v>
      </c>
      <c r="B276" t="s">
        <v>201</v>
      </c>
      <c r="C276" t="s">
        <v>202</v>
      </c>
      <c r="D276" t="s">
        <v>477</v>
      </c>
      <c r="E276">
        <v>-274</v>
      </c>
      <c r="F276" t="s">
        <v>203</v>
      </c>
      <c r="G276" t="s">
        <v>204</v>
      </c>
    </row>
    <row r="277" spans="1:7">
      <c r="A277" t="s">
        <v>196</v>
      </c>
      <c r="B277" t="s">
        <v>201</v>
      </c>
      <c r="C277" t="s">
        <v>202</v>
      </c>
      <c r="D277" t="s">
        <v>478</v>
      </c>
      <c r="E277">
        <v>-275</v>
      </c>
      <c r="F277" t="s">
        <v>203</v>
      </c>
      <c r="G277" t="s">
        <v>204</v>
      </c>
    </row>
    <row r="278" spans="1:7">
      <c r="A278" t="s">
        <v>196</v>
      </c>
      <c r="B278" t="s">
        <v>201</v>
      </c>
      <c r="C278" t="s">
        <v>202</v>
      </c>
      <c r="D278" t="s">
        <v>479</v>
      </c>
      <c r="E278">
        <v>-276</v>
      </c>
      <c r="F278" t="s">
        <v>203</v>
      </c>
      <c r="G278" t="s">
        <v>204</v>
      </c>
    </row>
    <row r="279" spans="1:7">
      <c r="A279" t="s">
        <v>196</v>
      </c>
      <c r="B279" t="s">
        <v>201</v>
      </c>
      <c r="C279" t="s">
        <v>202</v>
      </c>
      <c r="D279" t="s">
        <v>480</v>
      </c>
      <c r="E279">
        <v>-277</v>
      </c>
      <c r="F279" t="s">
        <v>203</v>
      </c>
      <c r="G279" t="s">
        <v>204</v>
      </c>
    </row>
    <row r="280" spans="1:7">
      <c r="A280" t="s">
        <v>196</v>
      </c>
      <c r="B280" t="s">
        <v>201</v>
      </c>
      <c r="C280" t="s">
        <v>202</v>
      </c>
      <c r="D280" t="s">
        <v>481</v>
      </c>
      <c r="E280">
        <v>-278</v>
      </c>
      <c r="F280" t="s">
        <v>203</v>
      </c>
      <c r="G280" t="s">
        <v>204</v>
      </c>
    </row>
    <row r="281" spans="1:7">
      <c r="A281" t="s">
        <v>196</v>
      </c>
      <c r="B281" t="s">
        <v>201</v>
      </c>
      <c r="C281" t="s">
        <v>202</v>
      </c>
      <c r="D281" t="s">
        <v>482</v>
      </c>
      <c r="E281">
        <v>-279</v>
      </c>
      <c r="F281" t="s">
        <v>203</v>
      </c>
      <c r="G281" t="s">
        <v>204</v>
      </c>
    </row>
    <row r="282" spans="1:7">
      <c r="A282" t="s">
        <v>196</v>
      </c>
      <c r="B282" t="s">
        <v>201</v>
      </c>
      <c r="C282" t="s">
        <v>202</v>
      </c>
      <c r="D282" t="s">
        <v>483</v>
      </c>
      <c r="E282">
        <v>-280</v>
      </c>
      <c r="F282" t="s">
        <v>203</v>
      </c>
      <c r="G282" t="s">
        <v>204</v>
      </c>
    </row>
    <row r="283" spans="1:7">
      <c r="A283" t="s">
        <v>196</v>
      </c>
      <c r="B283" t="s">
        <v>201</v>
      </c>
      <c r="C283" t="s">
        <v>202</v>
      </c>
      <c r="D283" t="s">
        <v>484</v>
      </c>
      <c r="E283">
        <v>-281</v>
      </c>
      <c r="F283" t="s">
        <v>203</v>
      </c>
      <c r="G283" t="s">
        <v>204</v>
      </c>
    </row>
    <row r="284" spans="1:7">
      <c r="A284" t="s">
        <v>196</v>
      </c>
      <c r="B284" t="s">
        <v>201</v>
      </c>
      <c r="C284" t="s">
        <v>202</v>
      </c>
      <c r="D284" t="s">
        <v>485</v>
      </c>
      <c r="E284">
        <v>-282</v>
      </c>
      <c r="F284" t="s">
        <v>203</v>
      </c>
      <c r="G284" t="s">
        <v>204</v>
      </c>
    </row>
    <row r="285" spans="1:7">
      <c r="A285" t="s">
        <v>196</v>
      </c>
      <c r="B285" t="s">
        <v>201</v>
      </c>
      <c r="C285" t="s">
        <v>202</v>
      </c>
      <c r="D285" t="s">
        <v>486</v>
      </c>
      <c r="E285">
        <v>-283</v>
      </c>
      <c r="F285" t="s">
        <v>203</v>
      </c>
      <c r="G285" t="s">
        <v>204</v>
      </c>
    </row>
    <row r="286" spans="1:7">
      <c r="A286" t="s">
        <v>196</v>
      </c>
      <c r="B286" t="s">
        <v>201</v>
      </c>
      <c r="C286" t="s">
        <v>202</v>
      </c>
      <c r="D286" t="s">
        <v>487</v>
      </c>
      <c r="E286">
        <v>-284</v>
      </c>
      <c r="F286" t="s">
        <v>203</v>
      </c>
      <c r="G286" t="s">
        <v>204</v>
      </c>
    </row>
    <row r="287" spans="1:7">
      <c r="A287" t="s">
        <v>196</v>
      </c>
      <c r="B287" t="s">
        <v>201</v>
      </c>
      <c r="C287" t="s">
        <v>202</v>
      </c>
      <c r="D287" t="s">
        <v>488</v>
      </c>
      <c r="E287">
        <v>-285</v>
      </c>
      <c r="F287" t="s">
        <v>203</v>
      </c>
      <c r="G287" t="s">
        <v>204</v>
      </c>
    </row>
    <row r="288" spans="1:7">
      <c r="A288" t="s">
        <v>196</v>
      </c>
      <c r="B288" t="s">
        <v>201</v>
      </c>
      <c r="C288" t="s">
        <v>202</v>
      </c>
      <c r="D288" t="s">
        <v>489</v>
      </c>
      <c r="E288">
        <v>-286</v>
      </c>
      <c r="F288" t="s">
        <v>203</v>
      </c>
      <c r="G288" t="s">
        <v>204</v>
      </c>
    </row>
    <row r="289" spans="1:7">
      <c r="A289" t="s">
        <v>196</v>
      </c>
      <c r="B289" t="s">
        <v>201</v>
      </c>
      <c r="C289" t="s">
        <v>202</v>
      </c>
      <c r="D289" t="s">
        <v>490</v>
      </c>
      <c r="E289">
        <v>-287</v>
      </c>
      <c r="F289" t="s">
        <v>203</v>
      </c>
      <c r="G289" t="s">
        <v>204</v>
      </c>
    </row>
    <row r="290" spans="1:7">
      <c r="A290" t="s">
        <v>196</v>
      </c>
      <c r="B290" t="s">
        <v>201</v>
      </c>
      <c r="C290" t="s">
        <v>202</v>
      </c>
      <c r="D290" t="s">
        <v>491</v>
      </c>
      <c r="E290">
        <v>-288</v>
      </c>
      <c r="F290" t="s">
        <v>203</v>
      </c>
      <c r="G290" t="s">
        <v>204</v>
      </c>
    </row>
    <row r="291" spans="1:7">
      <c r="A291" t="s">
        <v>196</v>
      </c>
      <c r="B291" t="s">
        <v>201</v>
      </c>
      <c r="C291" t="s">
        <v>202</v>
      </c>
      <c r="D291" t="s">
        <v>492</v>
      </c>
      <c r="E291">
        <v>-289</v>
      </c>
      <c r="F291" t="s">
        <v>203</v>
      </c>
      <c r="G291" t="s">
        <v>204</v>
      </c>
    </row>
    <row r="292" spans="1:7">
      <c r="A292" t="s">
        <v>196</v>
      </c>
      <c r="B292" t="s">
        <v>201</v>
      </c>
      <c r="C292" t="s">
        <v>202</v>
      </c>
      <c r="D292" t="s">
        <v>493</v>
      </c>
      <c r="E292">
        <v>-290</v>
      </c>
      <c r="F292" t="s">
        <v>203</v>
      </c>
      <c r="G292" t="s">
        <v>204</v>
      </c>
    </row>
    <row r="293" spans="1:7">
      <c r="A293" t="s">
        <v>196</v>
      </c>
      <c r="B293" t="s">
        <v>201</v>
      </c>
      <c r="C293" t="s">
        <v>202</v>
      </c>
      <c r="D293" t="s">
        <v>494</v>
      </c>
      <c r="E293">
        <v>-291</v>
      </c>
      <c r="F293" t="s">
        <v>203</v>
      </c>
      <c r="G293" t="s">
        <v>204</v>
      </c>
    </row>
    <row r="294" spans="1:7">
      <c r="A294" t="s">
        <v>196</v>
      </c>
      <c r="B294" t="s">
        <v>201</v>
      </c>
      <c r="C294" t="s">
        <v>202</v>
      </c>
      <c r="D294" t="s">
        <v>495</v>
      </c>
      <c r="E294">
        <v>-292</v>
      </c>
      <c r="F294" t="s">
        <v>203</v>
      </c>
      <c r="G294" t="s">
        <v>204</v>
      </c>
    </row>
    <row r="295" spans="1:7">
      <c r="A295" t="s">
        <v>196</v>
      </c>
      <c r="B295" t="s">
        <v>201</v>
      </c>
      <c r="C295" t="s">
        <v>202</v>
      </c>
      <c r="D295" t="s">
        <v>496</v>
      </c>
      <c r="E295">
        <v>-293</v>
      </c>
      <c r="F295" t="s">
        <v>203</v>
      </c>
      <c r="G295" t="s">
        <v>204</v>
      </c>
    </row>
    <row r="296" spans="1:7">
      <c r="A296" t="s">
        <v>196</v>
      </c>
      <c r="B296" t="s">
        <v>201</v>
      </c>
      <c r="C296" t="s">
        <v>202</v>
      </c>
      <c r="D296" t="s">
        <v>497</v>
      </c>
      <c r="E296">
        <v>-294</v>
      </c>
      <c r="F296" t="s">
        <v>203</v>
      </c>
      <c r="G296" t="s">
        <v>204</v>
      </c>
    </row>
    <row r="297" spans="1:7">
      <c r="A297" t="s">
        <v>196</v>
      </c>
      <c r="B297" t="s">
        <v>201</v>
      </c>
      <c r="C297" t="s">
        <v>202</v>
      </c>
      <c r="D297" t="s">
        <v>498</v>
      </c>
      <c r="E297">
        <v>-295</v>
      </c>
      <c r="F297" t="s">
        <v>203</v>
      </c>
      <c r="G297" t="s">
        <v>204</v>
      </c>
    </row>
    <row r="298" spans="1:7">
      <c r="A298" t="s">
        <v>196</v>
      </c>
      <c r="B298" t="s">
        <v>201</v>
      </c>
      <c r="C298" t="s">
        <v>202</v>
      </c>
      <c r="D298" t="s">
        <v>499</v>
      </c>
      <c r="E298">
        <v>-296</v>
      </c>
      <c r="F298" t="s">
        <v>203</v>
      </c>
      <c r="G298" t="s">
        <v>204</v>
      </c>
    </row>
    <row r="299" spans="1:7">
      <c r="A299" t="s">
        <v>196</v>
      </c>
      <c r="B299" t="s">
        <v>201</v>
      </c>
      <c r="C299" t="s">
        <v>202</v>
      </c>
      <c r="D299" t="s">
        <v>500</v>
      </c>
      <c r="E299">
        <v>-297</v>
      </c>
      <c r="F299" t="s">
        <v>203</v>
      </c>
      <c r="G299" t="s">
        <v>204</v>
      </c>
    </row>
    <row r="300" spans="1:7">
      <c r="A300" t="s">
        <v>196</v>
      </c>
      <c r="B300" t="s">
        <v>201</v>
      </c>
      <c r="C300" t="s">
        <v>202</v>
      </c>
      <c r="D300" t="s">
        <v>501</v>
      </c>
      <c r="E300">
        <v>-298</v>
      </c>
      <c r="F300" t="s">
        <v>203</v>
      </c>
      <c r="G300" t="s">
        <v>204</v>
      </c>
    </row>
    <row r="301" spans="1:7">
      <c r="A301" t="s">
        <v>196</v>
      </c>
      <c r="B301" t="s">
        <v>201</v>
      </c>
      <c r="C301" t="s">
        <v>202</v>
      </c>
      <c r="D301" t="s">
        <v>502</v>
      </c>
      <c r="E301">
        <v>-299</v>
      </c>
      <c r="F301" t="s">
        <v>203</v>
      </c>
      <c r="G301" t="s">
        <v>204</v>
      </c>
    </row>
    <row r="302" spans="1:7">
      <c r="A302" t="s">
        <v>196</v>
      </c>
      <c r="B302" t="s">
        <v>201</v>
      </c>
      <c r="C302" t="s">
        <v>202</v>
      </c>
      <c r="D302" t="s">
        <v>503</v>
      </c>
      <c r="E302">
        <v>-300</v>
      </c>
      <c r="F302" t="s">
        <v>203</v>
      </c>
      <c r="G302" t="s">
        <v>204</v>
      </c>
    </row>
    <row r="303" spans="1:7">
      <c r="A303" t="s">
        <v>196</v>
      </c>
      <c r="B303" t="s">
        <v>201</v>
      </c>
      <c r="C303" t="s">
        <v>202</v>
      </c>
      <c r="D303" t="s">
        <v>504</v>
      </c>
      <c r="E303">
        <v>-301</v>
      </c>
      <c r="F303" t="s">
        <v>203</v>
      </c>
      <c r="G303" t="s">
        <v>204</v>
      </c>
    </row>
    <row r="304" spans="1:7">
      <c r="A304" t="s">
        <v>196</v>
      </c>
      <c r="B304" t="s">
        <v>201</v>
      </c>
      <c r="C304" t="s">
        <v>202</v>
      </c>
      <c r="D304" t="s">
        <v>505</v>
      </c>
      <c r="E304">
        <v>-302</v>
      </c>
      <c r="F304" t="s">
        <v>203</v>
      </c>
      <c r="G304" t="s">
        <v>204</v>
      </c>
    </row>
    <row r="305" spans="1:7">
      <c r="A305" t="s">
        <v>196</v>
      </c>
      <c r="B305" t="s">
        <v>201</v>
      </c>
      <c r="C305" t="s">
        <v>202</v>
      </c>
      <c r="D305" t="s">
        <v>506</v>
      </c>
      <c r="E305">
        <v>-303</v>
      </c>
      <c r="F305" t="s">
        <v>203</v>
      </c>
      <c r="G305" t="s">
        <v>204</v>
      </c>
    </row>
    <row r="306" spans="1:7">
      <c r="A306" t="s">
        <v>196</v>
      </c>
      <c r="B306" t="s">
        <v>201</v>
      </c>
      <c r="C306" t="s">
        <v>202</v>
      </c>
      <c r="D306" t="s">
        <v>507</v>
      </c>
      <c r="E306">
        <v>-304</v>
      </c>
      <c r="F306" t="s">
        <v>203</v>
      </c>
      <c r="G306" t="s">
        <v>204</v>
      </c>
    </row>
    <row r="307" spans="1:7">
      <c r="A307" t="s">
        <v>196</v>
      </c>
      <c r="B307" t="s">
        <v>201</v>
      </c>
      <c r="C307" t="s">
        <v>202</v>
      </c>
      <c r="D307" t="s">
        <v>508</v>
      </c>
      <c r="E307">
        <v>-305</v>
      </c>
      <c r="F307" t="s">
        <v>203</v>
      </c>
      <c r="G307" t="s">
        <v>204</v>
      </c>
    </row>
    <row r="308" spans="1:7">
      <c r="A308" t="s">
        <v>196</v>
      </c>
      <c r="B308" t="s">
        <v>201</v>
      </c>
      <c r="C308" t="s">
        <v>202</v>
      </c>
      <c r="D308" t="s">
        <v>509</v>
      </c>
      <c r="E308">
        <v>-306</v>
      </c>
      <c r="F308" t="s">
        <v>203</v>
      </c>
      <c r="G308" t="s">
        <v>204</v>
      </c>
    </row>
    <row r="309" spans="1:7">
      <c r="A309" t="s">
        <v>196</v>
      </c>
      <c r="B309" t="s">
        <v>201</v>
      </c>
      <c r="C309" t="s">
        <v>202</v>
      </c>
      <c r="D309" t="s">
        <v>510</v>
      </c>
      <c r="E309">
        <v>-307</v>
      </c>
      <c r="F309" t="s">
        <v>203</v>
      </c>
      <c r="G309" t="s">
        <v>204</v>
      </c>
    </row>
    <row r="310" spans="1:7">
      <c r="A310" t="s">
        <v>196</v>
      </c>
      <c r="B310" t="s">
        <v>201</v>
      </c>
      <c r="C310" t="s">
        <v>202</v>
      </c>
      <c r="D310" t="s">
        <v>511</v>
      </c>
      <c r="E310">
        <v>-308</v>
      </c>
      <c r="F310" t="s">
        <v>203</v>
      </c>
      <c r="G310" t="s">
        <v>204</v>
      </c>
    </row>
    <row r="311" spans="1:7">
      <c r="A311" t="s">
        <v>196</v>
      </c>
      <c r="B311" t="s">
        <v>201</v>
      </c>
      <c r="C311" t="s">
        <v>202</v>
      </c>
      <c r="D311" t="s">
        <v>512</v>
      </c>
      <c r="E311">
        <v>-309</v>
      </c>
      <c r="F311" t="s">
        <v>203</v>
      </c>
      <c r="G311" t="s">
        <v>204</v>
      </c>
    </row>
    <row r="312" spans="1:7">
      <c r="A312" t="s">
        <v>196</v>
      </c>
      <c r="B312" t="s">
        <v>201</v>
      </c>
      <c r="C312" t="s">
        <v>202</v>
      </c>
      <c r="D312" t="s">
        <v>513</v>
      </c>
      <c r="E312">
        <v>-310</v>
      </c>
      <c r="F312" t="s">
        <v>203</v>
      </c>
      <c r="G312" t="s">
        <v>204</v>
      </c>
    </row>
    <row r="313" spans="1:7">
      <c r="A313" t="s">
        <v>196</v>
      </c>
      <c r="B313" t="s">
        <v>201</v>
      </c>
      <c r="C313" t="s">
        <v>202</v>
      </c>
      <c r="D313" t="s">
        <v>514</v>
      </c>
      <c r="E313">
        <v>-311</v>
      </c>
      <c r="F313" t="s">
        <v>203</v>
      </c>
      <c r="G313" t="s">
        <v>204</v>
      </c>
    </row>
    <row r="314" spans="1:7">
      <c r="A314" t="s">
        <v>196</v>
      </c>
      <c r="B314" t="s">
        <v>201</v>
      </c>
      <c r="C314" t="s">
        <v>202</v>
      </c>
      <c r="D314" t="s">
        <v>515</v>
      </c>
      <c r="E314">
        <v>-312</v>
      </c>
      <c r="F314" t="s">
        <v>203</v>
      </c>
      <c r="G314" t="s">
        <v>204</v>
      </c>
    </row>
    <row r="315" spans="1:7">
      <c r="A315" t="s">
        <v>196</v>
      </c>
      <c r="B315" t="s">
        <v>201</v>
      </c>
      <c r="C315" t="s">
        <v>202</v>
      </c>
      <c r="D315" t="s">
        <v>516</v>
      </c>
      <c r="E315">
        <v>-313</v>
      </c>
      <c r="F315" t="s">
        <v>203</v>
      </c>
      <c r="G315" t="s">
        <v>204</v>
      </c>
    </row>
    <row r="316" spans="1:7">
      <c r="A316" t="s">
        <v>196</v>
      </c>
      <c r="B316" t="s">
        <v>201</v>
      </c>
      <c r="C316" t="s">
        <v>202</v>
      </c>
      <c r="D316" t="s">
        <v>517</v>
      </c>
      <c r="E316">
        <v>-314</v>
      </c>
      <c r="F316" t="s">
        <v>203</v>
      </c>
      <c r="G316" t="s">
        <v>204</v>
      </c>
    </row>
    <row r="317" spans="1:7">
      <c r="A317" t="s">
        <v>196</v>
      </c>
      <c r="B317" t="s">
        <v>201</v>
      </c>
      <c r="C317" t="s">
        <v>202</v>
      </c>
      <c r="D317" t="s">
        <v>518</v>
      </c>
      <c r="E317">
        <v>-315</v>
      </c>
      <c r="F317" t="s">
        <v>203</v>
      </c>
      <c r="G317" t="s">
        <v>204</v>
      </c>
    </row>
    <row r="318" spans="1:7">
      <c r="A318" t="s">
        <v>196</v>
      </c>
      <c r="B318" t="s">
        <v>201</v>
      </c>
      <c r="C318" t="s">
        <v>202</v>
      </c>
      <c r="D318" t="s">
        <v>519</v>
      </c>
      <c r="E318">
        <v>-316</v>
      </c>
      <c r="F318" t="s">
        <v>203</v>
      </c>
      <c r="G318" t="s">
        <v>204</v>
      </c>
    </row>
    <row r="319" spans="1:7">
      <c r="A319" t="s">
        <v>196</v>
      </c>
      <c r="B319" t="s">
        <v>201</v>
      </c>
      <c r="C319" t="s">
        <v>202</v>
      </c>
      <c r="D319" t="s">
        <v>520</v>
      </c>
      <c r="E319">
        <v>-317</v>
      </c>
      <c r="F319" t="s">
        <v>203</v>
      </c>
      <c r="G319" t="s">
        <v>204</v>
      </c>
    </row>
    <row r="320" spans="1:7">
      <c r="A320" t="s">
        <v>196</v>
      </c>
      <c r="B320" t="s">
        <v>201</v>
      </c>
      <c r="C320" t="s">
        <v>202</v>
      </c>
      <c r="D320" t="s">
        <v>521</v>
      </c>
      <c r="E320">
        <v>-318</v>
      </c>
      <c r="F320" t="s">
        <v>203</v>
      </c>
      <c r="G320" t="s">
        <v>204</v>
      </c>
    </row>
    <row r="321" spans="1:7">
      <c r="A321" t="s">
        <v>196</v>
      </c>
      <c r="B321" t="s">
        <v>201</v>
      </c>
      <c r="C321" t="s">
        <v>202</v>
      </c>
      <c r="D321" t="s">
        <v>522</v>
      </c>
      <c r="E321">
        <v>-319</v>
      </c>
      <c r="F321" t="s">
        <v>203</v>
      </c>
      <c r="G321" t="s">
        <v>204</v>
      </c>
    </row>
    <row r="322" spans="1:7">
      <c r="A322" t="s">
        <v>196</v>
      </c>
      <c r="B322" t="s">
        <v>201</v>
      </c>
      <c r="C322" t="s">
        <v>202</v>
      </c>
      <c r="D322" t="s">
        <v>523</v>
      </c>
      <c r="E322">
        <v>-320</v>
      </c>
      <c r="F322" t="s">
        <v>203</v>
      </c>
      <c r="G322" t="s">
        <v>204</v>
      </c>
    </row>
    <row r="323" spans="1:7">
      <c r="A323" t="s">
        <v>196</v>
      </c>
      <c r="B323" t="s">
        <v>201</v>
      </c>
      <c r="C323" t="s">
        <v>202</v>
      </c>
      <c r="D323" t="s">
        <v>524</v>
      </c>
      <c r="E323">
        <v>-321</v>
      </c>
      <c r="F323" t="s">
        <v>203</v>
      </c>
      <c r="G323" t="s">
        <v>204</v>
      </c>
    </row>
    <row r="324" spans="1:7">
      <c r="A324" t="s">
        <v>196</v>
      </c>
      <c r="B324" t="s">
        <v>201</v>
      </c>
      <c r="C324" t="s">
        <v>202</v>
      </c>
      <c r="D324" t="s">
        <v>525</v>
      </c>
      <c r="E324">
        <v>-322</v>
      </c>
      <c r="F324" t="s">
        <v>203</v>
      </c>
      <c r="G324" t="s">
        <v>204</v>
      </c>
    </row>
    <row r="325" spans="1:7">
      <c r="A325" t="s">
        <v>196</v>
      </c>
      <c r="B325" t="s">
        <v>201</v>
      </c>
      <c r="C325" t="s">
        <v>202</v>
      </c>
      <c r="D325" t="s">
        <v>526</v>
      </c>
      <c r="E325">
        <v>-323</v>
      </c>
      <c r="F325" t="s">
        <v>203</v>
      </c>
      <c r="G325" t="s">
        <v>204</v>
      </c>
    </row>
    <row r="326" spans="1:7">
      <c r="A326" t="s">
        <v>196</v>
      </c>
      <c r="B326" t="s">
        <v>201</v>
      </c>
      <c r="C326" t="s">
        <v>202</v>
      </c>
      <c r="D326" t="s">
        <v>527</v>
      </c>
      <c r="E326">
        <v>-324</v>
      </c>
      <c r="F326" t="s">
        <v>203</v>
      </c>
      <c r="G326" t="s">
        <v>204</v>
      </c>
    </row>
    <row r="327" spans="1:7">
      <c r="A327" t="s">
        <v>196</v>
      </c>
      <c r="B327" t="s">
        <v>201</v>
      </c>
      <c r="C327" t="s">
        <v>202</v>
      </c>
      <c r="D327" t="s">
        <v>528</v>
      </c>
      <c r="E327">
        <v>-325</v>
      </c>
      <c r="F327" t="s">
        <v>203</v>
      </c>
      <c r="G327" t="s">
        <v>204</v>
      </c>
    </row>
    <row r="328" spans="1:7">
      <c r="A328" t="s">
        <v>196</v>
      </c>
      <c r="B328" t="s">
        <v>201</v>
      </c>
      <c r="C328" t="s">
        <v>202</v>
      </c>
      <c r="D328" t="s">
        <v>529</v>
      </c>
      <c r="E328">
        <v>-326</v>
      </c>
      <c r="F328" t="s">
        <v>203</v>
      </c>
      <c r="G328" t="s">
        <v>204</v>
      </c>
    </row>
    <row r="329" spans="1:7">
      <c r="A329" t="s">
        <v>196</v>
      </c>
      <c r="B329" t="s">
        <v>201</v>
      </c>
      <c r="C329" t="s">
        <v>202</v>
      </c>
      <c r="D329" t="s">
        <v>530</v>
      </c>
      <c r="E329">
        <v>-327</v>
      </c>
      <c r="F329" t="s">
        <v>203</v>
      </c>
      <c r="G329" t="s">
        <v>204</v>
      </c>
    </row>
    <row r="330" spans="1:7">
      <c r="A330" t="s">
        <v>196</v>
      </c>
      <c r="B330" t="s">
        <v>201</v>
      </c>
      <c r="C330" t="s">
        <v>202</v>
      </c>
      <c r="D330" t="s">
        <v>531</v>
      </c>
      <c r="E330">
        <v>-328</v>
      </c>
      <c r="F330" t="s">
        <v>203</v>
      </c>
      <c r="G330" t="s">
        <v>204</v>
      </c>
    </row>
    <row r="331" spans="1:7">
      <c r="A331" t="s">
        <v>196</v>
      </c>
      <c r="B331" t="s">
        <v>201</v>
      </c>
      <c r="C331" t="s">
        <v>202</v>
      </c>
      <c r="D331" t="s">
        <v>532</v>
      </c>
      <c r="E331">
        <v>-329</v>
      </c>
      <c r="F331" t="s">
        <v>203</v>
      </c>
      <c r="G331" t="s">
        <v>204</v>
      </c>
    </row>
    <row r="332" spans="1:7">
      <c r="A332" t="s">
        <v>196</v>
      </c>
      <c r="B332" t="s">
        <v>201</v>
      </c>
      <c r="C332" t="s">
        <v>202</v>
      </c>
      <c r="D332" t="s">
        <v>533</v>
      </c>
      <c r="E332">
        <v>-330</v>
      </c>
      <c r="F332" t="s">
        <v>203</v>
      </c>
      <c r="G332" t="s">
        <v>204</v>
      </c>
    </row>
    <row r="333" spans="1:7">
      <c r="A333" t="s">
        <v>196</v>
      </c>
      <c r="B333" t="s">
        <v>201</v>
      </c>
      <c r="C333" t="s">
        <v>202</v>
      </c>
      <c r="D333" t="s">
        <v>534</v>
      </c>
      <c r="E333">
        <v>-331</v>
      </c>
      <c r="F333" t="s">
        <v>203</v>
      </c>
      <c r="G333" t="s">
        <v>204</v>
      </c>
    </row>
    <row r="334" spans="1:7">
      <c r="A334" t="s">
        <v>196</v>
      </c>
      <c r="B334" t="s">
        <v>201</v>
      </c>
      <c r="C334" t="s">
        <v>202</v>
      </c>
      <c r="D334" t="s">
        <v>535</v>
      </c>
      <c r="E334">
        <v>-332</v>
      </c>
      <c r="F334" t="s">
        <v>203</v>
      </c>
      <c r="G334" t="s">
        <v>204</v>
      </c>
    </row>
    <row r="335" spans="1:7">
      <c r="A335" t="s">
        <v>196</v>
      </c>
      <c r="B335" t="s">
        <v>201</v>
      </c>
      <c r="C335" t="s">
        <v>202</v>
      </c>
      <c r="D335" t="s">
        <v>536</v>
      </c>
      <c r="E335">
        <v>-333</v>
      </c>
      <c r="F335" t="s">
        <v>203</v>
      </c>
      <c r="G335" t="s">
        <v>204</v>
      </c>
    </row>
    <row r="336" spans="1:7">
      <c r="A336" t="s">
        <v>196</v>
      </c>
      <c r="B336" t="s">
        <v>201</v>
      </c>
      <c r="C336" t="s">
        <v>202</v>
      </c>
      <c r="D336" t="s">
        <v>537</v>
      </c>
      <c r="E336">
        <v>-334</v>
      </c>
      <c r="F336" t="s">
        <v>203</v>
      </c>
      <c r="G336" t="s">
        <v>204</v>
      </c>
    </row>
    <row r="337" spans="1:7">
      <c r="A337" t="s">
        <v>196</v>
      </c>
      <c r="B337" t="s">
        <v>201</v>
      </c>
      <c r="C337" t="s">
        <v>202</v>
      </c>
      <c r="D337" t="s">
        <v>538</v>
      </c>
      <c r="E337">
        <v>-335</v>
      </c>
      <c r="F337" t="s">
        <v>203</v>
      </c>
      <c r="G337" t="s">
        <v>204</v>
      </c>
    </row>
    <row r="338" spans="1:7">
      <c r="A338" t="s">
        <v>196</v>
      </c>
      <c r="B338" t="s">
        <v>201</v>
      </c>
      <c r="C338" t="s">
        <v>202</v>
      </c>
      <c r="D338" t="s">
        <v>539</v>
      </c>
      <c r="E338">
        <v>-336</v>
      </c>
      <c r="F338" t="s">
        <v>203</v>
      </c>
      <c r="G338" t="s">
        <v>204</v>
      </c>
    </row>
    <row r="339" spans="1:7">
      <c r="A339" t="s">
        <v>196</v>
      </c>
      <c r="B339" t="s">
        <v>201</v>
      </c>
      <c r="C339" t="s">
        <v>202</v>
      </c>
      <c r="D339" t="s">
        <v>540</v>
      </c>
      <c r="E339">
        <v>-337</v>
      </c>
      <c r="F339" t="s">
        <v>203</v>
      </c>
      <c r="G339" t="s">
        <v>204</v>
      </c>
    </row>
    <row r="340" spans="1:7">
      <c r="A340" t="s">
        <v>196</v>
      </c>
      <c r="B340" t="s">
        <v>201</v>
      </c>
      <c r="C340" t="s">
        <v>202</v>
      </c>
      <c r="D340" t="s">
        <v>541</v>
      </c>
      <c r="E340">
        <v>-338</v>
      </c>
      <c r="F340" t="s">
        <v>203</v>
      </c>
      <c r="G340" t="s">
        <v>204</v>
      </c>
    </row>
    <row r="341" spans="1:7">
      <c r="A341" t="s">
        <v>196</v>
      </c>
      <c r="B341" t="s">
        <v>201</v>
      </c>
      <c r="C341" t="s">
        <v>202</v>
      </c>
      <c r="D341" t="s">
        <v>542</v>
      </c>
      <c r="E341">
        <v>-339</v>
      </c>
      <c r="F341" t="s">
        <v>203</v>
      </c>
      <c r="G341" t="s">
        <v>204</v>
      </c>
    </row>
    <row r="342" spans="1:7">
      <c r="A342" t="s">
        <v>196</v>
      </c>
      <c r="B342" t="s">
        <v>201</v>
      </c>
      <c r="C342" t="s">
        <v>202</v>
      </c>
      <c r="D342" t="s">
        <v>543</v>
      </c>
      <c r="E342">
        <v>-340</v>
      </c>
      <c r="F342" t="s">
        <v>203</v>
      </c>
      <c r="G342" t="s">
        <v>204</v>
      </c>
    </row>
    <row r="343" spans="1:7">
      <c r="A343" t="s">
        <v>196</v>
      </c>
      <c r="B343" t="s">
        <v>201</v>
      </c>
      <c r="C343" t="s">
        <v>202</v>
      </c>
      <c r="D343" t="s">
        <v>544</v>
      </c>
      <c r="E343">
        <v>-341</v>
      </c>
      <c r="F343" t="s">
        <v>203</v>
      </c>
      <c r="G343" t="s">
        <v>204</v>
      </c>
    </row>
    <row r="344" spans="1:7">
      <c r="A344" t="s">
        <v>196</v>
      </c>
      <c r="B344" t="s">
        <v>201</v>
      </c>
      <c r="C344" t="s">
        <v>202</v>
      </c>
      <c r="D344" t="s">
        <v>545</v>
      </c>
      <c r="E344">
        <v>-342</v>
      </c>
      <c r="F344" t="s">
        <v>203</v>
      </c>
      <c r="G344" t="s">
        <v>204</v>
      </c>
    </row>
    <row r="345" spans="1:7">
      <c r="A345" t="s">
        <v>196</v>
      </c>
      <c r="B345" t="s">
        <v>201</v>
      </c>
      <c r="C345" t="s">
        <v>202</v>
      </c>
      <c r="D345" t="s">
        <v>546</v>
      </c>
      <c r="E345">
        <v>-343</v>
      </c>
      <c r="F345" t="s">
        <v>203</v>
      </c>
      <c r="G345" t="s">
        <v>204</v>
      </c>
    </row>
    <row r="346" spans="1:7">
      <c r="A346" t="s">
        <v>196</v>
      </c>
      <c r="B346" t="s">
        <v>201</v>
      </c>
      <c r="C346" t="s">
        <v>202</v>
      </c>
      <c r="D346" t="s">
        <v>547</v>
      </c>
      <c r="E346">
        <v>-344</v>
      </c>
      <c r="F346" t="s">
        <v>203</v>
      </c>
      <c r="G346" t="s">
        <v>204</v>
      </c>
    </row>
    <row r="347" spans="1:7">
      <c r="A347" t="s">
        <v>196</v>
      </c>
      <c r="B347" t="s">
        <v>201</v>
      </c>
      <c r="C347" t="s">
        <v>202</v>
      </c>
      <c r="D347" t="s">
        <v>548</v>
      </c>
      <c r="E347">
        <v>-345</v>
      </c>
      <c r="F347" t="s">
        <v>203</v>
      </c>
      <c r="G347" t="s">
        <v>204</v>
      </c>
    </row>
    <row r="348" spans="1:7">
      <c r="A348" t="s">
        <v>196</v>
      </c>
      <c r="B348" t="s">
        <v>201</v>
      </c>
      <c r="C348" t="s">
        <v>202</v>
      </c>
      <c r="D348" t="s">
        <v>549</v>
      </c>
      <c r="E348">
        <v>-346</v>
      </c>
      <c r="F348" t="s">
        <v>203</v>
      </c>
      <c r="G348" t="s">
        <v>204</v>
      </c>
    </row>
    <row r="349" spans="1:7">
      <c r="A349" t="s">
        <v>196</v>
      </c>
      <c r="B349" t="s">
        <v>201</v>
      </c>
      <c r="C349" t="s">
        <v>202</v>
      </c>
      <c r="D349" t="s">
        <v>550</v>
      </c>
      <c r="E349">
        <v>-347</v>
      </c>
      <c r="F349" t="s">
        <v>203</v>
      </c>
      <c r="G349" t="s">
        <v>204</v>
      </c>
    </row>
    <row r="350" spans="1:7">
      <c r="A350" t="s">
        <v>196</v>
      </c>
      <c r="B350" t="s">
        <v>201</v>
      </c>
      <c r="C350" t="s">
        <v>202</v>
      </c>
      <c r="D350" t="s">
        <v>551</v>
      </c>
      <c r="E350">
        <v>-348</v>
      </c>
      <c r="F350" t="s">
        <v>203</v>
      </c>
      <c r="G350" t="s">
        <v>204</v>
      </c>
    </row>
    <row r="351" spans="1:7">
      <c r="A351" t="s">
        <v>196</v>
      </c>
      <c r="B351" t="s">
        <v>201</v>
      </c>
      <c r="C351" t="s">
        <v>202</v>
      </c>
      <c r="D351" t="s">
        <v>552</v>
      </c>
      <c r="E351">
        <v>-349</v>
      </c>
      <c r="F351" t="s">
        <v>203</v>
      </c>
      <c r="G351" t="s">
        <v>204</v>
      </c>
    </row>
    <row r="352" spans="1:7">
      <c r="A352" t="s">
        <v>196</v>
      </c>
      <c r="B352" t="s">
        <v>201</v>
      </c>
      <c r="C352" t="s">
        <v>202</v>
      </c>
      <c r="D352" t="s">
        <v>553</v>
      </c>
      <c r="E352">
        <v>-350</v>
      </c>
      <c r="F352" t="s">
        <v>203</v>
      </c>
      <c r="G352" t="s">
        <v>204</v>
      </c>
    </row>
    <row r="353" spans="1:7">
      <c r="A353" t="s">
        <v>196</v>
      </c>
      <c r="B353" t="s">
        <v>201</v>
      </c>
      <c r="C353" t="s">
        <v>202</v>
      </c>
      <c r="D353" t="s">
        <v>554</v>
      </c>
      <c r="E353">
        <v>-351</v>
      </c>
      <c r="F353" t="s">
        <v>203</v>
      </c>
      <c r="G353" t="s">
        <v>204</v>
      </c>
    </row>
    <row r="354" spans="1:7">
      <c r="A354" t="s">
        <v>196</v>
      </c>
      <c r="B354" t="s">
        <v>201</v>
      </c>
      <c r="C354" t="s">
        <v>202</v>
      </c>
      <c r="D354" t="s">
        <v>555</v>
      </c>
      <c r="E354">
        <v>-352</v>
      </c>
      <c r="F354" t="s">
        <v>203</v>
      </c>
      <c r="G354" t="s">
        <v>204</v>
      </c>
    </row>
    <row r="355" spans="1:7">
      <c r="A355" t="s">
        <v>196</v>
      </c>
      <c r="B355" t="s">
        <v>201</v>
      </c>
      <c r="C355" t="s">
        <v>202</v>
      </c>
      <c r="D355" t="s">
        <v>556</v>
      </c>
      <c r="E355">
        <v>-353</v>
      </c>
      <c r="F355" t="s">
        <v>203</v>
      </c>
      <c r="G355" t="s">
        <v>204</v>
      </c>
    </row>
    <row r="356" spans="1:7">
      <c r="A356" t="s">
        <v>196</v>
      </c>
      <c r="B356" t="s">
        <v>201</v>
      </c>
      <c r="C356" t="s">
        <v>202</v>
      </c>
      <c r="D356" t="s">
        <v>557</v>
      </c>
      <c r="E356">
        <v>-354</v>
      </c>
      <c r="F356" t="s">
        <v>203</v>
      </c>
      <c r="G356" t="s">
        <v>204</v>
      </c>
    </row>
    <row r="357" spans="1:7">
      <c r="A357" t="s">
        <v>196</v>
      </c>
      <c r="B357" t="s">
        <v>201</v>
      </c>
      <c r="C357" t="s">
        <v>202</v>
      </c>
      <c r="D357" t="s">
        <v>558</v>
      </c>
      <c r="E357">
        <v>-355</v>
      </c>
      <c r="F357" t="s">
        <v>203</v>
      </c>
      <c r="G357" t="s">
        <v>204</v>
      </c>
    </row>
    <row r="358" spans="1:7">
      <c r="A358" t="s">
        <v>196</v>
      </c>
      <c r="B358" t="s">
        <v>201</v>
      </c>
      <c r="C358" t="s">
        <v>202</v>
      </c>
      <c r="D358" t="s">
        <v>559</v>
      </c>
      <c r="E358">
        <v>-356</v>
      </c>
      <c r="F358" t="s">
        <v>203</v>
      </c>
      <c r="G358" t="s">
        <v>204</v>
      </c>
    </row>
    <row r="359" spans="1:7">
      <c r="A359" t="s">
        <v>196</v>
      </c>
      <c r="B359" t="s">
        <v>201</v>
      </c>
      <c r="C359" t="s">
        <v>202</v>
      </c>
      <c r="D359" t="s">
        <v>560</v>
      </c>
      <c r="E359">
        <v>-357</v>
      </c>
      <c r="F359" t="s">
        <v>203</v>
      </c>
      <c r="G359" t="s">
        <v>204</v>
      </c>
    </row>
    <row r="360" spans="1:7">
      <c r="A360" t="s">
        <v>196</v>
      </c>
      <c r="B360" t="s">
        <v>201</v>
      </c>
      <c r="C360" t="s">
        <v>202</v>
      </c>
      <c r="D360" t="s">
        <v>561</v>
      </c>
      <c r="E360">
        <v>-358</v>
      </c>
      <c r="F360" t="s">
        <v>203</v>
      </c>
      <c r="G360" t="s">
        <v>204</v>
      </c>
    </row>
    <row r="361" spans="1:7">
      <c r="A361" t="s">
        <v>196</v>
      </c>
      <c r="B361" t="s">
        <v>201</v>
      </c>
      <c r="C361" t="s">
        <v>202</v>
      </c>
      <c r="D361" t="s">
        <v>562</v>
      </c>
      <c r="E361">
        <v>-359</v>
      </c>
      <c r="F361" t="s">
        <v>203</v>
      </c>
      <c r="G361" t="s">
        <v>204</v>
      </c>
    </row>
    <row r="362" spans="1:7">
      <c r="A362" t="s">
        <v>196</v>
      </c>
      <c r="B362" t="s">
        <v>201</v>
      </c>
      <c r="C362" t="s">
        <v>202</v>
      </c>
      <c r="D362" t="s">
        <v>563</v>
      </c>
      <c r="E362">
        <v>-360</v>
      </c>
      <c r="F362" t="s">
        <v>203</v>
      </c>
      <c r="G362" t="s">
        <v>204</v>
      </c>
    </row>
    <row r="363" spans="1:7">
      <c r="A363" t="s">
        <v>196</v>
      </c>
      <c r="B363" t="s">
        <v>201</v>
      </c>
      <c r="C363" t="s">
        <v>202</v>
      </c>
      <c r="D363" t="s">
        <v>564</v>
      </c>
      <c r="E363">
        <v>-361</v>
      </c>
      <c r="F363" t="s">
        <v>203</v>
      </c>
      <c r="G363" t="s">
        <v>204</v>
      </c>
    </row>
    <row r="364" spans="1:7">
      <c r="A364" t="s">
        <v>196</v>
      </c>
      <c r="B364" t="s">
        <v>201</v>
      </c>
      <c r="C364" t="s">
        <v>202</v>
      </c>
      <c r="D364" t="s">
        <v>565</v>
      </c>
      <c r="E364">
        <v>-362</v>
      </c>
      <c r="F364" t="s">
        <v>203</v>
      </c>
      <c r="G364" t="s">
        <v>204</v>
      </c>
    </row>
    <row r="365" spans="1:7">
      <c r="A365" t="s">
        <v>196</v>
      </c>
      <c r="B365" t="s">
        <v>201</v>
      </c>
      <c r="C365" t="s">
        <v>202</v>
      </c>
      <c r="D365" t="s">
        <v>566</v>
      </c>
      <c r="E365">
        <v>-363</v>
      </c>
      <c r="F365" t="s">
        <v>203</v>
      </c>
      <c r="G365" t="s">
        <v>204</v>
      </c>
    </row>
    <row r="366" spans="1:7">
      <c r="A366" t="s">
        <v>196</v>
      </c>
      <c r="B366" t="s">
        <v>201</v>
      </c>
      <c r="C366" t="s">
        <v>202</v>
      </c>
      <c r="D366" t="s">
        <v>567</v>
      </c>
      <c r="E366">
        <v>-364</v>
      </c>
      <c r="F366" t="s">
        <v>203</v>
      </c>
      <c r="G366" t="s">
        <v>204</v>
      </c>
    </row>
    <row r="367" spans="1:7">
      <c r="A367" t="s">
        <v>196</v>
      </c>
      <c r="B367" t="s">
        <v>201</v>
      </c>
      <c r="C367" t="s">
        <v>202</v>
      </c>
      <c r="D367" t="s">
        <v>568</v>
      </c>
      <c r="E367">
        <v>-365</v>
      </c>
      <c r="F367" t="s">
        <v>203</v>
      </c>
      <c r="G367" t="s">
        <v>204</v>
      </c>
    </row>
    <row r="368" spans="1:7">
      <c r="A368" t="s">
        <v>196</v>
      </c>
      <c r="B368" t="s">
        <v>201</v>
      </c>
      <c r="C368" t="s">
        <v>202</v>
      </c>
      <c r="D368" t="s">
        <v>569</v>
      </c>
      <c r="E368">
        <v>-366</v>
      </c>
      <c r="F368" t="s">
        <v>203</v>
      </c>
      <c r="G368" t="s">
        <v>204</v>
      </c>
    </row>
    <row r="369" spans="1:7">
      <c r="A369" t="s">
        <v>196</v>
      </c>
      <c r="B369" t="s">
        <v>201</v>
      </c>
      <c r="C369" t="s">
        <v>202</v>
      </c>
      <c r="D369" t="s">
        <v>570</v>
      </c>
      <c r="E369">
        <v>-367</v>
      </c>
      <c r="F369" t="s">
        <v>203</v>
      </c>
      <c r="G369" t="s">
        <v>204</v>
      </c>
    </row>
    <row r="370" spans="1:7">
      <c r="A370" t="s">
        <v>196</v>
      </c>
      <c r="B370" t="s">
        <v>201</v>
      </c>
      <c r="C370" t="s">
        <v>202</v>
      </c>
      <c r="D370" t="s">
        <v>571</v>
      </c>
      <c r="E370">
        <v>-368</v>
      </c>
      <c r="F370" t="s">
        <v>203</v>
      </c>
      <c r="G370" t="s">
        <v>204</v>
      </c>
    </row>
    <row r="371" spans="1:7">
      <c r="A371" t="s">
        <v>196</v>
      </c>
      <c r="B371" t="s">
        <v>201</v>
      </c>
      <c r="C371" t="s">
        <v>202</v>
      </c>
      <c r="D371" t="s">
        <v>572</v>
      </c>
      <c r="E371">
        <v>-369</v>
      </c>
      <c r="F371" t="s">
        <v>203</v>
      </c>
      <c r="G371" t="s">
        <v>204</v>
      </c>
    </row>
    <row r="372" spans="1:7">
      <c r="A372" t="s">
        <v>196</v>
      </c>
      <c r="B372" t="s">
        <v>201</v>
      </c>
      <c r="C372" t="s">
        <v>202</v>
      </c>
      <c r="D372" t="s">
        <v>573</v>
      </c>
      <c r="E372">
        <v>-370</v>
      </c>
      <c r="F372" t="s">
        <v>203</v>
      </c>
      <c r="G372" t="s">
        <v>204</v>
      </c>
    </row>
    <row r="373" spans="1:7">
      <c r="A373" t="s">
        <v>196</v>
      </c>
      <c r="B373" t="s">
        <v>201</v>
      </c>
      <c r="C373" t="s">
        <v>202</v>
      </c>
      <c r="D373" t="s">
        <v>574</v>
      </c>
      <c r="E373">
        <v>-371</v>
      </c>
      <c r="F373" t="s">
        <v>203</v>
      </c>
      <c r="G373" t="s">
        <v>204</v>
      </c>
    </row>
    <row r="374" spans="1:7">
      <c r="A374" t="s">
        <v>196</v>
      </c>
      <c r="B374" t="s">
        <v>201</v>
      </c>
      <c r="C374" t="s">
        <v>202</v>
      </c>
      <c r="D374" t="s">
        <v>575</v>
      </c>
      <c r="E374">
        <v>-372</v>
      </c>
      <c r="F374" t="s">
        <v>203</v>
      </c>
      <c r="G374" t="s">
        <v>204</v>
      </c>
    </row>
    <row r="375" spans="1:7">
      <c r="A375" t="s">
        <v>196</v>
      </c>
      <c r="B375" t="s">
        <v>201</v>
      </c>
      <c r="C375" t="s">
        <v>202</v>
      </c>
      <c r="D375" t="s">
        <v>576</v>
      </c>
      <c r="E375">
        <v>-373</v>
      </c>
      <c r="F375" t="s">
        <v>203</v>
      </c>
      <c r="G375" t="s">
        <v>204</v>
      </c>
    </row>
    <row r="376" spans="1:7">
      <c r="A376" t="s">
        <v>196</v>
      </c>
      <c r="B376" t="s">
        <v>201</v>
      </c>
      <c r="C376" t="s">
        <v>202</v>
      </c>
      <c r="D376" t="s">
        <v>577</v>
      </c>
      <c r="E376">
        <v>-374</v>
      </c>
      <c r="F376" t="s">
        <v>203</v>
      </c>
      <c r="G376" t="s">
        <v>204</v>
      </c>
    </row>
    <row r="377" spans="1:7">
      <c r="A377" t="s">
        <v>196</v>
      </c>
      <c r="B377" t="s">
        <v>201</v>
      </c>
      <c r="C377" t="s">
        <v>202</v>
      </c>
      <c r="D377" t="s">
        <v>578</v>
      </c>
      <c r="E377">
        <v>-375</v>
      </c>
      <c r="F377" t="s">
        <v>203</v>
      </c>
      <c r="G377" t="s">
        <v>204</v>
      </c>
    </row>
    <row r="378" spans="1:7">
      <c r="A378" t="s">
        <v>196</v>
      </c>
      <c r="B378" t="s">
        <v>201</v>
      </c>
      <c r="C378" t="s">
        <v>202</v>
      </c>
      <c r="D378" t="s">
        <v>579</v>
      </c>
      <c r="E378">
        <v>-376</v>
      </c>
      <c r="F378" t="s">
        <v>203</v>
      </c>
      <c r="G378" t="s">
        <v>204</v>
      </c>
    </row>
    <row r="379" spans="1:7">
      <c r="A379" t="s">
        <v>196</v>
      </c>
      <c r="B379" t="s">
        <v>201</v>
      </c>
      <c r="C379" t="s">
        <v>202</v>
      </c>
      <c r="D379" t="s">
        <v>580</v>
      </c>
      <c r="E379">
        <v>-377</v>
      </c>
      <c r="F379" t="s">
        <v>203</v>
      </c>
      <c r="G379" t="s">
        <v>204</v>
      </c>
    </row>
    <row r="380" spans="1:7">
      <c r="A380" t="s">
        <v>196</v>
      </c>
      <c r="B380" t="s">
        <v>201</v>
      </c>
      <c r="C380" t="s">
        <v>202</v>
      </c>
      <c r="D380" t="s">
        <v>581</v>
      </c>
      <c r="E380">
        <v>-378</v>
      </c>
      <c r="F380" t="s">
        <v>203</v>
      </c>
      <c r="G380" t="s">
        <v>204</v>
      </c>
    </row>
    <row r="381" spans="1:7">
      <c r="A381" t="s">
        <v>196</v>
      </c>
      <c r="B381" t="s">
        <v>201</v>
      </c>
      <c r="C381" t="s">
        <v>202</v>
      </c>
      <c r="D381" t="s">
        <v>582</v>
      </c>
      <c r="E381">
        <v>-379</v>
      </c>
      <c r="F381" t="s">
        <v>203</v>
      </c>
      <c r="G381" t="s">
        <v>204</v>
      </c>
    </row>
    <row r="382" spans="1:7">
      <c r="A382" t="s">
        <v>196</v>
      </c>
      <c r="B382" t="s">
        <v>201</v>
      </c>
      <c r="C382" t="s">
        <v>202</v>
      </c>
      <c r="D382" t="s">
        <v>583</v>
      </c>
      <c r="E382">
        <v>-380</v>
      </c>
      <c r="F382" t="s">
        <v>203</v>
      </c>
      <c r="G382" t="s">
        <v>204</v>
      </c>
    </row>
    <row r="383" spans="1:7">
      <c r="A383" t="s">
        <v>196</v>
      </c>
      <c r="B383" t="s">
        <v>201</v>
      </c>
      <c r="C383" t="s">
        <v>202</v>
      </c>
      <c r="D383" t="s">
        <v>584</v>
      </c>
      <c r="E383">
        <v>-381</v>
      </c>
      <c r="F383" t="s">
        <v>203</v>
      </c>
      <c r="G383" t="s">
        <v>204</v>
      </c>
    </row>
    <row r="384" spans="1:7">
      <c r="A384" t="s">
        <v>196</v>
      </c>
      <c r="B384" t="s">
        <v>201</v>
      </c>
      <c r="C384" t="s">
        <v>202</v>
      </c>
      <c r="D384" t="s">
        <v>585</v>
      </c>
      <c r="E384">
        <v>-382</v>
      </c>
      <c r="F384" t="s">
        <v>203</v>
      </c>
      <c r="G384" t="s">
        <v>204</v>
      </c>
    </row>
    <row r="385" spans="1:7">
      <c r="A385" t="s">
        <v>196</v>
      </c>
      <c r="B385" t="s">
        <v>201</v>
      </c>
      <c r="C385" t="s">
        <v>202</v>
      </c>
      <c r="D385" t="s">
        <v>586</v>
      </c>
      <c r="E385">
        <v>-383</v>
      </c>
      <c r="F385" t="s">
        <v>203</v>
      </c>
      <c r="G385" t="s">
        <v>204</v>
      </c>
    </row>
    <row r="386" spans="1:7">
      <c r="A386" t="s">
        <v>196</v>
      </c>
      <c r="B386" t="s">
        <v>201</v>
      </c>
      <c r="C386" t="s">
        <v>202</v>
      </c>
      <c r="D386" t="s">
        <v>587</v>
      </c>
      <c r="E386">
        <v>-384</v>
      </c>
      <c r="F386" t="s">
        <v>203</v>
      </c>
      <c r="G386" t="s">
        <v>204</v>
      </c>
    </row>
    <row r="387" spans="1:7">
      <c r="A387" t="s">
        <v>196</v>
      </c>
      <c r="B387" t="s">
        <v>201</v>
      </c>
      <c r="C387" t="s">
        <v>202</v>
      </c>
      <c r="D387" t="s">
        <v>588</v>
      </c>
      <c r="E387">
        <v>-385</v>
      </c>
      <c r="F387" t="s">
        <v>203</v>
      </c>
      <c r="G387" t="s">
        <v>204</v>
      </c>
    </row>
    <row r="388" spans="1:7">
      <c r="A388" t="s">
        <v>196</v>
      </c>
      <c r="B388" t="s">
        <v>201</v>
      </c>
      <c r="C388" t="s">
        <v>202</v>
      </c>
      <c r="D388" t="s">
        <v>589</v>
      </c>
      <c r="E388">
        <v>-386</v>
      </c>
      <c r="F388" t="s">
        <v>203</v>
      </c>
      <c r="G388" t="s">
        <v>204</v>
      </c>
    </row>
    <row r="389" spans="1:7">
      <c r="A389" t="s">
        <v>196</v>
      </c>
      <c r="B389" t="s">
        <v>201</v>
      </c>
      <c r="C389" t="s">
        <v>202</v>
      </c>
      <c r="D389" t="s">
        <v>590</v>
      </c>
      <c r="E389">
        <v>-387</v>
      </c>
      <c r="F389" t="s">
        <v>203</v>
      </c>
      <c r="G389" t="s">
        <v>204</v>
      </c>
    </row>
    <row r="390" spans="1:7">
      <c r="A390" t="s">
        <v>196</v>
      </c>
      <c r="B390" t="s">
        <v>201</v>
      </c>
      <c r="C390" t="s">
        <v>202</v>
      </c>
      <c r="D390" t="s">
        <v>591</v>
      </c>
      <c r="E390">
        <v>-388</v>
      </c>
      <c r="F390" t="s">
        <v>203</v>
      </c>
      <c r="G390" t="s">
        <v>204</v>
      </c>
    </row>
    <row r="391" spans="1:7">
      <c r="A391" t="s">
        <v>196</v>
      </c>
      <c r="B391" t="s">
        <v>201</v>
      </c>
      <c r="C391" t="s">
        <v>202</v>
      </c>
      <c r="D391" t="s">
        <v>592</v>
      </c>
      <c r="E391">
        <v>-389</v>
      </c>
      <c r="F391" t="s">
        <v>203</v>
      </c>
      <c r="G391" t="s">
        <v>204</v>
      </c>
    </row>
    <row r="392" spans="1:7">
      <c r="A392" t="s">
        <v>196</v>
      </c>
      <c r="B392" t="s">
        <v>201</v>
      </c>
      <c r="C392" t="s">
        <v>202</v>
      </c>
      <c r="D392" t="s">
        <v>593</v>
      </c>
      <c r="E392">
        <v>-390</v>
      </c>
      <c r="F392" t="s">
        <v>203</v>
      </c>
      <c r="G392" t="s">
        <v>204</v>
      </c>
    </row>
    <row r="393" spans="1:7">
      <c r="A393" t="s">
        <v>196</v>
      </c>
      <c r="B393" t="s">
        <v>201</v>
      </c>
      <c r="C393" t="s">
        <v>202</v>
      </c>
      <c r="D393" t="s">
        <v>594</v>
      </c>
      <c r="E393">
        <v>-391</v>
      </c>
      <c r="F393" t="s">
        <v>203</v>
      </c>
      <c r="G393" t="s">
        <v>204</v>
      </c>
    </row>
    <row r="394" spans="1:7">
      <c r="A394" t="s">
        <v>196</v>
      </c>
      <c r="B394" t="s">
        <v>201</v>
      </c>
      <c r="C394" t="s">
        <v>202</v>
      </c>
      <c r="D394" t="s">
        <v>595</v>
      </c>
      <c r="E394">
        <v>-392</v>
      </c>
      <c r="F394" t="s">
        <v>203</v>
      </c>
      <c r="G394" t="s">
        <v>204</v>
      </c>
    </row>
    <row r="395" spans="1:7">
      <c r="A395" t="s">
        <v>196</v>
      </c>
      <c r="B395" t="s">
        <v>201</v>
      </c>
      <c r="C395" t="s">
        <v>202</v>
      </c>
      <c r="D395" t="s">
        <v>596</v>
      </c>
      <c r="E395">
        <v>-393</v>
      </c>
      <c r="F395" t="s">
        <v>203</v>
      </c>
      <c r="G395" t="s">
        <v>204</v>
      </c>
    </row>
    <row r="396" spans="1:7">
      <c r="A396" t="s">
        <v>196</v>
      </c>
      <c r="B396" t="s">
        <v>201</v>
      </c>
      <c r="C396" t="s">
        <v>202</v>
      </c>
      <c r="D396" t="s">
        <v>597</v>
      </c>
      <c r="E396">
        <v>-394</v>
      </c>
      <c r="F396" t="s">
        <v>203</v>
      </c>
      <c r="G396" t="s">
        <v>204</v>
      </c>
    </row>
    <row r="397" spans="1:7">
      <c r="A397" t="s">
        <v>196</v>
      </c>
      <c r="B397" t="s">
        <v>201</v>
      </c>
      <c r="C397" t="s">
        <v>202</v>
      </c>
      <c r="D397" t="s">
        <v>598</v>
      </c>
      <c r="E397">
        <v>-395</v>
      </c>
      <c r="F397" t="s">
        <v>203</v>
      </c>
      <c r="G397" t="s">
        <v>204</v>
      </c>
    </row>
    <row r="398" spans="1:7">
      <c r="A398" t="s">
        <v>196</v>
      </c>
      <c r="B398" t="s">
        <v>201</v>
      </c>
      <c r="C398" t="s">
        <v>202</v>
      </c>
      <c r="D398" t="s">
        <v>599</v>
      </c>
      <c r="E398">
        <v>-396</v>
      </c>
      <c r="F398" t="s">
        <v>203</v>
      </c>
      <c r="G398" t="s">
        <v>204</v>
      </c>
    </row>
    <row r="399" spans="1:7">
      <c r="A399" t="s">
        <v>196</v>
      </c>
      <c r="B399" t="s">
        <v>201</v>
      </c>
      <c r="C399" t="s">
        <v>202</v>
      </c>
      <c r="D399" t="s">
        <v>600</v>
      </c>
      <c r="E399">
        <v>-397</v>
      </c>
      <c r="F399" t="s">
        <v>203</v>
      </c>
      <c r="G399" t="s">
        <v>204</v>
      </c>
    </row>
    <row r="400" spans="1:7">
      <c r="A400" t="s">
        <v>196</v>
      </c>
      <c r="B400" t="s">
        <v>201</v>
      </c>
      <c r="C400" t="s">
        <v>202</v>
      </c>
      <c r="D400" t="s">
        <v>601</v>
      </c>
      <c r="E400">
        <v>-398</v>
      </c>
      <c r="F400" t="s">
        <v>203</v>
      </c>
      <c r="G400" t="s">
        <v>204</v>
      </c>
    </row>
    <row r="401" spans="1:7">
      <c r="A401" t="s">
        <v>196</v>
      </c>
      <c r="B401" t="s">
        <v>201</v>
      </c>
      <c r="C401" t="s">
        <v>202</v>
      </c>
      <c r="D401" t="s">
        <v>602</v>
      </c>
      <c r="E401">
        <v>-399</v>
      </c>
      <c r="F401" t="s">
        <v>203</v>
      </c>
      <c r="G401" t="s">
        <v>204</v>
      </c>
    </row>
    <row r="402" spans="1:7">
      <c r="A402" t="s">
        <v>196</v>
      </c>
      <c r="B402" t="s">
        <v>201</v>
      </c>
      <c r="C402" t="s">
        <v>202</v>
      </c>
      <c r="D402" t="s">
        <v>603</v>
      </c>
      <c r="E402">
        <v>-400</v>
      </c>
      <c r="F402" t="s">
        <v>203</v>
      </c>
      <c r="G402" t="s">
        <v>204</v>
      </c>
    </row>
    <row r="403" spans="1:7">
      <c r="A403" t="s">
        <v>196</v>
      </c>
      <c r="B403" t="s">
        <v>201</v>
      </c>
      <c r="C403" t="s">
        <v>202</v>
      </c>
      <c r="D403" t="s">
        <v>604</v>
      </c>
      <c r="E403">
        <v>-401</v>
      </c>
      <c r="F403" t="s">
        <v>203</v>
      </c>
      <c r="G403" t="s">
        <v>204</v>
      </c>
    </row>
    <row r="404" spans="1:7">
      <c r="A404" t="s">
        <v>196</v>
      </c>
      <c r="B404" t="s">
        <v>201</v>
      </c>
      <c r="C404" t="s">
        <v>202</v>
      </c>
      <c r="D404" t="s">
        <v>605</v>
      </c>
      <c r="E404">
        <v>-402</v>
      </c>
      <c r="F404" t="s">
        <v>203</v>
      </c>
      <c r="G404" t="s">
        <v>204</v>
      </c>
    </row>
    <row r="405" spans="1:7">
      <c r="A405" t="s">
        <v>196</v>
      </c>
      <c r="B405" t="s">
        <v>201</v>
      </c>
      <c r="C405" t="s">
        <v>202</v>
      </c>
      <c r="D405" t="s">
        <v>606</v>
      </c>
      <c r="E405">
        <v>-403</v>
      </c>
      <c r="F405" t="s">
        <v>203</v>
      </c>
      <c r="G405" t="s">
        <v>204</v>
      </c>
    </row>
    <row r="406" spans="1:7">
      <c r="A406" t="s">
        <v>196</v>
      </c>
      <c r="B406" t="s">
        <v>201</v>
      </c>
      <c r="C406" t="s">
        <v>202</v>
      </c>
      <c r="D406" t="s">
        <v>607</v>
      </c>
      <c r="E406">
        <v>-404</v>
      </c>
      <c r="F406" t="s">
        <v>203</v>
      </c>
      <c r="G406" t="s">
        <v>204</v>
      </c>
    </row>
    <row r="407" spans="1:7">
      <c r="A407" t="s">
        <v>196</v>
      </c>
      <c r="B407" t="s">
        <v>201</v>
      </c>
      <c r="C407" t="s">
        <v>202</v>
      </c>
      <c r="D407" t="s">
        <v>608</v>
      </c>
      <c r="E407">
        <v>-405</v>
      </c>
      <c r="F407" t="s">
        <v>203</v>
      </c>
      <c r="G407" t="s">
        <v>204</v>
      </c>
    </row>
    <row r="408" spans="1:7">
      <c r="A408" t="s">
        <v>196</v>
      </c>
      <c r="B408" t="s">
        <v>201</v>
      </c>
      <c r="C408" t="s">
        <v>202</v>
      </c>
      <c r="D408" t="s">
        <v>609</v>
      </c>
      <c r="E408">
        <v>-406</v>
      </c>
      <c r="F408" t="s">
        <v>203</v>
      </c>
      <c r="G408" t="s">
        <v>204</v>
      </c>
    </row>
    <row r="409" spans="1:7">
      <c r="A409" t="s">
        <v>196</v>
      </c>
      <c r="B409" t="s">
        <v>201</v>
      </c>
      <c r="C409" t="s">
        <v>202</v>
      </c>
      <c r="D409" t="s">
        <v>610</v>
      </c>
      <c r="E409">
        <v>-407</v>
      </c>
      <c r="F409" t="s">
        <v>203</v>
      </c>
      <c r="G409" t="s">
        <v>204</v>
      </c>
    </row>
    <row r="410" spans="1:7">
      <c r="A410" t="s">
        <v>196</v>
      </c>
      <c r="B410" t="s">
        <v>201</v>
      </c>
      <c r="C410" t="s">
        <v>202</v>
      </c>
      <c r="D410" t="s">
        <v>611</v>
      </c>
      <c r="E410">
        <v>-408</v>
      </c>
      <c r="F410" t="s">
        <v>203</v>
      </c>
      <c r="G410" t="s">
        <v>204</v>
      </c>
    </row>
    <row r="411" spans="1:7">
      <c r="A411" t="s">
        <v>196</v>
      </c>
      <c r="B411" t="s">
        <v>201</v>
      </c>
      <c r="C411" t="s">
        <v>202</v>
      </c>
      <c r="D411" t="s">
        <v>612</v>
      </c>
      <c r="E411">
        <v>-409</v>
      </c>
      <c r="F411" t="s">
        <v>203</v>
      </c>
      <c r="G411" t="s">
        <v>204</v>
      </c>
    </row>
    <row r="412" spans="1:7">
      <c r="A412" t="s">
        <v>196</v>
      </c>
      <c r="B412" t="s">
        <v>201</v>
      </c>
      <c r="C412" t="s">
        <v>202</v>
      </c>
      <c r="D412" t="s">
        <v>613</v>
      </c>
      <c r="E412">
        <v>-410</v>
      </c>
      <c r="F412" t="s">
        <v>203</v>
      </c>
      <c r="G412" t="s">
        <v>204</v>
      </c>
    </row>
    <row r="413" spans="1:7">
      <c r="A413" t="s">
        <v>196</v>
      </c>
      <c r="B413" t="s">
        <v>201</v>
      </c>
      <c r="C413" t="s">
        <v>202</v>
      </c>
      <c r="D413" t="s">
        <v>614</v>
      </c>
      <c r="E413">
        <v>-411</v>
      </c>
      <c r="F413" t="s">
        <v>203</v>
      </c>
      <c r="G413" t="s">
        <v>204</v>
      </c>
    </row>
    <row r="414" spans="1:7">
      <c r="A414" t="s">
        <v>196</v>
      </c>
      <c r="B414" t="s">
        <v>201</v>
      </c>
      <c r="C414" t="s">
        <v>202</v>
      </c>
      <c r="D414" t="s">
        <v>615</v>
      </c>
      <c r="E414">
        <v>-412</v>
      </c>
      <c r="F414" t="s">
        <v>203</v>
      </c>
      <c r="G414" t="s">
        <v>204</v>
      </c>
    </row>
    <row r="415" spans="1:7">
      <c r="A415" t="s">
        <v>196</v>
      </c>
      <c r="B415" t="s">
        <v>201</v>
      </c>
      <c r="C415" t="s">
        <v>202</v>
      </c>
      <c r="D415" t="s">
        <v>616</v>
      </c>
      <c r="E415">
        <v>-413</v>
      </c>
      <c r="F415" t="s">
        <v>203</v>
      </c>
      <c r="G415" t="s">
        <v>204</v>
      </c>
    </row>
    <row r="416" spans="1:7">
      <c r="A416" t="s">
        <v>196</v>
      </c>
      <c r="B416" t="s">
        <v>201</v>
      </c>
      <c r="C416" t="s">
        <v>202</v>
      </c>
      <c r="D416" t="s">
        <v>617</v>
      </c>
      <c r="E416">
        <v>-414</v>
      </c>
      <c r="F416" t="s">
        <v>203</v>
      </c>
      <c r="G416" t="s">
        <v>204</v>
      </c>
    </row>
    <row r="417" spans="1:7">
      <c r="A417" t="s">
        <v>196</v>
      </c>
      <c r="B417" t="s">
        <v>201</v>
      </c>
      <c r="C417" t="s">
        <v>202</v>
      </c>
      <c r="D417" t="s">
        <v>618</v>
      </c>
      <c r="E417">
        <v>-415</v>
      </c>
      <c r="F417" t="s">
        <v>203</v>
      </c>
      <c r="G417" t="s">
        <v>204</v>
      </c>
    </row>
    <row r="418" spans="1:7">
      <c r="A418" t="s">
        <v>196</v>
      </c>
      <c r="B418" t="s">
        <v>201</v>
      </c>
      <c r="C418" t="s">
        <v>202</v>
      </c>
      <c r="D418" t="s">
        <v>619</v>
      </c>
      <c r="E418">
        <v>-416</v>
      </c>
      <c r="F418" t="s">
        <v>203</v>
      </c>
      <c r="G418" t="s">
        <v>204</v>
      </c>
    </row>
    <row r="419" spans="1:7">
      <c r="A419" t="s">
        <v>196</v>
      </c>
      <c r="B419" t="s">
        <v>201</v>
      </c>
      <c r="C419" t="s">
        <v>202</v>
      </c>
      <c r="D419" t="s">
        <v>620</v>
      </c>
      <c r="E419">
        <v>-417</v>
      </c>
      <c r="F419" t="s">
        <v>203</v>
      </c>
      <c r="G419" t="s">
        <v>204</v>
      </c>
    </row>
    <row r="420" spans="1:7">
      <c r="A420" t="s">
        <v>196</v>
      </c>
      <c r="B420" t="s">
        <v>201</v>
      </c>
      <c r="C420" t="s">
        <v>202</v>
      </c>
      <c r="D420" t="s">
        <v>621</v>
      </c>
      <c r="E420">
        <v>-418</v>
      </c>
      <c r="F420" t="s">
        <v>203</v>
      </c>
      <c r="G420" t="s">
        <v>204</v>
      </c>
    </row>
    <row r="421" spans="1:7">
      <c r="A421" t="s">
        <v>196</v>
      </c>
      <c r="B421" t="s">
        <v>201</v>
      </c>
      <c r="C421" t="s">
        <v>202</v>
      </c>
      <c r="D421" t="s">
        <v>622</v>
      </c>
      <c r="E421">
        <v>-419</v>
      </c>
      <c r="F421" t="s">
        <v>203</v>
      </c>
      <c r="G421" t="s">
        <v>204</v>
      </c>
    </row>
    <row r="422" spans="1:7">
      <c r="A422" t="s">
        <v>196</v>
      </c>
      <c r="B422" t="s">
        <v>201</v>
      </c>
      <c r="C422" t="s">
        <v>202</v>
      </c>
      <c r="D422" t="s">
        <v>623</v>
      </c>
      <c r="E422">
        <v>-420</v>
      </c>
      <c r="F422" t="s">
        <v>203</v>
      </c>
      <c r="G422" t="s">
        <v>204</v>
      </c>
    </row>
    <row r="423" spans="1:7">
      <c r="A423" t="s">
        <v>196</v>
      </c>
      <c r="B423" t="s">
        <v>201</v>
      </c>
      <c r="C423" t="s">
        <v>202</v>
      </c>
      <c r="D423" t="s">
        <v>624</v>
      </c>
      <c r="E423">
        <v>-421</v>
      </c>
      <c r="F423" t="s">
        <v>203</v>
      </c>
      <c r="G423" t="s">
        <v>204</v>
      </c>
    </row>
    <row r="424" spans="1:7">
      <c r="A424" t="s">
        <v>196</v>
      </c>
      <c r="B424" t="s">
        <v>201</v>
      </c>
      <c r="C424" t="s">
        <v>202</v>
      </c>
      <c r="D424" t="s">
        <v>625</v>
      </c>
      <c r="E424">
        <v>-422</v>
      </c>
      <c r="F424" t="s">
        <v>203</v>
      </c>
      <c r="G424" t="s">
        <v>204</v>
      </c>
    </row>
    <row r="425" spans="1:7">
      <c r="A425" t="s">
        <v>196</v>
      </c>
      <c r="B425" t="s">
        <v>201</v>
      </c>
      <c r="C425" t="s">
        <v>202</v>
      </c>
      <c r="D425" t="s">
        <v>626</v>
      </c>
      <c r="E425">
        <v>-423</v>
      </c>
      <c r="F425" t="s">
        <v>203</v>
      </c>
      <c r="G425" t="s">
        <v>204</v>
      </c>
    </row>
    <row r="426" spans="1:7">
      <c r="A426" t="s">
        <v>196</v>
      </c>
      <c r="B426" t="s">
        <v>201</v>
      </c>
      <c r="C426" t="s">
        <v>202</v>
      </c>
      <c r="D426" t="s">
        <v>627</v>
      </c>
      <c r="E426">
        <v>-424</v>
      </c>
      <c r="F426" t="s">
        <v>203</v>
      </c>
      <c r="G426" t="s">
        <v>204</v>
      </c>
    </row>
    <row r="427" spans="1:7">
      <c r="A427" t="s">
        <v>196</v>
      </c>
      <c r="B427" t="s">
        <v>201</v>
      </c>
      <c r="C427" t="s">
        <v>202</v>
      </c>
      <c r="D427" t="s">
        <v>628</v>
      </c>
      <c r="E427">
        <v>-425</v>
      </c>
      <c r="F427" t="s">
        <v>203</v>
      </c>
      <c r="G427" t="s">
        <v>204</v>
      </c>
    </row>
    <row r="428" spans="1:7">
      <c r="A428" t="s">
        <v>196</v>
      </c>
      <c r="B428" t="s">
        <v>201</v>
      </c>
      <c r="C428" t="s">
        <v>202</v>
      </c>
      <c r="D428" t="s">
        <v>629</v>
      </c>
      <c r="E428">
        <v>-426</v>
      </c>
      <c r="F428" t="s">
        <v>203</v>
      </c>
      <c r="G428" t="s">
        <v>204</v>
      </c>
    </row>
    <row r="429" spans="1:7">
      <c r="A429" t="s">
        <v>196</v>
      </c>
      <c r="B429" t="s">
        <v>201</v>
      </c>
      <c r="C429" t="s">
        <v>202</v>
      </c>
      <c r="D429" t="s">
        <v>630</v>
      </c>
      <c r="E429">
        <v>-427</v>
      </c>
      <c r="F429" t="s">
        <v>203</v>
      </c>
      <c r="G429" t="s">
        <v>204</v>
      </c>
    </row>
    <row r="430" spans="1:7">
      <c r="A430" t="s">
        <v>196</v>
      </c>
      <c r="B430" t="s">
        <v>201</v>
      </c>
      <c r="C430" t="s">
        <v>202</v>
      </c>
      <c r="D430" t="s">
        <v>631</v>
      </c>
      <c r="E430">
        <v>-428</v>
      </c>
      <c r="F430" t="s">
        <v>203</v>
      </c>
      <c r="G430" t="s">
        <v>204</v>
      </c>
    </row>
    <row r="431" spans="1:7">
      <c r="A431" t="s">
        <v>196</v>
      </c>
      <c r="B431" t="s">
        <v>201</v>
      </c>
      <c r="C431" t="s">
        <v>202</v>
      </c>
      <c r="D431" t="s">
        <v>632</v>
      </c>
      <c r="E431">
        <v>-429</v>
      </c>
      <c r="F431" t="s">
        <v>203</v>
      </c>
      <c r="G431" t="s">
        <v>204</v>
      </c>
    </row>
    <row r="432" spans="1:7">
      <c r="A432" t="s">
        <v>196</v>
      </c>
      <c r="B432" t="s">
        <v>201</v>
      </c>
      <c r="C432" t="s">
        <v>202</v>
      </c>
      <c r="D432" t="s">
        <v>633</v>
      </c>
      <c r="E432">
        <v>-430</v>
      </c>
      <c r="F432" t="s">
        <v>203</v>
      </c>
      <c r="G432" t="s">
        <v>204</v>
      </c>
    </row>
    <row r="433" spans="1:7">
      <c r="A433" t="s">
        <v>196</v>
      </c>
      <c r="B433" t="s">
        <v>201</v>
      </c>
      <c r="C433" t="s">
        <v>202</v>
      </c>
      <c r="D433" t="s">
        <v>634</v>
      </c>
      <c r="E433">
        <v>-431</v>
      </c>
      <c r="F433" t="s">
        <v>203</v>
      </c>
      <c r="G433" t="s">
        <v>204</v>
      </c>
    </row>
    <row r="434" spans="1:7">
      <c r="A434" t="s">
        <v>196</v>
      </c>
      <c r="B434" t="s">
        <v>201</v>
      </c>
      <c r="C434" t="s">
        <v>202</v>
      </c>
      <c r="D434" t="s">
        <v>635</v>
      </c>
      <c r="E434">
        <v>-432</v>
      </c>
      <c r="F434" t="s">
        <v>203</v>
      </c>
      <c r="G434" t="s">
        <v>204</v>
      </c>
    </row>
    <row r="435" spans="1:7">
      <c r="A435" t="s">
        <v>196</v>
      </c>
      <c r="B435" t="s">
        <v>201</v>
      </c>
      <c r="C435" t="s">
        <v>202</v>
      </c>
      <c r="D435" t="s">
        <v>636</v>
      </c>
      <c r="E435">
        <v>-433</v>
      </c>
      <c r="F435" t="s">
        <v>203</v>
      </c>
      <c r="G435" t="s">
        <v>204</v>
      </c>
    </row>
    <row r="436" spans="1:7">
      <c r="A436" t="s">
        <v>196</v>
      </c>
      <c r="B436" t="s">
        <v>201</v>
      </c>
      <c r="C436" t="s">
        <v>202</v>
      </c>
      <c r="D436" t="s">
        <v>637</v>
      </c>
      <c r="E436">
        <v>-434</v>
      </c>
      <c r="F436" t="s">
        <v>203</v>
      </c>
      <c r="G436" t="s">
        <v>204</v>
      </c>
    </row>
    <row r="437" spans="1:7">
      <c r="A437" t="s">
        <v>196</v>
      </c>
      <c r="B437" t="s">
        <v>201</v>
      </c>
      <c r="C437" t="s">
        <v>202</v>
      </c>
      <c r="D437" t="s">
        <v>638</v>
      </c>
      <c r="E437">
        <v>-435</v>
      </c>
      <c r="F437" t="s">
        <v>203</v>
      </c>
      <c r="G437" t="s">
        <v>204</v>
      </c>
    </row>
    <row r="438" spans="1:7">
      <c r="A438" t="s">
        <v>196</v>
      </c>
      <c r="B438" t="s">
        <v>201</v>
      </c>
      <c r="C438" t="s">
        <v>202</v>
      </c>
      <c r="D438" t="s">
        <v>639</v>
      </c>
      <c r="E438">
        <v>-436</v>
      </c>
      <c r="F438" t="s">
        <v>203</v>
      </c>
      <c r="G438" t="s">
        <v>204</v>
      </c>
    </row>
    <row r="439" spans="1:7">
      <c r="A439" t="s">
        <v>196</v>
      </c>
      <c r="B439" t="s">
        <v>201</v>
      </c>
      <c r="C439" t="s">
        <v>202</v>
      </c>
      <c r="D439" t="s">
        <v>640</v>
      </c>
      <c r="E439">
        <v>-437</v>
      </c>
      <c r="F439" t="s">
        <v>203</v>
      </c>
      <c r="G439" t="s">
        <v>204</v>
      </c>
    </row>
    <row r="440" spans="1:7">
      <c r="A440" t="s">
        <v>196</v>
      </c>
      <c r="B440" t="s">
        <v>201</v>
      </c>
      <c r="C440" t="s">
        <v>202</v>
      </c>
      <c r="D440" t="s">
        <v>641</v>
      </c>
      <c r="E440">
        <v>-438</v>
      </c>
      <c r="F440" t="s">
        <v>203</v>
      </c>
      <c r="G440" t="s">
        <v>204</v>
      </c>
    </row>
    <row r="441" spans="1:7">
      <c r="A441" t="s">
        <v>196</v>
      </c>
      <c r="B441" t="s">
        <v>201</v>
      </c>
      <c r="C441" t="s">
        <v>202</v>
      </c>
      <c r="D441" t="s">
        <v>642</v>
      </c>
      <c r="E441">
        <v>-439</v>
      </c>
      <c r="F441" t="s">
        <v>203</v>
      </c>
      <c r="G441" t="s">
        <v>204</v>
      </c>
    </row>
    <row r="442" spans="1:7">
      <c r="A442" t="s">
        <v>196</v>
      </c>
      <c r="B442" t="s">
        <v>201</v>
      </c>
      <c r="C442" t="s">
        <v>202</v>
      </c>
      <c r="D442" t="s">
        <v>643</v>
      </c>
      <c r="E442">
        <v>-440</v>
      </c>
      <c r="F442" t="s">
        <v>203</v>
      </c>
      <c r="G442" t="s">
        <v>204</v>
      </c>
    </row>
    <row r="443" spans="1:7">
      <c r="A443" t="s">
        <v>196</v>
      </c>
      <c r="B443" t="s">
        <v>201</v>
      </c>
      <c r="C443" t="s">
        <v>202</v>
      </c>
      <c r="D443" t="s">
        <v>644</v>
      </c>
      <c r="E443">
        <v>-441</v>
      </c>
      <c r="F443" t="s">
        <v>203</v>
      </c>
      <c r="G443" t="s">
        <v>204</v>
      </c>
    </row>
    <row r="444" spans="1:7">
      <c r="A444" t="s">
        <v>196</v>
      </c>
      <c r="B444" t="s">
        <v>201</v>
      </c>
      <c r="C444" t="s">
        <v>202</v>
      </c>
      <c r="D444" t="s">
        <v>645</v>
      </c>
      <c r="E444">
        <v>-442</v>
      </c>
      <c r="F444" t="s">
        <v>203</v>
      </c>
      <c r="G444" t="s">
        <v>204</v>
      </c>
    </row>
    <row r="445" spans="1:7">
      <c r="A445" t="s">
        <v>196</v>
      </c>
      <c r="B445" t="s">
        <v>201</v>
      </c>
      <c r="C445" t="s">
        <v>202</v>
      </c>
      <c r="D445" t="s">
        <v>646</v>
      </c>
      <c r="E445">
        <v>-443</v>
      </c>
      <c r="F445" t="s">
        <v>203</v>
      </c>
      <c r="G445" t="s">
        <v>204</v>
      </c>
    </row>
    <row r="446" spans="1:7">
      <c r="A446" t="s">
        <v>196</v>
      </c>
      <c r="B446" t="s">
        <v>201</v>
      </c>
      <c r="C446" t="s">
        <v>202</v>
      </c>
      <c r="D446" t="s">
        <v>647</v>
      </c>
      <c r="E446">
        <v>-444</v>
      </c>
      <c r="F446" t="s">
        <v>203</v>
      </c>
      <c r="G446" t="s">
        <v>204</v>
      </c>
    </row>
    <row r="447" spans="1:7">
      <c r="A447" t="s">
        <v>196</v>
      </c>
      <c r="B447" t="s">
        <v>201</v>
      </c>
      <c r="C447" t="s">
        <v>202</v>
      </c>
      <c r="D447" t="s">
        <v>648</v>
      </c>
      <c r="E447">
        <v>-445</v>
      </c>
      <c r="F447" t="s">
        <v>203</v>
      </c>
      <c r="G447" t="s">
        <v>204</v>
      </c>
    </row>
    <row r="448" spans="1:7">
      <c r="A448" t="s">
        <v>196</v>
      </c>
      <c r="B448" t="s">
        <v>201</v>
      </c>
      <c r="C448" t="s">
        <v>202</v>
      </c>
      <c r="D448" t="s">
        <v>649</v>
      </c>
      <c r="E448">
        <v>-446</v>
      </c>
      <c r="F448" t="s">
        <v>203</v>
      </c>
      <c r="G448" t="s">
        <v>204</v>
      </c>
    </row>
    <row r="449" spans="1:7">
      <c r="A449" t="s">
        <v>196</v>
      </c>
      <c r="B449" t="s">
        <v>201</v>
      </c>
      <c r="C449" t="s">
        <v>202</v>
      </c>
      <c r="D449" t="s">
        <v>650</v>
      </c>
      <c r="E449">
        <v>-447</v>
      </c>
      <c r="F449" t="s">
        <v>203</v>
      </c>
      <c r="G449" t="s">
        <v>204</v>
      </c>
    </row>
    <row r="450" spans="1:7">
      <c r="A450" t="s">
        <v>196</v>
      </c>
      <c r="B450" t="s">
        <v>201</v>
      </c>
      <c r="C450" t="s">
        <v>202</v>
      </c>
      <c r="D450" t="s">
        <v>651</v>
      </c>
      <c r="E450">
        <v>-448</v>
      </c>
      <c r="F450" t="s">
        <v>203</v>
      </c>
      <c r="G450" t="s">
        <v>204</v>
      </c>
    </row>
    <row r="451" spans="1:7">
      <c r="A451" t="s">
        <v>196</v>
      </c>
      <c r="B451" t="s">
        <v>201</v>
      </c>
      <c r="C451" t="s">
        <v>202</v>
      </c>
      <c r="D451" t="s">
        <v>652</v>
      </c>
      <c r="E451">
        <v>-449</v>
      </c>
      <c r="F451" t="s">
        <v>203</v>
      </c>
      <c r="G451" t="s">
        <v>204</v>
      </c>
    </row>
    <row r="452" spans="1:7">
      <c r="A452" t="s">
        <v>196</v>
      </c>
      <c r="B452" t="s">
        <v>201</v>
      </c>
      <c r="C452" t="s">
        <v>202</v>
      </c>
      <c r="D452" t="s">
        <v>653</v>
      </c>
      <c r="E452">
        <v>-450</v>
      </c>
      <c r="F452" t="s">
        <v>203</v>
      </c>
      <c r="G452" t="s">
        <v>204</v>
      </c>
    </row>
    <row r="453" spans="1:7">
      <c r="A453" t="s">
        <v>196</v>
      </c>
      <c r="B453" t="s">
        <v>201</v>
      </c>
      <c r="C453" t="s">
        <v>202</v>
      </c>
      <c r="D453" t="s">
        <v>654</v>
      </c>
      <c r="E453">
        <v>-451</v>
      </c>
      <c r="F453" t="s">
        <v>203</v>
      </c>
      <c r="G453" t="s">
        <v>204</v>
      </c>
    </row>
    <row r="454" spans="1:7">
      <c r="A454" t="s">
        <v>196</v>
      </c>
      <c r="B454" t="s">
        <v>201</v>
      </c>
      <c r="C454" t="s">
        <v>202</v>
      </c>
      <c r="D454" t="s">
        <v>655</v>
      </c>
      <c r="E454">
        <v>-452</v>
      </c>
      <c r="F454" t="s">
        <v>203</v>
      </c>
      <c r="G454" t="s">
        <v>204</v>
      </c>
    </row>
    <row r="455" spans="1:7">
      <c r="A455" t="s">
        <v>196</v>
      </c>
      <c r="B455" t="s">
        <v>201</v>
      </c>
      <c r="C455" t="s">
        <v>202</v>
      </c>
      <c r="D455" t="s">
        <v>656</v>
      </c>
      <c r="E455">
        <v>-453</v>
      </c>
      <c r="F455" t="s">
        <v>203</v>
      </c>
      <c r="G455" t="s">
        <v>204</v>
      </c>
    </row>
    <row r="456" spans="1:7">
      <c r="A456" t="s">
        <v>196</v>
      </c>
      <c r="B456" t="s">
        <v>201</v>
      </c>
      <c r="C456" t="s">
        <v>202</v>
      </c>
      <c r="D456" t="s">
        <v>657</v>
      </c>
      <c r="E456">
        <v>-454</v>
      </c>
      <c r="F456" t="s">
        <v>203</v>
      </c>
      <c r="G456" t="s">
        <v>204</v>
      </c>
    </row>
    <row r="457" spans="1:7">
      <c r="A457" t="s">
        <v>196</v>
      </c>
      <c r="B457" t="s">
        <v>201</v>
      </c>
      <c r="C457" t="s">
        <v>202</v>
      </c>
      <c r="D457" t="s">
        <v>658</v>
      </c>
      <c r="E457">
        <v>-455</v>
      </c>
      <c r="F457" t="s">
        <v>203</v>
      </c>
      <c r="G457" t="s">
        <v>204</v>
      </c>
    </row>
    <row r="458" spans="1:7">
      <c r="A458" t="s">
        <v>196</v>
      </c>
      <c r="B458" t="s">
        <v>201</v>
      </c>
      <c r="C458" t="s">
        <v>202</v>
      </c>
      <c r="D458" t="s">
        <v>659</v>
      </c>
      <c r="E458">
        <v>-456</v>
      </c>
      <c r="F458" t="s">
        <v>203</v>
      </c>
      <c r="G458" t="s">
        <v>204</v>
      </c>
    </row>
    <row r="459" spans="1:7">
      <c r="A459" t="s">
        <v>196</v>
      </c>
      <c r="B459" t="s">
        <v>201</v>
      </c>
      <c r="C459" t="s">
        <v>202</v>
      </c>
      <c r="D459" t="s">
        <v>660</v>
      </c>
      <c r="E459">
        <v>-457</v>
      </c>
      <c r="F459" t="s">
        <v>203</v>
      </c>
      <c r="G459" t="s">
        <v>204</v>
      </c>
    </row>
    <row r="460" spans="1:7">
      <c r="A460" t="s">
        <v>196</v>
      </c>
      <c r="B460" t="s">
        <v>201</v>
      </c>
      <c r="C460" t="s">
        <v>202</v>
      </c>
      <c r="D460" t="s">
        <v>661</v>
      </c>
      <c r="E460">
        <v>-458</v>
      </c>
      <c r="F460" t="s">
        <v>203</v>
      </c>
      <c r="G460" t="s">
        <v>204</v>
      </c>
    </row>
    <row r="461" spans="1:7">
      <c r="A461" t="s">
        <v>196</v>
      </c>
      <c r="B461" t="s">
        <v>201</v>
      </c>
      <c r="C461" t="s">
        <v>202</v>
      </c>
      <c r="D461" t="s">
        <v>662</v>
      </c>
      <c r="E461">
        <v>-459</v>
      </c>
      <c r="F461" t="s">
        <v>203</v>
      </c>
      <c r="G461" t="s">
        <v>204</v>
      </c>
    </row>
    <row r="462" spans="1:7">
      <c r="A462" t="s">
        <v>196</v>
      </c>
      <c r="B462" t="s">
        <v>201</v>
      </c>
      <c r="C462" t="s">
        <v>202</v>
      </c>
      <c r="D462" t="s">
        <v>663</v>
      </c>
      <c r="E462">
        <v>-460</v>
      </c>
      <c r="F462" t="s">
        <v>203</v>
      </c>
      <c r="G462" t="s">
        <v>204</v>
      </c>
    </row>
    <row r="463" spans="1:7">
      <c r="A463" t="s">
        <v>196</v>
      </c>
      <c r="B463" t="s">
        <v>201</v>
      </c>
      <c r="C463" t="s">
        <v>202</v>
      </c>
      <c r="D463" t="s">
        <v>664</v>
      </c>
      <c r="E463">
        <v>-461</v>
      </c>
      <c r="F463" t="s">
        <v>203</v>
      </c>
      <c r="G463" t="s">
        <v>204</v>
      </c>
    </row>
    <row r="464" spans="1:7">
      <c r="A464" t="s">
        <v>196</v>
      </c>
      <c r="B464" t="s">
        <v>201</v>
      </c>
      <c r="C464" t="s">
        <v>202</v>
      </c>
      <c r="D464" t="s">
        <v>665</v>
      </c>
      <c r="E464">
        <v>-462</v>
      </c>
      <c r="F464" t="s">
        <v>203</v>
      </c>
      <c r="G464" t="s">
        <v>204</v>
      </c>
    </row>
    <row r="465" spans="1:7">
      <c r="A465" t="s">
        <v>196</v>
      </c>
      <c r="B465" t="s">
        <v>201</v>
      </c>
      <c r="C465" t="s">
        <v>202</v>
      </c>
      <c r="D465" t="s">
        <v>666</v>
      </c>
      <c r="E465">
        <v>-463</v>
      </c>
      <c r="F465" t="s">
        <v>203</v>
      </c>
      <c r="G465" t="s">
        <v>204</v>
      </c>
    </row>
    <row r="466" spans="1:7">
      <c r="A466" t="s">
        <v>196</v>
      </c>
      <c r="B466" t="s">
        <v>201</v>
      </c>
      <c r="C466" t="s">
        <v>202</v>
      </c>
      <c r="D466" t="s">
        <v>667</v>
      </c>
      <c r="E466">
        <v>-464</v>
      </c>
      <c r="F466" t="s">
        <v>203</v>
      </c>
      <c r="G466" t="s">
        <v>204</v>
      </c>
    </row>
    <row r="467" spans="1:7">
      <c r="A467" t="s">
        <v>196</v>
      </c>
      <c r="B467" t="s">
        <v>201</v>
      </c>
      <c r="C467" t="s">
        <v>202</v>
      </c>
      <c r="D467" t="s">
        <v>668</v>
      </c>
      <c r="E467">
        <v>-465</v>
      </c>
      <c r="F467" t="s">
        <v>203</v>
      </c>
      <c r="G467" t="s">
        <v>204</v>
      </c>
    </row>
    <row r="468" spans="1:7">
      <c r="A468" t="s">
        <v>196</v>
      </c>
      <c r="B468" t="s">
        <v>201</v>
      </c>
      <c r="C468" t="s">
        <v>202</v>
      </c>
      <c r="D468" t="s">
        <v>669</v>
      </c>
      <c r="E468">
        <v>-466</v>
      </c>
      <c r="F468" t="s">
        <v>203</v>
      </c>
      <c r="G468" t="s">
        <v>204</v>
      </c>
    </row>
    <row r="469" spans="1:7">
      <c r="A469" t="s">
        <v>196</v>
      </c>
      <c r="B469" t="s">
        <v>201</v>
      </c>
      <c r="C469" t="s">
        <v>202</v>
      </c>
      <c r="D469" t="s">
        <v>670</v>
      </c>
      <c r="E469">
        <v>-467</v>
      </c>
      <c r="F469" t="s">
        <v>203</v>
      </c>
      <c r="G469" t="s">
        <v>204</v>
      </c>
    </row>
    <row r="470" spans="1:7">
      <c r="A470" t="s">
        <v>196</v>
      </c>
      <c r="B470" t="s">
        <v>201</v>
      </c>
      <c r="C470" t="s">
        <v>202</v>
      </c>
      <c r="D470" t="s">
        <v>671</v>
      </c>
      <c r="E470">
        <v>-468</v>
      </c>
      <c r="F470" t="s">
        <v>203</v>
      </c>
      <c r="G470" t="s">
        <v>204</v>
      </c>
    </row>
    <row r="471" spans="1:7">
      <c r="A471" t="s">
        <v>196</v>
      </c>
      <c r="B471" t="s">
        <v>201</v>
      </c>
      <c r="C471" t="s">
        <v>202</v>
      </c>
      <c r="D471" t="s">
        <v>672</v>
      </c>
      <c r="E471">
        <v>-469</v>
      </c>
      <c r="F471" t="s">
        <v>203</v>
      </c>
      <c r="G471" t="s">
        <v>204</v>
      </c>
    </row>
    <row r="472" spans="1:7">
      <c r="A472" t="s">
        <v>196</v>
      </c>
      <c r="B472" t="s">
        <v>201</v>
      </c>
      <c r="C472" t="s">
        <v>202</v>
      </c>
      <c r="D472" t="s">
        <v>673</v>
      </c>
      <c r="E472">
        <v>-470</v>
      </c>
      <c r="F472" t="s">
        <v>203</v>
      </c>
      <c r="G472" t="s">
        <v>204</v>
      </c>
    </row>
    <row r="473" spans="1:7">
      <c r="A473" t="s">
        <v>196</v>
      </c>
      <c r="B473" t="s">
        <v>201</v>
      </c>
      <c r="C473" t="s">
        <v>202</v>
      </c>
      <c r="D473" t="s">
        <v>674</v>
      </c>
      <c r="E473">
        <v>-471</v>
      </c>
      <c r="F473" t="s">
        <v>203</v>
      </c>
      <c r="G473" t="s">
        <v>204</v>
      </c>
    </row>
    <row r="474" spans="1:7">
      <c r="A474" t="s">
        <v>196</v>
      </c>
      <c r="B474" t="s">
        <v>201</v>
      </c>
      <c r="C474" t="s">
        <v>202</v>
      </c>
      <c r="D474" t="s">
        <v>675</v>
      </c>
      <c r="E474">
        <v>-472</v>
      </c>
      <c r="F474" t="s">
        <v>203</v>
      </c>
      <c r="G474" t="s">
        <v>204</v>
      </c>
    </row>
    <row r="475" spans="1:7">
      <c r="A475" t="s">
        <v>196</v>
      </c>
      <c r="B475" t="s">
        <v>201</v>
      </c>
      <c r="C475" t="s">
        <v>202</v>
      </c>
      <c r="D475" t="s">
        <v>676</v>
      </c>
      <c r="E475">
        <v>-473</v>
      </c>
      <c r="F475" t="s">
        <v>203</v>
      </c>
      <c r="G475" t="s">
        <v>204</v>
      </c>
    </row>
    <row r="476" spans="1:7">
      <c r="A476" t="s">
        <v>196</v>
      </c>
      <c r="B476" t="s">
        <v>201</v>
      </c>
      <c r="C476" t="s">
        <v>202</v>
      </c>
      <c r="D476" t="s">
        <v>677</v>
      </c>
      <c r="E476">
        <v>-474</v>
      </c>
      <c r="F476" t="s">
        <v>203</v>
      </c>
      <c r="G476" t="s">
        <v>204</v>
      </c>
    </row>
    <row r="477" spans="1:7">
      <c r="A477" t="s">
        <v>196</v>
      </c>
      <c r="B477" t="s">
        <v>201</v>
      </c>
      <c r="C477" t="s">
        <v>202</v>
      </c>
      <c r="D477" t="s">
        <v>678</v>
      </c>
      <c r="E477">
        <v>-475</v>
      </c>
      <c r="F477" t="s">
        <v>203</v>
      </c>
      <c r="G477" t="s">
        <v>204</v>
      </c>
    </row>
    <row r="478" spans="1:7">
      <c r="A478" t="s">
        <v>196</v>
      </c>
      <c r="B478" t="s">
        <v>201</v>
      </c>
      <c r="C478" t="s">
        <v>202</v>
      </c>
      <c r="D478" t="s">
        <v>679</v>
      </c>
      <c r="E478">
        <v>-476</v>
      </c>
      <c r="F478" t="s">
        <v>203</v>
      </c>
      <c r="G478" t="s">
        <v>204</v>
      </c>
    </row>
    <row r="479" spans="1:7">
      <c r="A479" t="s">
        <v>196</v>
      </c>
      <c r="B479" t="s">
        <v>201</v>
      </c>
      <c r="C479" t="s">
        <v>202</v>
      </c>
      <c r="D479" t="s">
        <v>680</v>
      </c>
      <c r="E479">
        <v>-477</v>
      </c>
      <c r="F479" t="s">
        <v>203</v>
      </c>
      <c r="G479" t="s">
        <v>204</v>
      </c>
    </row>
    <row r="480" spans="1:7">
      <c r="A480" t="s">
        <v>196</v>
      </c>
      <c r="B480" t="s">
        <v>201</v>
      </c>
      <c r="C480" t="s">
        <v>202</v>
      </c>
      <c r="D480" t="s">
        <v>681</v>
      </c>
      <c r="E480">
        <v>-478</v>
      </c>
      <c r="F480" t="s">
        <v>203</v>
      </c>
      <c r="G480" t="s">
        <v>204</v>
      </c>
    </row>
    <row r="481" spans="1:7">
      <c r="A481" t="s">
        <v>196</v>
      </c>
      <c r="B481" t="s">
        <v>201</v>
      </c>
      <c r="C481" t="s">
        <v>202</v>
      </c>
      <c r="D481" t="s">
        <v>682</v>
      </c>
      <c r="E481">
        <v>-479</v>
      </c>
      <c r="F481" t="s">
        <v>203</v>
      </c>
      <c r="G481" t="s">
        <v>204</v>
      </c>
    </row>
    <row r="482" spans="1:7">
      <c r="A482" t="s">
        <v>196</v>
      </c>
      <c r="B482" t="s">
        <v>201</v>
      </c>
      <c r="C482" t="s">
        <v>202</v>
      </c>
      <c r="D482" t="s">
        <v>683</v>
      </c>
      <c r="E482">
        <v>-480</v>
      </c>
      <c r="F482" t="s">
        <v>203</v>
      </c>
      <c r="G482" t="s">
        <v>204</v>
      </c>
    </row>
    <row r="483" spans="1:7">
      <c r="A483" t="s">
        <v>196</v>
      </c>
      <c r="B483" t="s">
        <v>201</v>
      </c>
      <c r="C483" t="s">
        <v>202</v>
      </c>
      <c r="D483" t="s">
        <v>684</v>
      </c>
      <c r="E483">
        <v>-481</v>
      </c>
      <c r="F483" t="s">
        <v>203</v>
      </c>
      <c r="G483" t="s">
        <v>204</v>
      </c>
    </row>
    <row r="484" spans="1:7">
      <c r="A484" t="s">
        <v>196</v>
      </c>
      <c r="B484" t="s">
        <v>201</v>
      </c>
      <c r="C484" t="s">
        <v>202</v>
      </c>
      <c r="D484" t="s">
        <v>685</v>
      </c>
      <c r="E484">
        <v>-482</v>
      </c>
      <c r="F484" t="s">
        <v>203</v>
      </c>
      <c r="G484" t="s">
        <v>204</v>
      </c>
    </row>
    <row r="485" spans="1:7">
      <c r="A485" t="s">
        <v>196</v>
      </c>
      <c r="B485" t="s">
        <v>201</v>
      </c>
      <c r="C485" t="s">
        <v>202</v>
      </c>
      <c r="D485" t="s">
        <v>686</v>
      </c>
      <c r="E485">
        <v>-483</v>
      </c>
      <c r="F485" t="s">
        <v>203</v>
      </c>
      <c r="G485" t="s">
        <v>204</v>
      </c>
    </row>
    <row r="486" spans="1:7">
      <c r="A486" t="s">
        <v>196</v>
      </c>
      <c r="B486" t="s">
        <v>201</v>
      </c>
      <c r="C486" t="s">
        <v>202</v>
      </c>
      <c r="D486" t="s">
        <v>687</v>
      </c>
      <c r="E486">
        <v>-484</v>
      </c>
      <c r="F486" t="s">
        <v>203</v>
      </c>
      <c r="G486" t="s">
        <v>204</v>
      </c>
    </row>
    <row r="487" spans="1:7">
      <c r="A487" t="s">
        <v>196</v>
      </c>
      <c r="B487" t="s">
        <v>201</v>
      </c>
      <c r="C487" t="s">
        <v>202</v>
      </c>
      <c r="D487" t="s">
        <v>688</v>
      </c>
      <c r="E487">
        <v>-485</v>
      </c>
      <c r="F487" t="s">
        <v>203</v>
      </c>
      <c r="G487" t="s">
        <v>204</v>
      </c>
    </row>
    <row r="488" spans="1:7">
      <c r="A488" t="s">
        <v>196</v>
      </c>
      <c r="B488" t="s">
        <v>201</v>
      </c>
      <c r="C488" t="s">
        <v>202</v>
      </c>
      <c r="D488" t="s">
        <v>689</v>
      </c>
      <c r="E488">
        <v>-486</v>
      </c>
      <c r="F488" t="s">
        <v>203</v>
      </c>
      <c r="G488" t="s">
        <v>204</v>
      </c>
    </row>
    <row r="489" spans="1:7">
      <c r="A489" t="s">
        <v>196</v>
      </c>
      <c r="B489" t="s">
        <v>201</v>
      </c>
      <c r="C489" t="s">
        <v>202</v>
      </c>
      <c r="D489" t="s">
        <v>690</v>
      </c>
      <c r="E489">
        <v>-487</v>
      </c>
      <c r="F489" t="s">
        <v>203</v>
      </c>
      <c r="G489" t="s">
        <v>204</v>
      </c>
    </row>
    <row r="490" spans="1:7">
      <c r="A490" t="s">
        <v>196</v>
      </c>
      <c r="B490" t="s">
        <v>201</v>
      </c>
      <c r="C490" t="s">
        <v>202</v>
      </c>
      <c r="D490" t="s">
        <v>691</v>
      </c>
      <c r="E490">
        <v>-488</v>
      </c>
      <c r="F490" t="s">
        <v>203</v>
      </c>
      <c r="G490" t="s">
        <v>204</v>
      </c>
    </row>
    <row r="491" spans="1:7">
      <c r="A491" t="s">
        <v>196</v>
      </c>
      <c r="B491" t="s">
        <v>201</v>
      </c>
      <c r="C491" t="s">
        <v>202</v>
      </c>
      <c r="D491" t="s">
        <v>692</v>
      </c>
      <c r="E491">
        <v>-489</v>
      </c>
      <c r="F491" t="s">
        <v>203</v>
      </c>
      <c r="G491" t="s">
        <v>204</v>
      </c>
    </row>
    <row r="492" spans="1:7">
      <c r="A492" t="s">
        <v>196</v>
      </c>
      <c r="B492" t="s">
        <v>201</v>
      </c>
      <c r="C492" t="s">
        <v>202</v>
      </c>
      <c r="D492" t="s">
        <v>693</v>
      </c>
      <c r="E492">
        <v>-490</v>
      </c>
      <c r="F492" t="s">
        <v>203</v>
      </c>
      <c r="G492" t="s">
        <v>204</v>
      </c>
    </row>
    <row r="493" spans="1:7">
      <c r="A493" t="s">
        <v>196</v>
      </c>
      <c r="B493" t="s">
        <v>201</v>
      </c>
      <c r="C493" t="s">
        <v>202</v>
      </c>
      <c r="D493" t="s">
        <v>694</v>
      </c>
      <c r="E493">
        <v>-491</v>
      </c>
      <c r="F493" t="s">
        <v>203</v>
      </c>
      <c r="G493" t="s">
        <v>204</v>
      </c>
    </row>
    <row r="494" spans="1:7">
      <c r="A494" t="s">
        <v>196</v>
      </c>
      <c r="B494" t="s">
        <v>201</v>
      </c>
      <c r="C494" t="s">
        <v>202</v>
      </c>
      <c r="D494" t="s">
        <v>695</v>
      </c>
      <c r="E494">
        <v>-492</v>
      </c>
      <c r="F494" t="s">
        <v>203</v>
      </c>
      <c r="G494" t="s">
        <v>204</v>
      </c>
    </row>
    <row r="495" spans="1:7">
      <c r="A495" t="s">
        <v>196</v>
      </c>
      <c r="B495" t="s">
        <v>201</v>
      </c>
      <c r="C495" t="s">
        <v>202</v>
      </c>
      <c r="D495" t="s">
        <v>696</v>
      </c>
      <c r="E495">
        <v>-493</v>
      </c>
      <c r="F495" t="s">
        <v>203</v>
      </c>
      <c r="G495" t="s">
        <v>204</v>
      </c>
    </row>
    <row r="496" spans="1:7">
      <c r="A496" t="s">
        <v>196</v>
      </c>
      <c r="B496" t="s">
        <v>201</v>
      </c>
      <c r="C496" t="s">
        <v>202</v>
      </c>
      <c r="D496" t="s">
        <v>697</v>
      </c>
      <c r="E496">
        <v>-494</v>
      </c>
      <c r="F496" t="s">
        <v>203</v>
      </c>
      <c r="G496" t="s">
        <v>204</v>
      </c>
    </row>
    <row r="497" spans="1:7">
      <c r="A497" t="s">
        <v>196</v>
      </c>
      <c r="B497" t="s">
        <v>201</v>
      </c>
      <c r="C497" t="s">
        <v>202</v>
      </c>
      <c r="D497" t="s">
        <v>698</v>
      </c>
      <c r="E497">
        <v>-495</v>
      </c>
      <c r="F497" t="s">
        <v>203</v>
      </c>
      <c r="G497" t="s">
        <v>204</v>
      </c>
    </row>
    <row r="498" spans="1:7">
      <c r="A498" t="s">
        <v>196</v>
      </c>
      <c r="B498" t="s">
        <v>201</v>
      </c>
      <c r="C498" t="s">
        <v>202</v>
      </c>
      <c r="D498" t="s">
        <v>699</v>
      </c>
      <c r="E498">
        <v>-496</v>
      </c>
      <c r="F498" t="s">
        <v>203</v>
      </c>
      <c r="G498" t="s">
        <v>204</v>
      </c>
    </row>
    <row r="499" spans="1:7">
      <c r="A499" t="s">
        <v>196</v>
      </c>
      <c r="B499" t="s">
        <v>201</v>
      </c>
      <c r="C499" t="s">
        <v>202</v>
      </c>
      <c r="D499" t="s">
        <v>700</v>
      </c>
      <c r="E499">
        <v>-497</v>
      </c>
      <c r="F499" t="s">
        <v>203</v>
      </c>
      <c r="G499" t="s">
        <v>204</v>
      </c>
    </row>
    <row r="500" spans="1:7">
      <c r="A500" t="s">
        <v>196</v>
      </c>
      <c r="B500" t="s">
        <v>201</v>
      </c>
      <c r="C500" t="s">
        <v>202</v>
      </c>
      <c r="D500" t="s">
        <v>701</v>
      </c>
      <c r="E500">
        <v>-498</v>
      </c>
      <c r="F500" t="s">
        <v>203</v>
      </c>
      <c r="G500" t="s">
        <v>204</v>
      </c>
    </row>
    <row r="501" spans="1:7">
      <c r="A501" t="s">
        <v>196</v>
      </c>
      <c r="B501" t="s">
        <v>201</v>
      </c>
      <c r="C501" t="s">
        <v>202</v>
      </c>
      <c r="D501" t="s">
        <v>702</v>
      </c>
      <c r="E501">
        <v>-499</v>
      </c>
      <c r="F501" t="s">
        <v>203</v>
      </c>
      <c r="G501" t="s">
        <v>204</v>
      </c>
    </row>
    <row r="502" spans="1:7">
      <c r="A502" t="s">
        <v>196</v>
      </c>
      <c r="B502" t="s">
        <v>201</v>
      </c>
      <c r="C502" t="s">
        <v>202</v>
      </c>
      <c r="D502" t="s">
        <v>703</v>
      </c>
      <c r="E502">
        <v>-500</v>
      </c>
      <c r="F502" t="s">
        <v>203</v>
      </c>
      <c r="G502" t="s">
        <v>204</v>
      </c>
    </row>
    <row r="503" spans="1:7">
      <c r="A503" t="s">
        <v>196</v>
      </c>
      <c r="B503" t="s">
        <v>201</v>
      </c>
      <c r="C503" t="s">
        <v>202</v>
      </c>
      <c r="D503" t="s">
        <v>704</v>
      </c>
      <c r="E503">
        <v>-501</v>
      </c>
      <c r="F503" t="s">
        <v>203</v>
      </c>
      <c r="G503" t="s">
        <v>204</v>
      </c>
    </row>
    <row r="504" spans="1:7">
      <c r="A504" t="s">
        <v>196</v>
      </c>
      <c r="B504" t="s">
        <v>201</v>
      </c>
      <c r="C504" t="s">
        <v>202</v>
      </c>
      <c r="D504" t="s">
        <v>705</v>
      </c>
      <c r="E504">
        <v>-502</v>
      </c>
      <c r="F504" t="s">
        <v>203</v>
      </c>
      <c r="G504" t="s">
        <v>204</v>
      </c>
    </row>
    <row r="505" spans="1:7">
      <c r="A505" t="s">
        <v>196</v>
      </c>
      <c r="B505" t="s">
        <v>201</v>
      </c>
      <c r="C505" t="s">
        <v>202</v>
      </c>
      <c r="D505" t="s">
        <v>706</v>
      </c>
      <c r="E505">
        <v>-503</v>
      </c>
      <c r="F505" t="s">
        <v>203</v>
      </c>
      <c r="G505" t="s">
        <v>204</v>
      </c>
    </row>
    <row r="506" spans="1:7">
      <c r="A506" t="s">
        <v>196</v>
      </c>
      <c r="B506" t="s">
        <v>201</v>
      </c>
      <c r="C506" t="s">
        <v>202</v>
      </c>
      <c r="D506" t="s">
        <v>707</v>
      </c>
      <c r="E506">
        <v>-504</v>
      </c>
      <c r="F506" t="s">
        <v>203</v>
      </c>
      <c r="G506" t="s">
        <v>204</v>
      </c>
    </row>
    <row r="507" spans="1:7">
      <c r="A507" t="s">
        <v>196</v>
      </c>
      <c r="B507" t="s">
        <v>201</v>
      </c>
      <c r="C507" t="s">
        <v>202</v>
      </c>
      <c r="D507" t="s">
        <v>708</v>
      </c>
      <c r="E507">
        <v>-505</v>
      </c>
      <c r="F507" t="s">
        <v>203</v>
      </c>
      <c r="G507" t="s">
        <v>204</v>
      </c>
    </row>
    <row r="508" spans="1:7">
      <c r="A508" t="s">
        <v>196</v>
      </c>
      <c r="B508" t="s">
        <v>201</v>
      </c>
      <c r="C508" t="s">
        <v>202</v>
      </c>
      <c r="D508" t="s">
        <v>709</v>
      </c>
      <c r="E508">
        <v>-506</v>
      </c>
      <c r="F508" t="s">
        <v>203</v>
      </c>
      <c r="G508" t="s">
        <v>204</v>
      </c>
    </row>
    <row r="509" spans="1:7">
      <c r="A509" t="s">
        <v>196</v>
      </c>
      <c r="B509" t="s">
        <v>201</v>
      </c>
      <c r="C509" t="s">
        <v>202</v>
      </c>
      <c r="D509" t="s">
        <v>710</v>
      </c>
      <c r="E509">
        <v>-507</v>
      </c>
      <c r="F509" t="s">
        <v>203</v>
      </c>
      <c r="G509" t="s">
        <v>204</v>
      </c>
    </row>
    <row r="510" spans="1:7">
      <c r="A510" t="s">
        <v>196</v>
      </c>
      <c r="B510" t="s">
        <v>201</v>
      </c>
      <c r="C510" t="s">
        <v>202</v>
      </c>
      <c r="D510" t="s">
        <v>711</v>
      </c>
      <c r="E510">
        <v>-508</v>
      </c>
      <c r="F510" t="s">
        <v>203</v>
      </c>
      <c r="G510" t="s">
        <v>204</v>
      </c>
    </row>
    <row r="511" spans="1:7">
      <c r="A511" t="s">
        <v>196</v>
      </c>
      <c r="B511" t="s">
        <v>201</v>
      </c>
      <c r="C511" t="s">
        <v>202</v>
      </c>
      <c r="D511" t="s">
        <v>712</v>
      </c>
      <c r="E511">
        <v>-509</v>
      </c>
      <c r="F511" t="s">
        <v>203</v>
      </c>
      <c r="G511" t="s">
        <v>204</v>
      </c>
    </row>
    <row r="512" spans="1:7">
      <c r="A512" t="s">
        <v>196</v>
      </c>
      <c r="B512" t="s">
        <v>201</v>
      </c>
      <c r="C512" t="s">
        <v>202</v>
      </c>
      <c r="D512" t="s">
        <v>713</v>
      </c>
      <c r="E512">
        <v>-510</v>
      </c>
      <c r="F512" t="s">
        <v>203</v>
      </c>
      <c r="G512" t="s">
        <v>204</v>
      </c>
    </row>
    <row r="513" spans="1:7">
      <c r="A513" t="s">
        <v>196</v>
      </c>
      <c r="B513" t="s">
        <v>201</v>
      </c>
      <c r="C513" t="s">
        <v>202</v>
      </c>
      <c r="D513" t="s">
        <v>714</v>
      </c>
      <c r="E513">
        <v>-511</v>
      </c>
      <c r="F513" t="s">
        <v>203</v>
      </c>
      <c r="G513" t="s">
        <v>204</v>
      </c>
    </row>
    <row r="514" spans="1:7">
      <c r="A514" t="s">
        <v>196</v>
      </c>
      <c r="B514" t="s">
        <v>201</v>
      </c>
      <c r="C514" t="s">
        <v>202</v>
      </c>
      <c r="D514" t="s">
        <v>715</v>
      </c>
      <c r="E514">
        <v>-512</v>
      </c>
      <c r="F514" t="s">
        <v>203</v>
      </c>
      <c r="G514" t="s">
        <v>204</v>
      </c>
    </row>
    <row r="515" spans="1:7">
      <c r="A515" t="s">
        <v>196</v>
      </c>
      <c r="B515" t="s">
        <v>201</v>
      </c>
      <c r="C515" t="s">
        <v>202</v>
      </c>
      <c r="D515" t="s">
        <v>716</v>
      </c>
      <c r="E515">
        <v>-513</v>
      </c>
      <c r="F515" t="s">
        <v>203</v>
      </c>
      <c r="G515" t="s">
        <v>204</v>
      </c>
    </row>
    <row r="516" spans="1:7">
      <c r="A516" t="s">
        <v>196</v>
      </c>
      <c r="B516" t="s">
        <v>201</v>
      </c>
      <c r="C516" t="s">
        <v>202</v>
      </c>
      <c r="D516" t="s">
        <v>717</v>
      </c>
      <c r="E516">
        <v>-514</v>
      </c>
      <c r="F516" t="s">
        <v>203</v>
      </c>
      <c r="G516" t="s">
        <v>204</v>
      </c>
    </row>
    <row r="517" spans="1:7">
      <c r="A517" t="s">
        <v>196</v>
      </c>
      <c r="B517" t="s">
        <v>201</v>
      </c>
      <c r="C517" t="s">
        <v>202</v>
      </c>
      <c r="D517" t="s">
        <v>718</v>
      </c>
      <c r="E517">
        <v>-515</v>
      </c>
      <c r="F517" t="s">
        <v>203</v>
      </c>
      <c r="G517" t="s">
        <v>204</v>
      </c>
    </row>
    <row r="518" spans="1:7">
      <c r="A518" t="s">
        <v>196</v>
      </c>
      <c r="B518" t="s">
        <v>201</v>
      </c>
      <c r="C518" t="s">
        <v>202</v>
      </c>
      <c r="D518" t="s">
        <v>719</v>
      </c>
      <c r="E518">
        <v>-516</v>
      </c>
      <c r="F518" t="s">
        <v>203</v>
      </c>
      <c r="G518" t="s">
        <v>204</v>
      </c>
    </row>
    <row r="519" spans="1:7">
      <c r="A519" t="s">
        <v>196</v>
      </c>
      <c r="B519" t="s">
        <v>201</v>
      </c>
      <c r="C519" t="s">
        <v>202</v>
      </c>
      <c r="D519" t="s">
        <v>720</v>
      </c>
      <c r="E519">
        <v>-517</v>
      </c>
      <c r="F519" t="s">
        <v>203</v>
      </c>
      <c r="G519" t="s">
        <v>204</v>
      </c>
    </row>
    <row r="520" spans="1:7">
      <c r="A520" t="s">
        <v>196</v>
      </c>
      <c r="B520" t="s">
        <v>201</v>
      </c>
      <c r="C520" t="s">
        <v>202</v>
      </c>
      <c r="D520" t="s">
        <v>721</v>
      </c>
      <c r="E520">
        <v>-518</v>
      </c>
      <c r="F520" t="s">
        <v>203</v>
      </c>
      <c r="G520" t="s">
        <v>204</v>
      </c>
    </row>
    <row r="521" spans="1:7">
      <c r="A521" t="s">
        <v>196</v>
      </c>
      <c r="B521" t="s">
        <v>201</v>
      </c>
      <c r="C521" t="s">
        <v>202</v>
      </c>
      <c r="D521" t="s">
        <v>722</v>
      </c>
      <c r="E521">
        <v>-519</v>
      </c>
      <c r="F521" t="s">
        <v>203</v>
      </c>
      <c r="G521" t="s">
        <v>204</v>
      </c>
    </row>
    <row r="522" spans="1:7">
      <c r="A522" t="s">
        <v>196</v>
      </c>
      <c r="B522" t="s">
        <v>201</v>
      </c>
      <c r="C522" t="s">
        <v>202</v>
      </c>
      <c r="D522" t="s">
        <v>723</v>
      </c>
      <c r="E522">
        <v>-520</v>
      </c>
      <c r="F522" t="s">
        <v>203</v>
      </c>
      <c r="G522" t="s">
        <v>204</v>
      </c>
    </row>
    <row r="523" spans="1:7">
      <c r="A523" t="s">
        <v>196</v>
      </c>
      <c r="B523" t="s">
        <v>201</v>
      </c>
      <c r="C523" t="s">
        <v>202</v>
      </c>
      <c r="D523" t="s">
        <v>724</v>
      </c>
      <c r="E523">
        <v>-521</v>
      </c>
      <c r="F523" t="s">
        <v>203</v>
      </c>
      <c r="G523" t="s">
        <v>204</v>
      </c>
    </row>
    <row r="524" spans="1:7">
      <c r="A524" t="s">
        <v>196</v>
      </c>
      <c r="B524" t="s">
        <v>201</v>
      </c>
      <c r="C524" t="s">
        <v>202</v>
      </c>
      <c r="D524" t="s">
        <v>725</v>
      </c>
      <c r="E524">
        <v>-522</v>
      </c>
      <c r="F524" t="s">
        <v>203</v>
      </c>
      <c r="G524" t="s">
        <v>204</v>
      </c>
    </row>
    <row r="525" spans="1:7">
      <c r="A525" t="s">
        <v>196</v>
      </c>
      <c r="B525" t="s">
        <v>201</v>
      </c>
      <c r="C525" t="s">
        <v>202</v>
      </c>
      <c r="D525" t="s">
        <v>726</v>
      </c>
      <c r="E525">
        <v>-523</v>
      </c>
      <c r="F525" t="s">
        <v>203</v>
      </c>
      <c r="G525" t="s">
        <v>204</v>
      </c>
    </row>
    <row r="526" spans="1:7">
      <c r="A526" t="s">
        <v>196</v>
      </c>
      <c r="B526" t="s">
        <v>201</v>
      </c>
      <c r="C526" t="s">
        <v>202</v>
      </c>
      <c r="D526" t="s">
        <v>727</v>
      </c>
      <c r="E526">
        <v>-524</v>
      </c>
      <c r="F526" t="s">
        <v>203</v>
      </c>
      <c r="G526" t="s">
        <v>204</v>
      </c>
    </row>
    <row r="527" spans="1:7">
      <c r="A527" t="s">
        <v>196</v>
      </c>
      <c r="B527" t="s">
        <v>201</v>
      </c>
      <c r="C527" t="s">
        <v>202</v>
      </c>
      <c r="D527" t="s">
        <v>728</v>
      </c>
      <c r="E527">
        <v>-525</v>
      </c>
      <c r="F527" t="s">
        <v>203</v>
      </c>
      <c r="G527" t="s">
        <v>204</v>
      </c>
    </row>
    <row r="528" spans="1:7">
      <c r="A528" t="s">
        <v>196</v>
      </c>
      <c r="B528" t="s">
        <v>201</v>
      </c>
      <c r="C528" t="s">
        <v>202</v>
      </c>
      <c r="D528" t="s">
        <v>729</v>
      </c>
      <c r="E528">
        <v>-526</v>
      </c>
      <c r="F528" t="s">
        <v>203</v>
      </c>
      <c r="G528" t="s">
        <v>204</v>
      </c>
    </row>
    <row r="529" spans="1:7">
      <c r="A529" t="s">
        <v>196</v>
      </c>
      <c r="B529" t="s">
        <v>201</v>
      </c>
      <c r="C529" t="s">
        <v>202</v>
      </c>
      <c r="D529" t="s">
        <v>730</v>
      </c>
      <c r="E529">
        <v>-527</v>
      </c>
      <c r="F529" t="s">
        <v>203</v>
      </c>
      <c r="G529" t="s">
        <v>204</v>
      </c>
    </row>
    <row r="530" spans="1:7">
      <c r="A530" t="s">
        <v>196</v>
      </c>
      <c r="B530" t="s">
        <v>201</v>
      </c>
      <c r="C530" t="s">
        <v>202</v>
      </c>
      <c r="D530" t="s">
        <v>731</v>
      </c>
      <c r="E530">
        <v>-528</v>
      </c>
      <c r="F530" t="s">
        <v>203</v>
      </c>
      <c r="G530" t="s">
        <v>204</v>
      </c>
    </row>
    <row r="531" spans="1:7">
      <c r="A531" t="s">
        <v>196</v>
      </c>
      <c r="B531" t="s">
        <v>201</v>
      </c>
      <c r="C531" t="s">
        <v>202</v>
      </c>
      <c r="D531" t="s">
        <v>732</v>
      </c>
      <c r="E531">
        <v>-529</v>
      </c>
      <c r="F531" t="s">
        <v>203</v>
      </c>
      <c r="G531" t="s">
        <v>204</v>
      </c>
    </row>
    <row r="532" spans="1:7">
      <c r="A532" t="s">
        <v>196</v>
      </c>
      <c r="B532" t="s">
        <v>201</v>
      </c>
      <c r="C532" t="s">
        <v>202</v>
      </c>
      <c r="D532" t="s">
        <v>733</v>
      </c>
      <c r="E532">
        <v>-530</v>
      </c>
      <c r="F532" t="s">
        <v>203</v>
      </c>
      <c r="G532" t="s">
        <v>204</v>
      </c>
    </row>
    <row r="533" spans="1:7">
      <c r="A533" t="s">
        <v>196</v>
      </c>
      <c r="B533" t="s">
        <v>201</v>
      </c>
      <c r="C533" t="s">
        <v>202</v>
      </c>
      <c r="D533" t="s">
        <v>734</v>
      </c>
      <c r="E533">
        <v>-531</v>
      </c>
      <c r="F533" t="s">
        <v>203</v>
      </c>
      <c r="G533" t="s">
        <v>204</v>
      </c>
    </row>
    <row r="534" spans="1:7">
      <c r="A534" t="s">
        <v>196</v>
      </c>
      <c r="B534" t="s">
        <v>201</v>
      </c>
      <c r="C534" t="s">
        <v>202</v>
      </c>
      <c r="D534" t="s">
        <v>735</v>
      </c>
      <c r="E534">
        <v>-532</v>
      </c>
      <c r="F534" t="s">
        <v>203</v>
      </c>
      <c r="G534" t="s">
        <v>204</v>
      </c>
    </row>
    <row r="535" spans="1:7">
      <c r="A535" t="s">
        <v>196</v>
      </c>
      <c r="B535" t="s">
        <v>201</v>
      </c>
      <c r="C535" t="s">
        <v>202</v>
      </c>
      <c r="D535" t="s">
        <v>736</v>
      </c>
      <c r="E535">
        <v>-533</v>
      </c>
      <c r="F535" t="s">
        <v>203</v>
      </c>
      <c r="G535" t="s">
        <v>204</v>
      </c>
    </row>
    <row r="536" spans="1:7">
      <c r="A536" t="s">
        <v>196</v>
      </c>
      <c r="B536" t="s">
        <v>201</v>
      </c>
      <c r="C536" t="s">
        <v>202</v>
      </c>
      <c r="D536" t="s">
        <v>737</v>
      </c>
      <c r="E536">
        <v>-534</v>
      </c>
      <c r="F536" t="s">
        <v>203</v>
      </c>
      <c r="G536" t="s">
        <v>204</v>
      </c>
    </row>
    <row r="537" spans="1:7">
      <c r="A537" t="s">
        <v>196</v>
      </c>
      <c r="B537" t="s">
        <v>201</v>
      </c>
      <c r="C537" t="s">
        <v>202</v>
      </c>
      <c r="D537" t="s">
        <v>738</v>
      </c>
      <c r="E537">
        <v>-535</v>
      </c>
      <c r="F537" t="s">
        <v>203</v>
      </c>
      <c r="G537" t="s">
        <v>204</v>
      </c>
    </row>
    <row r="538" spans="1:7">
      <c r="A538" t="s">
        <v>196</v>
      </c>
      <c r="B538" t="s">
        <v>201</v>
      </c>
      <c r="C538" t="s">
        <v>202</v>
      </c>
      <c r="D538" t="s">
        <v>739</v>
      </c>
      <c r="E538">
        <v>-536</v>
      </c>
      <c r="F538" t="s">
        <v>203</v>
      </c>
      <c r="G538" t="s">
        <v>204</v>
      </c>
    </row>
    <row r="539" spans="1:7">
      <c r="A539" t="s">
        <v>196</v>
      </c>
      <c r="B539" t="s">
        <v>201</v>
      </c>
      <c r="C539" t="s">
        <v>202</v>
      </c>
      <c r="D539" t="s">
        <v>740</v>
      </c>
      <c r="E539">
        <v>-537</v>
      </c>
      <c r="F539" t="s">
        <v>203</v>
      </c>
      <c r="G539" t="s">
        <v>204</v>
      </c>
    </row>
    <row r="540" spans="1:7">
      <c r="A540" t="s">
        <v>196</v>
      </c>
      <c r="B540" t="s">
        <v>201</v>
      </c>
      <c r="C540" t="s">
        <v>202</v>
      </c>
      <c r="D540" t="s">
        <v>741</v>
      </c>
      <c r="E540">
        <v>-538</v>
      </c>
      <c r="F540" t="s">
        <v>203</v>
      </c>
      <c r="G540" t="s">
        <v>204</v>
      </c>
    </row>
    <row r="541" spans="1:7">
      <c r="A541" t="s">
        <v>196</v>
      </c>
      <c r="B541" t="s">
        <v>201</v>
      </c>
      <c r="C541" t="s">
        <v>202</v>
      </c>
      <c r="D541" t="s">
        <v>742</v>
      </c>
      <c r="E541">
        <v>-539</v>
      </c>
      <c r="F541" t="s">
        <v>203</v>
      </c>
      <c r="G541" t="s">
        <v>204</v>
      </c>
    </row>
    <row r="542" spans="1:7">
      <c r="A542" t="s">
        <v>196</v>
      </c>
      <c r="B542" t="s">
        <v>201</v>
      </c>
      <c r="C542" t="s">
        <v>202</v>
      </c>
      <c r="D542" t="s">
        <v>743</v>
      </c>
      <c r="E542">
        <v>-540</v>
      </c>
      <c r="F542" t="s">
        <v>203</v>
      </c>
      <c r="G542" t="s">
        <v>204</v>
      </c>
    </row>
    <row r="543" spans="1:7">
      <c r="A543" t="s">
        <v>196</v>
      </c>
      <c r="B543" t="s">
        <v>201</v>
      </c>
      <c r="C543" t="s">
        <v>202</v>
      </c>
      <c r="D543" t="s">
        <v>744</v>
      </c>
      <c r="E543">
        <v>-541</v>
      </c>
      <c r="F543" t="s">
        <v>203</v>
      </c>
      <c r="G543" t="s">
        <v>204</v>
      </c>
    </row>
    <row r="544" spans="1:7">
      <c r="A544" t="s">
        <v>196</v>
      </c>
      <c r="B544" t="s">
        <v>201</v>
      </c>
      <c r="C544" t="s">
        <v>202</v>
      </c>
      <c r="D544" t="s">
        <v>745</v>
      </c>
      <c r="E544">
        <v>-542</v>
      </c>
      <c r="F544" t="s">
        <v>203</v>
      </c>
      <c r="G544" t="s">
        <v>204</v>
      </c>
    </row>
    <row r="545" spans="1:7">
      <c r="A545" t="s">
        <v>196</v>
      </c>
      <c r="B545" t="s">
        <v>201</v>
      </c>
      <c r="C545" t="s">
        <v>202</v>
      </c>
      <c r="D545" t="s">
        <v>746</v>
      </c>
      <c r="E545">
        <v>-543</v>
      </c>
      <c r="F545" t="s">
        <v>203</v>
      </c>
      <c r="G545" t="s">
        <v>204</v>
      </c>
    </row>
    <row r="546" spans="1:7">
      <c r="A546" t="s">
        <v>196</v>
      </c>
      <c r="B546" t="s">
        <v>201</v>
      </c>
      <c r="C546" t="s">
        <v>202</v>
      </c>
      <c r="D546" t="s">
        <v>747</v>
      </c>
      <c r="E546">
        <v>-544</v>
      </c>
      <c r="F546" t="s">
        <v>203</v>
      </c>
      <c r="G546" t="s">
        <v>204</v>
      </c>
    </row>
    <row r="547" spans="1:7">
      <c r="A547" t="s">
        <v>196</v>
      </c>
      <c r="B547" t="s">
        <v>201</v>
      </c>
      <c r="C547" t="s">
        <v>202</v>
      </c>
      <c r="D547" t="s">
        <v>748</v>
      </c>
      <c r="E547">
        <v>-545</v>
      </c>
      <c r="F547" t="s">
        <v>203</v>
      </c>
      <c r="G547" t="s">
        <v>204</v>
      </c>
    </row>
    <row r="548" spans="1:7">
      <c r="A548" t="s">
        <v>196</v>
      </c>
      <c r="B548" t="s">
        <v>201</v>
      </c>
      <c r="C548" t="s">
        <v>202</v>
      </c>
      <c r="D548" t="s">
        <v>749</v>
      </c>
      <c r="E548">
        <v>-546</v>
      </c>
      <c r="F548" t="s">
        <v>203</v>
      </c>
      <c r="G548" t="s">
        <v>204</v>
      </c>
    </row>
    <row r="549" spans="1:7">
      <c r="A549" t="s">
        <v>196</v>
      </c>
      <c r="B549" t="s">
        <v>201</v>
      </c>
      <c r="C549" t="s">
        <v>202</v>
      </c>
      <c r="D549" t="s">
        <v>750</v>
      </c>
      <c r="E549">
        <v>-547</v>
      </c>
      <c r="F549" t="s">
        <v>203</v>
      </c>
      <c r="G549" t="s">
        <v>204</v>
      </c>
    </row>
    <row r="550" spans="1:7">
      <c r="A550" t="s">
        <v>196</v>
      </c>
      <c r="B550" t="s">
        <v>201</v>
      </c>
      <c r="C550" t="s">
        <v>202</v>
      </c>
      <c r="D550" t="s">
        <v>751</v>
      </c>
      <c r="E550">
        <v>-548</v>
      </c>
      <c r="F550" t="s">
        <v>203</v>
      </c>
      <c r="G550" t="s">
        <v>204</v>
      </c>
    </row>
    <row r="551" spans="1:7">
      <c r="A551" t="s">
        <v>196</v>
      </c>
      <c r="B551" t="s">
        <v>201</v>
      </c>
      <c r="C551" t="s">
        <v>202</v>
      </c>
      <c r="D551" t="s">
        <v>752</v>
      </c>
      <c r="E551">
        <v>-549</v>
      </c>
      <c r="F551" t="s">
        <v>203</v>
      </c>
      <c r="G551" t="s">
        <v>204</v>
      </c>
    </row>
    <row r="552" spans="1:7">
      <c r="A552" t="s">
        <v>196</v>
      </c>
      <c r="B552" t="s">
        <v>201</v>
      </c>
      <c r="C552" t="s">
        <v>202</v>
      </c>
      <c r="D552" t="s">
        <v>753</v>
      </c>
      <c r="E552">
        <v>-550</v>
      </c>
      <c r="F552" t="s">
        <v>203</v>
      </c>
      <c r="G552" t="s">
        <v>204</v>
      </c>
    </row>
    <row r="553" spans="1:7">
      <c r="A553" t="s">
        <v>196</v>
      </c>
      <c r="B553" t="s">
        <v>201</v>
      </c>
      <c r="C553" t="s">
        <v>202</v>
      </c>
      <c r="D553" t="s">
        <v>754</v>
      </c>
      <c r="E553">
        <v>-551</v>
      </c>
      <c r="F553" t="s">
        <v>203</v>
      </c>
      <c r="G553" t="s">
        <v>204</v>
      </c>
    </row>
    <row r="554" spans="1:7">
      <c r="A554" t="s">
        <v>196</v>
      </c>
      <c r="B554" t="s">
        <v>201</v>
      </c>
      <c r="C554" t="s">
        <v>202</v>
      </c>
      <c r="D554" t="s">
        <v>755</v>
      </c>
      <c r="E554">
        <v>-552</v>
      </c>
      <c r="F554" t="s">
        <v>203</v>
      </c>
      <c r="G554" t="s">
        <v>204</v>
      </c>
    </row>
    <row r="555" spans="1:7">
      <c r="A555" t="s">
        <v>196</v>
      </c>
      <c r="B555" t="s">
        <v>201</v>
      </c>
      <c r="C555" t="s">
        <v>202</v>
      </c>
      <c r="D555" t="s">
        <v>756</v>
      </c>
      <c r="E555">
        <v>-553</v>
      </c>
      <c r="F555" t="s">
        <v>203</v>
      </c>
      <c r="G555" t="s">
        <v>204</v>
      </c>
    </row>
    <row r="556" spans="1:7">
      <c r="A556" t="s">
        <v>196</v>
      </c>
      <c r="B556" t="s">
        <v>201</v>
      </c>
      <c r="C556" t="s">
        <v>202</v>
      </c>
      <c r="D556" t="s">
        <v>757</v>
      </c>
      <c r="E556">
        <v>-554</v>
      </c>
      <c r="F556" t="s">
        <v>203</v>
      </c>
      <c r="G556" t="s">
        <v>204</v>
      </c>
    </row>
    <row r="557" spans="1:7">
      <c r="A557" t="s">
        <v>196</v>
      </c>
      <c r="B557" t="s">
        <v>201</v>
      </c>
      <c r="C557" t="s">
        <v>202</v>
      </c>
      <c r="D557" t="s">
        <v>758</v>
      </c>
      <c r="E557">
        <v>-555</v>
      </c>
      <c r="F557" t="s">
        <v>203</v>
      </c>
      <c r="G557" t="s">
        <v>204</v>
      </c>
    </row>
    <row r="558" spans="1:7">
      <c r="A558" t="s">
        <v>196</v>
      </c>
      <c r="B558" t="s">
        <v>201</v>
      </c>
      <c r="C558" t="s">
        <v>202</v>
      </c>
      <c r="D558" t="s">
        <v>759</v>
      </c>
      <c r="E558">
        <v>-556</v>
      </c>
      <c r="F558" t="s">
        <v>203</v>
      </c>
      <c r="G558" t="s">
        <v>204</v>
      </c>
    </row>
    <row r="559" spans="1:7">
      <c r="A559" t="s">
        <v>196</v>
      </c>
      <c r="B559" t="s">
        <v>201</v>
      </c>
      <c r="C559" t="s">
        <v>202</v>
      </c>
      <c r="D559" t="s">
        <v>760</v>
      </c>
      <c r="E559">
        <v>-557</v>
      </c>
      <c r="F559" t="s">
        <v>203</v>
      </c>
      <c r="G559" t="s">
        <v>204</v>
      </c>
    </row>
    <row r="560" spans="1:7">
      <c r="A560" t="s">
        <v>196</v>
      </c>
      <c r="B560" t="s">
        <v>201</v>
      </c>
      <c r="C560" t="s">
        <v>202</v>
      </c>
      <c r="D560" t="s">
        <v>761</v>
      </c>
      <c r="E560">
        <v>-558</v>
      </c>
      <c r="F560" t="s">
        <v>203</v>
      </c>
      <c r="G560" t="s">
        <v>204</v>
      </c>
    </row>
    <row r="561" spans="1:7">
      <c r="A561" t="s">
        <v>196</v>
      </c>
      <c r="B561" t="s">
        <v>201</v>
      </c>
      <c r="C561" t="s">
        <v>202</v>
      </c>
      <c r="D561" t="s">
        <v>762</v>
      </c>
      <c r="E561">
        <v>-559</v>
      </c>
      <c r="F561" t="s">
        <v>203</v>
      </c>
      <c r="G561" t="s">
        <v>204</v>
      </c>
    </row>
    <row r="562" spans="1:7">
      <c r="A562" t="s">
        <v>196</v>
      </c>
      <c r="B562" t="s">
        <v>201</v>
      </c>
      <c r="C562" t="s">
        <v>202</v>
      </c>
      <c r="D562" t="s">
        <v>763</v>
      </c>
      <c r="E562">
        <v>-560</v>
      </c>
      <c r="F562" t="s">
        <v>203</v>
      </c>
      <c r="G562" t="s">
        <v>204</v>
      </c>
    </row>
    <row r="563" spans="1:7">
      <c r="A563" t="s">
        <v>196</v>
      </c>
      <c r="B563" t="s">
        <v>201</v>
      </c>
      <c r="C563" t="s">
        <v>202</v>
      </c>
      <c r="D563" t="s">
        <v>764</v>
      </c>
      <c r="E563">
        <v>-561</v>
      </c>
      <c r="F563" t="s">
        <v>203</v>
      </c>
      <c r="G563" t="s">
        <v>204</v>
      </c>
    </row>
    <row r="564" spans="1:7">
      <c r="A564" t="s">
        <v>196</v>
      </c>
      <c r="B564" t="s">
        <v>201</v>
      </c>
      <c r="C564" t="s">
        <v>202</v>
      </c>
      <c r="D564" t="s">
        <v>765</v>
      </c>
      <c r="E564">
        <v>-562</v>
      </c>
      <c r="F564" t="s">
        <v>203</v>
      </c>
      <c r="G564" t="s">
        <v>204</v>
      </c>
    </row>
    <row r="565" spans="1:7">
      <c r="A565" t="s">
        <v>196</v>
      </c>
      <c r="B565" t="s">
        <v>201</v>
      </c>
      <c r="C565" t="s">
        <v>202</v>
      </c>
      <c r="D565" t="s">
        <v>766</v>
      </c>
      <c r="E565">
        <v>-563</v>
      </c>
      <c r="F565" t="s">
        <v>203</v>
      </c>
      <c r="G565" t="s">
        <v>204</v>
      </c>
    </row>
    <row r="566" spans="1:7">
      <c r="A566" t="s">
        <v>196</v>
      </c>
      <c r="B566" t="s">
        <v>201</v>
      </c>
      <c r="C566" t="s">
        <v>202</v>
      </c>
      <c r="D566" t="s">
        <v>767</v>
      </c>
      <c r="E566">
        <v>-564</v>
      </c>
      <c r="F566" t="s">
        <v>203</v>
      </c>
      <c r="G566" t="s">
        <v>204</v>
      </c>
    </row>
    <row r="567" spans="1:7">
      <c r="A567" t="s">
        <v>196</v>
      </c>
      <c r="B567" t="s">
        <v>201</v>
      </c>
      <c r="C567" t="s">
        <v>202</v>
      </c>
      <c r="D567" t="s">
        <v>768</v>
      </c>
      <c r="E567">
        <v>-565</v>
      </c>
      <c r="F567" t="s">
        <v>203</v>
      </c>
      <c r="G567" t="s">
        <v>204</v>
      </c>
    </row>
    <row r="568" spans="1:7">
      <c r="A568" t="s">
        <v>196</v>
      </c>
      <c r="B568" t="s">
        <v>201</v>
      </c>
      <c r="C568" t="s">
        <v>202</v>
      </c>
      <c r="D568" t="s">
        <v>769</v>
      </c>
      <c r="E568">
        <v>-566</v>
      </c>
      <c r="F568" t="s">
        <v>203</v>
      </c>
      <c r="G568" t="s">
        <v>204</v>
      </c>
    </row>
    <row r="569" spans="1:7">
      <c r="A569" t="s">
        <v>196</v>
      </c>
      <c r="B569" t="s">
        <v>201</v>
      </c>
      <c r="C569" t="s">
        <v>202</v>
      </c>
      <c r="D569" t="s">
        <v>770</v>
      </c>
      <c r="E569">
        <v>-567</v>
      </c>
      <c r="F569" t="s">
        <v>203</v>
      </c>
      <c r="G569" t="s">
        <v>204</v>
      </c>
    </row>
    <row r="570" spans="1:7">
      <c r="A570" t="s">
        <v>196</v>
      </c>
      <c r="B570" t="s">
        <v>201</v>
      </c>
      <c r="C570" t="s">
        <v>202</v>
      </c>
      <c r="D570" t="s">
        <v>771</v>
      </c>
      <c r="E570">
        <v>-568</v>
      </c>
      <c r="F570" t="s">
        <v>203</v>
      </c>
      <c r="G570" t="s">
        <v>204</v>
      </c>
    </row>
    <row r="571" spans="1:7">
      <c r="A571" t="s">
        <v>196</v>
      </c>
      <c r="B571" t="s">
        <v>201</v>
      </c>
      <c r="C571" t="s">
        <v>202</v>
      </c>
      <c r="D571" t="s">
        <v>772</v>
      </c>
      <c r="E571">
        <v>-569</v>
      </c>
      <c r="F571" t="s">
        <v>203</v>
      </c>
      <c r="G571" t="s">
        <v>204</v>
      </c>
    </row>
    <row r="572" spans="1:7">
      <c r="A572" t="s">
        <v>196</v>
      </c>
      <c r="B572" t="s">
        <v>201</v>
      </c>
      <c r="C572" t="s">
        <v>202</v>
      </c>
      <c r="D572" t="s">
        <v>773</v>
      </c>
      <c r="E572">
        <v>-570</v>
      </c>
      <c r="F572" t="s">
        <v>203</v>
      </c>
      <c r="G572" t="s">
        <v>204</v>
      </c>
    </row>
    <row r="573" spans="1:7">
      <c r="A573" t="s">
        <v>196</v>
      </c>
      <c r="B573" t="s">
        <v>201</v>
      </c>
      <c r="C573" t="s">
        <v>202</v>
      </c>
      <c r="D573" t="s">
        <v>774</v>
      </c>
      <c r="E573">
        <v>-571</v>
      </c>
      <c r="F573" t="s">
        <v>203</v>
      </c>
      <c r="G573" t="s">
        <v>204</v>
      </c>
    </row>
    <row r="574" spans="1:7">
      <c r="A574" t="s">
        <v>196</v>
      </c>
      <c r="B574" t="s">
        <v>201</v>
      </c>
      <c r="C574" t="s">
        <v>202</v>
      </c>
      <c r="D574" t="s">
        <v>775</v>
      </c>
      <c r="E574">
        <v>-572</v>
      </c>
      <c r="F574" t="s">
        <v>203</v>
      </c>
      <c r="G574" t="s">
        <v>204</v>
      </c>
    </row>
    <row r="575" spans="1:7">
      <c r="A575" t="s">
        <v>196</v>
      </c>
      <c r="B575" t="s">
        <v>201</v>
      </c>
      <c r="C575" t="s">
        <v>202</v>
      </c>
      <c r="D575" t="s">
        <v>776</v>
      </c>
      <c r="E575">
        <v>-573</v>
      </c>
      <c r="F575" t="s">
        <v>203</v>
      </c>
      <c r="G575" t="s">
        <v>204</v>
      </c>
    </row>
    <row r="576" spans="1:7">
      <c r="A576" t="s">
        <v>196</v>
      </c>
      <c r="B576" t="s">
        <v>201</v>
      </c>
      <c r="C576" t="s">
        <v>202</v>
      </c>
      <c r="D576" t="s">
        <v>777</v>
      </c>
      <c r="E576">
        <v>-574</v>
      </c>
      <c r="F576" t="s">
        <v>203</v>
      </c>
      <c r="G576" t="s">
        <v>204</v>
      </c>
    </row>
    <row r="577" spans="1:7">
      <c r="A577" t="s">
        <v>196</v>
      </c>
      <c r="B577" t="s">
        <v>201</v>
      </c>
      <c r="C577" t="s">
        <v>202</v>
      </c>
      <c r="D577" t="s">
        <v>778</v>
      </c>
      <c r="E577">
        <v>-575</v>
      </c>
      <c r="F577" t="s">
        <v>203</v>
      </c>
      <c r="G577" t="s">
        <v>204</v>
      </c>
    </row>
    <row r="578" spans="1:7">
      <c r="A578" t="s">
        <v>196</v>
      </c>
      <c r="B578" t="s">
        <v>201</v>
      </c>
      <c r="C578" t="s">
        <v>202</v>
      </c>
      <c r="D578" t="s">
        <v>779</v>
      </c>
      <c r="E578">
        <v>-576</v>
      </c>
      <c r="F578" t="s">
        <v>203</v>
      </c>
      <c r="G578" t="s">
        <v>204</v>
      </c>
    </row>
    <row r="579" spans="1:7">
      <c r="A579" t="s">
        <v>196</v>
      </c>
      <c r="B579" t="s">
        <v>201</v>
      </c>
      <c r="C579" t="s">
        <v>202</v>
      </c>
      <c r="D579" t="s">
        <v>780</v>
      </c>
      <c r="E579">
        <v>-577</v>
      </c>
      <c r="F579" t="s">
        <v>203</v>
      </c>
      <c r="G579" t="s">
        <v>204</v>
      </c>
    </row>
    <row r="580" spans="1:7">
      <c r="A580" t="s">
        <v>196</v>
      </c>
      <c r="B580" t="s">
        <v>201</v>
      </c>
      <c r="C580" t="s">
        <v>202</v>
      </c>
      <c r="D580" t="s">
        <v>781</v>
      </c>
      <c r="E580">
        <v>-578</v>
      </c>
      <c r="F580" t="s">
        <v>203</v>
      </c>
      <c r="G580" t="s">
        <v>204</v>
      </c>
    </row>
    <row r="581" spans="1:7">
      <c r="A581" t="s">
        <v>196</v>
      </c>
      <c r="B581" t="s">
        <v>201</v>
      </c>
      <c r="C581" t="s">
        <v>202</v>
      </c>
      <c r="D581" t="s">
        <v>782</v>
      </c>
      <c r="E581">
        <v>-579</v>
      </c>
      <c r="F581" t="s">
        <v>203</v>
      </c>
      <c r="G581" t="s">
        <v>204</v>
      </c>
    </row>
    <row r="582" spans="1:7">
      <c r="A582" t="s">
        <v>196</v>
      </c>
      <c r="B582" t="s">
        <v>201</v>
      </c>
      <c r="C582" t="s">
        <v>202</v>
      </c>
      <c r="D582" t="s">
        <v>783</v>
      </c>
      <c r="E582">
        <v>-580</v>
      </c>
      <c r="F582" t="s">
        <v>203</v>
      </c>
      <c r="G582" t="s">
        <v>204</v>
      </c>
    </row>
    <row r="583" spans="1:7">
      <c r="A583" t="s">
        <v>196</v>
      </c>
      <c r="B583" t="s">
        <v>201</v>
      </c>
      <c r="C583" t="s">
        <v>202</v>
      </c>
      <c r="D583" t="s">
        <v>784</v>
      </c>
      <c r="E583">
        <v>-581</v>
      </c>
      <c r="F583" t="s">
        <v>203</v>
      </c>
      <c r="G583" t="s">
        <v>204</v>
      </c>
    </row>
    <row r="584" spans="1:7">
      <c r="A584" t="s">
        <v>196</v>
      </c>
      <c r="B584" t="s">
        <v>201</v>
      </c>
      <c r="C584" t="s">
        <v>202</v>
      </c>
      <c r="D584" t="s">
        <v>785</v>
      </c>
      <c r="E584">
        <v>-582</v>
      </c>
      <c r="F584" t="s">
        <v>203</v>
      </c>
      <c r="G584" t="s">
        <v>204</v>
      </c>
    </row>
    <row r="585" spans="1:7">
      <c r="A585" t="s">
        <v>196</v>
      </c>
      <c r="B585" t="s">
        <v>201</v>
      </c>
      <c r="C585" t="s">
        <v>202</v>
      </c>
      <c r="D585" t="s">
        <v>786</v>
      </c>
      <c r="E585">
        <v>-583</v>
      </c>
      <c r="F585" t="s">
        <v>203</v>
      </c>
      <c r="G585" t="s">
        <v>204</v>
      </c>
    </row>
    <row r="586" spans="1:7">
      <c r="A586" t="s">
        <v>196</v>
      </c>
      <c r="B586" t="s">
        <v>201</v>
      </c>
      <c r="C586" t="s">
        <v>202</v>
      </c>
      <c r="D586" t="s">
        <v>787</v>
      </c>
      <c r="E586">
        <v>-584</v>
      </c>
      <c r="F586" t="s">
        <v>203</v>
      </c>
      <c r="G586" t="s">
        <v>204</v>
      </c>
    </row>
    <row r="587" spans="1:7">
      <c r="A587" t="s">
        <v>196</v>
      </c>
      <c r="B587" t="s">
        <v>201</v>
      </c>
      <c r="C587" t="s">
        <v>202</v>
      </c>
      <c r="D587" t="s">
        <v>788</v>
      </c>
      <c r="E587">
        <v>-585</v>
      </c>
      <c r="F587" t="s">
        <v>203</v>
      </c>
      <c r="G587" t="s">
        <v>204</v>
      </c>
    </row>
    <row r="588" spans="1:7">
      <c r="A588" t="s">
        <v>196</v>
      </c>
      <c r="B588" t="s">
        <v>201</v>
      </c>
      <c r="C588" t="s">
        <v>202</v>
      </c>
      <c r="D588" t="s">
        <v>789</v>
      </c>
      <c r="E588">
        <v>-586</v>
      </c>
      <c r="F588" t="s">
        <v>203</v>
      </c>
      <c r="G588" t="s">
        <v>204</v>
      </c>
    </row>
    <row r="589" spans="1:7">
      <c r="A589" t="s">
        <v>196</v>
      </c>
      <c r="B589" t="s">
        <v>201</v>
      </c>
      <c r="C589" t="s">
        <v>202</v>
      </c>
      <c r="D589" t="s">
        <v>790</v>
      </c>
      <c r="E589">
        <v>-587</v>
      </c>
      <c r="F589" t="s">
        <v>203</v>
      </c>
      <c r="G589" t="s">
        <v>204</v>
      </c>
    </row>
    <row r="590" spans="1:7">
      <c r="A590" t="s">
        <v>196</v>
      </c>
      <c r="B590" t="s">
        <v>201</v>
      </c>
      <c r="C590" t="s">
        <v>202</v>
      </c>
      <c r="D590" t="s">
        <v>791</v>
      </c>
      <c r="E590">
        <v>-588</v>
      </c>
      <c r="F590" t="s">
        <v>203</v>
      </c>
      <c r="G590" t="s">
        <v>204</v>
      </c>
    </row>
    <row r="591" spans="1:7">
      <c r="A591" t="s">
        <v>196</v>
      </c>
      <c r="B591" t="s">
        <v>201</v>
      </c>
      <c r="C591" t="s">
        <v>202</v>
      </c>
      <c r="D591" t="s">
        <v>792</v>
      </c>
      <c r="E591">
        <v>-589</v>
      </c>
      <c r="F591" t="s">
        <v>203</v>
      </c>
      <c r="G591" t="s">
        <v>204</v>
      </c>
    </row>
    <row r="592" spans="1:7">
      <c r="A592" t="s">
        <v>196</v>
      </c>
      <c r="B592" t="s">
        <v>201</v>
      </c>
      <c r="C592" t="s">
        <v>202</v>
      </c>
      <c r="D592" t="s">
        <v>793</v>
      </c>
      <c r="E592">
        <v>-590</v>
      </c>
      <c r="F592" t="s">
        <v>203</v>
      </c>
      <c r="G592" t="s">
        <v>204</v>
      </c>
    </row>
    <row r="593" spans="1:7">
      <c r="A593" t="s">
        <v>196</v>
      </c>
      <c r="B593" t="s">
        <v>201</v>
      </c>
      <c r="C593" t="s">
        <v>202</v>
      </c>
      <c r="D593" t="s">
        <v>794</v>
      </c>
      <c r="E593">
        <v>-591</v>
      </c>
      <c r="F593" t="s">
        <v>203</v>
      </c>
      <c r="G593" t="s">
        <v>204</v>
      </c>
    </row>
    <row r="594" spans="1:7">
      <c r="A594" t="s">
        <v>196</v>
      </c>
      <c r="B594" t="s">
        <v>201</v>
      </c>
      <c r="C594" t="s">
        <v>202</v>
      </c>
      <c r="D594" t="s">
        <v>795</v>
      </c>
      <c r="E594">
        <v>-592</v>
      </c>
      <c r="F594" t="s">
        <v>203</v>
      </c>
      <c r="G594" t="s">
        <v>204</v>
      </c>
    </row>
    <row r="595" spans="1:7">
      <c r="A595" t="s">
        <v>196</v>
      </c>
      <c r="B595" t="s">
        <v>201</v>
      </c>
      <c r="C595" t="s">
        <v>202</v>
      </c>
      <c r="D595" t="s">
        <v>796</v>
      </c>
      <c r="E595">
        <v>-593</v>
      </c>
      <c r="F595" t="s">
        <v>203</v>
      </c>
      <c r="G595" t="s">
        <v>204</v>
      </c>
    </row>
    <row r="596" spans="1:7">
      <c r="A596" t="s">
        <v>196</v>
      </c>
      <c r="B596" t="s">
        <v>201</v>
      </c>
      <c r="C596" t="s">
        <v>202</v>
      </c>
      <c r="D596" t="s">
        <v>797</v>
      </c>
      <c r="E596">
        <v>-594</v>
      </c>
      <c r="F596" t="s">
        <v>203</v>
      </c>
      <c r="G596" t="s">
        <v>204</v>
      </c>
    </row>
    <row r="597" spans="1:7">
      <c r="A597" t="s">
        <v>196</v>
      </c>
      <c r="B597" t="s">
        <v>201</v>
      </c>
      <c r="C597" t="s">
        <v>202</v>
      </c>
      <c r="D597" t="s">
        <v>798</v>
      </c>
      <c r="E597">
        <v>-595</v>
      </c>
      <c r="F597" t="s">
        <v>203</v>
      </c>
      <c r="G597" t="s">
        <v>204</v>
      </c>
    </row>
    <row r="598" spans="1:7">
      <c r="A598" t="s">
        <v>196</v>
      </c>
      <c r="B598" t="s">
        <v>201</v>
      </c>
      <c r="C598" t="s">
        <v>202</v>
      </c>
      <c r="D598" t="s">
        <v>799</v>
      </c>
      <c r="E598">
        <v>-596</v>
      </c>
      <c r="F598" t="s">
        <v>203</v>
      </c>
      <c r="G598" t="s">
        <v>204</v>
      </c>
    </row>
    <row r="599" spans="1:7">
      <c r="A599" t="s">
        <v>196</v>
      </c>
      <c r="B599" t="s">
        <v>201</v>
      </c>
      <c r="C599" t="s">
        <v>202</v>
      </c>
      <c r="D599" t="s">
        <v>800</v>
      </c>
      <c r="E599">
        <v>-597</v>
      </c>
      <c r="F599" t="s">
        <v>203</v>
      </c>
      <c r="G599" t="s">
        <v>204</v>
      </c>
    </row>
    <row r="600" spans="1:7">
      <c r="A600" t="s">
        <v>196</v>
      </c>
      <c r="B600" t="s">
        <v>201</v>
      </c>
      <c r="C600" t="s">
        <v>202</v>
      </c>
      <c r="D600" t="s">
        <v>801</v>
      </c>
      <c r="E600">
        <v>-598</v>
      </c>
      <c r="F600" t="s">
        <v>203</v>
      </c>
      <c r="G600" t="s">
        <v>204</v>
      </c>
    </row>
    <row r="601" spans="1:7">
      <c r="A601" t="s">
        <v>196</v>
      </c>
      <c r="B601" t="s">
        <v>201</v>
      </c>
      <c r="C601" t="s">
        <v>202</v>
      </c>
      <c r="D601" t="s">
        <v>802</v>
      </c>
      <c r="E601">
        <v>-599</v>
      </c>
      <c r="F601" t="s">
        <v>203</v>
      </c>
      <c r="G601" t="s">
        <v>204</v>
      </c>
    </row>
    <row r="602" spans="1:7">
      <c r="A602" t="s">
        <v>196</v>
      </c>
      <c r="B602" t="s">
        <v>201</v>
      </c>
      <c r="C602" t="s">
        <v>202</v>
      </c>
      <c r="D602" t="s">
        <v>803</v>
      </c>
      <c r="E602">
        <v>-600</v>
      </c>
      <c r="F602" t="s">
        <v>203</v>
      </c>
      <c r="G602" t="s">
        <v>204</v>
      </c>
    </row>
    <row r="603" spans="1:7">
      <c r="A603" t="s">
        <v>196</v>
      </c>
      <c r="B603" t="s">
        <v>201</v>
      </c>
      <c r="C603" t="s">
        <v>202</v>
      </c>
      <c r="D603" t="s">
        <v>804</v>
      </c>
      <c r="E603">
        <v>-601</v>
      </c>
      <c r="F603" t="s">
        <v>203</v>
      </c>
      <c r="G603" t="s">
        <v>204</v>
      </c>
    </row>
    <row r="604" spans="1:7">
      <c r="A604" t="s">
        <v>196</v>
      </c>
      <c r="B604" t="s">
        <v>201</v>
      </c>
      <c r="C604" t="s">
        <v>202</v>
      </c>
      <c r="D604" t="s">
        <v>805</v>
      </c>
      <c r="E604">
        <v>-602</v>
      </c>
      <c r="F604" t="s">
        <v>203</v>
      </c>
      <c r="G604" t="s">
        <v>204</v>
      </c>
    </row>
    <row r="605" spans="1:7">
      <c r="A605" t="s">
        <v>196</v>
      </c>
      <c r="B605" t="s">
        <v>201</v>
      </c>
      <c r="C605" t="s">
        <v>202</v>
      </c>
      <c r="D605" t="s">
        <v>806</v>
      </c>
      <c r="E605">
        <v>-603</v>
      </c>
      <c r="F605" t="s">
        <v>203</v>
      </c>
      <c r="G605" t="s">
        <v>204</v>
      </c>
    </row>
    <row r="606" spans="1:7">
      <c r="A606" t="s">
        <v>196</v>
      </c>
      <c r="B606" t="s">
        <v>201</v>
      </c>
      <c r="C606" t="s">
        <v>202</v>
      </c>
      <c r="D606" t="s">
        <v>807</v>
      </c>
      <c r="E606">
        <v>-604</v>
      </c>
      <c r="F606" t="s">
        <v>203</v>
      </c>
      <c r="G606" t="s">
        <v>204</v>
      </c>
    </row>
    <row r="607" spans="1:7">
      <c r="A607" t="s">
        <v>196</v>
      </c>
      <c r="B607" t="s">
        <v>201</v>
      </c>
      <c r="C607" t="s">
        <v>202</v>
      </c>
      <c r="D607" t="s">
        <v>808</v>
      </c>
      <c r="E607">
        <v>-605</v>
      </c>
      <c r="F607" t="s">
        <v>203</v>
      </c>
      <c r="G607" t="s">
        <v>204</v>
      </c>
    </row>
    <row r="608" spans="1:7">
      <c r="A608" t="s">
        <v>196</v>
      </c>
      <c r="B608" t="s">
        <v>201</v>
      </c>
      <c r="C608" t="s">
        <v>202</v>
      </c>
      <c r="D608" t="s">
        <v>809</v>
      </c>
      <c r="E608">
        <v>-606</v>
      </c>
      <c r="F608" t="s">
        <v>203</v>
      </c>
      <c r="G608" t="s">
        <v>204</v>
      </c>
    </row>
    <row r="609" spans="1:7">
      <c r="A609" t="s">
        <v>196</v>
      </c>
      <c r="B609" t="s">
        <v>201</v>
      </c>
      <c r="C609" t="s">
        <v>202</v>
      </c>
      <c r="D609" t="s">
        <v>810</v>
      </c>
      <c r="E609">
        <v>-607</v>
      </c>
      <c r="F609" t="s">
        <v>203</v>
      </c>
      <c r="G609" t="s">
        <v>204</v>
      </c>
    </row>
    <row r="610" spans="1:7">
      <c r="A610" t="s">
        <v>196</v>
      </c>
      <c r="B610" t="s">
        <v>201</v>
      </c>
      <c r="C610" t="s">
        <v>202</v>
      </c>
      <c r="D610" t="s">
        <v>811</v>
      </c>
      <c r="E610">
        <v>-608</v>
      </c>
      <c r="F610" t="s">
        <v>203</v>
      </c>
      <c r="G610" t="s">
        <v>204</v>
      </c>
    </row>
    <row r="611" spans="1:7">
      <c r="A611" t="s">
        <v>196</v>
      </c>
      <c r="B611" t="s">
        <v>201</v>
      </c>
      <c r="C611" t="s">
        <v>202</v>
      </c>
      <c r="D611" t="s">
        <v>812</v>
      </c>
      <c r="E611">
        <v>-609</v>
      </c>
      <c r="F611" t="s">
        <v>203</v>
      </c>
      <c r="G611" t="s">
        <v>204</v>
      </c>
    </row>
    <row r="612" spans="1:7">
      <c r="A612" t="s">
        <v>196</v>
      </c>
      <c r="B612" t="s">
        <v>201</v>
      </c>
      <c r="C612" t="s">
        <v>202</v>
      </c>
      <c r="D612" t="s">
        <v>813</v>
      </c>
      <c r="E612">
        <v>-610</v>
      </c>
      <c r="F612" t="s">
        <v>203</v>
      </c>
      <c r="G612" t="s">
        <v>204</v>
      </c>
    </row>
    <row r="613" spans="1:7">
      <c r="A613" t="s">
        <v>196</v>
      </c>
      <c r="B613" t="s">
        <v>201</v>
      </c>
      <c r="C613" t="s">
        <v>202</v>
      </c>
      <c r="D613" t="s">
        <v>814</v>
      </c>
      <c r="E613">
        <v>-611</v>
      </c>
      <c r="F613" t="s">
        <v>203</v>
      </c>
      <c r="G613" t="s">
        <v>204</v>
      </c>
    </row>
    <row r="614" spans="1:7">
      <c r="A614" t="s">
        <v>196</v>
      </c>
      <c r="B614" t="s">
        <v>201</v>
      </c>
      <c r="C614" t="s">
        <v>202</v>
      </c>
      <c r="D614" t="s">
        <v>815</v>
      </c>
      <c r="E614">
        <v>-612</v>
      </c>
      <c r="F614" t="s">
        <v>203</v>
      </c>
      <c r="G614" t="s">
        <v>204</v>
      </c>
    </row>
    <row r="615" spans="1:7">
      <c r="A615" t="s">
        <v>196</v>
      </c>
      <c r="B615" t="s">
        <v>201</v>
      </c>
      <c r="C615" t="s">
        <v>202</v>
      </c>
      <c r="D615" t="s">
        <v>816</v>
      </c>
      <c r="E615">
        <v>-613</v>
      </c>
      <c r="F615" t="s">
        <v>203</v>
      </c>
      <c r="G615" t="s">
        <v>204</v>
      </c>
    </row>
    <row r="616" spans="1:7">
      <c r="A616" t="s">
        <v>196</v>
      </c>
      <c r="B616" t="s">
        <v>201</v>
      </c>
      <c r="C616" t="s">
        <v>202</v>
      </c>
      <c r="D616" t="s">
        <v>817</v>
      </c>
      <c r="E616">
        <v>-614</v>
      </c>
      <c r="F616" t="s">
        <v>203</v>
      </c>
      <c r="G616" t="s">
        <v>204</v>
      </c>
    </row>
    <row r="617" spans="1:7">
      <c r="A617" t="s">
        <v>196</v>
      </c>
      <c r="B617" t="s">
        <v>201</v>
      </c>
      <c r="C617" t="s">
        <v>202</v>
      </c>
      <c r="D617" t="s">
        <v>818</v>
      </c>
      <c r="E617">
        <v>-615</v>
      </c>
      <c r="F617" t="s">
        <v>203</v>
      </c>
      <c r="G617" t="s">
        <v>204</v>
      </c>
    </row>
    <row r="618" spans="1:7">
      <c r="A618" t="s">
        <v>196</v>
      </c>
      <c r="B618" t="s">
        <v>201</v>
      </c>
      <c r="C618" t="s">
        <v>202</v>
      </c>
      <c r="D618" t="s">
        <v>819</v>
      </c>
      <c r="E618">
        <v>-616</v>
      </c>
      <c r="F618" t="s">
        <v>203</v>
      </c>
      <c r="G618" t="s">
        <v>204</v>
      </c>
    </row>
    <row r="619" spans="1:7">
      <c r="A619" t="s">
        <v>196</v>
      </c>
      <c r="B619" t="s">
        <v>201</v>
      </c>
      <c r="C619" t="s">
        <v>202</v>
      </c>
      <c r="D619" t="s">
        <v>820</v>
      </c>
      <c r="E619">
        <v>-617</v>
      </c>
      <c r="F619" t="s">
        <v>203</v>
      </c>
      <c r="G619" t="s">
        <v>204</v>
      </c>
    </row>
    <row r="620" spans="1:7">
      <c r="A620" t="s">
        <v>196</v>
      </c>
      <c r="B620" t="s">
        <v>201</v>
      </c>
      <c r="C620" t="s">
        <v>202</v>
      </c>
      <c r="D620" t="s">
        <v>821</v>
      </c>
      <c r="E620">
        <v>-618</v>
      </c>
      <c r="F620" t="s">
        <v>203</v>
      </c>
      <c r="G620" t="s">
        <v>204</v>
      </c>
    </row>
    <row r="621" spans="1:7">
      <c r="A621" t="s">
        <v>196</v>
      </c>
      <c r="B621" t="s">
        <v>201</v>
      </c>
      <c r="C621" t="s">
        <v>202</v>
      </c>
      <c r="D621" t="s">
        <v>822</v>
      </c>
      <c r="E621">
        <v>-619</v>
      </c>
      <c r="F621" t="s">
        <v>203</v>
      </c>
      <c r="G621" t="s">
        <v>204</v>
      </c>
    </row>
    <row r="622" spans="1:7">
      <c r="A622" t="s">
        <v>196</v>
      </c>
      <c r="B622" t="s">
        <v>201</v>
      </c>
      <c r="C622" t="s">
        <v>202</v>
      </c>
      <c r="D622" t="s">
        <v>823</v>
      </c>
      <c r="E622">
        <v>-620</v>
      </c>
      <c r="F622" t="s">
        <v>203</v>
      </c>
      <c r="G622" t="s">
        <v>204</v>
      </c>
    </row>
    <row r="623" spans="1:7">
      <c r="A623" t="s">
        <v>196</v>
      </c>
      <c r="B623" t="s">
        <v>201</v>
      </c>
      <c r="C623" t="s">
        <v>202</v>
      </c>
      <c r="D623" t="s">
        <v>824</v>
      </c>
      <c r="E623">
        <v>-621</v>
      </c>
      <c r="F623" t="s">
        <v>203</v>
      </c>
      <c r="G623" t="s">
        <v>204</v>
      </c>
    </row>
    <row r="624" spans="1:7">
      <c r="A624" t="s">
        <v>196</v>
      </c>
      <c r="B624" t="s">
        <v>201</v>
      </c>
      <c r="C624" t="s">
        <v>202</v>
      </c>
      <c r="D624" t="s">
        <v>825</v>
      </c>
      <c r="E624">
        <v>-622</v>
      </c>
      <c r="F624" t="s">
        <v>203</v>
      </c>
      <c r="G624" t="s">
        <v>204</v>
      </c>
    </row>
    <row r="625" spans="1:7">
      <c r="A625" t="s">
        <v>196</v>
      </c>
      <c r="B625" t="s">
        <v>201</v>
      </c>
      <c r="C625" t="s">
        <v>202</v>
      </c>
      <c r="D625" t="s">
        <v>826</v>
      </c>
      <c r="E625">
        <v>-623</v>
      </c>
      <c r="F625" t="s">
        <v>203</v>
      </c>
      <c r="G625" t="s">
        <v>204</v>
      </c>
    </row>
    <row r="626" spans="1:7">
      <c r="A626" t="s">
        <v>196</v>
      </c>
      <c r="B626" t="s">
        <v>201</v>
      </c>
      <c r="C626" t="s">
        <v>202</v>
      </c>
      <c r="D626" t="s">
        <v>827</v>
      </c>
      <c r="E626">
        <v>-624</v>
      </c>
      <c r="F626" t="s">
        <v>203</v>
      </c>
      <c r="G626" t="s">
        <v>204</v>
      </c>
    </row>
    <row r="627" spans="1:7">
      <c r="A627" t="s">
        <v>196</v>
      </c>
      <c r="B627" t="s">
        <v>201</v>
      </c>
      <c r="C627" t="s">
        <v>202</v>
      </c>
      <c r="D627" t="s">
        <v>828</v>
      </c>
      <c r="E627">
        <v>-625</v>
      </c>
      <c r="F627" t="s">
        <v>203</v>
      </c>
      <c r="G627" t="s">
        <v>204</v>
      </c>
    </row>
    <row r="628" spans="1:7">
      <c r="A628" t="s">
        <v>196</v>
      </c>
      <c r="B628" t="s">
        <v>201</v>
      </c>
      <c r="C628" t="s">
        <v>202</v>
      </c>
      <c r="D628" t="s">
        <v>829</v>
      </c>
      <c r="E628">
        <v>-626</v>
      </c>
      <c r="F628" t="s">
        <v>203</v>
      </c>
      <c r="G628" t="s">
        <v>204</v>
      </c>
    </row>
    <row r="629" spans="1:7">
      <c r="A629" t="s">
        <v>196</v>
      </c>
      <c r="B629" t="s">
        <v>201</v>
      </c>
      <c r="C629" t="s">
        <v>202</v>
      </c>
      <c r="D629" t="s">
        <v>830</v>
      </c>
      <c r="E629">
        <v>-627</v>
      </c>
      <c r="F629" t="s">
        <v>203</v>
      </c>
      <c r="G629" t="s">
        <v>204</v>
      </c>
    </row>
    <row r="630" spans="1:7">
      <c r="A630" t="s">
        <v>196</v>
      </c>
      <c r="B630" t="s">
        <v>201</v>
      </c>
      <c r="C630" t="s">
        <v>202</v>
      </c>
      <c r="D630" t="s">
        <v>831</v>
      </c>
      <c r="E630">
        <v>-628</v>
      </c>
      <c r="F630" t="s">
        <v>203</v>
      </c>
      <c r="G630" t="s">
        <v>204</v>
      </c>
    </row>
    <row r="631" spans="1:7">
      <c r="A631" t="s">
        <v>196</v>
      </c>
      <c r="B631" t="s">
        <v>201</v>
      </c>
      <c r="C631" t="s">
        <v>202</v>
      </c>
      <c r="D631" t="s">
        <v>832</v>
      </c>
      <c r="E631">
        <v>-629</v>
      </c>
      <c r="F631" t="s">
        <v>203</v>
      </c>
      <c r="G631" t="s">
        <v>204</v>
      </c>
    </row>
    <row r="632" spans="1:7">
      <c r="A632" t="s">
        <v>196</v>
      </c>
      <c r="B632" t="s">
        <v>201</v>
      </c>
      <c r="C632" t="s">
        <v>202</v>
      </c>
      <c r="D632" t="s">
        <v>833</v>
      </c>
      <c r="E632">
        <v>-630</v>
      </c>
      <c r="F632" t="s">
        <v>203</v>
      </c>
      <c r="G632" t="s">
        <v>204</v>
      </c>
    </row>
    <row r="633" spans="1:7">
      <c r="A633" t="s">
        <v>196</v>
      </c>
      <c r="B633" t="s">
        <v>201</v>
      </c>
      <c r="C633" t="s">
        <v>202</v>
      </c>
      <c r="D633" t="s">
        <v>834</v>
      </c>
      <c r="E633">
        <v>-631</v>
      </c>
      <c r="F633" t="s">
        <v>203</v>
      </c>
      <c r="G633" t="s">
        <v>204</v>
      </c>
    </row>
    <row r="634" spans="1:7">
      <c r="A634" t="s">
        <v>196</v>
      </c>
      <c r="B634" t="s">
        <v>201</v>
      </c>
      <c r="C634" t="s">
        <v>202</v>
      </c>
      <c r="D634" t="s">
        <v>835</v>
      </c>
      <c r="E634">
        <v>-632</v>
      </c>
      <c r="F634" t="s">
        <v>203</v>
      </c>
      <c r="G634" t="s">
        <v>204</v>
      </c>
    </row>
    <row r="635" spans="1:7">
      <c r="A635" t="s">
        <v>196</v>
      </c>
      <c r="B635" t="s">
        <v>201</v>
      </c>
      <c r="C635" t="s">
        <v>202</v>
      </c>
      <c r="D635" t="s">
        <v>836</v>
      </c>
      <c r="E635">
        <v>-633</v>
      </c>
      <c r="F635" t="s">
        <v>203</v>
      </c>
      <c r="G635" t="s">
        <v>204</v>
      </c>
    </row>
    <row r="636" spans="1:7">
      <c r="A636" t="s">
        <v>196</v>
      </c>
      <c r="B636" t="s">
        <v>201</v>
      </c>
      <c r="C636" t="s">
        <v>202</v>
      </c>
      <c r="D636" t="s">
        <v>837</v>
      </c>
      <c r="E636">
        <v>-634</v>
      </c>
      <c r="F636" t="s">
        <v>203</v>
      </c>
      <c r="G636" t="s">
        <v>204</v>
      </c>
    </row>
    <row r="637" spans="1:7">
      <c r="A637" t="s">
        <v>196</v>
      </c>
      <c r="B637" t="s">
        <v>201</v>
      </c>
      <c r="C637" t="s">
        <v>202</v>
      </c>
      <c r="D637" t="s">
        <v>838</v>
      </c>
      <c r="E637">
        <v>-635</v>
      </c>
      <c r="F637" t="s">
        <v>203</v>
      </c>
      <c r="G637" t="s">
        <v>204</v>
      </c>
    </row>
    <row r="638" spans="1:7">
      <c r="A638" t="s">
        <v>196</v>
      </c>
      <c r="B638" t="s">
        <v>201</v>
      </c>
      <c r="C638" t="s">
        <v>202</v>
      </c>
      <c r="D638" t="s">
        <v>839</v>
      </c>
      <c r="E638">
        <v>-636</v>
      </c>
      <c r="F638" t="s">
        <v>203</v>
      </c>
      <c r="G638" t="s">
        <v>204</v>
      </c>
    </row>
    <row r="639" spans="1:7">
      <c r="A639" t="s">
        <v>196</v>
      </c>
      <c r="B639" t="s">
        <v>201</v>
      </c>
      <c r="C639" t="s">
        <v>202</v>
      </c>
      <c r="D639" t="s">
        <v>840</v>
      </c>
      <c r="E639">
        <v>-637</v>
      </c>
      <c r="F639" t="s">
        <v>203</v>
      </c>
      <c r="G639" t="s">
        <v>204</v>
      </c>
    </row>
    <row r="640" spans="1:7">
      <c r="A640" t="s">
        <v>196</v>
      </c>
      <c r="B640" t="s">
        <v>201</v>
      </c>
      <c r="C640" t="s">
        <v>202</v>
      </c>
      <c r="D640" t="s">
        <v>841</v>
      </c>
      <c r="E640">
        <v>-638</v>
      </c>
      <c r="F640" t="s">
        <v>203</v>
      </c>
      <c r="G640" t="s">
        <v>204</v>
      </c>
    </row>
    <row r="641" spans="1:7">
      <c r="A641" t="s">
        <v>196</v>
      </c>
      <c r="B641" t="s">
        <v>201</v>
      </c>
      <c r="C641" t="s">
        <v>202</v>
      </c>
      <c r="D641" t="s">
        <v>842</v>
      </c>
      <c r="E641">
        <v>-639</v>
      </c>
      <c r="F641" t="s">
        <v>203</v>
      </c>
      <c r="G641" t="s">
        <v>204</v>
      </c>
    </row>
    <row r="642" spans="1:7">
      <c r="A642" t="s">
        <v>196</v>
      </c>
      <c r="B642" t="s">
        <v>201</v>
      </c>
      <c r="C642" t="s">
        <v>202</v>
      </c>
      <c r="D642" t="s">
        <v>843</v>
      </c>
      <c r="E642">
        <v>-640</v>
      </c>
      <c r="F642" t="s">
        <v>203</v>
      </c>
      <c r="G642" t="s">
        <v>204</v>
      </c>
    </row>
    <row r="643" spans="1:7">
      <c r="A643" t="s">
        <v>196</v>
      </c>
      <c r="B643" t="s">
        <v>201</v>
      </c>
      <c r="C643" t="s">
        <v>202</v>
      </c>
      <c r="D643" t="s">
        <v>844</v>
      </c>
      <c r="E643">
        <v>-641</v>
      </c>
      <c r="F643" t="s">
        <v>203</v>
      </c>
      <c r="G643" t="s">
        <v>204</v>
      </c>
    </row>
    <row r="644" spans="1:7">
      <c r="A644" t="s">
        <v>196</v>
      </c>
      <c r="B644" t="s">
        <v>201</v>
      </c>
      <c r="C644" t="s">
        <v>202</v>
      </c>
      <c r="D644" t="s">
        <v>845</v>
      </c>
      <c r="E644">
        <v>-642</v>
      </c>
      <c r="F644" t="s">
        <v>203</v>
      </c>
      <c r="G644" t="s">
        <v>204</v>
      </c>
    </row>
    <row r="645" spans="1:7">
      <c r="A645" t="s">
        <v>196</v>
      </c>
      <c r="B645" t="s">
        <v>201</v>
      </c>
      <c r="C645" t="s">
        <v>202</v>
      </c>
      <c r="D645" t="s">
        <v>846</v>
      </c>
      <c r="E645">
        <v>-643</v>
      </c>
      <c r="F645" t="s">
        <v>203</v>
      </c>
      <c r="G645" t="s">
        <v>204</v>
      </c>
    </row>
    <row r="646" spans="1:7">
      <c r="A646" t="s">
        <v>196</v>
      </c>
      <c r="B646" t="s">
        <v>201</v>
      </c>
      <c r="C646" t="s">
        <v>202</v>
      </c>
      <c r="D646" t="s">
        <v>847</v>
      </c>
      <c r="E646">
        <v>-644</v>
      </c>
      <c r="F646" t="s">
        <v>203</v>
      </c>
      <c r="G646" t="s">
        <v>204</v>
      </c>
    </row>
    <row r="647" spans="1:7">
      <c r="A647" t="s">
        <v>196</v>
      </c>
      <c r="B647" t="s">
        <v>201</v>
      </c>
      <c r="C647" t="s">
        <v>202</v>
      </c>
      <c r="D647" t="s">
        <v>848</v>
      </c>
      <c r="E647">
        <v>-645</v>
      </c>
      <c r="F647" t="s">
        <v>203</v>
      </c>
      <c r="G647" t="s">
        <v>204</v>
      </c>
    </row>
    <row r="648" spans="1:7">
      <c r="A648" t="s">
        <v>196</v>
      </c>
      <c r="B648" t="s">
        <v>201</v>
      </c>
      <c r="C648" t="s">
        <v>202</v>
      </c>
      <c r="D648" t="s">
        <v>849</v>
      </c>
      <c r="E648">
        <v>-646</v>
      </c>
      <c r="F648" t="s">
        <v>203</v>
      </c>
      <c r="G648" t="s">
        <v>204</v>
      </c>
    </row>
    <row r="649" spans="1:7">
      <c r="A649" t="s">
        <v>196</v>
      </c>
      <c r="B649" t="s">
        <v>201</v>
      </c>
      <c r="C649" t="s">
        <v>202</v>
      </c>
      <c r="D649" t="s">
        <v>850</v>
      </c>
      <c r="E649">
        <v>-647</v>
      </c>
      <c r="F649" t="s">
        <v>203</v>
      </c>
      <c r="G649" t="s">
        <v>204</v>
      </c>
    </row>
    <row r="650" spans="1:7">
      <c r="A650" t="s">
        <v>196</v>
      </c>
      <c r="B650" t="s">
        <v>201</v>
      </c>
      <c r="C650" t="s">
        <v>202</v>
      </c>
      <c r="D650" t="s">
        <v>851</v>
      </c>
      <c r="E650">
        <v>-648</v>
      </c>
      <c r="F650" t="s">
        <v>203</v>
      </c>
      <c r="G650" t="s">
        <v>204</v>
      </c>
    </row>
    <row r="651" spans="1:7">
      <c r="A651" t="s">
        <v>196</v>
      </c>
      <c r="B651" t="s">
        <v>201</v>
      </c>
      <c r="C651" t="s">
        <v>202</v>
      </c>
      <c r="D651" t="s">
        <v>852</v>
      </c>
      <c r="E651">
        <v>-649</v>
      </c>
      <c r="F651" t="s">
        <v>203</v>
      </c>
      <c r="G651" t="s">
        <v>204</v>
      </c>
    </row>
    <row r="652" spans="1:7">
      <c r="A652" t="s">
        <v>196</v>
      </c>
      <c r="B652" t="s">
        <v>201</v>
      </c>
      <c r="C652" t="s">
        <v>202</v>
      </c>
      <c r="D652" t="s">
        <v>853</v>
      </c>
      <c r="E652">
        <v>-650</v>
      </c>
      <c r="F652" t="s">
        <v>203</v>
      </c>
      <c r="G652" t="s">
        <v>204</v>
      </c>
    </row>
    <row r="653" spans="1:7">
      <c r="A653" t="s">
        <v>196</v>
      </c>
      <c r="B653" t="s">
        <v>201</v>
      </c>
      <c r="C653" t="s">
        <v>202</v>
      </c>
      <c r="D653" t="s">
        <v>854</v>
      </c>
      <c r="E653">
        <v>-651</v>
      </c>
      <c r="F653" t="s">
        <v>203</v>
      </c>
      <c r="G653" t="s">
        <v>204</v>
      </c>
    </row>
    <row r="654" spans="1:7">
      <c r="A654" t="s">
        <v>196</v>
      </c>
      <c r="B654" t="s">
        <v>201</v>
      </c>
      <c r="C654" t="s">
        <v>202</v>
      </c>
      <c r="D654" t="s">
        <v>855</v>
      </c>
      <c r="E654">
        <v>-652</v>
      </c>
      <c r="F654" t="s">
        <v>203</v>
      </c>
      <c r="G654" t="s">
        <v>204</v>
      </c>
    </row>
    <row r="655" spans="1:7">
      <c r="A655" t="s">
        <v>196</v>
      </c>
      <c r="B655" t="s">
        <v>201</v>
      </c>
      <c r="C655" t="s">
        <v>202</v>
      </c>
      <c r="D655" t="s">
        <v>856</v>
      </c>
      <c r="E655">
        <v>-653</v>
      </c>
      <c r="F655" t="s">
        <v>203</v>
      </c>
      <c r="G655" t="s">
        <v>204</v>
      </c>
    </row>
    <row r="656" spans="1:7">
      <c r="A656" t="s">
        <v>196</v>
      </c>
      <c r="B656" t="s">
        <v>201</v>
      </c>
      <c r="C656" t="s">
        <v>202</v>
      </c>
      <c r="D656" t="s">
        <v>857</v>
      </c>
      <c r="E656">
        <v>-654</v>
      </c>
      <c r="F656" t="s">
        <v>203</v>
      </c>
      <c r="G656" t="s">
        <v>204</v>
      </c>
    </row>
    <row r="657" spans="1:7">
      <c r="A657" t="s">
        <v>196</v>
      </c>
      <c r="B657" t="s">
        <v>201</v>
      </c>
      <c r="C657" t="s">
        <v>202</v>
      </c>
      <c r="D657" t="s">
        <v>858</v>
      </c>
      <c r="E657">
        <v>-655</v>
      </c>
      <c r="F657" t="s">
        <v>203</v>
      </c>
      <c r="G657" t="s">
        <v>204</v>
      </c>
    </row>
    <row r="658" spans="1:7">
      <c r="A658" t="s">
        <v>196</v>
      </c>
      <c r="B658" t="s">
        <v>201</v>
      </c>
      <c r="C658" t="s">
        <v>202</v>
      </c>
      <c r="D658" t="s">
        <v>859</v>
      </c>
      <c r="E658">
        <v>-656</v>
      </c>
      <c r="F658" t="s">
        <v>203</v>
      </c>
      <c r="G658" t="s">
        <v>204</v>
      </c>
    </row>
    <row r="659" spans="1:7">
      <c r="A659" t="s">
        <v>196</v>
      </c>
      <c r="B659" t="s">
        <v>201</v>
      </c>
      <c r="C659" t="s">
        <v>202</v>
      </c>
      <c r="D659" t="s">
        <v>860</v>
      </c>
      <c r="E659">
        <v>-657</v>
      </c>
      <c r="F659" t="s">
        <v>203</v>
      </c>
      <c r="G659" t="s">
        <v>204</v>
      </c>
    </row>
    <row r="660" spans="1:7">
      <c r="A660" t="s">
        <v>196</v>
      </c>
      <c r="B660" t="s">
        <v>201</v>
      </c>
      <c r="C660" t="s">
        <v>202</v>
      </c>
      <c r="D660" t="s">
        <v>861</v>
      </c>
      <c r="E660">
        <v>-658</v>
      </c>
      <c r="F660" t="s">
        <v>203</v>
      </c>
      <c r="G660" t="s">
        <v>204</v>
      </c>
    </row>
    <row r="661" spans="1:7">
      <c r="A661" t="s">
        <v>196</v>
      </c>
      <c r="B661" t="s">
        <v>201</v>
      </c>
      <c r="C661" t="s">
        <v>202</v>
      </c>
      <c r="D661" t="s">
        <v>862</v>
      </c>
      <c r="E661">
        <v>-659</v>
      </c>
      <c r="F661" t="s">
        <v>203</v>
      </c>
      <c r="G661" t="s">
        <v>204</v>
      </c>
    </row>
    <row r="662" spans="1:7">
      <c r="A662" t="s">
        <v>196</v>
      </c>
      <c r="B662" t="s">
        <v>201</v>
      </c>
      <c r="C662" t="s">
        <v>202</v>
      </c>
      <c r="D662" t="s">
        <v>863</v>
      </c>
      <c r="E662">
        <v>-660</v>
      </c>
      <c r="F662" t="s">
        <v>203</v>
      </c>
      <c r="G662" t="s">
        <v>204</v>
      </c>
    </row>
    <row r="663" spans="1:7">
      <c r="A663" t="s">
        <v>196</v>
      </c>
      <c r="B663" t="s">
        <v>201</v>
      </c>
      <c r="C663" t="s">
        <v>202</v>
      </c>
      <c r="D663" t="s">
        <v>864</v>
      </c>
      <c r="E663">
        <v>-661</v>
      </c>
      <c r="F663" t="s">
        <v>203</v>
      </c>
      <c r="G663" t="s">
        <v>204</v>
      </c>
    </row>
    <row r="664" spans="1:7">
      <c r="A664" t="s">
        <v>196</v>
      </c>
      <c r="B664" t="s">
        <v>201</v>
      </c>
      <c r="C664" t="s">
        <v>202</v>
      </c>
      <c r="D664" t="s">
        <v>865</v>
      </c>
      <c r="E664">
        <v>-662</v>
      </c>
      <c r="F664" t="s">
        <v>203</v>
      </c>
      <c r="G664" t="s">
        <v>204</v>
      </c>
    </row>
    <row r="665" spans="1:7">
      <c r="A665" t="s">
        <v>196</v>
      </c>
      <c r="B665" t="s">
        <v>201</v>
      </c>
      <c r="C665" t="s">
        <v>202</v>
      </c>
      <c r="D665" t="s">
        <v>866</v>
      </c>
      <c r="E665">
        <v>-663</v>
      </c>
      <c r="F665" t="s">
        <v>203</v>
      </c>
      <c r="G665" t="s">
        <v>204</v>
      </c>
    </row>
    <row r="666" spans="1:7">
      <c r="A666" t="s">
        <v>196</v>
      </c>
      <c r="B666" t="s">
        <v>201</v>
      </c>
      <c r="C666" t="s">
        <v>202</v>
      </c>
      <c r="D666" t="s">
        <v>867</v>
      </c>
      <c r="E666">
        <v>-664</v>
      </c>
      <c r="F666" t="s">
        <v>203</v>
      </c>
      <c r="G666" t="s">
        <v>204</v>
      </c>
    </row>
    <row r="667" spans="1:7">
      <c r="A667" t="s">
        <v>196</v>
      </c>
      <c r="B667" t="s">
        <v>201</v>
      </c>
      <c r="C667" t="s">
        <v>202</v>
      </c>
      <c r="D667" t="s">
        <v>868</v>
      </c>
      <c r="E667">
        <v>-665</v>
      </c>
      <c r="F667" t="s">
        <v>203</v>
      </c>
      <c r="G667" t="s">
        <v>204</v>
      </c>
    </row>
    <row r="668" spans="1:7">
      <c r="A668" t="s">
        <v>196</v>
      </c>
      <c r="B668" t="s">
        <v>201</v>
      </c>
      <c r="C668" t="s">
        <v>202</v>
      </c>
      <c r="D668" t="s">
        <v>869</v>
      </c>
      <c r="E668">
        <v>-666</v>
      </c>
      <c r="F668" t="s">
        <v>203</v>
      </c>
      <c r="G668" t="s">
        <v>204</v>
      </c>
    </row>
    <row r="669" spans="1:7">
      <c r="A669" t="s">
        <v>196</v>
      </c>
      <c r="B669" t="s">
        <v>201</v>
      </c>
      <c r="C669" t="s">
        <v>202</v>
      </c>
      <c r="D669" t="s">
        <v>870</v>
      </c>
      <c r="E669">
        <v>-667</v>
      </c>
      <c r="F669" t="s">
        <v>203</v>
      </c>
      <c r="G669" t="s">
        <v>204</v>
      </c>
    </row>
    <row r="670" spans="1:7">
      <c r="A670" t="s">
        <v>196</v>
      </c>
      <c r="B670" t="s">
        <v>201</v>
      </c>
      <c r="C670" t="s">
        <v>202</v>
      </c>
      <c r="D670" t="s">
        <v>871</v>
      </c>
      <c r="E670">
        <v>-668</v>
      </c>
      <c r="F670" t="s">
        <v>203</v>
      </c>
      <c r="G670" t="s">
        <v>204</v>
      </c>
    </row>
    <row r="671" spans="1:7">
      <c r="A671" t="s">
        <v>196</v>
      </c>
      <c r="B671" t="s">
        <v>201</v>
      </c>
      <c r="C671" t="s">
        <v>202</v>
      </c>
      <c r="D671" t="s">
        <v>872</v>
      </c>
      <c r="E671">
        <v>-669</v>
      </c>
      <c r="F671" t="s">
        <v>203</v>
      </c>
      <c r="G671" t="s">
        <v>204</v>
      </c>
    </row>
    <row r="672" spans="1:7">
      <c r="A672" t="s">
        <v>196</v>
      </c>
      <c r="B672" t="s">
        <v>201</v>
      </c>
      <c r="C672" t="s">
        <v>202</v>
      </c>
      <c r="D672" t="s">
        <v>873</v>
      </c>
      <c r="E672">
        <v>-670</v>
      </c>
      <c r="F672" t="s">
        <v>203</v>
      </c>
      <c r="G672" t="s">
        <v>204</v>
      </c>
    </row>
    <row r="673" spans="1:7">
      <c r="A673" t="s">
        <v>196</v>
      </c>
      <c r="B673" t="s">
        <v>201</v>
      </c>
      <c r="C673" t="s">
        <v>202</v>
      </c>
      <c r="D673" t="s">
        <v>874</v>
      </c>
      <c r="E673">
        <v>-671</v>
      </c>
      <c r="F673" t="s">
        <v>203</v>
      </c>
      <c r="G673" t="s">
        <v>204</v>
      </c>
    </row>
    <row r="674" spans="1:7">
      <c r="A674" t="s">
        <v>196</v>
      </c>
      <c r="B674" t="s">
        <v>201</v>
      </c>
      <c r="C674" t="s">
        <v>202</v>
      </c>
      <c r="D674" t="s">
        <v>875</v>
      </c>
      <c r="E674">
        <v>-672</v>
      </c>
      <c r="F674" t="s">
        <v>203</v>
      </c>
      <c r="G674" t="s">
        <v>204</v>
      </c>
    </row>
    <row r="675" spans="1:7">
      <c r="A675" t="s">
        <v>196</v>
      </c>
      <c r="B675" t="s">
        <v>201</v>
      </c>
      <c r="C675" t="s">
        <v>202</v>
      </c>
      <c r="D675" t="s">
        <v>876</v>
      </c>
      <c r="E675">
        <v>-673</v>
      </c>
      <c r="F675" t="s">
        <v>203</v>
      </c>
      <c r="G675" t="s">
        <v>204</v>
      </c>
    </row>
    <row r="676" spans="1:7">
      <c r="A676" t="s">
        <v>196</v>
      </c>
      <c r="B676" t="s">
        <v>201</v>
      </c>
      <c r="C676" t="s">
        <v>202</v>
      </c>
      <c r="D676" t="s">
        <v>877</v>
      </c>
      <c r="E676">
        <v>-674</v>
      </c>
      <c r="F676" t="s">
        <v>203</v>
      </c>
      <c r="G676" t="s">
        <v>204</v>
      </c>
    </row>
    <row r="677" spans="1:7">
      <c r="A677" t="s">
        <v>196</v>
      </c>
      <c r="B677" t="s">
        <v>201</v>
      </c>
      <c r="C677" t="s">
        <v>202</v>
      </c>
      <c r="D677" t="s">
        <v>878</v>
      </c>
      <c r="E677">
        <v>-675</v>
      </c>
      <c r="F677" t="s">
        <v>203</v>
      </c>
      <c r="G677" t="s">
        <v>204</v>
      </c>
    </row>
    <row r="678" spans="1:7">
      <c r="A678" t="s">
        <v>196</v>
      </c>
      <c r="B678" t="s">
        <v>201</v>
      </c>
      <c r="C678" t="s">
        <v>202</v>
      </c>
      <c r="D678" t="s">
        <v>879</v>
      </c>
      <c r="E678">
        <v>-676</v>
      </c>
      <c r="F678" t="s">
        <v>203</v>
      </c>
      <c r="G678" t="s">
        <v>204</v>
      </c>
    </row>
    <row r="679" spans="1:7">
      <c r="A679" t="s">
        <v>196</v>
      </c>
      <c r="B679" t="s">
        <v>201</v>
      </c>
      <c r="C679" t="s">
        <v>202</v>
      </c>
      <c r="D679" t="s">
        <v>880</v>
      </c>
      <c r="E679">
        <v>-677</v>
      </c>
      <c r="F679" t="s">
        <v>203</v>
      </c>
      <c r="G679" t="s">
        <v>204</v>
      </c>
    </row>
    <row r="680" spans="1:7">
      <c r="A680" t="s">
        <v>196</v>
      </c>
      <c r="B680" t="s">
        <v>201</v>
      </c>
      <c r="C680" t="s">
        <v>202</v>
      </c>
      <c r="D680" t="s">
        <v>881</v>
      </c>
      <c r="E680">
        <v>-678</v>
      </c>
      <c r="F680" t="s">
        <v>203</v>
      </c>
      <c r="G680" t="s">
        <v>204</v>
      </c>
    </row>
    <row r="681" spans="1:7">
      <c r="A681" t="s">
        <v>196</v>
      </c>
      <c r="B681" t="s">
        <v>201</v>
      </c>
      <c r="C681" t="s">
        <v>202</v>
      </c>
      <c r="D681" t="s">
        <v>882</v>
      </c>
      <c r="E681">
        <v>-679</v>
      </c>
      <c r="F681" t="s">
        <v>203</v>
      </c>
      <c r="G681" t="s">
        <v>204</v>
      </c>
    </row>
    <row r="682" spans="1:7">
      <c r="A682" t="s">
        <v>196</v>
      </c>
      <c r="B682" t="s">
        <v>201</v>
      </c>
      <c r="C682" t="s">
        <v>202</v>
      </c>
      <c r="D682" t="s">
        <v>883</v>
      </c>
      <c r="E682">
        <v>-680</v>
      </c>
      <c r="F682" t="s">
        <v>203</v>
      </c>
      <c r="G682" t="s">
        <v>204</v>
      </c>
    </row>
    <row r="683" spans="1:7">
      <c r="A683" t="s">
        <v>196</v>
      </c>
      <c r="B683" t="s">
        <v>201</v>
      </c>
      <c r="C683" t="s">
        <v>202</v>
      </c>
      <c r="D683" t="s">
        <v>884</v>
      </c>
      <c r="E683">
        <v>-681</v>
      </c>
      <c r="F683" t="s">
        <v>203</v>
      </c>
      <c r="G683" t="s">
        <v>204</v>
      </c>
    </row>
    <row r="684" spans="1:7">
      <c r="A684" t="s">
        <v>196</v>
      </c>
      <c r="B684" t="s">
        <v>201</v>
      </c>
      <c r="C684" t="s">
        <v>202</v>
      </c>
      <c r="D684" t="s">
        <v>885</v>
      </c>
      <c r="E684">
        <v>-682</v>
      </c>
      <c r="F684" t="s">
        <v>203</v>
      </c>
      <c r="G684" t="s">
        <v>204</v>
      </c>
    </row>
    <row r="685" spans="1:7">
      <c r="A685" t="s">
        <v>196</v>
      </c>
      <c r="B685" t="s">
        <v>201</v>
      </c>
      <c r="C685" t="s">
        <v>202</v>
      </c>
      <c r="D685" t="s">
        <v>886</v>
      </c>
      <c r="E685">
        <v>-683</v>
      </c>
      <c r="F685" t="s">
        <v>203</v>
      </c>
      <c r="G685" t="s">
        <v>204</v>
      </c>
    </row>
    <row r="686" spans="1:7">
      <c r="A686" t="s">
        <v>196</v>
      </c>
      <c r="B686" t="s">
        <v>201</v>
      </c>
      <c r="C686" t="s">
        <v>202</v>
      </c>
      <c r="D686" t="s">
        <v>887</v>
      </c>
      <c r="E686">
        <v>-684</v>
      </c>
      <c r="F686" t="s">
        <v>203</v>
      </c>
      <c r="G686" t="s">
        <v>204</v>
      </c>
    </row>
    <row r="687" spans="1:7">
      <c r="A687" t="s">
        <v>196</v>
      </c>
      <c r="B687" t="s">
        <v>201</v>
      </c>
      <c r="C687" t="s">
        <v>202</v>
      </c>
      <c r="D687" t="s">
        <v>888</v>
      </c>
      <c r="E687">
        <v>-685</v>
      </c>
      <c r="F687" t="s">
        <v>203</v>
      </c>
      <c r="G687" t="s">
        <v>204</v>
      </c>
    </row>
    <row r="688" spans="1:7">
      <c r="A688" t="s">
        <v>196</v>
      </c>
      <c r="B688" t="s">
        <v>201</v>
      </c>
      <c r="C688" t="s">
        <v>202</v>
      </c>
      <c r="D688" t="s">
        <v>889</v>
      </c>
      <c r="E688">
        <v>-686</v>
      </c>
      <c r="F688" t="s">
        <v>203</v>
      </c>
      <c r="G688" t="s">
        <v>204</v>
      </c>
    </row>
    <row r="689" spans="1:7">
      <c r="A689" t="s">
        <v>196</v>
      </c>
      <c r="B689" t="s">
        <v>201</v>
      </c>
      <c r="C689" t="s">
        <v>202</v>
      </c>
      <c r="D689" t="s">
        <v>890</v>
      </c>
      <c r="E689">
        <v>-687</v>
      </c>
      <c r="F689" t="s">
        <v>203</v>
      </c>
      <c r="G689" t="s">
        <v>204</v>
      </c>
    </row>
    <row r="690" spans="1:7">
      <c r="A690" t="s">
        <v>196</v>
      </c>
      <c r="B690" t="s">
        <v>201</v>
      </c>
      <c r="C690" t="s">
        <v>202</v>
      </c>
      <c r="D690" t="s">
        <v>891</v>
      </c>
      <c r="E690">
        <v>-688</v>
      </c>
      <c r="F690" t="s">
        <v>203</v>
      </c>
      <c r="G690" t="s">
        <v>204</v>
      </c>
    </row>
    <row r="691" spans="1:7">
      <c r="A691" t="s">
        <v>196</v>
      </c>
      <c r="B691" t="s">
        <v>201</v>
      </c>
      <c r="C691" t="s">
        <v>202</v>
      </c>
      <c r="D691" t="s">
        <v>892</v>
      </c>
      <c r="E691">
        <v>-689</v>
      </c>
      <c r="F691" t="s">
        <v>203</v>
      </c>
      <c r="G691" t="s">
        <v>204</v>
      </c>
    </row>
    <row r="692" spans="1:7">
      <c r="A692" t="s">
        <v>196</v>
      </c>
      <c r="B692" t="s">
        <v>201</v>
      </c>
      <c r="C692" t="s">
        <v>202</v>
      </c>
      <c r="D692" t="s">
        <v>893</v>
      </c>
      <c r="E692">
        <v>-690</v>
      </c>
      <c r="F692" t="s">
        <v>203</v>
      </c>
      <c r="G692" t="s">
        <v>204</v>
      </c>
    </row>
    <row r="693" spans="1:7">
      <c r="A693" t="s">
        <v>196</v>
      </c>
      <c r="B693" t="s">
        <v>201</v>
      </c>
      <c r="C693" t="s">
        <v>202</v>
      </c>
      <c r="D693" t="s">
        <v>894</v>
      </c>
      <c r="E693">
        <v>-691</v>
      </c>
      <c r="F693" t="s">
        <v>203</v>
      </c>
      <c r="G693" t="s">
        <v>204</v>
      </c>
    </row>
    <row r="694" spans="1:7">
      <c r="A694" t="s">
        <v>196</v>
      </c>
      <c r="B694" t="s">
        <v>201</v>
      </c>
      <c r="C694" t="s">
        <v>202</v>
      </c>
      <c r="D694" t="s">
        <v>895</v>
      </c>
      <c r="E694">
        <v>-692</v>
      </c>
      <c r="F694" t="s">
        <v>203</v>
      </c>
      <c r="G694" t="s">
        <v>204</v>
      </c>
    </row>
    <row r="695" spans="1:7">
      <c r="A695" t="s">
        <v>196</v>
      </c>
      <c r="B695" t="s">
        <v>201</v>
      </c>
      <c r="C695" t="s">
        <v>202</v>
      </c>
      <c r="D695" t="s">
        <v>896</v>
      </c>
      <c r="E695">
        <v>-693</v>
      </c>
      <c r="F695" t="s">
        <v>203</v>
      </c>
      <c r="G695" t="s">
        <v>204</v>
      </c>
    </row>
    <row r="696" spans="1:7">
      <c r="A696" t="s">
        <v>196</v>
      </c>
      <c r="B696" t="s">
        <v>201</v>
      </c>
      <c r="C696" t="s">
        <v>202</v>
      </c>
      <c r="D696" t="s">
        <v>897</v>
      </c>
      <c r="E696">
        <v>-694</v>
      </c>
      <c r="F696" t="s">
        <v>203</v>
      </c>
      <c r="G696" t="s">
        <v>204</v>
      </c>
    </row>
    <row r="697" spans="1:7">
      <c r="A697" t="s">
        <v>196</v>
      </c>
      <c r="B697" t="s">
        <v>201</v>
      </c>
      <c r="C697" t="s">
        <v>202</v>
      </c>
      <c r="D697" t="s">
        <v>898</v>
      </c>
      <c r="E697">
        <v>-695</v>
      </c>
      <c r="F697" t="s">
        <v>203</v>
      </c>
      <c r="G697" t="s">
        <v>204</v>
      </c>
    </row>
    <row r="698" spans="1:7">
      <c r="A698" t="s">
        <v>196</v>
      </c>
      <c r="B698" t="s">
        <v>201</v>
      </c>
      <c r="C698" t="s">
        <v>202</v>
      </c>
      <c r="D698" t="s">
        <v>899</v>
      </c>
      <c r="E698">
        <v>-696</v>
      </c>
      <c r="F698" t="s">
        <v>203</v>
      </c>
      <c r="G698" t="s">
        <v>204</v>
      </c>
    </row>
    <row r="699" spans="1:7">
      <c r="A699" t="s">
        <v>196</v>
      </c>
      <c r="B699" t="s">
        <v>201</v>
      </c>
      <c r="C699" t="s">
        <v>202</v>
      </c>
      <c r="D699" t="s">
        <v>900</v>
      </c>
      <c r="E699">
        <v>-697</v>
      </c>
      <c r="F699" t="s">
        <v>203</v>
      </c>
      <c r="G699" t="s">
        <v>204</v>
      </c>
    </row>
    <row r="700" spans="1:7">
      <c r="A700" t="s">
        <v>196</v>
      </c>
      <c r="B700" t="s">
        <v>201</v>
      </c>
      <c r="C700" t="s">
        <v>202</v>
      </c>
      <c r="D700" t="s">
        <v>901</v>
      </c>
      <c r="E700">
        <v>-698</v>
      </c>
      <c r="F700" t="s">
        <v>203</v>
      </c>
      <c r="G700" t="s">
        <v>204</v>
      </c>
    </row>
    <row r="701" spans="1:7">
      <c r="A701" t="s">
        <v>196</v>
      </c>
      <c r="B701" t="s">
        <v>201</v>
      </c>
      <c r="C701" t="s">
        <v>202</v>
      </c>
      <c r="D701" t="s">
        <v>902</v>
      </c>
      <c r="E701">
        <v>-699</v>
      </c>
      <c r="F701" t="s">
        <v>203</v>
      </c>
      <c r="G701" t="s">
        <v>204</v>
      </c>
    </row>
    <row r="702" spans="1:7">
      <c r="A702" t="s">
        <v>196</v>
      </c>
      <c r="B702" t="s">
        <v>201</v>
      </c>
      <c r="C702" t="s">
        <v>202</v>
      </c>
      <c r="D702" t="s">
        <v>903</v>
      </c>
      <c r="E702">
        <v>-700</v>
      </c>
      <c r="F702" t="s">
        <v>203</v>
      </c>
      <c r="G702" t="s">
        <v>204</v>
      </c>
    </row>
    <row r="703" spans="1:7">
      <c r="A703" t="s">
        <v>196</v>
      </c>
      <c r="B703" t="s">
        <v>201</v>
      </c>
      <c r="C703" t="s">
        <v>202</v>
      </c>
      <c r="D703" t="s">
        <v>904</v>
      </c>
      <c r="E703">
        <v>-701</v>
      </c>
      <c r="F703" t="s">
        <v>203</v>
      </c>
      <c r="G703" t="s">
        <v>204</v>
      </c>
    </row>
    <row r="704" spans="1:7">
      <c r="A704" t="s">
        <v>196</v>
      </c>
      <c r="B704" t="s">
        <v>201</v>
      </c>
      <c r="C704" t="s">
        <v>202</v>
      </c>
      <c r="D704" t="s">
        <v>905</v>
      </c>
      <c r="E704">
        <v>-702</v>
      </c>
      <c r="F704" t="s">
        <v>203</v>
      </c>
      <c r="G704" t="s">
        <v>204</v>
      </c>
    </row>
    <row r="705" spans="1:7">
      <c r="A705" t="s">
        <v>196</v>
      </c>
      <c r="B705" t="s">
        <v>201</v>
      </c>
      <c r="C705" t="s">
        <v>202</v>
      </c>
      <c r="D705" t="s">
        <v>906</v>
      </c>
      <c r="E705">
        <v>-703</v>
      </c>
      <c r="F705" t="s">
        <v>203</v>
      </c>
      <c r="G705" t="s">
        <v>204</v>
      </c>
    </row>
    <row r="706" spans="1:7">
      <c r="A706" t="s">
        <v>196</v>
      </c>
      <c r="B706" t="s">
        <v>201</v>
      </c>
      <c r="C706" t="s">
        <v>202</v>
      </c>
      <c r="D706" t="s">
        <v>907</v>
      </c>
      <c r="E706">
        <v>-704</v>
      </c>
      <c r="F706" t="s">
        <v>203</v>
      </c>
      <c r="G706" t="s">
        <v>204</v>
      </c>
    </row>
    <row r="707" spans="1:7">
      <c r="A707" t="s">
        <v>196</v>
      </c>
      <c r="B707" t="s">
        <v>201</v>
      </c>
      <c r="C707" t="s">
        <v>202</v>
      </c>
      <c r="D707" t="s">
        <v>908</v>
      </c>
      <c r="E707">
        <v>-705</v>
      </c>
      <c r="F707" t="s">
        <v>203</v>
      </c>
      <c r="G707" t="s">
        <v>204</v>
      </c>
    </row>
    <row r="708" spans="1:7">
      <c r="A708" t="s">
        <v>196</v>
      </c>
      <c r="B708" t="s">
        <v>201</v>
      </c>
      <c r="C708" t="s">
        <v>202</v>
      </c>
      <c r="D708" t="s">
        <v>909</v>
      </c>
      <c r="E708">
        <v>-706</v>
      </c>
      <c r="F708" t="s">
        <v>203</v>
      </c>
      <c r="G708" t="s">
        <v>204</v>
      </c>
    </row>
    <row r="709" spans="1:7">
      <c r="A709" t="s">
        <v>196</v>
      </c>
      <c r="B709" t="s">
        <v>201</v>
      </c>
      <c r="C709" t="s">
        <v>202</v>
      </c>
      <c r="D709" t="s">
        <v>910</v>
      </c>
      <c r="E709">
        <v>-707</v>
      </c>
      <c r="F709" t="s">
        <v>203</v>
      </c>
      <c r="G709" t="s">
        <v>204</v>
      </c>
    </row>
    <row r="710" spans="1:7">
      <c r="A710" t="s">
        <v>196</v>
      </c>
      <c r="B710" t="s">
        <v>201</v>
      </c>
      <c r="C710" t="s">
        <v>202</v>
      </c>
      <c r="D710" t="s">
        <v>911</v>
      </c>
      <c r="E710">
        <v>-708</v>
      </c>
      <c r="F710" t="s">
        <v>203</v>
      </c>
      <c r="G710" t="s">
        <v>204</v>
      </c>
    </row>
    <row r="711" spans="1:7">
      <c r="A711" t="s">
        <v>196</v>
      </c>
      <c r="B711" t="s">
        <v>201</v>
      </c>
      <c r="C711" t="s">
        <v>202</v>
      </c>
      <c r="D711" t="s">
        <v>912</v>
      </c>
      <c r="E711">
        <v>-709</v>
      </c>
      <c r="F711" t="s">
        <v>203</v>
      </c>
      <c r="G711" t="s">
        <v>204</v>
      </c>
    </row>
    <row r="712" spans="1:7">
      <c r="A712" t="s">
        <v>196</v>
      </c>
      <c r="B712" t="s">
        <v>201</v>
      </c>
      <c r="C712" t="s">
        <v>202</v>
      </c>
      <c r="D712" t="s">
        <v>913</v>
      </c>
      <c r="E712">
        <v>-710</v>
      </c>
      <c r="F712" t="s">
        <v>203</v>
      </c>
      <c r="G712" t="s">
        <v>204</v>
      </c>
    </row>
    <row r="713" spans="1:7">
      <c r="A713" t="s">
        <v>196</v>
      </c>
      <c r="B713" t="s">
        <v>201</v>
      </c>
      <c r="C713" t="s">
        <v>202</v>
      </c>
      <c r="D713" t="s">
        <v>914</v>
      </c>
      <c r="E713">
        <v>-711</v>
      </c>
      <c r="F713" t="s">
        <v>203</v>
      </c>
      <c r="G713" t="s">
        <v>204</v>
      </c>
    </row>
    <row r="714" spans="1:7">
      <c r="A714" t="s">
        <v>196</v>
      </c>
      <c r="B714" t="s">
        <v>201</v>
      </c>
      <c r="C714" t="s">
        <v>202</v>
      </c>
      <c r="D714" t="s">
        <v>915</v>
      </c>
      <c r="E714">
        <v>-712</v>
      </c>
      <c r="F714" t="s">
        <v>203</v>
      </c>
      <c r="G714" t="s">
        <v>204</v>
      </c>
    </row>
    <row r="715" spans="1:7">
      <c r="A715" t="s">
        <v>196</v>
      </c>
      <c r="B715" t="s">
        <v>201</v>
      </c>
      <c r="C715" t="s">
        <v>202</v>
      </c>
      <c r="D715" t="s">
        <v>916</v>
      </c>
      <c r="E715">
        <v>-713</v>
      </c>
      <c r="F715" t="s">
        <v>203</v>
      </c>
      <c r="G715" t="s">
        <v>204</v>
      </c>
    </row>
    <row r="716" spans="1:7">
      <c r="A716" t="s">
        <v>196</v>
      </c>
      <c r="B716" t="s">
        <v>201</v>
      </c>
      <c r="C716" t="s">
        <v>202</v>
      </c>
      <c r="D716" t="s">
        <v>917</v>
      </c>
      <c r="E716">
        <v>-714</v>
      </c>
      <c r="F716" t="s">
        <v>203</v>
      </c>
      <c r="G716" t="s">
        <v>204</v>
      </c>
    </row>
    <row r="717" spans="1:7">
      <c r="A717" t="s">
        <v>196</v>
      </c>
      <c r="B717" t="s">
        <v>201</v>
      </c>
      <c r="C717" t="s">
        <v>202</v>
      </c>
      <c r="D717" t="s">
        <v>918</v>
      </c>
      <c r="E717">
        <v>-715</v>
      </c>
      <c r="F717" t="s">
        <v>203</v>
      </c>
      <c r="G717" t="s">
        <v>204</v>
      </c>
    </row>
    <row r="718" spans="1:7">
      <c r="A718" t="s">
        <v>196</v>
      </c>
      <c r="B718" t="s">
        <v>201</v>
      </c>
      <c r="C718" t="s">
        <v>202</v>
      </c>
      <c r="D718" t="s">
        <v>919</v>
      </c>
      <c r="E718">
        <v>-716</v>
      </c>
      <c r="F718" t="s">
        <v>203</v>
      </c>
      <c r="G718" t="s">
        <v>204</v>
      </c>
    </row>
    <row r="719" spans="1:7">
      <c r="A719" t="s">
        <v>196</v>
      </c>
      <c r="B719" t="s">
        <v>201</v>
      </c>
      <c r="C719" t="s">
        <v>202</v>
      </c>
      <c r="D719" t="s">
        <v>920</v>
      </c>
      <c r="E719">
        <v>-717</v>
      </c>
      <c r="F719" t="s">
        <v>203</v>
      </c>
      <c r="G719" t="s">
        <v>204</v>
      </c>
    </row>
    <row r="720" spans="1:7">
      <c r="A720" t="s">
        <v>196</v>
      </c>
      <c r="B720" t="s">
        <v>201</v>
      </c>
      <c r="C720" t="s">
        <v>202</v>
      </c>
      <c r="D720" t="s">
        <v>921</v>
      </c>
      <c r="E720">
        <v>-718</v>
      </c>
      <c r="F720" t="s">
        <v>203</v>
      </c>
      <c r="G720" t="s">
        <v>204</v>
      </c>
    </row>
    <row r="721" spans="1:7">
      <c r="A721" t="s">
        <v>196</v>
      </c>
      <c r="B721" t="s">
        <v>201</v>
      </c>
      <c r="C721" t="s">
        <v>202</v>
      </c>
      <c r="D721" t="s">
        <v>922</v>
      </c>
      <c r="E721">
        <v>-719</v>
      </c>
      <c r="F721" t="s">
        <v>203</v>
      </c>
      <c r="G721" t="s">
        <v>204</v>
      </c>
    </row>
    <row r="722" spans="1:7">
      <c r="A722" t="s">
        <v>196</v>
      </c>
      <c r="B722" t="s">
        <v>201</v>
      </c>
      <c r="C722" t="s">
        <v>202</v>
      </c>
      <c r="D722" t="s">
        <v>923</v>
      </c>
      <c r="E722">
        <v>-720</v>
      </c>
      <c r="F722" t="s">
        <v>203</v>
      </c>
      <c r="G722" t="s">
        <v>204</v>
      </c>
    </row>
    <row r="723" spans="1:7">
      <c r="A723" t="s">
        <v>196</v>
      </c>
      <c r="B723" t="s">
        <v>201</v>
      </c>
      <c r="C723" t="s">
        <v>202</v>
      </c>
      <c r="D723" t="s">
        <v>924</v>
      </c>
      <c r="E723">
        <v>-721</v>
      </c>
      <c r="F723" t="s">
        <v>203</v>
      </c>
      <c r="G723" t="s">
        <v>204</v>
      </c>
    </row>
    <row r="724" spans="1:7">
      <c r="A724" t="s">
        <v>196</v>
      </c>
      <c r="B724" t="s">
        <v>201</v>
      </c>
      <c r="C724" t="s">
        <v>202</v>
      </c>
      <c r="D724" t="s">
        <v>925</v>
      </c>
      <c r="E724">
        <v>-722</v>
      </c>
      <c r="F724" t="s">
        <v>203</v>
      </c>
      <c r="G724" t="s">
        <v>204</v>
      </c>
    </row>
    <row r="725" spans="1:7">
      <c r="A725" t="s">
        <v>196</v>
      </c>
      <c r="B725" t="s">
        <v>201</v>
      </c>
      <c r="C725" t="s">
        <v>202</v>
      </c>
      <c r="D725" t="s">
        <v>926</v>
      </c>
      <c r="E725">
        <v>-723</v>
      </c>
      <c r="F725" t="s">
        <v>203</v>
      </c>
      <c r="G725" t="s">
        <v>204</v>
      </c>
    </row>
    <row r="726" spans="1:7">
      <c r="A726" t="s">
        <v>196</v>
      </c>
      <c r="B726" t="s">
        <v>201</v>
      </c>
      <c r="C726" t="s">
        <v>202</v>
      </c>
      <c r="D726" t="s">
        <v>927</v>
      </c>
      <c r="E726">
        <v>-724</v>
      </c>
      <c r="F726" t="s">
        <v>203</v>
      </c>
      <c r="G726" t="s">
        <v>204</v>
      </c>
    </row>
    <row r="727" spans="1:7">
      <c r="A727" t="s">
        <v>196</v>
      </c>
      <c r="B727" t="s">
        <v>201</v>
      </c>
      <c r="C727" t="s">
        <v>202</v>
      </c>
      <c r="D727" t="s">
        <v>928</v>
      </c>
      <c r="E727">
        <v>-725</v>
      </c>
      <c r="F727" t="s">
        <v>203</v>
      </c>
      <c r="G727" t="s">
        <v>204</v>
      </c>
    </row>
    <row r="728" spans="1:7">
      <c r="A728" t="s">
        <v>196</v>
      </c>
      <c r="B728" t="s">
        <v>201</v>
      </c>
      <c r="C728" t="s">
        <v>202</v>
      </c>
      <c r="D728" t="s">
        <v>929</v>
      </c>
      <c r="E728">
        <v>-726</v>
      </c>
      <c r="F728" t="s">
        <v>203</v>
      </c>
      <c r="G728" t="s">
        <v>204</v>
      </c>
    </row>
    <row r="729" spans="1:7">
      <c r="A729" t="s">
        <v>196</v>
      </c>
      <c r="B729" t="s">
        <v>201</v>
      </c>
      <c r="C729" t="s">
        <v>202</v>
      </c>
      <c r="D729" t="s">
        <v>930</v>
      </c>
      <c r="E729">
        <v>-727</v>
      </c>
      <c r="F729" t="s">
        <v>203</v>
      </c>
      <c r="G729" t="s">
        <v>204</v>
      </c>
    </row>
    <row r="730" spans="1:7">
      <c r="A730" t="s">
        <v>196</v>
      </c>
      <c r="B730" t="s">
        <v>201</v>
      </c>
      <c r="C730" t="s">
        <v>202</v>
      </c>
      <c r="D730" t="s">
        <v>931</v>
      </c>
      <c r="E730">
        <v>-728</v>
      </c>
      <c r="F730" t="s">
        <v>203</v>
      </c>
      <c r="G730" t="s">
        <v>204</v>
      </c>
    </row>
    <row r="731" spans="1:7">
      <c r="A731" t="s">
        <v>196</v>
      </c>
      <c r="B731" t="s">
        <v>201</v>
      </c>
      <c r="C731" t="s">
        <v>202</v>
      </c>
      <c r="D731" t="s">
        <v>932</v>
      </c>
      <c r="E731">
        <v>-729</v>
      </c>
      <c r="F731" t="s">
        <v>203</v>
      </c>
      <c r="G731" t="s">
        <v>204</v>
      </c>
    </row>
    <row r="732" spans="1:7">
      <c r="A732" t="s">
        <v>196</v>
      </c>
      <c r="B732" t="s">
        <v>201</v>
      </c>
      <c r="C732" t="s">
        <v>202</v>
      </c>
      <c r="D732" t="s">
        <v>933</v>
      </c>
      <c r="E732">
        <v>-730</v>
      </c>
      <c r="F732" t="s">
        <v>203</v>
      </c>
      <c r="G732" t="s">
        <v>204</v>
      </c>
    </row>
    <row r="733" spans="1:7">
      <c r="A733" t="s">
        <v>196</v>
      </c>
      <c r="B733" t="s">
        <v>201</v>
      </c>
      <c r="C733" t="s">
        <v>202</v>
      </c>
      <c r="D733" t="s">
        <v>934</v>
      </c>
      <c r="E733">
        <v>-731</v>
      </c>
      <c r="F733" t="s">
        <v>203</v>
      </c>
      <c r="G733" t="s">
        <v>204</v>
      </c>
    </row>
    <row r="734" spans="1:7">
      <c r="A734" t="s">
        <v>196</v>
      </c>
      <c r="B734" t="s">
        <v>201</v>
      </c>
      <c r="C734" t="s">
        <v>202</v>
      </c>
      <c r="D734" t="s">
        <v>935</v>
      </c>
      <c r="E734">
        <v>-732</v>
      </c>
      <c r="F734" t="s">
        <v>203</v>
      </c>
      <c r="G734" t="s">
        <v>204</v>
      </c>
    </row>
    <row r="735" spans="1:7">
      <c r="A735" t="s">
        <v>196</v>
      </c>
      <c r="B735" t="s">
        <v>201</v>
      </c>
      <c r="C735" t="s">
        <v>202</v>
      </c>
      <c r="D735" t="s">
        <v>936</v>
      </c>
      <c r="E735">
        <v>-733</v>
      </c>
      <c r="F735" t="s">
        <v>203</v>
      </c>
      <c r="G735" t="s">
        <v>204</v>
      </c>
    </row>
    <row r="736" spans="1:7">
      <c r="A736" t="s">
        <v>196</v>
      </c>
      <c r="B736" t="s">
        <v>201</v>
      </c>
      <c r="C736" t="s">
        <v>202</v>
      </c>
      <c r="D736" t="s">
        <v>937</v>
      </c>
      <c r="E736">
        <v>-734</v>
      </c>
      <c r="F736" t="s">
        <v>203</v>
      </c>
      <c r="G736" t="s">
        <v>204</v>
      </c>
    </row>
    <row r="737" spans="1:7">
      <c r="A737" t="s">
        <v>196</v>
      </c>
      <c r="B737" t="s">
        <v>201</v>
      </c>
      <c r="C737" t="s">
        <v>202</v>
      </c>
      <c r="D737" t="s">
        <v>938</v>
      </c>
      <c r="E737">
        <v>-735</v>
      </c>
      <c r="F737" t="s">
        <v>203</v>
      </c>
      <c r="G737" t="s">
        <v>204</v>
      </c>
    </row>
    <row r="738" spans="1:7">
      <c r="A738" t="s">
        <v>196</v>
      </c>
      <c r="B738" t="s">
        <v>201</v>
      </c>
      <c r="C738" t="s">
        <v>202</v>
      </c>
      <c r="D738" t="s">
        <v>939</v>
      </c>
      <c r="E738">
        <v>-736</v>
      </c>
      <c r="F738" t="s">
        <v>203</v>
      </c>
      <c r="G738" t="s">
        <v>204</v>
      </c>
    </row>
    <row r="739" spans="1:7">
      <c r="A739" t="s">
        <v>196</v>
      </c>
      <c r="B739" t="s">
        <v>201</v>
      </c>
      <c r="C739" t="s">
        <v>202</v>
      </c>
      <c r="D739" t="s">
        <v>940</v>
      </c>
      <c r="E739">
        <v>-737</v>
      </c>
      <c r="F739" t="s">
        <v>203</v>
      </c>
      <c r="G739" t="s">
        <v>204</v>
      </c>
    </row>
    <row r="740" spans="1:7">
      <c r="A740" t="s">
        <v>196</v>
      </c>
      <c r="B740" t="s">
        <v>201</v>
      </c>
      <c r="C740" t="s">
        <v>202</v>
      </c>
      <c r="D740" t="s">
        <v>941</v>
      </c>
      <c r="E740">
        <v>-738</v>
      </c>
      <c r="F740" t="s">
        <v>203</v>
      </c>
      <c r="G740" t="s">
        <v>204</v>
      </c>
    </row>
    <row r="741" spans="1:7">
      <c r="A741" t="s">
        <v>196</v>
      </c>
      <c r="B741" t="s">
        <v>201</v>
      </c>
      <c r="C741" t="s">
        <v>202</v>
      </c>
      <c r="D741" t="s">
        <v>942</v>
      </c>
      <c r="E741">
        <v>-739</v>
      </c>
      <c r="F741" t="s">
        <v>203</v>
      </c>
      <c r="G741" t="s">
        <v>204</v>
      </c>
    </row>
    <row r="742" spans="1:7">
      <c r="A742" t="s">
        <v>196</v>
      </c>
      <c r="B742" t="s">
        <v>201</v>
      </c>
      <c r="C742" t="s">
        <v>202</v>
      </c>
      <c r="D742" t="s">
        <v>943</v>
      </c>
      <c r="E742">
        <v>-740</v>
      </c>
      <c r="F742" t="s">
        <v>203</v>
      </c>
      <c r="G742" t="s">
        <v>204</v>
      </c>
    </row>
    <row r="743" spans="1:7">
      <c r="A743" t="s">
        <v>196</v>
      </c>
      <c r="B743" t="s">
        <v>201</v>
      </c>
      <c r="C743" t="s">
        <v>202</v>
      </c>
      <c r="D743" t="s">
        <v>944</v>
      </c>
      <c r="E743">
        <v>-741</v>
      </c>
      <c r="F743" t="s">
        <v>203</v>
      </c>
      <c r="G743" t="s">
        <v>204</v>
      </c>
    </row>
    <row r="744" spans="1:7">
      <c r="A744" t="s">
        <v>196</v>
      </c>
      <c r="B744" t="s">
        <v>201</v>
      </c>
      <c r="C744" t="s">
        <v>202</v>
      </c>
      <c r="D744" t="s">
        <v>945</v>
      </c>
      <c r="E744">
        <v>-742</v>
      </c>
      <c r="F744" t="s">
        <v>203</v>
      </c>
      <c r="G744" t="s">
        <v>204</v>
      </c>
    </row>
    <row r="745" spans="1:7">
      <c r="A745" t="s">
        <v>196</v>
      </c>
      <c r="B745" t="s">
        <v>201</v>
      </c>
      <c r="C745" t="s">
        <v>202</v>
      </c>
      <c r="D745" t="s">
        <v>946</v>
      </c>
      <c r="E745">
        <v>-743</v>
      </c>
      <c r="F745" t="s">
        <v>203</v>
      </c>
      <c r="G745" t="s">
        <v>204</v>
      </c>
    </row>
    <row r="746" spans="1:7">
      <c r="A746" t="s">
        <v>196</v>
      </c>
      <c r="B746" t="s">
        <v>201</v>
      </c>
      <c r="C746" t="s">
        <v>202</v>
      </c>
      <c r="D746" t="s">
        <v>947</v>
      </c>
      <c r="E746">
        <v>-744</v>
      </c>
      <c r="F746" t="s">
        <v>203</v>
      </c>
      <c r="G746" t="s">
        <v>204</v>
      </c>
    </row>
    <row r="747" spans="1:7">
      <c r="A747" t="s">
        <v>196</v>
      </c>
      <c r="B747" t="s">
        <v>201</v>
      </c>
      <c r="C747" t="s">
        <v>202</v>
      </c>
      <c r="D747" t="s">
        <v>948</v>
      </c>
      <c r="E747">
        <v>-745</v>
      </c>
      <c r="F747" t="s">
        <v>203</v>
      </c>
      <c r="G747" t="s">
        <v>204</v>
      </c>
    </row>
    <row r="748" spans="1:7">
      <c r="A748" t="s">
        <v>196</v>
      </c>
      <c r="B748" t="s">
        <v>201</v>
      </c>
      <c r="C748" t="s">
        <v>202</v>
      </c>
      <c r="D748" t="s">
        <v>949</v>
      </c>
      <c r="E748">
        <v>-746</v>
      </c>
      <c r="F748" t="s">
        <v>203</v>
      </c>
      <c r="G748" t="s">
        <v>204</v>
      </c>
    </row>
    <row r="749" spans="1:7">
      <c r="A749" t="s">
        <v>196</v>
      </c>
      <c r="B749" t="s">
        <v>201</v>
      </c>
      <c r="C749" t="s">
        <v>202</v>
      </c>
      <c r="D749" t="s">
        <v>950</v>
      </c>
      <c r="E749">
        <v>-747</v>
      </c>
      <c r="F749" t="s">
        <v>203</v>
      </c>
      <c r="G749" t="s">
        <v>204</v>
      </c>
    </row>
    <row r="750" spans="1:7">
      <c r="A750" t="s">
        <v>196</v>
      </c>
      <c r="B750" t="s">
        <v>201</v>
      </c>
      <c r="C750" t="s">
        <v>202</v>
      </c>
      <c r="D750" t="s">
        <v>951</v>
      </c>
      <c r="E750">
        <v>-748</v>
      </c>
      <c r="F750" t="s">
        <v>203</v>
      </c>
      <c r="G750" t="s">
        <v>204</v>
      </c>
    </row>
    <row r="751" spans="1:7">
      <c r="A751" t="s">
        <v>196</v>
      </c>
      <c r="B751" t="s">
        <v>201</v>
      </c>
      <c r="C751" t="s">
        <v>202</v>
      </c>
      <c r="D751" t="s">
        <v>952</v>
      </c>
      <c r="E751">
        <v>-749</v>
      </c>
      <c r="F751" t="s">
        <v>203</v>
      </c>
      <c r="G751" t="s">
        <v>204</v>
      </c>
    </row>
    <row r="752" spans="1:7">
      <c r="A752" t="s">
        <v>196</v>
      </c>
      <c r="B752" t="s">
        <v>201</v>
      </c>
      <c r="C752" t="s">
        <v>202</v>
      </c>
      <c r="D752" t="s">
        <v>953</v>
      </c>
      <c r="E752">
        <v>-750</v>
      </c>
      <c r="F752" t="s">
        <v>203</v>
      </c>
      <c r="G752" t="s">
        <v>204</v>
      </c>
    </row>
    <row r="753" spans="1:7">
      <c r="A753" t="s">
        <v>196</v>
      </c>
      <c r="B753" t="s">
        <v>201</v>
      </c>
      <c r="C753" t="s">
        <v>202</v>
      </c>
      <c r="D753" t="s">
        <v>954</v>
      </c>
      <c r="E753">
        <v>-751</v>
      </c>
      <c r="F753" t="s">
        <v>203</v>
      </c>
      <c r="G753" t="s">
        <v>204</v>
      </c>
    </row>
    <row r="754" spans="1:7">
      <c r="A754" t="s">
        <v>196</v>
      </c>
      <c r="B754" t="s">
        <v>201</v>
      </c>
      <c r="C754" t="s">
        <v>202</v>
      </c>
      <c r="D754" t="s">
        <v>955</v>
      </c>
      <c r="E754">
        <v>-752</v>
      </c>
      <c r="F754" t="s">
        <v>203</v>
      </c>
      <c r="G754" t="s">
        <v>204</v>
      </c>
    </row>
    <row r="755" spans="1:7">
      <c r="A755" t="s">
        <v>196</v>
      </c>
      <c r="B755" t="s">
        <v>201</v>
      </c>
      <c r="C755" t="s">
        <v>202</v>
      </c>
      <c r="D755" t="s">
        <v>956</v>
      </c>
      <c r="E755">
        <v>-753</v>
      </c>
      <c r="F755" t="s">
        <v>203</v>
      </c>
      <c r="G755" t="s">
        <v>204</v>
      </c>
    </row>
    <row r="756" spans="1:7">
      <c r="A756" t="s">
        <v>196</v>
      </c>
      <c r="B756" t="s">
        <v>201</v>
      </c>
      <c r="C756" t="s">
        <v>202</v>
      </c>
      <c r="D756" t="s">
        <v>957</v>
      </c>
      <c r="E756">
        <v>-754</v>
      </c>
      <c r="F756" t="s">
        <v>203</v>
      </c>
      <c r="G756" t="s">
        <v>204</v>
      </c>
    </row>
    <row r="757" spans="1:7">
      <c r="A757" t="s">
        <v>196</v>
      </c>
      <c r="B757" t="s">
        <v>201</v>
      </c>
      <c r="C757" t="s">
        <v>202</v>
      </c>
      <c r="D757" t="s">
        <v>958</v>
      </c>
      <c r="E757">
        <v>-755</v>
      </c>
      <c r="F757" t="s">
        <v>203</v>
      </c>
      <c r="G757" t="s">
        <v>204</v>
      </c>
    </row>
    <row r="758" spans="1:7">
      <c r="A758" t="s">
        <v>196</v>
      </c>
      <c r="B758" t="s">
        <v>201</v>
      </c>
      <c r="C758" t="s">
        <v>202</v>
      </c>
      <c r="D758" t="s">
        <v>959</v>
      </c>
      <c r="E758">
        <v>-756</v>
      </c>
      <c r="F758" t="s">
        <v>203</v>
      </c>
      <c r="G758" t="s">
        <v>204</v>
      </c>
    </row>
    <row r="759" spans="1:7">
      <c r="A759" t="s">
        <v>196</v>
      </c>
      <c r="B759" t="s">
        <v>201</v>
      </c>
      <c r="C759" t="s">
        <v>202</v>
      </c>
      <c r="D759" t="s">
        <v>960</v>
      </c>
      <c r="E759">
        <v>-757</v>
      </c>
      <c r="F759" t="s">
        <v>203</v>
      </c>
      <c r="G759" t="s">
        <v>204</v>
      </c>
    </row>
    <row r="760" spans="1:7">
      <c r="A760" t="s">
        <v>196</v>
      </c>
      <c r="B760" t="s">
        <v>201</v>
      </c>
      <c r="C760" t="s">
        <v>202</v>
      </c>
      <c r="D760" t="s">
        <v>961</v>
      </c>
      <c r="E760">
        <v>-758</v>
      </c>
      <c r="F760" t="s">
        <v>203</v>
      </c>
      <c r="G760" t="s">
        <v>204</v>
      </c>
    </row>
    <row r="761" spans="1:7">
      <c r="A761" t="s">
        <v>196</v>
      </c>
      <c r="B761" t="s">
        <v>201</v>
      </c>
      <c r="C761" t="s">
        <v>202</v>
      </c>
      <c r="D761" t="s">
        <v>962</v>
      </c>
      <c r="E761">
        <v>-759</v>
      </c>
      <c r="F761" t="s">
        <v>203</v>
      </c>
      <c r="G761" t="s">
        <v>204</v>
      </c>
    </row>
    <row r="762" spans="1:7">
      <c r="A762" t="s">
        <v>196</v>
      </c>
      <c r="B762" t="s">
        <v>201</v>
      </c>
      <c r="C762" t="s">
        <v>202</v>
      </c>
      <c r="D762" t="s">
        <v>963</v>
      </c>
      <c r="E762">
        <v>-760</v>
      </c>
      <c r="F762" t="s">
        <v>203</v>
      </c>
      <c r="G762" t="s">
        <v>204</v>
      </c>
    </row>
    <row r="763" spans="1:7">
      <c r="A763" t="s">
        <v>196</v>
      </c>
      <c r="B763" t="s">
        <v>201</v>
      </c>
      <c r="C763" t="s">
        <v>202</v>
      </c>
      <c r="D763" t="s">
        <v>964</v>
      </c>
      <c r="E763">
        <v>-761</v>
      </c>
      <c r="F763" t="s">
        <v>203</v>
      </c>
      <c r="G763" t="s">
        <v>204</v>
      </c>
    </row>
    <row r="764" spans="1:7">
      <c r="A764" t="s">
        <v>196</v>
      </c>
      <c r="B764" t="s">
        <v>201</v>
      </c>
      <c r="C764" t="s">
        <v>202</v>
      </c>
      <c r="D764" t="s">
        <v>965</v>
      </c>
      <c r="E764">
        <v>-762</v>
      </c>
      <c r="F764" t="s">
        <v>203</v>
      </c>
      <c r="G764" t="s">
        <v>204</v>
      </c>
    </row>
    <row r="765" spans="1:7">
      <c r="A765" t="s">
        <v>196</v>
      </c>
      <c r="B765" t="s">
        <v>201</v>
      </c>
      <c r="C765" t="s">
        <v>202</v>
      </c>
      <c r="D765" t="s">
        <v>966</v>
      </c>
      <c r="E765">
        <v>-763</v>
      </c>
      <c r="F765" t="s">
        <v>203</v>
      </c>
      <c r="G765" t="s">
        <v>204</v>
      </c>
    </row>
    <row r="766" spans="1:7">
      <c r="A766" t="s">
        <v>196</v>
      </c>
      <c r="B766" t="s">
        <v>201</v>
      </c>
      <c r="C766" t="s">
        <v>202</v>
      </c>
      <c r="D766" t="s">
        <v>967</v>
      </c>
      <c r="E766">
        <v>-764</v>
      </c>
      <c r="F766" t="s">
        <v>203</v>
      </c>
      <c r="G766" t="s">
        <v>204</v>
      </c>
    </row>
    <row r="767" spans="1:7">
      <c r="A767" t="s">
        <v>196</v>
      </c>
      <c r="B767" t="s">
        <v>201</v>
      </c>
      <c r="C767" t="s">
        <v>202</v>
      </c>
      <c r="D767" t="s">
        <v>968</v>
      </c>
      <c r="E767">
        <v>-765</v>
      </c>
      <c r="F767" t="s">
        <v>203</v>
      </c>
      <c r="G767" t="s">
        <v>204</v>
      </c>
    </row>
    <row r="768" spans="1:7">
      <c r="A768" t="s">
        <v>196</v>
      </c>
      <c r="B768" t="s">
        <v>201</v>
      </c>
      <c r="C768" t="s">
        <v>202</v>
      </c>
      <c r="D768" t="s">
        <v>969</v>
      </c>
      <c r="E768">
        <v>-766</v>
      </c>
      <c r="F768" t="s">
        <v>203</v>
      </c>
      <c r="G768" t="s">
        <v>204</v>
      </c>
    </row>
    <row r="769" spans="1:7">
      <c r="A769" t="s">
        <v>196</v>
      </c>
      <c r="B769" t="s">
        <v>201</v>
      </c>
      <c r="C769" t="s">
        <v>202</v>
      </c>
      <c r="D769" t="s">
        <v>970</v>
      </c>
      <c r="E769">
        <v>-767</v>
      </c>
      <c r="F769" t="s">
        <v>203</v>
      </c>
      <c r="G769" t="s">
        <v>204</v>
      </c>
    </row>
    <row r="770" spans="1:7">
      <c r="A770" t="s">
        <v>196</v>
      </c>
      <c r="B770" t="s">
        <v>201</v>
      </c>
      <c r="C770" t="s">
        <v>202</v>
      </c>
      <c r="D770" t="s">
        <v>971</v>
      </c>
      <c r="E770">
        <v>-768</v>
      </c>
      <c r="F770" t="s">
        <v>203</v>
      </c>
      <c r="G770" t="s">
        <v>204</v>
      </c>
    </row>
    <row r="771" spans="1:7">
      <c r="A771" t="s">
        <v>196</v>
      </c>
      <c r="B771" t="s">
        <v>201</v>
      </c>
      <c r="C771" t="s">
        <v>202</v>
      </c>
      <c r="D771" t="s">
        <v>972</v>
      </c>
      <c r="E771">
        <v>-769</v>
      </c>
      <c r="F771" t="s">
        <v>203</v>
      </c>
      <c r="G771" t="s">
        <v>204</v>
      </c>
    </row>
    <row r="772" spans="1:7">
      <c r="A772" t="s">
        <v>196</v>
      </c>
      <c r="B772" t="s">
        <v>201</v>
      </c>
      <c r="C772" t="s">
        <v>202</v>
      </c>
      <c r="D772" t="s">
        <v>973</v>
      </c>
      <c r="E772">
        <v>-770</v>
      </c>
      <c r="F772" t="s">
        <v>203</v>
      </c>
      <c r="G772" t="s">
        <v>204</v>
      </c>
    </row>
    <row r="773" spans="1:7">
      <c r="A773" t="s">
        <v>196</v>
      </c>
      <c r="B773" t="s">
        <v>201</v>
      </c>
      <c r="C773" t="s">
        <v>202</v>
      </c>
      <c r="D773" t="s">
        <v>974</v>
      </c>
      <c r="E773">
        <v>-771</v>
      </c>
      <c r="F773" t="s">
        <v>203</v>
      </c>
      <c r="G773" t="s">
        <v>204</v>
      </c>
    </row>
    <row r="774" spans="1:7">
      <c r="A774" t="s">
        <v>196</v>
      </c>
      <c r="B774" t="s">
        <v>201</v>
      </c>
      <c r="C774" t="s">
        <v>202</v>
      </c>
      <c r="D774" t="s">
        <v>975</v>
      </c>
      <c r="E774">
        <v>-772</v>
      </c>
      <c r="F774" t="s">
        <v>203</v>
      </c>
      <c r="G774" t="s">
        <v>204</v>
      </c>
    </row>
    <row r="775" spans="1:7">
      <c r="A775" t="s">
        <v>196</v>
      </c>
      <c r="B775" t="s">
        <v>201</v>
      </c>
      <c r="C775" t="s">
        <v>202</v>
      </c>
      <c r="D775" t="s">
        <v>976</v>
      </c>
      <c r="E775">
        <v>-773</v>
      </c>
      <c r="F775" t="s">
        <v>203</v>
      </c>
      <c r="G775" t="s">
        <v>204</v>
      </c>
    </row>
    <row r="776" spans="1:7">
      <c r="A776" t="s">
        <v>196</v>
      </c>
      <c r="B776" t="s">
        <v>201</v>
      </c>
      <c r="C776" t="s">
        <v>202</v>
      </c>
      <c r="D776" t="s">
        <v>977</v>
      </c>
      <c r="E776">
        <v>-774</v>
      </c>
      <c r="F776" t="s">
        <v>203</v>
      </c>
      <c r="G776" t="s">
        <v>204</v>
      </c>
    </row>
    <row r="777" spans="1:7">
      <c r="A777" t="s">
        <v>196</v>
      </c>
      <c r="B777" t="s">
        <v>201</v>
      </c>
      <c r="C777" t="s">
        <v>202</v>
      </c>
      <c r="D777" t="s">
        <v>978</v>
      </c>
      <c r="E777">
        <v>-775</v>
      </c>
      <c r="F777" t="s">
        <v>203</v>
      </c>
      <c r="G777" t="s">
        <v>204</v>
      </c>
    </row>
    <row r="778" spans="1:7">
      <c r="A778" t="s">
        <v>196</v>
      </c>
      <c r="B778" t="s">
        <v>201</v>
      </c>
      <c r="C778" t="s">
        <v>202</v>
      </c>
      <c r="D778" t="s">
        <v>979</v>
      </c>
      <c r="E778">
        <v>-776</v>
      </c>
      <c r="F778" t="s">
        <v>203</v>
      </c>
      <c r="G778" t="s">
        <v>204</v>
      </c>
    </row>
    <row r="779" spans="1:7">
      <c r="A779" t="s">
        <v>196</v>
      </c>
      <c r="B779" t="s">
        <v>201</v>
      </c>
      <c r="C779" t="s">
        <v>202</v>
      </c>
      <c r="D779" t="s">
        <v>980</v>
      </c>
      <c r="E779">
        <v>-777</v>
      </c>
      <c r="F779" t="s">
        <v>203</v>
      </c>
      <c r="G779" t="s">
        <v>204</v>
      </c>
    </row>
    <row r="780" spans="1:7">
      <c r="A780" t="s">
        <v>196</v>
      </c>
      <c r="B780" t="s">
        <v>201</v>
      </c>
      <c r="C780" t="s">
        <v>202</v>
      </c>
      <c r="D780" t="s">
        <v>981</v>
      </c>
      <c r="E780">
        <v>-778</v>
      </c>
      <c r="F780" t="s">
        <v>203</v>
      </c>
      <c r="G780" t="s">
        <v>204</v>
      </c>
    </row>
    <row r="781" spans="1:7">
      <c r="A781" t="s">
        <v>196</v>
      </c>
      <c r="B781" t="s">
        <v>201</v>
      </c>
      <c r="C781" t="s">
        <v>202</v>
      </c>
      <c r="D781" t="s">
        <v>982</v>
      </c>
      <c r="E781">
        <v>-779</v>
      </c>
      <c r="F781" t="s">
        <v>203</v>
      </c>
      <c r="G781" t="s">
        <v>204</v>
      </c>
    </row>
    <row r="782" spans="1:7">
      <c r="A782" t="s">
        <v>196</v>
      </c>
      <c r="B782" t="s">
        <v>201</v>
      </c>
      <c r="C782" t="s">
        <v>202</v>
      </c>
      <c r="D782" t="s">
        <v>983</v>
      </c>
      <c r="E782">
        <v>-780</v>
      </c>
      <c r="F782" t="s">
        <v>203</v>
      </c>
      <c r="G782" t="s">
        <v>204</v>
      </c>
    </row>
    <row r="783" spans="1:7">
      <c r="A783" t="s">
        <v>196</v>
      </c>
      <c r="B783" t="s">
        <v>201</v>
      </c>
      <c r="C783" t="s">
        <v>202</v>
      </c>
      <c r="D783" t="s">
        <v>984</v>
      </c>
      <c r="E783">
        <v>-781</v>
      </c>
      <c r="F783" t="s">
        <v>203</v>
      </c>
      <c r="G783" t="s">
        <v>204</v>
      </c>
    </row>
    <row r="784" spans="1:7">
      <c r="A784" t="s">
        <v>196</v>
      </c>
      <c r="B784" t="s">
        <v>201</v>
      </c>
      <c r="C784" t="s">
        <v>202</v>
      </c>
      <c r="D784" t="s">
        <v>985</v>
      </c>
      <c r="E784">
        <v>-782</v>
      </c>
      <c r="F784" t="s">
        <v>203</v>
      </c>
      <c r="G784" t="s">
        <v>204</v>
      </c>
    </row>
    <row r="785" spans="1:7">
      <c r="A785" t="s">
        <v>196</v>
      </c>
      <c r="B785" t="s">
        <v>201</v>
      </c>
      <c r="C785" t="s">
        <v>202</v>
      </c>
      <c r="D785" t="s">
        <v>986</v>
      </c>
      <c r="E785">
        <v>-783</v>
      </c>
      <c r="F785" t="s">
        <v>203</v>
      </c>
      <c r="G785" t="s">
        <v>204</v>
      </c>
    </row>
    <row r="786" spans="1:7">
      <c r="A786" t="s">
        <v>196</v>
      </c>
      <c r="B786" t="s">
        <v>201</v>
      </c>
      <c r="C786" t="s">
        <v>202</v>
      </c>
      <c r="D786" t="s">
        <v>987</v>
      </c>
      <c r="E786">
        <v>-784</v>
      </c>
      <c r="F786" t="s">
        <v>203</v>
      </c>
      <c r="G786" t="s">
        <v>204</v>
      </c>
    </row>
    <row r="787" spans="1:7">
      <c r="A787" t="s">
        <v>196</v>
      </c>
      <c r="B787" t="s">
        <v>201</v>
      </c>
      <c r="C787" t="s">
        <v>202</v>
      </c>
      <c r="D787" t="s">
        <v>988</v>
      </c>
      <c r="E787">
        <v>-785</v>
      </c>
      <c r="F787" t="s">
        <v>203</v>
      </c>
      <c r="G787" t="s">
        <v>204</v>
      </c>
    </row>
    <row r="788" spans="1:7">
      <c r="A788" t="s">
        <v>196</v>
      </c>
      <c r="B788" t="s">
        <v>201</v>
      </c>
      <c r="C788" t="s">
        <v>202</v>
      </c>
      <c r="D788" t="s">
        <v>989</v>
      </c>
      <c r="E788">
        <v>-786</v>
      </c>
      <c r="F788" t="s">
        <v>203</v>
      </c>
      <c r="G788" t="s">
        <v>204</v>
      </c>
    </row>
    <row r="789" spans="1:7">
      <c r="A789" t="s">
        <v>196</v>
      </c>
      <c r="B789" t="s">
        <v>201</v>
      </c>
      <c r="C789" t="s">
        <v>202</v>
      </c>
      <c r="D789" t="s">
        <v>990</v>
      </c>
      <c r="E789">
        <v>-787</v>
      </c>
      <c r="F789" t="s">
        <v>203</v>
      </c>
      <c r="G789" t="s">
        <v>204</v>
      </c>
    </row>
    <row r="790" spans="1:7">
      <c r="A790" t="s">
        <v>196</v>
      </c>
      <c r="B790" t="s">
        <v>201</v>
      </c>
      <c r="C790" t="s">
        <v>202</v>
      </c>
      <c r="D790" t="s">
        <v>991</v>
      </c>
      <c r="E790">
        <v>-788</v>
      </c>
      <c r="F790" t="s">
        <v>203</v>
      </c>
      <c r="G790" t="s">
        <v>204</v>
      </c>
    </row>
    <row r="791" spans="1:7">
      <c r="A791" t="s">
        <v>196</v>
      </c>
      <c r="B791" t="s">
        <v>201</v>
      </c>
      <c r="C791" t="s">
        <v>202</v>
      </c>
      <c r="D791" t="s">
        <v>992</v>
      </c>
      <c r="E791">
        <v>-789</v>
      </c>
      <c r="F791" t="s">
        <v>203</v>
      </c>
      <c r="G791" t="s">
        <v>204</v>
      </c>
    </row>
    <row r="792" spans="1:7">
      <c r="A792" t="s">
        <v>196</v>
      </c>
      <c r="B792" t="s">
        <v>201</v>
      </c>
      <c r="C792" t="s">
        <v>202</v>
      </c>
      <c r="D792" t="s">
        <v>993</v>
      </c>
      <c r="E792">
        <v>-790</v>
      </c>
      <c r="F792" t="s">
        <v>203</v>
      </c>
      <c r="G792" t="s">
        <v>204</v>
      </c>
    </row>
    <row r="793" spans="1:7">
      <c r="A793" t="s">
        <v>196</v>
      </c>
      <c r="B793" t="s">
        <v>201</v>
      </c>
      <c r="C793" t="s">
        <v>202</v>
      </c>
      <c r="D793" t="s">
        <v>994</v>
      </c>
      <c r="E793">
        <v>-791</v>
      </c>
      <c r="F793" t="s">
        <v>203</v>
      </c>
      <c r="G793" t="s">
        <v>204</v>
      </c>
    </row>
    <row r="794" spans="1:7">
      <c r="A794" t="s">
        <v>196</v>
      </c>
      <c r="B794" t="s">
        <v>201</v>
      </c>
      <c r="C794" t="s">
        <v>202</v>
      </c>
      <c r="D794" t="s">
        <v>995</v>
      </c>
      <c r="E794">
        <v>-792</v>
      </c>
      <c r="F794" t="s">
        <v>203</v>
      </c>
      <c r="G794" t="s">
        <v>204</v>
      </c>
    </row>
    <row r="795" spans="1:7">
      <c r="A795" t="s">
        <v>196</v>
      </c>
      <c r="B795" t="s">
        <v>201</v>
      </c>
      <c r="C795" t="s">
        <v>202</v>
      </c>
      <c r="D795" t="s">
        <v>996</v>
      </c>
      <c r="E795">
        <v>-793</v>
      </c>
      <c r="F795" t="s">
        <v>203</v>
      </c>
      <c r="G795" t="s">
        <v>204</v>
      </c>
    </row>
    <row r="796" spans="1:7">
      <c r="A796" t="s">
        <v>196</v>
      </c>
      <c r="B796" t="s">
        <v>201</v>
      </c>
      <c r="C796" t="s">
        <v>202</v>
      </c>
      <c r="D796" t="s">
        <v>997</v>
      </c>
      <c r="E796">
        <v>-794</v>
      </c>
      <c r="F796" t="s">
        <v>203</v>
      </c>
      <c r="G796" t="s">
        <v>204</v>
      </c>
    </row>
    <row r="797" spans="1:7">
      <c r="A797" t="s">
        <v>196</v>
      </c>
      <c r="B797" t="s">
        <v>201</v>
      </c>
      <c r="C797" t="s">
        <v>202</v>
      </c>
      <c r="D797" t="s">
        <v>998</v>
      </c>
      <c r="E797">
        <v>-795</v>
      </c>
      <c r="F797" t="s">
        <v>203</v>
      </c>
      <c r="G797" t="s">
        <v>204</v>
      </c>
    </row>
    <row r="798" spans="1:7">
      <c r="A798" t="s">
        <v>196</v>
      </c>
      <c r="B798" t="s">
        <v>201</v>
      </c>
      <c r="C798" t="s">
        <v>202</v>
      </c>
      <c r="D798" t="s">
        <v>999</v>
      </c>
      <c r="E798">
        <v>-796</v>
      </c>
      <c r="F798" t="s">
        <v>203</v>
      </c>
      <c r="G798" t="s">
        <v>204</v>
      </c>
    </row>
    <row r="799" spans="1:7">
      <c r="A799" t="s">
        <v>196</v>
      </c>
      <c r="B799" t="s">
        <v>201</v>
      </c>
      <c r="C799" t="s">
        <v>202</v>
      </c>
      <c r="D799" t="s">
        <v>1000</v>
      </c>
      <c r="E799">
        <v>-797</v>
      </c>
      <c r="F799" t="s">
        <v>203</v>
      </c>
      <c r="G799" t="s">
        <v>204</v>
      </c>
    </row>
    <row r="800" spans="1:7">
      <c r="A800" t="s">
        <v>196</v>
      </c>
      <c r="B800" t="s">
        <v>201</v>
      </c>
      <c r="C800" t="s">
        <v>202</v>
      </c>
      <c r="D800" t="s">
        <v>1001</v>
      </c>
      <c r="E800">
        <v>-798</v>
      </c>
      <c r="F800" t="s">
        <v>203</v>
      </c>
      <c r="G800" t="s">
        <v>204</v>
      </c>
    </row>
    <row r="801" spans="1:7">
      <c r="A801" t="s">
        <v>196</v>
      </c>
      <c r="B801" t="s">
        <v>201</v>
      </c>
      <c r="C801" t="s">
        <v>202</v>
      </c>
      <c r="D801" t="s">
        <v>1002</v>
      </c>
      <c r="E801">
        <v>-799</v>
      </c>
      <c r="F801" t="s">
        <v>203</v>
      </c>
      <c r="G801" t="s">
        <v>204</v>
      </c>
    </row>
    <row r="802" spans="1:7">
      <c r="A802" t="s">
        <v>196</v>
      </c>
      <c r="B802" t="s">
        <v>201</v>
      </c>
      <c r="C802" t="s">
        <v>202</v>
      </c>
      <c r="D802" t="s">
        <v>1003</v>
      </c>
      <c r="E802">
        <v>-800</v>
      </c>
      <c r="F802" t="s">
        <v>203</v>
      </c>
      <c r="G802" t="s">
        <v>204</v>
      </c>
    </row>
    <row r="803" spans="1:7">
      <c r="A803" t="s">
        <v>196</v>
      </c>
      <c r="B803" t="s">
        <v>201</v>
      </c>
      <c r="C803" t="s">
        <v>202</v>
      </c>
      <c r="D803" t="s">
        <v>1004</v>
      </c>
      <c r="E803">
        <v>-801</v>
      </c>
      <c r="F803" t="s">
        <v>203</v>
      </c>
      <c r="G803" t="s">
        <v>204</v>
      </c>
    </row>
    <row r="804" spans="1:7">
      <c r="A804" t="s">
        <v>196</v>
      </c>
      <c r="B804" t="s">
        <v>201</v>
      </c>
      <c r="C804" t="s">
        <v>202</v>
      </c>
      <c r="D804" t="s">
        <v>1005</v>
      </c>
      <c r="E804">
        <v>-802</v>
      </c>
      <c r="F804" t="s">
        <v>203</v>
      </c>
      <c r="G804" t="s">
        <v>204</v>
      </c>
    </row>
    <row r="805" spans="1:7">
      <c r="A805" t="s">
        <v>196</v>
      </c>
      <c r="B805" t="s">
        <v>201</v>
      </c>
      <c r="C805" t="s">
        <v>202</v>
      </c>
      <c r="D805" t="s">
        <v>1006</v>
      </c>
      <c r="E805">
        <v>-803</v>
      </c>
      <c r="F805" t="s">
        <v>203</v>
      </c>
      <c r="G805" t="s">
        <v>204</v>
      </c>
    </row>
    <row r="806" spans="1:7">
      <c r="A806" t="s">
        <v>196</v>
      </c>
      <c r="B806" t="s">
        <v>201</v>
      </c>
      <c r="C806" t="s">
        <v>202</v>
      </c>
      <c r="D806" t="s">
        <v>1007</v>
      </c>
      <c r="E806">
        <v>-804</v>
      </c>
      <c r="F806" t="s">
        <v>203</v>
      </c>
      <c r="G806" t="s">
        <v>204</v>
      </c>
    </row>
    <row r="807" spans="1:7">
      <c r="A807" t="s">
        <v>196</v>
      </c>
      <c r="B807" t="s">
        <v>201</v>
      </c>
      <c r="C807" t="s">
        <v>202</v>
      </c>
      <c r="D807" t="s">
        <v>1008</v>
      </c>
      <c r="E807">
        <v>-805</v>
      </c>
      <c r="F807" t="s">
        <v>203</v>
      </c>
      <c r="G807" t="s">
        <v>204</v>
      </c>
    </row>
    <row r="808" spans="1:7">
      <c r="A808" t="s">
        <v>196</v>
      </c>
      <c r="B808" t="s">
        <v>201</v>
      </c>
      <c r="C808" t="s">
        <v>202</v>
      </c>
      <c r="D808" t="s">
        <v>1009</v>
      </c>
      <c r="E808">
        <v>-806</v>
      </c>
      <c r="F808" t="s">
        <v>203</v>
      </c>
      <c r="G808" t="s">
        <v>204</v>
      </c>
    </row>
    <row r="809" spans="1:7">
      <c r="A809" t="s">
        <v>196</v>
      </c>
      <c r="B809" t="s">
        <v>201</v>
      </c>
      <c r="C809" t="s">
        <v>202</v>
      </c>
      <c r="D809" t="s">
        <v>1010</v>
      </c>
      <c r="E809">
        <v>-807</v>
      </c>
      <c r="F809" t="s">
        <v>203</v>
      </c>
      <c r="G809" t="s">
        <v>204</v>
      </c>
    </row>
    <row r="810" spans="1:7">
      <c r="A810" t="s">
        <v>196</v>
      </c>
      <c r="B810" t="s">
        <v>201</v>
      </c>
      <c r="C810" t="s">
        <v>202</v>
      </c>
      <c r="D810" t="s">
        <v>1011</v>
      </c>
      <c r="E810">
        <v>-808</v>
      </c>
      <c r="F810" t="s">
        <v>203</v>
      </c>
      <c r="G810" t="s">
        <v>204</v>
      </c>
    </row>
    <row r="811" spans="1:7">
      <c r="A811" t="s">
        <v>196</v>
      </c>
      <c r="B811" t="s">
        <v>201</v>
      </c>
      <c r="C811" t="s">
        <v>202</v>
      </c>
      <c r="D811" t="s">
        <v>1012</v>
      </c>
      <c r="E811">
        <v>-809</v>
      </c>
      <c r="F811" t="s">
        <v>203</v>
      </c>
      <c r="G811" t="s">
        <v>204</v>
      </c>
    </row>
    <row r="812" spans="1:7">
      <c r="A812" t="s">
        <v>196</v>
      </c>
      <c r="B812" t="s">
        <v>201</v>
      </c>
      <c r="C812" t="s">
        <v>202</v>
      </c>
      <c r="D812" t="s">
        <v>1013</v>
      </c>
      <c r="E812">
        <v>-810</v>
      </c>
      <c r="F812" t="s">
        <v>203</v>
      </c>
      <c r="G812" t="s">
        <v>204</v>
      </c>
    </row>
    <row r="813" spans="1:7">
      <c r="A813" t="s">
        <v>196</v>
      </c>
      <c r="B813" t="s">
        <v>201</v>
      </c>
      <c r="C813" t="s">
        <v>202</v>
      </c>
      <c r="D813" t="s">
        <v>1014</v>
      </c>
      <c r="E813">
        <v>-811</v>
      </c>
      <c r="F813" t="s">
        <v>203</v>
      </c>
      <c r="G813" t="s">
        <v>204</v>
      </c>
    </row>
    <row r="814" spans="1:7">
      <c r="A814" t="s">
        <v>196</v>
      </c>
      <c r="B814" t="s">
        <v>201</v>
      </c>
      <c r="C814" t="s">
        <v>202</v>
      </c>
      <c r="D814" t="s">
        <v>1015</v>
      </c>
      <c r="E814">
        <v>-812</v>
      </c>
      <c r="F814" t="s">
        <v>203</v>
      </c>
      <c r="G814" t="s">
        <v>204</v>
      </c>
    </row>
    <row r="815" spans="1:7">
      <c r="A815" t="s">
        <v>196</v>
      </c>
      <c r="B815" t="s">
        <v>201</v>
      </c>
      <c r="C815" t="s">
        <v>202</v>
      </c>
      <c r="D815" t="s">
        <v>1016</v>
      </c>
      <c r="E815">
        <v>-813</v>
      </c>
      <c r="F815" t="s">
        <v>203</v>
      </c>
      <c r="G815" t="s">
        <v>204</v>
      </c>
    </row>
    <row r="816" spans="1:7">
      <c r="A816" t="s">
        <v>196</v>
      </c>
      <c r="B816" t="s">
        <v>201</v>
      </c>
      <c r="C816" t="s">
        <v>202</v>
      </c>
      <c r="D816" t="s">
        <v>1017</v>
      </c>
      <c r="E816">
        <v>-814</v>
      </c>
      <c r="F816" t="s">
        <v>203</v>
      </c>
      <c r="G816" t="s">
        <v>204</v>
      </c>
    </row>
    <row r="817" spans="1:7">
      <c r="A817" t="s">
        <v>196</v>
      </c>
      <c r="B817" t="s">
        <v>201</v>
      </c>
      <c r="C817" t="s">
        <v>202</v>
      </c>
      <c r="D817" t="s">
        <v>1018</v>
      </c>
      <c r="E817">
        <v>-815</v>
      </c>
      <c r="F817" t="s">
        <v>203</v>
      </c>
      <c r="G817" t="s">
        <v>204</v>
      </c>
    </row>
    <row r="818" spans="1:7">
      <c r="A818" t="s">
        <v>196</v>
      </c>
      <c r="B818" t="s">
        <v>201</v>
      </c>
      <c r="C818" t="s">
        <v>202</v>
      </c>
      <c r="D818" t="s">
        <v>1019</v>
      </c>
      <c r="E818">
        <v>-816</v>
      </c>
      <c r="F818" t="s">
        <v>203</v>
      </c>
      <c r="G818" t="s">
        <v>204</v>
      </c>
    </row>
    <row r="819" spans="1:7">
      <c r="A819" t="s">
        <v>196</v>
      </c>
      <c r="B819" t="s">
        <v>201</v>
      </c>
      <c r="C819" t="s">
        <v>202</v>
      </c>
      <c r="D819" t="s">
        <v>1020</v>
      </c>
      <c r="E819">
        <v>-817</v>
      </c>
      <c r="F819" t="s">
        <v>203</v>
      </c>
      <c r="G819" t="s">
        <v>204</v>
      </c>
    </row>
    <row r="820" spans="1:7">
      <c r="A820" t="s">
        <v>196</v>
      </c>
      <c r="B820" t="s">
        <v>201</v>
      </c>
      <c r="C820" t="s">
        <v>202</v>
      </c>
      <c r="D820" t="s">
        <v>1021</v>
      </c>
      <c r="E820">
        <v>-818</v>
      </c>
      <c r="F820" t="s">
        <v>203</v>
      </c>
      <c r="G820" t="s">
        <v>204</v>
      </c>
    </row>
    <row r="821" spans="1:7">
      <c r="A821" t="s">
        <v>196</v>
      </c>
      <c r="B821" t="s">
        <v>201</v>
      </c>
      <c r="C821" t="s">
        <v>202</v>
      </c>
      <c r="D821" t="s">
        <v>1022</v>
      </c>
      <c r="E821">
        <v>-819</v>
      </c>
      <c r="F821" t="s">
        <v>203</v>
      </c>
      <c r="G821" t="s">
        <v>204</v>
      </c>
    </row>
    <row r="822" spans="1:7">
      <c r="A822" t="s">
        <v>196</v>
      </c>
      <c r="B822" t="s">
        <v>201</v>
      </c>
      <c r="C822" t="s">
        <v>202</v>
      </c>
      <c r="D822" t="s">
        <v>1023</v>
      </c>
      <c r="E822">
        <v>-820</v>
      </c>
      <c r="F822" t="s">
        <v>203</v>
      </c>
      <c r="G822" t="s">
        <v>204</v>
      </c>
    </row>
    <row r="823" spans="1:7">
      <c r="A823" t="s">
        <v>196</v>
      </c>
      <c r="B823" t="s">
        <v>201</v>
      </c>
      <c r="C823" t="s">
        <v>202</v>
      </c>
      <c r="D823" t="s">
        <v>1024</v>
      </c>
      <c r="E823">
        <v>-821</v>
      </c>
      <c r="F823" t="s">
        <v>203</v>
      </c>
      <c r="G823" t="s">
        <v>204</v>
      </c>
    </row>
    <row r="824" spans="1:7">
      <c r="A824" t="s">
        <v>196</v>
      </c>
      <c r="B824" t="s">
        <v>201</v>
      </c>
      <c r="C824" t="s">
        <v>202</v>
      </c>
      <c r="D824" t="s">
        <v>1025</v>
      </c>
      <c r="E824">
        <v>-822</v>
      </c>
      <c r="F824" t="s">
        <v>203</v>
      </c>
      <c r="G824" t="s">
        <v>204</v>
      </c>
    </row>
    <row r="825" spans="1:7">
      <c r="A825" t="s">
        <v>196</v>
      </c>
      <c r="B825" t="s">
        <v>201</v>
      </c>
      <c r="C825" t="s">
        <v>202</v>
      </c>
      <c r="D825" t="s">
        <v>1026</v>
      </c>
      <c r="E825">
        <v>-823</v>
      </c>
      <c r="F825" t="s">
        <v>203</v>
      </c>
      <c r="G825" t="s">
        <v>204</v>
      </c>
    </row>
    <row r="826" spans="1:7">
      <c r="A826" t="s">
        <v>196</v>
      </c>
      <c r="B826" t="s">
        <v>201</v>
      </c>
      <c r="C826" t="s">
        <v>202</v>
      </c>
      <c r="D826" t="s">
        <v>1027</v>
      </c>
      <c r="E826">
        <v>-824</v>
      </c>
      <c r="F826" t="s">
        <v>203</v>
      </c>
      <c r="G826" t="s">
        <v>204</v>
      </c>
    </row>
    <row r="827" spans="1:7">
      <c r="A827" t="s">
        <v>196</v>
      </c>
      <c r="B827" t="s">
        <v>201</v>
      </c>
      <c r="C827" t="s">
        <v>202</v>
      </c>
      <c r="D827" t="s">
        <v>1028</v>
      </c>
      <c r="E827">
        <v>-825</v>
      </c>
      <c r="F827" t="s">
        <v>203</v>
      </c>
      <c r="G827" t="s">
        <v>204</v>
      </c>
    </row>
    <row r="828" spans="1:7">
      <c r="A828" t="s">
        <v>196</v>
      </c>
      <c r="B828" t="s">
        <v>201</v>
      </c>
      <c r="C828" t="s">
        <v>202</v>
      </c>
      <c r="D828" t="s">
        <v>1029</v>
      </c>
      <c r="E828">
        <v>-826</v>
      </c>
      <c r="F828" t="s">
        <v>203</v>
      </c>
      <c r="G828" t="s">
        <v>204</v>
      </c>
    </row>
    <row r="829" spans="1:7">
      <c r="A829" t="s">
        <v>196</v>
      </c>
      <c r="B829" t="s">
        <v>201</v>
      </c>
      <c r="C829" t="s">
        <v>202</v>
      </c>
      <c r="D829" t="s">
        <v>1030</v>
      </c>
      <c r="E829">
        <v>-827</v>
      </c>
      <c r="F829" t="s">
        <v>203</v>
      </c>
      <c r="G829" t="s">
        <v>204</v>
      </c>
    </row>
    <row r="830" spans="1:7">
      <c r="A830" t="s">
        <v>196</v>
      </c>
      <c r="B830" t="s">
        <v>201</v>
      </c>
      <c r="C830" t="s">
        <v>202</v>
      </c>
      <c r="D830" t="s">
        <v>1031</v>
      </c>
      <c r="E830">
        <v>-828</v>
      </c>
      <c r="F830" t="s">
        <v>203</v>
      </c>
      <c r="G830" t="s">
        <v>204</v>
      </c>
    </row>
    <row r="831" spans="1:7">
      <c r="A831" t="s">
        <v>196</v>
      </c>
      <c r="B831" t="s">
        <v>201</v>
      </c>
      <c r="C831" t="s">
        <v>202</v>
      </c>
      <c r="D831" t="s">
        <v>1032</v>
      </c>
      <c r="E831">
        <v>-829</v>
      </c>
      <c r="F831" t="s">
        <v>203</v>
      </c>
      <c r="G831" t="s">
        <v>204</v>
      </c>
    </row>
    <row r="832" spans="1:7">
      <c r="A832" t="s">
        <v>196</v>
      </c>
      <c r="B832" t="s">
        <v>201</v>
      </c>
      <c r="C832" t="s">
        <v>202</v>
      </c>
      <c r="D832" t="s">
        <v>1033</v>
      </c>
      <c r="E832">
        <v>-830</v>
      </c>
      <c r="F832" t="s">
        <v>203</v>
      </c>
      <c r="G832" t="s">
        <v>204</v>
      </c>
    </row>
    <row r="833" spans="1:7">
      <c r="A833" t="s">
        <v>196</v>
      </c>
      <c r="B833" t="s">
        <v>201</v>
      </c>
      <c r="C833" t="s">
        <v>202</v>
      </c>
      <c r="D833" t="s">
        <v>1034</v>
      </c>
      <c r="E833">
        <v>-831</v>
      </c>
      <c r="F833" t="s">
        <v>203</v>
      </c>
      <c r="G833" t="s">
        <v>204</v>
      </c>
    </row>
    <row r="834" spans="1:7">
      <c r="A834" t="s">
        <v>196</v>
      </c>
      <c r="B834" t="s">
        <v>201</v>
      </c>
      <c r="C834" t="s">
        <v>202</v>
      </c>
      <c r="D834" t="s">
        <v>1035</v>
      </c>
      <c r="E834">
        <v>-832</v>
      </c>
      <c r="F834" t="s">
        <v>203</v>
      </c>
      <c r="G834" t="s">
        <v>204</v>
      </c>
    </row>
    <row r="835" spans="1:7">
      <c r="A835" t="s">
        <v>196</v>
      </c>
      <c r="B835" t="s">
        <v>201</v>
      </c>
      <c r="C835" t="s">
        <v>202</v>
      </c>
      <c r="D835" t="s">
        <v>1036</v>
      </c>
      <c r="E835">
        <v>-833</v>
      </c>
      <c r="F835" t="s">
        <v>203</v>
      </c>
      <c r="G835" t="s">
        <v>204</v>
      </c>
    </row>
    <row r="836" spans="1:7">
      <c r="A836" t="s">
        <v>196</v>
      </c>
      <c r="B836" t="s">
        <v>201</v>
      </c>
      <c r="C836" t="s">
        <v>202</v>
      </c>
      <c r="D836" t="s">
        <v>1037</v>
      </c>
      <c r="E836">
        <v>-834</v>
      </c>
      <c r="F836" t="s">
        <v>203</v>
      </c>
      <c r="G836" t="s">
        <v>204</v>
      </c>
    </row>
    <row r="837" spans="1:7">
      <c r="A837" t="s">
        <v>196</v>
      </c>
      <c r="B837" t="s">
        <v>201</v>
      </c>
      <c r="C837" t="s">
        <v>202</v>
      </c>
      <c r="D837" t="s">
        <v>1038</v>
      </c>
      <c r="E837">
        <v>-835</v>
      </c>
      <c r="F837" t="s">
        <v>203</v>
      </c>
      <c r="G837" t="s">
        <v>204</v>
      </c>
    </row>
    <row r="838" spans="1:7">
      <c r="A838" t="s">
        <v>196</v>
      </c>
      <c r="B838" t="s">
        <v>201</v>
      </c>
      <c r="C838" t="s">
        <v>202</v>
      </c>
      <c r="D838" t="s">
        <v>1039</v>
      </c>
      <c r="E838">
        <v>-836</v>
      </c>
      <c r="F838" t="s">
        <v>203</v>
      </c>
      <c r="G838" t="s">
        <v>204</v>
      </c>
    </row>
    <row r="839" spans="1:7">
      <c r="A839" t="s">
        <v>196</v>
      </c>
      <c r="B839" t="s">
        <v>201</v>
      </c>
      <c r="C839" t="s">
        <v>202</v>
      </c>
      <c r="D839" t="s">
        <v>1040</v>
      </c>
      <c r="E839">
        <v>-837</v>
      </c>
      <c r="F839" t="s">
        <v>203</v>
      </c>
      <c r="G839" t="s">
        <v>204</v>
      </c>
    </row>
    <row r="840" spans="1:7">
      <c r="A840" t="s">
        <v>196</v>
      </c>
      <c r="B840" t="s">
        <v>201</v>
      </c>
      <c r="C840" t="s">
        <v>202</v>
      </c>
      <c r="D840" t="s">
        <v>1041</v>
      </c>
      <c r="E840">
        <v>-838</v>
      </c>
      <c r="F840" t="s">
        <v>203</v>
      </c>
      <c r="G840" t="s">
        <v>204</v>
      </c>
    </row>
    <row r="841" spans="1:7">
      <c r="A841" t="s">
        <v>196</v>
      </c>
      <c r="B841" t="s">
        <v>201</v>
      </c>
      <c r="C841" t="s">
        <v>202</v>
      </c>
      <c r="D841" t="s">
        <v>1042</v>
      </c>
      <c r="E841">
        <v>-839</v>
      </c>
      <c r="F841" t="s">
        <v>203</v>
      </c>
      <c r="G841" t="s">
        <v>204</v>
      </c>
    </row>
    <row r="842" spans="1:7">
      <c r="A842" t="s">
        <v>196</v>
      </c>
      <c r="B842" t="s">
        <v>201</v>
      </c>
      <c r="C842" t="s">
        <v>202</v>
      </c>
      <c r="D842" t="s">
        <v>1043</v>
      </c>
      <c r="E842">
        <v>-840</v>
      </c>
      <c r="F842" t="s">
        <v>203</v>
      </c>
      <c r="G842" t="s">
        <v>204</v>
      </c>
    </row>
    <row r="843" spans="1:7">
      <c r="A843" t="s">
        <v>196</v>
      </c>
      <c r="B843" t="s">
        <v>201</v>
      </c>
      <c r="C843" t="s">
        <v>202</v>
      </c>
      <c r="D843" t="s">
        <v>1044</v>
      </c>
      <c r="E843">
        <v>-841</v>
      </c>
      <c r="F843" t="s">
        <v>203</v>
      </c>
      <c r="G843" t="s">
        <v>204</v>
      </c>
    </row>
    <row r="844" spans="1:7">
      <c r="A844" t="s">
        <v>196</v>
      </c>
      <c r="B844" t="s">
        <v>201</v>
      </c>
      <c r="C844" t="s">
        <v>202</v>
      </c>
      <c r="D844" t="s">
        <v>1045</v>
      </c>
      <c r="E844">
        <v>-842</v>
      </c>
      <c r="F844" t="s">
        <v>203</v>
      </c>
      <c r="G844" t="s">
        <v>204</v>
      </c>
    </row>
    <row r="845" spans="1:7">
      <c r="A845" t="s">
        <v>196</v>
      </c>
      <c r="B845" t="s">
        <v>201</v>
      </c>
      <c r="C845" t="s">
        <v>202</v>
      </c>
      <c r="D845" t="s">
        <v>1046</v>
      </c>
      <c r="E845">
        <v>-843</v>
      </c>
      <c r="F845" t="s">
        <v>203</v>
      </c>
      <c r="G845" t="s">
        <v>204</v>
      </c>
    </row>
    <row r="846" spans="1:7">
      <c r="A846" t="s">
        <v>196</v>
      </c>
      <c r="B846" t="s">
        <v>201</v>
      </c>
      <c r="C846" t="s">
        <v>202</v>
      </c>
      <c r="D846" t="s">
        <v>1047</v>
      </c>
      <c r="E846">
        <v>-844</v>
      </c>
      <c r="F846" t="s">
        <v>203</v>
      </c>
      <c r="G846" t="s">
        <v>204</v>
      </c>
    </row>
    <row r="847" spans="1:7">
      <c r="A847" t="s">
        <v>196</v>
      </c>
      <c r="B847" t="s">
        <v>201</v>
      </c>
      <c r="C847" t="s">
        <v>202</v>
      </c>
      <c r="D847" t="s">
        <v>1048</v>
      </c>
      <c r="E847">
        <v>-845</v>
      </c>
      <c r="F847" t="s">
        <v>203</v>
      </c>
      <c r="G847" t="s">
        <v>204</v>
      </c>
    </row>
    <row r="848" spans="1:7">
      <c r="A848" t="s">
        <v>196</v>
      </c>
      <c r="B848" t="s">
        <v>201</v>
      </c>
      <c r="C848" t="s">
        <v>202</v>
      </c>
      <c r="D848" t="s">
        <v>1049</v>
      </c>
      <c r="E848">
        <v>-846</v>
      </c>
      <c r="F848" t="s">
        <v>203</v>
      </c>
      <c r="G848" t="s">
        <v>204</v>
      </c>
    </row>
    <row r="849" spans="1:7">
      <c r="A849" t="s">
        <v>196</v>
      </c>
      <c r="B849" t="s">
        <v>201</v>
      </c>
      <c r="C849" t="s">
        <v>202</v>
      </c>
      <c r="D849" t="s">
        <v>1050</v>
      </c>
      <c r="E849">
        <v>-847</v>
      </c>
      <c r="F849" t="s">
        <v>203</v>
      </c>
      <c r="G849" t="s">
        <v>204</v>
      </c>
    </row>
    <row r="850" spans="1:7">
      <c r="A850" t="s">
        <v>196</v>
      </c>
      <c r="B850" t="s">
        <v>201</v>
      </c>
      <c r="C850" t="s">
        <v>202</v>
      </c>
      <c r="D850" t="s">
        <v>1051</v>
      </c>
      <c r="E850">
        <v>-848</v>
      </c>
      <c r="F850" t="s">
        <v>203</v>
      </c>
      <c r="G850" t="s">
        <v>204</v>
      </c>
    </row>
    <row r="851" spans="1:7">
      <c r="A851" t="s">
        <v>196</v>
      </c>
      <c r="B851" t="s">
        <v>201</v>
      </c>
      <c r="C851" t="s">
        <v>202</v>
      </c>
      <c r="D851" t="s">
        <v>1052</v>
      </c>
      <c r="E851">
        <v>-849</v>
      </c>
      <c r="F851" t="s">
        <v>203</v>
      </c>
      <c r="G851" t="s">
        <v>204</v>
      </c>
    </row>
    <row r="852" spans="1:7">
      <c r="A852" t="s">
        <v>196</v>
      </c>
      <c r="B852" t="s">
        <v>201</v>
      </c>
      <c r="C852" t="s">
        <v>202</v>
      </c>
      <c r="D852" t="s">
        <v>1053</v>
      </c>
      <c r="E852">
        <v>-850</v>
      </c>
      <c r="F852" t="s">
        <v>203</v>
      </c>
      <c r="G852" t="s">
        <v>204</v>
      </c>
    </row>
    <row r="853" spans="1:7">
      <c r="A853" t="s">
        <v>196</v>
      </c>
      <c r="B853" t="s">
        <v>201</v>
      </c>
      <c r="C853" t="s">
        <v>202</v>
      </c>
      <c r="D853" t="s">
        <v>1054</v>
      </c>
      <c r="E853">
        <v>-851</v>
      </c>
      <c r="F853" t="s">
        <v>203</v>
      </c>
      <c r="G853" t="s">
        <v>204</v>
      </c>
    </row>
    <row r="854" spans="1:7">
      <c r="A854" t="s">
        <v>196</v>
      </c>
      <c r="B854" t="s">
        <v>201</v>
      </c>
      <c r="C854" t="s">
        <v>202</v>
      </c>
      <c r="D854" t="s">
        <v>1055</v>
      </c>
      <c r="E854">
        <v>-852</v>
      </c>
      <c r="F854" t="s">
        <v>203</v>
      </c>
      <c r="G854" t="s">
        <v>204</v>
      </c>
    </row>
    <row r="855" spans="1:7">
      <c r="A855" t="s">
        <v>196</v>
      </c>
      <c r="B855" t="s">
        <v>201</v>
      </c>
      <c r="C855" t="s">
        <v>202</v>
      </c>
      <c r="D855" t="s">
        <v>1056</v>
      </c>
      <c r="E855">
        <v>-853</v>
      </c>
      <c r="F855" t="s">
        <v>203</v>
      </c>
      <c r="G855" t="s">
        <v>204</v>
      </c>
    </row>
    <row r="856" spans="1:7">
      <c r="A856" t="s">
        <v>196</v>
      </c>
      <c r="B856" t="s">
        <v>201</v>
      </c>
      <c r="C856" t="s">
        <v>202</v>
      </c>
      <c r="D856" t="s">
        <v>1057</v>
      </c>
      <c r="E856">
        <v>-854</v>
      </c>
      <c r="F856" t="s">
        <v>203</v>
      </c>
      <c r="G856" t="s">
        <v>204</v>
      </c>
    </row>
    <row r="857" spans="1:7">
      <c r="A857" t="s">
        <v>196</v>
      </c>
      <c r="B857" t="s">
        <v>201</v>
      </c>
      <c r="C857" t="s">
        <v>202</v>
      </c>
      <c r="D857" t="s">
        <v>1058</v>
      </c>
      <c r="E857">
        <v>-855</v>
      </c>
      <c r="F857" t="s">
        <v>203</v>
      </c>
      <c r="G857" t="s">
        <v>204</v>
      </c>
    </row>
    <row r="858" spans="1:7">
      <c r="A858" t="s">
        <v>196</v>
      </c>
      <c r="B858" t="s">
        <v>201</v>
      </c>
      <c r="C858" t="s">
        <v>202</v>
      </c>
      <c r="D858" t="s">
        <v>1059</v>
      </c>
      <c r="E858">
        <v>-856</v>
      </c>
      <c r="F858" t="s">
        <v>203</v>
      </c>
      <c r="G858" t="s">
        <v>204</v>
      </c>
    </row>
    <row r="859" spans="1:7">
      <c r="A859" t="s">
        <v>196</v>
      </c>
      <c r="B859" t="s">
        <v>201</v>
      </c>
      <c r="C859" t="s">
        <v>202</v>
      </c>
      <c r="D859" t="s">
        <v>1060</v>
      </c>
      <c r="E859">
        <v>-857</v>
      </c>
      <c r="F859" t="s">
        <v>203</v>
      </c>
      <c r="G859" t="s">
        <v>204</v>
      </c>
    </row>
    <row r="860" spans="1:7">
      <c r="A860" t="s">
        <v>196</v>
      </c>
      <c r="B860" t="s">
        <v>201</v>
      </c>
      <c r="C860" t="s">
        <v>202</v>
      </c>
      <c r="D860" t="s">
        <v>1061</v>
      </c>
      <c r="E860">
        <v>-858</v>
      </c>
      <c r="F860" t="s">
        <v>203</v>
      </c>
      <c r="G860" t="s">
        <v>204</v>
      </c>
    </row>
    <row r="861" spans="1:7">
      <c r="A861" t="s">
        <v>196</v>
      </c>
      <c r="B861" t="s">
        <v>201</v>
      </c>
      <c r="C861" t="s">
        <v>202</v>
      </c>
      <c r="D861" t="s">
        <v>1062</v>
      </c>
      <c r="E861">
        <v>-859</v>
      </c>
      <c r="F861" t="s">
        <v>203</v>
      </c>
      <c r="G861" t="s">
        <v>204</v>
      </c>
    </row>
    <row r="862" spans="1:7">
      <c r="A862" t="s">
        <v>196</v>
      </c>
      <c r="B862" t="s">
        <v>201</v>
      </c>
      <c r="C862" t="s">
        <v>202</v>
      </c>
      <c r="D862" t="s">
        <v>1063</v>
      </c>
      <c r="E862">
        <v>-860</v>
      </c>
      <c r="F862" t="s">
        <v>203</v>
      </c>
      <c r="G862" t="s">
        <v>204</v>
      </c>
    </row>
    <row r="863" spans="1:7">
      <c r="A863" t="s">
        <v>196</v>
      </c>
      <c r="B863" t="s">
        <v>201</v>
      </c>
      <c r="C863" t="s">
        <v>202</v>
      </c>
      <c r="D863" t="s">
        <v>1064</v>
      </c>
      <c r="E863">
        <v>-861</v>
      </c>
      <c r="F863" t="s">
        <v>203</v>
      </c>
      <c r="G863" t="s">
        <v>204</v>
      </c>
    </row>
    <row r="864" spans="1:7">
      <c r="A864" t="s">
        <v>196</v>
      </c>
      <c r="B864" t="s">
        <v>201</v>
      </c>
      <c r="C864" t="s">
        <v>202</v>
      </c>
      <c r="D864" t="s">
        <v>1065</v>
      </c>
      <c r="E864">
        <v>-862</v>
      </c>
      <c r="F864" t="s">
        <v>203</v>
      </c>
      <c r="G864" t="s">
        <v>204</v>
      </c>
    </row>
    <row r="865" spans="1:7">
      <c r="A865" t="s">
        <v>196</v>
      </c>
      <c r="B865" t="s">
        <v>201</v>
      </c>
      <c r="C865" t="s">
        <v>202</v>
      </c>
      <c r="D865" t="s">
        <v>1066</v>
      </c>
      <c r="E865">
        <v>-863</v>
      </c>
      <c r="F865" t="s">
        <v>203</v>
      </c>
      <c r="G865" t="s">
        <v>204</v>
      </c>
    </row>
    <row r="866" spans="1:7">
      <c r="A866" t="s">
        <v>196</v>
      </c>
      <c r="B866" t="s">
        <v>201</v>
      </c>
      <c r="C866" t="s">
        <v>202</v>
      </c>
      <c r="D866" t="s">
        <v>1067</v>
      </c>
      <c r="E866">
        <v>-864</v>
      </c>
      <c r="F866" t="s">
        <v>203</v>
      </c>
      <c r="G866" t="s">
        <v>204</v>
      </c>
    </row>
    <row r="867" spans="1:7">
      <c r="A867" t="s">
        <v>196</v>
      </c>
      <c r="B867" t="s">
        <v>201</v>
      </c>
      <c r="C867" t="s">
        <v>202</v>
      </c>
      <c r="D867" t="s">
        <v>1068</v>
      </c>
      <c r="E867">
        <v>-865</v>
      </c>
      <c r="F867" t="s">
        <v>203</v>
      </c>
      <c r="G867" t="s">
        <v>204</v>
      </c>
    </row>
    <row r="868" spans="1:7">
      <c r="A868" t="s">
        <v>196</v>
      </c>
      <c r="B868" t="s">
        <v>201</v>
      </c>
      <c r="C868" t="s">
        <v>202</v>
      </c>
      <c r="D868" t="s">
        <v>1069</v>
      </c>
      <c r="E868">
        <v>-866</v>
      </c>
      <c r="F868" t="s">
        <v>203</v>
      </c>
      <c r="G868" t="s">
        <v>204</v>
      </c>
    </row>
    <row r="869" spans="1:7">
      <c r="A869" t="s">
        <v>196</v>
      </c>
      <c r="B869" t="s">
        <v>201</v>
      </c>
      <c r="C869" t="s">
        <v>202</v>
      </c>
      <c r="D869" t="s">
        <v>1070</v>
      </c>
      <c r="E869">
        <v>-867</v>
      </c>
      <c r="F869" t="s">
        <v>203</v>
      </c>
      <c r="G869" t="s">
        <v>204</v>
      </c>
    </row>
    <row r="870" spans="1:7">
      <c r="A870" t="s">
        <v>196</v>
      </c>
      <c r="B870" t="s">
        <v>201</v>
      </c>
      <c r="C870" t="s">
        <v>202</v>
      </c>
      <c r="D870" t="s">
        <v>1071</v>
      </c>
      <c r="E870">
        <v>-868</v>
      </c>
      <c r="F870" t="s">
        <v>203</v>
      </c>
      <c r="G870" t="s">
        <v>204</v>
      </c>
    </row>
    <row r="871" spans="1:7">
      <c r="A871" t="s">
        <v>196</v>
      </c>
      <c r="B871" t="s">
        <v>201</v>
      </c>
      <c r="C871" t="s">
        <v>202</v>
      </c>
      <c r="D871" t="s">
        <v>1072</v>
      </c>
      <c r="E871">
        <v>-869</v>
      </c>
      <c r="F871" t="s">
        <v>203</v>
      </c>
      <c r="G871" t="s">
        <v>204</v>
      </c>
    </row>
    <row r="872" spans="1:7">
      <c r="A872" t="s">
        <v>196</v>
      </c>
      <c r="B872" t="s">
        <v>201</v>
      </c>
      <c r="C872" t="s">
        <v>202</v>
      </c>
      <c r="D872" t="s">
        <v>1073</v>
      </c>
      <c r="E872">
        <v>-870</v>
      </c>
      <c r="F872" t="s">
        <v>203</v>
      </c>
      <c r="G872" t="s">
        <v>204</v>
      </c>
    </row>
    <row r="873" spans="1:7">
      <c r="A873" t="s">
        <v>196</v>
      </c>
      <c r="B873" t="s">
        <v>201</v>
      </c>
      <c r="C873" t="s">
        <v>202</v>
      </c>
      <c r="D873" t="s">
        <v>1074</v>
      </c>
      <c r="E873">
        <v>-871</v>
      </c>
      <c r="F873" t="s">
        <v>203</v>
      </c>
      <c r="G873" t="s">
        <v>204</v>
      </c>
    </row>
    <row r="874" spans="1:7">
      <c r="A874" t="s">
        <v>196</v>
      </c>
      <c r="B874" t="s">
        <v>201</v>
      </c>
      <c r="C874" t="s">
        <v>202</v>
      </c>
      <c r="D874" t="s">
        <v>1075</v>
      </c>
      <c r="E874">
        <v>-872</v>
      </c>
      <c r="F874" t="s">
        <v>203</v>
      </c>
      <c r="G874" t="s">
        <v>204</v>
      </c>
    </row>
    <row r="875" spans="1:7">
      <c r="A875" t="s">
        <v>196</v>
      </c>
      <c r="B875" t="s">
        <v>201</v>
      </c>
      <c r="C875" t="s">
        <v>202</v>
      </c>
      <c r="D875" t="s">
        <v>1076</v>
      </c>
      <c r="E875">
        <v>-873</v>
      </c>
      <c r="F875" t="s">
        <v>203</v>
      </c>
      <c r="G875" t="s">
        <v>204</v>
      </c>
    </row>
    <row r="876" spans="1:7">
      <c r="A876" t="s">
        <v>196</v>
      </c>
      <c r="B876" t="s">
        <v>201</v>
      </c>
      <c r="C876" t="s">
        <v>202</v>
      </c>
      <c r="D876" t="s">
        <v>1077</v>
      </c>
      <c r="E876">
        <v>-874</v>
      </c>
      <c r="F876" t="s">
        <v>203</v>
      </c>
      <c r="G876" t="s">
        <v>204</v>
      </c>
    </row>
    <row r="877" spans="1:7">
      <c r="A877" t="s">
        <v>196</v>
      </c>
      <c r="B877" t="s">
        <v>201</v>
      </c>
      <c r="C877" t="s">
        <v>202</v>
      </c>
      <c r="D877" t="s">
        <v>1078</v>
      </c>
      <c r="E877">
        <v>-875</v>
      </c>
      <c r="F877" t="s">
        <v>203</v>
      </c>
      <c r="G877" t="s">
        <v>204</v>
      </c>
    </row>
    <row r="878" spans="1:7">
      <c r="A878" t="s">
        <v>196</v>
      </c>
      <c r="B878" t="s">
        <v>201</v>
      </c>
      <c r="C878" t="s">
        <v>202</v>
      </c>
      <c r="D878" t="s">
        <v>1079</v>
      </c>
      <c r="E878">
        <v>-876</v>
      </c>
      <c r="F878" t="s">
        <v>203</v>
      </c>
      <c r="G878" t="s">
        <v>204</v>
      </c>
    </row>
    <row r="879" spans="1:7">
      <c r="A879" t="s">
        <v>196</v>
      </c>
      <c r="B879" t="s">
        <v>201</v>
      </c>
      <c r="C879" t="s">
        <v>202</v>
      </c>
      <c r="D879" t="s">
        <v>1080</v>
      </c>
      <c r="E879">
        <v>-877</v>
      </c>
      <c r="F879" t="s">
        <v>203</v>
      </c>
      <c r="G879" t="s">
        <v>204</v>
      </c>
    </row>
    <row r="880" spans="1:7">
      <c r="A880" t="s">
        <v>196</v>
      </c>
      <c r="B880" t="s">
        <v>201</v>
      </c>
      <c r="C880" t="s">
        <v>202</v>
      </c>
      <c r="D880" t="s">
        <v>1081</v>
      </c>
      <c r="E880">
        <v>-878</v>
      </c>
      <c r="F880" t="s">
        <v>203</v>
      </c>
      <c r="G880" t="s">
        <v>204</v>
      </c>
    </row>
    <row r="881" spans="1:7">
      <c r="A881" t="s">
        <v>196</v>
      </c>
      <c r="B881" t="s">
        <v>201</v>
      </c>
      <c r="C881" t="s">
        <v>202</v>
      </c>
      <c r="D881" t="s">
        <v>1082</v>
      </c>
      <c r="E881">
        <v>-879</v>
      </c>
      <c r="F881" t="s">
        <v>203</v>
      </c>
      <c r="G881" t="s">
        <v>204</v>
      </c>
    </row>
    <row r="882" spans="1:7">
      <c r="A882" t="s">
        <v>196</v>
      </c>
      <c r="B882" t="s">
        <v>201</v>
      </c>
      <c r="C882" t="s">
        <v>202</v>
      </c>
      <c r="D882" t="s">
        <v>1083</v>
      </c>
      <c r="E882">
        <v>-880</v>
      </c>
      <c r="F882" t="s">
        <v>203</v>
      </c>
      <c r="G882" t="s">
        <v>204</v>
      </c>
    </row>
    <row r="883" spans="1:7">
      <c r="A883" t="s">
        <v>196</v>
      </c>
      <c r="B883" t="s">
        <v>201</v>
      </c>
      <c r="C883" t="s">
        <v>202</v>
      </c>
      <c r="D883" t="s">
        <v>1084</v>
      </c>
      <c r="E883">
        <v>-881</v>
      </c>
      <c r="F883" t="s">
        <v>203</v>
      </c>
      <c r="G883" t="s">
        <v>204</v>
      </c>
    </row>
    <row r="884" spans="1:7">
      <c r="A884" t="s">
        <v>196</v>
      </c>
      <c r="B884" t="s">
        <v>201</v>
      </c>
      <c r="C884" t="s">
        <v>202</v>
      </c>
      <c r="D884" t="s">
        <v>1085</v>
      </c>
      <c r="E884">
        <v>-882</v>
      </c>
      <c r="F884" t="s">
        <v>203</v>
      </c>
      <c r="G884" t="s">
        <v>204</v>
      </c>
    </row>
    <row r="885" spans="1:7">
      <c r="A885" t="s">
        <v>196</v>
      </c>
      <c r="B885" t="s">
        <v>201</v>
      </c>
      <c r="C885" t="s">
        <v>202</v>
      </c>
      <c r="D885" t="s">
        <v>1086</v>
      </c>
      <c r="E885">
        <v>-883</v>
      </c>
      <c r="F885" t="s">
        <v>203</v>
      </c>
      <c r="G885" t="s">
        <v>204</v>
      </c>
    </row>
    <row r="886" spans="1:7">
      <c r="A886" t="s">
        <v>196</v>
      </c>
      <c r="B886" t="s">
        <v>201</v>
      </c>
      <c r="C886" t="s">
        <v>202</v>
      </c>
      <c r="D886" t="s">
        <v>1087</v>
      </c>
      <c r="E886">
        <v>-884</v>
      </c>
      <c r="F886" t="s">
        <v>203</v>
      </c>
      <c r="G886" t="s">
        <v>204</v>
      </c>
    </row>
    <row r="887" spans="1:7">
      <c r="A887" t="s">
        <v>196</v>
      </c>
      <c r="B887" t="s">
        <v>201</v>
      </c>
      <c r="C887" t="s">
        <v>202</v>
      </c>
      <c r="D887" t="s">
        <v>1088</v>
      </c>
      <c r="E887">
        <v>-885</v>
      </c>
      <c r="F887" t="s">
        <v>203</v>
      </c>
      <c r="G887" t="s">
        <v>204</v>
      </c>
    </row>
    <row r="888" spans="1:7">
      <c r="A888" t="s">
        <v>196</v>
      </c>
      <c r="B888" t="s">
        <v>201</v>
      </c>
      <c r="C888" t="s">
        <v>202</v>
      </c>
      <c r="D888" t="s">
        <v>1089</v>
      </c>
      <c r="E888">
        <v>-886</v>
      </c>
      <c r="F888" t="s">
        <v>203</v>
      </c>
      <c r="G888" t="s">
        <v>204</v>
      </c>
    </row>
    <row r="889" spans="1:7">
      <c r="A889" t="s">
        <v>196</v>
      </c>
      <c r="B889" t="s">
        <v>201</v>
      </c>
      <c r="C889" t="s">
        <v>202</v>
      </c>
      <c r="D889" t="s">
        <v>1090</v>
      </c>
      <c r="E889">
        <v>-887</v>
      </c>
      <c r="F889" t="s">
        <v>203</v>
      </c>
      <c r="G889" t="s">
        <v>204</v>
      </c>
    </row>
    <row r="890" spans="1:7">
      <c r="A890" t="s">
        <v>196</v>
      </c>
      <c r="B890" t="s">
        <v>201</v>
      </c>
      <c r="C890" t="s">
        <v>202</v>
      </c>
      <c r="D890" t="s">
        <v>1091</v>
      </c>
      <c r="E890">
        <v>-888</v>
      </c>
      <c r="F890" t="s">
        <v>203</v>
      </c>
      <c r="G890" t="s">
        <v>204</v>
      </c>
    </row>
    <row r="891" spans="1:7">
      <c r="A891" t="s">
        <v>196</v>
      </c>
      <c r="B891" t="s">
        <v>201</v>
      </c>
      <c r="C891" t="s">
        <v>202</v>
      </c>
      <c r="D891" t="s">
        <v>1092</v>
      </c>
      <c r="E891">
        <v>-889</v>
      </c>
      <c r="F891" t="s">
        <v>203</v>
      </c>
      <c r="G891" t="s">
        <v>204</v>
      </c>
    </row>
    <row r="892" spans="1:7">
      <c r="A892" t="s">
        <v>196</v>
      </c>
      <c r="B892" t="s">
        <v>201</v>
      </c>
      <c r="C892" t="s">
        <v>202</v>
      </c>
      <c r="D892" t="s">
        <v>1093</v>
      </c>
      <c r="E892">
        <v>-890</v>
      </c>
      <c r="F892" t="s">
        <v>203</v>
      </c>
      <c r="G892" t="s">
        <v>204</v>
      </c>
    </row>
    <row r="893" spans="1:7">
      <c r="A893" t="s">
        <v>196</v>
      </c>
      <c r="B893" t="s">
        <v>201</v>
      </c>
      <c r="C893" t="s">
        <v>202</v>
      </c>
      <c r="D893" t="s">
        <v>1094</v>
      </c>
      <c r="E893">
        <v>-891</v>
      </c>
      <c r="F893" t="s">
        <v>203</v>
      </c>
      <c r="G893" t="s">
        <v>204</v>
      </c>
    </row>
    <row r="894" spans="1:7">
      <c r="A894" t="s">
        <v>196</v>
      </c>
      <c r="B894" t="s">
        <v>201</v>
      </c>
      <c r="C894" t="s">
        <v>202</v>
      </c>
      <c r="D894" t="s">
        <v>1095</v>
      </c>
      <c r="E894">
        <v>-892</v>
      </c>
      <c r="F894" t="s">
        <v>203</v>
      </c>
      <c r="G894" t="s">
        <v>204</v>
      </c>
    </row>
    <row r="895" spans="1:7">
      <c r="A895" t="s">
        <v>196</v>
      </c>
      <c r="B895" t="s">
        <v>201</v>
      </c>
      <c r="C895" t="s">
        <v>202</v>
      </c>
      <c r="D895" t="s">
        <v>1096</v>
      </c>
      <c r="E895">
        <v>-893</v>
      </c>
      <c r="F895" t="s">
        <v>203</v>
      </c>
      <c r="G895" t="s">
        <v>204</v>
      </c>
    </row>
    <row r="896" spans="1:7">
      <c r="A896" t="s">
        <v>196</v>
      </c>
      <c r="B896" t="s">
        <v>201</v>
      </c>
      <c r="C896" t="s">
        <v>202</v>
      </c>
      <c r="D896" t="s">
        <v>1097</v>
      </c>
      <c r="E896">
        <v>-894</v>
      </c>
      <c r="F896" t="s">
        <v>203</v>
      </c>
      <c r="G896" t="s">
        <v>204</v>
      </c>
    </row>
    <row r="897" spans="1:7">
      <c r="A897" t="s">
        <v>196</v>
      </c>
      <c r="B897" t="s">
        <v>201</v>
      </c>
      <c r="C897" t="s">
        <v>202</v>
      </c>
      <c r="D897" t="s">
        <v>1098</v>
      </c>
      <c r="E897">
        <v>-895</v>
      </c>
      <c r="F897" t="s">
        <v>203</v>
      </c>
      <c r="G897" t="s">
        <v>204</v>
      </c>
    </row>
    <row r="898" spans="1:7">
      <c r="A898" t="s">
        <v>196</v>
      </c>
      <c r="B898" t="s">
        <v>201</v>
      </c>
      <c r="C898" t="s">
        <v>202</v>
      </c>
      <c r="D898" t="s">
        <v>1099</v>
      </c>
      <c r="E898">
        <v>-896</v>
      </c>
      <c r="F898" t="s">
        <v>203</v>
      </c>
      <c r="G898" t="s">
        <v>204</v>
      </c>
    </row>
    <row r="899" spans="1:7">
      <c r="A899" t="s">
        <v>196</v>
      </c>
      <c r="B899" t="s">
        <v>201</v>
      </c>
      <c r="C899" t="s">
        <v>202</v>
      </c>
      <c r="D899" t="s">
        <v>1100</v>
      </c>
      <c r="E899">
        <v>-897</v>
      </c>
      <c r="F899" t="s">
        <v>203</v>
      </c>
      <c r="G899" t="s">
        <v>204</v>
      </c>
    </row>
    <row r="900" spans="1:7">
      <c r="A900" t="s">
        <v>196</v>
      </c>
      <c r="B900" t="s">
        <v>201</v>
      </c>
      <c r="C900" t="s">
        <v>202</v>
      </c>
      <c r="D900" t="s">
        <v>1101</v>
      </c>
      <c r="E900">
        <v>-898</v>
      </c>
      <c r="F900" t="s">
        <v>203</v>
      </c>
      <c r="G900" t="s">
        <v>204</v>
      </c>
    </row>
    <row r="901" spans="1:7">
      <c r="A901" t="s">
        <v>196</v>
      </c>
      <c r="B901" t="s">
        <v>201</v>
      </c>
      <c r="C901" t="s">
        <v>202</v>
      </c>
      <c r="D901" t="s">
        <v>1102</v>
      </c>
      <c r="E901">
        <v>-899</v>
      </c>
      <c r="F901" t="s">
        <v>203</v>
      </c>
      <c r="G901" t="s">
        <v>204</v>
      </c>
    </row>
    <row r="902" spans="1:7">
      <c r="A902" t="s">
        <v>196</v>
      </c>
      <c r="B902" t="s">
        <v>201</v>
      </c>
      <c r="C902" t="s">
        <v>202</v>
      </c>
      <c r="D902" t="s">
        <v>1103</v>
      </c>
      <c r="E902">
        <v>-900</v>
      </c>
      <c r="F902" t="s">
        <v>203</v>
      </c>
      <c r="G902" t="s">
        <v>204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A186B-4B73-4C92-ACD6-DEBF5EE044C2}">
  <sheetPr codeName="Sheet9"/>
  <dimension ref="A1:G76"/>
  <sheetViews>
    <sheetView workbookViewId="0">
      <selection activeCell="D5" sqref="D5"/>
    </sheetView>
  </sheetViews>
  <sheetFormatPr defaultColWidth="8.85546875" defaultRowHeight="15"/>
  <cols>
    <col min="1" max="3" width="21" style="2" customWidth="1"/>
    <col min="4" max="4" width="23.140625" style="2" bestFit="1" customWidth="1"/>
    <col min="5" max="16384" width="8.85546875" style="15"/>
  </cols>
  <sheetData>
    <row r="1" spans="1:7">
      <c r="A1" s="1" t="s">
        <v>1104</v>
      </c>
      <c r="B1" s="1" t="s">
        <v>1105</v>
      </c>
      <c r="C1" s="1" t="s">
        <v>1106</v>
      </c>
      <c r="D1" s="1" t="s">
        <v>1107</v>
      </c>
    </row>
    <row r="2" spans="1:7">
      <c r="A2" s="38">
        <f>Results!C16</f>
        <v>655</v>
      </c>
      <c r="B2" s="38">
        <f>Results!D16</f>
        <v>10</v>
      </c>
      <c r="C2" s="38">
        <f>Results!E16</f>
        <v>665</v>
      </c>
      <c r="D2" s="38">
        <f>ROUND(BackgroundCalcs!G29,0)</f>
        <v>50778</v>
      </c>
    </row>
    <row r="10" spans="1:7">
      <c r="G10" s="39"/>
    </row>
    <row r="11" spans="1:7">
      <c r="G11" s="40"/>
    </row>
    <row r="12" spans="1:7">
      <c r="G12" s="40"/>
    </row>
    <row r="14" spans="1:7">
      <c r="G14" s="39"/>
    </row>
    <row r="15" spans="1:7">
      <c r="G15" s="39"/>
    </row>
    <row r="16" spans="1:7">
      <c r="G16" s="39"/>
    </row>
    <row r="17" spans="7:7">
      <c r="G17" s="39"/>
    </row>
    <row r="18" spans="7:7">
      <c r="G18" s="39"/>
    </row>
    <row r="20" spans="7:7">
      <c r="G20" s="40"/>
    </row>
    <row r="21" spans="7:7">
      <c r="G21" s="41"/>
    </row>
    <row r="22" spans="7:7">
      <c r="G22" s="41"/>
    </row>
    <row r="23" spans="7:7">
      <c r="G23" s="41"/>
    </row>
    <row r="25" spans="7:7">
      <c r="G25" s="40"/>
    </row>
    <row r="26" spans="7:7">
      <c r="G26" s="41"/>
    </row>
    <row r="28" spans="7:7">
      <c r="G28" s="41"/>
    </row>
    <row r="29" spans="7:7">
      <c r="G29" s="41"/>
    </row>
    <row r="30" spans="7:7">
      <c r="G30" s="41"/>
    </row>
    <row r="31" spans="7:7">
      <c r="G31" s="41"/>
    </row>
    <row r="32" spans="7:7">
      <c r="G32" s="41"/>
    </row>
    <row r="33" spans="7:7">
      <c r="G33" s="41"/>
    </row>
    <row r="35" spans="7:7">
      <c r="G35" s="40"/>
    </row>
    <row r="36" spans="7:7">
      <c r="G36" s="41"/>
    </row>
    <row r="37" spans="7:7">
      <c r="G37" s="41"/>
    </row>
    <row r="38" spans="7:7">
      <c r="G38" s="41"/>
    </row>
    <row r="40" spans="7:7">
      <c r="G40" s="40"/>
    </row>
    <row r="41" spans="7:7">
      <c r="G41" s="41"/>
    </row>
    <row r="43" spans="7:7">
      <c r="G43" s="40"/>
    </row>
    <row r="44" spans="7:7">
      <c r="G44" s="41"/>
    </row>
    <row r="46" spans="7:7">
      <c r="G46" s="40"/>
    </row>
    <row r="47" spans="7:7">
      <c r="G47" s="41"/>
    </row>
    <row r="48" spans="7:7">
      <c r="G48" s="41"/>
    </row>
    <row r="49" spans="7:7">
      <c r="G49" s="41"/>
    </row>
    <row r="50" spans="7:7">
      <c r="G50" s="41"/>
    </row>
    <row r="51" spans="7:7">
      <c r="G51" s="41"/>
    </row>
    <row r="52" spans="7:7">
      <c r="G52" s="41"/>
    </row>
    <row r="53" spans="7:7">
      <c r="G53" s="41"/>
    </row>
    <row r="54" spans="7:7">
      <c r="G54" s="41"/>
    </row>
    <row r="55" spans="7:7">
      <c r="G55" s="41"/>
    </row>
    <row r="56" spans="7:7">
      <c r="G56" s="41"/>
    </row>
    <row r="57" spans="7:7">
      <c r="G57" s="41"/>
    </row>
    <row r="58" spans="7:7">
      <c r="G58" s="41"/>
    </row>
    <row r="59" spans="7:7">
      <c r="G59" s="41"/>
    </row>
    <row r="60" spans="7:7">
      <c r="G60" s="41"/>
    </row>
    <row r="61" spans="7:7">
      <c r="G61" s="41"/>
    </row>
    <row r="63" spans="7:7">
      <c r="G63" s="41"/>
    </row>
    <row r="64" spans="7:7">
      <c r="G64" s="41"/>
    </row>
    <row r="65" spans="7:7">
      <c r="G65" s="41"/>
    </row>
    <row r="67" spans="7:7">
      <c r="G67" s="40"/>
    </row>
    <row r="68" spans="7:7">
      <c r="G68" s="41"/>
    </row>
    <row r="70" spans="7:7">
      <c r="G70" s="41"/>
    </row>
    <row r="71" spans="7:7">
      <c r="G71" s="41"/>
    </row>
    <row r="72" spans="7:7">
      <c r="G72" s="41"/>
    </row>
    <row r="73" spans="7:7">
      <c r="G73" s="41"/>
    </row>
    <row r="74" spans="7:7">
      <c r="G74" s="41"/>
    </row>
    <row r="75" spans="7:7">
      <c r="G75" s="39"/>
    </row>
    <row r="76" spans="7:7">
      <c r="G76" s="3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A026A253F9D34418D92E89FCD085A69" ma:contentTypeVersion="2" ma:contentTypeDescription="Create a new document." ma:contentTypeScope="" ma:versionID="077ff3975ed1236d1dc02c54ce8f1bde">
  <xsd:schema xmlns:xsd="http://www.w3.org/2001/XMLSchema" xmlns:xs="http://www.w3.org/2001/XMLSchema" xmlns:p="http://schemas.microsoft.com/office/2006/metadata/properties" xmlns:ns3="53472db5-b091-4940-916c-b6d0a452e361" targetNamespace="http://schemas.microsoft.com/office/2006/metadata/properties" ma:root="true" ma:fieldsID="e12b66e40a6a95a9b2c2f7b1ef847540" ns3:_="">
    <xsd:import namespace="53472db5-b091-4940-916c-b6d0a452e361"/>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472db5-b091-4940-916c-b6d0a452e3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4CD24C-3A07-4054-9A82-EBD1F6CEAF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472db5-b091-4940-916c-b6d0a452e3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1DA3C2C-A27E-4B57-9094-4A06F6F755F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C91E2F9-1C39-489F-B40D-F31469E2BE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7</vt:i4>
      </vt:variant>
      <vt:variant>
        <vt:lpstr>Nazwane zakresy</vt:lpstr>
      </vt:variant>
      <vt:variant>
        <vt:i4>60</vt:i4>
      </vt:variant>
    </vt:vector>
  </HeadingPairs>
  <TitlesOfParts>
    <vt:vector size="67" baseType="lpstr">
      <vt:lpstr>Cover</vt:lpstr>
      <vt:lpstr>Unblock Guide</vt:lpstr>
      <vt:lpstr>Start Tab</vt:lpstr>
      <vt:lpstr>Maze Tab</vt:lpstr>
      <vt:lpstr>Last Tab</vt:lpstr>
      <vt:lpstr>Progress &amp; Instructions</vt:lpstr>
      <vt:lpstr>Results</vt:lpstr>
      <vt:lpstr>activateCount</vt:lpstr>
      <vt:lpstr>AllCorrect</vt:lpstr>
      <vt:lpstr>answerCheckOn</vt:lpstr>
      <vt:lpstr>cellNames</vt:lpstr>
      <vt:lpstr>elapsedTime</vt:lpstr>
      <vt:lpstr>endTime</vt:lpstr>
      <vt:lpstr>firstVisited</vt:lpstr>
      <vt:lpstr>instructionsOn</vt:lpstr>
      <vt:lpstr>isGameOn</vt:lpstr>
      <vt:lpstr>lastTime</vt:lpstr>
      <vt:lpstr>liveVersion</vt:lpstr>
      <vt:lpstr>macOn</vt:lpstr>
      <vt:lpstr>mazeCorrect</vt:lpstr>
      <vt:lpstr>mouseMovements</vt:lpstr>
      <vt:lpstr>numCorrect</vt:lpstr>
      <vt:lpstr>NumExercises</vt:lpstr>
      <vt:lpstr>numProtectedCells</vt:lpstr>
      <vt:lpstr>numRandomValues</vt:lpstr>
      <vt:lpstr>OverrideSave</vt:lpstr>
      <vt:lpstr>passwordOn</vt:lpstr>
      <vt:lpstr>pcOn</vt:lpstr>
      <vt:lpstr>pCountNew</vt:lpstr>
      <vt:lpstr>SheetNameRange</vt:lpstr>
      <vt:lpstr>SpreadsheetName</vt:lpstr>
      <vt:lpstr>startTime</vt:lpstr>
      <vt:lpstr>stop1</vt:lpstr>
      <vt:lpstr>stop10</vt:lpstr>
      <vt:lpstr>stop11</vt:lpstr>
      <vt:lpstr>stop12</vt:lpstr>
      <vt:lpstr>stop13</vt:lpstr>
      <vt:lpstr>stop14</vt:lpstr>
      <vt:lpstr>stop15</vt:lpstr>
      <vt:lpstr>stop16</vt:lpstr>
      <vt:lpstr>stop17</vt:lpstr>
      <vt:lpstr>stop18</vt:lpstr>
      <vt:lpstr>stop19</vt:lpstr>
      <vt:lpstr>stop2</vt:lpstr>
      <vt:lpstr>stop20</vt:lpstr>
      <vt:lpstr>stop21</vt:lpstr>
      <vt:lpstr>stop22</vt:lpstr>
      <vt:lpstr>stop23</vt:lpstr>
      <vt:lpstr>stop24</vt:lpstr>
      <vt:lpstr>stop25</vt:lpstr>
      <vt:lpstr>stop26</vt:lpstr>
      <vt:lpstr>stop27</vt:lpstr>
      <vt:lpstr>stop28</vt:lpstr>
      <vt:lpstr>stop3</vt:lpstr>
      <vt:lpstr>stop4</vt:lpstr>
      <vt:lpstr>stop5</vt:lpstr>
      <vt:lpstr>stop6</vt:lpstr>
      <vt:lpstr>stop7</vt:lpstr>
      <vt:lpstr>stop8</vt:lpstr>
      <vt:lpstr>stop9</vt:lpstr>
      <vt:lpstr>StudentIDCell</vt:lpstr>
      <vt:lpstr>StudentNameCell</vt:lpstr>
      <vt:lpstr>Tab1Answer</vt:lpstr>
      <vt:lpstr>Tab1ClearRange</vt:lpstr>
      <vt:lpstr>Tab1Name</vt:lpstr>
      <vt:lpstr>Tab1Start</vt:lpstr>
      <vt:lpstr>totalTime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Poorya Mehrabinia</dc:creator>
  <cp:keywords/>
  <dc:description/>
  <cp:lastModifiedBy>Maciej Kopczyński</cp:lastModifiedBy>
  <cp:revision/>
  <dcterms:created xsi:type="dcterms:W3CDTF">2015-06-05T18:17:20Z</dcterms:created>
  <dcterms:modified xsi:type="dcterms:W3CDTF">2026-03-02T22:30:47Z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0x010100AA026A253F9D34418D92E89FCD085A69</vt:lpwstr>
  </property>
</Properties>
</file>