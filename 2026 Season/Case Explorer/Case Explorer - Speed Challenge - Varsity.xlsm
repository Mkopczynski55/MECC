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3" codeName="{28389E77-7640-9E18-AD5C-E98E2F4A8B83}"/>
  <workbookPr codeName="ThisWorkbook"/>
  <mc:AlternateContent xmlns:mc="http://schemas.openxmlformats.org/markup-compatibility/2006">
    <mc:Choice Requires="x15">
      <x15ac:absPath xmlns:x15ac="http://schemas.microsoft.com/office/spreadsheetml/2010/11/ac" url="https://d.docs.live.net/29f448ec057303af/Pulpit/"/>
    </mc:Choice>
  </mc:AlternateContent>
  <xr:revisionPtr revIDLastSave="232" documentId="13_ncr:1_{41224385-3651-FF49-B64B-6893A32D826A}" xr6:coauthVersionLast="47" xr6:coauthVersionMax="47" xr10:uidLastSave="{A7E55B5E-DE79-4DF2-A9FC-7ED67E8C0993}"/>
  <bookViews>
    <workbookView xWindow="-120" yWindow="-120" windowWidth="51840" windowHeight="21120" xr2:uid="{00000000-000D-0000-FFFF-FFFF00000000}"/>
  </bookViews>
  <sheets>
    <sheet name="Cover" sheetId="20" r:id="rId1"/>
    <sheet name="Unblock Guide" sheetId="12" r:id="rId2"/>
    <sheet name="Start Tab" sheetId="16" r:id="rId3"/>
    <sheet name="Maze Tab" sheetId="17" r:id="rId4"/>
    <sheet name="Last Tab" sheetId="18" r:id="rId5"/>
    <sheet name="Progress &amp; Instructions" sheetId="19" r:id="rId6"/>
    <sheet name="Results" sheetId="8" r:id="rId7"/>
    <sheet name="BackgroundCalcs" sheetId="3" state="veryHidden" r:id="rId8"/>
    <sheet name="Time Grading" sheetId="13" state="veryHidden" r:id="rId9"/>
    <sheet name="Grading" sheetId="4" state="veryHidden" r:id="rId10"/>
    <sheet name="Output" sheetId="9" state="veryHidden" r:id="rId11"/>
  </sheets>
  <definedNames>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MacroMode" hidden="1">0</definedName>
    <definedName name="_AtRisk_SimSetting_MacroRecalculationBehavior" hidden="1">0</definedName>
    <definedName name="_AtRisk_SimSetting_MaxAutoIterations" hidden="1">50000</definedName>
    <definedName name="_AtRisk_SimSetting_MultipleCPUCount" hidden="1">2</definedName>
    <definedName name="_AtRisk_SimSetting_MultipleCPUManualCount" hidden="1">2</definedName>
    <definedName name="_AtRisk_SimSetting_MultipleCPUMode" hidden="1">2</definedName>
    <definedName name="_AtRisk_SimSetting_MultipleCPUModeV8" hidden="1">2</definedName>
    <definedName name="_AtRisk_SimSetting_RandomNumberGenerator" hidden="1">0</definedName>
    <definedName name="_AtRisk_SimSetting_ShowSimulationProgressWindow" hidden="1">TRUE</definedName>
    <definedName name="_AtRisk_SimSetting_SimName001" hidden="1">"Scen 1(Base=123.42, S0=126.12, V=31.97%)"</definedName>
    <definedName name="_AtRisk_SimSetting_SimName002" hidden="1">"Scen 2(Base=123.42, S0=130, V=31.97%)"</definedName>
    <definedName name="_AtRisk_SimSetting_SimName003" hidden="1">"Scen 3(Base=123.42, S0=132, V=31.97%)"</definedName>
    <definedName name="_AtRisk_SimSetting_SimName004" hidden="1">"Scen 4(Base=1, S0=1, V=31.97%)"</definedName>
    <definedName name="_AtRisk_SimSetting_SimNameCount" hidden="1">4</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xleta.CELL" hidden="1" xlm="1">#NAME?</definedName>
    <definedName name="_xleta.IFERROR" hidden="1" xlm="1">#NAME?</definedName>
    <definedName name="_xleta.ISFORMULA" hidden="1" xlm="1">#NAME?</definedName>
    <definedName name="_xleta.SUM" hidden="1" xlm="1">#NAME?</definedName>
    <definedName name="activateCount">BackgroundCalcs!$G$23</definedName>
    <definedName name="AllCorrect">BackgroundCalcs!$F$8</definedName>
    <definedName name="answerCheckOn">BackgroundCalcs!$F$43</definedName>
    <definedName name="cellNames">BackgroundCalcs!$Q$2:$Q$29</definedName>
    <definedName name="elapsedTime">BackgroundCalcs!$G$5</definedName>
    <definedName name="endTime">BackgroundCalcs!$G$2</definedName>
    <definedName name="firstVisited">BackgroundCalcs!$R$2:$R$29</definedName>
    <definedName name="instructionsOn">BackgroundCalcs!$F$46</definedName>
    <definedName name="IQ_DNTM" hidden="1">700000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MTD" hidden="1">800000</definedName>
    <definedName name="IQ_NAMES_REVISION_DATE_" hidden="1">44091.7196296296</definedName>
    <definedName name="IQ_QTD" hidden="1">750000</definedName>
    <definedName name="IQ_TODAY" hidden="1">0</definedName>
    <definedName name="IQ_YTDMONTH" hidden="1">130000</definedName>
    <definedName name="IQB_BOOKMARK_COUNT" hidden="1">0</definedName>
    <definedName name="isGameOn">BackgroundCalcs!$F$5</definedName>
    <definedName name="lastTime">BackgroundCalcs!$G$26</definedName>
    <definedName name="liveVersion">BackgroundCalcs!$F$26</definedName>
    <definedName name="macOn">BackgroundCalcs!$F$52</definedName>
    <definedName name="mazeCorrect">BackgroundCalcs!$F$11</definedName>
    <definedName name="mouseMovements">BackgroundCalcs!$F$14</definedName>
    <definedName name="numCorrect">BackgroundCalcs!$G$16</definedName>
    <definedName name="NumExercises">BackgroundCalcs!$D$14</definedName>
    <definedName name="numProtectedCells">BackgroundCalcs!$D$17</definedName>
    <definedName name="numRandomValues">BackgroundCalcs!$D$20</definedName>
    <definedName name="OverrideSave">BackgroundCalcs!$D$2</definedName>
    <definedName name="Pal_Workbook_GUID" hidden="1">"KHB4MCAJCJC3RUEFU5N2FB3U"</definedName>
    <definedName name="passwordOn">BackgroundCalcs!$G$8</definedName>
    <definedName name="pcOn">BackgroundCalcs!$F$49</definedName>
    <definedName name="pCountNew">BackgroundCalcs!$S$2</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8</definedName>
    <definedName name="RiskMinimizeOnStart" hidden="1">FALSE</definedName>
    <definedName name="RiskMonitorConvergence" hidden="1">FALSE</definedName>
    <definedName name="RiskMultipleCPUSupportEnabled" hidden="1">FALSE</definedName>
    <definedName name="RiskNumIterations" hidden="1">100000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TRUE</definedName>
    <definedName name="RiskUseMultipleCPUs" hidden="1">FALSE</definedName>
    <definedName name="SheetNameRange">BackgroundCalcs!$I$2:$I$11</definedName>
    <definedName name="solver_eng" localSheetId="0" hidden="1">1</definedName>
    <definedName name="solver_neg" localSheetId="0" hidden="1">1</definedName>
    <definedName name="solver_num" localSheetId="0" hidden="1">0</definedName>
    <definedName name="solver_opt" localSheetId="0" hidden="1">Cover!#REF!</definedName>
    <definedName name="solver_typ" localSheetId="0" hidden="1">1</definedName>
    <definedName name="solver_val" localSheetId="0" hidden="1">0</definedName>
    <definedName name="solver_ver" localSheetId="0" hidden="1">3</definedName>
    <definedName name="SpreadsheetName">BackgroundCalcs!$D$5</definedName>
    <definedName name="startTime">BackgroundCalcs!$F$2</definedName>
    <definedName name="stop1">'Start Tab'!$Q$49</definedName>
    <definedName name="stop10">'Maze Tab'!$AA$35</definedName>
    <definedName name="stop11">'Maze Tab'!$AD$35</definedName>
    <definedName name="stop12">'Maze Tab'!$AD$14</definedName>
    <definedName name="stop13">'Maze Tab'!$AK$14</definedName>
    <definedName name="stop14">'Maze Tab'!$AK$1</definedName>
    <definedName name="stop15">'Last Tab'!$L$15</definedName>
    <definedName name="stop16">'Last Tab'!$AE$20</definedName>
    <definedName name="stop17">'Last Tab'!$W$31</definedName>
    <definedName name="stop18">'Last Tab'!$U$81</definedName>
    <definedName name="stop19">'Last Tab'!$S$108</definedName>
    <definedName name="stop2">'Maze Tab'!$A$13</definedName>
    <definedName name="stop20">'Last Tab'!$Q$129</definedName>
    <definedName name="stop21">'Last Tab'!$AM$129</definedName>
    <definedName name="stop22">'Last Tab'!$AS$129</definedName>
    <definedName name="stop23">'Last Tab'!$BA$129</definedName>
    <definedName name="stop24">'Last Tab'!$BA$57</definedName>
    <definedName name="stop25">'Last Tab'!$BR$22</definedName>
    <definedName name="stop26">'Last Tab'!$BV$92</definedName>
    <definedName name="stop27">'Last Tab'!$BY$6</definedName>
    <definedName name="stop28">'Last Tab'!$CD$6</definedName>
    <definedName name="stop3">'Maze Tab'!$D$13</definedName>
    <definedName name="stop4">'Maze Tab'!$D$18</definedName>
    <definedName name="stop5">'Maze Tab'!$P$18</definedName>
    <definedName name="stop6">'Maze Tab'!$P$7</definedName>
    <definedName name="stop7">'Maze Tab'!$V$7</definedName>
    <definedName name="stop8">'Maze Tab'!$V$29</definedName>
    <definedName name="stop9">'Maze Tab'!$AA$29</definedName>
    <definedName name="StudentIDCell">BackgroundCalcs!$D$8</definedName>
    <definedName name="StudentNameCell">BackgroundCalcs!$D$11</definedName>
    <definedName name="Tab1Answer">BackgroundCalcs!$K$2</definedName>
    <definedName name="Tab1ClearRange">BackgroundCalcs!$L$2</definedName>
    <definedName name="Tab1Name">BackgroundCalcs!$I$2</definedName>
    <definedName name="Tab1Start">BackgroundCalcs!$J$2</definedName>
    <definedName name="totalTime">BackgroundCalcs!$F$29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Y6" i="18" l="1" a="1"/>
  <c r="BY6" i="18" s="1"/>
  <c r="BV92" i="18"/>
  <c r="BR22" i="18" a="1"/>
  <c r="BR22" i="18" s="1"/>
  <c r="AS129" i="18"/>
  <c r="AM129" i="18"/>
  <c r="BA57" i="18"/>
  <c r="AX51" i="18" a="1"/>
  <c r="AX51" i="18" s="1"/>
  <c r="AE20" i="18"/>
  <c r="AN127" i="18"/>
  <c r="AO127" i="18"/>
  <c r="AP127" i="18"/>
  <c r="AQ127" i="18"/>
  <c r="AR127" i="18"/>
  <c r="AS127" i="18"/>
  <c r="AT127" i="18"/>
  <c r="AU127" i="18"/>
  <c r="AM127" i="18"/>
  <c r="W31" i="18"/>
  <c r="L15" i="18"/>
  <c r="B49" i="16"/>
  <c r="C49" i="16"/>
  <c r="D49" i="16"/>
  <c r="E49" i="16"/>
  <c r="F49" i="16"/>
  <c r="G49" i="16"/>
  <c r="H49" i="16"/>
  <c r="I49" i="16"/>
  <c r="J49" i="16"/>
  <c r="K49" i="16"/>
  <c r="L39" i="16"/>
  <c r="L40" i="16"/>
  <c r="L41" i="16"/>
  <c r="L42" i="16"/>
  <c r="L43" i="16"/>
  <c r="L44" i="16"/>
  <c r="L45" i="16"/>
  <c r="L46" i="16"/>
  <c r="L47" i="16"/>
  <c r="L48" i="16"/>
  <c r="L49" i="16"/>
  <c r="AC27" i="3"/>
  <c r="AC26" i="3"/>
  <c r="AC28" i="3"/>
  <c r="AC18" i="3"/>
  <c r="AM128" i="18" l="1" a="1"/>
  <c r="B2" i="8"/>
  <c r="AC25" i="3"/>
  <c r="W29" i="3"/>
  <c r="B3" i="19" a="1"/>
  <c r="B3" i="19" s="1"/>
  <c r="AC17" i="3"/>
  <c r="AC23" i="3"/>
  <c r="F52" i="3"/>
  <c r="F49" i="3"/>
  <c r="F46" i="3"/>
  <c r="F4" i="19"/>
  <c r="F5" i="19"/>
  <c r="F6" i="19"/>
  <c r="F7" i="19"/>
  <c r="F8" i="19"/>
  <c r="F9" i="19"/>
  <c r="F10" i="19"/>
  <c r="F11" i="19"/>
  <c r="F12" i="19"/>
  <c r="F13" i="19"/>
  <c r="F14" i="19"/>
  <c r="F15" i="19"/>
  <c r="F16" i="19"/>
  <c r="F17" i="19"/>
  <c r="F18" i="19"/>
  <c r="F19" i="19"/>
  <c r="F20" i="19"/>
  <c r="F21" i="19"/>
  <c r="F22" i="19"/>
  <c r="F23" i="19"/>
  <c r="F24" i="19"/>
  <c r="F25" i="19"/>
  <c r="F26" i="19"/>
  <c r="F27" i="19"/>
  <c r="F28" i="19"/>
  <c r="F29" i="19"/>
  <c r="F30" i="19"/>
  <c r="F3" i="19"/>
  <c r="AM128" i="18" l="1"/>
  <c r="AB22" i="3" s="1"/>
  <c r="AC22" i="3"/>
  <c r="E30" i="19"/>
  <c r="AB28" i="3"/>
  <c r="W28" i="3" s="1"/>
  <c r="AB27" i="3"/>
  <c r="W27" i="3" s="1"/>
  <c r="AB26" i="3"/>
  <c r="W26" i="3" s="1"/>
  <c r="AB25" i="3"/>
  <c r="W25" i="3" s="1"/>
  <c r="AB23" i="3"/>
  <c r="W23" i="3" s="1"/>
  <c r="AB18" i="3"/>
  <c r="W18" i="3" s="1"/>
  <c r="AB17" i="3"/>
  <c r="W17" i="3" s="1"/>
  <c r="AB16" i="3"/>
  <c r="F43" i="3"/>
  <c r="T2" i="3"/>
  <c r="AB11" i="3"/>
  <c r="AB12" i="3"/>
  <c r="AB13" i="3"/>
  <c r="AB14" i="3"/>
  <c r="AB15" i="3"/>
  <c r="AB24" i="3"/>
  <c r="AB21" i="3"/>
  <c r="AB20" i="3"/>
  <c r="AB19" i="3"/>
  <c r="AB4" i="3"/>
  <c r="AB5" i="3"/>
  <c r="AB6" i="3"/>
  <c r="AB7" i="3"/>
  <c r="AB8" i="3"/>
  <c r="AB9" i="3"/>
  <c r="AB10" i="3"/>
  <c r="AB3" i="3"/>
  <c r="V2" i="3" a="1"/>
  <c r="V2" i="3" s="1"/>
  <c r="W22" i="3" l="1"/>
  <c r="E23" i="19" s="1"/>
  <c r="W16" i="3"/>
  <c r="E17" i="19" s="1"/>
  <c r="W20" i="3"/>
  <c r="E21" i="19" s="1"/>
  <c r="W15" i="3"/>
  <c r="E16" i="19" s="1"/>
  <c r="W9" i="3"/>
  <c r="E10" i="19" s="1"/>
  <c r="W14" i="3"/>
  <c r="E15" i="19" s="1"/>
  <c r="W13" i="3"/>
  <c r="E14" i="19" s="1"/>
  <c r="W10" i="3"/>
  <c r="E11" i="19" s="1"/>
  <c r="W21" i="3"/>
  <c r="Z21" i="3" s="1"/>
  <c r="W24" i="3"/>
  <c r="Z24" i="3" s="1"/>
  <c r="W6" i="3"/>
  <c r="E7" i="19" s="1"/>
  <c r="W5" i="3"/>
  <c r="E6" i="19" s="1"/>
  <c r="W4" i="3"/>
  <c r="E5" i="19" s="1"/>
  <c r="W12" i="3"/>
  <c r="E13" i="19" s="1"/>
  <c r="W8" i="3"/>
  <c r="E9" i="19" s="1"/>
  <c r="W7" i="3"/>
  <c r="E8" i="19" s="1"/>
  <c r="W3" i="3"/>
  <c r="E4" i="19" s="1"/>
  <c r="W19" i="3"/>
  <c r="Z19" i="3" s="1"/>
  <c r="W11" i="3"/>
  <c r="E12" i="19" s="1"/>
  <c r="E18" i="19"/>
  <c r="E28" i="19"/>
  <c r="E24" i="19"/>
  <c r="E26" i="19"/>
  <c r="Z29" i="3"/>
  <c r="AB2" i="3"/>
  <c r="Z20" i="3" l="1"/>
  <c r="Z16" i="3"/>
  <c r="Z3" i="3"/>
  <c r="W2" i="3"/>
  <c r="E3" i="19" s="1"/>
  <c r="E22" i="19"/>
  <c r="E25" i="19"/>
  <c r="E20" i="19"/>
  <c r="Z22" i="3"/>
  <c r="Z17" i="3"/>
  <c r="Z27" i="3"/>
  <c r="Z23" i="3"/>
  <c r="Z25" i="3"/>
  <c r="Z28" i="3"/>
  <c r="E29" i="19"/>
  <c r="Z26" i="3"/>
  <c r="E27" i="19"/>
  <c r="Z18" i="3"/>
  <c r="E19" i="19"/>
  <c r="F11" i="3"/>
  <c r="D7" i="8"/>
  <c r="F8" i="3" l="1"/>
  <c r="G16" i="3"/>
  <c r="Z4" i="3"/>
  <c r="Z15" i="3" l="1"/>
  <c r="E16" i="8" l="1"/>
  <c r="D65" i="3" l="1"/>
  <c r="C7" i="8" s="1"/>
  <c r="D55" i="3"/>
  <c r="A2" i="8"/>
  <c r="B1" i="13"/>
  <c r="B2" i="13" s="1"/>
  <c r="D69" i="3"/>
  <c r="B5" i="8"/>
  <c r="D16" i="8"/>
  <c r="B2" i="9" s="1"/>
  <c r="C2" i="9"/>
  <c r="C16" i="8"/>
  <c r="B16" i="8" l="1"/>
  <c r="A2" i="9"/>
  <c r="D56" i="3"/>
  <c r="D37" i="3"/>
  <c r="D36" i="3"/>
  <c r="G29" i="3"/>
  <c r="D2" i="9" s="1"/>
  <c r="D17" i="3"/>
  <c r="D14" i="3"/>
  <c r="Z14" i="3"/>
  <c r="Z12" i="3"/>
  <c r="G5" i="3"/>
  <c r="Z2" i="3"/>
  <c r="Z5" i="3" l="1"/>
  <c r="Z8" i="3"/>
  <c r="Z10" i="3"/>
  <c r="Z6" i="3"/>
  <c r="Z7" i="3"/>
  <c r="Z9" i="3" l="1"/>
  <c r="Z13" i="3"/>
  <c r="D20" i="3" l="1"/>
  <c r="Z11" i="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<sst xmlns="http://schemas.openxmlformats.org/spreadsheetml/2006/main" count="6278" uniqueCount="1117">
  <si>
    <t>XXXXX</t>
  </si>
  <si>
    <t>Name</t>
  </si>
  <si>
    <t xml:space="preserve"> </t>
  </si>
  <si>
    <t>This challenge was long!</t>
  </si>
  <si>
    <t>Auto Name when Saving?</t>
  </si>
  <si>
    <t>Start Time</t>
  </si>
  <si>
    <t>End Time</t>
  </si>
  <si>
    <t>Sheet</t>
  </si>
  <si>
    <t>Starting Position</t>
  </si>
  <si>
    <t>Answer Cell</t>
  </si>
  <si>
    <t>Clear Range</t>
  </si>
  <si>
    <t>Protected Range</t>
  </si>
  <si>
    <t>Visited?</t>
  </si>
  <si>
    <t>Penalty count</t>
  </si>
  <si>
    <t>Total Penalty</t>
  </si>
  <si>
    <t>Checkpoint</t>
  </si>
  <si>
    <t>Achieved?</t>
  </si>
  <si>
    <t>Hidden?</t>
  </si>
  <si>
    <t>Unhide</t>
  </si>
  <si>
    <t>Answer</t>
  </si>
  <si>
    <t>No</t>
  </si>
  <si>
    <t>A1</t>
  </si>
  <si>
    <t>Results</t>
  </si>
  <si>
    <t>A1:G141</t>
  </si>
  <si>
    <t>Instructions</t>
  </si>
  <si>
    <t>A1:F30</t>
  </si>
  <si>
    <t>Spreadsheet Name</t>
  </si>
  <si>
    <t>Is Game On?</t>
  </si>
  <si>
    <t>Elapsed Time</t>
  </si>
  <si>
    <t>All Correct?</t>
  </si>
  <si>
    <t>Password On?</t>
  </si>
  <si>
    <t>Number of Exercises</t>
  </si>
  <si>
    <t>NumCorrect</t>
  </si>
  <si>
    <t>Number of Protected Cells</t>
  </si>
  <si>
    <t>Number of Random Values</t>
  </si>
  <si>
    <t>Spreadsheet Activations</t>
  </si>
  <si>
    <t>Live Version?</t>
  </si>
  <si>
    <t>Last Time</t>
  </si>
  <si>
    <t>Total Time</t>
  </si>
  <si>
    <t>Total Time (seconds)</t>
  </si>
  <si>
    <t>Indirect Name and ID</t>
  </si>
  <si>
    <t>Button Options</t>
  </si>
  <si>
    <t>Instructions On?</t>
  </si>
  <si>
    <t>Yes</t>
  </si>
  <si>
    <t>PC Hints On?</t>
  </si>
  <si>
    <t>Cell Types</t>
  </si>
  <si>
    <t>-------</t>
  </si>
  <si>
    <t>Mac Hints On?</t>
  </si>
  <si>
    <t>https://www.linkedin.com/sharing/share-offsite/?url=https://www.fmworldcup.com/microsoft-excel-collegiate-challenge/</t>
  </si>
  <si>
    <t>https://www.fmworldcup.com/microsoft-excel-collegiate-challenge/</t>
  </si>
  <si>
    <t>http://www.facebook.com/sharer.php?u=http%3A%2F%2Fchandoo.org%2Fwp%2F2012%2F08%2F10%2Fexcel-hurdles%2F&amp;t=I%20finished%20Excel%20Hurdle%20challenge%20in%20$$%20seconds.</t>
  </si>
  <si>
    <t>ProblemType</t>
  </si>
  <si>
    <t>WorksheetName</t>
  </si>
  <si>
    <t>Range</t>
  </si>
  <si>
    <t>Comparison</t>
  </si>
  <si>
    <t>Grade</t>
  </si>
  <si>
    <t>CorrectFeedback</t>
  </si>
  <si>
    <t>IncorrectFeedback</t>
  </si>
  <si>
    <t>CELL</t>
  </si>
  <si>
    <t>A2</t>
  </si>
  <si>
    <t>Share your best result!</t>
  </si>
  <si>
    <t>Current Result:</t>
  </si>
  <si>
    <t>Date and Time</t>
  </si>
  <si>
    <t>Time Elapsed</t>
  </si>
  <si>
    <t>Penalty Count</t>
  </si>
  <si>
    <t>Best Result:</t>
  </si>
  <si>
    <t>All Results:</t>
  </si>
  <si>
    <t>Best Time Elapsed</t>
  </si>
  <si>
    <t>Best Penalty Count</t>
  </si>
  <si>
    <t>Best Total Time</t>
  </si>
  <si>
    <t>Total Time in Spreadsheet</t>
  </si>
  <si>
    <t>David Brown</t>
  </si>
  <si>
    <t>You have to click on enable content, to begin editing in your file.</t>
  </si>
  <si>
    <t>After enabling you would see an error like this:</t>
  </si>
  <si>
    <t>This error often occurs when you download a macro-enabled excel workbook.</t>
  </si>
  <si>
    <t>To cater this error:</t>
  </si>
  <si>
    <t>1. Go on file location where you have saved the file.</t>
  </si>
  <si>
    <t>2. Right click on the file and open properties</t>
  </si>
  <si>
    <t>3. In properties section, click on general setting:</t>
  </si>
  <si>
    <t>4. In general setting, look at the bottom at security column and select Unblock.</t>
  </si>
  <si>
    <t>5. Then click apply and open your workbook.</t>
  </si>
  <si>
    <t>Now error would be removed from the workbook.</t>
  </si>
  <si>
    <t>When you download this file, you may see an instruction like this on your worksheet:</t>
  </si>
  <si>
    <t>How to disable Macro Security and Unblock Macros:</t>
  </si>
  <si>
    <t>Best Result</t>
  </si>
  <si>
    <t>Adjusted Value</t>
  </si>
  <si>
    <t>Value(1)</t>
  </si>
  <si>
    <t>1,000,000 points for completion</t>
  </si>
  <si>
    <t>You have not completed the exercise</t>
  </si>
  <si>
    <t>Time Grading</t>
  </si>
  <si>
    <t>B2</t>
  </si>
  <si>
    <t>Your total score is 1,000,000 minus your total time with a max of 1 hour</t>
  </si>
  <si>
    <t>This is used to record your time</t>
  </si>
  <si>
    <t>Value(2)</t>
  </si>
  <si>
    <t>Value(3)</t>
  </si>
  <si>
    <t>Value(4)</t>
  </si>
  <si>
    <t>Value(5)</t>
  </si>
  <si>
    <t>Value(6)</t>
  </si>
  <si>
    <t>Value(7)</t>
  </si>
  <si>
    <t>Value(8)</t>
  </si>
  <si>
    <t>Value(9)</t>
  </si>
  <si>
    <t>Value(10)</t>
  </si>
  <si>
    <t>Value(11)</t>
  </si>
  <si>
    <t>Value(12)</t>
  </si>
  <si>
    <t>Value(13)</t>
  </si>
  <si>
    <t>Value(14)</t>
  </si>
  <si>
    <t>Value(15)</t>
  </si>
  <si>
    <t>Value(16)</t>
  </si>
  <si>
    <t>Value(17)</t>
  </si>
  <si>
    <t>Value(18)</t>
  </si>
  <si>
    <t>Value(19)</t>
  </si>
  <si>
    <t>Value(20)</t>
  </si>
  <si>
    <t>Value(21)</t>
  </si>
  <si>
    <t>Value(22)</t>
  </si>
  <si>
    <t>Value(23)</t>
  </si>
  <si>
    <t>Value(24)</t>
  </si>
  <si>
    <t>Value(25)</t>
  </si>
  <si>
    <t>Value(26)</t>
  </si>
  <si>
    <t>Value(27)</t>
  </si>
  <si>
    <t>Value(28)</t>
  </si>
  <si>
    <t>Value(29)</t>
  </si>
  <si>
    <t>Value(30)</t>
  </si>
  <si>
    <t>Value(31)</t>
  </si>
  <si>
    <t>Value(32)</t>
  </si>
  <si>
    <t>Value(33)</t>
  </si>
  <si>
    <t>Value(34)</t>
  </si>
  <si>
    <t>Value(35)</t>
  </si>
  <si>
    <t>Value(36)</t>
  </si>
  <si>
    <t>Value(37)</t>
  </si>
  <si>
    <t>Value(38)</t>
  </si>
  <si>
    <t>Value(39)</t>
  </si>
  <si>
    <t>Value(40)</t>
  </si>
  <si>
    <t>Value(41)</t>
  </si>
  <si>
    <t>Value(42)</t>
  </si>
  <si>
    <t>Value(43)</t>
  </si>
  <si>
    <t>Value(44)</t>
  </si>
  <si>
    <t>Value(45)</t>
  </si>
  <si>
    <t>Value(46)</t>
  </si>
  <si>
    <t>Value(47)</t>
  </si>
  <si>
    <t>Value(48)</t>
  </si>
  <si>
    <t>Value(49)</t>
  </si>
  <si>
    <t>Value(50)</t>
  </si>
  <si>
    <t>Value(51)</t>
  </si>
  <si>
    <t>Value(52)</t>
  </si>
  <si>
    <t>Value(53)</t>
  </si>
  <si>
    <t>Value(54)</t>
  </si>
  <si>
    <t>Value(55)</t>
  </si>
  <si>
    <t>Value(56)</t>
  </si>
  <si>
    <t>Value(57)</t>
  </si>
  <si>
    <t>Value(58)</t>
  </si>
  <si>
    <t>Value(59)</t>
  </si>
  <si>
    <t>Value(60)</t>
  </si>
  <si>
    <t>Value(61)</t>
  </si>
  <si>
    <t>Value(62)</t>
  </si>
  <si>
    <t>Value(63)</t>
  </si>
  <si>
    <t>Value(64)</t>
  </si>
  <si>
    <t>Value(65)</t>
  </si>
  <si>
    <t>Value(66)</t>
  </si>
  <si>
    <t>Value(67)</t>
  </si>
  <si>
    <t>Value(68)</t>
  </si>
  <si>
    <t>Value(69)</t>
  </si>
  <si>
    <t>Value(70)</t>
  </si>
  <si>
    <t>Value(71)</t>
  </si>
  <si>
    <t>Value(72)</t>
  </si>
  <si>
    <t>Value(73)</t>
  </si>
  <si>
    <t>Value(74)</t>
  </si>
  <si>
    <t>Value(75)</t>
  </si>
  <si>
    <t>Value(76)</t>
  </si>
  <si>
    <t>Value(77)</t>
  </si>
  <si>
    <t>Value(78)</t>
  </si>
  <si>
    <t>Value(79)</t>
  </si>
  <si>
    <t>Value(80)</t>
  </si>
  <si>
    <t>Value(81)</t>
  </si>
  <si>
    <t>Value(82)</t>
  </si>
  <si>
    <t>Value(83)</t>
  </si>
  <si>
    <t>Value(84)</t>
  </si>
  <si>
    <t>Value(85)</t>
  </si>
  <si>
    <t>Value(86)</t>
  </si>
  <si>
    <t>Value(87)</t>
  </si>
  <si>
    <t>Value(88)</t>
  </si>
  <si>
    <t>Value(89)</t>
  </si>
  <si>
    <t>Value(90)</t>
  </si>
  <si>
    <t>Value(91)</t>
  </si>
  <si>
    <t>Value(92)</t>
  </si>
  <si>
    <t>Value(93)</t>
  </si>
  <si>
    <t>Value(94)</t>
  </si>
  <si>
    <t>Value(95)</t>
  </si>
  <si>
    <t>Value(96)</t>
  </si>
  <si>
    <t>Value(97)</t>
  </si>
  <si>
    <t>Value(98)</t>
  </si>
  <si>
    <t>Value(99)</t>
  </si>
  <si>
    <t>Value(100)</t>
  </si>
  <si>
    <t>Value(101)</t>
  </si>
  <si>
    <t>Value(102)</t>
  </si>
  <si>
    <t>Value(103)</t>
  </si>
  <si>
    <t>Value(104)</t>
  </si>
  <si>
    <t>Value(105)</t>
  </si>
  <si>
    <t>Value(106)</t>
  </si>
  <si>
    <t>Value(107)</t>
  </si>
  <si>
    <t>Value(108)</t>
  </si>
  <si>
    <t>Value(109)</t>
  </si>
  <si>
    <t>Value(110)</t>
  </si>
  <si>
    <t>Value(111)</t>
  </si>
  <si>
    <t>Value(112)</t>
  </si>
  <si>
    <t>Value(113)</t>
  </si>
  <si>
    <t>Value(114)</t>
  </si>
  <si>
    <t>Value(115)</t>
  </si>
  <si>
    <t>Value(116)</t>
  </si>
  <si>
    <t>Value(117)</t>
  </si>
  <si>
    <t>Value(118)</t>
  </si>
  <si>
    <t>Value(119)</t>
  </si>
  <si>
    <t>Value(120)</t>
  </si>
  <si>
    <t>Value(121)</t>
  </si>
  <si>
    <t>Value(122)</t>
  </si>
  <si>
    <t>Value(123)</t>
  </si>
  <si>
    <t>Value(124)</t>
  </si>
  <si>
    <t>Value(125)</t>
  </si>
  <si>
    <t>Value(126)</t>
  </si>
  <si>
    <t>Value(127)</t>
  </si>
  <si>
    <t>Value(128)</t>
  </si>
  <si>
    <t>Value(129)</t>
  </si>
  <si>
    <t>Value(130)</t>
  </si>
  <si>
    <t>Value(131)</t>
  </si>
  <si>
    <t>Value(132)</t>
  </si>
  <si>
    <t>Value(133)</t>
  </si>
  <si>
    <t>Value(134)</t>
  </si>
  <si>
    <t>Value(135)</t>
  </si>
  <si>
    <t>Value(136)</t>
  </si>
  <si>
    <t>Value(137)</t>
  </si>
  <si>
    <t>Value(138)</t>
  </si>
  <si>
    <t>Value(139)</t>
  </si>
  <si>
    <t>Value(140)</t>
  </si>
  <si>
    <t>Value(141)</t>
  </si>
  <si>
    <t>Value(142)</t>
  </si>
  <si>
    <t>Value(143)</t>
  </si>
  <si>
    <t>Value(144)</t>
  </si>
  <si>
    <t>Value(145)</t>
  </si>
  <si>
    <t>Value(146)</t>
  </si>
  <si>
    <t>Value(147)</t>
  </si>
  <si>
    <t>Value(148)</t>
  </si>
  <si>
    <t>Value(149)</t>
  </si>
  <si>
    <t>Value(150)</t>
  </si>
  <si>
    <t>Value(151)</t>
  </si>
  <si>
    <t>Value(152)</t>
  </si>
  <si>
    <t>Value(153)</t>
  </si>
  <si>
    <t>Value(154)</t>
  </si>
  <si>
    <t>Value(155)</t>
  </si>
  <si>
    <t>Value(156)</t>
  </si>
  <si>
    <t>Value(157)</t>
  </si>
  <si>
    <t>Value(158)</t>
  </si>
  <si>
    <t>Value(159)</t>
  </si>
  <si>
    <t>Value(160)</t>
  </si>
  <si>
    <t>Value(161)</t>
  </si>
  <si>
    <t>Value(162)</t>
  </si>
  <si>
    <t>Value(163)</t>
  </si>
  <si>
    <t>Value(164)</t>
  </si>
  <si>
    <t>Value(165)</t>
  </si>
  <si>
    <t>Value(166)</t>
  </si>
  <si>
    <t>Value(167)</t>
  </si>
  <si>
    <t>Value(168)</t>
  </si>
  <si>
    <t>Value(169)</t>
  </si>
  <si>
    <t>Value(170)</t>
  </si>
  <si>
    <t>Value(171)</t>
  </si>
  <si>
    <t>Value(172)</t>
  </si>
  <si>
    <t>Value(173)</t>
  </si>
  <si>
    <t>Value(174)</t>
  </si>
  <si>
    <t>Value(175)</t>
  </si>
  <si>
    <t>Value(176)</t>
  </si>
  <si>
    <t>Value(177)</t>
  </si>
  <si>
    <t>Value(178)</t>
  </si>
  <si>
    <t>Value(179)</t>
  </si>
  <si>
    <t>Value(180)</t>
  </si>
  <si>
    <t>Value(181)</t>
  </si>
  <si>
    <t>Value(182)</t>
  </si>
  <si>
    <t>Value(183)</t>
  </si>
  <si>
    <t>Value(184)</t>
  </si>
  <si>
    <t>Value(185)</t>
  </si>
  <si>
    <t>Value(186)</t>
  </si>
  <si>
    <t>Value(187)</t>
  </si>
  <si>
    <t>Value(188)</t>
  </si>
  <si>
    <t>Value(189)</t>
  </si>
  <si>
    <t>Value(190)</t>
  </si>
  <si>
    <t>Value(191)</t>
  </si>
  <si>
    <t>Value(192)</t>
  </si>
  <si>
    <t>Value(193)</t>
  </si>
  <si>
    <t>Value(194)</t>
  </si>
  <si>
    <t>Value(195)</t>
  </si>
  <si>
    <t>Value(196)</t>
  </si>
  <si>
    <t>Value(197)</t>
  </si>
  <si>
    <t>Value(198)</t>
  </si>
  <si>
    <t>Value(199)</t>
  </si>
  <si>
    <t>Value(200)</t>
  </si>
  <si>
    <t>Value(201)</t>
  </si>
  <si>
    <t>Value(202)</t>
  </si>
  <si>
    <t>Value(203)</t>
  </si>
  <si>
    <t>Value(204)</t>
  </si>
  <si>
    <t>Value(205)</t>
  </si>
  <si>
    <t>Value(206)</t>
  </si>
  <si>
    <t>Value(207)</t>
  </si>
  <si>
    <t>Value(208)</t>
  </si>
  <si>
    <t>Value(209)</t>
  </si>
  <si>
    <t>Value(210)</t>
  </si>
  <si>
    <t>Value(211)</t>
  </si>
  <si>
    <t>Value(212)</t>
  </si>
  <si>
    <t>Value(213)</t>
  </si>
  <si>
    <t>Value(214)</t>
  </si>
  <si>
    <t>Value(215)</t>
  </si>
  <si>
    <t>Value(216)</t>
  </si>
  <si>
    <t>Value(217)</t>
  </si>
  <si>
    <t>Value(218)</t>
  </si>
  <si>
    <t>Value(219)</t>
  </si>
  <si>
    <t>Value(220)</t>
  </si>
  <si>
    <t>Value(221)</t>
  </si>
  <si>
    <t>Value(222)</t>
  </si>
  <si>
    <t>Value(223)</t>
  </si>
  <si>
    <t>Value(224)</t>
  </si>
  <si>
    <t>Value(225)</t>
  </si>
  <si>
    <t>Value(226)</t>
  </si>
  <si>
    <t>Value(227)</t>
  </si>
  <si>
    <t>Value(228)</t>
  </si>
  <si>
    <t>Value(229)</t>
  </si>
  <si>
    <t>Value(230)</t>
  </si>
  <si>
    <t>Value(231)</t>
  </si>
  <si>
    <t>Value(232)</t>
  </si>
  <si>
    <t>Value(233)</t>
  </si>
  <si>
    <t>Value(234)</t>
  </si>
  <si>
    <t>Value(235)</t>
  </si>
  <si>
    <t>Value(236)</t>
  </si>
  <si>
    <t>Value(237)</t>
  </si>
  <si>
    <t>Value(238)</t>
  </si>
  <si>
    <t>Value(239)</t>
  </si>
  <si>
    <t>Value(240)</t>
  </si>
  <si>
    <t>Value(241)</t>
  </si>
  <si>
    <t>Value(242)</t>
  </si>
  <si>
    <t>Value(243)</t>
  </si>
  <si>
    <t>Value(244)</t>
  </si>
  <si>
    <t>Value(245)</t>
  </si>
  <si>
    <t>Value(246)</t>
  </si>
  <si>
    <t>Value(247)</t>
  </si>
  <si>
    <t>Value(248)</t>
  </si>
  <si>
    <t>Value(249)</t>
  </si>
  <si>
    <t>Value(250)</t>
  </si>
  <si>
    <t>Value(251)</t>
  </si>
  <si>
    <t>Value(252)</t>
  </si>
  <si>
    <t>Value(253)</t>
  </si>
  <si>
    <t>Value(254)</t>
  </si>
  <si>
    <t>Value(255)</t>
  </si>
  <si>
    <t>Value(256)</t>
  </si>
  <si>
    <t>Value(257)</t>
  </si>
  <si>
    <t>Value(258)</t>
  </si>
  <si>
    <t>Value(259)</t>
  </si>
  <si>
    <t>Value(260)</t>
  </si>
  <si>
    <t>Value(261)</t>
  </si>
  <si>
    <t>Value(262)</t>
  </si>
  <si>
    <t>Value(263)</t>
  </si>
  <si>
    <t>Value(264)</t>
  </si>
  <si>
    <t>Value(265)</t>
  </si>
  <si>
    <t>Value(266)</t>
  </si>
  <si>
    <t>Value(267)</t>
  </si>
  <si>
    <t>Value(268)</t>
  </si>
  <si>
    <t>Value(269)</t>
  </si>
  <si>
    <t>Value(270)</t>
  </si>
  <si>
    <t>Value(271)</t>
  </si>
  <si>
    <t>Value(272)</t>
  </si>
  <si>
    <t>Value(273)</t>
  </si>
  <si>
    <t>Value(274)</t>
  </si>
  <si>
    <t>Value(275)</t>
  </si>
  <si>
    <t>Value(276)</t>
  </si>
  <si>
    <t>Value(277)</t>
  </si>
  <si>
    <t>Value(278)</t>
  </si>
  <si>
    <t>Value(279)</t>
  </si>
  <si>
    <t>Value(280)</t>
  </si>
  <si>
    <t>Value(281)</t>
  </si>
  <si>
    <t>Value(282)</t>
  </si>
  <si>
    <t>Value(283)</t>
  </si>
  <si>
    <t>Value(284)</t>
  </si>
  <si>
    <t>Value(285)</t>
  </si>
  <si>
    <t>Value(286)</t>
  </si>
  <si>
    <t>Value(287)</t>
  </si>
  <si>
    <t>Value(288)</t>
  </si>
  <si>
    <t>Value(289)</t>
  </si>
  <si>
    <t>Value(290)</t>
  </si>
  <si>
    <t>Value(291)</t>
  </si>
  <si>
    <t>Value(292)</t>
  </si>
  <si>
    <t>Value(293)</t>
  </si>
  <si>
    <t>Value(294)</t>
  </si>
  <si>
    <t>Value(295)</t>
  </si>
  <si>
    <t>Value(296)</t>
  </si>
  <si>
    <t>Value(297)</t>
  </si>
  <si>
    <t>Value(298)</t>
  </si>
  <si>
    <t>Value(299)</t>
  </si>
  <si>
    <t>Value(300)</t>
  </si>
  <si>
    <t>Value(301)</t>
  </si>
  <si>
    <t>Value(302)</t>
  </si>
  <si>
    <t>Value(303)</t>
  </si>
  <si>
    <t>Value(304)</t>
  </si>
  <si>
    <t>Value(305)</t>
  </si>
  <si>
    <t>Value(306)</t>
  </si>
  <si>
    <t>Value(307)</t>
  </si>
  <si>
    <t>Value(308)</t>
  </si>
  <si>
    <t>Value(309)</t>
  </si>
  <si>
    <t>Value(310)</t>
  </si>
  <si>
    <t>Value(311)</t>
  </si>
  <si>
    <t>Value(312)</t>
  </si>
  <si>
    <t>Value(313)</t>
  </si>
  <si>
    <t>Value(314)</t>
  </si>
  <si>
    <t>Value(315)</t>
  </si>
  <si>
    <t>Value(316)</t>
  </si>
  <si>
    <t>Value(317)</t>
  </si>
  <si>
    <t>Value(318)</t>
  </si>
  <si>
    <t>Value(319)</t>
  </si>
  <si>
    <t>Value(320)</t>
  </si>
  <si>
    <t>Value(321)</t>
  </si>
  <si>
    <t>Value(322)</t>
  </si>
  <si>
    <t>Value(323)</t>
  </si>
  <si>
    <t>Value(324)</t>
  </si>
  <si>
    <t>Value(325)</t>
  </si>
  <si>
    <t>Value(326)</t>
  </si>
  <si>
    <t>Value(327)</t>
  </si>
  <si>
    <t>Value(328)</t>
  </si>
  <si>
    <t>Value(329)</t>
  </si>
  <si>
    <t>Value(330)</t>
  </si>
  <si>
    <t>Value(331)</t>
  </si>
  <si>
    <t>Value(332)</t>
  </si>
  <si>
    <t>Value(333)</t>
  </si>
  <si>
    <t>Value(334)</t>
  </si>
  <si>
    <t>Value(335)</t>
  </si>
  <si>
    <t>Value(336)</t>
  </si>
  <si>
    <t>Value(337)</t>
  </si>
  <si>
    <t>Value(338)</t>
  </si>
  <si>
    <t>Value(339)</t>
  </si>
  <si>
    <t>Value(340)</t>
  </si>
  <si>
    <t>Value(341)</t>
  </si>
  <si>
    <t>Value(342)</t>
  </si>
  <si>
    <t>Value(343)</t>
  </si>
  <si>
    <t>Value(344)</t>
  </si>
  <si>
    <t>Value(345)</t>
  </si>
  <si>
    <t>Value(346)</t>
  </si>
  <si>
    <t>Value(347)</t>
  </si>
  <si>
    <t>Value(348)</t>
  </si>
  <si>
    <t>Value(349)</t>
  </si>
  <si>
    <t>Value(350)</t>
  </si>
  <si>
    <t>Value(351)</t>
  </si>
  <si>
    <t>Value(352)</t>
  </si>
  <si>
    <t>Value(353)</t>
  </si>
  <si>
    <t>Value(354)</t>
  </si>
  <si>
    <t>Value(355)</t>
  </si>
  <si>
    <t>Value(356)</t>
  </si>
  <si>
    <t>Value(357)</t>
  </si>
  <si>
    <t>Value(358)</t>
  </si>
  <si>
    <t>Value(359)</t>
  </si>
  <si>
    <t>Value(360)</t>
  </si>
  <si>
    <t>Value(361)</t>
  </si>
  <si>
    <t>Value(362)</t>
  </si>
  <si>
    <t>Value(363)</t>
  </si>
  <si>
    <t>Value(364)</t>
  </si>
  <si>
    <t>Value(365)</t>
  </si>
  <si>
    <t>Value(366)</t>
  </si>
  <si>
    <t>Value(367)</t>
  </si>
  <si>
    <t>Value(368)</t>
  </si>
  <si>
    <t>Value(369)</t>
  </si>
  <si>
    <t>Value(370)</t>
  </si>
  <si>
    <t>Value(371)</t>
  </si>
  <si>
    <t>Value(372)</t>
  </si>
  <si>
    <t>Value(373)</t>
  </si>
  <si>
    <t>Value(374)</t>
  </si>
  <si>
    <t>Value(375)</t>
  </si>
  <si>
    <t>Value(376)</t>
  </si>
  <si>
    <t>Value(377)</t>
  </si>
  <si>
    <t>Value(378)</t>
  </si>
  <si>
    <t>Value(379)</t>
  </si>
  <si>
    <t>Value(380)</t>
  </si>
  <si>
    <t>Value(381)</t>
  </si>
  <si>
    <t>Value(382)</t>
  </si>
  <si>
    <t>Value(383)</t>
  </si>
  <si>
    <t>Value(384)</t>
  </si>
  <si>
    <t>Value(385)</t>
  </si>
  <si>
    <t>Value(386)</t>
  </si>
  <si>
    <t>Value(387)</t>
  </si>
  <si>
    <t>Value(388)</t>
  </si>
  <si>
    <t>Value(389)</t>
  </si>
  <si>
    <t>Value(390)</t>
  </si>
  <si>
    <t>Value(391)</t>
  </si>
  <si>
    <t>Value(392)</t>
  </si>
  <si>
    <t>Value(393)</t>
  </si>
  <si>
    <t>Value(394)</t>
  </si>
  <si>
    <t>Value(395)</t>
  </si>
  <si>
    <t>Value(396)</t>
  </si>
  <si>
    <t>Value(397)</t>
  </si>
  <si>
    <t>Value(398)</t>
  </si>
  <si>
    <t>Value(399)</t>
  </si>
  <si>
    <t>Value(400)</t>
  </si>
  <si>
    <t>Value(401)</t>
  </si>
  <si>
    <t>Value(402)</t>
  </si>
  <si>
    <t>Value(403)</t>
  </si>
  <si>
    <t>Value(404)</t>
  </si>
  <si>
    <t>Value(405)</t>
  </si>
  <si>
    <t>Value(406)</t>
  </si>
  <si>
    <t>Value(407)</t>
  </si>
  <si>
    <t>Value(408)</t>
  </si>
  <si>
    <t>Value(409)</t>
  </si>
  <si>
    <t>Value(410)</t>
  </si>
  <si>
    <t>Value(411)</t>
  </si>
  <si>
    <t>Value(412)</t>
  </si>
  <si>
    <t>Value(413)</t>
  </si>
  <si>
    <t>Value(414)</t>
  </si>
  <si>
    <t>Value(415)</t>
  </si>
  <si>
    <t>Value(416)</t>
  </si>
  <si>
    <t>Value(417)</t>
  </si>
  <si>
    <t>Value(418)</t>
  </si>
  <si>
    <t>Value(419)</t>
  </si>
  <si>
    <t>Value(420)</t>
  </si>
  <si>
    <t>Value(421)</t>
  </si>
  <si>
    <t>Value(422)</t>
  </si>
  <si>
    <t>Value(423)</t>
  </si>
  <si>
    <t>Value(424)</t>
  </si>
  <si>
    <t>Value(425)</t>
  </si>
  <si>
    <t>Value(426)</t>
  </si>
  <si>
    <t>Value(427)</t>
  </si>
  <si>
    <t>Value(428)</t>
  </si>
  <si>
    <t>Value(429)</t>
  </si>
  <si>
    <t>Value(430)</t>
  </si>
  <si>
    <t>Value(431)</t>
  </si>
  <si>
    <t>Value(432)</t>
  </si>
  <si>
    <t>Value(433)</t>
  </si>
  <si>
    <t>Value(434)</t>
  </si>
  <si>
    <t>Value(435)</t>
  </si>
  <si>
    <t>Value(436)</t>
  </si>
  <si>
    <t>Value(437)</t>
  </si>
  <si>
    <t>Value(438)</t>
  </si>
  <si>
    <t>Value(439)</t>
  </si>
  <si>
    <t>Value(440)</t>
  </si>
  <si>
    <t>Value(441)</t>
  </si>
  <si>
    <t>Value(442)</t>
  </si>
  <si>
    <t>Value(443)</t>
  </si>
  <si>
    <t>Value(444)</t>
  </si>
  <si>
    <t>Value(445)</t>
  </si>
  <si>
    <t>Value(446)</t>
  </si>
  <si>
    <t>Value(447)</t>
  </si>
  <si>
    <t>Value(448)</t>
  </si>
  <si>
    <t>Value(449)</t>
  </si>
  <si>
    <t>Value(450)</t>
  </si>
  <si>
    <t>Value(451)</t>
  </si>
  <si>
    <t>Value(452)</t>
  </si>
  <si>
    <t>Value(453)</t>
  </si>
  <si>
    <t>Value(454)</t>
  </si>
  <si>
    <t>Value(455)</t>
  </si>
  <si>
    <t>Value(456)</t>
  </si>
  <si>
    <t>Value(457)</t>
  </si>
  <si>
    <t>Value(458)</t>
  </si>
  <si>
    <t>Value(459)</t>
  </si>
  <si>
    <t>Value(460)</t>
  </si>
  <si>
    <t>Value(461)</t>
  </si>
  <si>
    <t>Value(462)</t>
  </si>
  <si>
    <t>Value(463)</t>
  </si>
  <si>
    <t>Value(464)</t>
  </si>
  <si>
    <t>Value(465)</t>
  </si>
  <si>
    <t>Value(466)</t>
  </si>
  <si>
    <t>Value(467)</t>
  </si>
  <si>
    <t>Value(468)</t>
  </si>
  <si>
    <t>Value(469)</t>
  </si>
  <si>
    <t>Value(470)</t>
  </si>
  <si>
    <t>Value(471)</t>
  </si>
  <si>
    <t>Value(472)</t>
  </si>
  <si>
    <t>Value(473)</t>
  </si>
  <si>
    <t>Value(474)</t>
  </si>
  <si>
    <t>Value(475)</t>
  </si>
  <si>
    <t>Value(476)</t>
  </si>
  <si>
    <t>Value(477)</t>
  </si>
  <si>
    <t>Value(478)</t>
  </si>
  <si>
    <t>Value(479)</t>
  </si>
  <si>
    <t>Value(480)</t>
  </si>
  <si>
    <t>Value(481)</t>
  </si>
  <si>
    <t>Value(482)</t>
  </si>
  <si>
    <t>Value(483)</t>
  </si>
  <si>
    <t>Value(484)</t>
  </si>
  <si>
    <t>Value(485)</t>
  </si>
  <si>
    <t>Value(486)</t>
  </si>
  <si>
    <t>Value(487)</t>
  </si>
  <si>
    <t>Value(488)</t>
  </si>
  <si>
    <t>Value(489)</t>
  </si>
  <si>
    <t>Value(490)</t>
  </si>
  <si>
    <t>Value(491)</t>
  </si>
  <si>
    <t>Value(492)</t>
  </si>
  <si>
    <t>Value(493)</t>
  </si>
  <si>
    <t>Value(494)</t>
  </si>
  <si>
    <t>Value(495)</t>
  </si>
  <si>
    <t>Value(496)</t>
  </si>
  <si>
    <t>Value(497)</t>
  </si>
  <si>
    <t>Value(498)</t>
  </si>
  <si>
    <t>Value(499)</t>
  </si>
  <si>
    <t>Value(500)</t>
  </si>
  <si>
    <t>Value(501)</t>
  </si>
  <si>
    <t>Value(502)</t>
  </si>
  <si>
    <t>Value(503)</t>
  </si>
  <si>
    <t>Value(504)</t>
  </si>
  <si>
    <t>Value(505)</t>
  </si>
  <si>
    <t>Value(506)</t>
  </si>
  <si>
    <t>Value(507)</t>
  </si>
  <si>
    <t>Value(508)</t>
  </si>
  <si>
    <t>Value(509)</t>
  </si>
  <si>
    <t>Value(510)</t>
  </si>
  <si>
    <t>Value(511)</t>
  </si>
  <si>
    <t>Value(512)</t>
  </si>
  <si>
    <t>Value(513)</t>
  </si>
  <si>
    <t>Value(514)</t>
  </si>
  <si>
    <t>Value(515)</t>
  </si>
  <si>
    <t>Value(516)</t>
  </si>
  <si>
    <t>Value(517)</t>
  </si>
  <si>
    <t>Value(518)</t>
  </si>
  <si>
    <t>Value(519)</t>
  </si>
  <si>
    <t>Value(520)</t>
  </si>
  <si>
    <t>Value(521)</t>
  </si>
  <si>
    <t>Value(522)</t>
  </si>
  <si>
    <t>Value(523)</t>
  </si>
  <si>
    <t>Value(524)</t>
  </si>
  <si>
    <t>Value(525)</t>
  </si>
  <si>
    <t>Value(526)</t>
  </si>
  <si>
    <t>Value(527)</t>
  </si>
  <si>
    <t>Value(528)</t>
  </si>
  <si>
    <t>Value(529)</t>
  </si>
  <si>
    <t>Value(530)</t>
  </si>
  <si>
    <t>Value(531)</t>
  </si>
  <si>
    <t>Value(532)</t>
  </si>
  <si>
    <t>Value(533)</t>
  </si>
  <si>
    <t>Value(534)</t>
  </si>
  <si>
    <t>Value(535)</t>
  </si>
  <si>
    <t>Value(536)</t>
  </si>
  <si>
    <t>Value(537)</t>
  </si>
  <si>
    <t>Value(538)</t>
  </si>
  <si>
    <t>Value(539)</t>
  </si>
  <si>
    <t>Value(540)</t>
  </si>
  <si>
    <t>Value(541)</t>
  </si>
  <si>
    <t>Value(542)</t>
  </si>
  <si>
    <t>Value(543)</t>
  </si>
  <si>
    <t>Value(544)</t>
  </si>
  <si>
    <t>Value(545)</t>
  </si>
  <si>
    <t>Value(546)</t>
  </si>
  <si>
    <t>Value(547)</t>
  </si>
  <si>
    <t>Value(548)</t>
  </si>
  <si>
    <t>Value(549)</t>
  </si>
  <si>
    <t>Value(550)</t>
  </si>
  <si>
    <t>Value(551)</t>
  </si>
  <si>
    <t>Value(552)</t>
  </si>
  <si>
    <t>Value(553)</t>
  </si>
  <si>
    <t>Value(554)</t>
  </si>
  <si>
    <t>Value(555)</t>
  </si>
  <si>
    <t>Value(556)</t>
  </si>
  <si>
    <t>Value(557)</t>
  </si>
  <si>
    <t>Value(558)</t>
  </si>
  <si>
    <t>Value(559)</t>
  </si>
  <si>
    <t>Value(560)</t>
  </si>
  <si>
    <t>Value(561)</t>
  </si>
  <si>
    <t>Value(562)</t>
  </si>
  <si>
    <t>Value(563)</t>
  </si>
  <si>
    <t>Value(564)</t>
  </si>
  <si>
    <t>Value(565)</t>
  </si>
  <si>
    <t>Value(566)</t>
  </si>
  <si>
    <t>Value(567)</t>
  </si>
  <si>
    <t>Value(568)</t>
  </si>
  <si>
    <t>Value(569)</t>
  </si>
  <si>
    <t>Value(570)</t>
  </si>
  <si>
    <t>Value(571)</t>
  </si>
  <si>
    <t>Value(572)</t>
  </si>
  <si>
    <t>Value(573)</t>
  </si>
  <si>
    <t>Value(574)</t>
  </si>
  <si>
    <t>Value(575)</t>
  </si>
  <si>
    <t>Value(576)</t>
  </si>
  <si>
    <t>Value(577)</t>
  </si>
  <si>
    <t>Value(578)</t>
  </si>
  <si>
    <t>Value(579)</t>
  </si>
  <si>
    <t>Value(580)</t>
  </si>
  <si>
    <t>Value(581)</t>
  </si>
  <si>
    <t>Value(582)</t>
  </si>
  <si>
    <t>Value(583)</t>
  </si>
  <si>
    <t>Value(584)</t>
  </si>
  <si>
    <t>Value(585)</t>
  </si>
  <si>
    <t>Value(586)</t>
  </si>
  <si>
    <t>Value(587)</t>
  </si>
  <si>
    <t>Value(588)</t>
  </si>
  <si>
    <t>Value(589)</t>
  </si>
  <si>
    <t>Value(590)</t>
  </si>
  <si>
    <t>Value(591)</t>
  </si>
  <si>
    <t>Value(592)</t>
  </si>
  <si>
    <t>Value(593)</t>
  </si>
  <si>
    <t>Value(594)</t>
  </si>
  <si>
    <t>Value(595)</t>
  </si>
  <si>
    <t>Value(596)</t>
  </si>
  <si>
    <t>Value(597)</t>
  </si>
  <si>
    <t>Value(598)</t>
  </si>
  <si>
    <t>Value(599)</t>
  </si>
  <si>
    <t>Value(600)</t>
  </si>
  <si>
    <t>Value(601)</t>
  </si>
  <si>
    <t>Value(602)</t>
  </si>
  <si>
    <t>Value(603)</t>
  </si>
  <si>
    <t>Value(604)</t>
  </si>
  <si>
    <t>Value(605)</t>
  </si>
  <si>
    <t>Value(606)</t>
  </si>
  <si>
    <t>Value(607)</t>
  </si>
  <si>
    <t>Value(608)</t>
  </si>
  <si>
    <t>Value(609)</t>
  </si>
  <si>
    <t>Value(610)</t>
  </si>
  <si>
    <t>Value(611)</t>
  </si>
  <si>
    <t>Value(612)</t>
  </si>
  <si>
    <t>Value(613)</t>
  </si>
  <si>
    <t>Value(614)</t>
  </si>
  <si>
    <t>Value(615)</t>
  </si>
  <si>
    <t>Value(616)</t>
  </si>
  <si>
    <t>Value(617)</t>
  </si>
  <si>
    <t>Value(618)</t>
  </si>
  <si>
    <t>Value(619)</t>
  </si>
  <si>
    <t>Value(620)</t>
  </si>
  <si>
    <t>Value(621)</t>
  </si>
  <si>
    <t>Value(622)</t>
  </si>
  <si>
    <t>Value(623)</t>
  </si>
  <si>
    <t>Value(624)</t>
  </si>
  <si>
    <t>Value(625)</t>
  </si>
  <si>
    <t>Value(626)</t>
  </si>
  <si>
    <t>Value(627)</t>
  </si>
  <si>
    <t>Value(628)</t>
  </si>
  <si>
    <t>Value(629)</t>
  </si>
  <si>
    <t>Value(630)</t>
  </si>
  <si>
    <t>Value(631)</t>
  </si>
  <si>
    <t>Value(632)</t>
  </si>
  <si>
    <t>Value(633)</t>
  </si>
  <si>
    <t>Value(634)</t>
  </si>
  <si>
    <t>Value(635)</t>
  </si>
  <si>
    <t>Value(636)</t>
  </si>
  <si>
    <t>Value(637)</t>
  </si>
  <si>
    <t>Value(638)</t>
  </si>
  <si>
    <t>Value(639)</t>
  </si>
  <si>
    <t>Value(640)</t>
  </si>
  <si>
    <t>Value(641)</t>
  </si>
  <si>
    <t>Value(642)</t>
  </si>
  <si>
    <t>Value(643)</t>
  </si>
  <si>
    <t>Value(644)</t>
  </si>
  <si>
    <t>Value(645)</t>
  </si>
  <si>
    <t>Value(646)</t>
  </si>
  <si>
    <t>Value(647)</t>
  </si>
  <si>
    <t>Value(648)</t>
  </si>
  <si>
    <t>Value(649)</t>
  </si>
  <si>
    <t>Value(650)</t>
  </si>
  <si>
    <t>Value(651)</t>
  </si>
  <si>
    <t>Value(652)</t>
  </si>
  <si>
    <t>Value(653)</t>
  </si>
  <si>
    <t>Value(654)</t>
  </si>
  <si>
    <t>Value(655)</t>
  </si>
  <si>
    <t>Value(656)</t>
  </si>
  <si>
    <t>Value(657)</t>
  </si>
  <si>
    <t>Value(658)</t>
  </si>
  <si>
    <t>Value(659)</t>
  </si>
  <si>
    <t>Value(660)</t>
  </si>
  <si>
    <t>Value(661)</t>
  </si>
  <si>
    <t>Value(662)</t>
  </si>
  <si>
    <t>Value(663)</t>
  </si>
  <si>
    <t>Value(664)</t>
  </si>
  <si>
    <t>Value(665)</t>
  </si>
  <si>
    <t>Value(666)</t>
  </si>
  <si>
    <t>Value(667)</t>
  </si>
  <si>
    <t>Value(668)</t>
  </si>
  <si>
    <t>Value(669)</t>
  </si>
  <si>
    <t>Value(670)</t>
  </si>
  <si>
    <t>Value(671)</t>
  </si>
  <si>
    <t>Value(672)</t>
  </si>
  <si>
    <t>Value(673)</t>
  </si>
  <si>
    <t>Value(674)</t>
  </si>
  <si>
    <t>Value(675)</t>
  </si>
  <si>
    <t>Value(676)</t>
  </si>
  <si>
    <t>Value(677)</t>
  </si>
  <si>
    <t>Value(678)</t>
  </si>
  <si>
    <t>Value(679)</t>
  </si>
  <si>
    <t>Value(680)</t>
  </si>
  <si>
    <t>Value(681)</t>
  </si>
  <si>
    <t>Value(682)</t>
  </si>
  <si>
    <t>Value(683)</t>
  </si>
  <si>
    <t>Value(684)</t>
  </si>
  <si>
    <t>Value(685)</t>
  </si>
  <si>
    <t>Value(686)</t>
  </si>
  <si>
    <t>Value(687)</t>
  </si>
  <si>
    <t>Value(688)</t>
  </si>
  <si>
    <t>Value(689)</t>
  </si>
  <si>
    <t>Value(690)</t>
  </si>
  <si>
    <t>Value(691)</t>
  </si>
  <si>
    <t>Value(692)</t>
  </si>
  <si>
    <t>Value(693)</t>
  </si>
  <si>
    <t>Value(694)</t>
  </si>
  <si>
    <t>Value(695)</t>
  </si>
  <si>
    <t>Value(696)</t>
  </si>
  <si>
    <t>Value(697)</t>
  </si>
  <si>
    <t>Value(698)</t>
  </si>
  <si>
    <t>Value(699)</t>
  </si>
  <si>
    <t>Value(700)</t>
  </si>
  <si>
    <t>Value(701)</t>
  </si>
  <si>
    <t>Value(702)</t>
  </si>
  <si>
    <t>Value(703)</t>
  </si>
  <si>
    <t>Value(704)</t>
  </si>
  <si>
    <t>Value(705)</t>
  </si>
  <si>
    <t>Value(706)</t>
  </si>
  <si>
    <t>Value(707)</t>
  </si>
  <si>
    <t>Value(708)</t>
  </si>
  <si>
    <t>Value(709)</t>
  </si>
  <si>
    <t>Value(710)</t>
  </si>
  <si>
    <t>Value(711)</t>
  </si>
  <si>
    <t>Value(712)</t>
  </si>
  <si>
    <t>Value(713)</t>
  </si>
  <si>
    <t>Value(714)</t>
  </si>
  <si>
    <t>Value(715)</t>
  </si>
  <si>
    <t>Value(716)</t>
  </si>
  <si>
    <t>Value(717)</t>
  </si>
  <si>
    <t>Value(718)</t>
  </si>
  <si>
    <t>Value(719)</t>
  </si>
  <si>
    <t>Value(720)</t>
  </si>
  <si>
    <t>Value(721)</t>
  </si>
  <si>
    <t>Value(722)</t>
  </si>
  <si>
    <t>Value(723)</t>
  </si>
  <si>
    <t>Value(724)</t>
  </si>
  <si>
    <t>Value(725)</t>
  </si>
  <si>
    <t>Value(726)</t>
  </si>
  <si>
    <t>Value(727)</t>
  </si>
  <si>
    <t>Value(728)</t>
  </si>
  <si>
    <t>Value(729)</t>
  </si>
  <si>
    <t>Value(730)</t>
  </si>
  <si>
    <t>Value(731)</t>
  </si>
  <si>
    <t>Value(732)</t>
  </si>
  <si>
    <t>Value(733)</t>
  </si>
  <si>
    <t>Value(734)</t>
  </si>
  <si>
    <t>Value(735)</t>
  </si>
  <si>
    <t>Value(736)</t>
  </si>
  <si>
    <t>Value(737)</t>
  </si>
  <si>
    <t>Value(738)</t>
  </si>
  <si>
    <t>Value(739)</t>
  </si>
  <si>
    <t>Value(740)</t>
  </si>
  <si>
    <t>Value(741)</t>
  </si>
  <si>
    <t>Value(742)</t>
  </si>
  <si>
    <t>Value(743)</t>
  </si>
  <si>
    <t>Value(744)</t>
  </si>
  <si>
    <t>Value(745)</t>
  </si>
  <si>
    <t>Value(746)</t>
  </si>
  <si>
    <t>Value(747)</t>
  </si>
  <si>
    <t>Value(748)</t>
  </si>
  <si>
    <t>Value(749)</t>
  </si>
  <si>
    <t>Value(750)</t>
  </si>
  <si>
    <t>Value(751)</t>
  </si>
  <si>
    <t>Value(752)</t>
  </si>
  <si>
    <t>Value(753)</t>
  </si>
  <si>
    <t>Value(754)</t>
  </si>
  <si>
    <t>Value(755)</t>
  </si>
  <si>
    <t>Value(756)</t>
  </si>
  <si>
    <t>Value(757)</t>
  </si>
  <si>
    <t>Value(758)</t>
  </si>
  <si>
    <t>Value(759)</t>
  </si>
  <si>
    <t>Value(760)</t>
  </si>
  <si>
    <t>Value(761)</t>
  </si>
  <si>
    <t>Value(762)</t>
  </si>
  <si>
    <t>Value(763)</t>
  </si>
  <si>
    <t>Value(764)</t>
  </si>
  <si>
    <t>Value(765)</t>
  </si>
  <si>
    <t>Value(766)</t>
  </si>
  <si>
    <t>Value(767)</t>
  </si>
  <si>
    <t>Value(768)</t>
  </si>
  <si>
    <t>Value(769)</t>
  </si>
  <si>
    <t>Value(770)</t>
  </si>
  <si>
    <t>Value(771)</t>
  </si>
  <si>
    <t>Value(772)</t>
  </si>
  <si>
    <t>Value(773)</t>
  </si>
  <si>
    <t>Value(774)</t>
  </si>
  <si>
    <t>Value(775)</t>
  </si>
  <si>
    <t>Value(776)</t>
  </si>
  <si>
    <t>Value(777)</t>
  </si>
  <si>
    <t>Value(778)</t>
  </si>
  <si>
    <t>Value(779)</t>
  </si>
  <si>
    <t>Value(780)</t>
  </si>
  <si>
    <t>Value(781)</t>
  </si>
  <si>
    <t>Value(782)</t>
  </si>
  <si>
    <t>Value(783)</t>
  </si>
  <si>
    <t>Value(784)</t>
  </si>
  <si>
    <t>Value(785)</t>
  </si>
  <si>
    <t>Value(786)</t>
  </si>
  <si>
    <t>Value(787)</t>
  </si>
  <si>
    <t>Value(788)</t>
  </si>
  <si>
    <t>Value(789)</t>
  </si>
  <si>
    <t>Value(790)</t>
  </si>
  <si>
    <t>Value(791)</t>
  </si>
  <si>
    <t>Value(792)</t>
  </si>
  <si>
    <t>Value(793)</t>
  </si>
  <si>
    <t>Value(794)</t>
  </si>
  <si>
    <t>Value(795)</t>
  </si>
  <si>
    <t>Value(796)</t>
  </si>
  <si>
    <t>Value(797)</t>
  </si>
  <si>
    <t>Value(798)</t>
  </si>
  <si>
    <t>Value(799)</t>
  </si>
  <si>
    <t>Value(800)</t>
  </si>
  <si>
    <t>Value(801)</t>
  </si>
  <si>
    <t>Value(802)</t>
  </si>
  <si>
    <t>Value(803)</t>
  </si>
  <si>
    <t>Value(804)</t>
  </si>
  <si>
    <t>Value(805)</t>
  </si>
  <si>
    <t>Value(806)</t>
  </si>
  <si>
    <t>Value(807)</t>
  </si>
  <si>
    <t>Value(808)</t>
  </si>
  <si>
    <t>Value(809)</t>
  </si>
  <si>
    <t>Value(810)</t>
  </si>
  <si>
    <t>Value(811)</t>
  </si>
  <si>
    <t>Value(812)</t>
  </si>
  <si>
    <t>Value(813)</t>
  </si>
  <si>
    <t>Value(814)</t>
  </si>
  <si>
    <t>Value(815)</t>
  </si>
  <si>
    <t>Value(816)</t>
  </si>
  <si>
    <t>Value(817)</t>
  </si>
  <si>
    <t>Value(818)</t>
  </si>
  <si>
    <t>Value(819)</t>
  </si>
  <si>
    <t>Value(820)</t>
  </si>
  <si>
    <t>Value(821)</t>
  </si>
  <si>
    <t>Value(822)</t>
  </si>
  <si>
    <t>Value(823)</t>
  </si>
  <si>
    <t>Value(824)</t>
  </si>
  <si>
    <t>Value(825)</t>
  </si>
  <si>
    <t>Value(826)</t>
  </si>
  <si>
    <t>Value(827)</t>
  </si>
  <si>
    <t>Value(828)</t>
  </si>
  <si>
    <t>Value(829)</t>
  </si>
  <si>
    <t>Value(830)</t>
  </si>
  <si>
    <t>Value(831)</t>
  </si>
  <si>
    <t>Value(832)</t>
  </si>
  <si>
    <t>Value(833)</t>
  </si>
  <si>
    <t>Value(834)</t>
  </si>
  <si>
    <t>Value(835)</t>
  </si>
  <si>
    <t>Value(836)</t>
  </si>
  <si>
    <t>Value(837)</t>
  </si>
  <si>
    <t>Value(838)</t>
  </si>
  <si>
    <t>Value(839)</t>
  </si>
  <si>
    <t>Value(840)</t>
  </si>
  <si>
    <t>Value(841)</t>
  </si>
  <si>
    <t>Value(842)</t>
  </si>
  <si>
    <t>Value(843)</t>
  </si>
  <si>
    <t>Value(844)</t>
  </si>
  <si>
    <t>Value(845)</t>
  </si>
  <si>
    <t>Value(846)</t>
  </si>
  <si>
    <t>Value(847)</t>
  </si>
  <si>
    <t>Value(848)</t>
  </si>
  <si>
    <t>Value(849)</t>
  </si>
  <si>
    <t>Value(850)</t>
  </si>
  <si>
    <t>Value(851)</t>
  </si>
  <si>
    <t>Value(852)</t>
  </si>
  <si>
    <t>Value(853)</t>
  </si>
  <si>
    <t>Value(854)</t>
  </si>
  <si>
    <t>Value(855)</t>
  </si>
  <si>
    <t>Value(856)</t>
  </si>
  <si>
    <t>Value(857)</t>
  </si>
  <si>
    <t>Value(858)</t>
  </si>
  <si>
    <t>Value(859)</t>
  </si>
  <si>
    <t>Value(860)</t>
  </si>
  <si>
    <t>Value(861)</t>
  </si>
  <si>
    <t>Value(862)</t>
  </si>
  <si>
    <t>Value(863)</t>
  </si>
  <si>
    <t>Value(864)</t>
  </si>
  <si>
    <t>Value(865)</t>
  </si>
  <si>
    <t>Value(866)</t>
  </si>
  <si>
    <t>Value(867)</t>
  </si>
  <si>
    <t>Value(868)</t>
  </si>
  <si>
    <t>Value(869)</t>
  </si>
  <si>
    <t>Value(870)</t>
  </si>
  <si>
    <t>Value(871)</t>
  </si>
  <si>
    <t>Value(872)</t>
  </si>
  <si>
    <t>Value(873)</t>
  </si>
  <si>
    <t>Value(874)</t>
  </si>
  <si>
    <t>Value(875)</t>
  </si>
  <si>
    <t>Value(876)</t>
  </si>
  <si>
    <t>Value(877)</t>
  </si>
  <si>
    <t>Value(878)</t>
  </si>
  <si>
    <t>Value(879)</t>
  </si>
  <si>
    <t>Value(880)</t>
  </si>
  <si>
    <t>Value(881)</t>
  </si>
  <si>
    <t>Value(882)</t>
  </si>
  <si>
    <t>Value(883)</t>
  </si>
  <si>
    <t>Value(884)</t>
  </si>
  <si>
    <t>Value(885)</t>
  </si>
  <si>
    <t>Value(886)</t>
  </si>
  <si>
    <t>Value(887)</t>
  </si>
  <si>
    <t>Value(888)</t>
  </si>
  <si>
    <t>Value(889)</t>
  </si>
  <si>
    <t>Value(890)</t>
  </si>
  <si>
    <t>Value(891)</t>
  </si>
  <si>
    <t>Value(892)</t>
  </si>
  <si>
    <t>Value(893)</t>
  </si>
  <si>
    <t>Value(894)</t>
  </si>
  <si>
    <t>Value(895)</t>
  </si>
  <si>
    <t>Value(896)</t>
  </si>
  <si>
    <t>Value(897)</t>
  </si>
  <si>
    <t>Value(898)</t>
  </si>
  <si>
    <t>Value(899)</t>
  </si>
  <si>
    <t>Value(900)</t>
  </si>
  <si>
    <t>Case Author</t>
  </si>
  <si>
    <t>⬆️</t>
  </si>
  <si>
    <t>➡️</t>
  </si>
  <si>
    <t>⬇️</t>
  </si>
  <si>
    <t>⬅️</t>
  </si>
  <si>
    <t>stop1</t>
  </si>
  <si>
    <t>stop2</t>
  </si>
  <si>
    <t>stop3</t>
  </si>
  <si>
    <t>stop4</t>
  </si>
  <si>
    <t>stop5</t>
  </si>
  <si>
    <t>stop6</t>
  </si>
  <si>
    <t>stop7</t>
  </si>
  <si>
    <t>stop8</t>
  </si>
  <si>
    <t>stop9</t>
  </si>
  <si>
    <t>stop10</t>
  </si>
  <si>
    <t>stop11</t>
  </si>
  <si>
    <t>stop12</t>
  </si>
  <si>
    <t>stop13</t>
  </si>
  <si>
    <t>stop14</t>
  </si>
  <si>
    <t>Start Tab</t>
  </si>
  <si>
    <t>stop15</t>
  </si>
  <si>
    <t>stop16</t>
  </si>
  <si>
    <t>stop17</t>
  </si>
  <si>
    <t>stop18</t>
  </si>
  <si>
    <t>stop19</t>
  </si>
  <si>
    <t>stop20</t>
  </si>
  <si>
    <t>stop21</t>
  </si>
  <si>
    <t>stop22</t>
  </si>
  <si>
    <t>stop23</t>
  </si>
  <si>
    <t>stop24</t>
  </si>
  <si>
    <t>stop25</t>
  </si>
  <si>
    <t>stop26</t>
  </si>
  <si>
    <t>stop27</t>
  </si>
  <si>
    <t>stop28</t>
  </si>
  <si>
    <t>Maze Correct?</t>
  </si>
  <si>
    <t>FINISH!</t>
  </si>
  <si>
    <t>Answer Check On?</t>
  </si>
  <si>
    <t xml:space="preserve">Instructions? </t>
  </si>
  <si>
    <t>PC Keyboard Hints?</t>
  </si>
  <si>
    <t>Mac Keyboard Hints?</t>
  </si>
  <si>
    <t>Answer Checks?</t>
  </si>
  <si>
    <t>Once you are familiar with the tasks, you can remove the instructions and answer checks to go faster. You can also turn on PC or Mac hints if you would like some help.</t>
  </si>
  <si>
    <t>You will be penalized one second for each time you "step" outside the path. The path includes all cells with values and cells with either light green or dark green fill.</t>
  </si>
  <si>
    <t>Controls (1=Yes,0=No)</t>
  </si>
  <si>
    <t>Note that named ranges are not deleted between attempts.</t>
  </si>
  <si>
    <t>In this challenge, you have 30 minutes to complete a series of tasks as quickly as possible. You can attempt the tasks as many times as possible within the 30 minutes and only</t>
  </si>
  <si>
    <t>your best time will be counted. The controls (to the upper right) are set to default values to provide instructions for each task and provide feedback when your answer are correct.</t>
  </si>
  <si>
    <t>Do not use automation or macros to complete the challenge. Any evidence of macro use or other automation tools may disqualify you from this and all future MECC competitions.</t>
  </si>
  <si>
    <t xml:space="preserve">Note that using Instructions, Hints, or Checks does not directly impact your time, so there are no penalties for their use. Each tab has buttons that will repeat the instructions or </t>
  </si>
  <si>
    <t>provide hints in case you get stuck.</t>
  </si>
  <si>
    <t>A "step" occurs when you select a cell and not when you are navigating while editing a formula. You must "step" in every dark green cell to complete the challenge.</t>
  </si>
  <si>
    <t>Instruction</t>
  </si>
  <si>
    <t>Answer Value</t>
  </si>
  <si>
    <t>Check Answer</t>
  </si>
  <si>
    <t>No Check</t>
  </si>
  <si>
    <t>Check right number of 2s</t>
  </si>
  <si>
    <t>Check for formula being used</t>
  </si>
  <si>
    <t>Check values were pasted in correct range</t>
  </si>
  <si>
    <t>Check values were actually entered</t>
  </si>
  <si>
    <t>Check right number of 3s</t>
  </si>
  <si>
    <t>Cell</t>
  </si>
  <si>
    <t>Tab</t>
  </si>
  <si>
    <t>Completed?</t>
  </si>
  <si>
    <t>Maze</t>
  </si>
  <si>
    <t>Last Tab</t>
  </si>
  <si>
    <t>Q49</t>
  </si>
  <si>
    <t>B39</t>
  </si>
  <si>
    <t>"Go to the next tab to the right (""Maze Tab""). Follow the arrows through the maze. Each time you go off the path you will be penalized 1 second."</t>
  </si>
  <si>
    <t>"Sum the values in the rectangle below (L16:R20)."</t>
  </si>
  <si>
    <t>"Replace the zeros with twos then sum the rectangle below (AE21:AK25)."</t>
  </si>
  <si>
    <t>"Sum the values of the left-most and right-most columns of the rectangle below (P31:V35)."</t>
  </si>
  <si>
    <t>"In cells AM127:AU127, add 1 to each value in the cells above (AM126:AU126). In cells AM128:AU128, divide the values in cells AM127:AU127 by the values in cells AM126:AU126. Finally, sum the range AM126:AU128 and enter it in cell AM129."</t>
  </si>
  <si>
    <t>"Copy the values in cells AS127:AU128. Go to cell AR72 and paste values. Sum the values in AR72:AT73 and enter it in cell AS129."</t>
  </si>
  <si>
    <t>"Count the number of blank cells in the rectange below (BR23:CD33)."</t>
  </si>
  <si>
    <t>"Fill in the blank cells in the rectangle below (BV93:CA97) with the number three then sum the values in the rectangle."</t>
  </si>
  <si>
    <t>"Sum the odd values in the rectangle below (BR23:CD33)."</t>
  </si>
  <si>
    <t>"Go to cell CE6 to complete the speed challenge."</t>
  </si>
  <si>
    <t>Note to Check Answer</t>
  </si>
  <si>
    <t>A13</t>
  </si>
  <si>
    <t>D13</t>
  </si>
  <si>
    <t>D18</t>
  </si>
  <si>
    <t>P18</t>
  </si>
  <si>
    <t>P7</t>
  </si>
  <si>
    <t>V7</t>
  </si>
  <si>
    <t>V29</t>
  </si>
  <si>
    <t>AA29</t>
  </si>
  <si>
    <t>AA35</t>
  </si>
  <si>
    <t>AD35</t>
  </si>
  <si>
    <t>AD14</t>
  </si>
  <si>
    <t>AK14</t>
  </si>
  <si>
    <t>AK1</t>
  </si>
  <si>
    <t>L15</t>
  </si>
  <si>
    <t>AE20</t>
  </si>
  <si>
    <t>W31</t>
  </si>
  <si>
    <t>U81</t>
  </si>
  <si>
    <t>S108</t>
  </si>
  <si>
    <t>Q129</t>
  </si>
  <si>
    <t>AM129</t>
  </si>
  <si>
    <t>AS129</t>
  </si>
  <si>
    <t>BA129</t>
  </si>
  <si>
    <t>BA57</t>
  </si>
  <si>
    <t>BR22</t>
  </si>
  <si>
    <t>BV92</t>
  </si>
  <si>
    <t>BV6</t>
  </si>
  <si>
    <t>CD6</t>
  </si>
  <si>
    <t>"Follow the arrows through the maze. Each time you go off the path you will be penalized 1 second."</t>
  </si>
  <si>
    <t>"Follow the arrows along the path. Each time you go off the path you will be penalized 1 second."</t>
  </si>
  <si>
    <t>"Congratulations! You have finished the challenge."</t>
  </si>
  <si>
    <t>If you aren't sure of an instruction or whether you completed a step, see the "Progress &amp; Instructions" tab.</t>
  </si>
  <si>
    <t>On the "Last Tab" you must use a formula for each task that requires a sum or count and you must fill in the light green cells with values. Do not type in the number answers.</t>
  </si>
  <si>
    <t>Note that when you hit enter, Excel defaults to moving down one cell. To avoid that, go to Options -&gt; Advanced and unclick the box "After pressing Enter, move selection."</t>
  </si>
  <si>
    <t>Click the green Start button to start the challenge. The timing starts once you dismiss the first message box by pressing Enter.</t>
  </si>
  <si>
    <t>"In cells AX51:BB56, fill in the integers from 1 to 30 in this arrangement: " &amp; vbCrLf &amp; "1  2  3  4  5" &amp; vbCrLf &amp; "6  7  8  9 10" &amp; vbCrLf &amp; "11 12 13 14 15" &amp; vbCrLf &amp; "16 17 18 19 20" &amp; vbCrLf &amp; "21 22 23 24 25" &amp; vbCrLf &amp; "26 27 28 29 30. Then sum the values in AX51:BB56 in cell BA57."</t>
  </si>
  <si>
    <t>MECC 2025 Regionals - Speed Challenge - Varsity</t>
  </si>
  <si>
    <t>"Your first task is to sum up the values in the rows and columns in cells B39:K48. Enter the row and column sums in the dark green cells, including the corner cell L49 (either sum the adjacent rows or columns), then navigate to the dark green cell, Q49."</t>
  </si>
  <si>
    <t>Case Information</t>
  </si>
  <si>
    <t>MECC Jobs</t>
  </si>
  <si>
    <t>MECC sponsors such as Siemens, New York Life, Alvarez &amp; Marsal, and BDO have all hired MECC participants. Will you be next?</t>
  </si>
  <si>
    <t>About ASUS</t>
  </si>
  <si>
    <t>Earn MECC Badges</t>
  </si>
  <si>
    <t>ASUS is a global tech leader known for pushing boundaries with innovative devices, powerful performance, and world-class engineering. The Republic of Gamers (ROG) sub-brand makes the best hardware for PC gaming, eSports, and overclocking, delivering top performance and premium experience.</t>
  </si>
  <si>
    <t>Completing MECC challenges can earn you a certificate to add to your résumé, showcasing your Excel knowledge. Learn more about the certificates available to earn this season.</t>
  </si>
  <si>
    <t>This case originally appeared as a part of the MECC Regionals in April 2025. The objective of this challenge is to test your speed, precision, and navigation efficiency in Excel under time pressure. You must complete a predefined sequence of tasks as quickly as possible while minimizing unnecessary cell selections, correctly following path constraints, and applying formulas (not hard-coded values) where required.</t>
  </si>
  <si>
    <t>Speed Challenge - Varsity Edition</t>
  </si>
  <si>
    <t>Microsoft Excel Collegiate Challenge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</si>
</sst>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09]m/d/yy\ h:mm\ AM/PM;@"/>
  </numFmts>
  <fonts count="43">
    <font>
      <sz val="11"/>
      <color theme="1"/>
      <name val="Calibri"/>
      <family val="2"/>
      <scheme val="minor"/>
    </font>
    <font>
      <sz val="12"/>
      <color theme="1"/>
      <name val="Calibri"/>
      <family val="2"/>
      <scheme val="minor"/>
    </font>
    <font>
      <b/>
      <sz val="11"/>
      <color theme="1"/>
      <name val="Calibri"/>
      <family val="2"/>
      <scheme val="minor"/>
    </font>
    <font>
      <u/>
      <sz val="11"/>
      <color theme="10"/>
      <name val="Calibri"/>
      <family val="2"/>
      <scheme val="minor"/>
    </font>
    <font>
      <sz val="3"/>
      <color rgb="FF242729"/>
      <name val="Consolas"/>
      <family val="3"/>
    </font>
    <font>
      <sz val="10"/>
      <color theme="1"/>
      <name val="Var(--ff-mono)"/>
    </font>
    <font>
      <b/>
      <sz val="14"/>
      <color theme="1"/>
      <name val="Calibri"/>
      <family val="2"/>
      <scheme val="minor"/>
    </font>
    <font>
      <b/>
      <sz val="12"/>
      <color rgb="FFFF0000"/>
      <name val="Calibri"/>
      <family val="2"/>
      <scheme val="minor"/>
    </font>
    <font>
      <b/>
      <u/>
      <sz val="11"/>
      <color rgb="FFFF0000"/>
      <name val="Calibri"/>
      <family val="2"/>
      <scheme val="minor"/>
    </font>
    <font>
      <sz val="11"/>
      <color rgb="FF00007F"/>
      <name val="Courier New"/>
      <family val="3"/>
    </font>
    <font>
      <sz val="11"/>
      <color rgb="FF007F00"/>
      <name val="Courier New"/>
      <family val="3"/>
    </font>
    <font>
      <sz val="11"/>
      <color rgb="FF403F41"/>
      <name val="Courier New"/>
      <family val="3"/>
    </font>
    <font>
      <sz val="11"/>
      <color theme="1"/>
      <name val="Calibri"/>
      <family val="2"/>
      <scheme val="minor"/>
    </font>
    <font>
      <sz val="11"/>
      <color rgb="FFE7E6E6"/>
      <name val="Calibri"/>
      <family val="2"/>
      <scheme val="minor"/>
    </font>
    <font>
      <sz val="11"/>
      <color theme="1"/>
      <name val="Roboto"/>
    </font>
    <font>
      <sz val="20"/>
      <color theme="1"/>
      <name val="Calibri"/>
      <family val="2"/>
      <scheme val="minor"/>
    </font>
    <font>
      <sz val="12"/>
      <color theme="1"/>
      <name val="Aptos"/>
      <family val="2"/>
    </font>
    <font>
      <b/>
      <sz val="26"/>
      <color theme="0"/>
      <name val="Futura"/>
      <family val="2"/>
    </font>
    <font>
      <sz val="12"/>
      <color theme="1"/>
      <name val="Roboto"/>
    </font>
    <font>
      <b/>
      <sz val="24"/>
      <color theme="0"/>
      <name val="Futura"/>
      <family val="2"/>
    </font>
    <font>
      <b/>
      <sz val="18"/>
      <color theme="0"/>
      <name val="Futura"/>
      <family val="2"/>
    </font>
    <font>
      <sz val="18"/>
      <color theme="1"/>
      <name val="Roboto"/>
    </font>
    <font>
      <b/>
      <sz val="12"/>
      <color theme="1"/>
      <name val="Robotech"/>
    </font>
    <font>
      <u/>
      <sz val="12"/>
      <color theme="10"/>
      <name val="Calibri"/>
      <family val="2"/>
      <scheme val="minor"/>
    </font>
    <font>
      <b/>
      <sz val="12"/>
      <name val="Aptos"/>
      <family val="2"/>
    </font>
    <font>
      <b/>
      <sz val="12"/>
      <color theme="1"/>
      <name val="Roboto"/>
    </font>
    <font>
      <sz val="12"/>
      <color theme="1"/>
      <name val="Calibri"/>
      <family val="2"/>
    </font>
    <font>
      <sz val="8"/>
      <color theme="1"/>
      <name val="Calibri"/>
      <family val="2"/>
      <scheme val="minor"/>
    </font>
    <font>
      <sz val="8"/>
      <name val="Calibri"/>
      <family val="2"/>
      <scheme val="minor"/>
    </font>
    <font>
      <b/>
      <sz val="14"/>
      <color theme="1"/>
      <name val="Roboto"/>
    </font>
    <font>
      <sz val="11"/>
      <color rgb="FFFF0000"/>
      <name val="Calibri"/>
      <family val="2"/>
      <scheme val="minor"/>
    </font>
    <font>
      <b/>
      <sz val="12"/>
      <color theme="0"/>
      <name val="Roboto"/>
    </font>
    <font>
      <b/>
      <sz val="11"/>
      <color theme="1"/>
      <name val="Roboto"/>
    </font>
    <font>
      <sz val="11"/>
      <name val="Roboto"/>
    </font>
    <font>
      <b/>
      <sz val="18"/>
      <color theme="0"/>
      <name val="Roboto"/>
    </font>
    <font>
      <b/>
      <sz val="24"/>
      <color theme="0"/>
      <name val="Futura"/>
      <family val="2"/>
    </font>
    <font>
      <b/>
      <sz val="20"/>
      <color theme="0"/>
      <name val="Futura"/>
      <family val="2"/>
    </font>
    <font>
      <b/>
      <sz val="18"/>
      <color theme="0"/>
      <name val="Futura"/>
      <family val="2"/>
    </font>
    <font>
      <sz val="16"/>
      <name val="Roboto"/>
    </font>
    <font>
      <b/>
      <sz val="16"/>
      <color theme="0"/>
      <name val="Roboto"/>
    </font>
    <font>
      <i/>
      <sz val="11"/>
      <name val="Roboto"/>
    </font>
    <font>
      <b/>
      <sz val="11"/>
      <name val="Roboto"/>
    </font>
    <font>
      <sz val="12"/>
      <color rgb="FFFFFFFF"/>
      <name val="Arial"/>
      <family val="2"/>
      <charset val="238"/>
    </font>
  </fonts>
  <fills count="10141">
    <fill>
      <patternFill patternType="none"/>
    </fill>
    <fill>
      <patternFill patternType="gray125"/>
    </fill>
    <fill>
      <patternFill patternType="solid">
        <fgColor rgb="FF92D050"/>
        <bgColor indexed="64"/>
      </patternFill>
    </fill>
    <fill>
      <patternFill patternType="solid">
        <fgColor theme="2"/>
        <bgColor indexed="64"/>
      </patternFill>
    </fill>
    <fill>
      <patternFill patternType="solid">
        <fgColor rgb="FFF0F0F0"/>
        <bgColor indexed="64"/>
      </patternFill>
    </fill>
    <fill>
      <patternFill patternType="solid">
        <fgColor theme="8" tint="0.59999389629810485"/>
        <bgColor indexed="64"/>
      </patternFill>
    </fill>
    <fill>
      <patternFill patternType="solid">
        <fgColor rgb="FFE7E6E6"/>
        <bgColor indexed="64"/>
      </patternFill>
    </fill>
    <fill>
      <patternFill patternType="solid">
        <fgColor rgb="FF001838"/>
        <bgColor indexed="64"/>
      </patternFill>
    </fill>
    <fill>
      <patternFill patternType="solid">
        <fgColor rgb="FFED203F"/>
        <bgColor indexed="64"/>
      </patternFill>
    </fill>
    <fill>
      <patternFill patternType="solid">
        <fgColor rgb="FFBC1F36"/>
        <bgColor indexed="64"/>
      </patternFill>
    </fill>
    <fill>
      <patternFill patternType="solid">
        <fgColor rgb="FF00B050"/>
        <bgColor indexed="64"/>
      </patternFill>
    </fill>
    <fill>
      <patternFill patternType="solid">
        <fgColor rgb="FF3DB0FB"/>
        <bgColor indexed="64"/>
      </patternFill>
    </fill>
    <fill>
      <patternFill patternType="solid">
        <fgColor rgb="FF3EAFFB"/>
        <bgColor indexed="64"/>
      </patternFill>
    </fill>
    <fill>
      <patternFill patternType="solid">
        <fgColor rgb="FF3CB1FB"/>
        <bgColor indexed="64"/>
      </patternFill>
    </fill>
    <fill>
      <patternFill patternType="solid">
        <fgColor rgb="FF3AAEFA"/>
        <bgColor indexed="64"/>
      </patternFill>
    </fill>
    <fill>
      <patternFill patternType="solid">
        <fgColor rgb="FF37ABF9"/>
        <bgColor indexed="64"/>
      </patternFill>
    </fill>
    <fill>
      <patternFill patternType="solid">
        <fgColor rgb="FF38ADFB"/>
        <bgColor indexed="64"/>
      </patternFill>
    </fill>
    <fill>
      <patternFill patternType="solid">
        <fgColor rgb="FF39AEFC"/>
        <bgColor indexed="64"/>
      </patternFill>
    </fill>
    <fill>
      <patternFill patternType="solid">
        <fgColor rgb="FF38ADFC"/>
        <bgColor indexed="64"/>
      </patternFill>
    </fill>
    <fill>
      <patternFill patternType="solid">
        <fgColor rgb="FF35ACFB"/>
        <bgColor indexed="64"/>
      </patternFill>
    </fill>
    <fill>
      <patternFill patternType="solid">
        <fgColor rgb="FF33A9F9"/>
        <bgColor indexed="64"/>
      </patternFill>
    </fill>
    <fill>
      <patternFill patternType="solid">
        <fgColor rgb="FF33A6FB"/>
        <bgColor indexed="64"/>
      </patternFill>
    </fill>
    <fill>
      <patternFill patternType="solid">
        <fgColor rgb="FF31A7FA"/>
        <bgColor indexed="64"/>
      </patternFill>
    </fill>
    <fill>
      <patternFill patternType="solid">
        <fgColor rgb="FF31A8FA"/>
        <bgColor indexed="64"/>
      </patternFill>
    </fill>
    <fill>
      <patternFill patternType="solid">
        <fgColor rgb="FF33AAFB"/>
        <bgColor indexed="64"/>
      </patternFill>
    </fill>
    <fill>
      <patternFill patternType="solid">
        <fgColor rgb="FF34ABFA"/>
        <bgColor indexed="64"/>
      </patternFill>
    </fill>
    <fill>
      <patternFill patternType="solid">
        <fgColor rgb="FF32A9F8"/>
        <bgColor indexed="64"/>
      </patternFill>
    </fill>
    <fill>
      <patternFill patternType="solid">
        <fgColor rgb="FF32A9F9"/>
        <bgColor indexed="64"/>
      </patternFill>
    </fill>
    <fill>
      <patternFill patternType="solid">
        <fgColor rgb="FF33AAFA"/>
        <bgColor indexed="64"/>
      </patternFill>
    </fill>
    <fill>
      <patternFill patternType="solid">
        <fgColor rgb="FF33A9FC"/>
        <bgColor indexed="64"/>
      </patternFill>
    </fill>
    <fill>
      <patternFill patternType="solid">
        <fgColor rgb="FF32A8FB"/>
        <bgColor indexed="64"/>
      </patternFill>
    </fill>
    <fill>
      <patternFill patternType="solid">
        <fgColor rgb="FF30A7FB"/>
        <bgColor indexed="64"/>
      </patternFill>
    </fill>
    <fill>
      <patternFill patternType="solid">
        <fgColor rgb="FF2FA7FA"/>
        <bgColor indexed="64"/>
      </patternFill>
    </fill>
    <fill>
      <patternFill patternType="solid">
        <fgColor rgb="FF2FA7FB"/>
        <bgColor indexed="64"/>
      </patternFill>
    </fill>
    <fill>
      <patternFill patternType="solid">
        <fgColor rgb="FF30A6FA"/>
        <bgColor indexed="64"/>
      </patternFill>
    </fill>
    <fill>
      <patternFill patternType="solid">
        <fgColor rgb="FF30A8FA"/>
        <bgColor indexed="64"/>
      </patternFill>
    </fill>
    <fill>
      <patternFill patternType="solid">
        <fgColor rgb="FF30A7FA"/>
        <bgColor indexed="64"/>
      </patternFill>
    </fill>
    <fill>
      <patternFill patternType="solid">
        <fgColor rgb="FF31A9FB"/>
        <bgColor indexed="64"/>
      </patternFill>
    </fill>
    <fill>
      <patternFill patternType="solid">
        <fgColor rgb="FF30A9FB"/>
        <bgColor indexed="64"/>
      </patternFill>
    </fill>
    <fill>
      <patternFill patternType="solid">
        <fgColor rgb="FF2FA6FB"/>
        <bgColor indexed="64"/>
      </patternFill>
    </fill>
    <fill>
      <patternFill patternType="solid">
        <fgColor rgb="FF2EA5FA"/>
        <bgColor indexed="64"/>
      </patternFill>
    </fill>
    <fill>
      <patternFill patternType="solid">
        <fgColor rgb="FF2DA5FB"/>
        <bgColor indexed="64"/>
      </patternFill>
    </fill>
    <fill>
      <patternFill patternType="solid">
        <fgColor rgb="FF2EA8FC"/>
        <bgColor indexed="64"/>
      </patternFill>
    </fill>
    <fill>
      <patternFill patternType="solid">
        <fgColor rgb="FF2DA8FB"/>
        <bgColor indexed="64"/>
      </patternFill>
    </fill>
    <fill>
      <patternFill patternType="solid">
        <fgColor rgb="FF2DA2FD"/>
        <bgColor indexed="64"/>
      </patternFill>
    </fill>
    <fill>
      <patternFill patternType="solid">
        <fgColor rgb="FF49675B"/>
        <bgColor indexed="64"/>
      </patternFill>
    </fill>
    <fill>
      <patternFill patternType="solid">
        <fgColor rgb="FF3692BB"/>
        <bgColor indexed="64"/>
      </patternFill>
    </fill>
    <fill>
      <patternFill patternType="solid">
        <fgColor rgb="FF30AAFE"/>
        <bgColor indexed="64"/>
      </patternFill>
    </fill>
    <fill>
      <patternFill patternType="solid">
        <fgColor rgb="FF2BA5FA"/>
        <bgColor indexed="64"/>
      </patternFill>
    </fill>
    <fill>
      <patternFill patternType="solid">
        <fgColor rgb="FF38A8F8"/>
        <bgColor indexed="64"/>
      </patternFill>
    </fill>
    <fill>
      <patternFill patternType="solid">
        <fgColor rgb="FF3CAFFA"/>
        <bgColor indexed="64"/>
      </patternFill>
    </fill>
    <fill>
      <patternFill patternType="solid">
        <fgColor rgb="FF3BAEF9"/>
        <bgColor indexed="64"/>
      </patternFill>
    </fill>
    <fill>
      <patternFill patternType="solid">
        <fgColor rgb="FF3DAFFB"/>
        <bgColor indexed="64"/>
      </patternFill>
    </fill>
    <fill>
      <patternFill patternType="solid">
        <fgColor rgb="FF3CAEFB"/>
        <bgColor indexed="64"/>
      </patternFill>
    </fill>
    <fill>
      <patternFill patternType="solid">
        <fgColor rgb="FF39AEFB"/>
        <bgColor indexed="64"/>
      </patternFill>
    </fill>
    <fill>
      <patternFill patternType="solid">
        <fgColor rgb="FF39AEFA"/>
        <bgColor indexed="64"/>
      </patternFill>
    </fill>
    <fill>
      <patternFill patternType="solid">
        <fgColor rgb="FF39ADFB"/>
        <bgColor indexed="64"/>
      </patternFill>
    </fill>
    <fill>
      <patternFill patternType="solid">
        <fgColor rgb="FF38ABFB"/>
        <bgColor indexed="64"/>
      </patternFill>
    </fill>
    <fill>
      <patternFill patternType="solid">
        <fgColor rgb="FF36A9F9"/>
        <bgColor indexed="64"/>
      </patternFill>
    </fill>
    <fill>
      <patternFill patternType="solid">
        <fgColor rgb="FF34A9F9"/>
        <bgColor indexed="64"/>
      </patternFill>
    </fill>
    <fill>
      <patternFill patternType="solid">
        <fgColor rgb="FF34A9FB"/>
        <bgColor indexed="64"/>
      </patternFill>
    </fill>
    <fill>
      <patternFill patternType="solid">
        <fgColor rgb="FF34A9FA"/>
        <bgColor indexed="64"/>
      </patternFill>
    </fill>
    <fill>
      <patternFill patternType="solid">
        <fgColor rgb="FF32A9FA"/>
        <bgColor indexed="64"/>
      </patternFill>
    </fill>
    <fill>
      <patternFill patternType="solid">
        <fgColor rgb="FF34ABFB"/>
        <bgColor indexed="64"/>
      </patternFill>
    </fill>
    <fill>
      <patternFill patternType="solid">
        <fgColor rgb="FF35ACFA"/>
        <bgColor indexed="64"/>
      </patternFill>
    </fill>
    <fill>
      <patternFill patternType="solid">
        <fgColor rgb="FF34ABF8"/>
        <bgColor indexed="64"/>
      </patternFill>
    </fill>
    <fill>
      <patternFill patternType="solid">
        <fgColor rgb="FF33AAF9"/>
        <bgColor indexed="64"/>
      </patternFill>
    </fill>
    <fill>
      <patternFill patternType="solid">
        <fgColor rgb="FF31A8FB"/>
        <bgColor indexed="64"/>
      </patternFill>
    </fill>
    <fill>
      <patternFill patternType="solid">
        <fgColor rgb="FF35ABFB"/>
        <bgColor indexed="64"/>
      </patternFill>
    </fill>
    <fill>
      <patternFill patternType="solid">
        <fgColor rgb="FF34AAFA"/>
        <bgColor indexed="64"/>
      </patternFill>
    </fill>
    <fill>
      <patternFill patternType="solid">
        <fgColor rgb="FF33AAFC"/>
        <bgColor indexed="64"/>
      </patternFill>
    </fill>
    <fill>
      <patternFill patternType="solid">
        <fgColor rgb="FF31AAFC"/>
        <bgColor indexed="64"/>
      </patternFill>
    </fill>
    <fill>
      <patternFill patternType="solid">
        <fgColor rgb="FF32AAFC"/>
        <bgColor indexed="64"/>
      </patternFill>
    </fill>
    <fill>
      <patternFill patternType="solid">
        <fgColor rgb="FF30A7FC"/>
        <bgColor indexed="64"/>
      </patternFill>
    </fill>
    <fill>
      <patternFill patternType="solid">
        <fgColor rgb="FF2EA6FB"/>
        <bgColor indexed="64"/>
      </patternFill>
    </fill>
    <fill>
      <patternFill patternType="solid">
        <fgColor rgb="FF2DA6FA"/>
        <bgColor indexed="64"/>
      </patternFill>
    </fill>
    <fill>
      <patternFill patternType="solid">
        <fgColor rgb="FF249AF4"/>
        <bgColor indexed="64"/>
      </patternFill>
    </fill>
    <fill>
      <patternFill patternType="solid">
        <fgColor rgb="FFF4F229"/>
        <bgColor indexed="64"/>
      </patternFill>
    </fill>
    <fill>
      <patternFill patternType="solid">
        <fgColor rgb="FF8FA364"/>
        <bgColor indexed="64"/>
      </patternFill>
    </fill>
    <fill>
      <patternFill patternType="solid">
        <fgColor rgb="FF307D90"/>
        <bgColor indexed="64"/>
      </patternFill>
    </fill>
    <fill>
      <patternFill patternType="solid">
        <fgColor rgb="FF35ACFF"/>
        <bgColor indexed="64"/>
      </patternFill>
    </fill>
    <fill>
      <patternFill patternType="solid">
        <fgColor rgb="FF29A5FA"/>
        <bgColor indexed="64"/>
      </patternFill>
    </fill>
    <fill>
      <patternFill patternType="solid">
        <fgColor rgb="FF37A6F8"/>
        <bgColor indexed="64"/>
      </patternFill>
    </fill>
    <fill>
      <patternFill patternType="solid">
        <fgColor rgb="FF3AADF9"/>
        <bgColor indexed="64"/>
      </patternFill>
    </fill>
    <fill>
      <patternFill patternType="solid">
        <fgColor rgb="FF3BAEFA"/>
        <bgColor indexed="64"/>
      </patternFill>
    </fill>
    <fill>
      <patternFill patternType="solid">
        <fgColor rgb="FF3AADFB"/>
        <bgColor indexed="64"/>
      </patternFill>
    </fill>
    <fill>
      <patternFill patternType="solid">
        <fgColor rgb="FF3AACFA"/>
        <bgColor indexed="64"/>
      </patternFill>
    </fill>
    <fill>
      <patternFill patternType="solid">
        <fgColor rgb="FF3BADFB"/>
        <bgColor indexed="64"/>
      </patternFill>
    </fill>
    <fill>
      <patternFill patternType="solid">
        <fgColor rgb="FF3AACFB"/>
        <bgColor indexed="64"/>
      </patternFill>
    </fill>
    <fill>
      <patternFill patternType="solid">
        <fgColor rgb="FF39ABFB"/>
        <bgColor indexed="64"/>
      </patternFill>
    </fill>
    <fill>
      <patternFill patternType="solid">
        <fgColor rgb="FF39ADFD"/>
        <bgColor indexed="64"/>
      </patternFill>
    </fill>
    <fill>
      <patternFill patternType="solid">
        <fgColor rgb="FF3CAEFC"/>
        <bgColor indexed="64"/>
      </patternFill>
    </fill>
    <fill>
      <patternFill patternType="solid">
        <fgColor rgb="FF39ACFA"/>
        <bgColor indexed="64"/>
      </patternFill>
    </fill>
    <fill>
      <patternFill patternType="solid">
        <fgColor rgb="FF33A9FA"/>
        <bgColor indexed="64"/>
      </patternFill>
    </fill>
    <fill>
      <patternFill patternType="solid">
        <fgColor rgb="FF34AAFB"/>
        <bgColor indexed="64"/>
      </patternFill>
    </fill>
    <fill>
      <patternFill patternType="solid">
        <fgColor rgb="FF32A8F9"/>
        <bgColor indexed="64"/>
      </patternFill>
    </fill>
    <fill>
      <patternFill patternType="solid">
        <fgColor rgb="FF36ABFA"/>
        <bgColor indexed="64"/>
      </patternFill>
    </fill>
    <fill>
      <patternFill patternType="solid">
        <fgColor rgb="FF35ABFC"/>
        <bgColor indexed="64"/>
      </patternFill>
    </fill>
    <fill>
      <patternFill patternType="solid">
        <fgColor rgb="FF34ACFE"/>
        <bgColor indexed="64"/>
      </patternFill>
    </fill>
    <fill>
      <patternFill patternType="solid">
        <fgColor rgb="FF35ACFD"/>
        <bgColor indexed="64"/>
      </patternFill>
    </fill>
    <fill>
      <patternFill patternType="solid">
        <fgColor rgb="FF33A9FB"/>
        <bgColor indexed="64"/>
      </patternFill>
    </fill>
    <fill>
      <patternFill patternType="solid">
        <fgColor rgb="FF37ADFB"/>
        <bgColor indexed="64"/>
      </patternFill>
    </fill>
    <fill>
      <patternFill patternType="solid">
        <fgColor rgb="FF35ABF9"/>
        <bgColor indexed="64"/>
      </patternFill>
    </fill>
    <fill>
      <patternFill patternType="solid">
        <fgColor rgb="FF30A5FA"/>
        <bgColor indexed="64"/>
      </patternFill>
    </fill>
    <fill>
      <patternFill patternType="solid">
        <fgColor rgb="FF269AEF"/>
        <bgColor indexed="64"/>
      </patternFill>
    </fill>
    <fill>
      <patternFill patternType="solid">
        <fgColor rgb="FF899E47"/>
        <bgColor indexed="64"/>
      </patternFill>
    </fill>
    <fill>
      <patternFill patternType="solid">
        <fgColor rgb="FF2A7C92"/>
        <bgColor indexed="64"/>
      </patternFill>
    </fill>
    <fill>
      <patternFill patternType="solid">
        <fgColor rgb="FF33ACFE"/>
        <bgColor indexed="64"/>
      </patternFill>
    </fill>
    <fill>
      <patternFill patternType="solid">
        <fgColor rgb="FF29A3FB"/>
        <bgColor indexed="64"/>
      </patternFill>
    </fill>
    <fill>
      <patternFill patternType="solid">
        <fgColor rgb="FF37A8F8"/>
        <bgColor indexed="64"/>
      </patternFill>
    </fill>
    <fill>
      <patternFill patternType="solid">
        <fgColor rgb="FF3AADFA"/>
        <bgColor indexed="64"/>
      </patternFill>
    </fill>
    <fill>
      <patternFill patternType="solid">
        <fgColor rgb="FF3BAEFB"/>
        <bgColor indexed="64"/>
      </patternFill>
    </fill>
    <fill>
      <patternFill patternType="solid">
        <fgColor rgb="FF3BAEFC"/>
        <bgColor indexed="64"/>
      </patternFill>
    </fill>
    <fill>
      <patternFill patternType="solid">
        <fgColor rgb="FF3AADFC"/>
        <bgColor indexed="64"/>
      </patternFill>
    </fill>
    <fill>
      <patternFill patternType="solid">
        <fgColor rgb="FF34ACFA"/>
        <bgColor indexed="64"/>
      </patternFill>
    </fill>
    <fill>
      <patternFill patternType="solid">
        <fgColor rgb="FF36AAF9"/>
        <bgColor indexed="64"/>
      </patternFill>
    </fill>
    <fill>
      <patternFill patternType="solid">
        <fgColor rgb="FF35ACFC"/>
        <bgColor indexed="64"/>
      </patternFill>
    </fill>
    <fill>
      <patternFill patternType="solid">
        <fgColor rgb="FF2E96EA"/>
        <bgColor indexed="64"/>
      </patternFill>
    </fill>
    <fill>
      <patternFill patternType="solid">
        <fgColor rgb="FF145394"/>
        <bgColor indexed="64"/>
      </patternFill>
    </fill>
    <fill>
      <patternFill patternType="solid">
        <fgColor rgb="FF2774AB"/>
        <bgColor indexed="64"/>
      </patternFill>
    </fill>
    <fill>
      <patternFill patternType="solid">
        <fgColor rgb="FF3CAFF9"/>
        <bgColor indexed="64"/>
      </patternFill>
    </fill>
    <fill>
      <patternFill patternType="solid">
        <fgColor rgb="FF36AFFF"/>
        <bgColor indexed="64"/>
      </patternFill>
    </fill>
    <fill>
      <patternFill patternType="solid">
        <fgColor rgb="FF34AFFF"/>
        <bgColor indexed="64"/>
      </patternFill>
    </fill>
    <fill>
      <patternFill patternType="solid">
        <fgColor rgb="FF33ABFF"/>
        <bgColor indexed="64"/>
      </patternFill>
    </fill>
    <fill>
      <patternFill patternType="solid">
        <fgColor rgb="FF33ABFA"/>
        <bgColor indexed="64"/>
      </patternFill>
    </fill>
    <fill>
      <patternFill patternType="solid">
        <fgColor rgb="FF32A9FB"/>
        <bgColor indexed="64"/>
      </patternFill>
    </fill>
    <fill>
      <patternFill patternType="solid">
        <fgColor rgb="FF30A6FB"/>
        <bgColor indexed="64"/>
      </patternFill>
    </fill>
    <fill>
      <patternFill patternType="solid">
        <fgColor rgb="FF2FA4FA"/>
        <bgColor indexed="64"/>
      </patternFill>
    </fill>
    <fill>
      <patternFill patternType="solid">
        <fgColor rgb="FF319EF8"/>
        <bgColor indexed="64"/>
      </patternFill>
    </fill>
    <fill>
      <patternFill patternType="solid">
        <fgColor rgb="FF2C4339"/>
        <bgColor indexed="64"/>
      </patternFill>
    </fill>
    <fill>
      <patternFill patternType="solid">
        <fgColor rgb="FF328AB5"/>
        <bgColor indexed="64"/>
      </patternFill>
    </fill>
    <fill>
      <patternFill patternType="solid">
        <fgColor rgb="FF34AAFE"/>
        <bgColor indexed="64"/>
      </patternFill>
    </fill>
    <fill>
      <patternFill patternType="solid">
        <fgColor rgb="FF2CA3FB"/>
        <bgColor indexed="64"/>
      </patternFill>
    </fill>
    <fill>
      <patternFill patternType="solid">
        <fgColor rgb="FF36A6F7"/>
        <bgColor indexed="64"/>
      </patternFill>
    </fill>
    <fill>
      <patternFill patternType="solid">
        <fgColor rgb="FF3BABF9"/>
        <bgColor indexed="64"/>
      </patternFill>
    </fill>
    <fill>
      <patternFill patternType="solid">
        <fgColor rgb="FF38AAFA"/>
        <bgColor indexed="64"/>
      </patternFill>
    </fill>
    <fill>
      <patternFill patternType="solid">
        <fgColor rgb="FF39ACFB"/>
        <bgColor indexed="64"/>
      </patternFill>
    </fill>
    <fill>
      <patternFill patternType="solid">
        <fgColor rgb="FF39ADFA"/>
        <bgColor indexed="64"/>
      </patternFill>
    </fill>
    <fill>
      <patternFill patternType="solid">
        <fgColor rgb="FF3CAFFC"/>
        <bgColor indexed="64"/>
      </patternFill>
    </fill>
    <fill>
      <patternFill patternType="solid">
        <fgColor rgb="FF38AFFA"/>
        <bgColor indexed="64"/>
      </patternFill>
    </fill>
    <fill>
      <patternFill patternType="solid">
        <fgColor rgb="FF37AEFB"/>
        <bgColor indexed="64"/>
      </patternFill>
    </fill>
    <fill>
      <patternFill patternType="solid">
        <fgColor rgb="FF37ABF8"/>
        <bgColor indexed="64"/>
      </patternFill>
    </fill>
    <fill>
      <patternFill patternType="solid">
        <fgColor rgb="FF38A8FD"/>
        <bgColor indexed="64"/>
      </patternFill>
    </fill>
    <fill>
      <patternFill patternType="solid">
        <fgColor rgb="FF1B669C"/>
        <bgColor indexed="64"/>
      </patternFill>
    </fill>
    <fill>
      <patternFill patternType="solid">
        <fgColor rgb="FF60896D"/>
        <bgColor indexed="64"/>
      </patternFill>
    </fill>
    <fill>
      <patternFill patternType="solid">
        <fgColor rgb="FF41736B"/>
        <bgColor indexed="64"/>
      </patternFill>
    </fill>
    <fill>
      <patternFill patternType="solid">
        <fgColor rgb="FF318AC9"/>
        <bgColor indexed="64"/>
      </patternFill>
    </fill>
    <fill>
      <patternFill patternType="solid">
        <fgColor rgb="FF2987D5"/>
        <bgColor indexed="64"/>
      </patternFill>
    </fill>
    <fill>
      <patternFill patternType="solid">
        <fgColor rgb="FF2A7CAB"/>
        <bgColor indexed="64"/>
      </patternFill>
    </fill>
    <fill>
      <patternFill patternType="solid">
        <fgColor rgb="FF41A1DD"/>
        <bgColor indexed="64"/>
      </patternFill>
    </fill>
    <fill>
      <patternFill patternType="solid">
        <fgColor rgb="FF36AAFB"/>
        <bgColor indexed="64"/>
      </patternFill>
    </fill>
    <fill>
      <patternFill patternType="solid">
        <fgColor rgb="FF32ABFA"/>
        <bgColor indexed="64"/>
      </patternFill>
    </fill>
    <fill>
      <patternFill patternType="solid">
        <fgColor rgb="FF34ACF9"/>
        <bgColor indexed="64"/>
      </patternFill>
    </fill>
    <fill>
      <patternFill patternType="solid">
        <fgColor rgb="FF31A7FD"/>
        <bgColor indexed="64"/>
      </patternFill>
    </fill>
    <fill>
      <patternFill patternType="solid">
        <fgColor rgb="FF30A5FB"/>
        <bgColor indexed="64"/>
      </patternFill>
    </fill>
    <fill>
      <patternFill patternType="solid">
        <fgColor rgb="FF2FA5FB"/>
        <bgColor indexed="64"/>
      </patternFill>
    </fill>
    <fill>
      <patternFill patternType="solid">
        <fgColor rgb="FF2EA5FB"/>
        <bgColor indexed="64"/>
      </patternFill>
    </fill>
    <fill>
      <patternFill patternType="solid">
        <fgColor rgb="FF329BF6"/>
        <bgColor indexed="64"/>
      </patternFill>
    </fill>
    <fill>
      <patternFill patternType="solid">
        <fgColor rgb="FF173B4D"/>
        <bgColor indexed="64"/>
      </patternFill>
    </fill>
    <fill>
      <patternFill patternType="solid">
        <fgColor rgb="FF3698D3"/>
        <bgColor indexed="64"/>
      </patternFill>
    </fill>
    <fill>
      <patternFill patternType="solid">
        <fgColor rgb="FF30A9FE"/>
        <bgColor indexed="64"/>
      </patternFill>
    </fill>
    <fill>
      <patternFill patternType="solid">
        <fgColor rgb="FF2BA4F9"/>
        <bgColor indexed="64"/>
      </patternFill>
    </fill>
    <fill>
      <patternFill patternType="solid">
        <fgColor rgb="FF35A4F7"/>
        <bgColor indexed="64"/>
      </patternFill>
    </fill>
    <fill>
      <patternFill patternType="solid">
        <fgColor rgb="FF3CABFB"/>
        <bgColor indexed="64"/>
      </patternFill>
    </fill>
    <fill>
      <patternFill patternType="solid">
        <fgColor rgb="FF38ACFC"/>
        <bgColor indexed="64"/>
      </patternFill>
    </fill>
    <fill>
      <patternFill patternType="solid">
        <fgColor rgb="FF38ACFA"/>
        <bgColor indexed="64"/>
      </patternFill>
    </fill>
    <fill>
      <patternFill patternType="solid">
        <fgColor rgb="FF3CAEFA"/>
        <bgColor indexed="64"/>
      </patternFill>
    </fill>
    <fill>
      <patternFill patternType="solid">
        <fgColor rgb="FF3BB0FE"/>
        <bgColor indexed="64"/>
      </patternFill>
    </fill>
    <fill>
      <patternFill patternType="solid">
        <fgColor rgb="FF34A5F3"/>
        <bgColor indexed="64"/>
      </patternFill>
    </fill>
    <fill>
      <patternFill patternType="solid">
        <fgColor rgb="FF39AAF5"/>
        <bgColor indexed="64"/>
      </patternFill>
    </fill>
    <fill>
      <patternFill patternType="solid">
        <fgColor rgb="FF42B7FF"/>
        <bgColor indexed="64"/>
      </patternFill>
    </fill>
    <fill>
      <patternFill patternType="solid">
        <fgColor rgb="FF2886D5"/>
        <bgColor indexed="64"/>
      </patternFill>
    </fill>
    <fill>
      <patternFill patternType="solid">
        <fgColor rgb="FF3D736D"/>
        <bgColor indexed="64"/>
      </patternFill>
    </fill>
    <fill>
      <patternFill patternType="solid">
        <fgColor rgb="FF92C376"/>
        <bgColor indexed="64"/>
      </patternFill>
    </fill>
    <fill>
      <patternFill patternType="solid">
        <fgColor rgb="FF588968"/>
        <bgColor indexed="64"/>
      </patternFill>
    </fill>
    <fill>
      <patternFill patternType="solid">
        <fgColor rgb="FF17495B"/>
        <bgColor indexed="64"/>
      </patternFill>
    </fill>
    <fill>
      <patternFill patternType="solid">
        <fgColor rgb="FF598C7A"/>
        <bgColor indexed="64"/>
      </patternFill>
    </fill>
    <fill>
      <patternFill patternType="solid">
        <fgColor rgb="FF54815E"/>
        <bgColor indexed="64"/>
      </patternFill>
    </fill>
    <fill>
      <patternFill patternType="solid">
        <fgColor rgb="FF3988AC"/>
        <bgColor indexed="64"/>
      </patternFill>
    </fill>
    <fill>
      <patternFill patternType="solid">
        <fgColor rgb="FF3DADFC"/>
        <bgColor indexed="64"/>
      </patternFill>
    </fill>
    <fill>
      <patternFill patternType="solid">
        <fgColor rgb="FF32ABF9"/>
        <bgColor indexed="64"/>
      </patternFill>
    </fill>
    <fill>
      <patternFill patternType="solid">
        <fgColor rgb="FF39B2FF"/>
        <bgColor indexed="64"/>
      </patternFill>
    </fill>
    <fill>
      <patternFill patternType="solid">
        <fgColor rgb="FF39B5FF"/>
        <bgColor indexed="64"/>
      </patternFill>
    </fill>
    <fill>
      <patternFill patternType="solid">
        <fgColor rgb="FF32AAFA"/>
        <bgColor indexed="64"/>
      </patternFill>
    </fill>
    <fill>
      <patternFill patternType="solid">
        <fgColor rgb="FF31A7FF"/>
        <bgColor indexed="64"/>
      </patternFill>
    </fill>
    <fill>
      <patternFill patternType="solid">
        <fgColor rgb="FF258CDD"/>
        <bgColor indexed="64"/>
      </patternFill>
    </fill>
    <fill>
      <patternFill patternType="solid">
        <fgColor rgb="FF467673"/>
        <bgColor indexed="64"/>
      </patternFill>
    </fill>
    <fill>
      <patternFill patternType="solid">
        <fgColor rgb="FF31A0E5"/>
        <bgColor indexed="64"/>
      </patternFill>
    </fill>
    <fill>
      <patternFill patternType="solid">
        <fgColor rgb="FF2FA7FC"/>
        <bgColor indexed="64"/>
      </patternFill>
    </fill>
    <fill>
      <patternFill patternType="solid">
        <fgColor rgb="FF2CA4FA"/>
        <bgColor indexed="64"/>
      </patternFill>
    </fill>
    <fill>
      <patternFill patternType="solid">
        <fgColor rgb="FF36A7F8"/>
        <bgColor indexed="64"/>
      </patternFill>
    </fill>
    <fill>
      <patternFill patternType="solid">
        <fgColor rgb="FF35A9F8"/>
        <bgColor indexed="64"/>
      </patternFill>
    </fill>
    <fill>
      <patternFill patternType="solid">
        <fgColor rgb="FF3AAEFD"/>
        <bgColor indexed="64"/>
      </patternFill>
    </fill>
    <fill>
      <patternFill patternType="solid">
        <fgColor rgb="FF3AAEFB"/>
        <bgColor indexed="64"/>
      </patternFill>
    </fill>
    <fill>
      <patternFill patternType="solid">
        <fgColor rgb="FF3CB0FC"/>
        <bgColor indexed="64"/>
      </patternFill>
    </fill>
    <fill>
      <patternFill patternType="solid">
        <fgColor rgb="FF3DB0FC"/>
        <bgColor indexed="64"/>
      </patternFill>
    </fill>
    <fill>
      <patternFill patternType="solid">
        <fgColor rgb="FF3AADFD"/>
        <bgColor indexed="64"/>
      </patternFill>
    </fill>
    <fill>
      <patternFill patternType="solid">
        <fgColor rgb="FF2C89DC"/>
        <bgColor indexed="64"/>
      </patternFill>
    </fill>
    <fill>
      <patternFill patternType="solid">
        <fgColor rgb="FF21548D"/>
        <bgColor indexed="64"/>
      </patternFill>
    </fill>
    <fill>
      <patternFill patternType="solid">
        <fgColor rgb="FF225782"/>
        <bgColor indexed="64"/>
      </patternFill>
    </fill>
    <fill>
      <patternFill patternType="solid">
        <fgColor rgb="FF3F817F"/>
        <bgColor indexed="64"/>
      </patternFill>
    </fill>
    <fill>
      <patternFill patternType="solid">
        <fgColor rgb="FF3FA7EA"/>
        <bgColor indexed="64"/>
      </patternFill>
    </fill>
    <fill>
      <patternFill patternType="solid">
        <fgColor rgb="FF38AEFF"/>
        <bgColor indexed="64"/>
      </patternFill>
    </fill>
    <fill>
      <patternFill patternType="solid">
        <fgColor rgb="FF35A8FA"/>
        <bgColor indexed="64"/>
      </patternFill>
    </fill>
    <fill>
      <patternFill patternType="solid">
        <fgColor rgb="FF38AFFF"/>
        <bgColor indexed="64"/>
      </patternFill>
    </fill>
    <fill>
      <patternFill patternType="solid">
        <fgColor rgb="FF2992E4"/>
        <bgColor indexed="64"/>
      </patternFill>
    </fill>
    <fill>
      <patternFill patternType="solid">
        <fgColor rgb="FF227FC7"/>
        <bgColor indexed="64"/>
      </patternFill>
    </fill>
    <fill>
      <patternFill patternType="solid">
        <fgColor rgb="FF39A9F5"/>
        <bgColor indexed="64"/>
      </patternFill>
    </fill>
    <fill>
      <patternFill patternType="solid">
        <fgColor rgb="FF2FA5F9"/>
        <bgColor indexed="64"/>
      </patternFill>
    </fill>
    <fill>
      <patternFill patternType="solid">
        <fgColor rgb="FF2DA5FA"/>
        <bgColor indexed="64"/>
      </patternFill>
    </fill>
    <fill>
      <patternFill patternType="solid">
        <fgColor rgb="FF2885C6"/>
        <bgColor indexed="64"/>
      </patternFill>
    </fill>
    <fill>
      <patternFill patternType="solid">
        <fgColor rgb="FF4A8886"/>
        <bgColor indexed="64"/>
      </patternFill>
    </fill>
    <fill>
      <patternFill patternType="solid">
        <fgColor rgb="FF2EA4F1"/>
        <bgColor indexed="64"/>
      </patternFill>
    </fill>
    <fill>
      <patternFill patternType="solid">
        <fgColor rgb="FF2EA7FA"/>
        <bgColor indexed="64"/>
      </patternFill>
    </fill>
    <fill>
      <patternFill patternType="solid">
        <fgColor rgb="FF36A8F8"/>
        <bgColor indexed="64"/>
      </patternFill>
    </fill>
    <fill>
      <patternFill patternType="solid">
        <fgColor rgb="FF38ABFA"/>
        <bgColor indexed="64"/>
      </patternFill>
    </fill>
    <fill>
      <patternFill patternType="solid">
        <fgColor rgb="FF39ACF8"/>
        <bgColor indexed="64"/>
      </patternFill>
    </fill>
    <fill>
      <patternFill patternType="solid">
        <fgColor rgb="FF38AEFC"/>
        <bgColor indexed="64"/>
      </patternFill>
    </fill>
    <fill>
      <patternFill patternType="solid">
        <fgColor rgb="FF37ACFA"/>
        <bgColor indexed="64"/>
      </patternFill>
    </fill>
    <fill>
      <patternFill patternType="solid">
        <fgColor rgb="FF3FB2FF"/>
        <bgColor indexed="64"/>
      </patternFill>
    </fill>
    <fill>
      <patternFill patternType="solid">
        <fgColor rgb="FF1E6DBD"/>
        <bgColor indexed="64"/>
      </patternFill>
    </fill>
    <fill>
      <patternFill patternType="solid">
        <fgColor rgb="FF466F6A"/>
        <bgColor indexed="64"/>
      </patternFill>
    </fill>
    <fill>
      <patternFill patternType="solid">
        <fgColor rgb="FF6B9868"/>
        <bgColor indexed="64"/>
      </patternFill>
    </fill>
    <fill>
      <patternFill patternType="solid">
        <fgColor rgb="FF5D8253"/>
        <bgColor indexed="64"/>
      </patternFill>
    </fill>
    <fill>
      <patternFill patternType="solid">
        <fgColor rgb="FF72A15A"/>
        <bgColor indexed="64"/>
      </patternFill>
    </fill>
    <fill>
      <patternFill patternType="solid">
        <fgColor rgb="FF82B865"/>
        <bgColor indexed="64"/>
      </patternFill>
    </fill>
    <fill>
      <patternFill patternType="solid">
        <fgColor rgb="FF83B565"/>
        <bgColor indexed="64"/>
      </patternFill>
    </fill>
    <fill>
      <patternFill patternType="solid">
        <fgColor rgb="FF82B16A"/>
        <bgColor indexed="64"/>
      </patternFill>
    </fill>
    <fill>
      <patternFill patternType="solid">
        <fgColor rgb="FF20567D"/>
        <bgColor indexed="64"/>
      </patternFill>
    </fill>
    <fill>
      <patternFill patternType="solid">
        <fgColor rgb="FF2D7FBE"/>
        <bgColor indexed="64"/>
      </patternFill>
    </fill>
    <fill>
      <patternFill patternType="solid">
        <fgColor rgb="FF389DE4"/>
        <bgColor indexed="64"/>
      </patternFill>
    </fill>
    <fill>
      <patternFill patternType="solid">
        <fgColor rgb="FF3BADFD"/>
        <bgColor indexed="64"/>
      </patternFill>
    </fill>
    <fill>
      <patternFill patternType="solid">
        <fgColor rgb="FF288ADE"/>
        <bgColor indexed="64"/>
      </patternFill>
    </fill>
    <fill>
      <patternFill patternType="solid">
        <fgColor rgb="FF375A82"/>
        <bgColor indexed="64"/>
      </patternFill>
    </fill>
    <fill>
      <patternFill patternType="solid">
        <fgColor rgb="FF6B7E8A"/>
        <bgColor indexed="64"/>
      </patternFill>
    </fill>
    <fill>
      <patternFill patternType="solid">
        <fgColor rgb="FF3C94D0"/>
        <bgColor indexed="64"/>
      </patternFill>
    </fill>
    <fill>
      <patternFill patternType="solid">
        <fgColor rgb="FF33A9FE"/>
        <bgColor indexed="64"/>
      </patternFill>
    </fill>
    <fill>
      <patternFill patternType="solid">
        <fgColor rgb="FF32A4F9"/>
        <bgColor indexed="64"/>
      </patternFill>
    </fill>
    <fill>
      <patternFill patternType="solid">
        <fgColor rgb="FF32A4F8"/>
        <bgColor indexed="64"/>
      </patternFill>
    </fill>
    <fill>
      <patternFill patternType="solid">
        <fgColor rgb="FF2FA3F9"/>
        <bgColor indexed="64"/>
      </patternFill>
    </fill>
    <fill>
      <patternFill patternType="solid">
        <fgColor rgb="FF2E9FFD"/>
        <bgColor indexed="64"/>
      </patternFill>
    </fill>
    <fill>
      <patternFill patternType="solid">
        <fgColor rgb="FF2F7597"/>
        <bgColor indexed="64"/>
      </patternFill>
    </fill>
    <fill>
      <patternFill patternType="solid">
        <fgColor rgb="FF3C858C"/>
        <bgColor indexed="64"/>
      </patternFill>
    </fill>
    <fill>
      <patternFill patternType="solid">
        <fgColor rgb="FF32A7FD"/>
        <bgColor indexed="64"/>
      </patternFill>
    </fill>
    <fill>
      <patternFill patternType="solid">
        <fgColor rgb="FF2CA6FA"/>
        <bgColor indexed="64"/>
      </patternFill>
    </fill>
    <fill>
      <patternFill patternType="solid">
        <fgColor rgb="FF2AA6FA"/>
        <bgColor indexed="64"/>
      </patternFill>
    </fill>
    <fill>
      <patternFill patternType="solid">
        <fgColor rgb="FF34A7F7"/>
        <bgColor indexed="64"/>
      </patternFill>
    </fill>
    <fill>
      <patternFill patternType="solid">
        <fgColor rgb="FF3BADFC"/>
        <bgColor indexed="64"/>
      </patternFill>
    </fill>
    <fill>
      <patternFill patternType="solid">
        <fgColor rgb="FF3DAEFC"/>
        <bgColor indexed="64"/>
      </patternFill>
    </fill>
    <fill>
      <patternFill patternType="solid">
        <fgColor rgb="FF37ACF8"/>
        <bgColor indexed="64"/>
      </patternFill>
    </fill>
    <fill>
      <patternFill patternType="solid">
        <fgColor rgb="FF36ABF9"/>
        <bgColor indexed="64"/>
      </patternFill>
    </fill>
    <fill>
      <patternFill patternType="solid">
        <fgColor rgb="FF3CB1FF"/>
        <bgColor indexed="64"/>
      </patternFill>
    </fill>
    <fill>
      <patternFill patternType="solid">
        <fgColor rgb="FF2984DD"/>
        <bgColor indexed="64"/>
      </patternFill>
    </fill>
    <fill>
      <patternFill patternType="solid">
        <fgColor rgb="FF154154"/>
        <bgColor indexed="64"/>
      </patternFill>
    </fill>
    <fill>
      <patternFill patternType="solid">
        <fgColor rgb="FF729E58"/>
        <bgColor indexed="64"/>
      </patternFill>
    </fill>
    <fill>
      <patternFill patternType="solid">
        <fgColor rgb="FF83B66B"/>
        <bgColor indexed="64"/>
      </patternFill>
    </fill>
    <fill>
      <patternFill patternType="solid">
        <fgColor rgb="FF7CB166"/>
        <bgColor indexed="64"/>
      </patternFill>
    </fill>
    <fill>
      <patternFill patternType="solid">
        <fgColor rgb="FF7CB162"/>
        <bgColor indexed="64"/>
      </patternFill>
    </fill>
    <fill>
      <patternFill patternType="solid">
        <fgColor rgb="FF7CAC66"/>
        <bgColor indexed="64"/>
      </patternFill>
    </fill>
    <fill>
      <patternFill patternType="solid">
        <fgColor rgb="FF365C39"/>
        <bgColor indexed="64"/>
      </patternFill>
    </fill>
    <fill>
      <patternFill patternType="solid">
        <fgColor rgb="FF60875E"/>
        <bgColor indexed="64"/>
      </patternFill>
    </fill>
    <fill>
      <patternFill patternType="solid">
        <fgColor rgb="FF456B51"/>
        <bgColor indexed="64"/>
      </patternFill>
    </fill>
    <fill>
      <patternFill patternType="solid">
        <fgColor rgb="FF216479"/>
        <bgColor indexed="64"/>
      </patternFill>
    </fill>
    <fill>
      <patternFill patternType="solid">
        <fgColor rgb="FF44ADFA"/>
        <bgColor indexed="64"/>
      </patternFill>
    </fill>
    <fill>
      <patternFill patternType="solid">
        <fgColor rgb="FF124885"/>
        <bgColor indexed="64"/>
      </patternFill>
    </fill>
    <fill>
      <patternFill patternType="solid">
        <fgColor rgb="FFA68362"/>
        <bgColor indexed="64"/>
      </patternFill>
    </fill>
    <fill>
      <patternFill patternType="solid">
        <fgColor rgb="FFA39077"/>
        <bgColor indexed="64"/>
      </patternFill>
    </fill>
    <fill>
      <patternFill patternType="solid">
        <fgColor rgb="FF3E90C7"/>
        <bgColor indexed="64"/>
      </patternFill>
    </fill>
    <fill>
      <patternFill patternType="solid">
        <fgColor rgb="FF35ABFE"/>
        <bgColor indexed="64"/>
      </patternFill>
    </fill>
    <fill>
      <patternFill patternType="solid">
        <fgColor rgb="FF30A5F6"/>
        <bgColor indexed="64"/>
      </patternFill>
    </fill>
    <fill>
      <patternFill patternType="solid">
        <fgColor rgb="FF2D94F1"/>
        <bgColor indexed="64"/>
      </patternFill>
    </fill>
    <fill>
      <patternFill patternType="solid">
        <fgColor rgb="FF2A4F6A"/>
        <bgColor indexed="64"/>
      </patternFill>
    </fill>
    <fill>
      <patternFill patternType="solid">
        <fgColor rgb="FF3390C0"/>
        <bgColor indexed="64"/>
      </patternFill>
    </fill>
    <fill>
      <patternFill patternType="solid">
        <fgColor rgb="FF2EA6FC"/>
        <bgColor indexed="64"/>
      </patternFill>
    </fill>
    <fill>
      <patternFill patternType="solid">
        <fgColor rgb="FF2BA4F8"/>
        <bgColor indexed="64"/>
      </patternFill>
    </fill>
    <fill>
      <patternFill patternType="solid">
        <fgColor rgb="FF2AA3F9"/>
        <bgColor indexed="64"/>
      </patternFill>
    </fill>
    <fill>
      <patternFill patternType="solid">
        <fgColor rgb="FF34A4F6"/>
        <bgColor indexed="64"/>
      </patternFill>
    </fill>
    <fill>
      <patternFill patternType="solid">
        <fgColor rgb="FF3AAEFC"/>
        <bgColor indexed="64"/>
      </patternFill>
    </fill>
    <fill>
      <patternFill patternType="solid">
        <fgColor rgb="FF38ACFB"/>
        <bgColor indexed="64"/>
      </patternFill>
    </fill>
    <fill>
      <patternFill patternType="solid">
        <fgColor rgb="FF39ADFC"/>
        <bgColor indexed="64"/>
      </patternFill>
    </fill>
    <fill>
      <patternFill patternType="solid">
        <fgColor rgb="FF38ADF9"/>
        <bgColor indexed="64"/>
      </patternFill>
    </fill>
    <fill>
      <patternFill patternType="solid">
        <fgColor rgb="FF3AAFFA"/>
        <bgColor indexed="64"/>
      </patternFill>
    </fill>
    <fill>
      <patternFill patternType="solid">
        <fgColor rgb="FF3499E8"/>
        <bgColor indexed="64"/>
      </patternFill>
    </fill>
    <fill>
      <patternFill patternType="solid">
        <fgColor rgb="FF29668A"/>
        <bgColor indexed="64"/>
      </patternFill>
    </fill>
    <fill>
      <patternFill patternType="solid">
        <fgColor rgb="FF50755D"/>
        <bgColor indexed="64"/>
      </patternFill>
    </fill>
    <fill>
      <patternFill patternType="solid">
        <fgColor rgb="FF669051"/>
        <bgColor indexed="64"/>
      </patternFill>
    </fill>
    <fill>
      <patternFill patternType="solid">
        <fgColor rgb="FF7CB261"/>
        <bgColor indexed="64"/>
      </patternFill>
    </fill>
    <fill>
      <patternFill patternType="solid">
        <fgColor rgb="FF7BAF62"/>
        <bgColor indexed="64"/>
      </patternFill>
    </fill>
    <fill>
      <patternFill patternType="solid">
        <fgColor rgb="FF79AE61"/>
        <bgColor indexed="64"/>
      </patternFill>
    </fill>
    <fill>
      <patternFill patternType="solid">
        <fgColor rgb="FF78AB60"/>
        <bgColor indexed="64"/>
      </patternFill>
    </fill>
    <fill>
      <patternFill patternType="solid">
        <fgColor rgb="FF74A85B"/>
        <bgColor indexed="64"/>
      </patternFill>
    </fill>
    <fill>
      <patternFill patternType="solid">
        <fgColor rgb="FF79AB62"/>
        <bgColor indexed="64"/>
      </patternFill>
    </fill>
    <fill>
      <patternFill patternType="solid">
        <fgColor rgb="FF36624E"/>
        <bgColor indexed="64"/>
      </patternFill>
    </fill>
    <fill>
      <patternFill patternType="solid">
        <fgColor rgb="FF3485B1"/>
        <bgColor indexed="64"/>
      </patternFill>
    </fill>
    <fill>
      <patternFill patternType="solid">
        <fgColor rgb="FF308CE0"/>
        <bgColor indexed="64"/>
      </patternFill>
    </fill>
    <fill>
      <patternFill patternType="solid">
        <fgColor rgb="FF4F505D"/>
        <bgColor indexed="64"/>
      </patternFill>
    </fill>
    <fill>
      <patternFill patternType="solid">
        <fgColor rgb="FFE9A166"/>
        <bgColor indexed="64"/>
      </patternFill>
    </fill>
    <fill>
      <patternFill patternType="solid">
        <fgColor rgb="FF6E6A66"/>
        <bgColor indexed="64"/>
      </patternFill>
    </fill>
    <fill>
      <patternFill patternType="solid">
        <fgColor rgb="FF3D94D9"/>
        <bgColor indexed="64"/>
      </patternFill>
    </fill>
    <fill>
      <patternFill patternType="solid">
        <fgColor rgb="FF33A0F6"/>
        <bgColor indexed="64"/>
      </patternFill>
    </fill>
    <fill>
      <patternFill patternType="solid">
        <fgColor rgb="FF2799F6"/>
        <bgColor indexed="64"/>
      </patternFill>
    </fill>
    <fill>
      <patternFill patternType="solid">
        <fgColor rgb="FF2287DE"/>
        <bgColor indexed="64"/>
      </patternFill>
    </fill>
    <fill>
      <patternFill patternType="solid">
        <fgColor rgb="FF2F7298"/>
        <bgColor indexed="64"/>
      </patternFill>
    </fill>
    <fill>
      <patternFill patternType="solid">
        <fgColor rgb="FF808549"/>
        <bgColor indexed="64"/>
      </patternFill>
    </fill>
    <fill>
      <patternFill patternType="solid">
        <fgColor rgb="FF38A6EF"/>
        <bgColor indexed="64"/>
      </patternFill>
    </fill>
    <fill>
      <patternFill patternType="solid">
        <fgColor rgb="FF30AEFF"/>
        <bgColor indexed="64"/>
      </patternFill>
    </fill>
    <fill>
      <patternFill patternType="solid">
        <fgColor rgb="FF32AEFF"/>
        <bgColor indexed="64"/>
      </patternFill>
    </fill>
    <fill>
      <patternFill patternType="solid">
        <fgColor rgb="FF2CA9FF"/>
        <bgColor indexed="64"/>
      </patternFill>
    </fill>
    <fill>
      <patternFill patternType="solid">
        <fgColor rgb="FF3BAFFC"/>
        <bgColor indexed="64"/>
      </patternFill>
    </fill>
    <fill>
      <patternFill patternType="solid">
        <fgColor rgb="FF3DB4FF"/>
        <bgColor indexed="64"/>
      </patternFill>
    </fill>
    <fill>
      <patternFill patternType="solid">
        <fgColor rgb="FF39ACFC"/>
        <bgColor indexed="64"/>
      </patternFill>
    </fill>
    <fill>
      <patternFill patternType="solid">
        <fgColor rgb="FF39ACF9"/>
        <bgColor indexed="64"/>
      </patternFill>
    </fill>
    <fill>
      <patternFill patternType="solid">
        <fgColor rgb="FF3AACF9"/>
        <bgColor indexed="64"/>
      </patternFill>
    </fill>
    <fill>
      <patternFill patternType="solid">
        <fgColor rgb="FF3AACFD"/>
        <bgColor indexed="64"/>
      </patternFill>
    </fill>
    <fill>
      <patternFill patternType="solid">
        <fgColor rgb="FF2A82C6"/>
        <bgColor indexed="64"/>
      </patternFill>
    </fill>
    <fill>
      <patternFill patternType="solid">
        <fgColor rgb="FF578A6C"/>
        <bgColor indexed="64"/>
      </patternFill>
    </fill>
    <fill>
      <patternFill patternType="solid">
        <fgColor rgb="FF97C774"/>
        <bgColor indexed="64"/>
      </patternFill>
    </fill>
    <fill>
      <patternFill patternType="solid">
        <fgColor rgb="FF85B868"/>
        <bgColor indexed="64"/>
      </patternFill>
    </fill>
    <fill>
      <patternFill patternType="solid">
        <fgColor rgb="FF7CB063"/>
        <bgColor indexed="64"/>
      </patternFill>
    </fill>
    <fill>
      <patternFill patternType="solid">
        <fgColor rgb="FF7CAF61"/>
        <bgColor indexed="64"/>
      </patternFill>
    </fill>
    <fill>
      <patternFill patternType="solid">
        <fgColor rgb="FF79AC5D"/>
        <bgColor indexed="64"/>
      </patternFill>
    </fill>
    <fill>
      <patternFill patternType="solid">
        <fgColor rgb="FF78AC5F"/>
        <bgColor indexed="64"/>
      </patternFill>
    </fill>
    <fill>
      <patternFill patternType="solid">
        <fgColor rgb="FF6C9D5B"/>
        <bgColor indexed="64"/>
      </patternFill>
    </fill>
    <fill>
      <patternFill patternType="solid">
        <fgColor rgb="FF215461"/>
        <bgColor indexed="64"/>
      </patternFill>
    </fill>
    <fill>
      <patternFill patternType="solid">
        <fgColor rgb="FF338AC6"/>
        <bgColor indexed="64"/>
      </patternFill>
    </fill>
    <fill>
      <patternFill patternType="solid">
        <fgColor rgb="FF47B3FF"/>
        <bgColor indexed="64"/>
      </patternFill>
    </fill>
    <fill>
      <patternFill patternType="solid">
        <fgColor rgb="FF215C9B"/>
        <bgColor indexed="64"/>
      </patternFill>
    </fill>
    <fill>
      <patternFill patternType="solid">
        <fgColor rgb="FFB07E58"/>
        <bgColor indexed="64"/>
      </patternFill>
    </fill>
    <fill>
      <patternFill patternType="solid">
        <fgColor rgb="FFD0905E"/>
        <bgColor indexed="64"/>
      </patternFill>
    </fill>
    <fill>
      <patternFill patternType="solid">
        <fgColor rgb="FF466A87"/>
        <bgColor indexed="64"/>
      </patternFill>
    </fill>
    <fill>
      <patternFill patternType="solid">
        <fgColor rgb="FF3491E9"/>
        <bgColor indexed="64"/>
      </patternFill>
    </fill>
    <fill>
      <patternFill patternType="solid">
        <fgColor rgb="FF2784E1"/>
        <bgColor indexed="64"/>
      </patternFill>
    </fill>
    <fill>
      <patternFill patternType="solid">
        <fgColor rgb="FF2C6AA8"/>
        <bgColor indexed="64"/>
      </patternFill>
    </fill>
    <fill>
      <patternFill patternType="solid">
        <fgColor rgb="FF5C6274"/>
        <bgColor indexed="64"/>
      </patternFill>
    </fill>
    <fill>
      <patternFill patternType="solid">
        <fgColor rgb="FF966C65"/>
        <bgColor indexed="64"/>
      </patternFill>
    </fill>
    <fill>
      <patternFill patternType="solid">
        <fgColor rgb="FF85683C"/>
        <bgColor indexed="64"/>
      </patternFill>
    </fill>
    <fill>
      <patternFill patternType="solid">
        <fgColor rgb="FF9C9E3D"/>
        <bgColor indexed="64"/>
      </patternFill>
    </fill>
    <fill>
      <patternFill patternType="solid">
        <fgColor rgb="FF1E73BC"/>
        <bgColor indexed="64"/>
      </patternFill>
    </fill>
    <fill>
      <patternFill patternType="solid">
        <fgColor rgb="FF1567B3"/>
        <bgColor indexed="64"/>
      </patternFill>
    </fill>
    <fill>
      <patternFill patternType="solid">
        <fgColor rgb="FF186CB3"/>
        <bgColor indexed="64"/>
      </patternFill>
    </fill>
    <fill>
      <patternFill patternType="solid">
        <fgColor rgb="FF2D8AD4"/>
        <bgColor indexed="64"/>
      </patternFill>
    </fill>
    <fill>
      <patternFill patternType="solid">
        <fgColor rgb="FF4AA7EC"/>
        <bgColor indexed="64"/>
      </patternFill>
    </fill>
    <fill>
      <patternFill patternType="solid">
        <fgColor rgb="FF31A4F5"/>
        <bgColor indexed="64"/>
      </patternFill>
    </fill>
    <fill>
      <patternFill patternType="solid">
        <fgColor rgb="FF258DDC"/>
        <bgColor indexed="64"/>
      </patternFill>
    </fill>
    <fill>
      <patternFill patternType="solid">
        <fgColor rgb="FF3298E4"/>
        <bgColor indexed="64"/>
      </patternFill>
    </fill>
    <fill>
      <patternFill patternType="solid">
        <fgColor rgb="FF39AAF9"/>
        <bgColor indexed="64"/>
      </patternFill>
    </fill>
    <fill>
      <patternFill patternType="solid">
        <fgColor rgb="FF3AABFB"/>
        <bgColor indexed="64"/>
      </patternFill>
    </fill>
    <fill>
      <patternFill patternType="solid">
        <fgColor rgb="FF39AAFB"/>
        <bgColor indexed="64"/>
      </patternFill>
    </fill>
    <fill>
      <patternFill patternType="solid">
        <fgColor rgb="FF37A8F9"/>
        <bgColor indexed="64"/>
      </patternFill>
    </fill>
    <fill>
      <patternFill patternType="solid">
        <fgColor rgb="FF3BB1FF"/>
        <bgColor indexed="64"/>
      </patternFill>
    </fill>
    <fill>
      <patternFill patternType="solid">
        <fgColor rgb="FF3397F1"/>
        <bgColor indexed="64"/>
      </patternFill>
    </fill>
    <fill>
      <patternFill patternType="solid">
        <fgColor rgb="FF194C71"/>
        <bgColor indexed="64"/>
      </patternFill>
    </fill>
    <fill>
      <patternFill patternType="solid">
        <fgColor rgb="FF4D723E"/>
        <bgColor indexed="64"/>
      </patternFill>
    </fill>
    <fill>
      <patternFill patternType="solid">
        <fgColor rgb="FF7CAD5E"/>
        <bgColor indexed="64"/>
      </patternFill>
    </fill>
    <fill>
      <patternFill patternType="solid">
        <fgColor rgb="FF7CAF62"/>
        <bgColor indexed="64"/>
      </patternFill>
    </fill>
    <fill>
      <patternFill patternType="solid">
        <fgColor rgb="FF7BAE5F"/>
        <bgColor indexed="64"/>
      </patternFill>
    </fill>
    <fill>
      <patternFill patternType="solid">
        <fgColor rgb="FF7EB05F"/>
        <bgColor indexed="64"/>
      </patternFill>
    </fill>
    <fill>
      <patternFill patternType="solid">
        <fgColor rgb="FF77A762"/>
        <bgColor indexed="64"/>
      </patternFill>
    </fill>
    <fill>
      <patternFill patternType="solid">
        <fgColor rgb="FF3D6445"/>
        <bgColor indexed="64"/>
      </patternFill>
    </fill>
    <fill>
      <patternFill patternType="solid">
        <fgColor rgb="FF3D6563"/>
        <bgColor indexed="64"/>
      </patternFill>
    </fill>
    <fill>
      <patternFill patternType="solid">
        <fgColor rgb="FF3E7380"/>
        <bgColor indexed="64"/>
      </patternFill>
    </fill>
    <fill>
      <patternFill patternType="solid">
        <fgColor rgb="FF26679C"/>
        <bgColor indexed="64"/>
      </patternFill>
    </fill>
    <fill>
      <patternFill patternType="solid">
        <fgColor rgb="FF364054"/>
        <bgColor indexed="64"/>
      </patternFill>
    </fill>
    <fill>
      <patternFill patternType="solid">
        <fgColor rgb="FFE39A60"/>
        <bgColor indexed="64"/>
      </patternFill>
    </fill>
    <fill>
      <patternFill patternType="solid">
        <fgColor rgb="FF9B7667"/>
        <bgColor indexed="64"/>
      </patternFill>
    </fill>
    <fill>
      <patternFill patternType="solid">
        <fgColor rgb="FF2B598D"/>
        <bgColor indexed="64"/>
      </patternFill>
    </fill>
    <fill>
      <patternFill patternType="solid">
        <fgColor rgb="FF254E88"/>
        <bgColor indexed="64"/>
      </patternFill>
    </fill>
    <fill>
      <patternFill patternType="solid">
        <fgColor rgb="FF655459"/>
        <bgColor indexed="64"/>
      </patternFill>
    </fill>
    <fill>
      <patternFill patternType="solid">
        <fgColor rgb="FFBA7248"/>
        <bgColor indexed="64"/>
      </patternFill>
    </fill>
    <fill>
      <patternFill patternType="solid">
        <fgColor rgb="FFF79655"/>
        <bgColor indexed="64"/>
      </patternFill>
    </fill>
    <fill>
      <patternFill patternType="solid">
        <fgColor rgb="FFD37F4F"/>
        <bgColor indexed="64"/>
      </patternFill>
    </fill>
    <fill>
      <patternFill patternType="solid">
        <fgColor rgb="FF76451F"/>
        <bgColor indexed="64"/>
      </patternFill>
    </fill>
    <fill>
      <patternFill patternType="solid">
        <fgColor rgb="FF785925"/>
        <bgColor indexed="64"/>
      </patternFill>
    </fill>
    <fill>
      <patternFill patternType="solid">
        <fgColor rgb="FF8C6348"/>
        <bgColor indexed="64"/>
      </patternFill>
    </fill>
    <fill>
      <patternFill patternType="solid">
        <fgColor rgb="FF7A513D"/>
        <bgColor indexed="64"/>
      </patternFill>
    </fill>
    <fill>
      <patternFill patternType="solid">
        <fgColor rgb="FF5B403A"/>
        <bgColor indexed="64"/>
      </patternFill>
    </fill>
    <fill>
      <patternFill patternType="solid">
        <fgColor rgb="FF2F2E30"/>
        <bgColor indexed="64"/>
      </patternFill>
    </fill>
    <fill>
      <patternFill patternType="solid">
        <fgColor rgb="FF314852"/>
        <bgColor indexed="64"/>
      </patternFill>
    </fill>
    <fill>
      <patternFill patternType="solid">
        <fgColor rgb="FF43AAF4"/>
        <bgColor indexed="64"/>
      </patternFill>
    </fill>
    <fill>
      <patternFill patternType="solid">
        <fgColor rgb="FF3CABFC"/>
        <bgColor indexed="64"/>
      </patternFill>
    </fill>
    <fill>
      <patternFill patternType="solid">
        <fgColor rgb="FF3BABFB"/>
        <bgColor indexed="64"/>
      </patternFill>
    </fill>
    <fill>
      <patternFill patternType="solid">
        <fgColor rgb="FF3AA9FB"/>
        <bgColor indexed="64"/>
      </patternFill>
    </fill>
    <fill>
      <patternFill patternType="solid">
        <fgColor rgb="FF3AA7F8"/>
        <bgColor indexed="64"/>
      </patternFill>
    </fill>
    <fill>
      <patternFill patternType="solid">
        <fgColor rgb="FF297ACA"/>
        <bgColor indexed="64"/>
      </patternFill>
    </fill>
    <fill>
      <patternFill patternType="solid">
        <fgColor rgb="FF1F609D"/>
        <bgColor indexed="64"/>
      </patternFill>
    </fill>
    <fill>
      <patternFill patternType="solid">
        <fgColor rgb="FF366376"/>
        <bgColor indexed="64"/>
      </patternFill>
    </fill>
    <fill>
      <patternFill patternType="solid">
        <fgColor rgb="FF577B4E"/>
        <bgColor indexed="64"/>
      </patternFill>
    </fill>
    <fill>
      <patternFill patternType="solid">
        <fgColor rgb="FF78A95E"/>
        <bgColor indexed="64"/>
      </patternFill>
    </fill>
    <fill>
      <patternFill patternType="solid">
        <fgColor rgb="FF7BAF5E"/>
        <bgColor indexed="64"/>
      </patternFill>
    </fill>
    <fill>
      <patternFill patternType="solid">
        <fgColor rgb="FF7EB15E"/>
        <bgColor indexed="64"/>
      </patternFill>
    </fill>
    <fill>
      <patternFill patternType="solid">
        <fgColor rgb="FF7DB05E"/>
        <bgColor indexed="64"/>
      </patternFill>
    </fill>
    <fill>
      <patternFill patternType="solid">
        <fgColor rgb="FF7AB15C"/>
        <bgColor indexed="64"/>
      </patternFill>
    </fill>
    <fill>
      <patternFill patternType="solid">
        <fgColor rgb="FF81AE61"/>
        <bgColor indexed="64"/>
      </patternFill>
    </fill>
    <fill>
      <patternFill patternType="solid">
        <fgColor rgb="FF5C8770"/>
        <bgColor indexed="64"/>
      </patternFill>
    </fill>
    <fill>
      <patternFill patternType="solid">
        <fgColor rgb="FF244E7A"/>
        <bgColor indexed="64"/>
      </patternFill>
    </fill>
    <fill>
      <patternFill patternType="solid">
        <fgColor rgb="FF735341"/>
        <bgColor indexed="64"/>
      </patternFill>
    </fill>
    <fill>
      <patternFill patternType="solid">
        <fgColor rgb="FFF4AA6F"/>
        <bgColor indexed="64"/>
      </patternFill>
    </fill>
    <fill>
      <patternFill patternType="solid">
        <fgColor rgb="FF5C4D52"/>
        <bgColor indexed="64"/>
      </patternFill>
    </fill>
    <fill>
      <patternFill patternType="solid">
        <fgColor rgb="FF121522"/>
        <bgColor indexed="64"/>
      </patternFill>
    </fill>
    <fill>
      <patternFill patternType="solid">
        <fgColor rgb="FF9B6134"/>
        <bgColor indexed="64"/>
      </patternFill>
    </fill>
    <fill>
      <patternFill patternType="solid">
        <fgColor rgb="FFF89854"/>
        <bgColor indexed="64"/>
      </patternFill>
    </fill>
    <fill>
      <patternFill patternType="solid">
        <fgColor rgb="FFD4793D"/>
        <bgColor indexed="64"/>
      </patternFill>
    </fill>
    <fill>
      <patternFill patternType="solid">
        <fgColor rgb="FFBF7244"/>
        <bgColor indexed="64"/>
      </patternFill>
    </fill>
    <fill>
      <patternFill patternType="solid">
        <fgColor rgb="FF7C3B1A"/>
        <bgColor indexed="64"/>
      </patternFill>
    </fill>
    <fill>
      <patternFill patternType="solid">
        <fgColor rgb="FFC0753B"/>
        <bgColor indexed="64"/>
      </patternFill>
    </fill>
    <fill>
      <patternFill patternType="solid">
        <fgColor rgb="FFEF934E"/>
        <bgColor indexed="64"/>
      </patternFill>
    </fill>
    <fill>
      <patternFill patternType="solid">
        <fgColor rgb="FFCB7942"/>
        <bgColor indexed="64"/>
      </patternFill>
    </fill>
    <fill>
      <patternFill patternType="solid">
        <fgColor rgb="FFA35E3E"/>
        <bgColor indexed="64"/>
      </patternFill>
    </fill>
    <fill>
      <patternFill patternType="solid">
        <fgColor rgb="FF6E4531"/>
        <bgColor indexed="64"/>
      </patternFill>
    </fill>
    <fill>
      <patternFill patternType="solid">
        <fgColor rgb="FF2D3F45"/>
        <bgColor indexed="64"/>
      </patternFill>
    </fill>
    <fill>
      <patternFill patternType="solid">
        <fgColor rgb="FF3D7B9C"/>
        <bgColor indexed="64"/>
      </patternFill>
    </fill>
    <fill>
      <patternFill patternType="solid">
        <fgColor rgb="FF876093"/>
        <bgColor indexed="64"/>
      </patternFill>
    </fill>
    <fill>
      <patternFill patternType="solid">
        <fgColor rgb="FFBF82BE"/>
        <bgColor indexed="64"/>
      </patternFill>
    </fill>
    <fill>
      <patternFill patternType="solid">
        <fgColor rgb="FF8D6BAB"/>
        <bgColor indexed="64"/>
      </patternFill>
    </fill>
    <fill>
      <patternFill patternType="solid">
        <fgColor rgb="FF389BE6"/>
        <bgColor indexed="64"/>
      </patternFill>
    </fill>
    <fill>
      <patternFill patternType="solid">
        <fgColor rgb="FF3AA6F5"/>
        <bgColor indexed="64"/>
      </patternFill>
    </fill>
    <fill>
      <patternFill patternType="solid">
        <fgColor rgb="FF36A9F8"/>
        <bgColor indexed="64"/>
      </patternFill>
    </fill>
    <fill>
      <patternFill patternType="solid">
        <fgColor rgb="FF3DAEFE"/>
        <bgColor indexed="64"/>
      </patternFill>
    </fill>
    <fill>
      <patternFill patternType="solid">
        <fgColor rgb="FF2D88D8"/>
        <bgColor indexed="64"/>
      </patternFill>
    </fill>
    <fill>
      <patternFill patternType="solid">
        <fgColor rgb="FF47737F"/>
        <bgColor indexed="64"/>
      </patternFill>
    </fill>
    <fill>
      <patternFill patternType="solid">
        <fgColor rgb="FF769D6B"/>
        <bgColor indexed="64"/>
      </patternFill>
    </fill>
    <fill>
      <patternFill patternType="solid">
        <fgColor rgb="FF608A4E"/>
        <bgColor indexed="64"/>
      </patternFill>
    </fill>
    <fill>
      <patternFill patternType="solid">
        <fgColor rgb="FF82AF66"/>
        <bgColor indexed="64"/>
      </patternFill>
    </fill>
    <fill>
      <patternFill patternType="solid">
        <fgColor rgb="FF7FB064"/>
        <bgColor indexed="64"/>
      </patternFill>
    </fill>
    <fill>
      <patternFill patternType="solid">
        <fgColor rgb="FF7BB05E"/>
        <bgColor indexed="64"/>
      </patternFill>
    </fill>
    <fill>
      <patternFill patternType="solid">
        <fgColor rgb="FF7FB260"/>
        <bgColor indexed="64"/>
      </patternFill>
    </fill>
    <fill>
      <patternFill patternType="solid">
        <fgColor rgb="FF7CAE5A"/>
        <bgColor indexed="64"/>
      </patternFill>
    </fill>
    <fill>
      <patternFill patternType="solid">
        <fgColor rgb="FF7CAF55"/>
        <bgColor indexed="64"/>
      </patternFill>
    </fill>
    <fill>
      <patternFill patternType="solid">
        <fgColor rgb="FF81B361"/>
        <bgColor indexed="64"/>
      </patternFill>
    </fill>
    <fill>
      <patternFill patternType="solid">
        <fgColor rgb="FF325742"/>
        <bgColor indexed="64"/>
      </patternFill>
    </fill>
    <fill>
      <patternFill patternType="solid">
        <fgColor rgb="FF59A0D1"/>
        <bgColor indexed="64"/>
      </patternFill>
    </fill>
    <fill>
      <patternFill patternType="solid">
        <fgColor rgb="FF3566A5"/>
        <bgColor indexed="64"/>
      </patternFill>
    </fill>
    <fill>
      <patternFill patternType="solid">
        <fgColor rgb="FFBE845A"/>
        <bgColor indexed="64"/>
      </patternFill>
    </fill>
    <fill>
      <patternFill patternType="solid">
        <fgColor rgb="FFDB9769"/>
        <bgColor indexed="64"/>
      </patternFill>
    </fill>
    <fill>
      <patternFill patternType="solid">
        <fgColor rgb="FF402521"/>
        <bgColor indexed="64"/>
      </patternFill>
    </fill>
    <fill>
      <patternFill patternType="solid">
        <fgColor rgb="FF985D31"/>
        <bgColor indexed="64"/>
      </patternFill>
    </fill>
    <fill>
      <patternFill patternType="solid">
        <fgColor rgb="FFCA7F50"/>
        <bgColor indexed="64"/>
      </patternFill>
    </fill>
    <fill>
      <patternFill patternType="solid">
        <fgColor rgb="FF754E37"/>
        <bgColor indexed="64"/>
      </patternFill>
    </fill>
    <fill>
      <patternFill patternType="solid">
        <fgColor rgb="FF54626C"/>
        <bgColor indexed="64"/>
      </patternFill>
    </fill>
    <fill>
      <patternFill patternType="solid">
        <fgColor rgb="FF4597D7"/>
        <bgColor indexed="64"/>
      </patternFill>
    </fill>
    <fill>
      <patternFill patternType="solid">
        <fgColor rgb="FF3BA1F3"/>
        <bgColor indexed="64"/>
      </patternFill>
    </fill>
    <fill>
      <patternFill patternType="solid">
        <fgColor rgb="FFB57FBD"/>
        <bgColor indexed="64"/>
      </patternFill>
    </fill>
    <fill>
      <patternFill patternType="solid">
        <fgColor rgb="FF654C8A"/>
        <bgColor indexed="64"/>
      </patternFill>
    </fill>
    <fill>
      <patternFill patternType="solid">
        <fgColor rgb="FF252650"/>
        <bgColor indexed="64"/>
      </patternFill>
    </fill>
    <fill>
      <patternFill patternType="solid">
        <fgColor rgb="FF39487F"/>
        <bgColor indexed="64"/>
      </patternFill>
    </fill>
    <fill>
      <patternFill patternType="solid">
        <fgColor rgb="FF3F76AB"/>
        <bgColor indexed="64"/>
      </patternFill>
    </fill>
    <fill>
      <patternFill patternType="solid">
        <fgColor rgb="FF49B0FB"/>
        <bgColor indexed="64"/>
      </patternFill>
    </fill>
    <fill>
      <patternFill patternType="solid">
        <fgColor rgb="FF39A8F8"/>
        <bgColor indexed="64"/>
      </patternFill>
    </fill>
    <fill>
      <patternFill patternType="solid">
        <fgColor rgb="FF3FAEFE"/>
        <bgColor indexed="64"/>
      </patternFill>
    </fill>
    <fill>
      <patternFill patternType="solid">
        <fgColor rgb="FF3597EF"/>
        <bgColor indexed="64"/>
      </patternFill>
    </fill>
    <fill>
      <patternFill patternType="solid">
        <fgColor rgb="FF1B4974"/>
        <bgColor indexed="64"/>
      </patternFill>
    </fill>
    <fill>
      <patternFill patternType="solid">
        <fgColor rgb="FF3F4A36"/>
        <bgColor indexed="64"/>
      </patternFill>
    </fill>
    <fill>
      <patternFill patternType="solid">
        <fgColor rgb="FF6E8C53"/>
        <bgColor indexed="64"/>
      </patternFill>
    </fill>
    <fill>
      <patternFill patternType="solid">
        <fgColor rgb="FF83B468"/>
        <bgColor indexed="64"/>
      </patternFill>
    </fill>
    <fill>
      <patternFill patternType="solid">
        <fgColor rgb="FF7CAD5D"/>
        <bgColor indexed="64"/>
      </patternFill>
    </fill>
    <fill>
      <patternFill patternType="solid">
        <fgColor rgb="FF79AD5B"/>
        <bgColor indexed="64"/>
      </patternFill>
    </fill>
    <fill>
      <patternFill patternType="solid">
        <fgColor rgb="FF7AAD5A"/>
        <bgColor indexed="64"/>
      </patternFill>
    </fill>
    <fill>
      <patternFill patternType="solid">
        <fgColor rgb="FF7DAF58"/>
        <bgColor indexed="64"/>
      </patternFill>
    </fill>
    <fill>
      <patternFill patternType="solid">
        <fgColor rgb="FF7DAF59"/>
        <bgColor indexed="64"/>
      </patternFill>
    </fill>
    <fill>
      <patternFill patternType="solid">
        <fgColor rgb="FF80B25C"/>
        <bgColor indexed="64"/>
      </patternFill>
    </fill>
    <fill>
      <patternFill patternType="solid">
        <fgColor rgb="FF314A39"/>
        <bgColor indexed="64"/>
      </patternFill>
    </fill>
    <fill>
      <patternFill patternType="solid">
        <fgColor rgb="FF2D577B"/>
        <bgColor indexed="64"/>
      </patternFill>
    </fill>
    <fill>
      <patternFill patternType="solid">
        <fgColor rgb="FF6A7084"/>
        <bgColor indexed="64"/>
      </patternFill>
    </fill>
    <fill>
      <patternFill patternType="solid">
        <fgColor rgb="FFF29D63"/>
        <bgColor indexed="64"/>
      </patternFill>
    </fill>
    <fill>
      <patternFill patternType="solid">
        <fgColor rgb="FFD07B4E"/>
        <bgColor indexed="64"/>
      </patternFill>
    </fill>
    <fill>
      <patternFill patternType="solid">
        <fgColor rgb="FFAC5D2C"/>
        <bgColor indexed="64"/>
      </patternFill>
    </fill>
    <fill>
      <patternFill patternType="solid">
        <fgColor rgb="FFFFA958"/>
        <bgColor indexed="64"/>
      </patternFill>
    </fill>
    <fill>
      <patternFill patternType="solid">
        <fgColor rgb="FFC16B38"/>
        <bgColor indexed="64"/>
      </patternFill>
    </fill>
    <fill>
      <patternFill patternType="solid">
        <fgColor rgb="FFCE7335"/>
        <bgColor indexed="64"/>
      </patternFill>
    </fill>
    <fill>
      <patternFill patternType="solid">
        <fgColor rgb="FFFFA257"/>
        <bgColor indexed="64"/>
      </patternFill>
    </fill>
    <fill>
      <patternFill patternType="solid">
        <fgColor rgb="FFFC9B53"/>
        <bgColor indexed="64"/>
      </patternFill>
    </fill>
    <fill>
      <patternFill patternType="solid">
        <fgColor rgb="FFF8994D"/>
        <bgColor indexed="64"/>
      </patternFill>
    </fill>
    <fill>
      <patternFill patternType="solid">
        <fgColor rgb="FFFFA556"/>
        <bgColor indexed="64"/>
      </patternFill>
    </fill>
    <fill>
      <patternFill patternType="solid">
        <fgColor rgb="FFDB8954"/>
        <bgColor indexed="64"/>
      </patternFill>
    </fill>
    <fill>
      <patternFill patternType="solid">
        <fgColor rgb="FF51271A"/>
        <bgColor indexed="64"/>
      </patternFill>
    </fill>
    <fill>
      <patternFill patternType="solid">
        <fgColor rgb="FF30211F"/>
        <bgColor indexed="64"/>
      </patternFill>
    </fill>
    <fill>
      <patternFill patternType="solid">
        <fgColor rgb="FF44414E"/>
        <bgColor indexed="64"/>
      </patternFill>
    </fill>
    <fill>
      <patternFill patternType="solid">
        <fgColor rgb="FF393D51"/>
        <bgColor indexed="64"/>
      </patternFill>
    </fill>
    <fill>
      <patternFill patternType="solid">
        <fgColor rgb="FF4D4856"/>
        <bgColor indexed="64"/>
      </patternFill>
    </fill>
    <fill>
      <patternFill patternType="solid">
        <fgColor rgb="FFA573B7"/>
        <bgColor indexed="64"/>
      </patternFill>
    </fill>
    <fill>
      <patternFill patternType="solid">
        <fgColor rgb="FF6C4B88"/>
        <bgColor indexed="64"/>
      </patternFill>
    </fill>
    <fill>
      <patternFill patternType="solid">
        <fgColor rgb="FF8A6399"/>
        <bgColor indexed="64"/>
      </patternFill>
    </fill>
    <fill>
      <patternFill patternType="solid">
        <fgColor rgb="FF665D96"/>
        <bgColor indexed="64"/>
      </patternFill>
    </fill>
    <fill>
      <patternFill patternType="solid">
        <fgColor rgb="FF4F90CC"/>
        <bgColor indexed="64"/>
      </patternFill>
    </fill>
    <fill>
      <patternFill patternType="solid">
        <fgColor rgb="FF42ACFC"/>
        <bgColor indexed="64"/>
      </patternFill>
    </fill>
    <fill>
      <patternFill patternType="solid">
        <fgColor rgb="FF3AA3F9"/>
        <bgColor indexed="64"/>
      </patternFill>
    </fill>
    <fill>
      <patternFill patternType="solid">
        <fgColor rgb="FF3D65B6"/>
        <bgColor indexed="64"/>
      </patternFill>
    </fill>
    <fill>
      <patternFill patternType="solid">
        <fgColor rgb="FF894276"/>
        <bgColor indexed="64"/>
      </patternFill>
    </fill>
    <fill>
      <patternFill patternType="solid">
        <fgColor rgb="FFB4466A"/>
        <bgColor indexed="64"/>
      </patternFill>
    </fill>
    <fill>
      <patternFill patternType="solid">
        <fgColor rgb="FF7C624D"/>
        <bgColor indexed="64"/>
      </patternFill>
    </fill>
    <fill>
      <patternFill patternType="solid">
        <fgColor rgb="FF88B662"/>
        <bgColor indexed="64"/>
      </patternFill>
    </fill>
    <fill>
      <patternFill patternType="solid">
        <fgColor rgb="FF82B762"/>
        <bgColor indexed="64"/>
      </patternFill>
    </fill>
    <fill>
      <patternFill patternType="solid">
        <fgColor rgb="FF7AAF5D"/>
        <bgColor indexed="64"/>
      </patternFill>
    </fill>
    <fill>
      <patternFill patternType="solid">
        <fgColor rgb="FF7BB15B"/>
        <bgColor indexed="64"/>
      </patternFill>
    </fill>
    <fill>
      <patternFill patternType="solid">
        <fgColor rgb="FF80B25D"/>
        <bgColor indexed="64"/>
      </patternFill>
    </fill>
    <fill>
      <patternFill patternType="solid">
        <fgColor rgb="FF7BAC5C"/>
        <bgColor indexed="64"/>
      </patternFill>
    </fill>
    <fill>
      <patternFill patternType="solid">
        <fgColor rgb="FF81B45C"/>
        <bgColor indexed="64"/>
      </patternFill>
    </fill>
    <fill>
      <patternFill patternType="solid">
        <fgColor rgb="FF726544"/>
        <bgColor indexed="64"/>
      </patternFill>
    </fill>
    <fill>
      <patternFill patternType="solid">
        <fgColor rgb="FF594238"/>
        <bgColor indexed="64"/>
      </patternFill>
    </fill>
    <fill>
      <patternFill patternType="solid">
        <fgColor rgb="FF8A5630"/>
        <bgColor indexed="64"/>
      </patternFill>
    </fill>
    <fill>
      <patternFill patternType="solid">
        <fgColor rgb="FFFFA55B"/>
        <bgColor indexed="64"/>
      </patternFill>
    </fill>
    <fill>
      <patternFill patternType="solid">
        <fgColor rgb="FFF89853"/>
        <bgColor indexed="64"/>
      </patternFill>
    </fill>
    <fill>
      <patternFill patternType="solid">
        <fgColor rgb="FFFC9C50"/>
        <bgColor indexed="64"/>
      </patternFill>
    </fill>
    <fill>
      <patternFill patternType="solid">
        <fgColor rgb="FFFDA052"/>
        <bgColor indexed="64"/>
      </patternFill>
    </fill>
    <fill>
      <patternFill patternType="solid">
        <fgColor rgb="FFAD5A2A"/>
        <bgColor indexed="64"/>
      </patternFill>
    </fill>
    <fill>
      <patternFill patternType="solid">
        <fgColor rgb="FFEF924B"/>
        <bgColor indexed="64"/>
      </patternFill>
    </fill>
    <fill>
      <patternFill patternType="solid">
        <fgColor rgb="FFFC9D50"/>
        <bgColor indexed="64"/>
      </patternFill>
    </fill>
    <fill>
      <patternFill patternType="solid">
        <fgColor rgb="FFF99D4E"/>
        <bgColor indexed="64"/>
      </patternFill>
    </fill>
    <fill>
      <patternFill patternType="solid">
        <fgColor rgb="FFFFAB5D"/>
        <bgColor indexed="64"/>
      </patternFill>
    </fill>
    <fill>
      <patternFill patternType="solid">
        <fgColor rgb="FFCF7A45"/>
        <bgColor indexed="64"/>
      </patternFill>
    </fill>
    <fill>
      <patternFill patternType="solid">
        <fgColor rgb="FFAF5B2E"/>
        <bgColor indexed="64"/>
      </patternFill>
    </fill>
    <fill>
      <patternFill patternType="solid">
        <fgColor rgb="FFC3743F"/>
        <bgColor indexed="64"/>
      </patternFill>
    </fill>
    <fill>
      <patternFill patternType="solid">
        <fgColor rgb="FFDD864D"/>
        <bgColor indexed="64"/>
      </patternFill>
    </fill>
    <fill>
      <patternFill patternType="solid">
        <fgColor rgb="FFDC8043"/>
        <bgColor indexed="64"/>
      </patternFill>
    </fill>
    <fill>
      <patternFill patternType="solid">
        <fgColor rgb="FFED8C45"/>
        <bgColor indexed="64"/>
      </patternFill>
    </fill>
    <fill>
      <patternFill patternType="solid">
        <fgColor rgb="FFF39952"/>
        <bgColor indexed="64"/>
      </patternFill>
    </fill>
    <fill>
      <patternFill patternType="solid">
        <fgColor rgb="FFB477B9"/>
        <bgColor indexed="64"/>
      </patternFill>
    </fill>
    <fill>
      <patternFill patternType="solid">
        <fgColor rgb="FFBE7EC0"/>
        <bgColor indexed="64"/>
      </patternFill>
    </fill>
    <fill>
      <patternFill patternType="solid">
        <fgColor rgb="FFBE80C8"/>
        <bgColor indexed="64"/>
      </patternFill>
    </fill>
    <fill>
      <patternFill patternType="solid">
        <fgColor rgb="FF475C96"/>
        <bgColor indexed="64"/>
      </patternFill>
    </fill>
    <fill>
      <patternFill patternType="solid">
        <fgColor rgb="FF4DACF2"/>
        <bgColor indexed="64"/>
      </patternFill>
    </fill>
    <fill>
      <patternFill patternType="solid">
        <fgColor rgb="FF3181D8"/>
        <bgColor indexed="64"/>
      </patternFill>
    </fill>
    <fill>
      <patternFill patternType="solid">
        <fgColor rgb="FF224586"/>
        <bgColor indexed="64"/>
      </patternFill>
    </fill>
    <fill>
      <patternFill patternType="solid">
        <fgColor rgb="FF57528A"/>
        <bgColor indexed="64"/>
      </patternFill>
    </fill>
    <fill>
      <patternFill patternType="solid">
        <fgColor rgb="FFC0507F"/>
        <bgColor indexed="64"/>
      </patternFill>
    </fill>
    <fill>
      <patternFill patternType="solid">
        <fgColor rgb="FFFF6D91"/>
        <bgColor indexed="64"/>
      </patternFill>
    </fill>
    <fill>
      <patternFill patternType="solid">
        <fgColor rgb="FFD45D7B"/>
        <bgColor indexed="64"/>
      </patternFill>
    </fill>
    <fill>
      <patternFill patternType="solid">
        <fgColor rgb="FF767451"/>
        <bgColor indexed="64"/>
      </patternFill>
    </fill>
    <fill>
      <patternFill patternType="solid">
        <fgColor rgb="FF7CA75A"/>
        <bgColor indexed="64"/>
      </patternFill>
    </fill>
    <fill>
      <patternFill patternType="solid">
        <fgColor rgb="FF759B51"/>
        <bgColor indexed="64"/>
      </patternFill>
    </fill>
    <fill>
      <patternFill patternType="solid">
        <fgColor rgb="FF7CAE61"/>
        <bgColor indexed="64"/>
      </patternFill>
    </fill>
    <fill>
      <patternFill patternType="solid">
        <fgColor rgb="FF82B55D"/>
        <bgColor indexed="64"/>
      </patternFill>
    </fill>
    <fill>
      <patternFill patternType="solid">
        <fgColor rgb="FF85B75F"/>
        <bgColor indexed="64"/>
      </patternFill>
    </fill>
    <fill>
      <patternFill patternType="solid">
        <fgColor rgb="FF79AA57"/>
        <bgColor indexed="64"/>
      </patternFill>
    </fill>
    <fill>
      <patternFill patternType="solid">
        <fgColor rgb="FF86B663"/>
        <bgColor indexed="64"/>
      </patternFill>
    </fill>
    <fill>
      <patternFill patternType="solid">
        <fgColor rgb="FFB4783F"/>
        <bgColor indexed="64"/>
      </patternFill>
    </fill>
    <fill>
      <patternFill patternType="solid">
        <fgColor rgb="FFC77A50"/>
        <bgColor indexed="64"/>
      </patternFill>
    </fill>
    <fill>
      <patternFill patternType="solid">
        <fgColor rgb="FFA85C2E"/>
        <bgColor indexed="64"/>
      </patternFill>
    </fill>
    <fill>
      <patternFill patternType="solid">
        <fgColor rgb="FFFFA559"/>
        <bgColor indexed="64"/>
      </patternFill>
    </fill>
    <fill>
      <patternFill patternType="solid">
        <fgColor rgb="FFFB9C50"/>
        <bgColor indexed="64"/>
      </patternFill>
    </fill>
    <fill>
      <patternFill patternType="solid">
        <fgColor rgb="FFFA9B4F"/>
        <bgColor indexed="64"/>
      </patternFill>
    </fill>
    <fill>
      <patternFill patternType="solid">
        <fgColor rgb="FFFB9A50"/>
        <bgColor indexed="64"/>
      </patternFill>
    </fill>
    <fill>
      <patternFill patternType="solid">
        <fgColor rgb="FFFF9F52"/>
        <bgColor indexed="64"/>
      </patternFill>
    </fill>
    <fill>
      <patternFill patternType="solid">
        <fgColor rgb="FFFE9D51"/>
        <bgColor indexed="64"/>
      </patternFill>
    </fill>
    <fill>
      <patternFill patternType="solid">
        <fgColor rgb="FFFE9E58"/>
        <bgColor indexed="64"/>
      </patternFill>
    </fill>
    <fill>
      <patternFill patternType="solid">
        <fgColor rgb="FFB45F39"/>
        <bgColor indexed="64"/>
      </patternFill>
    </fill>
    <fill>
      <patternFill patternType="solid">
        <fgColor rgb="FFA45528"/>
        <bgColor indexed="64"/>
      </patternFill>
    </fill>
    <fill>
      <patternFill patternType="solid">
        <fgColor rgb="FFFC9D52"/>
        <bgColor indexed="64"/>
      </patternFill>
    </fill>
    <fill>
      <patternFill patternType="solid">
        <fgColor rgb="FFFFA054"/>
        <bgColor indexed="64"/>
      </patternFill>
    </fill>
    <fill>
      <patternFill patternType="solid">
        <fgColor rgb="FFFF9B53"/>
        <bgColor indexed="64"/>
      </patternFill>
    </fill>
    <fill>
      <patternFill patternType="solid">
        <fgColor rgb="FFFF9D53"/>
        <bgColor indexed="64"/>
      </patternFill>
    </fill>
    <fill>
      <patternFill patternType="solid">
        <fgColor rgb="FFFF994D"/>
        <bgColor indexed="64"/>
      </patternFill>
    </fill>
    <fill>
      <patternFill patternType="solid">
        <fgColor rgb="FFFA9B55"/>
        <bgColor indexed="64"/>
      </patternFill>
    </fill>
    <fill>
      <patternFill patternType="solid">
        <fgColor rgb="FFB677BA"/>
        <bgColor indexed="64"/>
      </patternFill>
    </fill>
    <fill>
      <patternFill patternType="solid">
        <fgColor rgb="FFB475B6"/>
        <bgColor indexed="64"/>
      </patternFill>
    </fill>
    <fill>
      <patternFill patternType="solid">
        <fgColor rgb="FFB67CC0"/>
        <bgColor indexed="64"/>
      </patternFill>
    </fill>
    <fill>
      <patternFill patternType="solid">
        <fgColor rgb="FF6C8348"/>
        <bgColor indexed="64"/>
      </patternFill>
    </fill>
    <fill>
      <patternFill patternType="solid">
        <fgColor rgb="FF8CBB5B"/>
        <bgColor indexed="64"/>
      </patternFill>
    </fill>
    <fill>
      <patternFill patternType="solid">
        <fgColor rgb="FF88B95D"/>
        <bgColor indexed="64"/>
      </patternFill>
    </fill>
    <fill>
      <patternFill patternType="solid">
        <fgColor rgb="FF699A4F"/>
        <bgColor indexed="64"/>
      </patternFill>
    </fill>
    <fill>
      <patternFill patternType="solid">
        <fgColor rgb="FF6B954A"/>
        <bgColor indexed="64"/>
      </patternFill>
    </fill>
    <fill>
      <patternFill patternType="solid">
        <fgColor rgb="FFD28644"/>
        <bgColor indexed="64"/>
      </patternFill>
    </fill>
    <fill>
      <patternFill patternType="solid">
        <fgColor rgb="FFE6854B"/>
        <bgColor indexed="64"/>
      </patternFill>
    </fill>
    <fill>
      <patternFill patternType="solid">
        <fgColor rgb="FFDE7E40"/>
        <bgColor indexed="64"/>
      </patternFill>
    </fill>
    <fill>
      <patternFill patternType="solid">
        <fgColor rgb="FFFE9F56"/>
        <bgColor indexed="64"/>
      </patternFill>
    </fill>
    <fill>
      <patternFill patternType="solid">
        <fgColor rgb="FFFA9B51"/>
        <bgColor indexed="64"/>
      </patternFill>
    </fill>
    <fill>
      <patternFill patternType="solid">
        <fgColor rgb="FFFC9A51"/>
        <bgColor indexed="64"/>
      </patternFill>
    </fill>
    <fill>
      <patternFill patternType="solid">
        <fgColor rgb="FFFE9D52"/>
        <bgColor indexed="64"/>
      </patternFill>
    </fill>
    <fill>
      <patternFill patternType="solid">
        <fgColor rgb="FFFB9B4D"/>
        <bgColor indexed="64"/>
      </patternFill>
    </fill>
    <fill>
      <patternFill patternType="solid">
        <fgColor rgb="FFFA9A4F"/>
        <bgColor indexed="64"/>
      </patternFill>
    </fill>
    <fill>
      <patternFill patternType="solid">
        <fgColor rgb="FFFC9D51"/>
        <bgColor indexed="64"/>
      </patternFill>
    </fill>
    <fill>
      <patternFill patternType="solid">
        <fgColor rgb="FFFB9A54"/>
        <bgColor indexed="64"/>
      </patternFill>
    </fill>
    <fill>
      <patternFill patternType="solid">
        <fgColor rgb="FFDA7C41"/>
        <bgColor indexed="64"/>
      </patternFill>
    </fill>
    <fill>
      <patternFill patternType="solid">
        <fgColor rgb="FFF7984C"/>
        <bgColor indexed="64"/>
      </patternFill>
    </fill>
    <fill>
      <patternFill patternType="solid">
        <fgColor rgb="FFFE9C4E"/>
        <bgColor indexed="64"/>
      </patternFill>
    </fill>
    <fill>
      <patternFill patternType="solid">
        <fgColor rgb="FFFA974C"/>
        <bgColor indexed="64"/>
      </patternFill>
    </fill>
    <fill>
      <patternFill patternType="solid">
        <fgColor rgb="FFFA974E"/>
        <bgColor indexed="64"/>
      </patternFill>
    </fill>
    <fill>
      <patternFill patternType="solid">
        <fgColor rgb="FFFA964E"/>
        <bgColor indexed="64"/>
      </patternFill>
    </fill>
    <fill>
      <patternFill patternType="solid">
        <fgColor rgb="FFFB944D"/>
        <bgColor indexed="64"/>
      </patternFill>
    </fill>
    <fill>
      <patternFill patternType="solid">
        <fgColor rgb="FFF99954"/>
        <bgColor indexed="64"/>
      </patternFill>
    </fill>
    <fill>
      <patternFill patternType="solid">
        <fgColor rgb="FFB277B5"/>
        <bgColor indexed="64"/>
      </patternFill>
    </fill>
    <fill>
      <patternFill patternType="solid">
        <fgColor rgb="FFAF76B6"/>
        <bgColor indexed="64"/>
      </patternFill>
    </fill>
    <fill>
      <patternFill patternType="solid">
        <fgColor rgb="FF845691"/>
        <bgColor indexed="64"/>
      </patternFill>
    </fill>
    <fill>
      <patternFill patternType="solid">
        <fgColor rgb="FF73294E"/>
        <bgColor indexed="64"/>
      </patternFill>
    </fill>
    <fill>
      <patternFill patternType="solid">
        <fgColor rgb="FFE15876"/>
        <bgColor indexed="64"/>
      </patternFill>
    </fill>
    <fill>
      <patternFill patternType="solid">
        <fgColor rgb="FFDC4A73"/>
        <bgColor indexed="64"/>
      </patternFill>
    </fill>
    <fill>
      <patternFill patternType="solid">
        <fgColor rgb="FFDD4A6E"/>
        <bgColor indexed="64"/>
      </patternFill>
    </fill>
    <fill>
      <patternFill patternType="solid">
        <fgColor rgb="FFFA5F88"/>
        <bgColor indexed="64"/>
      </patternFill>
    </fill>
    <fill>
      <patternFill patternType="solid">
        <fgColor rgb="FFFA608B"/>
        <bgColor indexed="64"/>
      </patternFill>
    </fill>
    <fill>
      <patternFill patternType="solid">
        <fgColor rgb="FFDB4973"/>
        <bgColor indexed="64"/>
      </patternFill>
    </fill>
    <fill>
      <patternFill patternType="solid">
        <fgColor rgb="FFD94A6E"/>
        <bgColor indexed="64"/>
      </patternFill>
    </fill>
    <fill>
      <patternFill patternType="solid">
        <fgColor rgb="FFFB5F84"/>
        <bgColor indexed="64"/>
      </patternFill>
    </fill>
    <fill>
      <patternFill patternType="solid">
        <fgColor rgb="FFE6557F"/>
        <bgColor indexed="64"/>
      </patternFill>
    </fill>
    <fill>
      <patternFill patternType="solid">
        <fgColor rgb="FFA33C5A"/>
        <bgColor indexed="64"/>
      </patternFill>
    </fill>
    <fill>
      <patternFill patternType="solid">
        <fgColor rgb="FF755E47"/>
        <bgColor indexed="64"/>
      </patternFill>
    </fill>
    <fill>
      <patternFill patternType="solid">
        <fgColor rgb="FF82A758"/>
        <bgColor indexed="64"/>
      </patternFill>
    </fill>
    <fill>
      <patternFill patternType="solid">
        <fgColor rgb="FF83B456"/>
        <bgColor indexed="64"/>
      </patternFill>
    </fill>
    <fill>
      <patternFill patternType="solid">
        <fgColor rgb="FF89BB5A"/>
        <bgColor indexed="64"/>
      </patternFill>
    </fill>
    <fill>
      <patternFill patternType="solid">
        <fgColor rgb="FF79A85D"/>
        <bgColor indexed="64"/>
      </patternFill>
    </fill>
    <fill>
      <patternFill patternType="solid">
        <fgColor rgb="FF597D3F"/>
        <bgColor indexed="64"/>
      </patternFill>
    </fill>
    <fill>
      <patternFill patternType="solid">
        <fgColor rgb="FFE4964C"/>
        <bgColor indexed="64"/>
      </patternFill>
    </fill>
    <fill>
      <patternFill patternType="solid">
        <fgColor rgb="FFFF9E56"/>
        <bgColor indexed="64"/>
      </patternFill>
    </fill>
    <fill>
      <patternFill patternType="solid">
        <fgColor rgb="FFFB9A53"/>
        <bgColor indexed="64"/>
      </patternFill>
    </fill>
    <fill>
      <patternFill patternType="solid">
        <fgColor rgb="FFFC9A54"/>
        <bgColor indexed="64"/>
      </patternFill>
    </fill>
    <fill>
      <patternFill patternType="solid">
        <fgColor rgb="FFFB9B53"/>
        <bgColor indexed="64"/>
      </patternFill>
    </fill>
    <fill>
      <patternFill patternType="solid">
        <fgColor rgb="FFFB9A51"/>
        <bgColor indexed="64"/>
      </patternFill>
    </fill>
    <fill>
      <patternFill patternType="solid">
        <fgColor rgb="FFFE9D53"/>
        <bgColor indexed="64"/>
      </patternFill>
    </fill>
    <fill>
      <patternFill patternType="solid">
        <fgColor rgb="FFFB9D4C"/>
        <bgColor indexed="64"/>
      </patternFill>
    </fill>
    <fill>
      <patternFill patternType="solid">
        <fgColor rgb="FFFFA14F"/>
        <bgColor indexed="64"/>
      </patternFill>
    </fill>
    <fill>
      <patternFill patternType="solid">
        <fgColor rgb="FFFE994D"/>
        <bgColor indexed="64"/>
      </patternFill>
    </fill>
    <fill>
      <patternFill patternType="solid">
        <fgColor rgb="FFFB984C"/>
        <bgColor indexed="64"/>
      </patternFill>
    </fill>
    <fill>
      <patternFill patternType="solid">
        <fgColor rgb="FFFC994D"/>
        <bgColor indexed="64"/>
      </patternFill>
    </fill>
    <fill>
      <patternFill patternType="solid">
        <fgColor rgb="FFFC9650"/>
        <bgColor indexed="64"/>
      </patternFill>
    </fill>
    <fill>
      <patternFill patternType="solid">
        <fgColor rgb="FFFC954F"/>
        <bgColor indexed="64"/>
      </patternFill>
    </fill>
    <fill>
      <patternFill patternType="solid">
        <fgColor rgb="FFFD9449"/>
        <bgColor indexed="64"/>
      </patternFill>
    </fill>
    <fill>
      <patternFill patternType="solid">
        <fgColor rgb="FFF8974F"/>
        <bgColor indexed="64"/>
      </patternFill>
    </fill>
    <fill>
      <patternFill patternType="solid">
        <fgColor rgb="FFB57CB7"/>
        <bgColor indexed="64"/>
      </patternFill>
    </fill>
    <fill>
      <patternFill patternType="solid">
        <fgColor rgb="FF9C629F"/>
        <bgColor indexed="64"/>
      </patternFill>
    </fill>
    <fill>
      <patternFill patternType="solid">
        <fgColor rgb="FFA6406A"/>
        <bgColor indexed="64"/>
      </patternFill>
    </fill>
    <fill>
      <patternFill patternType="solid">
        <fgColor rgb="FFC3425E"/>
        <bgColor indexed="64"/>
      </patternFill>
    </fill>
    <fill>
      <patternFill patternType="solid">
        <fgColor rgb="FFDD4766"/>
        <bgColor indexed="64"/>
      </patternFill>
    </fill>
    <fill>
      <patternFill patternType="solid">
        <fgColor rgb="FFFF6186"/>
        <bgColor indexed="64"/>
      </patternFill>
    </fill>
    <fill>
      <patternFill patternType="solid">
        <fgColor rgb="FFFF6189"/>
        <bgColor indexed="64"/>
      </patternFill>
    </fill>
    <fill>
      <patternFill patternType="solid">
        <fgColor rgb="FFFB6087"/>
        <bgColor indexed="64"/>
      </patternFill>
    </fill>
    <fill>
      <patternFill patternType="solid">
        <fgColor rgb="FFF95D84"/>
        <bgColor indexed="64"/>
      </patternFill>
    </fill>
    <fill>
      <patternFill patternType="solid">
        <fgColor rgb="FFFB5D86"/>
        <bgColor indexed="64"/>
      </patternFill>
    </fill>
    <fill>
      <patternFill patternType="solid">
        <fgColor rgb="FFFE6087"/>
        <bgColor indexed="64"/>
      </patternFill>
    </fill>
    <fill>
      <patternFill patternType="solid">
        <fgColor rgb="FFFE5F83"/>
        <bgColor indexed="64"/>
      </patternFill>
    </fill>
    <fill>
      <patternFill patternType="solid">
        <fgColor rgb="FFFC6288"/>
        <bgColor indexed="64"/>
      </patternFill>
    </fill>
    <fill>
      <patternFill patternType="solid">
        <fgColor rgb="FFB84268"/>
        <bgColor indexed="64"/>
      </patternFill>
    </fill>
    <fill>
      <patternFill patternType="solid">
        <fgColor rgb="FF762A3F"/>
        <bgColor indexed="64"/>
      </patternFill>
    </fill>
    <fill>
      <patternFill patternType="solid">
        <fgColor rgb="FF785A42"/>
        <bgColor indexed="64"/>
      </patternFill>
    </fill>
    <fill>
      <patternFill patternType="solid">
        <fgColor rgb="FF95B064"/>
        <bgColor indexed="64"/>
      </patternFill>
    </fill>
    <fill>
      <patternFill patternType="solid">
        <fgColor rgb="FF8BC061"/>
        <bgColor indexed="64"/>
      </patternFill>
    </fill>
    <fill>
      <patternFill patternType="solid">
        <fgColor rgb="FF85B65B"/>
        <bgColor indexed="64"/>
      </patternFill>
    </fill>
    <fill>
      <patternFill patternType="solid">
        <fgColor rgb="FF618D46"/>
        <bgColor indexed="64"/>
      </patternFill>
    </fill>
    <fill>
      <patternFill patternType="solid">
        <fgColor rgb="FF597647"/>
        <bgColor indexed="64"/>
      </patternFill>
    </fill>
    <fill>
      <patternFill patternType="solid">
        <fgColor rgb="FFE99A4C"/>
        <bgColor indexed="64"/>
      </patternFill>
    </fill>
    <fill>
      <patternFill patternType="solid">
        <fgColor rgb="FFFA9854"/>
        <bgColor indexed="64"/>
      </patternFill>
    </fill>
    <fill>
      <patternFill patternType="solid">
        <fgColor rgb="FFFB9952"/>
        <bgColor indexed="64"/>
      </patternFill>
    </fill>
    <fill>
      <patternFill patternType="solid">
        <fgColor rgb="FFFB9953"/>
        <bgColor indexed="64"/>
      </patternFill>
    </fill>
    <fill>
      <patternFill patternType="solid">
        <fgColor rgb="FFFC9A52"/>
        <bgColor indexed="64"/>
      </patternFill>
    </fill>
    <fill>
      <patternFill patternType="solid">
        <fgColor rgb="FFFC9A50"/>
        <bgColor indexed="64"/>
      </patternFill>
    </fill>
    <fill>
      <patternFill patternType="solid">
        <fgColor rgb="FFFC974E"/>
        <bgColor indexed="64"/>
      </patternFill>
    </fill>
    <fill>
      <patternFill patternType="solid">
        <fgColor rgb="FFFD994F"/>
        <bgColor indexed="64"/>
      </patternFill>
    </fill>
    <fill>
      <patternFill patternType="solid">
        <fgColor rgb="FFFB9A4F"/>
        <bgColor indexed="64"/>
      </patternFill>
    </fill>
    <fill>
      <patternFill patternType="solid">
        <fgColor rgb="FFFB9C4F"/>
        <bgColor indexed="64"/>
      </patternFill>
    </fill>
    <fill>
      <patternFill patternType="solid">
        <fgColor rgb="FFFB9C4E"/>
        <bgColor indexed="64"/>
      </patternFill>
    </fill>
    <fill>
      <patternFill patternType="solid">
        <fgColor rgb="FFFB9851"/>
        <bgColor indexed="64"/>
      </patternFill>
    </fill>
    <fill>
      <patternFill patternType="solid">
        <fgColor rgb="FFFC9751"/>
        <bgColor indexed="64"/>
      </patternFill>
    </fill>
    <fill>
      <patternFill patternType="solid">
        <fgColor rgb="FFFB964E"/>
        <bgColor indexed="64"/>
      </patternFill>
    </fill>
    <fill>
      <patternFill patternType="solid">
        <fgColor rgb="FFFB9249"/>
        <bgColor indexed="64"/>
      </patternFill>
    </fill>
    <fill>
      <patternFill patternType="solid">
        <fgColor rgb="FFF99750"/>
        <bgColor indexed="64"/>
      </patternFill>
    </fill>
    <fill>
      <patternFill patternType="solid">
        <fgColor rgb="FFBA7DBE"/>
        <bgColor indexed="64"/>
      </patternFill>
    </fill>
    <fill>
      <patternFill patternType="solid">
        <fgColor rgb="FFB678BC"/>
        <bgColor indexed="64"/>
      </patternFill>
    </fill>
    <fill>
      <patternFill patternType="solid">
        <fgColor rgb="FFA3467E"/>
        <bgColor indexed="64"/>
      </patternFill>
    </fill>
    <fill>
      <patternFill patternType="solid">
        <fgColor rgb="FFCA476A"/>
        <bgColor indexed="64"/>
      </patternFill>
    </fill>
    <fill>
      <patternFill patternType="solid">
        <fgColor rgb="FFDC496B"/>
        <bgColor indexed="64"/>
      </patternFill>
    </fill>
    <fill>
      <patternFill patternType="solid">
        <fgColor rgb="FFF75A7D"/>
        <bgColor indexed="64"/>
      </patternFill>
    </fill>
    <fill>
      <patternFill patternType="solid">
        <fgColor rgb="FFF85C7E"/>
        <bgColor indexed="64"/>
      </patternFill>
    </fill>
    <fill>
      <patternFill patternType="solid">
        <fgColor rgb="FFFC5E80"/>
        <bgColor indexed="64"/>
      </patternFill>
    </fill>
    <fill>
      <patternFill patternType="solid">
        <fgColor rgb="FFFD5C82"/>
        <bgColor indexed="64"/>
      </patternFill>
    </fill>
    <fill>
      <patternFill patternType="solid">
        <fgColor rgb="FFF85B7F"/>
        <bgColor indexed="64"/>
      </patternFill>
    </fill>
    <fill>
      <patternFill patternType="solid">
        <fgColor rgb="FFFA5E83"/>
        <bgColor indexed="64"/>
      </patternFill>
    </fill>
    <fill>
      <patternFill patternType="solid">
        <fgColor rgb="FFFC5F87"/>
        <bgColor indexed="64"/>
      </patternFill>
    </fill>
    <fill>
      <patternFill patternType="solid">
        <fgColor rgb="FFF95D82"/>
        <bgColor indexed="64"/>
      </patternFill>
    </fill>
    <fill>
      <patternFill patternType="solid">
        <fgColor rgb="FFFF6486"/>
        <bgColor indexed="64"/>
      </patternFill>
    </fill>
    <fill>
      <patternFill patternType="solid">
        <fgColor rgb="FFF6638A"/>
        <bgColor indexed="64"/>
      </patternFill>
    </fill>
    <fill>
      <patternFill patternType="solid">
        <fgColor rgb="FF993A56"/>
        <bgColor indexed="64"/>
      </patternFill>
    </fill>
    <fill>
      <patternFill patternType="solid">
        <fgColor rgb="FF8A604E"/>
        <bgColor indexed="64"/>
      </patternFill>
    </fill>
    <fill>
      <patternFill patternType="solid">
        <fgColor rgb="FF8F7051"/>
        <bgColor indexed="64"/>
      </patternFill>
    </fill>
    <fill>
      <patternFill patternType="solid">
        <fgColor rgb="FF685B46"/>
        <bgColor indexed="64"/>
      </patternFill>
    </fill>
    <fill>
      <patternFill patternType="solid">
        <fgColor rgb="FF37341D"/>
        <bgColor indexed="64"/>
      </patternFill>
    </fill>
    <fill>
      <patternFill patternType="solid">
        <fgColor rgb="FF565A39"/>
        <bgColor indexed="64"/>
      </patternFill>
    </fill>
    <fill>
      <patternFill patternType="solid">
        <fgColor rgb="FFE8964D"/>
        <bgColor indexed="64"/>
      </patternFill>
    </fill>
    <fill>
      <patternFill patternType="solid">
        <fgColor rgb="FFF99850"/>
        <bgColor indexed="64"/>
      </patternFill>
    </fill>
    <fill>
      <patternFill patternType="solid">
        <fgColor rgb="FFFC9B4F"/>
        <bgColor indexed="64"/>
      </patternFill>
    </fill>
    <fill>
      <patternFill patternType="solid">
        <fgColor rgb="FFFC984F"/>
        <bgColor indexed="64"/>
      </patternFill>
    </fill>
    <fill>
      <patternFill patternType="solid">
        <fgColor rgb="FFFC964C"/>
        <bgColor indexed="64"/>
      </patternFill>
    </fill>
    <fill>
      <patternFill patternType="solid">
        <fgColor rgb="FFFD984E"/>
        <bgColor indexed="64"/>
      </patternFill>
    </fill>
    <fill>
      <patternFill patternType="solid">
        <fgColor rgb="FFFB9951"/>
        <bgColor indexed="64"/>
      </patternFill>
    </fill>
    <fill>
      <patternFill patternType="solid">
        <fgColor rgb="FFFC9B52"/>
        <bgColor indexed="64"/>
      </patternFill>
    </fill>
    <fill>
      <patternFill patternType="solid">
        <fgColor rgb="FFFC9A4D"/>
        <bgColor indexed="64"/>
      </patternFill>
    </fill>
    <fill>
      <patternFill patternType="solid">
        <fgColor rgb="FFFD9B4F"/>
        <bgColor indexed="64"/>
      </patternFill>
    </fill>
    <fill>
      <patternFill patternType="solid">
        <fgColor rgb="FFFC964D"/>
        <bgColor indexed="64"/>
      </patternFill>
    </fill>
    <fill>
      <patternFill patternType="solid">
        <fgColor rgb="FFFB954B"/>
        <bgColor indexed="64"/>
      </patternFill>
    </fill>
    <fill>
      <patternFill patternType="solid">
        <fgColor rgb="FFFC964E"/>
        <bgColor indexed="64"/>
      </patternFill>
    </fill>
    <fill>
      <patternFill patternType="solid">
        <fgColor rgb="FFFC964A"/>
        <bgColor indexed="64"/>
      </patternFill>
    </fill>
    <fill>
      <patternFill patternType="solid">
        <fgColor rgb="FFFA9951"/>
        <bgColor indexed="64"/>
      </patternFill>
    </fill>
    <fill>
      <patternFill patternType="solid">
        <fgColor rgb="FF765879"/>
        <bgColor indexed="64"/>
      </patternFill>
    </fill>
    <fill>
      <patternFill patternType="solid">
        <fgColor rgb="FF745876"/>
        <bgColor indexed="64"/>
      </patternFill>
    </fill>
    <fill>
      <patternFill patternType="solid">
        <fgColor rgb="FF5C4E68"/>
        <bgColor indexed="64"/>
      </patternFill>
    </fill>
    <fill>
      <patternFill patternType="solid">
        <fgColor rgb="FF3A1B2D"/>
        <bgColor indexed="64"/>
      </patternFill>
    </fill>
    <fill>
      <patternFill patternType="solid">
        <fgColor rgb="FF932B39"/>
        <bgColor indexed="64"/>
      </patternFill>
    </fill>
    <fill>
      <patternFill patternType="solid">
        <fgColor rgb="FFFC5D7D"/>
        <bgColor indexed="64"/>
      </patternFill>
    </fill>
    <fill>
      <patternFill patternType="solid">
        <fgColor rgb="FFFF5F89"/>
        <bgColor indexed="64"/>
      </patternFill>
    </fill>
    <fill>
      <patternFill patternType="solid">
        <fgColor rgb="FFEF5482"/>
        <bgColor indexed="64"/>
      </patternFill>
    </fill>
    <fill>
      <patternFill patternType="solid">
        <fgColor rgb="FFB63053"/>
        <bgColor indexed="64"/>
      </patternFill>
    </fill>
    <fill>
      <patternFill patternType="solid">
        <fgColor rgb="FFEA526E"/>
        <bgColor indexed="64"/>
      </patternFill>
    </fill>
    <fill>
      <patternFill patternType="solid">
        <fgColor rgb="FFFD6082"/>
        <bgColor indexed="64"/>
      </patternFill>
    </fill>
    <fill>
      <patternFill patternType="solid">
        <fgColor rgb="FFE85173"/>
        <bgColor indexed="64"/>
      </patternFill>
    </fill>
    <fill>
      <patternFill patternType="solid">
        <fgColor rgb="FFF45878"/>
        <bgColor indexed="64"/>
      </patternFill>
    </fill>
    <fill>
      <patternFill patternType="solid">
        <fgColor rgb="FFFB5B7D"/>
        <bgColor indexed="64"/>
      </patternFill>
    </fill>
    <fill>
      <patternFill patternType="solid">
        <fgColor rgb="FFE04A70"/>
        <bgColor indexed="64"/>
      </patternFill>
    </fill>
    <fill>
      <patternFill patternType="solid">
        <fgColor rgb="FFCC4362"/>
        <bgColor indexed="64"/>
      </patternFill>
    </fill>
    <fill>
      <patternFill patternType="solid">
        <fgColor rgb="FFDD4B68"/>
        <bgColor indexed="64"/>
      </patternFill>
    </fill>
    <fill>
      <patternFill patternType="solid">
        <fgColor rgb="FFDD4D73"/>
        <bgColor indexed="64"/>
      </patternFill>
    </fill>
    <fill>
      <patternFill patternType="solid">
        <fgColor rgb="FF6F1D37"/>
        <bgColor indexed="64"/>
      </patternFill>
    </fill>
    <fill>
      <patternFill patternType="solid">
        <fgColor rgb="FFA15E3E"/>
        <bgColor indexed="64"/>
      </patternFill>
    </fill>
    <fill>
      <patternFill patternType="solid">
        <fgColor rgb="FFA96D4B"/>
        <bgColor indexed="64"/>
      </patternFill>
    </fill>
    <fill>
      <patternFill patternType="solid">
        <fgColor rgb="FFC97A3B"/>
        <bgColor indexed="64"/>
      </patternFill>
    </fill>
    <fill>
      <patternFill patternType="solid">
        <fgColor rgb="FFFFA356"/>
        <bgColor indexed="64"/>
      </patternFill>
    </fill>
    <fill>
      <patternFill patternType="solid">
        <fgColor rgb="FFFA9855"/>
        <bgColor indexed="64"/>
      </patternFill>
    </fill>
    <fill>
      <patternFill patternType="solid">
        <fgColor rgb="FFFB994C"/>
        <bgColor indexed="64"/>
      </patternFill>
    </fill>
    <fill>
      <patternFill patternType="solid">
        <fgColor rgb="FFFD9A4D"/>
        <bgColor indexed="64"/>
      </patternFill>
    </fill>
    <fill>
      <patternFill patternType="solid">
        <fgColor rgb="FFFB994F"/>
        <bgColor indexed="64"/>
      </patternFill>
    </fill>
    <fill>
      <patternFill patternType="solid">
        <fgColor rgb="FFFB9850"/>
        <bgColor indexed="64"/>
      </patternFill>
    </fill>
    <fill>
      <patternFill patternType="solid">
        <fgColor rgb="FFFC9850"/>
        <bgColor indexed="64"/>
      </patternFill>
    </fill>
    <fill>
      <patternFill patternType="solid">
        <fgColor rgb="FFFD984F"/>
        <bgColor indexed="64"/>
      </patternFill>
    </fill>
    <fill>
      <patternFill patternType="solid">
        <fgColor rgb="FFFB974E"/>
        <bgColor indexed="64"/>
      </patternFill>
    </fill>
    <fill>
      <patternFill patternType="solid">
        <fgColor rgb="FFFB974D"/>
        <bgColor indexed="64"/>
      </patternFill>
    </fill>
    <fill>
      <patternFill patternType="solid">
        <fgColor rgb="FFFD994E"/>
        <bgColor indexed="64"/>
      </patternFill>
    </fill>
    <fill>
      <patternFill patternType="solid">
        <fgColor rgb="FFFC974C"/>
        <bgColor indexed="64"/>
      </patternFill>
    </fill>
    <fill>
      <patternFill patternType="solid">
        <fgColor rgb="FFF99A52"/>
        <bgColor indexed="64"/>
      </patternFill>
    </fill>
    <fill>
      <patternFill patternType="solid">
        <fgColor rgb="FF688F48"/>
        <bgColor indexed="64"/>
      </patternFill>
    </fill>
    <fill>
      <patternFill patternType="solid">
        <fgColor rgb="FF6E954D"/>
        <bgColor indexed="64"/>
      </patternFill>
    </fill>
    <fill>
      <patternFill patternType="solid">
        <fgColor rgb="FF5E6F43"/>
        <bgColor indexed="64"/>
      </patternFill>
    </fill>
    <fill>
      <patternFill patternType="solid">
        <fgColor rgb="FF813A3C"/>
        <bgColor indexed="64"/>
      </patternFill>
    </fill>
    <fill>
      <patternFill patternType="solid">
        <fgColor rgb="FFE95874"/>
        <bgColor indexed="64"/>
      </patternFill>
    </fill>
    <fill>
      <patternFill patternType="solid">
        <fgColor rgb="FFE85477"/>
        <bgColor indexed="64"/>
      </patternFill>
    </fill>
    <fill>
      <patternFill patternType="solid">
        <fgColor rgb="FFBE4D62"/>
        <bgColor indexed="64"/>
      </patternFill>
    </fill>
    <fill>
      <patternFill patternType="solid">
        <fgColor rgb="FF8B5C55"/>
        <bgColor indexed="64"/>
      </patternFill>
    </fill>
    <fill>
      <patternFill patternType="solid">
        <fgColor rgb="FF4D4635"/>
        <bgColor indexed="64"/>
      </patternFill>
    </fill>
    <fill>
      <patternFill patternType="solid">
        <fgColor rgb="FF6D3E38"/>
        <bgColor indexed="64"/>
      </patternFill>
    </fill>
    <fill>
      <patternFill patternType="solid">
        <fgColor rgb="FF85303B"/>
        <bgColor indexed="64"/>
      </patternFill>
    </fill>
    <fill>
      <patternFill patternType="solid">
        <fgColor rgb="FFBC354C"/>
        <bgColor indexed="64"/>
      </patternFill>
    </fill>
    <fill>
      <patternFill patternType="solid">
        <fgColor rgb="FFFB5677"/>
        <bgColor indexed="64"/>
      </patternFill>
    </fill>
    <fill>
      <patternFill patternType="solid">
        <fgColor rgb="FFFF5D82"/>
        <bgColor indexed="64"/>
      </patternFill>
    </fill>
    <fill>
      <patternFill patternType="solid">
        <fgColor rgb="FFEC5170"/>
        <bgColor indexed="64"/>
      </patternFill>
    </fill>
    <fill>
      <patternFill patternType="solid">
        <fgColor rgb="FFE44B63"/>
        <bgColor indexed="64"/>
      </patternFill>
    </fill>
    <fill>
      <patternFill patternType="solid">
        <fgColor rgb="FFFF5873"/>
        <bgColor indexed="64"/>
      </patternFill>
    </fill>
    <fill>
      <patternFill patternType="solid">
        <fgColor rgb="FFFF6184"/>
        <bgColor indexed="64"/>
      </patternFill>
    </fill>
    <fill>
      <patternFill patternType="solid">
        <fgColor rgb="FF872941"/>
        <bgColor indexed="64"/>
      </patternFill>
    </fill>
    <fill>
      <patternFill patternType="solid">
        <fgColor rgb="FFB26434"/>
        <bgColor indexed="64"/>
      </patternFill>
    </fill>
    <fill>
      <patternFill patternType="solid">
        <fgColor rgb="FFFEA25F"/>
        <bgColor indexed="64"/>
      </patternFill>
    </fill>
    <fill>
      <patternFill patternType="solid">
        <fgColor rgb="FFBB642E"/>
        <bgColor indexed="64"/>
      </patternFill>
    </fill>
    <fill>
      <patternFill patternType="solid">
        <fgColor rgb="FFF39447"/>
        <bgColor indexed="64"/>
      </patternFill>
    </fill>
    <fill>
      <patternFill patternType="solid">
        <fgColor rgb="FFFD9C52"/>
        <bgColor indexed="64"/>
      </patternFill>
    </fill>
    <fill>
      <patternFill patternType="solid">
        <fgColor rgb="FFFC9B50"/>
        <bgColor indexed="64"/>
      </patternFill>
    </fill>
    <fill>
      <patternFill patternType="solid">
        <fgColor rgb="FFFA984B"/>
        <bgColor indexed="64"/>
      </patternFill>
    </fill>
    <fill>
      <patternFill patternType="solid">
        <fgColor rgb="FFFB9A52"/>
        <bgColor indexed="64"/>
      </patternFill>
    </fill>
    <fill>
      <patternFill patternType="solid">
        <fgColor rgb="FFFB9852"/>
        <bgColor indexed="64"/>
      </patternFill>
    </fill>
    <fill>
      <patternFill patternType="solid">
        <fgColor rgb="FFFC9550"/>
        <bgColor indexed="64"/>
      </patternFill>
    </fill>
    <fill>
      <patternFill patternType="solid">
        <fgColor rgb="FFFC9450"/>
        <bgColor indexed="64"/>
      </patternFill>
    </fill>
    <fill>
      <patternFill patternType="solid">
        <fgColor rgb="FFFC9551"/>
        <bgColor indexed="64"/>
      </patternFill>
    </fill>
    <fill>
      <patternFill patternType="solid">
        <fgColor rgb="FFFC954E"/>
        <bgColor indexed="64"/>
      </patternFill>
    </fill>
    <fill>
      <patternFill patternType="solid">
        <fgColor rgb="FFFC9750"/>
        <bgColor indexed="64"/>
      </patternFill>
    </fill>
    <fill>
      <patternFill patternType="solid">
        <fgColor rgb="FFFC974F"/>
        <bgColor indexed="64"/>
      </patternFill>
    </fill>
    <fill>
      <patternFill patternType="solid">
        <fgColor rgb="FFFB954A"/>
        <bgColor indexed="64"/>
      </patternFill>
    </fill>
    <fill>
      <patternFill patternType="solid">
        <fgColor rgb="FFF99852"/>
        <bgColor indexed="64"/>
      </patternFill>
    </fill>
    <fill>
      <patternFill patternType="solid">
        <fgColor rgb="FF7AAC55"/>
        <bgColor indexed="64"/>
      </patternFill>
    </fill>
    <fill>
      <patternFill patternType="solid">
        <fgColor rgb="FF81B25F"/>
        <bgColor indexed="64"/>
      </patternFill>
    </fill>
    <fill>
      <patternFill patternType="solid">
        <fgColor rgb="FF51653A"/>
        <bgColor indexed="64"/>
      </patternFill>
    </fill>
    <fill>
      <patternFill patternType="solid">
        <fgColor rgb="FF6D4135"/>
        <bgColor indexed="64"/>
      </patternFill>
    </fill>
    <fill>
      <patternFill patternType="solid">
        <fgColor rgb="FF915F4D"/>
        <bgColor indexed="64"/>
      </patternFill>
    </fill>
    <fill>
      <patternFill patternType="solid">
        <fgColor rgb="FF756B41"/>
        <bgColor indexed="64"/>
      </patternFill>
    </fill>
    <fill>
      <patternFill patternType="solid">
        <fgColor rgb="FF6F8B49"/>
        <bgColor indexed="64"/>
      </patternFill>
    </fill>
    <fill>
      <patternFill patternType="solid">
        <fgColor rgb="FF76A754"/>
        <bgColor indexed="64"/>
      </patternFill>
    </fill>
    <fill>
      <patternFill patternType="solid">
        <fgColor rgb="FF78AA59"/>
        <bgColor indexed="64"/>
      </patternFill>
    </fill>
    <fill>
      <patternFill patternType="solid">
        <fgColor rgb="FF6E9E53"/>
        <bgColor indexed="64"/>
      </patternFill>
    </fill>
    <fill>
      <patternFill patternType="solid">
        <fgColor rgb="FF657D46"/>
        <bgColor indexed="64"/>
      </patternFill>
    </fill>
    <fill>
      <patternFill patternType="solid">
        <fgColor rgb="FF806346"/>
        <bgColor indexed="64"/>
      </patternFill>
    </fill>
    <fill>
      <patternFill patternType="solid">
        <fgColor rgb="FFA05B55"/>
        <bgColor indexed="64"/>
      </patternFill>
    </fill>
    <fill>
      <patternFill patternType="solid">
        <fgColor rgb="FF9D4456"/>
        <bgColor indexed="64"/>
      </patternFill>
    </fill>
    <fill>
      <patternFill patternType="solid">
        <fgColor rgb="FF842137"/>
        <bgColor indexed="64"/>
      </patternFill>
    </fill>
    <fill>
      <patternFill patternType="solid">
        <fgColor rgb="FFCD4156"/>
        <bgColor indexed="64"/>
      </patternFill>
    </fill>
    <fill>
      <patternFill patternType="solid">
        <fgColor rgb="FFFF5777"/>
        <bgColor indexed="64"/>
      </patternFill>
    </fill>
    <fill>
      <patternFill patternType="solid">
        <fgColor rgb="FFFF5E86"/>
        <bgColor indexed="64"/>
      </patternFill>
    </fill>
    <fill>
      <patternFill patternType="solid">
        <fgColor rgb="FFAC3857"/>
        <bgColor indexed="64"/>
      </patternFill>
    </fill>
    <fill>
      <patternFill patternType="solid">
        <fgColor rgb="FFBC6437"/>
        <bgColor indexed="64"/>
      </patternFill>
    </fill>
    <fill>
      <patternFill patternType="solid">
        <fgColor rgb="FFFEA151"/>
        <bgColor indexed="64"/>
      </patternFill>
    </fill>
    <fill>
      <patternFill patternType="solid">
        <fgColor rgb="FFF89650"/>
        <bgColor indexed="64"/>
      </patternFill>
    </fill>
    <fill>
      <patternFill patternType="solid">
        <fgColor rgb="FFF7964D"/>
        <bgColor indexed="64"/>
      </patternFill>
    </fill>
    <fill>
      <patternFill patternType="solid">
        <fgColor rgb="FFFD9C55"/>
        <bgColor indexed="64"/>
      </patternFill>
    </fill>
    <fill>
      <patternFill patternType="solid">
        <fgColor rgb="FFFC9B54"/>
        <bgColor indexed="64"/>
      </patternFill>
    </fill>
    <fill>
      <patternFill patternType="solid">
        <fgColor rgb="FFFC9952"/>
        <bgColor indexed="64"/>
      </patternFill>
    </fill>
    <fill>
      <patternFill patternType="solid">
        <fgColor rgb="FFFB994D"/>
        <bgColor indexed="64"/>
      </patternFill>
    </fill>
    <fill>
      <patternFill patternType="solid">
        <fgColor rgb="FFFA9952"/>
        <bgColor indexed="64"/>
      </patternFill>
    </fill>
    <fill>
      <patternFill patternType="solid">
        <fgColor rgb="FFFB9755"/>
        <bgColor indexed="64"/>
      </patternFill>
    </fill>
    <fill>
      <patternFill patternType="solid">
        <fgColor rgb="FFFB944F"/>
        <bgColor indexed="64"/>
      </patternFill>
    </fill>
    <fill>
      <patternFill patternType="solid">
        <fgColor rgb="FFFB954D"/>
        <bgColor indexed="64"/>
      </patternFill>
    </fill>
    <fill>
      <patternFill patternType="solid">
        <fgColor rgb="FFFD974C"/>
        <bgColor indexed="64"/>
      </patternFill>
    </fill>
    <fill>
      <patternFill patternType="solid">
        <fgColor rgb="FFFB9749"/>
        <bgColor indexed="64"/>
      </patternFill>
    </fill>
    <fill>
      <patternFill patternType="solid">
        <fgColor rgb="FFFC9249"/>
        <bgColor indexed="64"/>
      </patternFill>
    </fill>
    <fill>
      <patternFill patternType="solid">
        <fgColor rgb="FFFA984F"/>
        <bgColor indexed="64"/>
      </patternFill>
    </fill>
    <fill>
      <patternFill patternType="solid">
        <fgColor rgb="FF7CAE59"/>
        <bgColor indexed="64"/>
      </patternFill>
    </fill>
    <fill>
      <patternFill patternType="solid">
        <fgColor rgb="FF7CAC57"/>
        <bgColor indexed="64"/>
      </patternFill>
    </fill>
    <fill>
      <patternFill patternType="solid">
        <fgColor rgb="FF76A45A"/>
        <bgColor indexed="64"/>
      </patternFill>
    </fill>
    <fill>
      <patternFill patternType="solid">
        <fgColor rgb="FF6FA053"/>
        <bgColor indexed="64"/>
      </patternFill>
    </fill>
    <fill>
      <patternFill patternType="solid">
        <fgColor rgb="FF73AA51"/>
        <bgColor indexed="64"/>
      </patternFill>
    </fill>
    <fill>
      <patternFill patternType="solid">
        <fgColor rgb="FF7BB055"/>
        <bgColor indexed="64"/>
      </patternFill>
    </fill>
    <fill>
      <patternFill patternType="solid">
        <fgColor rgb="FF7BAF56"/>
        <bgColor indexed="64"/>
      </patternFill>
    </fill>
    <fill>
      <patternFill patternType="solid">
        <fgColor rgb="FF77AA55"/>
        <bgColor indexed="64"/>
      </patternFill>
    </fill>
    <fill>
      <patternFill patternType="solid">
        <fgColor rgb="FF77A655"/>
        <bgColor indexed="64"/>
      </patternFill>
    </fill>
    <fill>
      <patternFill patternType="solid">
        <fgColor rgb="FF78A756"/>
        <bgColor indexed="64"/>
      </patternFill>
    </fill>
    <fill>
      <patternFill patternType="solid">
        <fgColor rgb="FF78AD56"/>
        <bgColor indexed="64"/>
      </patternFill>
    </fill>
    <fill>
      <patternFill patternType="solid">
        <fgColor rgb="FF6FA74C"/>
        <bgColor indexed="64"/>
      </patternFill>
    </fill>
    <fill>
      <patternFill patternType="solid">
        <fgColor rgb="FF6FA44B"/>
        <bgColor indexed="64"/>
      </patternFill>
    </fill>
    <fill>
      <patternFill patternType="solid">
        <fgColor rgb="FF577943"/>
        <bgColor indexed="64"/>
      </patternFill>
    </fill>
    <fill>
      <patternFill patternType="solid">
        <fgColor rgb="FF613F2E"/>
        <bgColor indexed="64"/>
      </patternFill>
    </fill>
    <fill>
      <patternFill patternType="solid">
        <fgColor rgb="FFB55155"/>
        <bgColor indexed="64"/>
      </patternFill>
    </fill>
    <fill>
      <patternFill patternType="solid">
        <fgColor rgb="FFBB4E58"/>
        <bgColor indexed="64"/>
      </patternFill>
    </fill>
    <fill>
      <patternFill patternType="solid">
        <fgColor rgb="FFC25664"/>
        <bgColor indexed="64"/>
      </patternFill>
    </fill>
    <fill>
      <patternFill patternType="solid">
        <fgColor rgb="FFA34159"/>
        <bgColor indexed="64"/>
      </patternFill>
    </fill>
    <fill>
      <patternFill patternType="solid">
        <fgColor rgb="FF99472C"/>
        <bgColor indexed="64"/>
      </patternFill>
    </fill>
    <fill>
      <patternFill patternType="solid">
        <fgColor rgb="FFFFA455"/>
        <bgColor indexed="64"/>
      </patternFill>
    </fill>
    <fill>
      <patternFill patternType="solid">
        <fgColor rgb="FFFC9950"/>
        <bgColor indexed="64"/>
      </patternFill>
    </fill>
    <fill>
      <patternFill patternType="solid">
        <fgColor rgb="FFFC9851"/>
        <bgColor indexed="64"/>
      </patternFill>
    </fill>
    <fill>
      <patternFill patternType="solid">
        <fgColor rgb="FFFD9853"/>
        <bgColor indexed="64"/>
      </patternFill>
    </fill>
    <fill>
      <patternFill patternType="solid">
        <fgColor rgb="FFFB9754"/>
        <bgColor indexed="64"/>
      </patternFill>
    </fill>
    <fill>
      <patternFill patternType="solid">
        <fgColor rgb="FFFC9754"/>
        <bgColor indexed="64"/>
      </patternFill>
    </fill>
    <fill>
      <patternFill patternType="solid">
        <fgColor rgb="FFFC9953"/>
        <bgColor indexed="64"/>
      </patternFill>
    </fill>
    <fill>
      <patternFill patternType="solid">
        <fgColor rgb="FFFC9E4F"/>
        <bgColor indexed="64"/>
      </patternFill>
    </fill>
    <fill>
      <patternFill patternType="solid">
        <fgColor rgb="FFFB9B50"/>
        <bgColor indexed="64"/>
      </patternFill>
    </fill>
    <fill>
      <patternFill patternType="solid">
        <fgColor rgb="FFFC9651"/>
        <bgColor indexed="64"/>
      </patternFill>
    </fill>
    <fill>
      <patternFill patternType="solid">
        <fgColor rgb="FFFD9450"/>
        <bgColor indexed="64"/>
      </patternFill>
    </fill>
    <fill>
      <patternFill patternType="solid">
        <fgColor rgb="FFFA9549"/>
        <bgColor indexed="64"/>
      </patternFill>
    </fill>
    <fill>
      <patternFill patternType="solid">
        <fgColor rgb="FFFC954B"/>
        <bgColor indexed="64"/>
      </patternFill>
    </fill>
    <fill>
      <patternFill patternType="solid">
        <fgColor rgb="FFFD954B"/>
        <bgColor indexed="64"/>
      </patternFill>
    </fill>
    <fill>
      <patternFill patternType="solid">
        <fgColor rgb="FFFC954A"/>
        <bgColor indexed="64"/>
      </patternFill>
    </fill>
    <fill>
      <patternFill patternType="solid">
        <fgColor rgb="FFFC934E"/>
        <bgColor indexed="64"/>
      </patternFill>
    </fill>
    <fill>
      <patternFill patternType="solid">
        <fgColor rgb="FFFB924C"/>
        <bgColor indexed="64"/>
      </patternFill>
    </fill>
    <fill>
      <patternFill patternType="solid">
        <fgColor rgb="FF83B558"/>
        <bgColor indexed="64"/>
      </patternFill>
    </fill>
    <fill>
      <patternFill patternType="solid">
        <fgColor rgb="FF83B559"/>
        <bgColor indexed="64"/>
      </patternFill>
    </fill>
    <fill>
      <patternFill patternType="solid">
        <fgColor rgb="FF7BAB56"/>
        <bgColor indexed="64"/>
      </patternFill>
    </fill>
    <fill>
      <patternFill patternType="solid">
        <fgColor rgb="FF7BAC57"/>
        <bgColor indexed="64"/>
      </patternFill>
    </fill>
    <fill>
      <patternFill patternType="solid">
        <fgColor rgb="FF7BAB5B"/>
        <bgColor indexed="64"/>
      </patternFill>
    </fill>
    <fill>
      <patternFill patternType="solid">
        <fgColor rgb="FF78A859"/>
        <bgColor indexed="64"/>
      </patternFill>
    </fill>
    <fill>
      <patternFill patternType="solid">
        <fgColor rgb="FF75A651"/>
        <bgColor indexed="64"/>
      </patternFill>
    </fill>
    <fill>
      <patternFill patternType="solid">
        <fgColor rgb="FF75A851"/>
        <bgColor indexed="64"/>
      </patternFill>
    </fill>
    <fill>
      <patternFill patternType="solid">
        <fgColor rgb="FF73A552"/>
        <bgColor indexed="64"/>
      </patternFill>
    </fill>
    <fill>
      <patternFill patternType="solid">
        <fgColor rgb="FF73A652"/>
        <bgColor indexed="64"/>
      </patternFill>
    </fill>
    <fill>
      <patternFill patternType="solid">
        <fgColor rgb="FF6FA64B"/>
        <bgColor indexed="64"/>
      </patternFill>
    </fill>
    <fill>
      <patternFill patternType="solid">
        <fgColor rgb="FF6FA349"/>
        <bgColor indexed="64"/>
      </patternFill>
    </fill>
    <fill>
      <patternFill patternType="solid">
        <fgColor rgb="FF71A348"/>
        <bgColor indexed="64"/>
      </patternFill>
    </fill>
    <fill>
      <patternFill patternType="solid">
        <fgColor rgb="FF72A64D"/>
        <bgColor indexed="64"/>
      </patternFill>
    </fill>
    <fill>
      <patternFill patternType="solid">
        <fgColor rgb="FF6C9A4B"/>
        <bgColor indexed="64"/>
      </patternFill>
    </fill>
    <fill>
      <patternFill patternType="solid">
        <fgColor rgb="FF689044"/>
        <bgColor indexed="64"/>
      </patternFill>
    </fill>
    <fill>
      <patternFill patternType="solid">
        <fgColor rgb="FF6B9346"/>
        <bgColor indexed="64"/>
      </patternFill>
    </fill>
    <fill>
      <patternFill patternType="solid">
        <fgColor rgb="FF6E9349"/>
        <bgColor indexed="64"/>
      </patternFill>
    </fill>
    <fill>
      <patternFill patternType="solid">
        <fgColor rgb="FF718B50"/>
        <bgColor indexed="64"/>
      </patternFill>
    </fill>
    <fill>
      <patternFill patternType="solid">
        <fgColor rgb="FF66653B"/>
        <bgColor indexed="64"/>
      </patternFill>
    </fill>
    <fill>
      <patternFill patternType="solid">
        <fgColor rgb="FFA6642B"/>
        <bgColor indexed="64"/>
      </patternFill>
    </fill>
    <fill>
      <patternFill patternType="solid">
        <fgColor rgb="FFFD9E50"/>
        <bgColor indexed="64"/>
      </patternFill>
    </fill>
    <fill>
      <patternFill patternType="solid">
        <fgColor rgb="FFFA964F"/>
        <bgColor indexed="64"/>
      </patternFill>
    </fill>
    <fill>
      <patternFill patternType="solid">
        <fgColor rgb="FFFB9750"/>
        <bgColor indexed="64"/>
      </patternFill>
    </fill>
    <fill>
      <patternFill patternType="solid">
        <fgColor rgb="FFFD9854"/>
        <bgColor indexed="64"/>
      </patternFill>
    </fill>
    <fill>
      <patternFill patternType="solid">
        <fgColor rgb="FFFB9753"/>
        <bgColor indexed="64"/>
      </patternFill>
    </fill>
    <fill>
      <patternFill patternType="solid">
        <fgColor rgb="FFFCA54E"/>
        <bgColor indexed="64"/>
      </patternFill>
    </fill>
    <fill>
      <patternFill patternType="solid">
        <fgColor rgb="FFFD9E4E"/>
        <bgColor indexed="64"/>
      </patternFill>
    </fill>
    <fill>
      <patternFill patternType="solid">
        <fgColor rgb="FFFD9351"/>
        <bgColor indexed="64"/>
      </patternFill>
    </fill>
    <fill>
      <patternFill patternType="solid">
        <fgColor rgb="FFFD944F"/>
        <bgColor indexed="64"/>
      </patternFill>
    </fill>
    <fill>
      <patternFill patternType="solid">
        <fgColor rgb="FFFC954D"/>
        <bgColor indexed="64"/>
      </patternFill>
    </fill>
    <fill>
      <patternFill patternType="solid">
        <fgColor rgb="FFFD954C"/>
        <bgColor indexed="64"/>
      </patternFill>
    </fill>
    <fill>
      <patternFill patternType="solid">
        <fgColor rgb="FFFD944C"/>
        <bgColor indexed="64"/>
      </patternFill>
    </fill>
    <fill>
      <patternFill patternType="solid">
        <fgColor rgb="FFFD934D"/>
        <bgColor indexed="64"/>
      </patternFill>
    </fill>
    <fill>
      <patternFill patternType="solid">
        <fgColor rgb="FFFA9752"/>
        <bgColor indexed="64"/>
      </patternFill>
    </fill>
    <fill>
      <patternFill patternType="solid">
        <fgColor rgb="FF88B958"/>
        <bgColor indexed="64"/>
      </patternFill>
    </fill>
    <fill>
      <patternFill patternType="solid">
        <fgColor rgb="FF86B85A"/>
        <bgColor indexed="64"/>
      </patternFill>
    </fill>
    <fill>
      <patternFill patternType="solid">
        <fgColor rgb="FF7CAD56"/>
        <bgColor indexed="64"/>
      </patternFill>
    </fill>
    <fill>
      <patternFill patternType="solid">
        <fgColor rgb="FF79AA55"/>
        <bgColor indexed="64"/>
      </patternFill>
    </fill>
    <fill>
      <patternFill patternType="solid">
        <fgColor rgb="FF78A855"/>
        <bgColor indexed="64"/>
      </patternFill>
    </fill>
    <fill>
      <patternFill patternType="solid">
        <fgColor rgb="FF78A857"/>
        <bgColor indexed="64"/>
      </patternFill>
    </fill>
    <fill>
      <patternFill patternType="solid">
        <fgColor rgb="FF79A956"/>
        <bgColor indexed="64"/>
      </patternFill>
    </fill>
    <fill>
      <patternFill patternType="solid">
        <fgColor rgb="FF77A753"/>
        <bgColor indexed="64"/>
      </patternFill>
    </fill>
    <fill>
      <patternFill patternType="solid">
        <fgColor rgb="FF6FA34B"/>
        <bgColor indexed="64"/>
      </patternFill>
    </fill>
    <fill>
      <patternFill patternType="solid">
        <fgColor rgb="FF72A84F"/>
        <bgColor indexed="64"/>
      </patternFill>
    </fill>
    <fill>
      <patternFill patternType="solid">
        <fgColor rgb="FF73A850"/>
        <bgColor indexed="64"/>
      </patternFill>
    </fill>
    <fill>
      <patternFill patternType="solid">
        <fgColor rgb="FF72A54D"/>
        <bgColor indexed="64"/>
      </patternFill>
    </fill>
    <fill>
      <patternFill patternType="solid">
        <fgColor rgb="FF72A44B"/>
        <bgColor indexed="64"/>
      </patternFill>
    </fill>
    <fill>
      <patternFill patternType="solid">
        <fgColor rgb="FF70A248"/>
        <bgColor indexed="64"/>
      </patternFill>
    </fill>
    <fill>
      <patternFill patternType="solid">
        <fgColor rgb="FF72A54B"/>
        <bgColor indexed="64"/>
      </patternFill>
    </fill>
    <fill>
      <patternFill patternType="solid">
        <fgColor rgb="FF74AA4B"/>
        <bgColor indexed="64"/>
      </patternFill>
    </fill>
    <fill>
      <patternFill patternType="solid">
        <fgColor rgb="FF73AB4C"/>
        <bgColor indexed="64"/>
      </patternFill>
    </fill>
    <fill>
      <patternFill patternType="solid">
        <fgColor rgb="FF78AE56"/>
        <bgColor indexed="64"/>
      </patternFill>
    </fill>
    <fill>
      <patternFill patternType="solid">
        <fgColor rgb="FF507B3E"/>
        <bgColor indexed="64"/>
      </patternFill>
    </fill>
    <fill>
      <patternFill patternType="solid">
        <fgColor rgb="FF4A6B34"/>
        <bgColor indexed="64"/>
      </patternFill>
    </fill>
    <fill>
      <patternFill patternType="solid">
        <fgColor rgb="FF677141"/>
        <bgColor indexed="64"/>
      </patternFill>
    </fill>
    <fill>
      <patternFill patternType="solid">
        <fgColor rgb="FFF79A4D"/>
        <bgColor indexed="64"/>
      </patternFill>
    </fill>
    <fill>
      <patternFill patternType="solid">
        <fgColor rgb="FFFD9A4F"/>
        <bgColor indexed="64"/>
      </patternFill>
    </fill>
    <fill>
      <patternFill patternType="solid">
        <fgColor rgb="FFFB9B51"/>
        <bgColor indexed="64"/>
      </patternFill>
    </fill>
    <fill>
      <patternFill patternType="solid">
        <fgColor rgb="FFFD9952"/>
        <bgColor indexed="64"/>
      </patternFill>
    </fill>
    <fill>
      <patternFill patternType="solid">
        <fgColor rgb="FFFA9751"/>
        <bgColor indexed="64"/>
      </patternFill>
    </fill>
    <fill>
      <patternFill patternType="solid">
        <fgColor rgb="FFFC9F4E"/>
        <bgColor indexed="64"/>
      </patternFill>
    </fill>
    <fill>
      <patternFill patternType="solid">
        <fgColor rgb="FFFC9C51"/>
        <bgColor indexed="64"/>
      </patternFill>
    </fill>
    <fill>
      <patternFill patternType="solid">
        <fgColor rgb="FFFB954F"/>
        <bgColor indexed="64"/>
      </patternFill>
    </fill>
    <fill>
      <patternFill patternType="solid">
        <fgColor rgb="FFFD9751"/>
        <bgColor indexed="64"/>
      </patternFill>
    </fill>
    <fill>
      <patternFill patternType="solid">
        <fgColor rgb="FFFD934B"/>
        <bgColor indexed="64"/>
      </patternFill>
    </fill>
    <fill>
      <patternFill patternType="solid">
        <fgColor rgb="FF80B357"/>
        <bgColor indexed="64"/>
      </patternFill>
    </fill>
    <fill>
      <patternFill patternType="solid">
        <fgColor rgb="FF7AAE54"/>
        <bgColor indexed="64"/>
      </patternFill>
    </fill>
    <fill>
      <patternFill patternType="solid">
        <fgColor rgb="FF7BAD54"/>
        <bgColor indexed="64"/>
      </patternFill>
    </fill>
    <fill>
      <patternFill patternType="solid">
        <fgColor rgb="FF7DAD58"/>
        <bgColor indexed="64"/>
      </patternFill>
    </fill>
    <fill>
      <patternFill patternType="solid">
        <fgColor rgb="FF7EAD58"/>
        <bgColor indexed="64"/>
      </patternFill>
    </fill>
    <fill>
      <patternFill patternType="solid">
        <fgColor rgb="FF80AE58"/>
        <bgColor indexed="64"/>
      </patternFill>
    </fill>
    <fill>
      <patternFill patternType="solid">
        <fgColor rgb="FF7DAD56"/>
        <bgColor indexed="64"/>
      </patternFill>
    </fill>
    <fill>
      <patternFill patternType="solid">
        <fgColor rgb="FF72A34E"/>
        <bgColor indexed="64"/>
      </patternFill>
    </fill>
    <fill>
      <patternFill patternType="solid">
        <fgColor rgb="FF6EA349"/>
        <bgColor indexed="64"/>
      </patternFill>
    </fill>
    <fill>
      <patternFill patternType="solid">
        <fgColor rgb="FF71A64A"/>
        <bgColor indexed="64"/>
      </patternFill>
    </fill>
    <fill>
      <patternFill patternType="solid">
        <fgColor rgb="FF73A74E"/>
        <bgColor indexed="64"/>
      </patternFill>
    </fill>
    <fill>
      <patternFill patternType="solid">
        <fgColor rgb="FF73A64E"/>
        <bgColor indexed="64"/>
      </patternFill>
    </fill>
    <fill>
      <patternFill patternType="solid">
        <fgColor rgb="FF70A34D"/>
        <bgColor indexed="64"/>
      </patternFill>
    </fill>
    <fill>
      <patternFill patternType="solid">
        <fgColor rgb="FF6FA34E"/>
        <bgColor indexed="64"/>
      </patternFill>
    </fill>
    <fill>
      <patternFill patternType="solid">
        <fgColor rgb="FF75A84E"/>
        <bgColor indexed="64"/>
      </patternFill>
    </fill>
    <fill>
      <patternFill patternType="solid">
        <fgColor rgb="FF76A94C"/>
        <bgColor indexed="64"/>
      </patternFill>
    </fill>
    <fill>
      <patternFill patternType="solid">
        <fgColor rgb="FF75A84D"/>
        <bgColor indexed="64"/>
      </patternFill>
    </fill>
    <fill>
      <patternFill patternType="solid">
        <fgColor rgb="FF7BAC55"/>
        <bgColor indexed="64"/>
      </patternFill>
    </fill>
    <fill>
      <patternFill patternType="solid">
        <fgColor rgb="FF75A455"/>
        <bgColor indexed="64"/>
      </patternFill>
    </fill>
    <fill>
      <patternFill patternType="solid">
        <fgColor rgb="FF5A7D3F"/>
        <bgColor indexed="64"/>
      </patternFill>
    </fill>
    <fill>
      <patternFill patternType="solid">
        <fgColor rgb="FF576633"/>
        <bgColor indexed="64"/>
      </patternFill>
    </fill>
    <fill>
      <patternFill patternType="solid">
        <fgColor rgb="FFF2984C"/>
        <bgColor indexed="64"/>
      </patternFill>
    </fill>
    <fill>
      <patternFill patternType="solid">
        <fgColor rgb="FFFC984B"/>
        <bgColor indexed="64"/>
      </patternFill>
    </fill>
    <fill>
      <patternFill patternType="solid">
        <fgColor rgb="FFFC9A4E"/>
        <bgColor indexed="64"/>
      </patternFill>
    </fill>
    <fill>
      <patternFill patternType="solid">
        <fgColor rgb="FFFFA154"/>
        <bgColor indexed="64"/>
      </patternFill>
    </fill>
    <fill>
      <patternFill patternType="solid">
        <fgColor rgb="FFF9994F"/>
        <bgColor indexed="64"/>
      </patternFill>
    </fill>
    <fill>
      <patternFill patternType="solid">
        <fgColor rgb="FFF69249"/>
        <bgColor indexed="64"/>
      </patternFill>
    </fill>
    <fill>
      <patternFill patternType="solid">
        <fgColor rgb="FFFA994C"/>
        <bgColor indexed="64"/>
      </patternFill>
    </fill>
    <fill>
      <patternFill patternType="solid">
        <fgColor rgb="FFFA984D"/>
        <bgColor indexed="64"/>
      </patternFill>
    </fill>
    <fill>
      <patternFill patternType="solid">
        <fgColor rgb="FFFA974A"/>
        <bgColor indexed="64"/>
      </patternFill>
    </fill>
    <fill>
      <patternFill patternType="solid">
        <fgColor rgb="FFFB964B"/>
        <bgColor indexed="64"/>
      </patternFill>
    </fill>
    <fill>
      <patternFill patternType="solid">
        <fgColor rgb="FF7AAB52"/>
        <bgColor indexed="64"/>
      </patternFill>
    </fill>
    <fill>
      <patternFill patternType="solid">
        <fgColor rgb="FF79AC54"/>
        <bgColor indexed="64"/>
      </patternFill>
    </fill>
    <fill>
      <patternFill patternType="solid">
        <fgColor rgb="FF7DAE57"/>
        <bgColor indexed="64"/>
      </patternFill>
    </fill>
    <fill>
      <patternFill patternType="solid">
        <fgColor rgb="FF7EAE5A"/>
        <bgColor indexed="64"/>
      </patternFill>
    </fill>
    <fill>
      <patternFill patternType="solid">
        <fgColor rgb="FF82B15A"/>
        <bgColor indexed="64"/>
      </patternFill>
    </fill>
    <fill>
      <patternFill patternType="solid">
        <fgColor rgb="FF84B358"/>
        <bgColor indexed="64"/>
      </patternFill>
    </fill>
    <fill>
      <patternFill patternType="solid">
        <fgColor rgb="FF7AAB51"/>
        <bgColor indexed="64"/>
      </patternFill>
    </fill>
    <fill>
      <patternFill patternType="solid">
        <fgColor rgb="FF71A44B"/>
        <bgColor indexed="64"/>
      </patternFill>
    </fill>
    <fill>
      <patternFill patternType="solid">
        <fgColor rgb="FF74A54B"/>
        <bgColor indexed="64"/>
      </patternFill>
    </fill>
    <fill>
      <patternFill patternType="solid">
        <fgColor rgb="FF72A54A"/>
        <bgColor indexed="64"/>
      </patternFill>
    </fill>
    <fill>
      <patternFill patternType="solid">
        <fgColor rgb="FF72A64A"/>
        <bgColor indexed="64"/>
      </patternFill>
    </fill>
    <fill>
      <patternFill patternType="solid">
        <fgColor rgb="FF72A54C"/>
        <bgColor indexed="64"/>
      </patternFill>
    </fill>
    <fill>
      <patternFill patternType="solid">
        <fgColor rgb="FF6FA34F"/>
        <bgColor indexed="64"/>
      </patternFill>
    </fill>
    <fill>
      <patternFill patternType="solid">
        <fgColor rgb="FF6FA44F"/>
        <bgColor indexed="64"/>
      </patternFill>
    </fill>
    <fill>
      <patternFill patternType="solid">
        <fgColor rgb="FF71A44C"/>
        <bgColor indexed="64"/>
      </patternFill>
    </fill>
    <fill>
      <patternFill patternType="solid">
        <fgColor rgb="FF76A94D"/>
        <bgColor indexed="64"/>
      </patternFill>
    </fill>
    <fill>
      <patternFill patternType="solid">
        <fgColor rgb="FF78AC4F"/>
        <bgColor indexed="64"/>
      </patternFill>
    </fill>
    <fill>
      <patternFill patternType="solid">
        <fgColor rgb="FF59843D"/>
        <bgColor indexed="64"/>
      </patternFill>
    </fill>
    <fill>
      <patternFill patternType="solid">
        <fgColor rgb="FF5A7835"/>
        <bgColor indexed="64"/>
      </patternFill>
    </fill>
    <fill>
      <patternFill patternType="solid">
        <fgColor rgb="FFA2A056"/>
        <bgColor indexed="64"/>
      </patternFill>
    </fill>
    <fill>
      <patternFill patternType="solid">
        <fgColor rgb="FFC0843E"/>
        <bgColor indexed="64"/>
      </patternFill>
    </fill>
    <fill>
      <patternFill patternType="solid">
        <fgColor rgb="FFF69347"/>
        <bgColor indexed="64"/>
      </patternFill>
    </fill>
    <fill>
      <patternFill patternType="solid">
        <fgColor rgb="FFFF9E4F"/>
        <bgColor indexed="64"/>
      </patternFill>
    </fill>
    <fill>
      <patternFill patternType="solid">
        <fgColor rgb="FFFA954A"/>
        <bgColor indexed="64"/>
      </patternFill>
    </fill>
    <fill>
      <patternFill patternType="solid">
        <fgColor rgb="FFFE994F"/>
        <bgColor indexed="64"/>
      </patternFill>
    </fill>
    <fill>
      <patternFill patternType="solid">
        <fgColor rgb="FFFB984F"/>
        <bgColor indexed="64"/>
      </patternFill>
    </fill>
    <fill>
      <patternFill patternType="solid">
        <fgColor rgb="FFFB974B"/>
        <bgColor indexed="64"/>
      </patternFill>
    </fill>
    <fill>
      <patternFill patternType="solid">
        <fgColor rgb="FFFC994C"/>
        <bgColor indexed="64"/>
      </patternFill>
    </fill>
    <fill>
      <patternFill patternType="solid">
        <fgColor rgb="FFFA954C"/>
        <bgColor indexed="64"/>
      </patternFill>
    </fill>
    <fill>
      <patternFill patternType="solid">
        <fgColor rgb="FFFC994B"/>
        <bgColor indexed="64"/>
      </patternFill>
    </fill>
    <fill>
      <patternFill patternType="solid">
        <fgColor rgb="FFF99B51"/>
        <bgColor indexed="64"/>
      </patternFill>
    </fill>
    <fill>
      <patternFill patternType="solid">
        <fgColor rgb="FF85B557"/>
        <bgColor indexed="64"/>
      </patternFill>
    </fill>
    <fill>
      <patternFill patternType="solid">
        <fgColor rgb="FF84B55C"/>
        <bgColor indexed="64"/>
      </patternFill>
    </fill>
    <fill>
      <patternFill patternType="solid">
        <fgColor rgb="FF80B15B"/>
        <bgColor indexed="64"/>
      </patternFill>
    </fill>
    <fill>
      <patternFill patternType="solid">
        <fgColor rgb="FF81B158"/>
        <bgColor indexed="64"/>
      </patternFill>
    </fill>
    <fill>
      <patternFill patternType="solid">
        <fgColor rgb="FF7DAF55"/>
        <bgColor indexed="64"/>
      </patternFill>
    </fill>
    <fill>
      <patternFill patternType="solid">
        <fgColor rgb="FF75A74D"/>
        <bgColor indexed="64"/>
      </patternFill>
    </fill>
    <fill>
      <patternFill patternType="solid">
        <fgColor rgb="FF75A84B"/>
        <bgColor indexed="64"/>
      </patternFill>
    </fill>
    <fill>
      <patternFill patternType="solid">
        <fgColor rgb="FF73A74D"/>
        <bgColor indexed="64"/>
      </patternFill>
    </fill>
    <fill>
      <patternFill patternType="solid">
        <fgColor rgb="FF70A54C"/>
        <bgColor indexed="64"/>
      </patternFill>
    </fill>
    <fill>
      <patternFill patternType="solid">
        <fgColor rgb="FF70A54E"/>
        <bgColor indexed="64"/>
      </patternFill>
    </fill>
    <fill>
      <patternFill patternType="solid">
        <fgColor rgb="FF71A451"/>
        <bgColor indexed="64"/>
      </patternFill>
    </fill>
    <fill>
      <patternFill patternType="solid">
        <fgColor rgb="FF6EA14C"/>
        <bgColor indexed="64"/>
      </patternFill>
    </fill>
    <fill>
      <patternFill patternType="solid">
        <fgColor rgb="FF6FA249"/>
        <bgColor indexed="64"/>
      </patternFill>
    </fill>
    <fill>
      <patternFill patternType="solid">
        <fgColor rgb="FF77A848"/>
        <bgColor indexed="64"/>
      </patternFill>
    </fill>
    <fill>
      <patternFill patternType="solid">
        <fgColor rgb="FF79AC4D"/>
        <bgColor indexed="64"/>
      </patternFill>
    </fill>
    <fill>
      <patternFill patternType="solid">
        <fgColor rgb="FF659349"/>
        <bgColor indexed="64"/>
      </patternFill>
    </fill>
    <fill>
      <patternFill patternType="solid">
        <fgColor rgb="FF556A32"/>
        <bgColor indexed="64"/>
      </patternFill>
    </fill>
    <fill>
      <patternFill patternType="solid">
        <fgColor rgb="FF8F7F3F"/>
        <bgColor indexed="64"/>
      </patternFill>
    </fill>
    <fill>
      <patternFill patternType="solid">
        <fgColor rgb="FFC18B43"/>
        <bgColor indexed="64"/>
      </patternFill>
    </fill>
    <fill>
      <patternFill patternType="solid">
        <fgColor rgb="FFC57D3D"/>
        <bgColor indexed="64"/>
      </patternFill>
    </fill>
    <fill>
      <patternFill patternType="solid">
        <fgColor rgb="FFC27D48"/>
        <bgColor indexed="64"/>
      </patternFill>
    </fill>
    <fill>
      <patternFill patternType="solid">
        <fgColor rgb="FF945A2F"/>
        <bgColor indexed="64"/>
      </patternFill>
    </fill>
    <fill>
      <patternFill patternType="solid">
        <fgColor rgb="FF944D1F"/>
        <bgColor indexed="64"/>
      </patternFill>
    </fill>
    <fill>
      <patternFill patternType="solid">
        <fgColor rgb="FFD77C3A"/>
        <bgColor indexed="64"/>
      </patternFill>
    </fill>
    <fill>
      <patternFill patternType="solid">
        <fgColor rgb="FFFB954E"/>
        <bgColor indexed="64"/>
      </patternFill>
    </fill>
    <fill>
      <patternFill patternType="solid">
        <fgColor rgb="FFF38C4D"/>
        <bgColor indexed="64"/>
      </patternFill>
    </fill>
    <fill>
      <patternFill patternType="solid">
        <fgColor rgb="FFF7944B"/>
        <bgColor indexed="64"/>
      </patternFill>
    </fill>
    <fill>
      <patternFill patternType="solid">
        <fgColor rgb="FFFE9B4E"/>
        <bgColor indexed="64"/>
      </patternFill>
    </fill>
    <fill>
      <patternFill patternType="solid">
        <fgColor rgb="FFFA954E"/>
        <bgColor indexed="64"/>
      </patternFill>
    </fill>
    <fill>
      <patternFill patternType="solid">
        <fgColor rgb="FFFD964F"/>
        <bgColor indexed="64"/>
      </patternFill>
    </fill>
    <fill>
      <patternFill patternType="solid">
        <fgColor rgb="FFFD974A"/>
        <bgColor indexed="64"/>
      </patternFill>
    </fill>
    <fill>
      <patternFill patternType="solid">
        <fgColor rgb="FFFA9845"/>
        <bgColor indexed="64"/>
      </patternFill>
    </fill>
    <fill>
      <patternFill patternType="solid">
        <fgColor rgb="FFFE9A51"/>
        <bgColor indexed="64"/>
      </patternFill>
    </fill>
    <fill>
      <patternFill patternType="solid">
        <fgColor rgb="FFFC9A47"/>
        <bgColor indexed="64"/>
      </patternFill>
    </fill>
    <fill>
      <patternFill patternType="solid">
        <fgColor rgb="FFFA9E51"/>
        <bgColor indexed="64"/>
      </patternFill>
    </fill>
    <fill>
      <patternFill patternType="solid">
        <fgColor rgb="FF587C37"/>
        <bgColor indexed="64"/>
      </patternFill>
    </fill>
    <fill>
      <patternFill patternType="solid">
        <fgColor rgb="FF5C853B"/>
        <bgColor indexed="64"/>
      </patternFill>
    </fill>
    <fill>
      <patternFill patternType="solid">
        <fgColor rgb="FF75A450"/>
        <bgColor indexed="64"/>
      </patternFill>
    </fill>
    <fill>
      <patternFill patternType="solid">
        <fgColor rgb="FF7BAE57"/>
        <bgColor indexed="64"/>
      </patternFill>
    </fill>
    <fill>
      <patternFill patternType="solid">
        <fgColor rgb="FF79AC56"/>
        <bgColor indexed="64"/>
      </patternFill>
    </fill>
    <fill>
      <patternFill patternType="solid">
        <fgColor rgb="FF7AAE56"/>
        <bgColor indexed="64"/>
      </patternFill>
    </fill>
    <fill>
      <patternFill patternType="solid">
        <fgColor rgb="FF79AD53"/>
        <bgColor indexed="64"/>
      </patternFill>
    </fill>
    <fill>
      <patternFill patternType="solid">
        <fgColor rgb="FF74A84E"/>
        <bgColor indexed="64"/>
      </patternFill>
    </fill>
    <fill>
      <patternFill patternType="solid">
        <fgColor rgb="FF73A74A"/>
        <bgColor indexed="64"/>
      </patternFill>
    </fill>
    <fill>
      <patternFill patternType="solid">
        <fgColor rgb="FF70A54D"/>
        <bgColor indexed="64"/>
      </patternFill>
    </fill>
    <fill>
      <patternFill patternType="solid">
        <fgColor rgb="FF6EA44B"/>
        <bgColor indexed="64"/>
      </patternFill>
    </fill>
    <fill>
      <patternFill patternType="solid">
        <fgColor rgb="FF70A24D"/>
        <bgColor indexed="64"/>
      </patternFill>
    </fill>
    <fill>
      <patternFill patternType="solid">
        <fgColor rgb="FF70A14C"/>
        <bgColor indexed="64"/>
      </patternFill>
    </fill>
    <fill>
      <patternFill patternType="solid">
        <fgColor rgb="FF70A448"/>
        <bgColor indexed="64"/>
      </patternFill>
    </fill>
    <fill>
      <patternFill patternType="solid">
        <fgColor rgb="FF75A64A"/>
        <bgColor indexed="64"/>
      </patternFill>
    </fill>
    <fill>
      <patternFill patternType="solid">
        <fgColor rgb="FF77AB4E"/>
        <bgColor indexed="64"/>
      </patternFill>
    </fill>
    <fill>
      <patternFill patternType="solid">
        <fgColor rgb="FF79A952"/>
        <bgColor indexed="64"/>
      </patternFill>
    </fill>
    <fill>
      <patternFill patternType="solid">
        <fgColor rgb="FF6B9644"/>
        <bgColor indexed="64"/>
      </patternFill>
    </fill>
    <fill>
      <patternFill patternType="solid">
        <fgColor rgb="FF6E903F"/>
        <bgColor indexed="64"/>
      </patternFill>
    </fill>
    <fill>
      <patternFill patternType="solid">
        <fgColor rgb="FF66833B"/>
        <bgColor indexed="64"/>
      </patternFill>
    </fill>
    <fill>
      <patternFill patternType="solid">
        <fgColor rgb="FF687731"/>
        <bgColor indexed="64"/>
      </patternFill>
    </fill>
    <fill>
      <patternFill patternType="solid">
        <fgColor rgb="FF8C672A"/>
        <bgColor indexed="64"/>
      </patternFill>
    </fill>
    <fill>
      <patternFill patternType="solid">
        <fgColor rgb="FFD58241"/>
        <bgColor indexed="64"/>
      </patternFill>
    </fill>
    <fill>
      <patternFill patternType="solid">
        <fgColor rgb="FFE38448"/>
        <bgColor indexed="64"/>
      </patternFill>
    </fill>
    <fill>
      <patternFill patternType="solid">
        <fgColor rgb="FFF58F48"/>
        <bgColor indexed="64"/>
      </patternFill>
    </fill>
    <fill>
      <patternFill patternType="solid">
        <fgColor rgb="FFF6914A"/>
        <bgColor indexed="64"/>
      </patternFill>
    </fill>
    <fill>
      <patternFill patternType="solid">
        <fgColor rgb="FFFD9850"/>
        <bgColor indexed="64"/>
      </patternFill>
    </fill>
    <fill>
      <patternFill patternType="solid">
        <fgColor rgb="FFFC974D"/>
        <bgColor indexed="64"/>
      </patternFill>
    </fill>
    <fill>
      <patternFill patternType="solid">
        <fgColor rgb="FFFF994F"/>
        <bgColor indexed="64"/>
      </patternFill>
    </fill>
    <fill>
      <patternFill patternType="solid">
        <fgColor rgb="FFFA9449"/>
        <bgColor indexed="64"/>
      </patternFill>
    </fill>
    <fill>
      <patternFill patternType="solid">
        <fgColor rgb="FFFA9448"/>
        <bgColor indexed="64"/>
      </patternFill>
    </fill>
    <fill>
      <patternFill patternType="solid">
        <fgColor rgb="FFE17B3E"/>
        <bgColor indexed="64"/>
      </patternFill>
    </fill>
    <fill>
      <patternFill patternType="solid">
        <fgColor rgb="FFE98640"/>
        <bgColor indexed="64"/>
      </patternFill>
    </fill>
    <fill>
      <patternFill patternType="solid">
        <fgColor rgb="FFFEA04E"/>
        <bgColor indexed="64"/>
      </patternFill>
    </fill>
    <fill>
      <patternFill patternType="solid">
        <fgColor rgb="FFF29C54"/>
        <bgColor indexed="64"/>
      </patternFill>
    </fill>
    <fill>
      <patternFill patternType="solid">
        <fgColor rgb="FF567335"/>
        <bgColor indexed="64"/>
      </patternFill>
    </fill>
    <fill>
      <patternFill patternType="solid">
        <fgColor rgb="FF61893B"/>
        <bgColor indexed="64"/>
      </patternFill>
    </fill>
    <fill>
      <patternFill patternType="solid">
        <fgColor rgb="FF76A64D"/>
        <bgColor indexed="64"/>
      </patternFill>
    </fill>
    <fill>
      <patternFill patternType="solid">
        <fgColor rgb="FF7BAE56"/>
        <bgColor indexed="64"/>
      </patternFill>
    </fill>
    <fill>
      <patternFill patternType="solid">
        <fgColor rgb="FF7AAD56"/>
        <bgColor indexed="64"/>
      </patternFill>
    </fill>
    <fill>
      <patternFill patternType="solid">
        <fgColor rgb="FF7BAF54"/>
        <bgColor indexed="64"/>
      </patternFill>
    </fill>
    <fill>
      <patternFill patternType="solid">
        <fgColor rgb="FF7AAD52"/>
        <bgColor indexed="64"/>
      </patternFill>
    </fill>
    <fill>
      <patternFill patternType="solid">
        <fgColor rgb="FF75A94F"/>
        <bgColor indexed="64"/>
      </patternFill>
    </fill>
    <fill>
      <patternFill patternType="solid">
        <fgColor rgb="FF72A64B"/>
        <bgColor indexed="64"/>
      </patternFill>
    </fill>
    <fill>
      <patternFill patternType="solid">
        <fgColor rgb="FF71A54B"/>
        <bgColor indexed="64"/>
      </patternFill>
    </fill>
    <fill>
      <patternFill patternType="solid">
        <fgColor rgb="FF71A44D"/>
        <bgColor indexed="64"/>
      </patternFill>
    </fill>
    <fill>
      <patternFill patternType="solid">
        <fgColor rgb="FF70A44C"/>
        <bgColor indexed="64"/>
      </patternFill>
    </fill>
    <fill>
      <patternFill patternType="solid">
        <fgColor rgb="FF70A34A"/>
        <bgColor indexed="64"/>
      </patternFill>
    </fill>
    <fill>
      <patternFill patternType="solid">
        <fgColor rgb="FF70A24A"/>
        <bgColor indexed="64"/>
      </patternFill>
    </fill>
    <fill>
      <patternFill patternType="solid">
        <fgColor rgb="FF71A549"/>
        <bgColor indexed="64"/>
      </patternFill>
    </fill>
    <fill>
      <patternFill patternType="solid">
        <fgColor rgb="FF77AA4D"/>
        <bgColor indexed="64"/>
      </patternFill>
    </fill>
    <fill>
      <patternFill patternType="solid">
        <fgColor rgb="FF75A94A"/>
        <bgColor indexed="64"/>
      </patternFill>
    </fill>
    <fill>
      <patternFill patternType="solid">
        <fgColor rgb="FF80B251"/>
        <bgColor indexed="64"/>
      </patternFill>
    </fill>
    <fill>
      <patternFill patternType="solid">
        <fgColor rgb="FF7D9945"/>
        <bgColor indexed="64"/>
      </patternFill>
    </fill>
    <fill>
      <patternFill patternType="solid">
        <fgColor rgb="FF94843D"/>
        <bgColor indexed="64"/>
      </patternFill>
    </fill>
    <fill>
      <patternFill patternType="solid">
        <fgColor rgb="FFB87B36"/>
        <bgColor indexed="64"/>
      </patternFill>
    </fill>
    <fill>
      <patternFill patternType="solid">
        <fgColor rgb="FFF7954E"/>
        <bgColor indexed="64"/>
      </patternFill>
    </fill>
    <fill>
      <patternFill patternType="solid">
        <fgColor rgb="FFDD783E"/>
        <bgColor indexed="64"/>
      </patternFill>
    </fill>
    <fill>
      <patternFill patternType="solid">
        <fgColor rgb="FFCE6C36"/>
        <bgColor indexed="64"/>
      </patternFill>
    </fill>
    <fill>
      <patternFill patternType="solid">
        <fgColor rgb="FFE27E40"/>
        <bgColor indexed="64"/>
      </patternFill>
    </fill>
    <fill>
      <patternFill patternType="solid">
        <fgColor rgb="FFFB934D"/>
        <bgColor indexed="64"/>
      </patternFill>
    </fill>
    <fill>
      <patternFill patternType="solid">
        <fgColor rgb="FFFA954D"/>
        <bgColor indexed="64"/>
      </patternFill>
    </fill>
    <fill>
      <patternFill patternType="solid">
        <fgColor rgb="FFFA974F"/>
        <bgColor indexed="64"/>
      </patternFill>
    </fill>
    <fill>
      <patternFill patternType="solid">
        <fgColor rgb="FFF89750"/>
        <bgColor indexed="64"/>
      </patternFill>
    </fill>
    <fill>
      <patternFill patternType="solid">
        <fgColor rgb="FFC96B2E"/>
        <bgColor indexed="64"/>
      </patternFill>
    </fill>
    <fill>
      <patternFill patternType="solid">
        <fgColor rgb="FFF38F46"/>
        <bgColor indexed="64"/>
      </patternFill>
    </fill>
    <fill>
      <patternFill patternType="solid">
        <fgColor rgb="FFFF9A52"/>
        <bgColor indexed="64"/>
      </patternFill>
    </fill>
    <fill>
      <patternFill patternType="solid">
        <fgColor rgb="FFED884E"/>
        <bgColor indexed="64"/>
      </patternFill>
    </fill>
    <fill>
      <patternFill patternType="solid">
        <fgColor rgb="FFBB622B"/>
        <bgColor indexed="64"/>
      </patternFill>
    </fill>
    <fill>
      <patternFill patternType="solid">
        <fgColor rgb="FFF59449"/>
        <bgColor indexed="64"/>
      </patternFill>
    </fill>
    <fill>
      <patternFill patternType="solid">
        <fgColor rgb="FFF79D56"/>
        <bgColor indexed="64"/>
      </patternFill>
    </fill>
    <fill>
      <patternFill patternType="solid">
        <fgColor rgb="FFA1703F"/>
        <bgColor indexed="64"/>
      </patternFill>
    </fill>
    <fill>
      <patternFill patternType="solid">
        <fgColor rgb="FF84B154"/>
        <bgColor indexed="64"/>
      </patternFill>
    </fill>
    <fill>
      <patternFill patternType="solid">
        <fgColor rgb="FF82B358"/>
        <bgColor indexed="64"/>
      </patternFill>
    </fill>
    <fill>
      <patternFill patternType="solid">
        <fgColor rgb="FF7BAD55"/>
        <bgColor indexed="64"/>
      </patternFill>
    </fill>
    <fill>
      <patternFill patternType="solid">
        <fgColor rgb="FF7CAD54"/>
        <bgColor indexed="64"/>
      </patternFill>
    </fill>
    <fill>
      <patternFill patternType="solid">
        <fgColor rgb="FF7FAF57"/>
        <bgColor indexed="64"/>
      </patternFill>
    </fill>
    <fill>
      <patternFill patternType="solid">
        <fgColor rgb="FF7DAC56"/>
        <bgColor indexed="64"/>
      </patternFill>
    </fill>
    <fill>
      <patternFill patternType="solid">
        <fgColor rgb="FF78A853"/>
        <bgColor indexed="64"/>
      </patternFill>
    </fill>
    <fill>
      <patternFill patternType="solid">
        <fgColor rgb="FF75A54D"/>
        <bgColor indexed="64"/>
      </patternFill>
    </fill>
    <fill>
      <patternFill patternType="solid">
        <fgColor rgb="FF70A54A"/>
        <bgColor indexed="64"/>
      </patternFill>
    </fill>
    <fill>
      <patternFill patternType="solid">
        <fgColor rgb="FF6EA44A"/>
        <bgColor indexed="64"/>
      </patternFill>
    </fill>
    <fill>
      <patternFill patternType="solid">
        <fgColor rgb="FF6EA24B"/>
        <bgColor indexed="64"/>
      </patternFill>
    </fill>
    <fill>
      <patternFill patternType="solid">
        <fgColor rgb="FF72A74A"/>
        <bgColor indexed="64"/>
      </patternFill>
    </fill>
    <fill>
      <patternFill patternType="solid">
        <fgColor rgb="FF74A74B"/>
        <bgColor indexed="64"/>
      </patternFill>
    </fill>
    <fill>
      <patternFill patternType="solid">
        <fgColor rgb="FF689842"/>
        <bgColor indexed="64"/>
      </patternFill>
    </fill>
    <fill>
      <patternFill patternType="solid">
        <fgColor rgb="FF689845"/>
        <bgColor indexed="64"/>
      </patternFill>
    </fill>
    <fill>
      <patternFill patternType="solid">
        <fgColor rgb="FF50692E"/>
        <bgColor indexed="64"/>
      </patternFill>
    </fill>
    <fill>
      <patternFill patternType="solid">
        <fgColor rgb="FF7F5828"/>
        <bgColor indexed="64"/>
      </patternFill>
    </fill>
    <fill>
      <patternFill patternType="solid">
        <fgColor rgb="FFDC7F43"/>
        <bgColor indexed="64"/>
      </patternFill>
    </fill>
    <fill>
      <patternFill patternType="solid">
        <fgColor rgb="FFFF9751"/>
        <bgColor indexed="64"/>
      </patternFill>
    </fill>
    <fill>
      <patternFill patternType="solid">
        <fgColor rgb="FFFF974E"/>
        <bgColor indexed="64"/>
      </patternFill>
    </fill>
    <fill>
      <patternFill patternType="solid">
        <fgColor rgb="FFE78748"/>
        <bgColor indexed="64"/>
      </patternFill>
    </fill>
    <fill>
      <patternFill patternType="solid">
        <fgColor rgb="FFC67848"/>
        <bgColor indexed="64"/>
      </patternFill>
    </fill>
    <fill>
      <patternFill patternType="solid">
        <fgColor rgb="FFBA642C"/>
        <bgColor indexed="64"/>
      </patternFill>
    </fill>
    <fill>
      <patternFill patternType="solid">
        <fgColor rgb="FFFE984D"/>
        <bgColor indexed="64"/>
      </patternFill>
    </fill>
    <fill>
      <patternFill patternType="solid">
        <fgColor rgb="FFFFA15B"/>
        <bgColor indexed="64"/>
      </patternFill>
    </fill>
    <fill>
      <patternFill patternType="solid">
        <fgColor rgb="FFAD612E"/>
        <bgColor indexed="64"/>
      </patternFill>
    </fill>
    <fill>
      <patternFill patternType="solid">
        <fgColor rgb="FFBE722E"/>
        <bgColor indexed="64"/>
      </patternFill>
    </fill>
    <fill>
      <patternFill patternType="solid">
        <fgColor rgb="FFFFA354"/>
        <bgColor indexed="64"/>
      </patternFill>
    </fill>
    <fill>
      <patternFill patternType="solid">
        <fgColor rgb="FFE38953"/>
        <bgColor indexed="64"/>
      </patternFill>
    </fill>
    <fill>
      <patternFill patternType="solid">
        <fgColor rgb="FF96572A"/>
        <bgColor indexed="64"/>
      </patternFill>
    </fill>
    <fill>
      <patternFill patternType="solid">
        <fgColor rgb="FFDB9049"/>
        <bgColor indexed="64"/>
      </patternFill>
    </fill>
    <fill>
      <patternFill patternType="solid">
        <fgColor rgb="FFB17A3F"/>
        <bgColor indexed="64"/>
      </patternFill>
    </fill>
    <fill>
      <patternFill patternType="solid">
        <fgColor rgb="FF768648"/>
        <bgColor indexed="64"/>
      </patternFill>
    </fill>
    <fill>
      <patternFill patternType="solid">
        <fgColor rgb="FF759F4B"/>
        <bgColor indexed="64"/>
      </patternFill>
    </fill>
    <fill>
      <patternFill patternType="solid">
        <fgColor rgb="FF7CAB53"/>
        <bgColor indexed="64"/>
      </patternFill>
    </fill>
    <fill>
      <patternFill patternType="solid">
        <fgColor rgb="FF7AAA54"/>
        <bgColor indexed="64"/>
      </patternFill>
    </fill>
    <fill>
      <patternFill patternType="solid">
        <fgColor rgb="FF7FAE57"/>
        <bgColor indexed="64"/>
      </patternFill>
    </fill>
    <fill>
      <patternFill patternType="solid">
        <fgColor rgb="FF7FAF5A"/>
        <bgColor indexed="64"/>
      </patternFill>
    </fill>
    <fill>
      <patternFill patternType="solid">
        <fgColor rgb="FF79AB56"/>
        <bgColor indexed="64"/>
      </patternFill>
    </fill>
    <fill>
      <patternFill patternType="solid">
        <fgColor rgb="FF77A953"/>
        <bgColor indexed="64"/>
      </patternFill>
    </fill>
    <fill>
      <patternFill patternType="solid">
        <fgColor rgb="FF76A74E"/>
        <bgColor indexed="64"/>
      </patternFill>
    </fill>
    <fill>
      <patternFill patternType="solid">
        <fgColor rgb="FF74A74E"/>
        <bgColor indexed="64"/>
      </patternFill>
    </fill>
    <fill>
      <patternFill patternType="solid">
        <fgColor rgb="FF70A64A"/>
        <bgColor indexed="64"/>
      </patternFill>
    </fill>
    <fill>
      <patternFill patternType="solid">
        <fgColor rgb="FF6FA34A"/>
        <bgColor indexed="64"/>
      </patternFill>
    </fill>
    <fill>
      <patternFill patternType="solid">
        <fgColor rgb="FF6EA34C"/>
        <bgColor indexed="64"/>
      </patternFill>
    </fill>
    <fill>
      <patternFill patternType="solid">
        <fgColor rgb="FF6EA34E"/>
        <bgColor indexed="64"/>
      </patternFill>
    </fill>
    <fill>
      <patternFill patternType="solid">
        <fgColor rgb="FF70A54B"/>
        <bgColor indexed="64"/>
      </patternFill>
    </fill>
    <fill>
      <patternFill patternType="solid">
        <fgColor rgb="FF74A94A"/>
        <bgColor indexed="64"/>
      </patternFill>
    </fill>
    <fill>
      <patternFill patternType="solid">
        <fgColor rgb="FF5A853A"/>
        <bgColor indexed="64"/>
      </patternFill>
    </fill>
    <fill>
      <patternFill patternType="solid">
        <fgColor rgb="FF547B3E"/>
        <bgColor indexed="64"/>
      </patternFill>
    </fill>
    <fill>
      <patternFill patternType="solid">
        <fgColor rgb="FF354620"/>
        <bgColor indexed="64"/>
      </patternFill>
    </fill>
    <fill>
      <patternFill patternType="solid">
        <fgColor rgb="FF79582F"/>
        <bgColor indexed="64"/>
      </patternFill>
    </fill>
    <fill>
      <patternFill patternType="solid">
        <fgColor rgb="FFA36635"/>
        <bgColor indexed="64"/>
      </patternFill>
    </fill>
    <fill>
      <patternFill patternType="solid">
        <fgColor rgb="FFA86938"/>
        <bgColor indexed="64"/>
      </patternFill>
    </fill>
    <fill>
      <patternFill patternType="solid">
        <fgColor rgb="FF916E33"/>
        <bgColor indexed="64"/>
      </patternFill>
    </fill>
    <fill>
      <patternFill patternType="solid">
        <fgColor rgb="FF757433"/>
        <bgColor indexed="64"/>
      </patternFill>
    </fill>
    <fill>
      <patternFill patternType="solid">
        <fgColor rgb="FF555C2F"/>
        <bgColor indexed="64"/>
      </patternFill>
    </fill>
    <fill>
      <patternFill patternType="solid">
        <fgColor rgb="FFFA9D54"/>
        <bgColor indexed="64"/>
      </patternFill>
    </fill>
    <fill>
      <patternFill patternType="solid">
        <fgColor rgb="FFFB984E"/>
        <bgColor indexed="64"/>
      </patternFill>
    </fill>
    <fill>
      <patternFill patternType="solid">
        <fgColor rgb="FFFFA355"/>
        <bgColor indexed="64"/>
      </patternFill>
    </fill>
    <fill>
      <patternFill patternType="solid">
        <fgColor rgb="FFF99A5A"/>
        <bgColor indexed="64"/>
      </patternFill>
    </fill>
    <fill>
      <patternFill patternType="solid">
        <fgColor rgb="FF94552F"/>
        <bgColor indexed="64"/>
      </patternFill>
    </fill>
    <fill>
      <patternFill patternType="solid">
        <fgColor rgb="FF7E541B"/>
        <bgColor indexed="64"/>
      </patternFill>
    </fill>
    <fill>
      <patternFill patternType="solid">
        <fgColor rgb="FFFFB861"/>
        <bgColor indexed="64"/>
      </patternFill>
    </fill>
    <fill>
      <patternFill patternType="solid">
        <fgColor rgb="FFBF7E47"/>
        <bgColor indexed="64"/>
      </patternFill>
    </fill>
    <fill>
      <patternFill patternType="solid">
        <fgColor rgb="FF59401A"/>
        <bgColor indexed="64"/>
      </patternFill>
    </fill>
    <fill>
      <patternFill patternType="solid">
        <fgColor rgb="FF976D33"/>
        <bgColor indexed="64"/>
      </patternFill>
    </fill>
    <fill>
      <patternFill patternType="solid">
        <fgColor rgb="FFFFAC66"/>
        <bgColor indexed="64"/>
      </patternFill>
    </fill>
    <fill>
      <patternFill patternType="solid">
        <fgColor rgb="FFC17E42"/>
        <bgColor indexed="64"/>
      </patternFill>
    </fill>
    <fill>
      <patternFill patternType="solid">
        <fgColor rgb="FF7B8A43"/>
        <bgColor indexed="64"/>
      </patternFill>
    </fill>
    <fill>
      <patternFill patternType="solid">
        <fgColor rgb="FF8EBE71"/>
        <bgColor indexed="64"/>
      </patternFill>
    </fill>
    <fill>
      <patternFill patternType="solid">
        <fgColor rgb="FF85AC59"/>
        <bgColor indexed="64"/>
      </patternFill>
    </fill>
    <fill>
      <patternFill patternType="solid">
        <fgColor rgb="FF7DAC53"/>
        <bgColor indexed="64"/>
      </patternFill>
    </fill>
    <fill>
      <patternFill patternType="solid">
        <fgColor rgb="FF7BAA51"/>
        <bgColor indexed="64"/>
      </patternFill>
    </fill>
    <fill>
      <patternFill patternType="solid">
        <fgColor rgb="FF7FAE59"/>
        <bgColor indexed="64"/>
      </patternFill>
    </fill>
    <fill>
      <patternFill patternType="solid">
        <fgColor rgb="FF7FAE5B"/>
        <bgColor indexed="64"/>
      </patternFill>
    </fill>
    <fill>
      <patternFill patternType="solid">
        <fgColor rgb="FF7AAB56"/>
        <bgColor indexed="64"/>
      </patternFill>
    </fill>
    <fill>
      <patternFill patternType="solid">
        <fgColor rgb="FF76AA52"/>
        <bgColor indexed="64"/>
      </patternFill>
    </fill>
    <fill>
      <patternFill patternType="solid">
        <fgColor rgb="FF73A84F"/>
        <bgColor indexed="64"/>
      </patternFill>
    </fill>
    <fill>
      <patternFill patternType="solid">
        <fgColor rgb="FF72A64F"/>
        <bgColor indexed="64"/>
      </patternFill>
    </fill>
    <fill>
      <patternFill patternType="solid">
        <fgColor rgb="FF70A54F"/>
        <bgColor indexed="64"/>
      </patternFill>
    </fill>
    <fill>
      <patternFill patternType="solid">
        <fgColor rgb="FF72A34F"/>
        <bgColor indexed="64"/>
      </patternFill>
    </fill>
    <fill>
      <patternFill patternType="solid">
        <fgColor rgb="FF6FA34D"/>
        <bgColor indexed="64"/>
      </patternFill>
    </fill>
    <fill>
      <patternFill patternType="solid">
        <fgColor rgb="FF6FA549"/>
        <bgColor indexed="64"/>
      </patternFill>
    </fill>
    <fill>
      <patternFill patternType="solid">
        <fgColor rgb="FF73A64A"/>
        <bgColor indexed="64"/>
      </patternFill>
    </fill>
    <fill>
      <patternFill patternType="solid">
        <fgColor rgb="FF72A847"/>
        <bgColor indexed="64"/>
      </patternFill>
    </fill>
    <fill>
      <patternFill patternType="solid">
        <fgColor rgb="FF75A94B"/>
        <bgColor indexed="64"/>
      </patternFill>
    </fill>
    <fill>
      <patternFill patternType="solid">
        <fgColor rgb="FF78AC4E"/>
        <bgColor indexed="64"/>
      </patternFill>
    </fill>
    <fill>
      <patternFill patternType="solid">
        <fgColor rgb="FF74A74C"/>
        <bgColor indexed="64"/>
      </patternFill>
    </fill>
    <fill>
      <patternFill patternType="solid">
        <fgColor rgb="FF6E974A"/>
        <bgColor indexed="64"/>
      </patternFill>
    </fill>
    <fill>
      <patternFill patternType="solid">
        <fgColor rgb="FF678D42"/>
        <bgColor indexed="64"/>
      </patternFill>
    </fill>
    <fill>
      <patternFill patternType="solid">
        <fgColor rgb="FF69913E"/>
        <bgColor indexed="64"/>
      </patternFill>
    </fill>
    <fill>
      <patternFill patternType="solid">
        <fgColor rgb="FF76A646"/>
        <bgColor indexed="64"/>
      </patternFill>
    </fill>
    <fill>
      <patternFill patternType="solid">
        <fgColor rgb="FF8AAA55"/>
        <bgColor indexed="64"/>
      </patternFill>
    </fill>
    <fill>
      <patternFill patternType="solid">
        <fgColor rgb="FF846B2B"/>
        <bgColor indexed="64"/>
      </patternFill>
    </fill>
    <fill>
      <patternFill patternType="solid">
        <fgColor rgb="FFC37540"/>
        <bgColor indexed="64"/>
      </patternFill>
    </fill>
    <fill>
      <patternFill patternType="solid">
        <fgColor rgb="FF825F35"/>
        <bgColor indexed="64"/>
      </patternFill>
    </fill>
    <fill>
      <patternFill patternType="solid">
        <fgColor rgb="FF54491C"/>
        <bgColor indexed="64"/>
      </patternFill>
    </fill>
    <fill>
      <patternFill patternType="solid">
        <fgColor rgb="FFC49E53"/>
        <bgColor indexed="64"/>
      </patternFill>
    </fill>
    <fill>
      <patternFill patternType="solid">
        <fgColor rgb="FF9B7437"/>
        <bgColor indexed="64"/>
      </patternFill>
    </fill>
    <fill>
      <patternFill patternType="solid">
        <fgColor rgb="FF646937"/>
        <bgColor indexed="64"/>
      </patternFill>
    </fill>
    <fill>
      <patternFill patternType="solid">
        <fgColor rgb="FF6F7440"/>
        <bgColor indexed="64"/>
      </patternFill>
    </fill>
    <fill>
      <patternFill patternType="solid">
        <fgColor rgb="FFC99150"/>
        <bgColor indexed="64"/>
      </patternFill>
    </fill>
    <fill>
      <patternFill patternType="solid">
        <fgColor rgb="FFB37B40"/>
        <bgColor indexed="64"/>
      </patternFill>
    </fill>
    <fill>
      <patternFill patternType="solid">
        <fgColor rgb="FF7A7E3B"/>
        <bgColor indexed="64"/>
      </patternFill>
    </fill>
    <fill>
      <patternFill patternType="solid">
        <fgColor rgb="FF88B767"/>
        <bgColor indexed="64"/>
      </patternFill>
    </fill>
    <fill>
      <patternFill patternType="solid">
        <fgColor rgb="FF85B46B"/>
        <bgColor indexed="64"/>
      </patternFill>
    </fill>
    <fill>
      <patternFill patternType="solid">
        <fgColor rgb="FF708D43"/>
        <bgColor indexed="64"/>
      </patternFill>
    </fill>
    <fill>
      <patternFill patternType="solid">
        <fgColor rgb="FF7FAD52"/>
        <bgColor indexed="64"/>
      </patternFill>
    </fill>
    <fill>
      <patternFill patternType="solid">
        <fgColor rgb="FF7AAA4F"/>
        <bgColor indexed="64"/>
      </patternFill>
    </fill>
    <fill>
      <patternFill patternType="solid">
        <fgColor rgb="FF7BAB51"/>
        <bgColor indexed="64"/>
      </patternFill>
    </fill>
    <fill>
      <patternFill patternType="solid">
        <fgColor rgb="FF7EAD56"/>
        <bgColor indexed="64"/>
      </patternFill>
    </fill>
    <fill>
      <patternFill patternType="solid">
        <fgColor rgb="FF80AE59"/>
        <bgColor indexed="64"/>
      </patternFill>
    </fill>
    <fill>
      <patternFill patternType="solid">
        <fgColor rgb="FF81AD58"/>
        <bgColor indexed="64"/>
      </patternFill>
    </fill>
    <fill>
      <patternFill patternType="solid">
        <fgColor rgb="FF7AA952"/>
        <bgColor indexed="64"/>
      </patternFill>
    </fill>
    <fill>
      <patternFill patternType="solid">
        <fgColor rgb="FF74A851"/>
        <bgColor indexed="64"/>
      </patternFill>
    </fill>
    <fill>
      <patternFill patternType="solid">
        <fgColor rgb="FF73A64F"/>
        <bgColor indexed="64"/>
      </patternFill>
    </fill>
    <fill>
      <patternFill patternType="solid">
        <fgColor rgb="FF72A74F"/>
        <bgColor indexed="64"/>
      </patternFill>
    </fill>
    <fill>
      <patternFill patternType="solid">
        <fgColor rgb="FF71A74A"/>
        <bgColor indexed="64"/>
      </patternFill>
    </fill>
    <fill>
      <patternFill patternType="solid">
        <fgColor rgb="FF71A649"/>
        <bgColor indexed="64"/>
      </patternFill>
    </fill>
    <fill>
      <patternFill patternType="solid">
        <fgColor rgb="FF72A84B"/>
        <bgColor indexed="64"/>
      </patternFill>
    </fill>
    <fill>
      <patternFill patternType="solid">
        <fgColor rgb="FF74A649"/>
        <bgColor indexed="64"/>
      </patternFill>
    </fill>
    <fill>
      <patternFill patternType="solid">
        <fgColor rgb="FF77AA45"/>
        <bgColor indexed="64"/>
      </patternFill>
    </fill>
    <fill>
      <patternFill patternType="solid">
        <fgColor rgb="FF75AC48"/>
        <bgColor indexed="64"/>
      </patternFill>
    </fill>
    <fill>
      <patternFill patternType="solid">
        <fgColor rgb="FF76AB48"/>
        <bgColor indexed="64"/>
      </patternFill>
    </fill>
    <fill>
      <patternFill patternType="solid">
        <fgColor rgb="FF83B54F"/>
        <bgColor indexed="64"/>
      </patternFill>
    </fill>
    <fill>
      <patternFill patternType="solid">
        <fgColor rgb="FF8DA558"/>
        <bgColor indexed="64"/>
      </patternFill>
    </fill>
    <fill>
      <patternFill patternType="solid">
        <fgColor rgb="FF705C26"/>
        <bgColor indexed="64"/>
      </patternFill>
    </fill>
    <fill>
      <patternFill patternType="solid">
        <fgColor rgb="FFC78948"/>
        <bgColor indexed="64"/>
      </patternFill>
    </fill>
    <fill>
      <patternFill patternType="solid">
        <fgColor rgb="FFD08C47"/>
        <bgColor indexed="64"/>
      </patternFill>
    </fill>
    <fill>
      <patternFill patternType="solid">
        <fgColor rgb="FFCA883B"/>
        <bgColor indexed="64"/>
      </patternFill>
    </fill>
    <fill>
      <patternFill patternType="solid">
        <fgColor rgb="FFCC934B"/>
        <bgColor indexed="64"/>
      </patternFill>
    </fill>
    <fill>
      <patternFill patternType="solid">
        <fgColor rgb="FF82673F"/>
        <bgColor indexed="64"/>
      </patternFill>
    </fill>
    <fill>
      <patternFill patternType="solid">
        <fgColor rgb="FF454F25"/>
        <bgColor indexed="64"/>
      </patternFill>
    </fill>
    <fill>
      <patternFill patternType="solid">
        <fgColor rgb="FF6A7E4C"/>
        <bgColor indexed="64"/>
      </patternFill>
    </fill>
    <fill>
      <patternFill patternType="solid">
        <fgColor rgb="FF72673A"/>
        <bgColor indexed="64"/>
      </patternFill>
    </fill>
    <fill>
      <patternFill patternType="solid">
        <fgColor rgb="FF7A6D37"/>
        <bgColor indexed="64"/>
      </patternFill>
    </fill>
    <fill>
      <patternFill patternType="solid">
        <fgColor rgb="FF66813D"/>
        <bgColor indexed="64"/>
      </patternFill>
    </fill>
    <fill>
      <patternFill patternType="solid">
        <fgColor rgb="FF8DB870"/>
        <bgColor indexed="64"/>
      </patternFill>
    </fill>
    <fill>
      <patternFill patternType="solid">
        <fgColor rgb="FF5A6C43"/>
        <bgColor indexed="64"/>
      </patternFill>
    </fill>
    <fill>
      <patternFill patternType="solid">
        <fgColor rgb="FF5F5E2F"/>
        <bgColor indexed="64"/>
      </patternFill>
    </fill>
    <fill>
      <patternFill patternType="solid">
        <fgColor rgb="FF6F8A44"/>
        <bgColor indexed="64"/>
      </patternFill>
    </fill>
    <fill>
      <patternFill patternType="solid">
        <fgColor rgb="FF84B565"/>
        <bgColor indexed="64"/>
      </patternFill>
    </fill>
    <fill>
      <patternFill patternType="solid">
        <fgColor rgb="FF7DB163"/>
        <bgColor indexed="64"/>
      </patternFill>
    </fill>
    <fill>
      <patternFill patternType="solid">
        <fgColor rgb="FF82B26B"/>
        <bgColor indexed="64"/>
      </patternFill>
    </fill>
    <fill>
      <patternFill patternType="solid">
        <fgColor rgb="FF67913E"/>
        <bgColor indexed="64"/>
      </patternFill>
    </fill>
    <fill>
      <patternFill patternType="solid">
        <fgColor rgb="FF7FAD53"/>
        <bgColor indexed="64"/>
      </patternFill>
    </fill>
    <fill>
      <patternFill patternType="solid">
        <fgColor rgb="FF7CAA52"/>
        <bgColor indexed="64"/>
      </patternFill>
    </fill>
    <fill>
      <patternFill patternType="solid">
        <fgColor rgb="FF7FAD59"/>
        <bgColor indexed="64"/>
      </patternFill>
    </fill>
    <fill>
      <patternFill patternType="solid">
        <fgColor rgb="FF81B057"/>
        <bgColor indexed="64"/>
      </patternFill>
    </fill>
    <fill>
      <patternFill patternType="solid">
        <fgColor rgb="FF83B459"/>
        <bgColor indexed="64"/>
      </patternFill>
    </fill>
    <fill>
      <patternFill patternType="solid">
        <fgColor rgb="FF79AA51"/>
        <bgColor indexed="64"/>
      </patternFill>
    </fill>
    <fill>
      <patternFill patternType="solid">
        <fgColor rgb="FF74A74D"/>
        <bgColor indexed="64"/>
      </patternFill>
    </fill>
    <fill>
      <patternFill patternType="solid">
        <fgColor rgb="FF76AA51"/>
        <bgColor indexed="64"/>
      </patternFill>
    </fill>
    <fill>
      <patternFill patternType="solid">
        <fgColor rgb="FF75A850"/>
        <bgColor indexed="64"/>
      </patternFill>
    </fill>
    <fill>
      <patternFill patternType="solid">
        <fgColor rgb="FF73A64C"/>
        <bgColor indexed="64"/>
      </patternFill>
    </fill>
    <fill>
      <patternFill patternType="solid">
        <fgColor rgb="FF73A74C"/>
        <bgColor indexed="64"/>
      </patternFill>
    </fill>
    <fill>
      <patternFill patternType="solid">
        <fgColor rgb="FF70A74C"/>
        <bgColor indexed="64"/>
      </patternFill>
    </fill>
    <fill>
      <patternFill patternType="solid">
        <fgColor rgb="FF72A64C"/>
        <bgColor indexed="64"/>
      </patternFill>
    </fill>
    <fill>
      <patternFill patternType="solid">
        <fgColor rgb="FF74A74A"/>
        <bgColor indexed="64"/>
      </patternFill>
    </fill>
    <fill>
      <patternFill patternType="solid">
        <fgColor rgb="FF75A949"/>
        <bgColor indexed="64"/>
      </patternFill>
    </fill>
    <fill>
      <patternFill patternType="solid">
        <fgColor rgb="FF79AD4C"/>
        <bgColor indexed="64"/>
      </patternFill>
    </fill>
    <fill>
      <patternFill patternType="solid">
        <fgColor rgb="FF78A94E"/>
        <bgColor indexed="64"/>
      </patternFill>
    </fill>
    <fill>
      <patternFill patternType="solid">
        <fgColor rgb="FF688949"/>
        <bgColor indexed="64"/>
      </patternFill>
    </fill>
    <fill>
      <patternFill patternType="solid">
        <fgColor rgb="FF665F37"/>
        <bgColor indexed="64"/>
      </patternFill>
    </fill>
    <fill>
      <patternFill patternType="solid">
        <fgColor rgb="FFB38B54"/>
        <bgColor indexed="64"/>
      </patternFill>
    </fill>
    <fill>
      <patternFill patternType="solid">
        <fgColor rgb="FFBC8C55"/>
        <bgColor indexed="64"/>
      </patternFill>
    </fill>
    <fill>
      <patternFill patternType="solid">
        <fgColor rgb="FF72532E"/>
        <bgColor indexed="64"/>
      </patternFill>
    </fill>
    <fill>
      <patternFill patternType="solid">
        <fgColor rgb="FF5B4621"/>
        <bgColor indexed="64"/>
      </patternFill>
    </fill>
    <fill>
      <patternFill patternType="solid">
        <fgColor rgb="FF4F441E"/>
        <bgColor indexed="64"/>
      </patternFill>
    </fill>
    <fill>
      <patternFill patternType="solid">
        <fgColor rgb="FF37461F"/>
        <bgColor indexed="64"/>
      </patternFill>
    </fill>
    <fill>
      <patternFill patternType="solid">
        <fgColor rgb="FF5E8047"/>
        <bgColor indexed="64"/>
      </patternFill>
    </fill>
    <fill>
      <patternFill patternType="solid">
        <fgColor rgb="FF465429"/>
        <bgColor indexed="64"/>
      </patternFill>
    </fill>
    <fill>
      <patternFill patternType="solid">
        <fgColor rgb="FF696E34"/>
        <bgColor indexed="64"/>
      </patternFill>
    </fill>
    <fill>
      <patternFill patternType="solid">
        <fgColor rgb="FF8BA960"/>
        <bgColor indexed="64"/>
      </patternFill>
    </fill>
    <fill>
      <patternFill patternType="solid">
        <fgColor rgb="FF8DB96E"/>
        <bgColor indexed="64"/>
      </patternFill>
    </fill>
    <fill>
      <patternFill patternType="solid">
        <fgColor rgb="FF7FB063"/>
        <bgColor indexed="64"/>
      </patternFill>
    </fill>
    <fill>
      <patternFill patternType="solid">
        <fgColor rgb="FF72A15C"/>
        <bgColor indexed="64"/>
      </patternFill>
    </fill>
    <fill>
      <patternFill patternType="solid">
        <fgColor rgb="FF6FA059"/>
        <bgColor indexed="64"/>
      </patternFill>
    </fill>
    <fill>
      <patternFill patternType="solid">
        <fgColor rgb="FF7FB467"/>
        <bgColor indexed="64"/>
      </patternFill>
    </fill>
    <fill>
      <patternFill patternType="solid">
        <fgColor rgb="FF7FB265"/>
        <bgColor indexed="64"/>
      </patternFill>
    </fill>
    <fill>
      <patternFill patternType="solid">
        <fgColor rgb="FF7FB263"/>
        <bgColor indexed="64"/>
      </patternFill>
    </fill>
    <fill>
      <patternFill patternType="solid">
        <fgColor rgb="FF81B36D"/>
        <bgColor indexed="64"/>
      </patternFill>
    </fill>
    <fill>
      <patternFill patternType="solid">
        <fgColor rgb="FF2997FF"/>
        <bgColor indexed="64"/>
      </patternFill>
    </fill>
    <fill>
      <patternFill patternType="solid">
        <fgColor rgb="FF2994FB"/>
        <bgColor indexed="64"/>
      </patternFill>
    </fill>
    <fill>
      <patternFill patternType="solid">
        <fgColor rgb="FF2994FC"/>
        <bgColor indexed="64"/>
      </patternFill>
    </fill>
    <fill>
      <patternFill patternType="solid">
        <fgColor rgb="FF2B96FC"/>
        <bgColor indexed="64"/>
      </patternFill>
    </fill>
    <fill>
      <patternFill patternType="solid">
        <fgColor rgb="FF2B97FC"/>
        <bgColor indexed="64"/>
      </patternFill>
    </fill>
    <fill>
      <patternFill patternType="solid">
        <fgColor rgb="FF2C98FC"/>
        <bgColor indexed="64"/>
      </patternFill>
    </fill>
    <fill>
      <patternFill patternType="solid">
        <fgColor rgb="FF2D99FD"/>
        <bgColor indexed="64"/>
      </patternFill>
    </fill>
    <fill>
      <patternFill patternType="solid">
        <fgColor rgb="FF2C99FE"/>
        <bgColor indexed="64"/>
      </patternFill>
    </fill>
    <fill>
      <patternFill patternType="solid">
        <fgColor rgb="FF2D99FE"/>
        <bgColor indexed="64"/>
      </patternFill>
    </fill>
    <fill>
      <patternFill patternType="solid">
        <fgColor rgb="FF2D9AFE"/>
        <bgColor indexed="64"/>
      </patternFill>
    </fill>
    <fill>
      <patternFill patternType="solid">
        <fgColor rgb="FF2E9BFD"/>
        <bgColor indexed="64"/>
      </patternFill>
    </fill>
    <fill>
      <patternFill patternType="solid">
        <fgColor rgb="FF2E9CFC"/>
        <bgColor indexed="64"/>
      </patternFill>
    </fill>
    <fill>
      <patternFill patternType="solid">
        <fgColor rgb="FF319CFD"/>
        <bgColor indexed="64"/>
      </patternFill>
    </fill>
    <fill>
      <patternFill patternType="solid">
        <fgColor rgb="FF319DFE"/>
        <bgColor indexed="64"/>
      </patternFill>
    </fill>
    <fill>
      <patternFill patternType="solid">
        <fgColor rgb="FF329FFD"/>
        <bgColor indexed="64"/>
      </patternFill>
    </fill>
    <fill>
      <patternFill patternType="solid">
        <fgColor rgb="FF329EFC"/>
        <bgColor indexed="64"/>
      </patternFill>
    </fill>
    <fill>
      <patternFill patternType="solid">
        <fgColor rgb="FF32A0FC"/>
        <bgColor indexed="64"/>
      </patternFill>
    </fill>
    <fill>
      <patternFill patternType="solid">
        <fgColor rgb="FF35A1FD"/>
        <bgColor indexed="64"/>
      </patternFill>
    </fill>
    <fill>
      <patternFill patternType="solid">
        <fgColor rgb="FF34A1FE"/>
        <bgColor indexed="64"/>
      </patternFill>
    </fill>
    <fill>
      <patternFill patternType="solid">
        <fgColor rgb="FF33A0FC"/>
        <bgColor indexed="64"/>
      </patternFill>
    </fill>
    <fill>
      <patternFill patternType="solid">
        <fgColor rgb="FF34A1FD"/>
        <bgColor indexed="64"/>
      </patternFill>
    </fill>
    <fill>
      <patternFill patternType="solid">
        <fgColor rgb="FF33A1FC"/>
        <bgColor indexed="64"/>
      </patternFill>
    </fill>
    <fill>
      <patternFill patternType="solid">
        <fgColor rgb="FF35A2FE"/>
        <bgColor indexed="64"/>
      </patternFill>
    </fill>
    <fill>
      <patternFill patternType="solid">
        <fgColor rgb="FF36A2FD"/>
        <bgColor indexed="64"/>
      </patternFill>
    </fill>
    <fill>
      <patternFill patternType="solid">
        <fgColor rgb="FF35A2FD"/>
        <bgColor indexed="64"/>
      </patternFill>
    </fill>
    <fill>
      <patternFill patternType="solid">
        <fgColor rgb="FF34A2FF"/>
        <bgColor indexed="64"/>
      </patternFill>
    </fill>
    <fill>
      <patternFill patternType="solid">
        <fgColor rgb="FF34A2FD"/>
        <bgColor indexed="64"/>
      </patternFill>
    </fill>
    <fill>
      <patternFill patternType="solid">
        <fgColor rgb="FF34A2FE"/>
        <bgColor indexed="64"/>
      </patternFill>
    </fill>
    <fill>
      <patternFill patternType="solid">
        <fgColor rgb="FF34A3FE"/>
        <bgColor indexed="64"/>
      </patternFill>
    </fill>
    <fill>
      <patternFill patternType="solid">
        <fgColor rgb="FF33A4FD"/>
        <bgColor indexed="64"/>
      </patternFill>
    </fill>
    <fill>
      <patternFill patternType="solid">
        <fgColor rgb="FF34A2FC"/>
        <bgColor indexed="64"/>
      </patternFill>
    </fill>
    <fill>
      <patternFill patternType="solid">
        <fgColor rgb="FF34A4FE"/>
        <bgColor indexed="64"/>
      </patternFill>
    </fill>
    <fill>
      <patternFill patternType="solid">
        <fgColor rgb="FF35A4FD"/>
        <bgColor indexed="64"/>
      </patternFill>
    </fill>
    <fill>
      <patternFill patternType="solid">
        <fgColor rgb="FF34A5FD"/>
        <bgColor indexed="64"/>
      </patternFill>
    </fill>
    <fill>
      <patternFill patternType="solid">
        <fgColor rgb="FF34A4FD"/>
        <bgColor indexed="64"/>
      </patternFill>
    </fill>
    <fill>
      <patternFill patternType="solid">
        <fgColor rgb="FF33A5FD"/>
        <bgColor indexed="64"/>
      </patternFill>
    </fill>
    <fill>
      <patternFill patternType="solid">
        <fgColor rgb="FF34A4FF"/>
        <bgColor indexed="64"/>
      </patternFill>
    </fill>
    <fill>
      <patternFill patternType="solid">
        <fgColor rgb="FF33A4FE"/>
        <bgColor indexed="64"/>
      </patternFill>
    </fill>
    <fill>
      <patternFill patternType="solid">
        <fgColor rgb="FF32A3FD"/>
        <bgColor indexed="64"/>
      </patternFill>
    </fill>
    <fill>
      <patternFill patternType="solid">
        <fgColor rgb="FF32A2FE"/>
        <bgColor indexed="64"/>
      </patternFill>
    </fill>
    <fill>
      <patternFill patternType="solid">
        <fgColor rgb="FF31A2FD"/>
        <bgColor indexed="64"/>
      </patternFill>
    </fill>
    <fill>
      <patternFill patternType="solid">
        <fgColor rgb="FF30A3FD"/>
        <bgColor indexed="64"/>
      </patternFill>
    </fill>
    <fill>
      <patternFill patternType="solid">
        <fgColor rgb="FF31A1FD"/>
        <bgColor indexed="64"/>
      </patternFill>
    </fill>
    <fill>
      <patternFill patternType="solid">
        <fgColor rgb="FF32A3FE"/>
        <bgColor indexed="64"/>
      </patternFill>
    </fill>
    <fill>
      <patternFill patternType="solid">
        <fgColor rgb="FF31A5FD"/>
        <bgColor indexed="64"/>
      </patternFill>
    </fill>
    <fill>
      <patternFill patternType="solid">
        <fgColor rgb="FF31A4FD"/>
        <bgColor indexed="64"/>
      </patternFill>
    </fill>
    <fill>
      <patternFill patternType="solid">
        <fgColor rgb="FF30A4FD"/>
        <bgColor indexed="64"/>
      </patternFill>
    </fill>
    <fill>
      <patternFill patternType="solid">
        <fgColor rgb="FF30A3FE"/>
        <bgColor indexed="64"/>
      </patternFill>
    </fill>
    <fill>
      <patternFill patternType="solid">
        <fgColor rgb="FF31A3FC"/>
        <bgColor indexed="64"/>
      </patternFill>
    </fill>
    <fill>
      <patternFill patternType="solid">
        <fgColor rgb="FF30A6FE"/>
        <bgColor indexed="64"/>
      </patternFill>
    </fill>
    <fill>
      <patternFill patternType="solid">
        <fgColor rgb="FF30A2F9"/>
        <bgColor indexed="64"/>
      </patternFill>
    </fill>
    <fill>
      <patternFill patternType="solid">
        <fgColor rgb="FF3288CF"/>
        <bgColor indexed="64"/>
      </patternFill>
    </fill>
    <fill>
      <patternFill patternType="solid">
        <fgColor rgb="FF2AA0FE"/>
        <bgColor indexed="64"/>
      </patternFill>
    </fill>
    <fill>
      <patternFill patternType="solid">
        <fgColor rgb="FF2FA8FF"/>
        <bgColor indexed="64"/>
      </patternFill>
    </fill>
    <fill>
      <patternFill patternType="solid">
        <fgColor rgb="FF27A0FF"/>
        <bgColor indexed="64"/>
      </patternFill>
    </fill>
    <fill>
      <patternFill patternType="solid">
        <fgColor rgb="FF25A2FF"/>
        <bgColor indexed="64"/>
      </patternFill>
    </fill>
    <fill>
      <patternFill patternType="solid">
        <fgColor rgb="FF279AFD"/>
        <bgColor indexed="64"/>
      </patternFill>
    </fill>
    <fill>
      <patternFill patternType="solid">
        <fgColor rgb="FF2C92E9"/>
        <bgColor indexed="64"/>
      </patternFill>
    </fill>
    <fill>
      <patternFill patternType="solid">
        <fgColor rgb="FF2BA2FE"/>
        <bgColor indexed="64"/>
      </patternFill>
    </fill>
    <fill>
      <patternFill patternType="solid">
        <fgColor rgb="FF29A2FE"/>
        <bgColor indexed="64"/>
      </patternFill>
    </fill>
    <fill>
      <patternFill patternType="solid">
        <fgColor rgb="FF3387D9"/>
        <bgColor indexed="64"/>
      </patternFill>
    </fill>
    <fill>
      <patternFill patternType="solid">
        <fgColor rgb="FF8E7F7C"/>
        <bgColor indexed="64"/>
      </patternFill>
    </fill>
    <fill>
      <patternFill patternType="solid">
        <fgColor rgb="FFEE934D"/>
        <bgColor indexed="64"/>
      </patternFill>
    </fill>
    <fill>
      <patternFill patternType="solid">
        <fgColor rgb="FFD8783F"/>
        <bgColor indexed="64"/>
      </patternFill>
    </fill>
    <fill>
      <patternFill patternType="solid">
        <fgColor rgb="FF676986"/>
        <bgColor indexed="64"/>
      </patternFill>
    </fill>
    <fill>
      <patternFill patternType="solid">
        <fgColor rgb="FF2A9FFD"/>
        <bgColor indexed="64"/>
      </patternFill>
    </fill>
    <fill>
      <patternFill patternType="solid">
        <fgColor rgb="FF2EA0FB"/>
        <bgColor indexed="64"/>
      </patternFill>
    </fill>
    <fill>
      <patternFill patternType="solid">
        <fgColor rgb="FF2CA0FB"/>
        <bgColor indexed="64"/>
      </patternFill>
    </fill>
    <fill>
      <patternFill patternType="solid">
        <fgColor rgb="FF29A3FF"/>
        <bgColor indexed="64"/>
      </patternFill>
    </fill>
    <fill>
      <patternFill patternType="solid">
        <fgColor rgb="FF1C98FF"/>
        <bgColor indexed="64"/>
      </patternFill>
    </fill>
    <fill>
      <patternFill patternType="solid">
        <fgColor rgb="FF1B95FF"/>
        <bgColor indexed="64"/>
      </patternFill>
    </fill>
    <fill>
      <patternFill patternType="solid">
        <fgColor rgb="FF168EFC"/>
        <bgColor indexed="64"/>
      </patternFill>
    </fill>
    <fill>
      <patternFill patternType="solid">
        <fgColor rgb="FF1B8DFC"/>
        <bgColor indexed="64"/>
      </patternFill>
    </fill>
    <fill>
      <patternFill patternType="solid">
        <fgColor rgb="FF1A91FF"/>
        <bgColor indexed="64"/>
      </patternFill>
    </fill>
    <fill>
      <patternFill patternType="solid">
        <fgColor rgb="FF1F98FF"/>
        <bgColor indexed="64"/>
      </patternFill>
    </fill>
    <fill>
      <patternFill patternType="solid">
        <fgColor rgb="FF2597FF"/>
        <bgColor indexed="64"/>
      </patternFill>
    </fill>
    <fill>
      <patternFill patternType="solid">
        <fgColor rgb="FF2696FF"/>
        <bgColor indexed="64"/>
      </patternFill>
    </fill>
    <fill>
      <patternFill patternType="solid">
        <fgColor rgb="FF259AFF"/>
        <bgColor indexed="64"/>
      </patternFill>
    </fill>
    <fill>
      <patternFill patternType="solid">
        <fgColor rgb="FF237FE7"/>
        <bgColor indexed="64"/>
      </patternFill>
    </fill>
    <fill>
      <patternFill patternType="solid">
        <fgColor rgb="FF8A5B59"/>
        <bgColor indexed="64"/>
      </patternFill>
    </fill>
    <fill>
      <patternFill patternType="solid">
        <fgColor rgb="FF55516D"/>
        <bgColor indexed="64"/>
      </patternFill>
    </fill>
    <fill>
      <patternFill patternType="solid">
        <fgColor rgb="FF1371DA"/>
        <bgColor indexed="64"/>
      </patternFill>
    </fill>
    <fill>
      <patternFill patternType="solid">
        <fgColor rgb="FF1A7CE9"/>
        <bgColor indexed="64"/>
      </patternFill>
    </fill>
    <fill>
      <patternFill patternType="solid">
        <fgColor rgb="FF1274E8"/>
        <bgColor indexed="64"/>
      </patternFill>
    </fill>
    <fill>
      <patternFill patternType="solid">
        <fgColor rgb="FF137DF4"/>
        <bgColor indexed="64"/>
      </patternFill>
    </fill>
    <fill>
      <patternFill patternType="solid">
        <fgColor rgb="FF2995FE"/>
        <bgColor indexed="64"/>
      </patternFill>
    </fill>
    <fill>
      <patternFill patternType="solid">
        <fgColor rgb="FF2A94F8"/>
        <bgColor indexed="64"/>
      </patternFill>
    </fill>
    <fill>
      <patternFill patternType="solid">
        <fgColor rgb="FF2A96F9"/>
        <bgColor indexed="64"/>
      </patternFill>
    </fill>
    <fill>
      <patternFill patternType="solid">
        <fgColor rgb="FF2B96FA"/>
        <bgColor indexed="64"/>
      </patternFill>
    </fill>
    <fill>
      <patternFill patternType="solid">
        <fgColor rgb="FF2B97FA"/>
        <bgColor indexed="64"/>
      </patternFill>
    </fill>
    <fill>
      <patternFill patternType="solid">
        <fgColor rgb="FF2B98F9"/>
        <bgColor indexed="64"/>
      </patternFill>
    </fill>
    <fill>
      <patternFill patternType="solid">
        <fgColor rgb="FF2C97FA"/>
        <bgColor indexed="64"/>
      </patternFill>
    </fill>
    <fill>
      <patternFill patternType="solid">
        <fgColor rgb="FF2D98FB"/>
        <bgColor indexed="64"/>
      </patternFill>
    </fill>
    <fill>
      <patternFill patternType="solid">
        <fgColor rgb="FF2D98FA"/>
        <bgColor indexed="64"/>
      </patternFill>
    </fill>
    <fill>
      <patternFill patternType="solid">
        <fgColor rgb="FF2D99FA"/>
        <bgColor indexed="64"/>
      </patternFill>
    </fill>
    <fill>
      <patternFill patternType="solid">
        <fgColor rgb="FF2D99FB"/>
        <bgColor indexed="64"/>
      </patternFill>
    </fill>
    <fill>
      <patternFill patternType="solid">
        <fgColor rgb="FF2E9AFA"/>
        <bgColor indexed="64"/>
      </patternFill>
    </fill>
    <fill>
      <patternFill patternType="solid">
        <fgColor rgb="FF2F9BFA"/>
        <bgColor indexed="64"/>
      </patternFill>
    </fill>
    <fill>
      <patternFill patternType="solid">
        <fgColor rgb="FF319CFA"/>
        <bgColor indexed="64"/>
      </patternFill>
    </fill>
    <fill>
      <patternFill patternType="solid">
        <fgColor rgb="FF319BFA"/>
        <bgColor indexed="64"/>
      </patternFill>
    </fill>
    <fill>
      <patternFill patternType="solid">
        <fgColor rgb="FF309EFC"/>
        <bgColor indexed="64"/>
      </patternFill>
    </fill>
    <fill>
      <patternFill patternType="solid">
        <fgColor rgb="FF2E9EFC"/>
        <bgColor indexed="64"/>
      </patternFill>
    </fill>
    <fill>
      <patternFill patternType="solid">
        <fgColor rgb="FF319CF9"/>
        <bgColor indexed="64"/>
      </patternFill>
    </fill>
    <fill>
      <patternFill patternType="solid">
        <fgColor rgb="FF329CFA"/>
        <bgColor indexed="64"/>
      </patternFill>
    </fill>
    <fill>
      <patternFill patternType="solid">
        <fgColor rgb="FF329DFA"/>
        <bgColor indexed="64"/>
      </patternFill>
    </fill>
    <fill>
      <patternFill patternType="solid">
        <fgColor rgb="FF329CF8"/>
        <bgColor indexed="64"/>
      </patternFill>
    </fill>
    <fill>
      <patternFill patternType="solid">
        <fgColor rgb="FF35A1FE"/>
        <bgColor indexed="64"/>
      </patternFill>
    </fill>
    <fill>
      <patternFill patternType="solid">
        <fgColor rgb="FF339FFB"/>
        <bgColor indexed="64"/>
      </patternFill>
    </fill>
    <fill>
      <patternFill patternType="solid">
        <fgColor rgb="FF349FFB"/>
        <bgColor indexed="64"/>
      </patternFill>
    </fill>
    <fill>
      <patternFill patternType="solid">
        <fgColor rgb="FF35A1FA"/>
        <bgColor indexed="64"/>
      </patternFill>
    </fill>
    <fill>
      <patternFill patternType="solid">
        <fgColor rgb="FF34A1FB"/>
        <bgColor indexed="64"/>
      </patternFill>
    </fill>
    <fill>
      <patternFill patternType="solid">
        <fgColor rgb="FF34A0FA"/>
        <bgColor indexed="64"/>
      </patternFill>
    </fill>
    <fill>
      <patternFill patternType="solid">
        <fgColor rgb="FF34A1FA"/>
        <bgColor indexed="64"/>
      </patternFill>
    </fill>
    <fill>
      <patternFill patternType="solid">
        <fgColor rgb="FF34A0FB"/>
        <bgColor indexed="64"/>
      </patternFill>
    </fill>
    <fill>
      <patternFill patternType="solid">
        <fgColor rgb="FF33A1FB"/>
        <bgColor indexed="64"/>
      </patternFill>
    </fill>
    <fill>
      <patternFill patternType="solid">
        <fgColor rgb="FF35A3FA"/>
        <bgColor indexed="64"/>
      </patternFill>
    </fill>
    <fill>
      <patternFill patternType="solid">
        <fgColor rgb="FF35A2FB"/>
        <bgColor indexed="64"/>
      </patternFill>
    </fill>
    <fill>
      <patternFill patternType="solid">
        <fgColor rgb="FF35A2FA"/>
        <bgColor indexed="64"/>
      </patternFill>
    </fill>
    <fill>
      <patternFill patternType="solid">
        <fgColor rgb="FF34A3FB"/>
        <bgColor indexed="64"/>
      </patternFill>
    </fill>
    <fill>
      <patternFill patternType="solid">
        <fgColor rgb="FF33A3FB"/>
        <bgColor indexed="64"/>
      </patternFill>
    </fill>
    <fill>
      <patternFill patternType="solid">
        <fgColor rgb="FF35A3FB"/>
        <bgColor indexed="64"/>
      </patternFill>
    </fill>
    <fill>
      <patternFill patternType="solid">
        <fgColor rgb="FF33A4FB"/>
        <bgColor indexed="64"/>
      </patternFill>
    </fill>
    <fill>
      <patternFill patternType="solid">
        <fgColor rgb="FF33A5FB"/>
        <bgColor indexed="64"/>
      </patternFill>
    </fill>
    <fill>
      <patternFill patternType="solid">
        <fgColor rgb="FF32A3FB"/>
        <bgColor indexed="64"/>
      </patternFill>
    </fill>
    <fill>
      <patternFill patternType="solid">
        <fgColor rgb="FF31A2FB"/>
        <bgColor indexed="64"/>
      </patternFill>
    </fill>
    <fill>
      <patternFill patternType="solid">
        <fgColor rgb="FF32A1FB"/>
        <bgColor indexed="64"/>
      </patternFill>
    </fill>
    <fill>
      <patternFill patternType="solid">
        <fgColor rgb="FF32A2FB"/>
        <bgColor indexed="64"/>
      </patternFill>
    </fill>
    <fill>
      <patternFill patternType="solid">
        <fgColor rgb="FF32A3FC"/>
        <bgColor indexed="64"/>
      </patternFill>
    </fill>
    <fill>
      <patternFill patternType="solid">
        <fgColor rgb="FF31A3FB"/>
        <bgColor indexed="64"/>
      </patternFill>
    </fill>
    <fill>
      <patternFill patternType="solid">
        <fgColor rgb="FF32A4FB"/>
        <bgColor indexed="64"/>
      </patternFill>
    </fill>
    <fill>
      <patternFill patternType="solid">
        <fgColor rgb="FF34A5FA"/>
        <bgColor indexed="64"/>
      </patternFill>
    </fill>
    <fill>
      <patternFill patternType="solid">
        <fgColor rgb="FF33A2FB"/>
        <bgColor indexed="64"/>
      </patternFill>
    </fill>
    <fill>
      <patternFill patternType="solid">
        <fgColor rgb="FF31A2FA"/>
        <bgColor indexed="64"/>
      </patternFill>
    </fill>
    <fill>
      <patternFill patternType="solid">
        <fgColor rgb="FF30A1FA"/>
        <bgColor indexed="64"/>
      </patternFill>
    </fill>
    <fill>
      <patternFill patternType="solid">
        <fgColor rgb="FF2891E5"/>
        <bgColor indexed="64"/>
      </patternFill>
    </fill>
    <fill>
      <patternFill patternType="solid">
        <fgColor rgb="FF9AA450"/>
        <bgColor indexed="64"/>
      </patternFill>
    </fill>
    <fill>
      <patternFill patternType="solid">
        <fgColor rgb="FF689E99"/>
        <bgColor indexed="64"/>
      </patternFill>
    </fill>
    <fill>
      <patternFill patternType="solid">
        <fgColor rgb="FF3089CD"/>
        <bgColor indexed="64"/>
      </patternFill>
    </fill>
    <fill>
      <patternFill patternType="solid">
        <fgColor rgb="FF769D8D"/>
        <bgColor indexed="64"/>
      </patternFill>
    </fill>
    <fill>
      <patternFill patternType="solid">
        <fgColor rgb="FF6C9E9E"/>
        <bgColor indexed="64"/>
      </patternFill>
    </fill>
    <fill>
      <patternFill patternType="solid">
        <fgColor rgb="FF669291"/>
        <bgColor indexed="64"/>
      </patternFill>
    </fill>
    <fill>
      <patternFill patternType="solid">
        <fgColor rgb="FF4396CE"/>
        <bgColor indexed="64"/>
      </patternFill>
    </fill>
    <fill>
      <patternFill patternType="solid">
        <fgColor rgb="FF29A1FF"/>
        <bgColor indexed="64"/>
      </patternFill>
    </fill>
    <fill>
      <patternFill patternType="solid">
        <fgColor rgb="FF2B9DF8"/>
        <bgColor indexed="64"/>
      </patternFill>
    </fill>
    <fill>
      <patternFill patternType="solid">
        <fgColor rgb="FF2AA2FF"/>
        <bgColor indexed="64"/>
      </patternFill>
    </fill>
    <fill>
      <patternFill patternType="solid">
        <fgColor rgb="FF2094FB"/>
        <bgColor indexed="64"/>
      </patternFill>
    </fill>
    <fill>
      <patternFill patternType="solid">
        <fgColor rgb="FF4978A6"/>
        <bgColor indexed="64"/>
      </patternFill>
    </fill>
    <fill>
      <patternFill patternType="solid">
        <fgColor rgb="FFDE8E4E"/>
        <bgColor indexed="64"/>
      </patternFill>
    </fill>
    <fill>
      <patternFill patternType="solid">
        <fgColor rgb="FF857377"/>
        <bgColor indexed="64"/>
      </patternFill>
    </fill>
    <fill>
      <patternFill patternType="solid">
        <fgColor rgb="FF2398F1"/>
        <bgColor indexed="64"/>
      </patternFill>
    </fill>
    <fill>
      <patternFill patternType="solid">
        <fgColor rgb="FF30A8FF"/>
        <bgColor indexed="64"/>
      </patternFill>
    </fill>
    <fill>
      <patternFill patternType="solid">
        <fgColor rgb="FF229CFF"/>
        <bgColor indexed="64"/>
      </patternFill>
    </fill>
    <fill>
      <patternFill patternType="solid">
        <fgColor rgb="FF2C78CE"/>
        <bgColor indexed="64"/>
      </patternFill>
    </fill>
    <fill>
      <patternFill patternType="solid">
        <fgColor rgb="FF6E6F96"/>
        <bgColor indexed="64"/>
      </patternFill>
    </fill>
    <fill>
      <patternFill patternType="solid">
        <fgColor rgb="FFA3808B"/>
        <bgColor indexed="64"/>
      </patternFill>
    </fill>
    <fill>
      <patternFill patternType="solid">
        <fgColor rgb="FF95696B"/>
        <bgColor indexed="64"/>
      </patternFill>
    </fill>
    <fill>
      <patternFill patternType="solid">
        <fgColor rgb="FF9C6F67"/>
        <bgColor indexed="64"/>
      </patternFill>
    </fill>
    <fill>
      <patternFill patternType="solid">
        <fgColor rgb="FF7C6D80"/>
        <bgColor indexed="64"/>
      </patternFill>
    </fill>
    <fill>
      <patternFill patternType="solid">
        <fgColor rgb="FF3D75BC"/>
        <bgColor indexed="64"/>
      </patternFill>
    </fill>
    <fill>
      <patternFill patternType="solid">
        <fgColor rgb="FF1A7AE1"/>
        <bgColor indexed="64"/>
      </patternFill>
    </fill>
    <fill>
      <patternFill patternType="solid">
        <fgColor rgb="FF0C74E1"/>
        <bgColor indexed="64"/>
      </patternFill>
    </fill>
    <fill>
      <patternFill patternType="solid">
        <fgColor rgb="FF1686F1"/>
        <bgColor indexed="64"/>
      </patternFill>
    </fill>
    <fill>
      <patternFill patternType="solid">
        <fgColor rgb="FF685E7E"/>
        <bgColor indexed="64"/>
      </patternFill>
    </fill>
    <fill>
      <patternFill patternType="solid">
        <fgColor rgb="FF5D5F81"/>
        <bgColor indexed="64"/>
      </patternFill>
    </fill>
    <fill>
      <patternFill patternType="solid">
        <fgColor rgb="FF1586F5"/>
        <bgColor indexed="64"/>
      </patternFill>
    </fill>
    <fill>
      <patternFill patternType="solid">
        <fgColor rgb="FF1D90FF"/>
        <bgColor indexed="64"/>
      </patternFill>
    </fill>
    <fill>
      <patternFill patternType="solid">
        <fgColor rgb="FF1A88FC"/>
        <bgColor indexed="64"/>
      </patternFill>
    </fill>
    <fill>
      <patternFill patternType="solid">
        <fgColor rgb="FF1A86FD"/>
        <bgColor indexed="64"/>
      </patternFill>
    </fill>
    <fill>
      <patternFill patternType="solid">
        <fgColor rgb="FF187FF6"/>
        <bgColor indexed="64"/>
      </patternFill>
    </fill>
    <fill>
      <patternFill patternType="solid">
        <fgColor rgb="FF309DFF"/>
        <bgColor indexed="64"/>
      </patternFill>
    </fill>
    <fill>
      <patternFill patternType="solid">
        <fgColor rgb="FF2F98FA"/>
        <bgColor indexed="64"/>
      </patternFill>
    </fill>
    <fill>
      <patternFill patternType="solid">
        <fgColor rgb="FF2D97F9"/>
        <bgColor indexed="64"/>
      </patternFill>
    </fill>
    <fill>
      <patternFill patternType="solid">
        <fgColor rgb="FF2C97F9"/>
        <bgColor indexed="64"/>
      </patternFill>
    </fill>
    <fill>
      <patternFill patternType="solid">
        <fgColor rgb="FF2D99FC"/>
        <bgColor indexed="64"/>
      </patternFill>
    </fill>
    <fill>
      <patternFill patternType="solid">
        <fgColor rgb="FF2D9AFC"/>
        <bgColor indexed="64"/>
      </patternFill>
    </fill>
    <fill>
      <patternFill patternType="solid">
        <fgColor rgb="FF2D9AFB"/>
        <bgColor indexed="64"/>
      </patternFill>
    </fill>
    <fill>
      <patternFill patternType="solid">
        <fgColor rgb="FF2D9BFB"/>
        <bgColor indexed="64"/>
      </patternFill>
    </fill>
    <fill>
      <patternFill patternType="solid">
        <fgColor rgb="FF2E9AFB"/>
        <bgColor indexed="64"/>
      </patternFill>
    </fill>
    <fill>
      <patternFill patternType="solid">
        <fgColor rgb="FF2F9AFA"/>
        <bgColor indexed="64"/>
      </patternFill>
    </fill>
    <fill>
      <patternFill patternType="solid">
        <fgColor rgb="FF309BFB"/>
        <bgColor indexed="64"/>
      </patternFill>
    </fill>
    <fill>
      <patternFill patternType="solid">
        <fgColor rgb="FF319CFB"/>
        <bgColor indexed="64"/>
      </patternFill>
    </fill>
    <fill>
      <patternFill patternType="solid">
        <fgColor rgb="FF319DF9"/>
        <bgColor indexed="64"/>
      </patternFill>
    </fill>
    <fill>
      <patternFill patternType="solid">
        <fgColor rgb="FF32A1FD"/>
        <bgColor indexed="64"/>
      </patternFill>
    </fill>
    <fill>
      <patternFill patternType="solid">
        <fgColor rgb="FF3286DD"/>
        <bgColor indexed="64"/>
      </patternFill>
    </fill>
    <fill>
      <patternFill patternType="solid">
        <fgColor rgb="FF388CE0"/>
        <bgColor indexed="64"/>
      </patternFill>
    </fill>
    <fill>
      <patternFill patternType="solid">
        <fgColor rgb="FF339FF9"/>
        <bgColor indexed="64"/>
      </patternFill>
    </fill>
    <fill>
      <patternFill patternType="solid">
        <fgColor rgb="FF359EF8"/>
        <bgColor indexed="64"/>
      </patternFill>
    </fill>
    <fill>
      <patternFill patternType="solid">
        <fgColor rgb="FF33A9FF"/>
        <bgColor indexed="64"/>
      </patternFill>
    </fill>
    <fill>
      <patternFill patternType="solid">
        <fgColor rgb="FF2584DA"/>
        <bgColor indexed="64"/>
      </patternFill>
    </fill>
    <fill>
      <patternFill patternType="solid">
        <fgColor rgb="FF3088E0"/>
        <bgColor indexed="64"/>
      </patternFill>
    </fill>
    <fill>
      <patternFill patternType="solid">
        <fgColor rgb="FF38A7FE"/>
        <bgColor indexed="64"/>
      </patternFill>
    </fill>
    <fill>
      <patternFill patternType="solid">
        <fgColor rgb="FF38A2F9"/>
        <bgColor indexed="64"/>
      </patternFill>
    </fill>
    <fill>
      <patternFill patternType="solid">
        <fgColor rgb="FF36A1F8"/>
        <bgColor indexed="64"/>
      </patternFill>
    </fill>
    <fill>
      <patternFill patternType="solid">
        <fgColor rgb="FF36A5FE"/>
        <bgColor indexed="64"/>
      </patternFill>
    </fill>
    <fill>
      <patternFill patternType="solid">
        <fgColor rgb="FF38A6FC"/>
        <bgColor indexed="64"/>
      </patternFill>
    </fill>
    <fill>
      <patternFill patternType="solid">
        <fgColor rgb="FF37A3FA"/>
        <bgColor indexed="64"/>
      </patternFill>
    </fill>
    <fill>
      <patternFill patternType="solid">
        <fgColor rgb="FF37A3FB"/>
        <bgColor indexed="64"/>
      </patternFill>
    </fill>
    <fill>
      <patternFill patternType="solid">
        <fgColor rgb="FF37A3FC"/>
        <bgColor indexed="64"/>
      </patternFill>
    </fill>
    <fill>
      <patternFill patternType="solid">
        <fgColor rgb="FF36A4FB"/>
        <bgColor indexed="64"/>
      </patternFill>
    </fill>
    <fill>
      <patternFill patternType="solid">
        <fgColor rgb="FF36A4FA"/>
        <bgColor indexed="64"/>
      </patternFill>
    </fill>
    <fill>
      <patternFill patternType="solid">
        <fgColor rgb="FF35A4FA"/>
        <bgColor indexed="64"/>
      </patternFill>
    </fill>
    <fill>
      <patternFill patternType="solid">
        <fgColor rgb="FF35A4FB"/>
        <bgColor indexed="64"/>
      </patternFill>
    </fill>
    <fill>
      <patternFill patternType="solid">
        <fgColor rgb="FF35A5FB"/>
        <bgColor indexed="64"/>
      </patternFill>
    </fill>
    <fill>
      <patternFill patternType="solid">
        <fgColor rgb="FF36A6FB"/>
        <bgColor indexed="64"/>
      </patternFill>
    </fill>
    <fill>
      <patternFill patternType="solid">
        <fgColor rgb="FF34A5FB"/>
        <bgColor indexed="64"/>
      </patternFill>
    </fill>
    <fill>
      <patternFill patternType="solid">
        <fgColor rgb="FF34A4FA"/>
        <bgColor indexed="64"/>
      </patternFill>
    </fill>
    <fill>
      <patternFill patternType="solid">
        <fgColor rgb="FF35A6FB"/>
        <bgColor indexed="64"/>
      </patternFill>
    </fill>
    <fill>
      <patternFill patternType="solid">
        <fgColor rgb="FF37A5FB"/>
        <bgColor indexed="64"/>
      </patternFill>
    </fill>
    <fill>
      <patternFill patternType="solid">
        <fgColor rgb="FF36A5FB"/>
        <bgColor indexed="64"/>
      </patternFill>
    </fill>
    <fill>
      <patternFill patternType="solid">
        <fgColor rgb="FF35A4FC"/>
        <bgColor indexed="64"/>
      </patternFill>
    </fill>
    <fill>
      <patternFill patternType="solid">
        <fgColor rgb="FF33A5FA"/>
        <bgColor indexed="64"/>
      </patternFill>
    </fill>
    <fill>
      <patternFill patternType="solid">
        <fgColor rgb="FF34A6FA"/>
        <bgColor indexed="64"/>
      </patternFill>
    </fill>
    <fill>
      <patternFill patternType="solid">
        <fgColor rgb="FF36A7FA"/>
        <bgColor indexed="64"/>
      </patternFill>
    </fill>
    <fill>
      <patternFill patternType="solid">
        <fgColor rgb="FF36A7FB"/>
        <bgColor indexed="64"/>
      </patternFill>
    </fill>
    <fill>
      <patternFill patternType="solid">
        <fgColor rgb="FF2FA2F9"/>
        <bgColor indexed="64"/>
      </patternFill>
    </fill>
    <fill>
      <patternFill patternType="solid">
        <fgColor rgb="FF34A8FD"/>
        <bgColor indexed="64"/>
      </patternFill>
    </fill>
    <fill>
      <patternFill patternType="solid">
        <fgColor rgb="FF2491EF"/>
        <bgColor indexed="64"/>
      </patternFill>
    </fill>
    <fill>
      <patternFill patternType="solid">
        <fgColor rgb="FF96AA4D"/>
        <bgColor indexed="64"/>
      </patternFill>
    </fill>
    <fill>
      <patternFill patternType="solid">
        <fgColor rgb="FFFFF92D"/>
        <bgColor indexed="64"/>
      </patternFill>
    </fill>
    <fill>
      <patternFill patternType="solid">
        <fgColor rgb="FFC8BD31"/>
        <bgColor indexed="64"/>
      </patternFill>
    </fill>
    <fill>
      <patternFill patternType="solid">
        <fgColor rgb="FFEEE129"/>
        <bgColor indexed="64"/>
      </patternFill>
    </fill>
    <fill>
      <patternFill patternType="solid">
        <fgColor rgb="FFFDEB25"/>
        <bgColor indexed="64"/>
      </patternFill>
    </fill>
    <fill>
      <patternFill patternType="solid">
        <fgColor rgb="FF6F997A"/>
        <bgColor indexed="64"/>
      </patternFill>
    </fill>
    <fill>
      <patternFill patternType="solid">
        <fgColor rgb="FF28A1FD"/>
        <bgColor indexed="64"/>
      </patternFill>
    </fill>
    <fill>
      <patternFill patternType="solid">
        <fgColor rgb="FF2DA1F8"/>
        <bgColor indexed="64"/>
      </patternFill>
    </fill>
    <fill>
      <patternFill patternType="solid">
        <fgColor rgb="FF2A9EFA"/>
        <bgColor indexed="64"/>
      </patternFill>
    </fill>
    <fill>
      <patternFill patternType="solid">
        <fgColor rgb="FF2B9EF8"/>
        <bgColor indexed="64"/>
      </patternFill>
    </fill>
    <fill>
      <patternFill patternType="solid">
        <fgColor rgb="FF31A0FA"/>
        <bgColor indexed="64"/>
      </patternFill>
    </fill>
    <fill>
      <patternFill patternType="solid">
        <fgColor rgb="FF259DFF"/>
        <bgColor indexed="64"/>
      </patternFill>
    </fill>
    <fill>
      <patternFill patternType="solid">
        <fgColor rgb="FF497BB0"/>
        <bgColor indexed="64"/>
      </patternFill>
    </fill>
    <fill>
      <patternFill patternType="solid">
        <fgColor rgb="FFC27E4E"/>
        <bgColor indexed="64"/>
      </patternFill>
    </fill>
    <fill>
      <patternFill patternType="solid">
        <fgColor rgb="FF3272AD"/>
        <bgColor indexed="64"/>
      </patternFill>
    </fill>
    <fill>
      <patternFill patternType="solid">
        <fgColor rgb="FF318FE4"/>
        <bgColor indexed="64"/>
      </patternFill>
    </fill>
    <fill>
      <patternFill patternType="solid">
        <fgColor rgb="FF927F90"/>
        <bgColor indexed="64"/>
      </patternFill>
    </fill>
    <fill>
      <patternFill patternType="solid">
        <fgColor rgb="FFDD7F51"/>
        <bgColor indexed="64"/>
      </patternFill>
    </fill>
    <fill>
      <patternFill patternType="solid">
        <fgColor rgb="FFFF9245"/>
        <bgColor indexed="64"/>
      </patternFill>
    </fill>
    <fill>
      <patternFill patternType="solid">
        <fgColor rgb="FFFF9749"/>
        <bgColor indexed="64"/>
      </patternFill>
    </fill>
    <fill>
      <patternFill patternType="solid">
        <fgColor rgb="FFFF9B47"/>
        <bgColor indexed="64"/>
      </patternFill>
    </fill>
    <fill>
      <patternFill patternType="solid">
        <fgColor rgb="FFFF9846"/>
        <bgColor indexed="64"/>
      </patternFill>
    </fill>
    <fill>
      <patternFill patternType="solid">
        <fgColor rgb="FFF28439"/>
        <bgColor indexed="64"/>
      </patternFill>
    </fill>
    <fill>
      <patternFill patternType="solid">
        <fgColor rgb="FFD26F34"/>
        <bgColor indexed="64"/>
      </patternFill>
    </fill>
    <fill>
      <patternFill patternType="solid">
        <fgColor rgb="FFBF6F4E"/>
        <bgColor indexed="64"/>
      </patternFill>
    </fill>
    <fill>
      <patternFill patternType="solid">
        <fgColor rgb="FF9A5F55"/>
        <bgColor indexed="64"/>
      </patternFill>
    </fill>
    <fill>
      <patternFill patternType="solid">
        <fgColor rgb="FF7E5356"/>
        <bgColor indexed="64"/>
      </patternFill>
    </fill>
    <fill>
      <patternFill patternType="solid">
        <fgColor rgb="FF36609B"/>
        <bgColor indexed="64"/>
      </patternFill>
    </fill>
    <fill>
      <patternFill patternType="solid">
        <fgColor rgb="FF1B8DFD"/>
        <bgColor indexed="64"/>
      </patternFill>
    </fill>
    <fill>
      <patternFill patternType="solid">
        <fgColor rgb="FF1D8FFD"/>
        <bgColor indexed="64"/>
      </patternFill>
    </fill>
    <fill>
      <patternFill patternType="solid">
        <fgColor rgb="FF1C89F8"/>
        <bgColor indexed="64"/>
      </patternFill>
    </fill>
    <fill>
      <patternFill patternType="solid">
        <fgColor rgb="FF1B86F9"/>
        <bgColor indexed="64"/>
      </patternFill>
    </fill>
    <fill>
      <patternFill patternType="solid">
        <fgColor rgb="FF1984F8"/>
        <bgColor indexed="64"/>
      </patternFill>
    </fill>
    <fill>
      <patternFill patternType="solid">
        <fgColor rgb="FF177FF5"/>
        <bgColor indexed="64"/>
      </patternFill>
    </fill>
    <fill>
      <patternFill patternType="solid">
        <fgColor rgb="FF208EF5"/>
        <bgColor indexed="64"/>
      </patternFill>
    </fill>
    <fill>
      <patternFill patternType="solid">
        <fgColor rgb="FF2393F8"/>
        <bgColor indexed="64"/>
      </patternFill>
    </fill>
    <fill>
      <patternFill patternType="solid">
        <fgColor rgb="FF2C9DFF"/>
        <bgColor indexed="64"/>
      </patternFill>
    </fill>
    <fill>
      <patternFill patternType="solid">
        <fgColor rgb="FF31A0FF"/>
        <bgColor indexed="64"/>
      </patternFill>
    </fill>
    <fill>
      <patternFill patternType="solid">
        <fgColor rgb="FF319DFA"/>
        <bgColor indexed="64"/>
      </patternFill>
    </fill>
    <fill>
      <patternFill patternType="solid">
        <fgColor rgb="FF2F99FA"/>
        <bgColor indexed="64"/>
      </patternFill>
    </fill>
    <fill>
      <patternFill patternType="solid">
        <fgColor rgb="FF309CFB"/>
        <bgColor indexed="64"/>
      </patternFill>
    </fill>
    <fill>
      <patternFill patternType="solid">
        <fgColor rgb="FF2F9DFB"/>
        <bgColor indexed="64"/>
      </patternFill>
    </fill>
    <fill>
      <patternFill patternType="solid">
        <fgColor rgb="FF2F9BFB"/>
        <bgColor indexed="64"/>
      </patternFill>
    </fill>
    <fill>
      <patternFill patternType="solid">
        <fgColor rgb="FF329EFA"/>
        <bgColor indexed="64"/>
      </patternFill>
    </fill>
    <fill>
      <patternFill patternType="solid">
        <fgColor rgb="FF2FA6FF"/>
        <bgColor indexed="64"/>
      </patternFill>
    </fill>
    <fill>
      <patternFill patternType="solid">
        <fgColor rgb="FF565D9D"/>
        <bgColor indexed="64"/>
      </patternFill>
    </fill>
    <fill>
      <patternFill patternType="solid">
        <fgColor rgb="FF5A6EB0"/>
        <bgColor indexed="64"/>
      </patternFill>
    </fill>
    <fill>
      <patternFill patternType="solid">
        <fgColor rgb="FF2EA4FD"/>
        <bgColor indexed="64"/>
      </patternFill>
    </fill>
    <fill>
      <patternFill patternType="solid">
        <fgColor rgb="FF389FF9"/>
        <bgColor indexed="64"/>
      </patternFill>
    </fill>
    <fill>
      <patternFill patternType="solid">
        <fgColor rgb="FF2BA8FF"/>
        <bgColor indexed="64"/>
      </patternFill>
    </fill>
    <fill>
      <patternFill patternType="solid">
        <fgColor rgb="FF4783D1"/>
        <bgColor indexed="64"/>
      </patternFill>
    </fill>
    <fill>
      <patternFill patternType="solid">
        <fgColor rgb="FF70548F"/>
        <bgColor indexed="64"/>
      </patternFill>
    </fill>
    <fill>
      <patternFill patternType="solid">
        <fgColor rgb="FF3E96E9"/>
        <bgColor indexed="64"/>
      </patternFill>
    </fill>
    <fill>
      <patternFill patternType="solid">
        <fgColor rgb="FF39AAFF"/>
        <bgColor indexed="64"/>
      </patternFill>
    </fill>
    <fill>
      <patternFill patternType="solid">
        <fgColor rgb="FF33AAFF"/>
        <bgColor indexed="64"/>
      </patternFill>
    </fill>
    <fill>
      <patternFill patternType="solid">
        <fgColor rgb="FF3495E8"/>
        <bgColor indexed="64"/>
      </patternFill>
    </fill>
    <fill>
      <patternFill patternType="solid">
        <fgColor rgb="FF3495EC"/>
        <bgColor indexed="64"/>
      </patternFill>
    </fill>
    <fill>
      <patternFill patternType="solid">
        <fgColor rgb="FF3CA7FC"/>
        <bgColor indexed="64"/>
      </patternFill>
    </fill>
    <fill>
      <patternFill patternType="solid">
        <fgColor rgb="FF3AA3F8"/>
        <bgColor indexed="64"/>
      </patternFill>
    </fill>
    <fill>
      <patternFill patternType="solid">
        <fgColor rgb="FF39A4FA"/>
        <bgColor indexed="64"/>
      </patternFill>
    </fill>
    <fill>
      <patternFill patternType="solid">
        <fgColor rgb="FF38A3FB"/>
        <bgColor indexed="64"/>
      </patternFill>
    </fill>
    <fill>
      <patternFill patternType="solid">
        <fgColor rgb="FF37A4F9"/>
        <bgColor indexed="64"/>
      </patternFill>
    </fill>
    <fill>
      <patternFill patternType="solid">
        <fgColor rgb="FF36A4F9"/>
        <bgColor indexed="64"/>
      </patternFill>
    </fill>
    <fill>
      <patternFill patternType="solid">
        <fgColor rgb="FF37A5FA"/>
        <bgColor indexed="64"/>
      </patternFill>
    </fill>
    <fill>
      <patternFill patternType="solid">
        <fgColor rgb="FF37A6FB"/>
        <bgColor indexed="64"/>
      </patternFill>
    </fill>
    <fill>
      <patternFill patternType="solid">
        <fgColor rgb="FF36A6FA"/>
        <bgColor indexed="64"/>
      </patternFill>
    </fill>
    <fill>
      <patternFill patternType="solid">
        <fgColor rgb="FF37A8FB"/>
        <bgColor indexed="64"/>
      </patternFill>
    </fill>
    <fill>
      <patternFill patternType="solid">
        <fgColor rgb="FF39A8FB"/>
        <bgColor indexed="64"/>
      </patternFill>
    </fill>
    <fill>
      <patternFill patternType="solid">
        <fgColor rgb="FF37A8FA"/>
        <bgColor indexed="64"/>
      </patternFill>
    </fill>
    <fill>
      <patternFill patternType="solid">
        <fgColor rgb="FF38A7FA"/>
        <bgColor indexed="64"/>
      </patternFill>
    </fill>
    <fill>
      <patternFill patternType="solid">
        <fgColor rgb="FF35A7FB"/>
        <bgColor indexed="64"/>
      </patternFill>
    </fill>
    <fill>
      <patternFill patternType="solid">
        <fgColor rgb="FF33A5FC"/>
        <bgColor indexed="64"/>
      </patternFill>
    </fill>
    <fill>
      <patternFill patternType="solid">
        <fgColor rgb="FF31A5FF"/>
        <bgColor indexed="64"/>
      </patternFill>
    </fill>
    <fill>
      <patternFill patternType="solid">
        <fgColor rgb="FF3D8DC2"/>
        <bgColor indexed="64"/>
      </patternFill>
    </fill>
    <fill>
      <patternFill patternType="solid">
        <fgColor rgb="FF9EA737"/>
        <bgColor indexed="64"/>
      </patternFill>
    </fill>
    <fill>
      <patternFill patternType="solid">
        <fgColor rgb="FFDBD52C"/>
        <bgColor indexed="64"/>
      </patternFill>
    </fill>
    <fill>
      <patternFill patternType="solid">
        <fgColor rgb="FFFCF83B"/>
        <bgColor indexed="64"/>
      </patternFill>
    </fill>
    <fill>
      <patternFill patternType="solid">
        <fgColor rgb="FFF2F237"/>
        <bgColor indexed="64"/>
      </patternFill>
    </fill>
    <fill>
      <patternFill patternType="solid">
        <fgColor rgb="FF4C96A8"/>
        <bgColor indexed="64"/>
      </patternFill>
    </fill>
    <fill>
      <patternFill patternType="solid">
        <fgColor rgb="FF23A2FF"/>
        <bgColor indexed="64"/>
      </patternFill>
    </fill>
    <fill>
      <patternFill patternType="solid">
        <fgColor rgb="FF30A1F8"/>
        <bgColor indexed="64"/>
      </patternFill>
    </fill>
    <fill>
      <patternFill patternType="solid">
        <fgColor rgb="FF2F9FF7"/>
        <bgColor indexed="64"/>
      </patternFill>
    </fill>
    <fill>
      <patternFill patternType="solid">
        <fgColor rgb="FF37AAFB"/>
        <bgColor indexed="64"/>
      </patternFill>
    </fill>
    <fill>
      <patternFill patternType="solid">
        <fgColor rgb="FF1D95F9"/>
        <bgColor indexed="64"/>
      </patternFill>
    </fill>
    <fill>
      <patternFill patternType="solid">
        <fgColor rgb="FF6C6568"/>
        <bgColor indexed="64"/>
      </patternFill>
    </fill>
    <fill>
      <patternFill patternType="solid">
        <fgColor rgb="FFAA6C4A"/>
        <bgColor indexed="64"/>
      </patternFill>
    </fill>
    <fill>
      <patternFill patternType="solid">
        <fgColor rgb="FFCD7F5A"/>
        <bgColor indexed="64"/>
      </patternFill>
    </fill>
    <fill>
      <patternFill patternType="solid">
        <fgColor rgb="FFFF994E"/>
        <bgColor indexed="64"/>
      </patternFill>
    </fill>
    <fill>
      <patternFill patternType="solid">
        <fgColor rgb="FFFFA155"/>
        <bgColor indexed="64"/>
      </patternFill>
    </fill>
    <fill>
      <patternFill patternType="solid">
        <fgColor rgb="FFF89754"/>
        <bgColor indexed="64"/>
      </patternFill>
    </fill>
    <fill>
      <patternFill patternType="solid">
        <fgColor rgb="FFF89951"/>
        <bgColor indexed="64"/>
      </patternFill>
    </fill>
    <fill>
      <patternFill patternType="solid">
        <fgColor rgb="FFFA9852"/>
        <bgColor indexed="64"/>
      </patternFill>
    </fill>
    <fill>
      <patternFill patternType="solid">
        <fgColor rgb="FFFF954F"/>
        <bgColor indexed="64"/>
      </patternFill>
    </fill>
    <fill>
      <patternFill patternType="solid">
        <fgColor rgb="FFFC8E44"/>
        <bgColor indexed="64"/>
      </patternFill>
    </fill>
    <fill>
      <patternFill patternType="solid">
        <fgColor rgb="FFFF8E3A"/>
        <bgColor indexed="64"/>
      </patternFill>
    </fill>
    <fill>
      <patternFill patternType="solid">
        <fgColor rgb="FFA26A59"/>
        <bgColor indexed="64"/>
      </patternFill>
    </fill>
    <fill>
      <patternFill patternType="solid">
        <fgColor rgb="FF1285F1"/>
        <bgColor indexed="64"/>
      </patternFill>
    </fill>
    <fill>
      <patternFill patternType="solid">
        <fgColor rgb="FF2091FC"/>
        <bgColor indexed="64"/>
      </patternFill>
    </fill>
    <fill>
      <patternFill patternType="solid">
        <fgColor rgb="FF1D8BF8"/>
        <bgColor indexed="64"/>
      </patternFill>
    </fill>
    <fill>
      <patternFill patternType="solid">
        <fgColor rgb="FF1C8BFB"/>
        <bgColor indexed="64"/>
      </patternFill>
    </fill>
    <fill>
      <patternFill patternType="solid">
        <fgColor rgb="FF1B89FB"/>
        <bgColor indexed="64"/>
      </patternFill>
    </fill>
    <fill>
      <patternFill patternType="solid">
        <fgColor rgb="FF1985F9"/>
        <bgColor indexed="64"/>
      </patternFill>
    </fill>
    <fill>
      <patternFill patternType="solid">
        <fgColor rgb="FF1681F7"/>
        <bgColor indexed="64"/>
      </patternFill>
    </fill>
    <fill>
      <patternFill patternType="solid">
        <fgColor rgb="FFA7B5D8"/>
        <bgColor indexed="64"/>
      </patternFill>
    </fill>
    <fill>
      <patternFill patternType="solid">
        <fgColor rgb="FF799CD3"/>
        <bgColor indexed="64"/>
      </patternFill>
    </fill>
    <fill>
      <patternFill patternType="solid">
        <fgColor rgb="FF4084D0"/>
        <bgColor indexed="64"/>
      </patternFill>
    </fill>
    <fill>
      <patternFill patternType="solid">
        <fgColor rgb="FF2888E4"/>
        <bgColor indexed="64"/>
      </patternFill>
    </fill>
    <fill>
      <patternFill patternType="solid">
        <fgColor rgb="FF2496F7"/>
        <bgColor indexed="64"/>
      </patternFill>
    </fill>
    <fill>
      <patternFill patternType="solid">
        <fgColor rgb="FF31A3FF"/>
        <bgColor indexed="64"/>
      </patternFill>
    </fill>
    <fill>
      <patternFill patternType="solid">
        <fgColor rgb="FF36A1FD"/>
        <bgColor indexed="64"/>
      </patternFill>
    </fill>
    <fill>
      <patternFill patternType="solid">
        <fgColor rgb="FF309DF9"/>
        <bgColor indexed="64"/>
      </patternFill>
    </fill>
    <fill>
      <patternFill patternType="solid">
        <fgColor rgb="FF309DFA"/>
        <bgColor indexed="64"/>
      </patternFill>
    </fill>
    <fill>
      <patternFill patternType="solid">
        <fgColor rgb="FF2E9BFB"/>
        <bgColor indexed="64"/>
      </patternFill>
    </fill>
    <fill>
      <patternFill patternType="solid">
        <fgColor rgb="FF2E9CFB"/>
        <bgColor indexed="64"/>
      </patternFill>
    </fill>
    <fill>
      <patternFill patternType="solid">
        <fgColor rgb="FF329FFA"/>
        <bgColor indexed="64"/>
      </patternFill>
    </fill>
    <fill>
      <patternFill patternType="solid">
        <fgColor rgb="FF329DF8"/>
        <bgColor indexed="64"/>
      </patternFill>
    </fill>
    <fill>
      <patternFill patternType="solid">
        <fgColor rgb="FF934D7B"/>
        <bgColor indexed="64"/>
      </patternFill>
    </fill>
    <fill>
      <patternFill patternType="solid">
        <fgColor rgb="FF5E74BB"/>
        <bgColor indexed="64"/>
      </patternFill>
    </fill>
    <fill>
      <patternFill patternType="solid">
        <fgColor rgb="FF29A5FF"/>
        <bgColor indexed="64"/>
      </patternFill>
    </fill>
    <fill>
      <patternFill patternType="solid">
        <fgColor rgb="FF1D89E7"/>
        <bgColor indexed="64"/>
      </patternFill>
    </fill>
    <fill>
      <patternFill patternType="solid">
        <fgColor rgb="FF5770B7"/>
        <bgColor indexed="64"/>
      </patternFill>
    </fill>
    <fill>
      <patternFill patternType="solid">
        <fgColor rgb="FFA94572"/>
        <bgColor indexed="64"/>
      </patternFill>
    </fill>
    <fill>
      <patternFill patternType="solid">
        <fgColor rgb="FF5782D2"/>
        <bgColor indexed="64"/>
      </patternFill>
    </fill>
    <fill>
      <patternFill patternType="solid">
        <fgColor rgb="FF2FB1FF"/>
        <bgColor indexed="64"/>
      </patternFill>
    </fill>
    <fill>
      <patternFill patternType="solid">
        <fgColor rgb="FF3296EA"/>
        <bgColor indexed="64"/>
      </patternFill>
    </fill>
    <fill>
      <patternFill patternType="solid">
        <fgColor rgb="FF577DC6"/>
        <bgColor indexed="64"/>
      </patternFill>
    </fill>
    <fill>
      <patternFill patternType="solid">
        <fgColor rgb="FF686194"/>
        <bgColor indexed="64"/>
      </patternFill>
    </fill>
    <fill>
      <patternFill patternType="solid">
        <fgColor rgb="FF4461A7"/>
        <bgColor indexed="64"/>
      </patternFill>
    </fill>
    <fill>
      <patternFill patternType="solid">
        <fgColor rgb="FF3CA3FA"/>
        <bgColor indexed="64"/>
      </patternFill>
    </fill>
    <fill>
      <patternFill patternType="solid">
        <fgColor rgb="FF3DAEFF"/>
        <bgColor indexed="64"/>
      </patternFill>
    </fill>
    <fill>
      <patternFill patternType="solid">
        <fgColor rgb="FF3BABFF"/>
        <bgColor indexed="64"/>
      </patternFill>
    </fill>
    <fill>
      <patternFill patternType="solid">
        <fgColor rgb="FF3CA8FC"/>
        <bgColor indexed="64"/>
      </patternFill>
    </fill>
    <fill>
      <patternFill patternType="solid">
        <fgColor rgb="FF3CA6FB"/>
        <bgColor indexed="64"/>
      </patternFill>
    </fill>
    <fill>
      <patternFill patternType="solid">
        <fgColor rgb="FF3BA5FB"/>
        <bgColor indexed="64"/>
      </patternFill>
    </fill>
    <fill>
      <patternFill patternType="solid">
        <fgColor rgb="FF39A9FF"/>
        <bgColor indexed="64"/>
      </patternFill>
    </fill>
    <fill>
      <patternFill patternType="solid">
        <fgColor rgb="FF33ACFF"/>
        <bgColor indexed="64"/>
      </patternFill>
    </fill>
    <fill>
      <patternFill patternType="solid">
        <fgColor rgb="FF37A6FA"/>
        <bgColor indexed="64"/>
      </patternFill>
    </fill>
    <fill>
      <patternFill patternType="solid">
        <fgColor rgb="FF38A6FA"/>
        <bgColor indexed="64"/>
      </patternFill>
    </fill>
    <fill>
      <patternFill patternType="solid">
        <fgColor rgb="FF37A9FB"/>
        <bgColor indexed="64"/>
      </patternFill>
    </fill>
    <fill>
      <patternFill patternType="solid">
        <fgColor rgb="FF3AAAFA"/>
        <bgColor indexed="64"/>
      </patternFill>
    </fill>
    <fill>
      <patternFill patternType="solid">
        <fgColor rgb="FF39ABFA"/>
        <bgColor indexed="64"/>
      </patternFill>
    </fill>
    <fill>
      <patternFill patternType="solid">
        <fgColor rgb="FF36A8FB"/>
        <bgColor indexed="64"/>
      </patternFill>
    </fill>
    <fill>
      <patternFill patternType="solid">
        <fgColor rgb="FF31A5FB"/>
        <bgColor indexed="64"/>
      </patternFill>
    </fill>
    <fill>
      <patternFill patternType="solid">
        <fgColor rgb="FF32A5FA"/>
        <bgColor indexed="64"/>
      </patternFill>
    </fill>
    <fill>
      <patternFill patternType="solid">
        <fgColor rgb="FF31A7FE"/>
        <bgColor indexed="64"/>
      </patternFill>
    </fill>
    <fill>
      <patternFill patternType="solid">
        <fgColor rgb="FF438DC6"/>
        <bgColor indexed="64"/>
      </patternFill>
    </fill>
    <fill>
      <patternFill patternType="solid">
        <fgColor rgb="FF7A8243"/>
        <bgColor indexed="64"/>
      </patternFill>
    </fill>
    <fill>
      <patternFill patternType="solid">
        <fgColor rgb="FFB7BB39"/>
        <bgColor indexed="64"/>
      </patternFill>
    </fill>
    <fill>
      <patternFill patternType="solid">
        <fgColor rgb="FFD2D739"/>
        <bgColor indexed="64"/>
      </patternFill>
    </fill>
    <fill>
      <patternFill patternType="solid">
        <fgColor rgb="FFD7D538"/>
        <bgColor indexed="64"/>
      </patternFill>
    </fill>
    <fill>
      <patternFill patternType="solid">
        <fgColor rgb="FF5E949E"/>
        <bgColor indexed="64"/>
      </patternFill>
    </fill>
    <fill>
      <patternFill patternType="solid">
        <fgColor rgb="FF419DD3"/>
        <bgColor indexed="64"/>
      </patternFill>
    </fill>
    <fill>
      <patternFill patternType="solid">
        <fgColor rgb="FF1F8AD8"/>
        <bgColor indexed="64"/>
      </patternFill>
    </fill>
    <fill>
      <patternFill patternType="solid">
        <fgColor rgb="FF21A6FF"/>
        <bgColor indexed="64"/>
      </patternFill>
    </fill>
    <fill>
      <patternFill patternType="solid">
        <fgColor rgb="FF28A8FF"/>
        <bgColor indexed="64"/>
      </patternFill>
    </fill>
    <fill>
      <patternFill patternType="solid">
        <fgColor rgb="FF279FFF"/>
        <bgColor indexed="64"/>
      </patternFill>
    </fill>
    <fill>
      <patternFill patternType="solid">
        <fgColor rgb="FF1E9CFE"/>
        <bgColor indexed="64"/>
      </patternFill>
    </fill>
    <fill>
      <patternFill patternType="solid">
        <fgColor rgb="FF5877A6"/>
        <bgColor indexed="64"/>
      </patternFill>
    </fill>
    <fill>
      <patternFill patternType="solid">
        <fgColor rgb="FFD18054"/>
        <bgColor indexed="64"/>
      </patternFill>
    </fill>
    <fill>
      <patternFill patternType="solid">
        <fgColor rgb="FFFF9D50"/>
        <bgColor indexed="64"/>
      </patternFill>
    </fill>
    <fill>
      <patternFill patternType="solid">
        <fgColor rgb="FFFFA153"/>
        <bgColor indexed="64"/>
      </patternFill>
    </fill>
    <fill>
      <patternFill patternType="solid">
        <fgColor rgb="FFF89C55"/>
        <bgColor indexed="64"/>
      </patternFill>
    </fill>
    <fill>
      <patternFill patternType="solid">
        <fgColor rgb="FFFA9B52"/>
        <bgColor indexed="64"/>
      </patternFill>
    </fill>
    <fill>
      <patternFill patternType="solid">
        <fgColor rgb="FFFB9B52"/>
        <bgColor indexed="64"/>
      </patternFill>
    </fill>
    <fill>
      <patternFill patternType="solid">
        <fgColor rgb="FFFCA04F"/>
        <bgColor indexed="64"/>
      </patternFill>
    </fill>
    <fill>
      <patternFill patternType="solid">
        <fgColor rgb="FFF9984E"/>
        <bgColor indexed="64"/>
      </patternFill>
    </fill>
    <fill>
      <patternFill patternType="solid">
        <fgColor rgb="FFF8944E"/>
        <bgColor indexed="64"/>
      </patternFill>
    </fill>
    <fill>
      <patternFill patternType="solid">
        <fgColor rgb="FFFF9951"/>
        <bgColor indexed="64"/>
      </patternFill>
    </fill>
    <fill>
      <patternFill patternType="solid">
        <fgColor rgb="FF8E6248"/>
        <bgColor indexed="64"/>
      </patternFill>
    </fill>
    <fill>
      <patternFill patternType="solid">
        <fgColor rgb="FFA37146"/>
        <bgColor indexed="64"/>
      </patternFill>
    </fill>
    <fill>
      <patternFill patternType="solid">
        <fgColor rgb="FF466898"/>
        <bgColor indexed="64"/>
      </patternFill>
    </fill>
    <fill>
      <patternFill patternType="solid">
        <fgColor rgb="FF2095FF"/>
        <bgColor indexed="64"/>
      </patternFill>
    </fill>
    <fill>
      <patternFill patternType="solid">
        <fgColor rgb="FF1D8FFA"/>
        <bgColor indexed="64"/>
      </patternFill>
    </fill>
    <fill>
      <patternFill patternType="solid">
        <fgColor rgb="FF1C8DFA"/>
        <bgColor indexed="64"/>
      </patternFill>
    </fill>
    <fill>
      <patternFill patternType="solid">
        <fgColor rgb="FF1C8CFB"/>
        <bgColor indexed="64"/>
      </patternFill>
    </fill>
    <fill>
      <patternFill patternType="solid">
        <fgColor rgb="FF1B89FA"/>
        <bgColor indexed="64"/>
      </patternFill>
    </fill>
    <fill>
      <patternFill patternType="solid">
        <fgColor rgb="FF1783F8"/>
        <bgColor indexed="64"/>
      </patternFill>
    </fill>
    <fill>
      <patternFill patternType="solid">
        <fgColor rgb="FFFFFFFF"/>
        <bgColor indexed="64"/>
      </patternFill>
    </fill>
    <fill>
      <patternFill patternType="solid">
        <fgColor rgb="FFFFFFFC"/>
        <bgColor indexed="64"/>
      </patternFill>
    </fill>
    <fill>
      <patternFill patternType="solid">
        <fgColor rgb="FFF1E8EA"/>
        <bgColor indexed="64"/>
      </patternFill>
    </fill>
    <fill>
      <patternFill patternType="solid">
        <fgColor rgb="FFC6C9DE"/>
        <bgColor indexed="64"/>
      </patternFill>
    </fill>
    <fill>
      <patternFill patternType="solid">
        <fgColor rgb="FF7B9ECF"/>
        <bgColor indexed="64"/>
      </patternFill>
    </fill>
    <fill>
      <patternFill patternType="solid">
        <fgColor rgb="FF3283D2"/>
        <bgColor indexed="64"/>
      </patternFill>
    </fill>
    <fill>
      <patternFill patternType="solid">
        <fgColor rgb="FF2495F4"/>
        <bgColor indexed="64"/>
      </patternFill>
    </fill>
    <fill>
      <patternFill patternType="solid">
        <fgColor rgb="FF33A4FF"/>
        <bgColor indexed="64"/>
      </patternFill>
    </fill>
    <fill>
      <patternFill patternType="solid">
        <fgColor rgb="FF329DF9"/>
        <bgColor indexed="64"/>
      </patternFill>
    </fill>
    <fill>
      <patternFill patternType="solid">
        <fgColor rgb="FF2F9DFA"/>
        <bgColor indexed="64"/>
      </patternFill>
    </fill>
    <fill>
      <patternFill patternType="solid">
        <fgColor rgb="FF359FFA"/>
        <bgColor indexed="64"/>
      </patternFill>
    </fill>
    <fill>
      <patternFill patternType="solid">
        <fgColor rgb="FF2B9BFA"/>
        <bgColor indexed="64"/>
      </patternFill>
    </fill>
    <fill>
      <patternFill patternType="solid">
        <fgColor rgb="FF5A6BB4"/>
        <bgColor indexed="64"/>
      </patternFill>
    </fill>
    <fill>
      <patternFill patternType="solid">
        <fgColor rgb="FFB0466A"/>
        <bgColor indexed="64"/>
      </patternFill>
    </fill>
    <fill>
      <patternFill patternType="solid">
        <fgColor rgb="FF2F7FD3"/>
        <bgColor indexed="64"/>
      </patternFill>
    </fill>
    <fill>
      <patternFill patternType="solid">
        <fgColor rgb="FF4067AB"/>
        <bgColor indexed="64"/>
      </patternFill>
    </fill>
    <fill>
      <patternFill patternType="solid">
        <fgColor rgb="FFA14B73"/>
        <bgColor indexed="64"/>
      </patternFill>
    </fill>
    <fill>
      <patternFill patternType="solid">
        <fgColor rgb="FFBF435B"/>
        <bgColor indexed="64"/>
      </patternFill>
    </fill>
    <fill>
      <patternFill patternType="solid">
        <fgColor rgb="FF475090"/>
        <bgColor indexed="64"/>
      </patternFill>
    </fill>
    <fill>
      <patternFill patternType="solid">
        <fgColor rgb="FF4276C6"/>
        <bgColor indexed="64"/>
      </patternFill>
    </fill>
    <fill>
      <patternFill patternType="solid">
        <fgColor rgb="FF7D6298"/>
        <bgColor indexed="64"/>
      </patternFill>
    </fill>
    <fill>
      <patternFill patternType="solid">
        <fgColor rgb="FFC75A84"/>
        <bgColor indexed="64"/>
      </patternFill>
    </fill>
    <fill>
      <patternFill patternType="solid">
        <fgColor rgb="FFA83E5D"/>
        <bgColor indexed="64"/>
      </patternFill>
    </fill>
    <fill>
      <patternFill patternType="solid">
        <fgColor rgb="FF4D457E"/>
        <bgColor indexed="64"/>
      </patternFill>
    </fill>
    <fill>
      <patternFill patternType="solid">
        <fgColor rgb="FF4892E5"/>
        <bgColor indexed="64"/>
      </patternFill>
    </fill>
    <fill>
      <patternFill patternType="solid">
        <fgColor rgb="FF3C98E4"/>
        <bgColor indexed="64"/>
      </patternFill>
    </fill>
    <fill>
      <patternFill patternType="solid">
        <fgColor rgb="FF358DD9"/>
        <bgColor indexed="64"/>
      </patternFill>
    </fill>
    <fill>
      <patternFill patternType="solid">
        <fgColor rgb="FF3587D7"/>
        <bgColor indexed="64"/>
      </patternFill>
    </fill>
    <fill>
      <patternFill patternType="solid">
        <fgColor rgb="FF319EF0"/>
        <bgColor indexed="64"/>
      </patternFill>
    </fill>
    <fill>
      <patternFill patternType="solid">
        <fgColor rgb="FF2FA3F8"/>
        <bgColor indexed="64"/>
      </patternFill>
    </fill>
    <fill>
      <patternFill patternType="solid">
        <fgColor rgb="FF35A4F9"/>
        <bgColor indexed="64"/>
      </patternFill>
    </fill>
    <fill>
      <patternFill patternType="solid">
        <fgColor rgb="FF3D98E5"/>
        <bgColor indexed="64"/>
      </patternFill>
    </fill>
    <fill>
      <patternFill patternType="solid">
        <fgColor rgb="FF5889D0"/>
        <bgColor indexed="64"/>
      </patternFill>
    </fill>
    <fill>
      <patternFill patternType="solid">
        <fgColor rgb="FF4878C3"/>
        <bgColor indexed="64"/>
      </patternFill>
    </fill>
    <fill>
      <patternFill patternType="solid">
        <fgColor rgb="FF318FE6"/>
        <bgColor indexed="64"/>
      </patternFill>
    </fill>
    <fill>
      <patternFill patternType="solid">
        <fgColor rgb="FF39A8FC"/>
        <bgColor indexed="64"/>
      </patternFill>
    </fill>
    <fill>
      <patternFill patternType="solid">
        <fgColor rgb="FF36A6F9"/>
        <bgColor indexed="64"/>
      </patternFill>
    </fill>
    <fill>
      <patternFill patternType="solid">
        <fgColor rgb="FF39A9FB"/>
        <bgColor indexed="64"/>
      </patternFill>
    </fill>
    <fill>
      <patternFill patternType="solid">
        <fgColor rgb="FF39AAFA"/>
        <bgColor indexed="64"/>
      </patternFill>
    </fill>
    <fill>
      <patternFill patternType="solid">
        <fgColor rgb="FF39A9FA"/>
        <bgColor indexed="64"/>
      </patternFill>
    </fill>
    <fill>
      <patternFill patternType="solid">
        <fgColor rgb="FF38A9FA"/>
        <bgColor indexed="64"/>
      </patternFill>
    </fill>
    <fill>
      <patternFill patternType="solid">
        <fgColor rgb="FF3AA8FA"/>
        <bgColor indexed="64"/>
      </patternFill>
    </fill>
    <fill>
      <patternFill patternType="solid">
        <fgColor rgb="FF3CA9FB"/>
        <bgColor indexed="64"/>
      </patternFill>
    </fill>
    <fill>
      <patternFill patternType="solid">
        <fgColor rgb="FF3DABFC"/>
        <bgColor indexed="64"/>
      </patternFill>
    </fill>
    <fill>
      <patternFill patternType="solid">
        <fgColor rgb="FF3CADFB"/>
        <bgColor indexed="64"/>
      </patternFill>
    </fill>
    <fill>
      <patternFill patternType="solid">
        <fgColor rgb="FF3CACFB"/>
        <bgColor indexed="64"/>
      </patternFill>
    </fill>
    <fill>
      <patternFill patternType="solid">
        <fgColor rgb="FF3AA9FA"/>
        <bgColor indexed="64"/>
      </patternFill>
    </fill>
    <fill>
      <patternFill patternType="solid">
        <fgColor rgb="FF35A6FA"/>
        <bgColor indexed="64"/>
      </patternFill>
    </fill>
    <fill>
      <patternFill patternType="solid">
        <fgColor rgb="FF32A5FB"/>
        <bgColor indexed="64"/>
      </patternFill>
    </fill>
    <fill>
      <patternFill patternType="solid">
        <fgColor rgb="FF3298EC"/>
        <bgColor indexed="64"/>
      </patternFill>
    </fill>
    <fill>
      <patternFill patternType="solid">
        <fgColor rgb="FF3399E8"/>
        <bgColor indexed="64"/>
      </patternFill>
    </fill>
    <fill>
      <patternFill patternType="solid">
        <fgColor rgb="FF379BE1"/>
        <bgColor indexed="64"/>
      </patternFill>
    </fill>
    <fill>
      <patternFill patternType="solid">
        <fgColor rgb="FF2E92DE"/>
        <bgColor indexed="64"/>
      </patternFill>
    </fill>
    <fill>
      <patternFill patternType="solid">
        <fgColor rgb="FF89B170"/>
        <bgColor indexed="64"/>
      </patternFill>
    </fill>
    <fill>
      <patternFill patternType="solid">
        <fgColor rgb="FFFAEF2F"/>
        <bgColor indexed="64"/>
      </patternFill>
    </fill>
    <fill>
      <patternFill patternType="solid">
        <fgColor rgb="FFBE9533"/>
        <bgColor indexed="64"/>
      </patternFill>
    </fill>
    <fill>
      <patternFill patternType="solid">
        <fgColor rgb="FF846968"/>
        <bgColor indexed="64"/>
      </patternFill>
    </fill>
    <fill>
      <patternFill patternType="solid">
        <fgColor rgb="FF6483AB"/>
        <bgColor indexed="64"/>
      </patternFill>
    </fill>
    <fill>
      <patternFill patternType="solid">
        <fgColor rgb="FF5278A7"/>
        <bgColor indexed="64"/>
      </patternFill>
    </fill>
    <fill>
      <patternFill patternType="solid">
        <fgColor rgb="FF335B93"/>
        <bgColor indexed="64"/>
      </patternFill>
    </fill>
    <fill>
      <patternFill patternType="solid">
        <fgColor rgb="FF7A788C"/>
        <bgColor indexed="64"/>
      </patternFill>
    </fill>
    <fill>
      <patternFill patternType="solid">
        <fgColor rgb="FFF19558"/>
        <bgColor indexed="64"/>
      </patternFill>
    </fill>
    <fill>
      <patternFill patternType="solid">
        <fgColor rgb="FFFFA357"/>
        <bgColor indexed="64"/>
      </patternFill>
    </fill>
    <fill>
      <patternFill patternType="solid">
        <fgColor rgb="FFF69C59"/>
        <bgColor indexed="64"/>
      </patternFill>
    </fill>
    <fill>
      <patternFill patternType="solid">
        <fgColor rgb="FFFC9F59"/>
        <bgColor indexed="64"/>
      </patternFill>
    </fill>
    <fill>
      <patternFill patternType="solid">
        <fgColor rgb="FFFD9B50"/>
        <bgColor indexed="64"/>
      </patternFill>
    </fill>
    <fill>
      <patternFill patternType="solid">
        <fgColor rgb="FFFF9B52"/>
        <bgColor indexed="64"/>
      </patternFill>
    </fill>
    <fill>
      <patternFill patternType="solid">
        <fgColor rgb="FFFD9953"/>
        <bgColor indexed="64"/>
      </patternFill>
    </fill>
    <fill>
      <patternFill patternType="solid">
        <fgColor rgb="FFA57A69"/>
        <bgColor indexed="64"/>
      </patternFill>
    </fill>
    <fill>
      <patternFill patternType="solid">
        <fgColor rgb="FF295FA0"/>
        <bgColor indexed="64"/>
      </patternFill>
    </fill>
    <fill>
      <patternFill patternType="solid">
        <fgColor rgb="FF385475"/>
        <bgColor indexed="64"/>
      </patternFill>
    </fill>
    <fill>
      <patternFill patternType="solid">
        <fgColor rgb="FF2494F0"/>
        <bgColor indexed="64"/>
      </patternFill>
    </fill>
    <fill>
      <patternFill patternType="solid">
        <fgColor rgb="FF1D84E6"/>
        <bgColor indexed="64"/>
      </patternFill>
    </fill>
    <fill>
      <patternFill patternType="solid">
        <fgColor rgb="FF0F54A9"/>
        <bgColor indexed="64"/>
      </patternFill>
    </fill>
    <fill>
      <patternFill patternType="solid">
        <fgColor rgb="FF1E90F7"/>
        <bgColor indexed="64"/>
      </patternFill>
    </fill>
    <fill>
      <patternFill patternType="solid">
        <fgColor rgb="FF1D8EFB"/>
        <bgColor indexed="64"/>
      </patternFill>
    </fill>
    <fill>
      <patternFill patternType="solid">
        <fgColor rgb="FF1C8CFA"/>
        <bgColor indexed="64"/>
      </patternFill>
    </fill>
    <fill>
      <patternFill patternType="solid">
        <fgColor rgb="FF1C8BFC"/>
        <bgColor indexed="64"/>
      </patternFill>
    </fill>
    <fill>
      <patternFill patternType="solid">
        <fgColor rgb="FF1984F9"/>
        <bgColor indexed="64"/>
      </patternFill>
    </fill>
    <fill>
      <patternFill patternType="solid">
        <fgColor rgb="FFFCFDFE"/>
        <bgColor indexed="64"/>
      </patternFill>
    </fill>
    <fill>
      <patternFill patternType="solid">
        <fgColor rgb="FFFBFDFE"/>
        <bgColor indexed="64"/>
      </patternFill>
    </fill>
    <fill>
      <patternFill patternType="solid">
        <fgColor rgb="FFFFFFFD"/>
        <bgColor indexed="64"/>
      </patternFill>
    </fill>
    <fill>
      <patternFill patternType="solid">
        <fgColor rgb="FFDCD8E0"/>
        <bgColor indexed="64"/>
      </patternFill>
    </fill>
    <fill>
      <patternFill patternType="solid">
        <fgColor rgb="FF7699C7"/>
        <bgColor indexed="64"/>
      </patternFill>
    </fill>
    <fill>
      <patternFill patternType="solid">
        <fgColor rgb="FF2585DA"/>
        <bgColor indexed="64"/>
      </patternFill>
    </fill>
    <fill>
      <patternFill patternType="solid">
        <fgColor rgb="FF2FA2FF"/>
        <bgColor indexed="64"/>
      </patternFill>
    </fill>
    <fill>
      <patternFill patternType="solid">
        <fgColor rgb="FF309EFA"/>
        <bgColor indexed="64"/>
      </patternFill>
    </fill>
    <fill>
      <patternFill patternType="solid">
        <fgColor rgb="FF329BF8"/>
        <bgColor indexed="64"/>
      </patternFill>
    </fill>
    <fill>
      <patternFill patternType="solid">
        <fgColor rgb="FF37A8FF"/>
        <bgColor indexed="64"/>
      </patternFill>
    </fill>
    <fill>
      <patternFill patternType="solid">
        <fgColor rgb="FF2E72C1"/>
        <bgColor indexed="64"/>
      </patternFill>
    </fill>
    <fill>
      <patternFill patternType="solid">
        <fgColor rgb="FFA83D5E"/>
        <bgColor indexed="64"/>
      </patternFill>
    </fill>
    <fill>
      <patternFill patternType="solid">
        <fgColor rgb="FF823A56"/>
        <bgColor indexed="64"/>
      </patternFill>
    </fill>
    <fill>
      <patternFill patternType="solid">
        <fgColor rgb="FF874D81"/>
        <bgColor indexed="64"/>
      </patternFill>
    </fill>
    <fill>
      <patternFill patternType="solid">
        <fgColor rgb="FFEE4B65"/>
        <bgColor indexed="64"/>
      </patternFill>
    </fill>
    <fill>
      <patternFill patternType="solid">
        <fgColor rgb="FFDF4B5B"/>
        <bgColor indexed="64"/>
      </patternFill>
    </fill>
    <fill>
      <patternFill patternType="solid">
        <fgColor rgb="FF6E2E42"/>
        <bgColor indexed="64"/>
      </patternFill>
    </fill>
    <fill>
      <patternFill patternType="solid">
        <fgColor rgb="FFAA496F"/>
        <bgColor indexed="64"/>
      </patternFill>
    </fill>
    <fill>
      <patternFill patternType="solid">
        <fgColor rgb="FFDC4761"/>
        <bgColor indexed="64"/>
      </patternFill>
    </fill>
    <fill>
      <patternFill patternType="solid">
        <fgColor rgb="FFE14458"/>
        <bgColor indexed="64"/>
      </patternFill>
    </fill>
    <fill>
      <patternFill patternType="solid">
        <fgColor rgb="FFB9475C"/>
        <bgColor indexed="64"/>
      </patternFill>
    </fill>
    <fill>
      <patternFill patternType="solid">
        <fgColor rgb="FF924874"/>
        <bgColor indexed="64"/>
      </patternFill>
    </fill>
    <fill>
      <patternFill patternType="solid">
        <fgColor rgb="FFBC5C8B"/>
        <bgColor indexed="64"/>
      </patternFill>
    </fill>
    <fill>
      <patternFill patternType="solid">
        <fgColor rgb="FFB64869"/>
        <bgColor indexed="64"/>
      </patternFill>
    </fill>
    <fill>
      <patternFill patternType="solid">
        <fgColor rgb="FFAB3F5B"/>
        <bgColor indexed="64"/>
      </patternFill>
    </fill>
    <fill>
      <patternFill patternType="solid">
        <fgColor rgb="FFC44766"/>
        <bgColor indexed="64"/>
      </patternFill>
    </fill>
    <fill>
      <patternFill patternType="solid">
        <fgColor rgb="FFC24767"/>
        <bgColor indexed="64"/>
      </patternFill>
    </fill>
    <fill>
      <patternFill patternType="solid">
        <fgColor rgb="FFB5537C"/>
        <bgColor indexed="64"/>
      </patternFill>
    </fill>
    <fill>
      <patternFill patternType="solid">
        <fgColor rgb="FFB45D87"/>
        <bgColor indexed="64"/>
      </patternFill>
    </fill>
    <fill>
      <patternFill patternType="solid">
        <fgColor rgb="FFB55987"/>
        <bgColor indexed="64"/>
      </patternFill>
    </fill>
    <fill>
      <patternFill patternType="solid">
        <fgColor rgb="FFA24D7E"/>
        <bgColor indexed="64"/>
      </patternFill>
    </fill>
    <fill>
      <patternFill patternType="solid">
        <fgColor rgb="FF775C9A"/>
        <bgColor indexed="64"/>
      </patternFill>
    </fill>
    <fill>
      <patternFill patternType="solid">
        <fgColor rgb="FF4B8CDA"/>
        <bgColor indexed="64"/>
      </patternFill>
    </fill>
    <fill>
      <patternFill patternType="solid">
        <fgColor rgb="FF40ACFB"/>
        <bgColor indexed="64"/>
      </patternFill>
    </fill>
    <fill>
      <patternFill patternType="solid">
        <fgColor rgb="FF3DACFA"/>
        <bgColor indexed="64"/>
      </patternFill>
    </fill>
    <fill>
      <patternFill patternType="solid">
        <fgColor rgb="FF3CAAFA"/>
        <bgColor indexed="64"/>
      </patternFill>
    </fill>
    <fill>
      <patternFill patternType="solid">
        <fgColor rgb="FF3DABFA"/>
        <bgColor indexed="64"/>
      </patternFill>
    </fill>
    <fill>
      <patternFill patternType="solid">
        <fgColor rgb="FF3CABFA"/>
        <bgColor indexed="64"/>
      </patternFill>
    </fill>
    <fill>
      <patternFill patternType="solid">
        <fgColor rgb="FF3CAAFB"/>
        <bgColor indexed="64"/>
      </patternFill>
    </fill>
    <fill>
      <patternFill patternType="solid">
        <fgColor rgb="FF3DABFB"/>
        <bgColor indexed="64"/>
      </patternFill>
    </fill>
    <fill>
      <patternFill patternType="solid">
        <fgColor rgb="FF3DACFB"/>
        <bgColor indexed="64"/>
      </patternFill>
    </fill>
    <fill>
      <patternFill patternType="solid">
        <fgColor rgb="FF3BACFC"/>
        <bgColor indexed="64"/>
      </patternFill>
    </fill>
    <fill>
      <patternFill patternType="solid">
        <fgColor rgb="FF33A6FC"/>
        <bgColor indexed="64"/>
      </patternFill>
    </fill>
    <fill>
      <patternFill patternType="solid">
        <fgColor rgb="FF32A8FE"/>
        <bgColor indexed="64"/>
      </patternFill>
    </fill>
    <fill>
      <patternFill patternType="solid">
        <fgColor rgb="FF32A8FF"/>
        <bgColor indexed="64"/>
      </patternFill>
    </fill>
    <fill>
      <patternFill patternType="solid">
        <fgColor rgb="FF31A8FF"/>
        <bgColor indexed="64"/>
      </patternFill>
    </fill>
    <fill>
      <patternFill patternType="solid">
        <fgColor rgb="FF2FA9FF"/>
        <bgColor indexed="64"/>
      </patternFill>
    </fill>
    <fill>
      <patternFill patternType="solid">
        <fgColor rgb="FF32A0EA"/>
        <bgColor indexed="64"/>
      </patternFill>
    </fill>
    <fill>
      <patternFill patternType="solid">
        <fgColor rgb="FF7BA477"/>
        <bgColor indexed="64"/>
      </patternFill>
    </fill>
    <fill>
      <patternFill patternType="solid">
        <fgColor rgb="FF785E4C"/>
        <bgColor indexed="64"/>
      </patternFill>
    </fill>
    <fill>
      <patternFill patternType="solid">
        <fgColor rgb="FFC8805A"/>
        <bgColor indexed="64"/>
      </patternFill>
    </fill>
    <fill>
      <patternFill patternType="solid">
        <fgColor rgb="FFF58B46"/>
        <bgColor indexed="64"/>
      </patternFill>
    </fill>
    <fill>
      <patternFill patternType="solid">
        <fgColor rgb="FFE88043"/>
        <bgColor indexed="64"/>
      </patternFill>
    </fill>
    <fill>
      <patternFill patternType="solid">
        <fgColor rgb="FFBF5E30"/>
        <bgColor indexed="64"/>
      </patternFill>
    </fill>
    <fill>
      <patternFill patternType="solid">
        <fgColor rgb="FFDA7836"/>
        <bgColor indexed="64"/>
      </patternFill>
    </fill>
    <fill>
      <patternFill patternType="solid">
        <fgColor rgb="FFFF9E4E"/>
        <bgColor indexed="64"/>
      </patternFill>
    </fill>
    <fill>
      <patternFill patternType="solid">
        <fgColor rgb="FFFFA352"/>
        <bgColor indexed="64"/>
      </patternFill>
    </fill>
    <fill>
      <patternFill patternType="solid">
        <fgColor rgb="FFFFA553"/>
        <bgColor indexed="64"/>
      </patternFill>
    </fill>
    <fill>
      <patternFill patternType="solid">
        <fgColor rgb="FFED8F49"/>
        <bgColor indexed="64"/>
      </patternFill>
    </fill>
    <fill>
      <patternFill patternType="solid">
        <fgColor rgb="FFEB8E48"/>
        <bgColor indexed="64"/>
      </patternFill>
    </fill>
    <fill>
      <patternFill patternType="solid">
        <fgColor rgb="FFED904E"/>
        <bgColor indexed="64"/>
      </patternFill>
    </fill>
    <fill>
      <patternFill patternType="solid">
        <fgColor rgb="FFE9904A"/>
        <bgColor indexed="64"/>
      </patternFill>
    </fill>
    <fill>
      <patternFill patternType="solid">
        <fgColor rgb="FFEA873E"/>
        <bgColor indexed="64"/>
      </patternFill>
    </fill>
    <fill>
      <patternFill patternType="solid">
        <fgColor rgb="FFF18F48"/>
        <bgColor indexed="64"/>
      </patternFill>
    </fill>
    <fill>
      <patternFill patternType="solid">
        <fgColor rgb="FFD98A50"/>
        <bgColor indexed="64"/>
      </patternFill>
    </fill>
    <fill>
      <patternFill patternType="solid">
        <fgColor rgb="FF8F7772"/>
        <bgColor indexed="64"/>
      </patternFill>
    </fill>
    <fill>
      <patternFill patternType="solid">
        <fgColor rgb="FF2E8ADC"/>
        <bgColor indexed="64"/>
      </patternFill>
    </fill>
    <fill>
      <patternFill patternType="solid">
        <fgColor rgb="FF1C6BC2"/>
        <bgColor indexed="64"/>
      </patternFill>
    </fill>
    <fill>
      <patternFill patternType="solid">
        <fgColor rgb="FF1664BA"/>
        <bgColor indexed="64"/>
      </patternFill>
    </fill>
    <fill>
      <patternFill patternType="solid">
        <fgColor rgb="FF2394F4"/>
        <bgColor indexed="64"/>
      </patternFill>
    </fill>
    <fill>
      <patternFill patternType="solid">
        <fgColor rgb="FF0F4494"/>
        <bgColor indexed="64"/>
      </patternFill>
    </fill>
    <fill>
      <patternFill patternType="solid">
        <fgColor rgb="FF154EA0"/>
        <bgColor indexed="64"/>
      </patternFill>
    </fill>
    <fill>
      <patternFill patternType="solid">
        <fgColor rgb="FF1E90F9"/>
        <bgColor indexed="64"/>
      </patternFill>
    </fill>
    <fill>
      <patternFill patternType="solid">
        <fgColor rgb="FF1B8BFB"/>
        <bgColor indexed="64"/>
      </patternFill>
    </fill>
    <fill>
      <patternFill patternType="solid">
        <fgColor rgb="FF1987FA"/>
        <bgColor indexed="64"/>
      </patternFill>
    </fill>
    <fill>
      <patternFill patternType="solid">
        <fgColor rgb="FFFEFEFE"/>
        <bgColor indexed="64"/>
      </patternFill>
    </fill>
    <fill>
      <patternFill patternType="solid">
        <fgColor rgb="FFFDFDFE"/>
        <bgColor indexed="64"/>
      </patternFill>
    </fill>
    <fill>
      <patternFill patternType="solid">
        <fgColor rgb="FFFCFEFF"/>
        <bgColor indexed="64"/>
      </patternFill>
    </fill>
    <fill>
      <patternFill patternType="solid">
        <fgColor rgb="FFB5BDD3"/>
        <bgColor indexed="64"/>
      </patternFill>
    </fill>
    <fill>
      <patternFill patternType="solid">
        <fgColor rgb="FF448BD2"/>
        <bgColor indexed="64"/>
      </patternFill>
    </fill>
    <fill>
      <patternFill patternType="solid">
        <fgColor rgb="FF2D9CF8"/>
        <bgColor indexed="64"/>
      </patternFill>
    </fill>
    <fill>
      <patternFill patternType="solid">
        <fgColor rgb="FF38A4FE"/>
        <bgColor indexed="64"/>
      </patternFill>
    </fill>
    <fill>
      <patternFill patternType="solid">
        <fgColor rgb="FF37A3FE"/>
        <bgColor indexed="64"/>
      </patternFill>
    </fill>
    <fill>
      <patternFill patternType="solid">
        <fgColor rgb="FF2599EF"/>
        <bgColor indexed="64"/>
      </patternFill>
    </fill>
    <fill>
      <patternFill patternType="solid">
        <fgColor rgb="FF824971"/>
        <bgColor indexed="64"/>
      </patternFill>
    </fill>
    <fill>
      <patternFill patternType="solid">
        <fgColor rgb="FFE5485E"/>
        <bgColor indexed="64"/>
      </patternFill>
    </fill>
    <fill>
      <patternFill patternType="solid">
        <fgColor rgb="FFB63B52"/>
        <bgColor indexed="64"/>
      </patternFill>
    </fill>
    <fill>
      <patternFill patternType="solid">
        <fgColor rgb="FFFF566E"/>
        <bgColor indexed="64"/>
      </patternFill>
    </fill>
    <fill>
      <patternFill patternType="solid">
        <fgColor rgb="FFDE4B64"/>
        <bgColor indexed="64"/>
      </patternFill>
    </fill>
    <fill>
      <patternFill patternType="solid">
        <fgColor rgb="FFC63F59"/>
        <bgColor indexed="64"/>
      </patternFill>
    </fill>
    <fill>
      <patternFill patternType="solid">
        <fgColor rgb="FFF55471"/>
        <bgColor indexed="64"/>
      </patternFill>
    </fill>
    <fill>
      <patternFill patternType="solid">
        <fgColor rgb="FFFF5772"/>
        <bgColor indexed="64"/>
      </patternFill>
    </fill>
    <fill>
      <patternFill patternType="solid">
        <fgColor rgb="FFE34D67"/>
        <bgColor indexed="64"/>
      </patternFill>
    </fill>
    <fill>
      <patternFill patternType="solid">
        <fgColor rgb="FFC1425D"/>
        <bgColor indexed="64"/>
      </patternFill>
    </fill>
    <fill>
      <patternFill patternType="solid">
        <fgColor rgb="FFD34A67"/>
        <bgColor indexed="64"/>
      </patternFill>
    </fill>
    <fill>
      <patternFill patternType="solid">
        <fgColor rgb="FFFF5D79"/>
        <bgColor indexed="64"/>
      </patternFill>
    </fill>
    <fill>
      <patternFill patternType="solid">
        <fgColor rgb="FFFF5B75"/>
        <bgColor indexed="64"/>
      </patternFill>
    </fill>
    <fill>
      <patternFill patternType="solid">
        <fgColor rgb="FFF45570"/>
        <bgColor indexed="64"/>
      </patternFill>
    </fill>
    <fill>
      <patternFill patternType="solid">
        <fgColor rgb="FFFC5975"/>
        <bgColor indexed="64"/>
      </patternFill>
    </fill>
    <fill>
      <patternFill patternType="solid">
        <fgColor rgb="FFEB4E66"/>
        <bgColor indexed="64"/>
      </patternFill>
    </fill>
    <fill>
      <patternFill patternType="solid">
        <fgColor rgb="FFE24C63"/>
        <bgColor indexed="64"/>
      </patternFill>
    </fill>
    <fill>
      <patternFill patternType="solid">
        <fgColor rgb="FFF34C62"/>
        <bgColor indexed="64"/>
      </patternFill>
    </fill>
    <fill>
      <patternFill patternType="solid">
        <fgColor rgb="FFC65071"/>
        <bgColor indexed="64"/>
      </patternFill>
    </fill>
    <fill>
      <patternFill patternType="solid">
        <fgColor rgb="FF6875BC"/>
        <bgColor indexed="64"/>
      </patternFill>
    </fill>
    <fill>
      <patternFill patternType="solid">
        <fgColor rgb="FF3E9CF2"/>
        <bgColor indexed="64"/>
      </patternFill>
    </fill>
    <fill>
      <patternFill patternType="solid">
        <fgColor rgb="FF38B6FF"/>
        <bgColor indexed="64"/>
      </patternFill>
    </fill>
    <fill>
      <patternFill patternType="solid">
        <fgColor rgb="FF40B5FF"/>
        <bgColor indexed="64"/>
      </patternFill>
    </fill>
    <fill>
      <patternFill patternType="solid">
        <fgColor rgb="FF41AEFA"/>
        <bgColor indexed="64"/>
      </patternFill>
    </fill>
    <fill>
      <patternFill patternType="solid">
        <fgColor rgb="FF41ADF9"/>
        <bgColor indexed="64"/>
      </patternFill>
    </fill>
    <fill>
      <patternFill patternType="solid">
        <fgColor rgb="FF41ACFB"/>
        <bgColor indexed="64"/>
      </patternFill>
    </fill>
    <fill>
      <patternFill patternType="solid">
        <fgColor rgb="FF3EABFA"/>
        <bgColor indexed="64"/>
      </patternFill>
    </fill>
    <fill>
      <patternFill patternType="solid">
        <fgColor rgb="FF3EADFB"/>
        <bgColor indexed="64"/>
      </patternFill>
    </fill>
    <fill>
      <patternFill patternType="solid">
        <fgColor rgb="FF3FAFFC"/>
        <bgColor indexed="64"/>
      </patternFill>
    </fill>
    <fill>
      <patternFill patternType="solid">
        <fgColor rgb="FF3FAEFB"/>
        <bgColor indexed="64"/>
      </patternFill>
    </fill>
    <fill>
      <patternFill patternType="solid">
        <fgColor rgb="FF40ADFA"/>
        <bgColor indexed="64"/>
      </patternFill>
    </fill>
    <fill>
      <patternFill patternType="solid">
        <fgColor rgb="FF3FADFA"/>
        <bgColor indexed="64"/>
      </patternFill>
    </fill>
    <fill>
      <patternFill patternType="solid">
        <fgColor rgb="FF3EACFB"/>
        <bgColor indexed="64"/>
      </patternFill>
    </fill>
    <fill>
      <patternFill patternType="solid">
        <fgColor rgb="FF3EAEFB"/>
        <bgColor indexed="64"/>
      </patternFill>
    </fill>
    <fill>
      <patternFill patternType="solid">
        <fgColor rgb="FF3FADFB"/>
        <bgColor indexed="64"/>
      </patternFill>
    </fill>
    <fill>
      <patternFill patternType="solid">
        <fgColor rgb="FF3FABFA"/>
        <bgColor indexed="64"/>
      </patternFill>
    </fill>
    <fill>
      <patternFill patternType="solid">
        <fgColor rgb="FF36A8FA"/>
        <bgColor indexed="64"/>
      </patternFill>
    </fill>
    <fill>
      <patternFill patternType="solid">
        <fgColor rgb="FF32A6FA"/>
        <bgColor indexed="64"/>
      </patternFill>
    </fill>
    <fill>
      <patternFill patternType="solid">
        <fgColor rgb="FF33A6FA"/>
        <bgColor indexed="64"/>
      </patternFill>
    </fill>
    <fill>
      <patternFill patternType="solid">
        <fgColor rgb="FF32A4FA"/>
        <bgColor indexed="64"/>
      </patternFill>
    </fill>
    <fill>
      <patternFill patternType="solid">
        <fgColor rgb="FF31A4F8"/>
        <bgColor indexed="64"/>
      </patternFill>
    </fill>
    <fill>
      <patternFill patternType="solid">
        <fgColor rgb="FF31A9FF"/>
        <bgColor indexed="64"/>
      </patternFill>
    </fill>
    <fill>
      <patternFill patternType="solid">
        <fgColor rgb="FF2994F3"/>
        <bgColor indexed="64"/>
      </patternFill>
    </fill>
    <fill>
      <patternFill patternType="solid">
        <fgColor rgb="FF2384DE"/>
        <bgColor indexed="64"/>
      </patternFill>
    </fill>
    <fill>
      <patternFill patternType="solid">
        <fgColor rgb="FF2A8CE2"/>
        <bgColor indexed="64"/>
      </patternFill>
    </fill>
    <fill>
      <patternFill patternType="solid">
        <fgColor rgb="FF407FC2"/>
        <bgColor indexed="64"/>
      </patternFill>
    </fill>
    <fill>
      <patternFill patternType="solid">
        <fgColor rgb="FF477CB9"/>
        <bgColor indexed="64"/>
      </patternFill>
    </fill>
    <fill>
      <patternFill patternType="solid">
        <fgColor rgb="FF527DB4"/>
        <bgColor indexed="64"/>
      </patternFill>
    </fill>
    <fill>
      <patternFill patternType="solid">
        <fgColor rgb="FF3D639D"/>
        <bgColor indexed="64"/>
      </patternFill>
    </fill>
    <fill>
      <patternFill patternType="solid">
        <fgColor rgb="FF566B91"/>
        <bgColor indexed="64"/>
      </patternFill>
    </fill>
    <fill>
      <patternFill patternType="solid">
        <fgColor rgb="FF947F7C"/>
        <bgColor indexed="64"/>
      </patternFill>
    </fill>
    <fill>
      <patternFill patternType="solid">
        <fgColor rgb="FFAB7C61"/>
        <bgColor indexed="64"/>
      </patternFill>
    </fill>
    <fill>
      <patternFill patternType="solid">
        <fgColor rgb="FFA6725A"/>
        <bgColor indexed="64"/>
      </patternFill>
    </fill>
    <fill>
      <patternFill patternType="solid">
        <fgColor rgb="FF765346"/>
        <bgColor indexed="64"/>
      </patternFill>
    </fill>
    <fill>
      <patternFill patternType="solid">
        <fgColor rgb="FFD78346"/>
        <bgColor indexed="64"/>
      </patternFill>
    </fill>
    <fill>
      <patternFill patternType="solid">
        <fgColor rgb="FF6E4E4B"/>
        <bgColor indexed="64"/>
      </patternFill>
    </fill>
    <fill>
      <patternFill patternType="solid">
        <fgColor rgb="FF4175B1"/>
        <bgColor indexed="64"/>
      </patternFill>
    </fill>
    <fill>
      <patternFill patternType="solid">
        <fgColor rgb="FF2B7BCA"/>
        <bgColor indexed="64"/>
      </patternFill>
    </fill>
    <fill>
      <patternFill patternType="solid">
        <fgColor rgb="FF2192F1"/>
        <bgColor indexed="64"/>
      </patternFill>
    </fill>
    <fill>
      <patternFill patternType="solid">
        <fgColor rgb="FF2AA5FF"/>
        <bgColor indexed="64"/>
      </patternFill>
    </fill>
    <fill>
      <patternFill patternType="solid">
        <fgColor rgb="FF2689E6"/>
        <bgColor indexed="64"/>
      </patternFill>
    </fill>
    <fill>
      <patternFill patternType="solid">
        <fgColor rgb="FF1D73D5"/>
        <bgColor indexed="64"/>
      </patternFill>
    </fill>
    <fill>
      <patternFill patternType="solid">
        <fgColor rgb="FF1B75D8"/>
        <bgColor indexed="64"/>
      </patternFill>
    </fill>
    <fill>
      <patternFill patternType="solid">
        <fgColor rgb="FF1E76D8"/>
        <bgColor indexed="64"/>
      </patternFill>
    </fill>
    <fill>
      <patternFill patternType="solid">
        <fgColor rgb="FF2293FA"/>
        <bgColor indexed="64"/>
      </patternFill>
    </fill>
    <fill>
      <patternFill patternType="solid">
        <fgColor rgb="FF2094FD"/>
        <bgColor indexed="64"/>
      </patternFill>
    </fill>
    <fill>
      <patternFill patternType="solid">
        <fgColor rgb="FF1E92F9"/>
        <bgColor indexed="64"/>
      </patternFill>
    </fill>
    <fill>
      <patternFill patternType="solid">
        <fgColor rgb="FF1D8FFB"/>
        <bgColor indexed="64"/>
      </patternFill>
    </fill>
    <fill>
      <patternFill patternType="solid">
        <fgColor rgb="FF1A89FA"/>
        <bgColor indexed="64"/>
      </patternFill>
    </fill>
    <fill>
      <patternFill patternType="solid">
        <fgColor rgb="FFBEBEC6"/>
        <bgColor indexed="64"/>
      </patternFill>
    </fill>
    <fill>
      <patternFill patternType="solid">
        <fgColor rgb="FF486FA4"/>
        <bgColor indexed="64"/>
      </patternFill>
    </fill>
    <fill>
      <patternFill patternType="solid">
        <fgColor rgb="FF2B92EB"/>
        <bgColor indexed="64"/>
      </patternFill>
    </fill>
    <fill>
      <patternFill patternType="solid">
        <fgColor rgb="FF319CF5"/>
        <bgColor indexed="64"/>
      </patternFill>
    </fill>
    <fill>
      <patternFill patternType="solid">
        <fgColor rgb="FF724C7D"/>
        <bgColor indexed="64"/>
      </patternFill>
    </fill>
    <fill>
      <patternFill patternType="solid">
        <fgColor rgb="FFDF445A"/>
        <bgColor indexed="64"/>
      </patternFill>
    </fill>
    <fill>
      <patternFill patternType="solid">
        <fgColor rgb="FFED4F6A"/>
        <bgColor indexed="64"/>
      </patternFill>
    </fill>
    <fill>
      <patternFill patternType="solid">
        <fgColor rgb="FFDF455F"/>
        <bgColor indexed="64"/>
      </patternFill>
    </fill>
    <fill>
      <patternFill patternType="solid">
        <fgColor rgb="FFE54C66"/>
        <bgColor indexed="64"/>
      </patternFill>
    </fill>
    <fill>
      <patternFill patternType="solid">
        <fgColor rgb="FFDA425E"/>
        <bgColor indexed="64"/>
      </patternFill>
    </fill>
    <fill>
      <patternFill patternType="solid">
        <fgColor rgb="FFFF5976"/>
        <bgColor indexed="64"/>
      </patternFill>
    </fill>
    <fill>
      <patternFill patternType="solid">
        <fgColor rgb="FFE74F69"/>
        <bgColor indexed="64"/>
      </patternFill>
    </fill>
    <fill>
      <patternFill patternType="solid">
        <fgColor rgb="FFD94762"/>
        <bgColor indexed="64"/>
      </patternFill>
    </fill>
    <fill>
      <patternFill patternType="solid">
        <fgColor rgb="FFFB5977"/>
        <bgColor indexed="64"/>
      </patternFill>
    </fill>
    <fill>
      <patternFill patternType="solid">
        <fgColor rgb="FFFF5C7A"/>
        <bgColor indexed="64"/>
      </patternFill>
    </fill>
    <fill>
      <patternFill patternType="solid">
        <fgColor rgb="FFFF5F7D"/>
        <bgColor indexed="64"/>
      </patternFill>
    </fill>
    <fill>
      <patternFill patternType="solid">
        <fgColor rgb="FFFA5C78"/>
        <bgColor indexed="64"/>
      </patternFill>
    </fill>
    <fill>
      <patternFill patternType="solid">
        <fgColor rgb="FFF35976"/>
        <bgColor indexed="64"/>
      </patternFill>
    </fill>
    <fill>
      <patternFill patternType="solid">
        <fgColor rgb="FFEA526F"/>
        <bgColor indexed="64"/>
      </patternFill>
    </fill>
    <fill>
      <patternFill patternType="solid">
        <fgColor rgb="FFF05975"/>
        <bgColor indexed="64"/>
      </patternFill>
    </fill>
    <fill>
      <patternFill patternType="solid">
        <fgColor rgb="FFE44E6C"/>
        <bgColor indexed="64"/>
      </patternFill>
    </fill>
    <fill>
      <patternFill patternType="solid">
        <fgColor rgb="FFE84F6D"/>
        <bgColor indexed="64"/>
      </patternFill>
    </fill>
    <fill>
      <patternFill patternType="solid">
        <fgColor rgb="FFEC526F"/>
        <bgColor indexed="64"/>
      </patternFill>
    </fill>
    <fill>
      <patternFill patternType="solid">
        <fgColor rgb="FFE25474"/>
        <bgColor indexed="64"/>
      </patternFill>
    </fill>
    <fill>
      <patternFill patternType="solid">
        <fgColor rgb="FFC16490"/>
        <bgColor indexed="64"/>
      </patternFill>
    </fill>
    <fill>
      <patternFill patternType="solid">
        <fgColor rgb="FF8B77AF"/>
        <bgColor indexed="64"/>
      </patternFill>
    </fill>
    <fill>
      <patternFill patternType="solid">
        <fgColor rgb="FF588FD1"/>
        <bgColor indexed="64"/>
      </patternFill>
    </fill>
    <fill>
      <patternFill patternType="solid">
        <fgColor rgb="FF3BA1EC"/>
        <bgColor indexed="64"/>
      </patternFill>
    </fill>
    <fill>
      <patternFill patternType="solid">
        <fgColor rgb="FF35ADFD"/>
        <bgColor indexed="64"/>
      </patternFill>
    </fill>
    <fill>
      <patternFill patternType="solid">
        <fgColor rgb="FF35B2FF"/>
        <bgColor indexed="64"/>
      </patternFill>
    </fill>
    <fill>
      <patternFill patternType="solid">
        <fgColor rgb="FF34B2FF"/>
        <bgColor indexed="64"/>
      </patternFill>
    </fill>
    <fill>
      <patternFill patternType="solid">
        <fgColor rgb="FF38ADFD"/>
        <bgColor indexed="64"/>
      </patternFill>
    </fill>
    <fill>
      <patternFill patternType="solid">
        <fgColor rgb="FF3EA8F6"/>
        <bgColor indexed="64"/>
      </patternFill>
    </fill>
    <fill>
      <patternFill patternType="solid">
        <fgColor rgb="FF3EA8F5"/>
        <bgColor indexed="64"/>
      </patternFill>
    </fill>
    <fill>
      <patternFill patternType="solid">
        <fgColor rgb="FF40ACFC"/>
        <bgColor indexed="64"/>
      </patternFill>
    </fill>
    <fill>
      <patternFill patternType="solid">
        <fgColor rgb="FF43B3FF"/>
        <bgColor indexed="64"/>
      </patternFill>
    </fill>
    <fill>
      <patternFill patternType="solid">
        <fgColor rgb="FF37ADFC"/>
        <bgColor indexed="64"/>
      </patternFill>
    </fill>
    <fill>
      <patternFill patternType="solid">
        <fgColor rgb="FF38ABFC"/>
        <bgColor indexed="64"/>
      </patternFill>
    </fill>
    <fill>
      <patternFill patternType="solid">
        <fgColor rgb="FF35A9FB"/>
        <bgColor indexed="64"/>
      </patternFill>
    </fill>
    <fill>
      <patternFill patternType="solid">
        <fgColor rgb="FF35AAFC"/>
        <bgColor indexed="64"/>
      </patternFill>
    </fill>
    <fill>
      <patternFill patternType="solid">
        <fgColor rgb="FF36ADFF"/>
        <bgColor indexed="64"/>
      </patternFill>
    </fill>
    <fill>
      <patternFill patternType="solid">
        <fgColor rgb="FF3AB1FF"/>
        <bgColor indexed="64"/>
      </patternFill>
    </fill>
    <fill>
      <patternFill patternType="solid">
        <fgColor rgb="FF3FAEFC"/>
        <bgColor indexed="64"/>
      </patternFill>
    </fill>
    <fill>
      <patternFill patternType="solid">
        <fgColor rgb="FF3DAAFA"/>
        <bgColor indexed="64"/>
      </patternFill>
    </fill>
    <fill>
      <patternFill patternType="solid">
        <fgColor rgb="FF38A8FA"/>
        <bgColor indexed="64"/>
      </patternFill>
    </fill>
    <fill>
      <patternFill patternType="solid">
        <fgColor rgb="FF35A7FA"/>
        <bgColor indexed="64"/>
      </patternFill>
    </fill>
    <fill>
      <patternFill patternType="solid">
        <fgColor rgb="FF31A6FB"/>
        <bgColor indexed="64"/>
      </patternFill>
    </fill>
    <fill>
      <patternFill patternType="solid">
        <fgColor rgb="FF30A3FA"/>
        <bgColor indexed="64"/>
      </patternFill>
    </fill>
    <fill>
      <patternFill patternType="solid">
        <fgColor rgb="FF31A7FB"/>
        <bgColor indexed="64"/>
      </patternFill>
    </fill>
    <fill>
      <patternFill patternType="solid">
        <fgColor rgb="FF30A9FF"/>
        <bgColor indexed="64"/>
      </patternFill>
    </fill>
    <fill>
      <patternFill patternType="solid">
        <fgColor rgb="FF2BA9FF"/>
        <bgColor indexed="64"/>
      </patternFill>
    </fill>
    <fill>
      <patternFill patternType="solid">
        <fgColor rgb="FF2AA7FF"/>
        <bgColor indexed="64"/>
      </patternFill>
    </fill>
    <fill>
      <patternFill patternType="solid">
        <fgColor rgb="FF28A5FF"/>
        <bgColor indexed="64"/>
      </patternFill>
    </fill>
    <fill>
      <patternFill patternType="solid">
        <fgColor rgb="FF2BA5FF"/>
        <bgColor indexed="64"/>
      </patternFill>
    </fill>
    <fill>
      <patternFill patternType="solid">
        <fgColor rgb="FF27A2FF"/>
        <bgColor indexed="64"/>
      </patternFill>
    </fill>
    <fill>
      <patternFill patternType="solid">
        <fgColor rgb="FF1F98FB"/>
        <bgColor indexed="64"/>
      </patternFill>
    </fill>
    <fill>
      <patternFill patternType="solid">
        <fgColor rgb="FF228EED"/>
        <bgColor indexed="64"/>
      </patternFill>
    </fill>
    <fill>
      <patternFill patternType="solid">
        <fgColor rgb="FF3199F0"/>
        <bgColor indexed="64"/>
      </patternFill>
    </fill>
    <fill>
      <patternFill patternType="solid">
        <fgColor rgb="FF2085E3"/>
        <bgColor indexed="64"/>
      </patternFill>
    </fill>
    <fill>
      <patternFill patternType="solid">
        <fgColor rgb="FF79665E"/>
        <bgColor indexed="64"/>
      </patternFill>
    </fill>
    <fill>
      <patternFill patternType="solid">
        <fgColor rgb="FFD8854B"/>
        <bgColor indexed="64"/>
      </patternFill>
    </fill>
    <fill>
      <patternFill patternType="solid">
        <fgColor rgb="FF356092"/>
        <bgColor indexed="64"/>
      </patternFill>
    </fill>
    <fill>
      <patternFill patternType="solid">
        <fgColor rgb="FF2A94ED"/>
        <bgColor indexed="64"/>
      </patternFill>
    </fill>
    <fill>
      <patternFill patternType="solid">
        <fgColor rgb="FF2899F3"/>
        <bgColor indexed="64"/>
      </patternFill>
    </fill>
    <fill>
      <patternFill patternType="solid">
        <fgColor rgb="FF1CA1FF"/>
        <bgColor indexed="64"/>
      </patternFill>
    </fill>
    <fill>
      <patternFill patternType="solid">
        <fgColor rgb="FF1695FD"/>
        <bgColor indexed="64"/>
      </patternFill>
    </fill>
    <fill>
      <patternFill patternType="solid">
        <fgColor rgb="FF1F95F8"/>
        <bgColor indexed="64"/>
      </patternFill>
    </fill>
    <fill>
      <patternFill patternType="solid">
        <fgColor rgb="FF2A98F7"/>
        <bgColor indexed="64"/>
      </patternFill>
    </fill>
    <fill>
      <patternFill patternType="solid">
        <fgColor rgb="FF26A0FF"/>
        <bgColor indexed="64"/>
      </patternFill>
    </fill>
    <fill>
      <patternFill patternType="solid">
        <fgColor rgb="FF249FFF"/>
        <bgColor indexed="64"/>
      </patternFill>
    </fill>
    <fill>
      <patternFill patternType="solid">
        <fgColor rgb="FF2599F9"/>
        <bgColor indexed="64"/>
      </patternFill>
    </fill>
    <fill>
      <patternFill patternType="solid">
        <fgColor rgb="FF2295FA"/>
        <bgColor indexed="64"/>
      </patternFill>
    </fill>
    <fill>
      <patternFill patternType="solid">
        <fgColor rgb="FF1E95FB"/>
        <bgColor indexed="64"/>
      </patternFill>
    </fill>
    <fill>
      <patternFill patternType="solid">
        <fgColor rgb="FF1C91FA"/>
        <bgColor indexed="64"/>
      </patternFill>
    </fill>
    <fill>
      <patternFill patternType="solid">
        <fgColor rgb="FF1C8EFB"/>
        <bgColor indexed="64"/>
      </patternFill>
    </fill>
    <fill>
      <patternFill patternType="solid">
        <fgColor rgb="FF1A8AFB"/>
        <bgColor indexed="64"/>
      </patternFill>
    </fill>
    <fill>
      <patternFill patternType="solid">
        <fgColor rgb="FFFDFEFE"/>
        <bgColor indexed="64"/>
      </patternFill>
    </fill>
    <fill>
      <patternFill patternType="solid">
        <fgColor rgb="FFD5D7DA"/>
        <bgColor indexed="64"/>
      </patternFill>
    </fill>
    <fill>
      <patternFill patternType="solid">
        <fgColor rgb="FFB3ABB3"/>
        <bgColor indexed="64"/>
      </patternFill>
    </fill>
    <fill>
      <patternFill patternType="solid">
        <fgColor rgb="FF88A3C4"/>
        <bgColor indexed="64"/>
      </patternFill>
    </fill>
    <fill>
      <patternFill patternType="solid">
        <fgColor rgb="FF814D7C"/>
        <bgColor indexed="64"/>
      </patternFill>
    </fill>
    <fill>
      <patternFill patternType="solid">
        <fgColor rgb="FFFD536F"/>
        <bgColor indexed="64"/>
      </patternFill>
    </fill>
    <fill>
      <patternFill patternType="solid">
        <fgColor rgb="FFF7536E"/>
        <bgColor indexed="64"/>
      </patternFill>
    </fill>
    <fill>
      <patternFill patternType="solid">
        <fgColor rgb="FFF6536F"/>
        <bgColor indexed="64"/>
      </patternFill>
    </fill>
    <fill>
      <patternFill patternType="solid">
        <fgColor rgb="FFF85575"/>
        <bgColor indexed="64"/>
      </patternFill>
    </fill>
    <fill>
      <patternFill patternType="solid">
        <fgColor rgb="FFF65572"/>
        <bgColor indexed="64"/>
      </patternFill>
    </fill>
    <fill>
      <patternFill patternType="solid">
        <fgColor rgb="FFFC5674"/>
        <bgColor indexed="64"/>
      </patternFill>
    </fill>
    <fill>
      <patternFill patternType="solid">
        <fgColor rgb="FFFB5776"/>
        <bgColor indexed="64"/>
      </patternFill>
    </fill>
    <fill>
      <patternFill patternType="solid">
        <fgColor rgb="FFF65573"/>
        <bgColor indexed="64"/>
      </patternFill>
    </fill>
    <fill>
      <patternFill patternType="solid">
        <fgColor rgb="FFF95776"/>
        <bgColor indexed="64"/>
      </patternFill>
    </fill>
    <fill>
      <patternFill patternType="solid">
        <fgColor rgb="FFFC5A79"/>
        <bgColor indexed="64"/>
      </patternFill>
    </fill>
    <fill>
      <patternFill patternType="solid">
        <fgColor rgb="FFFA5B78"/>
        <bgColor indexed="64"/>
      </patternFill>
    </fill>
    <fill>
      <patternFill patternType="solid">
        <fgColor rgb="FFF95D79"/>
        <bgColor indexed="64"/>
      </patternFill>
    </fill>
    <fill>
      <patternFill patternType="solid">
        <fgColor rgb="FFFB5C79"/>
        <bgColor indexed="64"/>
      </patternFill>
    </fill>
    <fill>
      <patternFill patternType="solid">
        <fgColor rgb="FFFB5C7A"/>
        <bgColor indexed="64"/>
      </patternFill>
    </fill>
    <fill>
      <patternFill patternType="solid">
        <fgColor rgb="FFFB5D77"/>
        <bgColor indexed="64"/>
      </patternFill>
    </fill>
    <fill>
      <patternFill patternType="solid">
        <fgColor rgb="FFFD5F7B"/>
        <bgColor indexed="64"/>
      </patternFill>
    </fill>
    <fill>
      <patternFill patternType="solid">
        <fgColor rgb="FFFF5F7B"/>
        <bgColor indexed="64"/>
      </patternFill>
    </fill>
    <fill>
      <patternFill patternType="solid">
        <fgColor rgb="FFFF5B77"/>
        <bgColor indexed="64"/>
      </patternFill>
    </fill>
    <fill>
      <patternFill patternType="solid">
        <fgColor rgb="FFFD5B78"/>
        <bgColor indexed="64"/>
      </patternFill>
    </fill>
    <fill>
      <patternFill patternType="solid">
        <fgColor rgb="FFFF5C79"/>
        <bgColor indexed="64"/>
      </patternFill>
    </fill>
    <fill>
      <patternFill patternType="solid">
        <fgColor rgb="FFFF5C73"/>
        <bgColor indexed="64"/>
      </patternFill>
    </fill>
    <fill>
      <patternFill patternType="solid">
        <fgColor rgb="FFFF5871"/>
        <bgColor indexed="64"/>
      </patternFill>
    </fill>
    <fill>
      <patternFill patternType="solid">
        <fgColor rgb="FFF55979"/>
        <bgColor indexed="64"/>
      </patternFill>
    </fill>
    <fill>
      <patternFill patternType="solid">
        <fgColor rgb="FFD15C83"/>
        <bgColor indexed="64"/>
      </patternFill>
    </fill>
    <fill>
      <patternFill patternType="solid">
        <fgColor rgb="FFBA6B96"/>
        <bgColor indexed="64"/>
      </patternFill>
    </fill>
    <fill>
      <patternFill patternType="solid">
        <fgColor rgb="FFAA74A2"/>
        <bgColor indexed="64"/>
      </patternFill>
    </fill>
    <fill>
      <patternFill patternType="solid">
        <fgColor rgb="FF9D6EA0"/>
        <bgColor indexed="64"/>
      </patternFill>
    </fill>
    <fill>
      <patternFill patternType="solid">
        <fgColor rgb="FF8F6EA8"/>
        <bgColor indexed="64"/>
      </patternFill>
    </fill>
    <fill>
      <patternFill patternType="solid">
        <fgColor rgb="FF4977C4"/>
        <bgColor indexed="64"/>
      </patternFill>
    </fill>
    <fill>
      <patternFill patternType="solid">
        <fgColor rgb="FF2A8BE1"/>
        <bgColor indexed="64"/>
      </patternFill>
    </fill>
    <fill>
      <patternFill patternType="solid">
        <fgColor rgb="FF3699EA"/>
        <bgColor indexed="64"/>
      </patternFill>
    </fill>
    <fill>
      <patternFill patternType="solid">
        <fgColor rgb="FF3D96DE"/>
        <bgColor indexed="64"/>
      </patternFill>
    </fill>
    <fill>
      <patternFill patternType="solid">
        <fgColor rgb="FF61ACEB"/>
        <bgColor indexed="64"/>
      </patternFill>
    </fill>
    <fill>
      <patternFill patternType="solid">
        <fgColor rgb="FF71AEE8"/>
        <bgColor indexed="64"/>
      </patternFill>
    </fill>
    <fill>
      <patternFill patternType="solid">
        <fgColor rgb="FF69A0DB"/>
        <bgColor indexed="64"/>
      </patternFill>
    </fill>
    <fill>
      <patternFill patternType="solid">
        <fgColor rgb="FF669DD8"/>
        <bgColor indexed="64"/>
      </patternFill>
    </fill>
    <fill>
      <patternFill patternType="solid">
        <fgColor rgb="FF72A9E3"/>
        <bgColor indexed="64"/>
      </patternFill>
    </fill>
    <fill>
      <patternFill patternType="solid">
        <fgColor rgb="FF699BD4"/>
        <bgColor indexed="64"/>
      </patternFill>
    </fill>
    <fill>
      <patternFill patternType="solid">
        <fgColor rgb="FF548AC6"/>
        <bgColor indexed="64"/>
      </patternFill>
    </fill>
    <fill>
      <patternFill patternType="solid">
        <fgColor rgb="FF3D89CF"/>
        <bgColor indexed="64"/>
      </patternFill>
    </fill>
    <fill>
      <patternFill patternType="solid">
        <fgColor rgb="FF3195E0"/>
        <bgColor indexed="64"/>
      </patternFill>
    </fill>
    <fill>
      <patternFill patternType="solid">
        <fgColor rgb="FF33A6F4"/>
        <bgColor indexed="64"/>
      </patternFill>
    </fill>
    <fill>
      <patternFill patternType="solid">
        <fgColor rgb="FF3BB1FE"/>
        <bgColor indexed="64"/>
      </patternFill>
    </fill>
    <fill>
      <patternFill patternType="solid">
        <fgColor rgb="FF41B2FD"/>
        <bgColor indexed="64"/>
      </patternFill>
    </fill>
    <fill>
      <patternFill patternType="solid">
        <fgColor rgb="FF3BACF9"/>
        <bgColor indexed="64"/>
      </patternFill>
    </fill>
    <fill>
      <patternFill patternType="solid">
        <fgColor rgb="FF37A9FA"/>
        <bgColor indexed="64"/>
      </patternFill>
    </fill>
    <fill>
      <patternFill patternType="solid">
        <fgColor rgb="FF34A7FB"/>
        <bgColor indexed="64"/>
      </patternFill>
    </fill>
    <fill>
      <patternFill patternType="solid">
        <fgColor rgb="FF30A6FC"/>
        <bgColor indexed="64"/>
      </patternFill>
    </fill>
    <fill>
      <patternFill patternType="solid">
        <fgColor rgb="FF2FA5FC"/>
        <bgColor indexed="64"/>
      </patternFill>
    </fill>
    <fill>
      <patternFill patternType="solid">
        <fgColor rgb="FF30A3F9"/>
        <bgColor indexed="64"/>
      </patternFill>
    </fill>
    <fill>
      <patternFill patternType="solid">
        <fgColor rgb="FF31A4F9"/>
        <bgColor indexed="64"/>
      </patternFill>
    </fill>
    <fill>
      <patternFill patternType="solid">
        <fgColor rgb="FF31A2F9"/>
        <bgColor indexed="64"/>
      </patternFill>
    </fill>
    <fill>
      <patternFill patternType="solid">
        <fgColor rgb="FF31A3FA"/>
        <bgColor indexed="64"/>
      </patternFill>
    </fill>
    <fill>
      <patternFill patternType="solid">
        <fgColor rgb="FF32A3FA"/>
        <bgColor indexed="64"/>
      </patternFill>
    </fill>
    <fill>
      <patternFill patternType="solid">
        <fgColor rgb="FF34ABFE"/>
        <bgColor indexed="64"/>
      </patternFill>
    </fill>
    <fill>
      <patternFill patternType="solid">
        <fgColor rgb="FF32A8FC"/>
        <bgColor indexed="64"/>
      </patternFill>
    </fill>
    <fill>
      <patternFill patternType="solid">
        <fgColor rgb="FF2BABFF"/>
        <bgColor indexed="64"/>
      </patternFill>
    </fill>
    <fill>
      <patternFill patternType="solid">
        <fgColor rgb="FF45749F"/>
        <bgColor indexed="64"/>
      </patternFill>
    </fill>
    <fill>
      <patternFill patternType="solid">
        <fgColor rgb="FFDB8642"/>
        <bgColor indexed="64"/>
      </patternFill>
    </fill>
    <fill>
      <patternFill patternType="solid">
        <fgColor rgb="FFAF6641"/>
        <bgColor indexed="64"/>
      </patternFill>
    </fill>
    <fill>
      <patternFill patternType="solid">
        <fgColor rgb="FF9E603E"/>
        <bgColor indexed="64"/>
      </patternFill>
    </fill>
    <fill>
      <patternFill patternType="solid">
        <fgColor rgb="FF735859"/>
        <bgColor indexed="64"/>
      </patternFill>
    </fill>
    <fill>
      <patternFill patternType="solid">
        <fgColor rgb="FF6F7998"/>
        <bgColor indexed="64"/>
      </patternFill>
    </fill>
    <fill>
      <patternFill patternType="solid">
        <fgColor rgb="FF927981"/>
        <bgColor indexed="64"/>
      </patternFill>
    </fill>
    <fill>
      <patternFill patternType="solid">
        <fgColor rgb="FFAC7667"/>
        <bgColor indexed="64"/>
      </patternFill>
    </fill>
    <fill>
      <patternFill patternType="solid">
        <fgColor rgb="FF84635E"/>
        <bgColor indexed="64"/>
      </patternFill>
    </fill>
    <fill>
      <patternFill patternType="solid">
        <fgColor rgb="FF2A7CC3"/>
        <bgColor indexed="64"/>
      </patternFill>
    </fill>
    <fill>
      <patternFill patternType="solid">
        <fgColor rgb="FF1F96F7"/>
        <bgColor indexed="64"/>
      </patternFill>
    </fill>
    <fill>
      <patternFill patternType="solid">
        <fgColor rgb="FF1396FF"/>
        <bgColor indexed="64"/>
      </patternFill>
    </fill>
    <fill>
      <patternFill patternType="solid">
        <fgColor rgb="FF1F9BFF"/>
        <bgColor indexed="64"/>
      </patternFill>
    </fill>
    <fill>
      <patternFill patternType="solid">
        <fgColor rgb="FF2096FB"/>
        <bgColor indexed="64"/>
      </patternFill>
    </fill>
    <fill>
      <patternFill patternType="solid">
        <fgColor rgb="FF1E93FA"/>
        <bgColor indexed="64"/>
      </patternFill>
    </fill>
    <fill>
      <patternFill patternType="solid">
        <fgColor rgb="FF1D90FB"/>
        <bgColor indexed="64"/>
      </patternFill>
    </fill>
    <fill>
      <patternFill patternType="solid">
        <fgColor rgb="FF1A8AFA"/>
        <bgColor indexed="64"/>
      </patternFill>
    </fill>
    <fill>
      <patternFill patternType="solid">
        <fgColor rgb="FFFEFEFF"/>
        <bgColor indexed="64"/>
      </patternFill>
    </fill>
    <fill>
      <patternFill patternType="solid">
        <fgColor rgb="FFEFEFF0"/>
        <bgColor indexed="64"/>
      </patternFill>
    </fill>
    <fill>
      <patternFill patternType="solid">
        <fgColor rgb="FF757C81"/>
        <bgColor indexed="64"/>
      </patternFill>
    </fill>
    <fill>
      <patternFill patternType="solid">
        <fgColor rgb="FFB9929A"/>
        <bgColor indexed="64"/>
      </patternFill>
    </fill>
    <fill>
      <patternFill patternType="solid">
        <fgColor rgb="FFE9465E"/>
        <bgColor indexed="64"/>
      </patternFill>
    </fill>
    <fill>
      <patternFill patternType="solid">
        <fgColor rgb="FFFE5873"/>
        <bgColor indexed="64"/>
      </patternFill>
    </fill>
    <fill>
      <patternFill patternType="solid">
        <fgColor rgb="FFED506B"/>
        <bgColor indexed="64"/>
      </patternFill>
    </fill>
    <fill>
      <patternFill patternType="solid">
        <fgColor rgb="FFEF536E"/>
        <bgColor indexed="64"/>
      </patternFill>
    </fill>
    <fill>
      <patternFill patternType="solid">
        <fgColor rgb="FFFE5D79"/>
        <bgColor indexed="64"/>
      </patternFill>
    </fill>
    <fill>
      <patternFill patternType="solid">
        <fgColor rgb="FFFC5E7B"/>
        <bgColor indexed="64"/>
      </patternFill>
    </fill>
    <fill>
      <patternFill patternType="solid">
        <fgColor rgb="FFFB5C78"/>
        <bgColor indexed="64"/>
      </patternFill>
    </fill>
    <fill>
      <patternFill patternType="solid">
        <fgColor rgb="FFFD5C7B"/>
        <bgColor indexed="64"/>
      </patternFill>
    </fill>
    <fill>
      <patternFill patternType="solid">
        <fgColor rgb="FFFC5C7A"/>
        <bgColor indexed="64"/>
      </patternFill>
    </fill>
    <fill>
      <patternFill patternType="solid">
        <fgColor rgb="FFFB5D79"/>
        <bgColor indexed="64"/>
      </patternFill>
    </fill>
    <fill>
      <patternFill patternType="solid">
        <fgColor rgb="FFFB5D7B"/>
        <bgColor indexed="64"/>
      </patternFill>
    </fill>
    <fill>
      <patternFill patternType="solid">
        <fgColor rgb="FFFB5E7B"/>
        <bgColor indexed="64"/>
      </patternFill>
    </fill>
    <fill>
      <patternFill patternType="solid">
        <fgColor rgb="FFFB5F7B"/>
        <bgColor indexed="64"/>
      </patternFill>
    </fill>
    <fill>
      <patternFill patternType="solid">
        <fgColor rgb="FFFB607C"/>
        <bgColor indexed="64"/>
      </patternFill>
    </fill>
    <fill>
      <patternFill patternType="solid">
        <fgColor rgb="FFFA5F7B"/>
        <bgColor indexed="64"/>
      </patternFill>
    </fill>
    <fill>
      <patternFill patternType="solid">
        <fgColor rgb="FFFB5D78"/>
        <bgColor indexed="64"/>
      </patternFill>
    </fill>
    <fill>
      <patternFill patternType="solid">
        <fgColor rgb="FFFB5B78"/>
        <bgColor indexed="64"/>
      </patternFill>
    </fill>
    <fill>
      <patternFill patternType="solid">
        <fgColor rgb="FFF45775"/>
        <bgColor indexed="64"/>
      </patternFill>
    </fill>
    <fill>
      <patternFill patternType="solid">
        <fgColor rgb="FFF45A77"/>
        <bgColor indexed="64"/>
      </patternFill>
    </fill>
    <fill>
      <patternFill patternType="solid">
        <fgColor rgb="FFF45C78"/>
        <bgColor indexed="64"/>
      </patternFill>
    </fill>
    <fill>
      <patternFill patternType="solid">
        <fgColor rgb="FFE4556B"/>
        <bgColor indexed="64"/>
      </patternFill>
    </fill>
    <fill>
      <patternFill patternType="solid">
        <fgColor rgb="FFC3404E"/>
        <bgColor indexed="64"/>
      </patternFill>
    </fill>
    <fill>
      <patternFill patternType="solid">
        <fgColor rgb="FFA3445C"/>
        <bgColor indexed="64"/>
      </patternFill>
    </fill>
    <fill>
      <patternFill patternType="solid">
        <fgColor rgb="FF7A4373"/>
        <bgColor indexed="64"/>
      </patternFill>
    </fill>
    <fill>
      <patternFill patternType="solid">
        <fgColor rgb="FF6E5794"/>
        <bgColor indexed="64"/>
      </patternFill>
    </fill>
    <fill>
      <patternFill patternType="solid">
        <fgColor rgb="FF617CC6"/>
        <bgColor indexed="64"/>
      </patternFill>
    </fill>
    <fill>
      <patternFill patternType="solid">
        <fgColor rgb="FF5E94D4"/>
        <bgColor indexed="64"/>
      </patternFill>
    </fill>
    <fill>
      <patternFill patternType="solid">
        <fgColor rgb="FF96B8E1"/>
        <bgColor indexed="64"/>
      </patternFill>
    </fill>
    <fill>
      <patternFill patternType="solid">
        <fgColor rgb="FFBECCE5"/>
        <bgColor indexed="64"/>
      </patternFill>
    </fill>
    <fill>
      <patternFill patternType="solid">
        <fgColor rgb="FFD3D4E4"/>
        <bgColor indexed="64"/>
      </patternFill>
    </fill>
    <fill>
      <patternFill patternType="solid">
        <fgColor rgb="FFFBF7F8"/>
        <bgColor indexed="64"/>
      </patternFill>
    </fill>
    <fill>
      <patternFill patternType="solid">
        <fgColor rgb="FFFFFDFB"/>
        <bgColor indexed="64"/>
      </patternFill>
    </fill>
    <fill>
      <patternFill patternType="solid">
        <fgColor rgb="FFFFFBFB"/>
        <bgColor indexed="64"/>
      </patternFill>
    </fill>
    <fill>
      <patternFill patternType="solid">
        <fgColor rgb="FFFFFBFA"/>
        <bgColor indexed="64"/>
      </patternFill>
    </fill>
    <fill>
      <patternFill patternType="solid">
        <fgColor rgb="FFFFFEFD"/>
        <bgColor indexed="64"/>
      </patternFill>
    </fill>
    <fill>
      <patternFill patternType="solid">
        <fgColor rgb="FFFFFCFB"/>
        <bgColor indexed="64"/>
      </patternFill>
    </fill>
    <fill>
      <patternFill patternType="solid">
        <fgColor rgb="FFFBF4F6"/>
        <bgColor indexed="64"/>
      </patternFill>
    </fill>
    <fill>
      <patternFill patternType="solid">
        <fgColor rgb="FFE6E1EB"/>
        <bgColor indexed="64"/>
      </patternFill>
    </fill>
    <fill>
      <patternFill patternType="solid">
        <fgColor rgb="FFB6BCD6"/>
        <bgColor indexed="64"/>
      </patternFill>
    </fill>
    <fill>
      <patternFill patternType="solid">
        <fgColor rgb="FF7EA1CD"/>
        <bgColor indexed="64"/>
      </patternFill>
    </fill>
    <fill>
      <patternFill patternType="solid">
        <fgColor rgb="FF4D9DE0"/>
        <bgColor indexed="64"/>
      </patternFill>
    </fill>
    <fill>
      <patternFill patternType="solid">
        <fgColor rgb="FF36A7F4"/>
        <bgColor indexed="64"/>
      </patternFill>
    </fill>
    <fill>
      <patternFill patternType="solid">
        <fgColor rgb="FF42B6FF"/>
        <bgColor indexed="64"/>
      </patternFill>
    </fill>
    <fill>
      <patternFill patternType="solid">
        <fgColor rgb="FF3CADFA"/>
        <bgColor indexed="64"/>
      </patternFill>
    </fill>
    <fill>
      <patternFill patternType="solid">
        <fgColor rgb="FF35A8FB"/>
        <bgColor indexed="64"/>
      </patternFill>
    </fill>
    <fill>
      <patternFill patternType="solid">
        <fgColor rgb="FF34A5FC"/>
        <bgColor indexed="64"/>
      </patternFill>
    </fill>
    <fill>
      <patternFill patternType="solid">
        <fgColor rgb="FF32A6FB"/>
        <bgColor indexed="64"/>
      </patternFill>
    </fill>
    <fill>
      <patternFill patternType="solid">
        <fgColor rgb="FF30A4FC"/>
        <bgColor indexed="64"/>
      </patternFill>
    </fill>
    <fill>
      <patternFill patternType="solid">
        <fgColor rgb="FF30A3FB"/>
        <bgColor indexed="64"/>
      </patternFill>
    </fill>
    <fill>
      <patternFill patternType="solid">
        <fgColor rgb="FF2EA4FB"/>
        <bgColor indexed="64"/>
      </patternFill>
    </fill>
    <fill>
      <patternFill patternType="solid">
        <fgColor rgb="FF2FA3FB"/>
        <bgColor indexed="64"/>
      </patternFill>
    </fill>
    <fill>
      <patternFill patternType="solid">
        <fgColor rgb="FF2FA3FC"/>
        <bgColor indexed="64"/>
      </patternFill>
    </fill>
    <fill>
      <patternFill patternType="solid">
        <fgColor rgb="FF32A6F9"/>
        <bgColor indexed="64"/>
      </patternFill>
    </fill>
    <fill>
      <patternFill patternType="solid">
        <fgColor rgb="FF28A1FA"/>
        <bgColor indexed="64"/>
      </patternFill>
    </fill>
    <fill>
      <patternFill patternType="solid">
        <fgColor rgb="FF5D6F83"/>
        <bgColor indexed="64"/>
      </patternFill>
    </fill>
    <fill>
      <patternFill patternType="solid">
        <fgColor rgb="FFFFA44A"/>
        <bgColor indexed="64"/>
      </patternFill>
    </fill>
    <fill>
      <patternFill patternType="solid">
        <fgColor rgb="FFF29246"/>
        <bgColor indexed="64"/>
      </patternFill>
    </fill>
    <fill>
      <patternFill patternType="solid">
        <fgColor rgb="FFDD803C"/>
        <bgColor indexed="64"/>
      </patternFill>
    </fill>
    <fill>
      <patternFill patternType="solid">
        <fgColor rgb="FFF98E42"/>
        <bgColor indexed="64"/>
      </patternFill>
    </fill>
    <fill>
      <patternFill patternType="solid">
        <fgColor rgb="FFFF933E"/>
        <bgColor indexed="64"/>
      </patternFill>
    </fill>
    <fill>
      <patternFill patternType="solid">
        <fgColor rgb="FFFF9743"/>
        <bgColor indexed="64"/>
      </patternFill>
    </fill>
    <fill>
      <patternFill patternType="solid">
        <fgColor rgb="FFE47F3C"/>
        <bgColor indexed="64"/>
      </patternFill>
    </fill>
    <fill>
      <patternFill patternType="solid">
        <fgColor rgb="FFBA6635"/>
        <bgColor indexed="64"/>
      </patternFill>
    </fill>
    <fill>
      <patternFill patternType="solid">
        <fgColor rgb="FFAB6844"/>
        <bgColor indexed="64"/>
      </patternFill>
    </fill>
    <fill>
      <patternFill patternType="solid">
        <fgColor rgb="FFBD7A5B"/>
        <bgColor indexed="64"/>
      </patternFill>
    </fill>
    <fill>
      <patternFill patternType="solid">
        <fgColor rgb="FF927C83"/>
        <bgColor indexed="64"/>
      </patternFill>
    </fill>
    <fill>
      <patternFill patternType="solid">
        <fgColor rgb="FF328AD9"/>
        <bgColor indexed="64"/>
      </patternFill>
    </fill>
    <fill>
      <patternFill patternType="solid">
        <fgColor rgb="FF209AFC"/>
        <bgColor indexed="64"/>
      </patternFill>
    </fill>
    <fill>
      <patternFill patternType="solid">
        <fgColor rgb="FF1D91FA"/>
        <bgColor indexed="64"/>
      </patternFill>
    </fill>
    <fill>
      <patternFill patternType="solid">
        <fgColor rgb="FF1A8CFB"/>
        <bgColor indexed="64"/>
      </patternFill>
    </fill>
    <fill>
      <patternFill patternType="solid">
        <fgColor rgb="FFFEFDFE"/>
        <bgColor indexed="64"/>
      </patternFill>
    </fill>
    <fill>
      <patternFill patternType="solid">
        <fgColor rgb="FFE7E4E6"/>
        <bgColor indexed="64"/>
      </patternFill>
    </fill>
    <fill>
      <patternFill patternType="solid">
        <fgColor rgb="FF6B3644"/>
        <bgColor indexed="64"/>
      </patternFill>
    </fill>
    <fill>
      <patternFill patternType="solid">
        <fgColor rgb="FFAC4154"/>
        <bgColor indexed="64"/>
      </patternFill>
    </fill>
    <fill>
      <patternFill patternType="solid">
        <fgColor rgb="FFFE5875"/>
        <bgColor indexed="64"/>
      </patternFill>
    </fill>
    <fill>
      <patternFill patternType="solid">
        <fgColor rgb="FFFA5772"/>
        <bgColor indexed="64"/>
      </patternFill>
    </fill>
    <fill>
      <patternFill patternType="solid">
        <fgColor rgb="FFF55871"/>
        <bgColor indexed="64"/>
      </patternFill>
    </fill>
    <fill>
      <patternFill patternType="solid">
        <fgColor rgb="FFEF546F"/>
        <bgColor indexed="64"/>
      </patternFill>
    </fill>
    <fill>
      <patternFill patternType="solid">
        <fgColor rgb="FFFC5B78"/>
        <bgColor indexed="64"/>
      </patternFill>
    </fill>
    <fill>
      <patternFill patternType="solid">
        <fgColor rgb="FFFB5E7A"/>
        <bgColor indexed="64"/>
      </patternFill>
    </fill>
    <fill>
      <patternFill patternType="solid">
        <fgColor rgb="FFFB5E78"/>
        <bgColor indexed="64"/>
      </patternFill>
    </fill>
    <fill>
      <patternFill patternType="solid">
        <fgColor rgb="FFFB5B7A"/>
        <bgColor indexed="64"/>
      </patternFill>
    </fill>
    <fill>
      <patternFill patternType="solid">
        <fgColor rgb="FFFB5B7B"/>
        <bgColor indexed="64"/>
      </patternFill>
    </fill>
    <fill>
      <patternFill patternType="solid">
        <fgColor rgb="FFFC5C78"/>
        <bgColor indexed="64"/>
      </patternFill>
    </fill>
    <fill>
      <patternFill patternType="solid">
        <fgColor rgb="FFFB5F7D"/>
        <bgColor indexed="64"/>
      </patternFill>
    </fill>
    <fill>
      <patternFill patternType="solid">
        <fgColor rgb="FFFB5E7C"/>
        <bgColor indexed="64"/>
      </patternFill>
    </fill>
    <fill>
      <patternFill patternType="solid">
        <fgColor rgb="FFFB5F7C"/>
        <bgColor indexed="64"/>
      </patternFill>
    </fill>
    <fill>
      <patternFill patternType="solid">
        <fgColor rgb="FFFB607B"/>
        <bgColor indexed="64"/>
      </patternFill>
    </fill>
    <fill>
      <patternFill patternType="solid">
        <fgColor rgb="FFE8536F"/>
        <bgColor indexed="64"/>
      </patternFill>
    </fill>
    <fill>
      <patternFill patternType="solid">
        <fgColor rgb="FFF25875"/>
        <bgColor indexed="64"/>
      </patternFill>
    </fill>
    <fill>
      <patternFill patternType="solid">
        <fgColor rgb="FFF75B78"/>
        <bgColor indexed="64"/>
      </patternFill>
    </fill>
    <fill>
      <patternFill patternType="solid">
        <fgColor rgb="FFE65674"/>
        <bgColor indexed="64"/>
      </patternFill>
    </fill>
    <fill>
      <patternFill patternType="solid">
        <fgColor rgb="FFD1506C"/>
        <bgColor indexed="64"/>
      </patternFill>
    </fill>
    <fill>
      <patternFill patternType="solid">
        <fgColor rgb="FF784265"/>
        <bgColor indexed="64"/>
      </patternFill>
    </fill>
    <fill>
      <patternFill patternType="solid">
        <fgColor rgb="FF6787AD"/>
        <bgColor indexed="64"/>
      </patternFill>
    </fill>
    <fill>
      <patternFill patternType="solid">
        <fgColor rgb="FFC2DCF3"/>
        <bgColor indexed="64"/>
      </patternFill>
    </fill>
    <fill>
      <patternFill patternType="solid">
        <fgColor rgb="FFE2E9F5"/>
        <bgColor indexed="64"/>
      </patternFill>
    </fill>
    <fill>
      <patternFill patternType="solid">
        <fgColor rgb="FFF8F3F4"/>
        <bgColor indexed="64"/>
      </patternFill>
    </fill>
    <fill>
      <patternFill patternType="solid">
        <fgColor rgb="FFFEFFFF"/>
        <bgColor indexed="64"/>
      </patternFill>
    </fill>
    <fill>
      <patternFill patternType="solid">
        <fgColor rgb="FFFDFFFF"/>
        <bgColor indexed="64"/>
      </patternFill>
    </fill>
    <fill>
      <patternFill patternType="solid">
        <fgColor rgb="FFECEAF2"/>
        <bgColor indexed="64"/>
      </patternFill>
    </fill>
    <fill>
      <patternFill patternType="solid">
        <fgColor rgb="FF7C9AC4"/>
        <bgColor indexed="64"/>
      </patternFill>
    </fill>
    <fill>
      <patternFill patternType="solid">
        <fgColor rgb="FF2B87CB"/>
        <bgColor indexed="64"/>
      </patternFill>
    </fill>
    <fill>
      <patternFill patternType="solid">
        <fgColor rgb="FF37AAFA"/>
        <bgColor indexed="64"/>
      </patternFill>
    </fill>
    <fill>
      <patternFill patternType="solid">
        <fgColor rgb="FF34A7FA"/>
        <bgColor indexed="64"/>
      </patternFill>
    </fill>
    <fill>
      <patternFill patternType="solid">
        <fgColor rgb="FF34A8FA"/>
        <bgColor indexed="64"/>
      </patternFill>
    </fill>
    <fill>
      <patternFill patternType="solid">
        <fgColor rgb="FF2EA4FC"/>
        <bgColor indexed="64"/>
      </patternFill>
    </fill>
    <fill>
      <patternFill patternType="solid">
        <fgColor rgb="FF2FA6FA"/>
        <bgColor indexed="64"/>
      </patternFill>
    </fill>
    <fill>
      <patternFill patternType="solid">
        <fgColor rgb="FF2FA8FA"/>
        <bgColor indexed="64"/>
      </patternFill>
    </fill>
    <fill>
      <patternFill patternType="solid">
        <fgColor rgb="FF2FA4FC"/>
        <bgColor indexed="64"/>
      </patternFill>
    </fill>
    <fill>
      <patternFill patternType="solid">
        <fgColor rgb="FF33ABFC"/>
        <bgColor indexed="64"/>
      </patternFill>
    </fill>
    <fill>
      <patternFill patternType="solid">
        <fgColor rgb="FF2CA0F9"/>
        <bgColor indexed="64"/>
      </patternFill>
    </fill>
    <fill>
      <patternFill patternType="solid">
        <fgColor rgb="FF536B8C"/>
        <bgColor indexed="64"/>
      </patternFill>
    </fill>
    <fill>
      <patternFill patternType="solid">
        <fgColor rgb="FF788597"/>
        <bgColor indexed="64"/>
      </patternFill>
    </fill>
    <fill>
      <patternFill patternType="solid">
        <fgColor rgb="FF5886AC"/>
        <bgColor indexed="64"/>
      </patternFill>
    </fill>
    <fill>
      <patternFill patternType="solid">
        <fgColor rgb="FF5987AC"/>
        <bgColor indexed="64"/>
      </patternFill>
    </fill>
    <fill>
      <patternFill patternType="solid">
        <fgColor rgb="FF4F7FB2"/>
        <bgColor indexed="64"/>
      </patternFill>
    </fill>
    <fill>
      <patternFill patternType="solid">
        <fgColor rgb="FF497AAD"/>
        <bgColor indexed="64"/>
      </patternFill>
    </fill>
    <fill>
      <patternFill patternType="solid">
        <fgColor rgb="FF437AB3"/>
        <bgColor indexed="64"/>
      </patternFill>
    </fill>
    <fill>
      <patternFill patternType="solid">
        <fgColor rgb="FF437FB9"/>
        <bgColor indexed="64"/>
      </patternFill>
    </fill>
    <fill>
      <patternFill patternType="solid">
        <fgColor rgb="FF3D7EBC"/>
        <bgColor indexed="64"/>
      </patternFill>
    </fill>
    <fill>
      <patternFill patternType="solid">
        <fgColor rgb="FF3776B6"/>
        <bgColor indexed="64"/>
      </patternFill>
    </fill>
    <fill>
      <patternFill patternType="solid">
        <fgColor rgb="FF54759A"/>
        <bgColor indexed="64"/>
      </patternFill>
    </fill>
    <fill>
      <patternFill patternType="solid">
        <fgColor rgb="FF8C6B60"/>
        <bgColor indexed="64"/>
      </patternFill>
    </fill>
    <fill>
      <patternFill patternType="solid">
        <fgColor rgb="FF4975A7"/>
        <bgColor indexed="64"/>
      </patternFill>
    </fill>
    <fill>
      <patternFill patternType="solid">
        <fgColor rgb="FF1E9DFF"/>
        <bgColor indexed="64"/>
      </patternFill>
    </fill>
    <fill>
      <patternFill patternType="solid">
        <fgColor rgb="FF2197F8"/>
        <bgColor indexed="64"/>
      </patternFill>
    </fill>
    <fill>
      <patternFill patternType="solid">
        <fgColor rgb="FF2092FB"/>
        <bgColor indexed="64"/>
      </patternFill>
    </fill>
    <fill>
      <patternFill patternType="solid">
        <fgColor rgb="FFFEFDFD"/>
        <bgColor indexed="64"/>
      </patternFill>
    </fill>
    <fill>
      <patternFill patternType="solid">
        <fgColor rgb="FFCFB5BC"/>
        <bgColor indexed="64"/>
      </patternFill>
    </fill>
    <fill>
      <patternFill patternType="solid">
        <fgColor rgb="FFC93D52"/>
        <bgColor indexed="64"/>
      </patternFill>
    </fill>
    <fill>
      <patternFill patternType="solid">
        <fgColor rgb="FFE24D65"/>
        <bgColor indexed="64"/>
      </patternFill>
    </fill>
    <fill>
      <patternFill patternType="solid">
        <fgColor rgb="FFEA526B"/>
        <bgColor indexed="64"/>
      </patternFill>
    </fill>
    <fill>
      <patternFill patternType="solid">
        <fgColor rgb="FFFB5C76"/>
        <bgColor indexed="64"/>
      </patternFill>
    </fill>
    <fill>
      <patternFill patternType="solid">
        <fgColor rgb="FFFA5D77"/>
        <bgColor indexed="64"/>
      </patternFill>
    </fill>
    <fill>
      <patternFill patternType="solid">
        <fgColor rgb="FFFA5977"/>
        <bgColor indexed="64"/>
      </patternFill>
    </fill>
    <fill>
      <patternFill patternType="solid">
        <fgColor rgb="FFFB5B76"/>
        <bgColor indexed="64"/>
      </patternFill>
    </fill>
    <fill>
      <patternFill patternType="solid">
        <fgColor rgb="FFFB5D7A"/>
        <bgColor indexed="64"/>
      </patternFill>
    </fill>
    <fill>
      <patternFill patternType="solid">
        <fgColor rgb="FFFC5C7B"/>
        <bgColor indexed="64"/>
      </patternFill>
    </fill>
    <fill>
      <patternFill patternType="solid">
        <fgColor rgb="FFFB5D7C"/>
        <bgColor indexed="64"/>
      </patternFill>
    </fill>
    <fill>
      <patternFill patternType="solid">
        <fgColor rgb="FFFB5E7D"/>
        <bgColor indexed="64"/>
      </patternFill>
    </fill>
    <fill>
      <patternFill patternType="solid">
        <fgColor rgb="FFFB607D"/>
        <bgColor indexed="64"/>
      </patternFill>
    </fill>
    <fill>
      <patternFill patternType="solid">
        <fgColor rgb="FFFB607F"/>
        <bgColor indexed="64"/>
      </patternFill>
    </fill>
    <fill>
      <patternFill patternType="solid">
        <fgColor rgb="FFFC607E"/>
        <bgColor indexed="64"/>
      </patternFill>
    </fill>
    <fill>
      <patternFill patternType="solid">
        <fgColor rgb="FFFF6481"/>
        <bgColor indexed="64"/>
      </patternFill>
    </fill>
    <fill>
      <patternFill patternType="solid">
        <fgColor rgb="FFFF6380"/>
        <bgColor indexed="64"/>
      </patternFill>
    </fill>
    <fill>
      <patternFill patternType="solid">
        <fgColor rgb="FFFF617E"/>
        <bgColor indexed="64"/>
      </patternFill>
    </fill>
    <fill>
      <patternFill patternType="solid">
        <fgColor rgb="FFFF6685"/>
        <bgColor indexed="64"/>
      </patternFill>
    </fill>
    <fill>
      <patternFill patternType="solid">
        <fgColor rgb="FFFF6B8D"/>
        <bgColor indexed="64"/>
      </patternFill>
    </fill>
    <fill>
      <patternFill patternType="solid">
        <fgColor rgb="FFFF6485"/>
        <bgColor indexed="64"/>
      </patternFill>
    </fill>
    <fill>
      <patternFill patternType="solid">
        <fgColor rgb="FFD87886"/>
        <bgColor indexed="64"/>
      </patternFill>
    </fill>
    <fill>
      <patternFill patternType="solid">
        <fgColor rgb="FFEDE4DE"/>
        <bgColor indexed="64"/>
      </patternFill>
    </fill>
    <fill>
      <patternFill patternType="solid">
        <fgColor rgb="FFFFFEFF"/>
        <bgColor indexed="64"/>
      </patternFill>
    </fill>
    <fill>
      <patternFill patternType="solid">
        <fgColor rgb="FFFCFEFE"/>
        <bgColor indexed="64"/>
      </patternFill>
    </fill>
    <fill>
      <patternFill patternType="solid">
        <fgColor rgb="FF7E89A6"/>
        <bgColor indexed="64"/>
      </patternFill>
    </fill>
    <fill>
      <patternFill patternType="solid">
        <fgColor rgb="FF2D88C9"/>
        <bgColor indexed="64"/>
      </patternFill>
    </fill>
    <fill>
      <patternFill patternType="solid">
        <fgColor rgb="FF33A8FA"/>
        <bgColor indexed="64"/>
      </patternFill>
    </fill>
    <fill>
      <patternFill patternType="solid">
        <fgColor rgb="FF31A9FA"/>
        <bgColor indexed="64"/>
      </patternFill>
    </fill>
    <fill>
      <patternFill patternType="solid">
        <fgColor rgb="FF2FA6FC"/>
        <bgColor indexed="64"/>
      </patternFill>
    </fill>
    <fill>
      <patternFill patternType="solid">
        <fgColor rgb="FF33A7FB"/>
        <bgColor indexed="64"/>
      </patternFill>
    </fill>
    <fill>
      <patternFill patternType="solid">
        <fgColor rgb="FF2D99F0"/>
        <bgColor indexed="64"/>
      </patternFill>
    </fill>
    <fill>
      <patternFill patternType="solid">
        <fgColor rgb="FF298EE1"/>
        <bgColor indexed="64"/>
      </patternFill>
    </fill>
    <fill>
      <patternFill patternType="solid">
        <fgColor rgb="FF2EA7FF"/>
        <bgColor indexed="64"/>
      </patternFill>
    </fill>
    <fill>
      <patternFill patternType="solid">
        <fgColor rgb="FF219FFF"/>
        <bgColor indexed="64"/>
      </patternFill>
    </fill>
    <fill>
      <patternFill patternType="solid">
        <fgColor rgb="FF24A4FF"/>
        <bgColor indexed="64"/>
      </patternFill>
    </fill>
    <fill>
      <patternFill patternType="solid">
        <fgColor rgb="FF23A5FF"/>
        <bgColor indexed="64"/>
      </patternFill>
    </fill>
    <fill>
      <patternFill patternType="solid">
        <fgColor rgb="FF22A4FF"/>
        <bgColor indexed="64"/>
      </patternFill>
    </fill>
    <fill>
      <patternFill patternType="solid">
        <fgColor rgb="FF22A2FF"/>
        <bgColor indexed="64"/>
      </patternFill>
    </fill>
    <fill>
      <patternFill patternType="solid">
        <fgColor rgb="FF21A2FF"/>
        <bgColor indexed="64"/>
      </patternFill>
    </fill>
    <fill>
      <patternFill patternType="solid">
        <fgColor rgb="FF22A3FF"/>
        <bgColor indexed="64"/>
      </patternFill>
    </fill>
    <fill>
      <patternFill patternType="solid">
        <fgColor rgb="FF1C9EFF"/>
        <bgColor indexed="64"/>
      </patternFill>
    </fill>
    <fill>
      <patternFill patternType="solid">
        <fgColor rgb="FF1690F6"/>
        <bgColor indexed="64"/>
      </patternFill>
    </fill>
    <fill>
      <patternFill patternType="solid">
        <fgColor rgb="FF2298F8"/>
        <bgColor indexed="64"/>
      </patternFill>
    </fill>
    <fill>
      <patternFill patternType="solid">
        <fgColor rgb="FF249DFB"/>
        <bgColor indexed="64"/>
      </patternFill>
    </fill>
    <fill>
      <patternFill patternType="solid">
        <fgColor rgb="FF2098FA"/>
        <bgColor indexed="64"/>
      </patternFill>
    </fill>
    <fill>
      <patternFill patternType="solid">
        <fgColor rgb="FF2095FA"/>
        <bgColor indexed="64"/>
      </patternFill>
    </fill>
    <fill>
      <patternFill patternType="solid">
        <fgColor rgb="FF1C8EFA"/>
        <bgColor indexed="64"/>
      </patternFill>
    </fill>
    <fill>
      <patternFill patternType="solid">
        <fgColor rgb="FFFFFEFE"/>
        <bgColor indexed="64"/>
      </patternFill>
    </fill>
    <fill>
      <patternFill patternType="solid">
        <fgColor rgb="FFE8F0EF"/>
        <bgColor indexed="64"/>
      </patternFill>
    </fill>
    <fill>
      <patternFill patternType="solid">
        <fgColor rgb="FFB26172"/>
        <bgColor indexed="64"/>
      </patternFill>
    </fill>
    <fill>
      <patternFill patternType="solid">
        <fgColor rgb="FFE3445C"/>
        <bgColor indexed="64"/>
      </patternFill>
    </fill>
    <fill>
      <patternFill patternType="solid">
        <fgColor rgb="FFE14C63"/>
        <bgColor indexed="64"/>
      </patternFill>
    </fill>
    <fill>
      <patternFill patternType="solid">
        <fgColor rgb="FFF2556E"/>
        <bgColor indexed="64"/>
      </patternFill>
    </fill>
    <fill>
      <patternFill patternType="solid">
        <fgColor rgb="FFFD5E77"/>
        <bgColor indexed="64"/>
      </patternFill>
    </fill>
    <fill>
      <patternFill patternType="solid">
        <fgColor rgb="FFFA5C77"/>
        <bgColor indexed="64"/>
      </patternFill>
    </fill>
    <fill>
      <patternFill patternType="solid">
        <fgColor rgb="FFFB5A77"/>
        <bgColor indexed="64"/>
      </patternFill>
    </fill>
    <fill>
      <patternFill patternType="solid">
        <fgColor rgb="FFFA5D7A"/>
        <bgColor indexed="64"/>
      </patternFill>
    </fill>
    <fill>
      <patternFill patternType="solid">
        <fgColor rgb="FFFA5D7C"/>
        <bgColor indexed="64"/>
      </patternFill>
    </fill>
    <fill>
      <patternFill patternType="solid">
        <fgColor rgb="FFFB5F7F"/>
        <bgColor indexed="64"/>
      </patternFill>
    </fill>
    <fill>
      <patternFill patternType="solid">
        <fgColor rgb="FFFB5E7F"/>
        <bgColor indexed="64"/>
      </patternFill>
    </fill>
    <fill>
      <patternFill patternType="solid">
        <fgColor rgb="FFFB5F7E"/>
        <bgColor indexed="64"/>
      </patternFill>
    </fill>
    <fill>
      <patternFill patternType="solid">
        <fgColor rgb="FFFC6180"/>
        <bgColor indexed="64"/>
      </patternFill>
    </fill>
    <fill>
      <patternFill patternType="solid">
        <fgColor rgb="FFF9617D"/>
        <bgColor indexed="64"/>
      </patternFill>
    </fill>
    <fill>
      <patternFill patternType="solid">
        <fgColor rgb="FFE85870"/>
        <bgColor indexed="64"/>
      </patternFill>
    </fill>
    <fill>
      <patternFill patternType="solid">
        <fgColor rgb="FFE4526C"/>
        <bgColor indexed="64"/>
      </patternFill>
    </fill>
    <fill>
      <patternFill patternType="solid">
        <fgColor rgb="FFDF5067"/>
        <bgColor indexed="64"/>
      </patternFill>
    </fill>
    <fill>
      <patternFill patternType="solid">
        <fgColor rgb="FFCE4B60"/>
        <bgColor indexed="64"/>
      </patternFill>
    </fill>
    <fill>
      <patternFill patternType="solid">
        <fgColor rgb="FFCC4F62"/>
        <bgColor indexed="64"/>
      </patternFill>
    </fill>
    <fill>
      <patternFill patternType="solid">
        <fgColor rgb="FFDF596D"/>
        <bgColor indexed="64"/>
      </patternFill>
    </fill>
    <fill>
      <patternFill patternType="solid">
        <fgColor rgb="FFEE5877"/>
        <bgColor indexed="64"/>
      </patternFill>
    </fill>
    <fill>
      <patternFill patternType="solid">
        <fgColor rgb="FFCE536B"/>
        <bgColor indexed="64"/>
      </patternFill>
    </fill>
    <fill>
      <patternFill patternType="solid">
        <fgColor rgb="FFBE7D85"/>
        <bgColor indexed="64"/>
      </patternFill>
    </fill>
    <fill>
      <patternFill patternType="solid">
        <fgColor rgb="FFC5ABAB"/>
        <bgColor indexed="64"/>
      </patternFill>
    </fill>
    <fill>
      <patternFill patternType="solid">
        <fgColor rgb="FFCECBCD"/>
        <bgColor indexed="64"/>
      </patternFill>
    </fill>
    <fill>
      <patternFill patternType="solid">
        <fgColor rgb="FFDEDFE4"/>
        <bgColor indexed="64"/>
      </patternFill>
    </fill>
    <fill>
      <patternFill patternType="solid">
        <fgColor rgb="FFF9F9FA"/>
        <bgColor indexed="64"/>
      </patternFill>
    </fill>
    <fill>
      <patternFill patternType="solid">
        <fgColor rgb="FFFFFCFD"/>
        <bgColor indexed="64"/>
      </patternFill>
    </fill>
    <fill>
      <patternFill patternType="solid">
        <fgColor rgb="FF587FA6"/>
        <bgColor indexed="64"/>
      </patternFill>
    </fill>
    <fill>
      <patternFill patternType="solid">
        <fgColor rgb="FF38A8F3"/>
        <bgColor indexed="64"/>
      </patternFill>
    </fill>
    <fill>
      <patternFill patternType="solid">
        <fgColor rgb="FF3DAFFC"/>
        <bgColor indexed="64"/>
      </patternFill>
    </fill>
    <fill>
      <patternFill patternType="solid">
        <fgColor rgb="FF3EB0FA"/>
        <bgColor indexed="64"/>
      </patternFill>
    </fill>
    <fill>
      <patternFill patternType="solid">
        <fgColor rgb="FF38A9FC"/>
        <bgColor indexed="64"/>
      </patternFill>
    </fill>
    <fill>
      <patternFill patternType="solid">
        <fgColor rgb="FF31AAFA"/>
        <bgColor indexed="64"/>
      </patternFill>
    </fill>
    <fill>
      <patternFill patternType="solid">
        <fgColor rgb="FF32A9FC"/>
        <bgColor indexed="64"/>
      </patternFill>
    </fill>
    <fill>
      <patternFill patternType="solid">
        <fgColor rgb="FF34A8F8"/>
        <bgColor indexed="64"/>
      </patternFill>
    </fill>
    <fill>
      <patternFill patternType="solid">
        <fgColor rgb="FF36B0FF"/>
        <bgColor indexed="64"/>
      </patternFill>
    </fill>
    <fill>
      <patternFill patternType="solid">
        <fgColor rgb="FF3A8EC7"/>
        <bgColor indexed="64"/>
      </patternFill>
    </fill>
    <fill>
      <patternFill patternType="solid">
        <fgColor rgb="FF4A7D8E"/>
        <bgColor indexed="64"/>
      </patternFill>
    </fill>
    <fill>
      <patternFill patternType="solid">
        <fgColor rgb="FF33ADFF"/>
        <bgColor indexed="64"/>
      </patternFill>
    </fill>
    <fill>
      <patternFill patternType="solid">
        <fgColor rgb="FF30A3F8"/>
        <bgColor indexed="64"/>
      </patternFill>
    </fill>
    <fill>
      <patternFill patternType="solid">
        <fgColor rgb="FF2EA2F8"/>
        <bgColor indexed="64"/>
      </patternFill>
    </fill>
    <fill>
      <patternFill patternType="solid">
        <fgColor rgb="FF2DA0F8"/>
        <bgColor indexed="64"/>
      </patternFill>
    </fill>
    <fill>
      <patternFill patternType="solid">
        <fgColor rgb="FF2C9FF8"/>
        <bgColor indexed="64"/>
      </patternFill>
    </fill>
    <fill>
      <patternFill patternType="solid">
        <fgColor rgb="FF2AA0F7"/>
        <bgColor indexed="64"/>
      </patternFill>
    </fill>
    <fill>
      <patternFill patternType="solid">
        <fgColor rgb="FF2A9FF8"/>
        <bgColor indexed="64"/>
      </patternFill>
    </fill>
    <fill>
      <patternFill patternType="solid">
        <fgColor rgb="FF299EF8"/>
        <bgColor indexed="64"/>
      </patternFill>
    </fill>
    <fill>
      <patternFill patternType="solid">
        <fgColor rgb="FF289DF8"/>
        <bgColor indexed="64"/>
      </patternFill>
    </fill>
    <fill>
      <patternFill patternType="solid">
        <fgColor rgb="FF299DF8"/>
        <bgColor indexed="64"/>
      </patternFill>
    </fill>
    <fill>
      <patternFill patternType="solid">
        <fgColor rgb="FF2AA4FB"/>
        <bgColor indexed="64"/>
      </patternFill>
    </fill>
    <fill>
      <patternFill patternType="solid">
        <fgColor rgb="FF269FFA"/>
        <bgColor indexed="64"/>
      </patternFill>
    </fill>
    <fill>
      <patternFill patternType="solid">
        <fgColor rgb="FF239CFA"/>
        <bgColor indexed="64"/>
      </patternFill>
    </fill>
    <fill>
      <patternFill patternType="solid">
        <fgColor rgb="FF229AFA"/>
        <bgColor indexed="64"/>
      </patternFill>
    </fill>
    <fill>
      <patternFill patternType="solid">
        <fgColor rgb="FF2096FA"/>
        <bgColor indexed="64"/>
      </patternFill>
    </fill>
    <fill>
      <patternFill patternType="solid">
        <fgColor rgb="FF1D93FB"/>
        <bgColor indexed="64"/>
      </patternFill>
    </fill>
    <fill>
      <patternFill patternType="solid">
        <fgColor rgb="FFFDFCFD"/>
        <bgColor indexed="64"/>
      </patternFill>
    </fill>
    <fill>
      <patternFill patternType="solid">
        <fgColor rgb="FFC9B9BC"/>
        <bgColor indexed="64"/>
      </patternFill>
    </fill>
    <fill>
      <patternFill patternType="solid">
        <fgColor rgb="FFD44159"/>
        <bgColor indexed="64"/>
      </patternFill>
    </fill>
    <fill>
      <patternFill patternType="solid">
        <fgColor rgb="FFFE5672"/>
        <bgColor indexed="64"/>
      </patternFill>
    </fill>
    <fill>
      <patternFill patternType="solid">
        <fgColor rgb="FFE44C65"/>
        <bgColor indexed="64"/>
      </patternFill>
    </fill>
    <fill>
      <patternFill patternType="solid">
        <fgColor rgb="FFFC5C77"/>
        <bgColor indexed="64"/>
      </patternFill>
    </fill>
    <fill>
      <patternFill patternType="solid">
        <fgColor rgb="FFFA5976"/>
        <bgColor indexed="64"/>
      </patternFill>
    </fill>
    <fill>
      <patternFill patternType="solid">
        <fgColor rgb="FFFA5A76"/>
        <bgColor indexed="64"/>
      </patternFill>
    </fill>
    <fill>
      <patternFill patternType="solid">
        <fgColor rgb="FFFB5B79"/>
        <bgColor indexed="64"/>
      </patternFill>
    </fill>
    <fill>
      <patternFill patternType="solid">
        <fgColor rgb="FFFC5C79"/>
        <bgColor indexed="64"/>
      </patternFill>
    </fill>
    <fill>
      <patternFill patternType="solid">
        <fgColor rgb="FFFB5D7D"/>
        <bgColor indexed="64"/>
      </patternFill>
    </fill>
    <fill>
      <patternFill patternType="solid">
        <fgColor rgb="FFFB5E7E"/>
        <bgColor indexed="64"/>
      </patternFill>
    </fill>
    <fill>
      <patternFill patternType="solid">
        <fgColor rgb="FFFB5F80"/>
        <bgColor indexed="64"/>
      </patternFill>
    </fill>
    <fill>
      <patternFill patternType="solid">
        <fgColor rgb="FFFB607E"/>
        <bgColor indexed="64"/>
      </patternFill>
    </fill>
    <fill>
      <patternFill patternType="solid">
        <fgColor rgb="FFFC607D"/>
        <bgColor indexed="64"/>
      </patternFill>
    </fill>
    <fill>
      <patternFill patternType="solid">
        <fgColor rgb="FFF45D7A"/>
        <bgColor indexed="64"/>
      </patternFill>
    </fill>
    <fill>
      <patternFill patternType="solid">
        <fgColor rgb="FFDE5472"/>
        <bgColor indexed="64"/>
      </patternFill>
    </fill>
    <fill>
      <patternFill patternType="solid">
        <fgColor rgb="FFF25E7B"/>
        <bgColor indexed="64"/>
      </patternFill>
    </fill>
    <fill>
      <patternFill patternType="solid">
        <fgColor rgb="FFDB4E6A"/>
        <bgColor indexed="64"/>
      </patternFill>
    </fill>
    <fill>
      <patternFill patternType="solid">
        <fgColor rgb="FFC34761"/>
        <bgColor indexed="64"/>
      </patternFill>
    </fill>
    <fill>
      <patternFill patternType="solid">
        <fgColor rgb="FFB4425D"/>
        <bgColor indexed="64"/>
      </patternFill>
    </fill>
    <fill>
      <patternFill patternType="solid">
        <fgColor rgb="FF792E3F"/>
        <bgColor indexed="64"/>
      </patternFill>
    </fill>
    <fill>
      <patternFill patternType="solid">
        <fgColor rgb="FFA78392"/>
        <bgColor indexed="64"/>
      </patternFill>
    </fill>
    <fill>
      <patternFill patternType="solid">
        <fgColor rgb="FFD4ABC1"/>
        <bgColor indexed="64"/>
      </patternFill>
    </fill>
    <fill>
      <patternFill patternType="solid">
        <fgColor rgb="FFC991AE"/>
        <bgColor indexed="64"/>
      </patternFill>
    </fill>
    <fill>
      <patternFill patternType="solid">
        <fgColor rgb="FFBD93AA"/>
        <bgColor indexed="64"/>
      </patternFill>
    </fill>
    <fill>
      <patternFill patternType="solid">
        <fgColor rgb="FFC7BFCD"/>
        <bgColor indexed="64"/>
      </patternFill>
    </fill>
    <fill>
      <patternFill patternType="solid">
        <fgColor rgb="FFF2F2F5"/>
        <bgColor indexed="64"/>
      </patternFill>
    </fill>
    <fill>
      <patternFill patternType="solid">
        <fgColor rgb="FFFCFCFD"/>
        <bgColor indexed="64"/>
      </patternFill>
    </fill>
    <fill>
      <patternFill patternType="solid">
        <fgColor rgb="FF8D9EB4"/>
        <bgColor indexed="64"/>
      </patternFill>
    </fill>
    <fill>
      <patternFill patternType="solid">
        <fgColor rgb="FF3197DD"/>
        <bgColor indexed="64"/>
      </patternFill>
    </fill>
    <fill>
      <patternFill patternType="solid">
        <fgColor rgb="FF3EB0F9"/>
        <bgColor indexed="64"/>
      </patternFill>
    </fill>
    <fill>
      <patternFill patternType="solid">
        <fgColor rgb="FF37AAFC"/>
        <bgColor indexed="64"/>
      </patternFill>
    </fill>
    <fill>
      <patternFill patternType="solid">
        <fgColor rgb="FF298BDF"/>
        <bgColor indexed="64"/>
      </patternFill>
    </fill>
    <fill>
      <patternFill patternType="solid">
        <fgColor rgb="FF2F9EF0"/>
        <bgColor indexed="64"/>
      </patternFill>
    </fill>
    <fill>
      <patternFill patternType="solid">
        <fgColor rgb="FF37AEFC"/>
        <bgColor indexed="64"/>
      </patternFill>
    </fill>
    <fill>
      <patternFill patternType="solid">
        <fgColor rgb="FF34ABFC"/>
        <bgColor indexed="64"/>
      </patternFill>
    </fill>
    <fill>
      <patternFill patternType="solid">
        <fgColor rgb="FF2C9AF1"/>
        <bgColor indexed="64"/>
      </patternFill>
    </fill>
    <fill>
      <patternFill patternType="solid">
        <fgColor rgb="FF31A0EF"/>
        <bgColor indexed="64"/>
      </patternFill>
    </fill>
    <fill>
      <patternFill patternType="solid">
        <fgColor rgb="FF39A4F1"/>
        <bgColor indexed="64"/>
      </patternFill>
    </fill>
    <fill>
      <patternFill patternType="solid">
        <fgColor rgb="FF2296F8"/>
        <bgColor indexed="64"/>
      </patternFill>
    </fill>
    <fill>
      <patternFill patternType="solid">
        <fgColor rgb="FF7C9863"/>
        <bgColor indexed="64"/>
      </patternFill>
    </fill>
    <fill>
      <patternFill patternType="solid">
        <fgColor rgb="FF8BB486"/>
        <bgColor indexed="64"/>
      </patternFill>
    </fill>
    <fill>
      <patternFill patternType="solid">
        <fgColor rgb="FF2BA2FB"/>
        <bgColor indexed="64"/>
      </patternFill>
    </fill>
    <fill>
      <patternFill patternType="solid">
        <fgColor rgb="FF34A4F4"/>
        <bgColor indexed="64"/>
      </patternFill>
    </fill>
    <fill>
      <patternFill patternType="solid">
        <fgColor rgb="FF2EA2F7"/>
        <bgColor indexed="64"/>
      </patternFill>
    </fill>
    <fill>
      <patternFill patternType="solid">
        <fgColor rgb="FF2EA1F7"/>
        <bgColor indexed="64"/>
      </patternFill>
    </fill>
    <fill>
      <patternFill patternType="solid">
        <fgColor rgb="FF2CA2F8"/>
        <bgColor indexed="64"/>
      </patternFill>
    </fill>
    <fill>
      <patternFill patternType="solid">
        <fgColor rgb="FF2AA3FB"/>
        <bgColor indexed="64"/>
      </patternFill>
    </fill>
    <fill>
      <patternFill patternType="solid">
        <fgColor rgb="FF2AA0FB"/>
        <bgColor indexed="64"/>
      </patternFill>
    </fill>
    <fill>
      <patternFill patternType="solid">
        <fgColor rgb="FF28A0FA"/>
        <bgColor indexed="64"/>
      </patternFill>
    </fill>
    <fill>
      <patternFill patternType="solid">
        <fgColor rgb="FF269EFB"/>
        <bgColor indexed="64"/>
      </patternFill>
    </fill>
    <fill>
      <patternFill patternType="solid">
        <fgColor rgb="FF269EF8"/>
        <bgColor indexed="64"/>
      </patternFill>
    </fill>
    <fill>
      <patternFill patternType="solid">
        <fgColor rgb="FF27A1FA"/>
        <bgColor indexed="64"/>
      </patternFill>
    </fill>
    <fill>
      <patternFill patternType="solid">
        <fgColor rgb="FF269FFB"/>
        <bgColor indexed="64"/>
      </patternFill>
    </fill>
    <fill>
      <patternFill patternType="solid">
        <fgColor rgb="FF2399FB"/>
        <bgColor indexed="64"/>
      </patternFill>
    </fill>
    <fill>
      <patternFill patternType="solid">
        <fgColor rgb="FF2297FB"/>
        <bgColor indexed="64"/>
      </patternFill>
    </fill>
    <fill>
      <patternFill patternType="solid">
        <fgColor rgb="FF1F95FC"/>
        <bgColor indexed="64"/>
      </patternFill>
    </fill>
    <fill>
      <patternFill patternType="solid">
        <fgColor rgb="FFDFE0E2"/>
        <bgColor indexed="64"/>
      </patternFill>
    </fill>
    <fill>
      <patternFill patternType="solid">
        <fgColor rgb="FFDDE4E4"/>
        <bgColor indexed="64"/>
      </patternFill>
    </fill>
    <fill>
      <patternFill patternType="solid">
        <fgColor rgb="FFAB7C84"/>
        <bgColor indexed="64"/>
      </patternFill>
    </fill>
    <fill>
      <patternFill patternType="solid">
        <fgColor rgb="FFE4465E"/>
        <bgColor indexed="64"/>
      </patternFill>
    </fill>
    <fill>
      <patternFill patternType="solid">
        <fgColor rgb="FFFF5872"/>
        <bgColor indexed="64"/>
      </patternFill>
    </fill>
    <fill>
      <patternFill patternType="solid">
        <fgColor rgb="FFFC5A74"/>
        <bgColor indexed="64"/>
      </patternFill>
    </fill>
    <fill>
      <patternFill patternType="solid">
        <fgColor rgb="FFFB5D76"/>
        <bgColor indexed="64"/>
      </patternFill>
    </fill>
    <fill>
      <patternFill patternType="solid">
        <fgColor rgb="FFFB5A75"/>
        <bgColor indexed="64"/>
      </patternFill>
    </fill>
    <fill>
      <patternFill patternType="solid">
        <fgColor rgb="FFFB5C7B"/>
        <bgColor indexed="64"/>
      </patternFill>
    </fill>
    <fill>
      <patternFill patternType="solid">
        <fgColor rgb="FFFA5E7C"/>
        <bgColor indexed="64"/>
      </patternFill>
    </fill>
    <fill>
      <patternFill patternType="solid">
        <fgColor rgb="FFFB6080"/>
        <bgColor indexed="64"/>
      </patternFill>
    </fill>
    <fill>
      <patternFill patternType="solid">
        <fgColor rgb="FFFA5E7F"/>
        <bgColor indexed="64"/>
      </patternFill>
    </fill>
    <fill>
      <patternFill patternType="solid">
        <fgColor rgb="FFFC5F7F"/>
        <bgColor indexed="64"/>
      </patternFill>
    </fill>
    <fill>
      <patternFill patternType="solid">
        <fgColor rgb="FFFF6483"/>
        <bgColor indexed="64"/>
      </patternFill>
    </fill>
    <fill>
      <patternFill patternType="solid">
        <fgColor rgb="FFFF6381"/>
        <bgColor indexed="64"/>
      </patternFill>
    </fill>
    <fill>
      <patternFill patternType="solid">
        <fgColor rgb="FFFF6A8C"/>
        <bgColor indexed="64"/>
      </patternFill>
    </fill>
    <fill>
      <patternFill patternType="solid">
        <fgColor rgb="FFFF6C8E"/>
        <bgColor indexed="64"/>
      </patternFill>
    </fill>
    <fill>
      <patternFill patternType="solid">
        <fgColor rgb="FFFA668B"/>
        <bgColor indexed="64"/>
      </patternFill>
    </fill>
    <fill>
      <patternFill patternType="solid">
        <fgColor rgb="FFD76780"/>
        <bgColor indexed="64"/>
      </patternFill>
    </fill>
    <fill>
      <patternFill patternType="solid">
        <fgColor rgb="FFCA9A9F"/>
        <bgColor indexed="64"/>
      </patternFill>
    </fill>
    <fill>
      <patternFill patternType="solid">
        <fgColor rgb="FFE9EDE8"/>
        <bgColor indexed="64"/>
      </patternFill>
    </fill>
    <fill>
      <patternFill patternType="solid">
        <fgColor rgb="FFFCFDFD"/>
        <bgColor indexed="64"/>
      </patternFill>
    </fill>
    <fill>
      <patternFill patternType="solid">
        <fgColor rgb="FFA4B3C7"/>
        <bgColor indexed="64"/>
      </patternFill>
    </fill>
    <fill>
      <patternFill patternType="solid">
        <fgColor rgb="FF379AE0"/>
        <bgColor indexed="64"/>
      </patternFill>
    </fill>
    <fill>
      <patternFill patternType="solid">
        <fgColor rgb="FF3FB1FB"/>
        <bgColor indexed="64"/>
      </patternFill>
    </fill>
    <fill>
      <patternFill patternType="solid">
        <fgColor rgb="FF36AAFA"/>
        <bgColor indexed="64"/>
      </patternFill>
    </fill>
    <fill>
      <patternFill patternType="solid">
        <fgColor rgb="FF32A7FA"/>
        <bgColor indexed="64"/>
      </patternFill>
    </fill>
    <fill>
      <patternFill patternType="solid">
        <fgColor rgb="FF33AFFF"/>
        <bgColor indexed="64"/>
      </patternFill>
    </fill>
    <fill>
      <patternFill patternType="solid">
        <fgColor rgb="FF3190DC"/>
        <bgColor indexed="64"/>
      </patternFill>
    </fill>
    <fill>
      <patternFill patternType="solid">
        <fgColor rgb="FF3679A7"/>
        <bgColor indexed="64"/>
      </patternFill>
    </fill>
    <fill>
      <patternFill patternType="solid">
        <fgColor rgb="FF35A9F9"/>
        <bgColor indexed="64"/>
      </patternFill>
    </fill>
    <fill>
      <patternFill patternType="solid">
        <fgColor rgb="FF3B85C5"/>
        <bgColor indexed="64"/>
      </patternFill>
    </fill>
    <fill>
      <patternFill patternType="solid">
        <fgColor rgb="FF3593E2"/>
        <bgColor indexed="64"/>
      </patternFill>
    </fill>
    <fill>
      <patternFill patternType="solid">
        <fgColor rgb="FF258AEB"/>
        <bgColor indexed="64"/>
      </patternFill>
    </fill>
    <fill>
      <patternFill patternType="solid">
        <fgColor rgb="FF719E85"/>
        <bgColor indexed="64"/>
      </patternFill>
    </fill>
    <fill>
      <patternFill patternType="solid">
        <fgColor rgb="FFD5D230"/>
        <bgColor indexed="64"/>
      </patternFill>
    </fill>
    <fill>
      <patternFill patternType="solid">
        <fgColor rgb="FF3D87B0"/>
        <bgColor indexed="64"/>
      </patternFill>
    </fill>
    <fill>
      <patternFill patternType="solid">
        <fgColor rgb="FF208EFC"/>
        <bgColor indexed="64"/>
      </patternFill>
    </fill>
    <fill>
      <patternFill patternType="solid">
        <fgColor rgb="FF2B9BFE"/>
        <bgColor indexed="64"/>
      </patternFill>
    </fill>
    <fill>
      <patternFill patternType="solid">
        <fgColor rgb="FF2BA7FF"/>
        <bgColor indexed="64"/>
      </patternFill>
    </fill>
    <fill>
      <patternFill patternType="solid">
        <fgColor rgb="FF28A6FF"/>
        <bgColor indexed="64"/>
      </patternFill>
    </fill>
    <fill>
      <patternFill patternType="solid">
        <fgColor rgb="FF2AA6FF"/>
        <bgColor indexed="64"/>
      </patternFill>
    </fill>
    <fill>
      <patternFill patternType="solid">
        <fgColor rgb="FF2B9FF7"/>
        <bgColor indexed="64"/>
      </patternFill>
    </fill>
    <fill>
      <patternFill patternType="solid">
        <fgColor rgb="FF2C9FF5"/>
        <bgColor indexed="64"/>
      </patternFill>
    </fill>
    <fill>
      <patternFill patternType="solid">
        <fgColor rgb="FF2AA2F8"/>
        <bgColor indexed="64"/>
      </patternFill>
    </fill>
    <fill>
      <patternFill patternType="solid">
        <fgColor rgb="FF2AA0F8"/>
        <bgColor indexed="64"/>
      </patternFill>
    </fill>
    <fill>
      <patternFill patternType="solid">
        <fgColor rgb="FF2AA1FC"/>
        <bgColor indexed="64"/>
      </patternFill>
    </fill>
    <fill>
      <patternFill patternType="solid">
        <fgColor rgb="FF29A4FF"/>
        <bgColor indexed="64"/>
      </patternFill>
    </fill>
    <fill>
      <patternFill patternType="solid">
        <fgColor rgb="FF249FFB"/>
        <bgColor indexed="64"/>
      </patternFill>
    </fill>
    <fill>
      <patternFill patternType="solid">
        <fgColor rgb="FF249EFB"/>
        <bgColor indexed="64"/>
      </patternFill>
    </fill>
    <fill>
      <patternFill patternType="solid">
        <fgColor rgb="FF2298FA"/>
        <bgColor indexed="64"/>
      </patternFill>
    </fill>
    <fill>
      <patternFill patternType="solid">
        <fgColor rgb="FF1F94FB"/>
        <bgColor indexed="64"/>
      </patternFill>
    </fill>
    <fill>
      <patternFill patternType="solid">
        <fgColor rgb="FFFDFDFD"/>
        <bgColor indexed="64"/>
      </patternFill>
    </fill>
    <fill>
      <patternFill patternType="solid">
        <fgColor rgb="FF9D9DA1"/>
        <bgColor indexed="64"/>
      </patternFill>
    </fill>
    <fill>
      <patternFill patternType="solid">
        <fgColor rgb="FFADB0B4"/>
        <bgColor indexed="64"/>
      </patternFill>
    </fill>
    <fill>
      <patternFill patternType="solid">
        <fgColor rgb="FFB85D6B"/>
        <bgColor indexed="64"/>
      </patternFill>
    </fill>
    <fill>
      <patternFill patternType="solid">
        <fgColor rgb="FFF74F6C"/>
        <bgColor indexed="64"/>
      </patternFill>
    </fill>
    <fill>
      <patternFill patternType="solid">
        <fgColor rgb="FFFA5770"/>
        <bgColor indexed="64"/>
      </patternFill>
    </fill>
    <fill>
      <patternFill patternType="solid">
        <fgColor rgb="FFFA5973"/>
        <bgColor indexed="64"/>
      </patternFill>
    </fill>
    <fill>
      <patternFill patternType="solid">
        <fgColor rgb="FFFB5C74"/>
        <bgColor indexed="64"/>
      </patternFill>
    </fill>
    <fill>
      <patternFill patternType="solid">
        <fgColor rgb="FFFB5B77"/>
        <bgColor indexed="64"/>
      </patternFill>
    </fill>
    <fill>
      <patternFill patternType="solid">
        <fgColor rgb="FFFA5D7B"/>
        <bgColor indexed="64"/>
      </patternFill>
    </fill>
    <fill>
      <patternFill patternType="solid">
        <fgColor rgb="FFFA5E7E"/>
        <bgColor indexed="64"/>
      </patternFill>
    </fill>
    <fill>
      <patternFill patternType="solid">
        <fgColor rgb="FFEE5974"/>
        <bgColor indexed="64"/>
      </patternFill>
    </fill>
    <fill>
      <patternFill patternType="solid">
        <fgColor rgb="FFD04B5F"/>
        <bgColor indexed="64"/>
      </patternFill>
    </fill>
    <fill>
      <patternFill patternType="solid">
        <fgColor rgb="FFC7495C"/>
        <bgColor indexed="64"/>
      </patternFill>
    </fill>
    <fill>
      <patternFill patternType="solid">
        <fgColor rgb="FFD14E62"/>
        <bgColor indexed="64"/>
      </patternFill>
    </fill>
    <fill>
      <patternFill patternType="solid">
        <fgColor rgb="FFE95B74"/>
        <bgColor indexed="64"/>
      </patternFill>
    </fill>
    <fill>
      <patternFill patternType="solid">
        <fgColor rgb="FFFB617E"/>
        <bgColor indexed="64"/>
      </patternFill>
    </fill>
    <fill>
      <patternFill patternType="solid">
        <fgColor rgb="FFC93F5A"/>
        <bgColor indexed="64"/>
      </patternFill>
    </fill>
    <fill>
      <patternFill patternType="solid">
        <fgColor rgb="FFAD4B5A"/>
        <bgColor indexed="64"/>
      </patternFill>
    </fill>
    <fill>
      <patternFill patternType="solid">
        <fgColor rgb="FFE0D3CF"/>
        <bgColor indexed="64"/>
      </patternFill>
    </fill>
    <fill>
      <patternFill patternType="solid">
        <fgColor rgb="FF93A9C2"/>
        <bgColor indexed="64"/>
      </patternFill>
    </fill>
    <fill>
      <patternFill patternType="solid">
        <fgColor rgb="FF3BA2EA"/>
        <bgColor indexed="64"/>
      </patternFill>
    </fill>
    <fill>
      <patternFill patternType="solid">
        <fgColor rgb="FF40B2FE"/>
        <bgColor indexed="64"/>
      </patternFill>
    </fill>
    <fill>
      <patternFill patternType="solid">
        <fgColor rgb="FF40AFFB"/>
        <bgColor indexed="64"/>
      </patternFill>
    </fill>
    <fill>
      <patternFill patternType="solid">
        <fgColor rgb="FF3FAFFB"/>
        <bgColor indexed="64"/>
      </patternFill>
    </fill>
    <fill>
      <patternFill patternType="solid">
        <fgColor rgb="FF37ADFD"/>
        <bgColor indexed="64"/>
      </patternFill>
    </fill>
    <fill>
      <patternFill patternType="solid">
        <fgColor rgb="FF34AEFD"/>
        <bgColor indexed="64"/>
      </patternFill>
    </fill>
    <fill>
      <patternFill patternType="solid">
        <fgColor rgb="FF3596D7"/>
        <bgColor indexed="64"/>
      </patternFill>
    </fill>
    <fill>
      <patternFill patternType="solid">
        <fgColor rgb="FF929A47"/>
        <bgColor indexed="64"/>
      </patternFill>
    </fill>
    <fill>
      <patternFill patternType="solid">
        <fgColor rgb="FF4396BD"/>
        <bgColor indexed="64"/>
      </patternFill>
    </fill>
    <fill>
      <patternFill patternType="solid">
        <fgColor rgb="FF2593F7"/>
        <bgColor indexed="64"/>
      </patternFill>
    </fill>
    <fill>
      <patternFill patternType="solid">
        <fgColor rgb="FF4C8BA1"/>
        <bgColor indexed="64"/>
      </patternFill>
    </fill>
    <fill>
      <patternFill patternType="solid">
        <fgColor rgb="FF5F7761"/>
        <bgColor indexed="64"/>
      </patternFill>
    </fill>
    <fill>
      <patternFill patternType="solid">
        <fgColor rgb="FF306490"/>
        <bgColor indexed="64"/>
      </patternFill>
    </fill>
    <fill>
      <patternFill patternType="solid">
        <fgColor rgb="FF9CB365"/>
        <bgColor indexed="64"/>
      </patternFill>
    </fill>
    <fill>
      <patternFill patternType="solid">
        <fgColor rgb="FFE6E12D"/>
        <bgColor indexed="64"/>
      </patternFill>
    </fill>
    <fill>
      <patternFill patternType="solid">
        <fgColor rgb="FF566027"/>
        <bgColor indexed="64"/>
      </patternFill>
    </fill>
    <fill>
      <patternFill patternType="solid">
        <fgColor rgb="FF486153"/>
        <bgColor indexed="64"/>
      </patternFill>
    </fill>
    <fill>
      <patternFill patternType="solid">
        <fgColor rgb="FF8EAA69"/>
        <bgColor indexed="64"/>
      </patternFill>
    </fill>
    <fill>
      <patternFill patternType="solid">
        <fgColor rgb="FF8FAB69"/>
        <bgColor indexed="64"/>
      </patternFill>
    </fill>
    <fill>
      <patternFill patternType="solid">
        <fgColor rgb="FF6C8A66"/>
        <bgColor indexed="64"/>
      </patternFill>
    </fill>
    <fill>
      <patternFill patternType="solid">
        <fgColor rgb="FF416C71"/>
        <bgColor indexed="64"/>
      </patternFill>
    </fill>
    <fill>
      <patternFill patternType="solid">
        <fgColor rgb="FF467D8F"/>
        <bgColor indexed="64"/>
      </patternFill>
    </fill>
    <fill>
      <patternFill patternType="solid">
        <fgColor rgb="FF306D9D"/>
        <bgColor indexed="64"/>
      </patternFill>
    </fill>
    <fill>
      <patternFill patternType="solid">
        <fgColor rgb="FF1B7BDD"/>
        <bgColor indexed="64"/>
      </patternFill>
    </fill>
    <fill>
      <patternFill patternType="solid">
        <fgColor rgb="FF1B94FE"/>
        <bgColor indexed="64"/>
      </patternFill>
    </fill>
    <fill>
      <patternFill patternType="solid">
        <fgColor rgb="FF21A1FF"/>
        <bgColor indexed="64"/>
      </patternFill>
    </fill>
    <fill>
      <patternFill patternType="solid">
        <fgColor rgb="FF209DFF"/>
        <bgColor indexed="64"/>
      </patternFill>
    </fill>
    <fill>
      <patternFill patternType="solid">
        <fgColor rgb="FF2097FB"/>
        <bgColor indexed="64"/>
      </patternFill>
    </fill>
    <fill>
      <patternFill patternType="solid">
        <fgColor rgb="FF217DD0"/>
        <bgColor indexed="64"/>
      </patternFill>
    </fill>
    <fill>
      <patternFill patternType="solid">
        <fgColor rgb="FF2088E3"/>
        <bgColor indexed="64"/>
      </patternFill>
    </fill>
    <fill>
      <patternFill patternType="solid">
        <fgColor rgb="FF26A2FE"/>
        <bgColor indexed="64"/>
      </patternFill>
    </fill>
    <fill>
      <patternFill patternType="solid">
        <fgColor rgb="FF239AFA"/>
        <bgColor indexed="64"/>
      </patternFill>
    </fill>
    <fill>
      <patternFill patternType="solid">
        <fgColor rgb="FF2299FA"/>
        <bgColor indexed="64"/>
      </patternFill>
    </fill>
    <fill>
      <patternFill patternType="solid">
        <fgColor rgb="FF1F96FA"/>
        <bgColor indexed="64"/>
      </patternFill>
    </fill>
    <fill>
      <patternFill patternType="solid">
        <fgColor rgb="FFF2F6F4"/>
        <bgColor indexed="64"/>
      </patternFill>
    </fill>
    <fill>
      <patternFill patternType="solid">
        <fgColor rgb="FF7B4C55"/>
        <bgColor indexed="64"/>
      </patternFill>
    </fill>
    <fill>
      <patternFill patternType="solid">
        <fgColor rgb="FF977D84"/>
        <bgColor indexed="64"/>
      </patternFill>
    </fill>
    <fill>
      <patternFill patternType="solid">
        <fgColor rgb="FFB84B5D"/>
        <bgColor indexed="64"/>
      </patternFill>
    </fill>
    <fill>
      <patternFill patternType="solid">
        <fgColor rgb="FFFF5672"/>
        <bgColor indexed="64"/>
      </patternFill>
    </fill>
    <fill>
      <patternFill patternType="solid">
        <fgColor rgb="FFF95771"/>
        <bgColor indexed="64"/>
      </patternFill>
    </fill>
    <fill>
      <patternFill patternType="solid">
        <fgColor rgb="FFFB5B75"/>
        <bgColor indexed="64"/>
      </patternFill>
    </fill>
    <fill>
      <patternFill patternType="solid">
        <fgColor rgb="FFFB5B73"/>
        <bgColor indexed="64"/>
      </patternFill>
    </fill>
    <fill>
      <patternFill patternType="solid">
        <fgColor rgb="FFFB5B74"/>
        <bgColor indexed="64"/>
      </patternFill>
    </fill>
    <fill>
      <patternFill patternType="solid">
        <fgColor rgb="FFFB5C77"/>
        <bgColor indexed="64"/>
      </patternFill>
    </fill>
    <fill>
      <patternFill patternType="solid">
        <fgColor rgb="FFFA5B77"/>
        <bgColor indexed="64"/>
      </patternFill>
    </fill>
    <fill>
      <patternFill patternType="solid">
        <fgColor rgb="FFFA5C7D"/>
        <bgColor indexed="64"/>
      </patternFill>
    </fill>
    <fill>
      <patternFill patternType="solid">
        <fgColor rgb="FFFB5E80"/>
        <bgColor indexed="64"/>
      </patternFill>
    </fill>
    <fill>
      <patternFill patternType="solid">
        <fgColor rgb="FFFC5F80"/>
        <bgColor indexed="64"/>
      </patternFill>
    </fill>
    <fill>
      <patternFill patternType="solid">
        <fgColor rgb="FFFA5F7D"/>
        <bgColor indexed="64"/>
      </patternFill>
    </fill>
    <fill>
      <patternFill patternType="solid">
        <fgColor rgb="FFFC6080"/>
        <bgColor indexed="64"/>
      </patternFill>
    </fill>
    <fill>
      <patternFill patternType="solid">
        <fgColor rgb="FFF25B7D"/>
        <bgColor indexed="64"/>
      </patternFill>
    </fill>
    <fill>
      <patternFill patternType="solid">
        <fgColor rgb="FFE05373"/>
        <bgColor indexed="64"/>
      </patternFill>
    </fill>
    <fill>
      <patternFill patternType="solid">
        <fgColor rgb="FFDC5274"/>
        <bgColor indexed="64"/>
      </patternFill>
    </fill>
    <fill>
      <patternFill patternType="solid">
        <fgColor rgb="FFDD5270"/>
        <bgColor indexed="64"/>
      </patternFill>
    </fill>
    <fill>
      <patternFill patternType="solid">
        <fgColor rgb="FFD14C69"/>
        <bgColor indexed="64"/>
      </patternFill>
    </fill>
    <fill>
      <patternFill patternType="solid">
        <fgColor rgb="FFD14C67"/>
        <bgColor indexed="64"/>
      </patternFill>
    </fill>
    <fill>
      <patternFill patternType="solid">
        <fgColor rgb="FFC74D63"/>
        <bgColor indexed="64"/>
      </patternFill>
    </fill>
    <fill>
      <patternFill patternType="solid">
        <fgColor rgb="FFD24A66"/>
        <bgColor indexed="64"/>
      </patternFill>
    </fill>
    <fill>
      <patternFill patternType="solid">
        <fgColor rgb="FFBE6875"/>
        <bgColor indexed="64"/>
      </patternFill>
    </fill>
    <fill>
      <patternFill patternType="solid">
        <fgColor rgb="FFF5F1EF"/>
        <bgColor indexed="64"/>
      </patternFill>
    </fill>
    <fill>
      <patternFill patternType="solid">
        <fgColor rgb="FFFFFFFE"/>
        <bgColor indexed="64"/>
      </patternFill>
    </fill>
    <fill>
      <patternFill patternType="solid">
        <fgColor rgb="FF7BA5CA"/>
        <bgColor indexed="64"/>
      </patternFill>
    </fill>
    <fill>
      <patternFill patternType="solid">
        <fgColor rgb="FF3BABF7"/>
        <bgColor indexed="64"/>
      </patternFill>
    </fill>
    <fill>
      <patternFill patternType="solid">
        <fgColor rgb="FF3FB1FC"/>
        <bgColor indexed="64"/>
      </patternFill>
    </fill>
    <fill>
      <patternFill patternType="solid">
        <fgColor rgb="FF35AAFB"/>
        <bgColor indexed="64"/>
      </patternFill>
    </fill>
    <fill>
      <patternFill patternType="solid">
        <fgColor rgb="FF35A7F5"/>
        <bgColor indexed="64"/>
      </patternFill>
    </fill>
    <fill>
      <patternFill patternType="solid">
        <fgColor rgb="FF37B5FF"/>
        <bgColor indexed="64"/>
      </patternFill>
    </fill>
    <fill>
      <patternFill patternType="solid">
        <fgColor rgb="FF2D85C8"/>
        <bgColor indexed="64"/>
      </patternFill>
    </fill>
    <fill>
      <patternFill patternType="solid">
        <fgColor rgb="FFCBC72E"/>
        <bgColor indexed="64"/>
      </patternFill>
    </fill>
    <fill>
      <patternFill patternType="solid">
        <fgColor rgb="FF778D52"/>
        <bgColor indexed="64"/>
      </patternFill>
    </fill>
    <fill>
      <patternFill patternType="solid">
        <fgColor rgb="FF355969"/>
        <bgColor indexed="64"/>
      </patternFill>
    </fill>
    <fill>
      <patternFill patternType="solid">
        <fgColor rgb="FF99962D"/>
        <bgColor indexed="64"/>
      </patternFill>
    </fill>
    <fill>
      <patternFill patternType="solid">
        <fgColor rgb="FF514C1B"/>
        <bgColor indexed="64"/>
      </patternFill>
    </fill>
    <fill>
      <patternFill patternType="solid">
        <fgColor rgb="FFD1C72F"/>
        <bgColor indexed="64"/>
      </patternFill>
    </fill>
    <fill>
      <patternFill patternType="solid">
        <fgColor rgb="FFFFFF34"/>
        <bgColor indexed="64"/>
      </patternFill>
    </fill>
    <fill>
      <patternFill patternType="solid">
        <fgColor rgb="FFABA630"/>
        <bgColor indexed="64"/>
      </patternFill>
    </fill>
    <fill>
      <patternFill patternType="solid">
        <fgColor rgb="FF908825"/>
        <bgColor indexed="64"/>
      </patternFill>
    </fill>
    <fill>
      <patternFill patternType="solid">
        <fgColor rgb="FFFEF734"/>
        <bgColor indexed="64"/>
      </patternFill>
    </fill>
    <fill>
      <patternFill patternType="solid">
        <fgColor rgb="FFFFFF30"/>
        <bgColor indexed="64"/>
      </patternFill>
    </fill>
    <fill>
      <patternFill patternType="solid">
        <fgColor rgb="FFF2E82A"/>
        <bgColor indexed="64"/>
      </patternFill>
    </fill>
    <fill>
      <patternFill patternType="solid">
        <fgColor rgb="FFC2B721"/>
        <bgColor indexed="64"/>
      </patternFill>
    </fill>
    <fill>
      <patternFill patternType="solid">
        <fgColor rgb="FFD8CD24"/>
        <bgColor indexed="64"/>
      </patternFill>
    </fill>
    <fill>
      <patternFill patternType="solid">
        <fgColor rgb="FFD2C31E"/>
        <bgColor indexed="64"/>
      </patternFill>
    </fill>
    <fill>
      <patternFill patternType="solid">
        <fgColor rgb="FFBEAE23"/>
        <bgColor indexed="64"/>
      </patternFill>
    </fill>
    <fill>
      <patternFill patternType="solid">
        <fgColor rgb="FFB2B448"/>
        <bgColor indexed="64"/>
      </patternFill>
    </fill>
    <fill>
      <patternFill patternType="solid">
        <fgColor rgb="FF8CA368"/>
        <bgColor indexed="64"/>
      </patternFill>
    </fill>
    <fill>
      <patternFill patternType="solid">
        <fgColor rgb="FF4F736F"/>
        <bgColor indexed="64"/>
      </patternFill>
    </fill>
    <fill>
      <patternFill patternType="solid">
        <fgColor rgb="FF496F67"/>
        <bgColor indexed="64"/>
      </patternFill>
    </fill>
    <fill>
      <patternFill patternType="solid">
        <fgColor rgb="FF6D8158"/>
        <bgColor indexed="64"/>
      </patternFill>
    </fill>
    <fill>
      <patternFill patternType="solid">
        <fgColor rgb="FF2B5D80"/>
        <bgColor indexed="64"/>
      </patternFill>
    </fill>
    <fill>
      <patternFill patternType="solid">
        <fgColor rgb="FF2298F5"/>
        <bgColor indexed="64"/>
      </patternFill>
    </fill>
    <fill>
      <patternFill patternType="solid">
        <fgColor rgb="FF27A0FC"/>
        <bgColor indexed="64"/>
      </patternFill>
    </fill>
    <fill>
      <patternFill patternType="solid">
        <fgColor rgb="FF259BFA"/>
        <bgColor indexed="64"/>
      </patternFill>
    </fill>
    <fill>
      <patternFill patternType="solid">
        <fgColor rgb="FF2197FB"/>
        <bgColor indexed="64"/>
      </patternFill>
    </fill>
    <fill>
      <patternFill patternType="solid">
        <fgColor rgb="FFD8E0DE"/>
        <bgColor indexed="64"/>
      </patternFill>
    </fill>
    <fill>
      <patternFill patternType="solid">
        <fgColor rgb="FFA64A58"/>
        <bgColor indexed="64"/>
      </patternFill>
    </fill>
    <fill>
      <patternFill patternType="solid">
        <fgColor rgb="FF823941"/>
        <bgColor indexed="64"/>
      </patternFill>
    </fill>
    <fill>
      <patternFill patternType="solid">
        <fgColor rgb="FFAA3E4E"/>
        <bgColor indexed="64"/>
      </patternFill>
    </fill>
    <fill>
      <patternFill patternType="solid">
        <fgColor rgb="FFFE5772"/>
        <bgColor indexed="64"/>
      </patternFill>
    </fill>
    <fill>
      <patternFill patternType="solid">
        <fgColor rgb="FFFA5872"/>
        <bgColor indexed="64"/>
      </patternFill>
    </fill>
    <fill>
      <patternFill patternType="solid">
        <fgColor rgb="FFFB5A73"/>
        <bgColor indexed="64"/>
      </patternFill>
    </fill>
    <fill>
      <patternFill patternType="solid">
        <fgColor rgb="FFFC5D78"/>
        <bgColor indexed="64"/>
      </patternFill>
    </fill>
    <fill>
      <patternFill patternType="solid">
        <fgColor rgb="FFFB5C7C"/>
        <bgColor indexed="64"/>
      </patternFill>
    </fill>
    <fill>
      <patternFill patternType="solid">
        <fgColor rgb="FFFA5E81"/>
        <bgColor indexed="64"/>
      </patternFill>
    </fill>
    <fill>
      <patternFill patternType="solid">
        <fgColor rgb="FFFB5F81"/>
        <bgColor indexed="64"/>
      </patternFill>
    </fill>
    <fill>
      <patternFill patternType="solid">
        <fgColor rgb="FFFB5D7E"/>
        <bgColor indexed="64"/>
      </patternFill>
    </fill>
    <fill>
      <patternFill patternType="solid">
        <fgColor rgb="FFFE6183"/>
        <bgColor indexed="64"/>
      </patternFill>
    </fill>
    <fill>
      <patternFill patternType="solid">
        <fgColor rgb="FFFF6487"/>
        <bgColor indexed="64"/>
      </patternFill>
    </fill>
    <fill>
      <patternFill patternType="solid">
        <fgColor rgb="FFFF6283"/>
        <bgColor indexed="64"/>
      </patternFill>
    </fill>
    <fill>
      <patternFill patternType="solid">
        <fgColor rgb="FFFA5B7A"/>
        <bgColor indexed="64"/>
      </patternFill>
    </fill>
    <fill>
      <patternFill patternType="solid">
        <fgColor rgb="FFFF6281"/>
        <bgColor indexed="64"/>
      </patternFill>
    </fill>
    <fill>
      <patternFill patternType="solid">
        <fgColor rgb="FFE4566E"/>
        <bgColor indexed="64"/>
      </patternFill>
    </fill>
    <fill>
      <patternFill patternType="solid">
        <fgColor rgb="FFCC4D67"/>
        <bgColor indexed="64"/>
      </patternFill>
    </fill>
    <fill>
      <patternFill patternType="solid">
        <fgColor rgb="FFC3425B"/>
        <bgColor indexed="64"/>
      </patternFill>
    </fill>
    <fill>
      <patternFill patternType="solid">
        <fgColor rgb="FFD64963"/>
        <bgColor indexed="64"/>
      </patternFill>
    </fill>
    <fill>
      <patternFill patternType="solid">
        <fgColor rgb="FFD5AEB6"/>
        <bgColor indexed="64"/>
      </patternFill>
    </fill>
    <fill>
      <patternFill patternType="solid">
        <fgColor rgb="FFF8FAFB"/>
        <bgColor indexed="64"/>
      </patternFill>
    </fill>
    <fill>
      <patternFill patternType="solid">
        <fgColor rgb="FFE1E2E5"/>
        <bgColor indexed="64"/>
      </patternFill>
    </fill>
    <fill>
      <patternFill patternType="solid">
        <fgColor rgb="FF4B98D5"/>
        <bgColor indexed="64"/>
      </patternFill>
    </fill>
    <fill>
      <patternFill patternType="solid">
        <fgColor rgb="FF37AFFE"/>
        <bgColor indexed="64"/>
      </patternFill>
    </fill>
    <fill>
      <patternFill patternType="solid">
        <fgColor rgb="FF2A8ADD"/>
        <bgColor indexed="64"/>
      </patternFill>
    </fill>
    <fill>
      <patternFill patternType="solid">
        <fgColor rgb="FF447082"/>
        <bgColor indexed="64"/>
      </patternFill>
    </fill>
    <fill>
      <patternFill patternType="solid">
        <fgColor rgb="FF40A4DC"/>
        <bgColor indexed="64"/>
      </patternFill>
    </fill>
    <fill>
      <patternFill patternType="solid">
        <fgColor rgb="FF317FB6"/>
        <bgColor indexed="64"/>
      </patternFill>
    </fill>
    <fill>
      <patternFill patternType="solid">
        <fgColor rgb="FFE2DC32"/>
        <bgColor indexed="64"/>
      </patternFill>
    </fill>
    <fill>
      <patternFill patternType="solid">
        <fgColor rgb="FFB6B228"/>
        <bgColor indexed="64"/>
      </patternFill>
    </fill>
    <fill>
      <patternFill patternType="solid">
        <fgColor rgb="FFA6A123"/>
        <bgColor indexed="64"/>
      </patternFill>
    </fill>
    <fill>
      <patternFill patternType="solid">
        <fgColor rgb="FFB0AB30"/>
        <bgColor indexed="64"/>
      </patternFill>
    </fill>
    <fill>
      <patternFill patternType="solid">
        <fgColor rgb="FFD8D134"/>
        <bgColor indexed="64"/>
      </patternFill>
    </fill>
    <fill>
      <patternFill patternType="solid">
        <fgColor rgb="FFFFFF3D"/>
        <bgColor indexed="64"/>
      </patternFill>
    </fill>
    <fill>
      <patternFill patternType="solid">
        <fgColor rgb="FFFAFA3A"/>
        <bgColor indexed="64"/>
      </patternFill>
    </fill>
    <fill>
      <patternFill patternType="solid">
        <fgColor rgb="FFFFFB39"/>
        <bgColor indexed="64"/>
      </patternFill>
    </fill>
    <fill>
      <patternFill patternType="solid">
        <fgColor rgb="FFFFFF3C"/>
        <bgColor indexed="64"/>
      </patternFill>
    </fill>
    <fill>
      <patternFill patternType="solid">
        <fgColor rgb="FFFEFE3A"/>
        <bgColor indexed="64"/>
      </patternFill>
    </fill>
    <fill>
      <patternFill patternType="solid">
        <fgColor rgb="FFFBFA39"/>
        <bgColor indexed="64"/>
      </patternFill>
    </fill>
    <fill>
      <patternFill patternType="solid">
        <fgColor rgb="FFFCFC3B"/>
        <bgColor indexed="64"/>
      </patternFill>
    </fill>
    <fill>
      <patternFill patternType="solid">
        <fgColor rgb="FFFCFB3B"/>
        <bgColor indexed="64"/>
      </patternFill>
    </fill>
    <fill>
      <patternFill patternType="solid">
        <fgColor rgb="FFD8DA32"/>
        <bgColor indexed="64"/>
      </patternFill>
    </fill>
    <fill>
      <patternFill patternType="solid">
        <fgColor rgb="FFDADE39"/>
        <bgColor indexed="64"/>
      </patternFill>
    </fill>
    <fill>
      <patternFill patternType="solid">
        <fgColor rgb="FFE4E738"/>
        <bgColor indexed="64"/>
      </patternFill>
    </fill>
    <fill>
      <patternFill patternType="solid">
        <fgColor rgb="FFE6E72F"/>
        <bgColor indexed="64"/>
      </patternFill>
    </fill>
    <fill>
      <patternFill patternType="solid">
        <fgColor rgb="FFD0D02E"/>
        <bgColor indexed="64"/>
      </patternFill>
    </fill>
    <fill>
      <patternFill patternType="solid">
        <fgColor rgb="FF8D8E38"/>
        <bgColor indexed="64"/>
      </patternFill>
    </fill>
    <fill>
      <patternFill patternType="solid">
        <fgColor rgb="FF607A62"/>
        <bgColor indexed="64"/>
      </patternFill>
    </fill>
    <fill>
      <patternFill patternType="solid">
        <fgColor rgb="FF3D82A3"/>
        <bgColor indexed="64"/>
      </patternFill>
    </fill>
    <fill>
      <patternFill patternType="solid">
        <fgColor rgb="FF2896F1"/>
        <bgColor indexed="64"/>
      </patternFill>
    </fill>
    <fill>
      <patternFill patternType="solid">
        <fgColor rgb="FF29A1FE"/>
        <bgColor indexed="64"/>
      </patternFill>
    </fill>
    <fill>
      <patternFill patternType="solid">
        <fgColor rgb="FF269DFA"/>
        <bgColor indexed="64"/>
      </patternFill>
    </fill>
    <fill>
      <patternFill patternType="solid">
        <fgColor rgb="FF279DFB"/>
        <bgColor indexed="64"/>
      </patternFill>
    </fill>
    <fill>
      <patternFill patternType="solid">
        <fgColor rgb="FFFDFDFC"/>
        <bgColor indexed="64"/>
      </patternFill>
    </fill>
    <fill>
      <patternFill patternType="solid">
        <fgColor rgb="FFABA5A7"/>
        <bgColor indexed="64"/>
      </patternFill>
    </fill>
    <fill>
      <patternFill patternType="solid">
        <fgColor rgb="FFB93C51"/>
        <bgColor indexed="64"/>
      </patternFill>
    </fill>
    <fill>
      <patternFill patternType="solid">
        <fgColor rgb="FFCD455A"/>
        <bgColor indexed="64"/>
      </patternFill>
    </fill>
    <fill>
      <patternFill patternType="solid">
        <fgColor rgb="FFAA3545"/>
        <bgColor indexed="64"/>
      </patternFill>
    </fill>
    <fill>
      <patternFill patternType="solid">
        <fgColor rgb="FFFF5A78"/>
        <bgColor indexed="64"/>
      </patternFill>
    </fill>
    <fill>
      <patternFill patternType="solid">
        <fgColor rgb="FFF95875"/>
        <bgColor indexed="64"/>
      </patternFill>
    </fill>
    <fill>
      <patternFill patternType="solid">
        <fgColor rgb="FFFB5C7D"/>
        <bgColor indexed="64"/>
      </patternFill>
    </fill>
    <fill>
      <patternFill patternType="solid">
        <fgColor rgb="FFFB6083"/>
        <bgColor indexed="64"/>
      </patternFill>
    </fill>
    <fill>
      <patternFill patternType="solid">
        <fgColor rgb="FFFC6082"/>
        <bgColor indexed="64"/>
      </patternFill>
    </fill>
    <fill>
      <patternFill patternType="solid">
        <fgColor rgb="FFFC5E7E"/>
        <bgColor indexed="64"/>
      </patternFill>
    </fill>
    <fill>
      <patternFill patternType="solid">
        <fgColor rgb="FFFB6180"/>
        <bgColor indexed="64"/>
      </patternFill>
    </fill>
    <fill>
      <patternFill patternType="solid">
        <fgColor rgb="FFFB6481"/>
        <bgColor indexed="64"/>
      </patternFill>
    </fill>
    <fill>
      <patternFill patternType="solid">
        <fgColor rgb="FFF75E7D"/>
        <bgColor indexed="64"/>
      </patternFill>
    </fill>
    <fill>
      <patternFill patternType="solid">
        <fgColor rgb="FFF35B78"/>
        <bgColor indexed="64"/>
      </patternFill>
    </fill>
    <fill>
      <patternFill patternType="solid">
        <fgColor rgb="FFF75E7A"/>
        <bgColor indexed="64"/>
      </patternFill>
    </fill>
    <fill>
      <patternFill patternType="solid">
        <fgColor rgb="FFB73E54"/>
        <bgColor indexed="64"/>
      </patternFill>
    </fill>
    <fill>
      <patternFill patternType="solid">
        <fgColor rgb="FFA75E71"/>
        <bgColor indexed="64"/>
      </patternFill>
    </fill>
    <fill>
      <patternFill patternType="solid">
        <fgColor rgb="FFC4A6BA"/>
        <bgColor indexed="64"/>
      </patternFill>
    </fill>
    <fill>
      <patternFill patternType="solid">
        <fgColor rgb="FFB36882"/>
        <bgColor indexed="64"/>
      </patternFill>
    </fill>
    <fill>
      <patternFill patternType="solid">
        <fgColor rgb="FFB98E96"/>
        <bgColor indexed="64"/>
      </patternFill>
    </fill>
    <fill>
      <patternFill patternType="solid">
        <fgColor rgb="FF799DC1"/>
        <bgColor indexed="64"/>
      </patternFill>
    </fill>
    <fill>
      <patternFill patternType="solid">
        <fgColor rgb="FF3AA5F1"/>
        <bgColor indexed="64"/>
      </patternFill>
    </fill>
    <fill>
      <patternFill patternType="solid">
        <fgColor rgb="FF43B3FC"/>
        <bgColor indexed="64"/>
      </patternFill>
    </fill>
    <fill>
      <patternFill patternType="solid">
        <fgColor rgb="FF2EA6FF"/>
        <bgColor indexed="64"/>
      </patternFill>
    </fill>
    <fill>
      <patternFill patternType="solid">
        <fgColor rgb="FF5E8D8A"/>
        <bgColor indexed="64"/>
      </patternFill>
    </fill>
    <fill>
      <patternFill patternType="solid">
        <fgColor rgb="FF6D8157"/>
        <bgColor indexed="64"/>
      </patternFill>
    </fill>
    <fill>
      <patternFill patternType="solid">
        <fgColor rgb="FF4F6F5F"/>
        <bgColor indexed="64"/>
      </patternFill>
    </fill>
    <fill>
      <patternFill patternType="solid">
        <fgColor rgb="FFFCF734"/>
        <bgColor indexed="64"/>
      </patternFill>
    </fill>
    <fill>
      <patternFill patternType="solid">
        <fgColor rgb="FFEEED37"/>
        <bgColor indexed="64"/>
      </patternFill>
    </fill>
    <fill>
      <patternFill patternType="solid">
        <fgColor rgb="FFE6E53A"/>
        <bgColor indexed="64"/>
      </patternFill>
    </fill>
    <fill>
      <patternFill patternType="solid">
        <fgColor rgb="FFA9A82D"/>
        <bgColor indexed="64"/>
      </patternFill>
    </fill>
    <fill>
      <patternFill patternType="solid">
        <fgColor rgb="FFFFFF3B"/>
        <bgColor indexed="64"/>
      </patternFill>
    </fill>
    <fill>
      <patternFill patternType="solid">
        <fgColor rgb="FFFCFB37"/>
        <bgColor indexed="64"/>
      </patternFill>
    </fill>
    <fill>
      <patternFill patternType="solid">
        <fgColor rgb="FFFFFD37"/>
        <bgColor indexed="64"/>
      </patternFill>
    </fill>
    <fill>
      <patternFill patternType="solid">
        <fgColor rgb="FFFEFD37"/>
        <bgColor indexed="64"/>
      </patternFill>
    </fill>
    <fill>
      <patternFill patternType="solid">
        <fgColor rgb="FFFCFB36"/>
        <bgColor indexed="64"/>
      </patternFill>
    </fill>
    <fill>
      <patternFill patternType="solid">
        <fgColor rgb="FFFEFC37"/>
        <bgColor indexed="64"/>
      </patternFill>
    </fill>
    <fill>
      <patternFill patternType="solid">
        <fgColor rgb="FFFEFC38"/>
        <bgColor indexed="64"/>
      </patternFill>
    </fill>
    <fill>
      <patternFill patternType="solid">
        <fgColor rgb="FFFCFA38"/>
        <bgColor indexed="64"/>
      </patternFill>
    </fill>
    <fill>
      <patternFill patternType="solid">
        <fgColor rgb="FFFCFC39"/>
        <bgColor indexed="64"/>
      </patternFill>
    </fill>
    <fill>
      <patternFill patternType="solid">
        <fgColor rgb="FFD3CF30"/>
        <bgColor indexed="64"/>
      </patternFill>
    </fill>
    <fill>
      <patternFill patternType="solid">
        <fgColor rgb="FFA39E27"/>
        <bgColor indexed="64"/>
      </patternFill>
    </fill>
    <fill>
      <patternFill patternType="solid">
        <fgColor rgb="FFB7B02C"/>
        <bgColor indexed="64"/>
      </patternFill>
    </fill>
    <fill>
      <patternFill patternType="solid">
        <fgColor rgb="FF9D9624"/>
        <bgColor indexed="64"/>
      </patternFill>
    </fill>
    <fill>
      <patternFill patternType="solid">
        <fgColor rgb="FF515A34"/>
        <bgColor indexed="64"/>
      </patternFill>
    </fill>
    <fill>
      <patternFill patternType="solid">
        <fgColor rgb="FF1B5A9C"/>
        <bgColor indexed="64"/>
      </patternFill>
    </fill>
    <fill>
      <patternFill patternType="solid">
        <fgColor rgb="FF1989FA"/>
        <bgColor indexed="64"/>
      </patternFill>
    </fill>
    <fill>
      <patternFill patternType="solid">
        <fgColor rgb="FF27A4FF"/>
        <bgColor indexed="64"/>
      </patternFill>
    </fill>
    <fill>
      <patternFill patternType="solid">
        <fgColor rgb="FF2BA1F9"/>
        <bgColor indexed="64"/>
      </patternFill>
    </fill>
    <fill>
      <patternFill patternType="solid">
        <fgColor rgb="FF299EFA"/>
        <bgColor indexed="64"/>
      </patternFill>
    </fill>
    <fill>
      <patternFill patternType="solid">
        <fgColor rgb="FF269DFB"/>
        <bgColor indexed="64"/>
      </patternFill>
    </fill>
    <fill>
      <patternFill patternType="solid">
        <fgColor rgb="FF279FFB"/>
        <bgColor indexed="64"/>
      </patternFill>
    </fill>
    <fill>
      <patternFill patternType="solid">
        <fgColor rgb="FF2199FA"/>
        <bgColor indexed="64"/>
      </patternFill>
    </fill>
    <fill>
      <patternFill patternType="solid">
        <fgColor rgb="FFF7F7F7"/>
        <bgColor indexed="64"/>
      </patternFill>
    </fill>
    <fill>
      <patternFill patternType="solid">
        <fgColor rgb="FFF1F2F4"/>
        <bgColor indexed="64"/>
      </patternFill>
    </fill>
    <fill>
      <patternFill patternType="solid">
        <fgColor rgb="FFC4B8BB"/>
        <bgColor indexed="64"/>
      </patternFill>
    </fill>
    <fill>
      <patternFill patternType="solid">
        <fgColor rgb="FFBC384E"/>
        <bgColor indexed="64"/>
      </patternFill>
    </fill>
    <fill>
      <patternFill patternType="solid">
        <fgColor rgb="FFFF5977"/>
        <bgColor indexed="64"/>
      </patternFill>
    </fill>
    <fill>
      <patternFill patternType="solid">
        <fgColor rgb="FFE54A64"/>
        <bgColor indexed="64"/>
      </patternFill>
    </fill>
    <fill>
      <patternFill patternType="solid">
        <fgColor rgb="FFFB5770"/>
        <bgColor indexed="64"/>
      </patternFill>
    </fill>
    <fill>
      <patternFill patternType="solid">
        <fgColor rgb="FFFB5973"/>
        <bgColor indexed="64"/>
      </patternFill>
    </fill>
    <fill>
      <patternFill patternType="solid">
        <fgColor rgb="FFFB5976"/>
        <bgColor indexed="64"/>
      </patternFill>
    </fill>
    <fill>
      <patternFill patternType="solid">
        <fgColor rgb="FFFC5B76"/>
        <bgColor indexed="64"/>
      </patternFill>
    </fill>
    <fill>
      <patternFill patternType="solid">
        <fgColor rgb="FFFB5D7F"/>
        <bgColor indexed="64"/>
      </patternFill>
    </fill>
    <fill>
      <patternFill patternType="solid">
        <fgColor rgb="FFFC5D7C"/>
        <bgColor indexed="64"/>
      </patternFill>
    </fill>
    <fill>
      <patternFill patternType="solid">
        <fgColor rgb="FFFB5F83"/>
        <bgColor indexed="64"/>
      </patternFill>
    </fill>
    <fill>
      <patternFill patternType="solid">
        <fgColor rgb="FFFB6082"/>
        <bgColor indexed="64"/>
      </patternFill>
    </fill>
    <fill>
      <patternFill patternType="solid">
        <fgColor rgb="FFFB5F82"/>
        <bgColor indexed="64"/>
      </patternFill>
    </fill>
    <fill>
      <patternFill patternType="solid">
        <fgColor rgb="FFFB617C"/>
        <bgColor indexed="64"/>
      </patternFill>
    </fill>
    <fill>
      <patternFill patternType="solid">
        <fgColor rgb="FFFB647F"/>
        <bgColor indexed="64"/>
      </patternFill>
    </fill>
    <fill>
      <patternFill patternType="solid">
        <fgColor rgb="FFFB617D"/>
        <bgColor indexed="64"/>
      </patternFill>
    </fill>
    <fill>
      <patternFill patternType="solid">
        <fgColor rgb="FFF2637D"/>
        <bgColor indexed="64"/>
      </patternFill>
    </fill>
    <fill>
      <patternFill patternType="solid">
        <fgColor rgb="FFDEA3A7"/>
        <bgColor indexed="64"/>
      </patternFill>
    </fill>
    <fill>
      <patternFill patternType="solid">
        <fgColor rgb="FFF7FBFD"/>
        <bgColor indexed="64"/>
      </patternFill>
    </fill>
    <fill>
      <patternFill patternType="solid">
        <fgColor rgb="FFA396A6"/>
        <bgColor indexed="64"/>
      </patternFill>
    </fill>
    <fill>
      <patternFill patternType="solid">
        <fgColor rgb="FFD5D5D8"/>
        <bgColor indexed="64"/>
      </patternFill>
    </fill>
    <fill>
      <patternFill patternType="solid">
        <fgColor rgb="FFB4C4D5"/>
        <bgColor indexed="64"/>
      </patternFill>
    </fill>
    <fill>
      <patternFill patternType="solid">
        <fgColor rgb="FF3795DD"/>
        <bgColor indexed="64"/>
      </patternFill>
    </fill>
    <fill>
      <patternFill patternType="solid">
        <fgColor rgb="FF43B5FF"/>
        <bgColor indexed="64"/>
      </patternFill>
    </fill>
    <fill>
      <patternFill patternType="solid">
        <fgColor rgb="FF3EAEFA"/>
        <bgColor indexed="64"/>
      </patternFill>
    </fill>
    <fill>
      <patternFill patternType="solid">
        <fgColor rgb="FF3AAAFB"/>
        <bgColor indexed="64"/>
      </patternFill>
    </fill>
    <fill>
      <patternFill patternType="solid">
        <fgColor rgb="FF3AB0FD"/>
        <bgColor indexed="64"/>
      </patternFill>
    </fill>
    <fill>
      <patternFill patternType="solid">
        <fgColor rgb="FF38B0FD"/>
        <bgColor indexed="64"/>
      </patternFill>
    </fill>
    <fill>
      <patternFill patternType="solid">
        <fgColor rgb="FF459AC5"/>
        <bgColor indexed="64"/>
      </patternFill>
    </fill>
    <fill>
      <patternFill patternType="solid">
        <fgColor rgb="FF828334"/>
        <bgColor indexed="64"/>
      </patternFill>
    </fill>
    <fill>
      <patternFill patternType="solid">
        <fgColor rgb="FFA09C27"/>
        <bgColor indexed="64"/>
      </patternFill>
    </fill>
    <fill>
      <patternFill patternType="solid">
        <fgColor rgb="FFFFFF3E"/>
        <bgColor indexed="64"/>
      </patternFill>
    </fill>
    <fill>
      <patternFill patternType="solid">
        <fgColor rgb="FFFDFC38"/>
        <bgColor indexed="64"/>
      </patternFill>
    </fill>
    <fill>
      <patternFill patternType="solid">
        <fgColor rgb="FFFEFC39"/>
        <bgColor indexed="64"/>
      </patternFill>
    </fill>
    <fill>
      <patternFill patternType="solid">
        <fgColor rgb="FFD7D431"/>
        <bgColor indexed="64"/>
      </patternFill>
    </fill>
    <fill>
      <patternFill patternType="solid">
        <fgColor rgb="FFFDFB38"/>
        <bgColor indexed="64"/>
      </patternFill>
    </fill>
    <fill>
      <patternFill patternType="solid">
        <fgColor rgb="FFFEFD38"/>
        <bgColor indexed="64"/>
      </patternFill>
    </fill>
    <fill>
      <patternFill patternType="solid">
        <fgColor rgb="FFFFFD38"/>
        <bgColor indexed="64"/>
      </patternFill>
    </fill>
    <fill>
      <patternFill patternType="solid">
        <fgColor rgb="FFFDFB39"/>
        <bgColor indexed="64"/>
      </patternFill>
    </fill>
    <fill>
      <patternFill patternType="solid">
        <fgColor rgb="FFFDFA38"/>
        <bgColor indexed="64"/>
      </patternFill>
    </fill>
    <fill>
      <patternFill patternType="solid">
        <fgColor rgb="FFF6F035"/>
        <bgColor indexed="64"/>
      </patternFill>
    </fill>
    <fill>
      <patternFill patternType="solid">
        <fgColor rgb="FFFEF838"/>
        <bgColor indexed="64"/>
      </patternFill>
    </fill>
    <fill>
      <patternFill patternType="solid">
        <fgColor rgb="FFFFFC38"/>
        <bgColor indexed="64"/>
      </patternFill>
    </fill>
    <fill>
      <patternFill patternType="solid">
        <fgColor rgb="FFFFFF39"/>
        <bgColor indexed="64"/>
      </patternFill>
    </fill>
    <fill>
      <patternFill patternType="solid">
        <fgColor rgb="FFFFF534"/>
        <bgColor indexed="64"/>
      </patternFill>
    </fill>
    <fill>
      <patternFill patternType="solid">
        <fgColor rgb="FFC2BE34"/>
        <bgColor indexed="64"/>
      </patternFill>
    </fill>
    <fill>
      <patternFill patternType="solid">
        <fgColor rgb="FF599A9C"/>
        <bgColor indexed="64"/>
      </patternFill>
    </fill>
    <fill>
      <patternFill patternType="solid">
        <fgColor rgb="FF2AA5FE"/>
        <bgColor indexed="64"/>
      </patternFill>
    </fill>
    <fill>
      <patternFill patternType="solid">
        <fgColor rgb="FF2DA4FB"/>
        <bgColor indexed="64"/>
      </patternFill>
    </fill>
    <fill>
      <patternFill patternType="solid">
        <fgColor rgb="FF299FFA"/>
        <bgColor indexed="64"/>
      </patternFill>
    </fill>
    <fill>
      <patternFill patternType="solid">
        <fgColor rgb="FFCED3D3"/>
        <bgColor indexed="64"/>
      </patternFill>
    </fill>
    <fill>
      <patternFill patternType="solid">
        <fgColor rgb="FFB7B8BB"/>
        <bgColor indexed="64"/>
      </patternFill>
    </fill>
    <fill>
      <patternFill patternType="solid">
        <fgColor rgb="FFC54A60"/>
        <bgColor indexed="64"/>
      </patternFill>
    </fill>
    <fill>
      <patternFill patternType="solid">
        <fgColor rgb="FFFE5572"/>
        <bgColor indexed="64"/>
      </patternFill>
    </fill>
    <fill>
      <patternFill patternType="solid">
        <fgColor rgb="FFFC5771"/>
        <bgColor indexed="64"/>
      </patternFill>
    </fill>
    <fill>
      <patternFill patternType="solid">
        <fgColor rgb="FFFB5C75"/>
        <bgColor indexed="64"/>
      </patternFill>
    </fill>
    <fill>
      <patternFill patternType="solid">
        <fgColor rgb="FFFB5A76"/>
        <bgColor indexed="64"/>
      </patternFill>
    </fill>
    <fill>
      <patternFill patternType="solid">
        <fgColor rgb="FFFB5E82"/>
        <bgColor indexed="64"/>
      </patternFill>
    </fill>
    <fill>
      <patternFill patternType="solid">
        <fgColor rgb="FFFA5E7B"/>
        <bgColor indexed="64"/>
      </patternFill>
    </fill>
    <fill>
      <patternFill patternType="solid">
        <fgColor rgb="FFFB5F7A"/>
        <bgColor indexed="64"/>
      </patternFill>
    </fill>
    <fill>
      <patternFill patternType="solid">
        <fgColor rgb="FFFB627D"/>
        <bgColor indexed="64"/>
      </patternFill>
    </fill>
    <fill>
      <patternFill patternType="solid">
        <fgColor rgb="FFFF6382"/>
        <bgColor indexed="64"/>
      </patternFill>
    </fill>
    <fill>
      <patternFill patternType="solid">
        <fgColor rgb="FFE14A65"/>
        <bgColor indexed="64"/>
      </patternFill>
    </fill>
    <fill>
      <patternFill patternType="solid">
        <fgColor rgb="FFD8A2A0"/>
        <bgColor indexed="64"/>
      </patternFill>
    </fill>
    <fill>
      <patternFill patternType="solid">
        <fgColor rgb="FFEBEAEF"/>
        <bgColor indexed="64"/>
      </patternFill>
    </fill>
    <fill>
      <patternFill patternType="solid">
        <fgColor rgb="FFEEEFF1"/>
        <bgColor indexed="64"/>
      </patternFill>
    </fill>
    <fill>
      <patternFill patternType="solid">
        <fgColor rgb="FFD1D3D2"/>
        <bgColor indexed="64"/>
      </patternFill>
    </fill>
    <fill>
      <patternFill patternType="solid">
        <fgColor rgb="FFD7DFE6"/>
        <bgColor indexed="64"/>
      </patternFill>
    </fill>
    <fill>
      <patternFill patternType="solid">
        <fgColor rgb="FF4090D0"/>
        <bgColor indexed="64"/>
      </patternFill>
    </fill>
    <fill>
      <patternFill patternType="solid">
        <fgColor rgb="FF40B3FF"/>
        <bgColor indexed="64"/>
      </patternFill>
    </fill>
    <fill>
      <patternFill patternType="solid">
        <fgColor rgb="FF40AFFA"/>
        <bgColor indexed="64"/>
      </patternFill>
    </fill>
    <fill>
      <patternFill patternType="solid">
        <fgColor rgb="FF3DADFB"/>
        <bgColor indexed="64"/>
      </patternFill>
    </fill>
    <fill>
      <patternFill patternType="solid">
        <fgColor rgb="FF3EAEFD"/>
        <bgColor indexed="64"/>
      </patternFill>
    </fill>
    <fill>
      <patternFill patternType="solid">
        <fgColor rgb="FF318FD8"/>
        <bgColor indexed="64"/>
      </patternFill>
    </fill>
    <fill>
      <patternFill patternType="solid">
        <fgColor rgb="FF379FE1"/>
        <bgColor indexed="64"/>
      </patternFill>
    </fill>
    <fill>
      <patternFill patternType="solid">
        <fgColor rgb="FF34AAFF"/>
        <bgColor indexed="64"/>
      </patternFill>
    </fill>
    <fill>
      <patternFill patternType="solid">
        <fgColor rgb="FF6A9F8E"/>
        <bgColor indexed="64"/>
      </patternFill>
    </fill>
    <fill>
      <patternFill patternType="solid">
        <fgColor rgb="FFC7C12C"/>
        <bgColor indexed="64"/>
      </patternFill>
    </fill>
    <fill>
      <patternFill patternType="solid">
        <fgColor rgb="FFB6B731"/>
        <bgColor indexed="64"/>
      </patternFill>
    </fill>
    <fill>
      <patternFill patternType="solid">
        <fgColor rgb="FFFCFA37"/>
        <bgColor indexed="64"/>
      </patternFill>
    </fill>
    <fill>
      <patternFill patternType="solid">
        <fgColor rgb="FFFFFE38"/>
        <bgColor indexed="64"/>
      </patternFill>
    </fill>
    <fill>
      <patternFill patternType="solid">
        <fgColor rgb="FFFCF837"/>
        <bgColor indexed="64"/>
      </patternFill>
    </fill>
    <fill>
      <patternFill patternType="solid">
        <fgColor rgb="FFFBFA37"/>
        <bgColor indexed="64"/>
      </patternFill>
    </fill>
    <fill>
      <patternFill patternType="solid">
        <fgColor rgb="FFF6F535"/>
        <bgColor indexed="64"/>
      </patternFill>
    </fill>
    <fill>
      <patternFill patternType="solid">
        <fgColor rgb="FFFDF737"/>
        <bgColor indexed="64"/>
      </patternFill>
    </fill>
    <fill>
      <patternFill patternType="solid">
        <fgColor rgb="FFA4981A"/>
        <bgColor indexed="64"/>
      </patternFill>
    </fill>
    <fill>
      <patternFill patternType="solid">
        <fgColor rgb="FF2B5E70"/>
        <bgColor indexed="64"/>
      </patternFill>
    </fill>
    <fill>
      <patternFill patternType="solid">
        <fgColor rgb="FF1785E4"/>
        <bgColor indexed="64"/>
      </patternFill>
    </fill>
    <fill>
      <patternFill patternType="solid">
        <fgColor rgb="FF2093F6"/>
        <bgColor indexed="64"/>
      </patternFill>
    </fill>
    <fill>
      <patternFill patternType="solid">
        <fgColor rgb="FF269BFC"/>
        <bgColor indexed="64"/>
      </patternFill>
    </fill>
    <fill>
      <patternFill patternType="solid">
        <fgColor rgb="FF2CA3FD"/>
        <bgColor indexed="64"/>
      </patternFill>
    </fill>
    <fill>
      <patternFill patternType="solid">
        <fgColor rgb="FF279CFB"/>
        <bgColor indexed="64"/>
      </patternFill>
    </fill>
    <fill>
      <patternFill patternType="solid">
        <fgColor rgb="FFFBFBFB"/>
        <bgColor indexed="64"/>
      </patternFill>
    </fill>
    <fill>
      <patternFill patternType="solid">
        <fgColor rgb="FFBBA7AD"/>
        <bgColor indexed="64"/>
      </patternFill>
    </fill>
    <fill>
      <patternFill patternType="solid">
        <fgColor rgb="FF7E4B56"/>
        <bgColor indexed="64"/>
      </patternFill>
    </fill>
    <fill>
      <patternFill patternType="solid">
        <fgColor rgb="FFC25060"/>
        <bgColor indexed="64"/>
      </patternFill>
    </fill>
    <fill>
      <patternFill patternType="solid">
        <fgColor rgb="FFF85871"/>
        <bgColor indexed="64"/>
      </patternFill>
    </fill>
    <fill>
      <patternFill patternType="solid">
        <fgColor rgb="FFFA5C7C"/>
        <bgColor indexed="64"/>
      </patternFill>
    </fill>
    <fill>
      <patternFill patternType="solid">
        <fgColor rgb="FFFB6081"/>
        <bgColor indexed="64"/>
      </patternFill>
    </fill>
    <fill>
      <patternFill patternType="solid">
        <fgColor rgb="FFFC6181"/>
        <bgColor indexed="64"/>
      </patternFill>
    </fill>
    <fill>
      <patternFill patternType="solid">
        <fgColor rgb="FFFA607D"/>
        <bgColor indexed="64"/>
      </patternFill>
    </fill>
    <fill>
      <patternFill patternType="solid">
        <fgColor rgb="FFFA607B"/>
        <bgColor indexed="64"/>
      </patternFill>
    </fill>
    <fill>
      <patternFill patternType="solid">
        <fgColor rgb="FFBF4054"/>
        <bgColor indexed="64"/>
      </patternFill>
    </fill>
    <fill>
      <patternFill patternType="solid">
        <fgColor rgb="FFED5B72"/>
        <bgColor indexed="64"/>
      </patternFill>
    </fill>
    <fill>
      <patternFill patternType="solid">
        <fgColor rgb="FFF56483"/>
        <bgColor indexed="64"/>
      </patternFill>
    </fill>
    <fill>
      <patternFill patternType="solid">
        <fgColor rgb="FFAF4558"/>
        <bgColor indexed="64"/>
      </patternFill>
    </fill>
    <fill>
      <patternFill patternType="solid">
        <fgColor rgb="FFDBD4CF"/>
        <bgColor indexed="64"/>
      </patternFill>
    </fill>
    <fill>
      <patternFill patternType="solid">
        <fgColor rgb="FFFAFAFB"/>
        <bgColor indexed="64"/>
      </patternFill>
    </fill>
    <fill>
      <patternFill patternType="solid">
        <fgColor rgb="FF9E9FAC"/>
        <bgColor indexed="64"/>
      </patternFill>
    </fill>
    <fill>
      <patternFill patternType="solid">
        <fgColor rgb="FF5183AB"/>
        <bgColor indexed="64"/>
      </patternFill>
    </fill>
    <fill>
      <patternFill patternType="solid">
        <fgColor rgb="FF41AFFA"/>
        <bgColor indexed="64"/>
      </patternFill>
    </fill>
    <fill>
      <patternFill patternType="solid">
        <fgColor rgb="FF41B0FB"/>
        <bgColor indexed="64"/>
      </patternFill>
    </fill>
    <fill>
      <patternFill patternType="solid">
        <fgColor rgb="FF2D91E9"/>
        <bgColor indexed="64"/>
      </patternFill>
    </fill>
    <fill>
      <patternFill patternType="solid">
        <fgColor rgb="FF568185"/>
        <bgColor indexed="64"/>
      </patternFill>
    </fill>
    <fill>
      <patternFill patternType="solid">
        <fgColor rgb="FF568A9F"/>
        <bgColor indexed="64"/>
      </patternFill>
    </fill>
    <fill>
      <patternFill patternType="solid">
        <fgColor rgb="FF587861"/>
        <bgColor indexed="64"/>
      </patternFill>
    </fill>
    <fill>
      <patternFill patternType="solid">
        <fgColor rgb="FFEBE332"/>
        <bgColor indexed="64"/>
      </patternFill>
    </fill>
    <fill>
      <patternFill patternType="solid">
        <fgColor rgb="FFB3B130"/>
        <bgColor indexed="64"/>
      </patternFill>
    </fill>
    <fill>
      <patternFill patternType="solid">
        <fgColor rgb="FFFDFC37"/>
        <bgColor indexed="64"/>
      </patternFill>
    </fill>
    <fill>
      <patternFill patternType="solid">
        <fgColor rgb="FFFBF837"/>
        <bgColor indexed="64"/>
      </patternFill>
    </fill>
    <fill>
      <patternFill patternType="solid">
        <fgColor rgb="FFF7F537"/>
        <bgColor indexed="64"/>
      </patternFill>
    </fill>
    <fill>
      <patternFill patternType="solid">
        <fgColor rgb="FFF7F736"/>
        <bgColor indexed="64"/>
      </patternFill>
    </fill>
    <fill>
      <patternFill patternType="solid">
        <fgColor rgb="FFF8F138"/>
        <bgColor indexed="64"/>
      </patternFill>
    </fill>
    <fill>
      <patternFill patternType="solid">
        <fgColor rgb="FFCDC227"/>
        <bgColor indexed="64"/>
      </patternFill>
    </fill>
    <fill>
      <patternFill patternType="solid">
        <fgColor rgb="FF8C8F3D"/>
        <bgColor indexed="64"/>
      </patternFill>
    </fill>
    <fill>
      <patternFill patternType="solid">
        <fgColor rgb="FF396C8C"/>
        <bgColor indexed="64"/>
      </patternFill>
    </fill>
    <fill>
      <patternFill patternType="solid">
        <fgColor rgb="FF2E94DF"/>
        <bgColor indexed="64"/>
      </patternFill>
    </fill>
    <fill>
      <patternFill patternType="solid">
        <fgColor rgb="FF2897F0"/>
        <bgColor indexed="64"/>
      </patternFill>
    </fill>
    <fill>
      <patternFill patternType="solid">
        <fgColor rgb="FF269CFA"/>
        <bgColor indexed="64"/>
      </patternFill>
    </fill>
    <fill>
      <patternFill patternType="solid">
        <fgColor rgb="FF219BFA"/>
        <bgColor indexed="64"/>
      </patternFill>
    </fill>
    <fill>
      <patternFill patternType="solid">
        <fgColor rgb="FFFDFCFC"/>
        <bgColor indexed="64"/>
      </patternFill>
    </fill>
    <fill>
      <patternFill patternType="solid">
        <fgColor rgb="FFE7D7DB"/>
        <bgColor indexed="64"/>
      </patternFill>
    </fill>
    <fill>
      <patternFill patternType="solid">
        <fgColor rgb="FFCA475E"/>
        <bgColor indexed="64"/>
      </patternFill>
    </fill>
    <fill>
      <patternFill patternType="solid">
        <fgColor rgb="FFC53D53"/>
        <bgColor indexed="64"/>
      </patternFill>
    </fill>
    <fill>
      <patternFill patternType="solid">
        <fgColor rgb="FFE34C63"/>
        <bgColor indexed="64"/>
      </patternFill>
    </fill>
    <fill>
      <patternFill patternType="solid">
        <fgColor rgb="FFFB5D75"/>
        <bgColor indexed="64"/>
      </patternFill>
    </fill>
    <fill>
      <patternFill patternType="solid">
        <fgColor rgb="FFFA5C7B"/>
        <bgColor indexed="64"/>
      </patternFill>
    </fill>
    <fill>
      <patternFill patternType="solid">
        <fgColor rgb="FFFA5F7C"/>
        <bgColor indexed="64"/>
      </patternFill>
    </fill>
    <fill>
      <patternFill patternType="solid">
        <fgColor rgb="FFFE6482"/>
        <bgColor indexed="64"/>
      </patternFill>
    </fill>
    <fill>
      <patternFill patternType="solid">
        <fgColor rgb="FFBE4964"/>
        <bgColor indexed="64"/>
      </patternFill>
    </fill>
    <fill>
      <patternFill patternType="solid">
        <fgColor rgb="FF93323F"/>
        <bgColor indexed="64"/>
      </patternFill>
    </fill>
    <fill>
      <patternFill patternType="solid">
        <fgColor rgb="FFFB6A7F"/>
        <bgColor indexed="64"/>
      </patternFill>
    </fill>
    <fill>
      <patternFill patternType="solid">
        <fgColor rgb="FFDF5472"/>
        <bgColor indexed="64"/>
      </patternFill>
    </fill>
    <fill>
      <patternFill patternType="solid">
        <fgColor rgb="FFAB8688"/>
        <bgColor indexed="64"/>
      </patternFill>
    </fill>
    <fill>
      <patternFill patternType="solid">
        <fgColor rgb="FFFCFAFC"/>
        <bgColor indexed="64"/>
      </patternFill>
    </fill>
    <fill>
      <patternFill patternType="solid">
        <fgColor rgb="FF6A90B0"/>
        <bgColor indexed="64"/>
      </patternFill>
    </fill>
    <fill>
      <patternFill patternType="solid">
        <fgColor rgb="FF46B3F5"/>
        <bgColor indexed="64"/>
      </patternFill>
    </fill>
    <fill>
      <patternFill patternType="solid">
        <fgColor rgb="FF44B2FB"/>
        <bgColor indexed="64"/>
      </patternFill>
    </fill>
    <fill>
      <patternFill patternType="solid">
        <fgColor rgb="FF3EACFC"/>
        <bgColor indexed="64"/>
      </patternFill>
    </fill>
    <fill>
      <patternFill patternType="solid">
        <fgColor rgb="FF40AEFB"/>
        <bgColor indexed="64"/>
      </patternFill>
    </fill>
    <fill>
      <patternFill patternType="solid">
        <fgColor rgb="FF3BACF7"/>
        <bgColor indexed="64"/>
      </patternFill>
    </fill>
    <fill>
      <patternFill patternType="solid">
        <fgColor rgb="FF38B1FF"/>
        <bgColor indexed="64"/>
      </patternFill>
    </fill>
    <fill>
      <patternFill patternType="solid">
        <fgColor rgb="FF569CB9"/>
        <bgColor indexed="64"/>
      </patternFill>
    </fill>
    <fill>
      <patternFill patternType="solid">
        <fgColor rgb="FFDCD44E"/>
        <bgColor indexed="64"/>
      </patternFill>
    </fill>
    <fill>
      <patternFill patternType="solid">
        <fgColor rgb="FF686924"/>
        <bgColor indexed="64"/>
      </patternFill>
    </fill>
    <fill>
      <patternFill patternType="solid">
        <fgColor rgb="FFD2D133"/>
        <bgColor indexed="64"/>
      </patternFill>
    </fill>
    <fill>
      <patternFill patternType="solid">
        <fgColor rgb="FFECEA37"/>
        <bgColor indexed="64"/>
      </patternFill>
    </fill>
    <fill>
      <patternFill patternType="solid">
        <fgColor rgb="FFFEFD39"/>
        <bgColor indexed="64"/>
      </patternFill>
    </fill>
    <fill>
      <patternFill patternType="solid">
        <fgColor rgb="FFF5F339"/>
        <bgColor indexed="64"/>
      </patternFill>
    </fill>
    <fill>
      <patternFill patternType="solid">
        <fgColor rgb="FFA8A72C"/>
        <bgColor indexed="64"/>
      </patternFill>
    </fill>
    <fill>
      <patternFill patternType="solid">
        <fgColor rgb="FFBFC830"/>
        <bgColor indexed="64"/>
      </patternFill>
    </fill>
    <fill>
      <patternFill patternType="solid">
        <fgColor rgb="FFF4F732"/>
        <bgColor indexed="64"/>
      </patternFill>
    </fill>
    <fill>
      <patternFill patternType="solid">
        <fgColor rgb="FFFFF929"/>
        <bgColor indexed="64"/>
      </patternFill>
    </fill>
    <fill>
      <patternFill patternType="solid">
        <fgColor rgb="FFCDC72A"/>
        <bgColor indexed="64"/>
      </patternFill>
    </fill>
    <fill>
      <patternFill patternType="solid">
        <fgColor rgb="FF547C6C"/>
        <bgColor indexed="64"/>
      </patternFill>
    </fill>
    <fill>
      <patternFill patternType="solid">
        <fgColor rgb="FF238BE5"/>
        <bgColor indexed="64"/>
      </patternFill>
    </fill>
    <fill>
      <patternFill patternType="solid">
        <fgColor rgb="FF259CFB"/>
        <bgColor indexed="64"/>
      </patternFill>
    </fill>
    <fill>
      <patternFill patternType="solid">
        <fgColor rgb="FFE7E9E8"/>
        <bgColor indexed="64"/>
      </patternFill>
    </fill>
    <fill>
      <patternFill patternType="solid">
        <fgColor rgb="FFC25367"/>
        <bgColor indexed="64"/>
      </patternFill>
    </fill>
    <fill>
      <patternFill patternType="solid">
        <fgColor rgb="FFFF5673"/>
        <bgColor indexed="64"/>
      </patternFill>
    </fill>
    <fill>
      <patternFill patternType="solid">
        <fgColor rgb="FFEF516B"/>
        <bgColor indexed="64"/>
      </patternFill>
    </fill>
    <fill>
      <patternFill patternType="solid">
        <fgColor rgb="FFFA5A74"/>
        <bgColor indexed="64"/>
      </patternFill>
    </fill>
    <fill>
      <patternFill patternType="solid">
        <fgColor rgb="FFFC5D7A"/>
        <bgColor indexed="64"/>
      </patternFill>
    </fill>
    <fill>
      <patternFill patternType="solid">
        <fgColor rgb="FFFB5E79"/>
        <bgColor indexed="64"/>
      </patternFill>
    </fill>
    <fill>
      <patternFill patternType="solid">
        <fgColor rgb="FFFA607E"/>
        <bgColor indexed="64"/>
      </patternFill>
    </fill>
    <fill>
      <patternFill patternType="solid">
        <fgColor rgb="FFA63E57"/>
        <bgColor indexed="64"/>
      </patternFill>
    </fill>
    <fill>
      <patternFill patternType="solid">
        <fgColor rgb="FF803239"/>
        <bgColor indexed="64"/>
      </patternFill>
    </fill>
    <fill>
      <patternFill patternType="solid">
        <fgColor rgb="FFDD576F"/>
        <bgColor indexed="64"/>
      </patternFill>
    </fill>
    <fill>
      <patternFill patternType="solid">
        <fgColor rgb="FF8E525E"/>
        <bgColor indexed="64"/>
      </patternFill>
    </fill>
    <fill>
      <patternFill patternType="solid">
        <fgColor rgb="FFF8FBF7"/>
        <bgColor indexed="64"/>
      </patternFill>
    </fill>
    <fill>
      <patternFill patternType="solid">
        <fgColor rgb="FFC9CBD4"/>
        <bgColor indexed="64"/>
      </patternFill>
    </fill>
    <fill>
      <patternFill patternType="solid">
        <fgColor rgb="FF4290C9"/>
        <bgColor indexed="64"/>
      </patternFill>
    </fill>
    <fill>
      <patternFill patternType="solid">
        <fgColor rgb="FF45B9FF"/>
        <bgColor indexed="64"/>
      </patternFill>
    </fill>
    <fill>
      <patternFill patternType="solid">
        <fgColor rgb="FF40ACF9"/>
        <bgColor indexed="64"/>
      </patternFill>
    </fill>
    <fill>
      <patternFill patternType="solid">
        <fgColor rgb="FF3FACFB"/>
        <bgColor indexed="64"/>
      </patternFill>
    </fill>
    <fill>
      <patternFill patternType="solid">
        <fgColor rgb="FF3BABF8"/>
        <bgColor indexed="64"/>
      </patternFill>
    </fill>
    <fill>
      <patternFill patternType="solid">
        <fgColor rgb="FF40B0FD"/>
        <bgColor indexed="64"/>
      </patternFill>
    </fill>
    <fill>
      <patternFill patternType="solid">
        <fgColor rgb="FF2361A1"/>
        <bgColor indexed="64"/>
      </patternFill>
    </fill>
    <fill>
      <patternFill patternType="solid">
        <fgColor rgb="FFB5B636"/>
        <bgColor indexed="64"/>
      </patternFill>
    </fill>
    <fill>
      <patternFill patternType="solid">
        <fgColor rgb="FFEBE434"/>
        <bgColor indexed="64"/>
      </patternFill>
    </fill>
    <fill>
      <patternFill patternType="solid">
        <fgColor rgb="FFAEA928"/>
        <bgColor indexed="64"/>
      </patternFill>
    </fill>
    <fill>
      <patternFill patternType="solid">
        <fgColor rgb="FFFBFA38"/>
        <bgColor indexed="64"/>
      </patternFill>
    </fill>
    <fill>
      <patternFill patternType="solid">
        <fgColor rgb="FFFEFF39"/>
        <bgColor indexed="64"/>
      </patternFill>
    </fill>
    <fill>
      <patternFill patternType="solid">
        <fgColor rgb="FFF5F246"/>
        <bgColor indexed="64"/>
      </patternFill>
    </fill>
    <fill>
      <patternFill patternType="solid">
        <fgColor rgb="FF8E8D42"/>
        <bgColor indexed="64"/>
      </patternFill>
    </fill>
    <fill>
      <patternFill patternType="solid">
        <fgColor rgb="FF32627C"/>
        <bgColor indexed="64"/>
      </patternFill>
    </fill>
    <fill>
      <patternFill patternType="solid">
        <fgColor rgb="FF3E84A3"/>
        <bgColor indexed="64"/>
      </patternFill>
    </fill>
    <fill>
      <patternFill patternType="solid">
        <fgColor rgb="FF3286BD"/>
        <bgColor indexed="64"/>
      </patternFill>
    </fill>
    <fill>
      <patternFill patternType="solid">
        <fgColor rgb="FF2796EE"/>
        <bgColor indexed="64"/>
      </patternFill>
    </fill>
    <fill>
      <patternFill patternType="solid">
        <fgColor rgb="FF2AA4FE"/>
        <bgColor indexed="64"/>
      </patternFill>
    </fill>
    <fill>
      <patternFill patternType="solid">
        <fgColor rgb="FF279EF9"/>
        <bgColor indexed="64"/>
      </patternFill>
    </fill>
    <fill>
      <patternFill patternType="solid">
        <fgColor rgb="FF259CFC"/>
        <bgColor indexed="64"/>
      </patternFill>
    </fill>
    <fill>
      <patternFill patternType="solid">
        <fgColor rgb="FFF2F0F1"/>
        <bgColor indexed="64"/>
      </patternFill>
    </fill>
    <fill>
      <patternFill patternType="solid">
        <fgColor rgb="FFCCD2D6"/>
        <bgColor indexed="64"/>
      </patternFill>
    </fill>
    <fill>
      <patternFill patternType="solid">
        <fgColor rgb="FFD58B9A"/>
        <bgColor indexed="64"/>
      </patternFill>
    </fill>
    <fill>
      <patternFill patternType="solid">
        <fgColor rgb="FFC4324B"/>
        <bgColor indexed="64"/>
      </patternFill>
    </fill>
    <fill>
      <patternFill patternType="solid">
        <fgColor rgb="FFF45872"/>
        <bgColor indexed="64"/>
      </patternFill>
    </fill>
    <fill>
      <patternFill patternType="solid">
        <fgColor rgb="FFFD5E76"/>
        <bgColor indexed="64"/>
      </patternFill>
    </fill>
    <fill>
      <patternFill patternType="solid">
        <fgColor rgb="FFFA5E78"/>
        <bgColor indexed="64"/>
      </patternFill>
    </fill>
    <fill>
      <patternFill patternType="solid">
        <fgColor rgb="FFFC6081"/>
        <bgColor indexed="64"/>
      </patternFill>
    </fill>
    <fill>
      <patternFill patternType="solid">
        <fgColor rgb="FFFB6182"/>
        <bgColor indexed="64"/>
      </patternFill>
    </fill>
    <fill>
      <patternFill patternType="solid">
        <fgColor rgb="FFFB627F"/>
        <bgColor indexed="64"/>
      </patternFill>
    </fill>
    <fill>
      <patternFill patternType="solid">
        <fgColor rgb="FFFA607C"/>
        <bgColor indexed="64"/>
      </patternFill>
    </fill>
    <fill>
      <patternFill patternType="solid">
        <fgColor rgb="FFFC607C"/>
        <bgColor indexed="64"/>
      </patternFill>
    </fill>
    <fill>
      <patternFill patternType="solid">
        <fgColor rgb="FFFA5D79"/>
        <bgColor indexed="64"/>
      </patternFill>
    </fill>
    <fill>
      <patternFill patternType="solid">
        <fgColor rgb="FFFD6180"/>
        <bgColor indexed="64"/>
      </patternFill>
    </fill>
    <fill>
      <patternFill patternType="solid">
        <fgColor rgb="FF8F3A4F"/>
        <bgColor indexed="64"/>
      </patternFill>
    </fill>
    <fill>
      <patternFill patternType="solid">
        <fgColor rgb="FF944954"/>
        <bgColor indexed="64"/>
      </patternFill>
    </fill>
    <fill>
      <patternFill patternType="solid">
        <fgColor rgb="FFAB5263"/>
        <bgColor indexed="64"/>
      </patternFill>
    </fill>
    <fill>
      <patternFill patternType="solid">
        <fgColor rgb="FFB4B5B1"/>
        <bgColor indexed="64"/>
      </patternFill>
    </fill>
    <fill>
      <patternFill patternType="solid">
        <fgColor rgb="FF7395B8"/>
        <bgColor indexed="64"/>
      </patternFill>
    </fill>
    <fill>
      <patternFill patternType="solid">
        <fgColor rgb="FF3EA8EF"/>
        <bgColor indexed="64"/>
      </patternFill>
    </fill>
    <fill>
      <patternFill patternType="solid">
        <fgColor rgb="FF3CA9F7"/>
        <bgColor indexed="64"/>
      </patternFill>
    </fill>
    <fill>
      <patternFill patternType="solid">
        <fgColor rgb="FF40B6FF"/>
        <bgColor indexed="64"/>
      </patternFill>
    </fill>
    <fill>
      <patternFill patternType="solid">
        <fgColor rgb="FF2F7ABE"/>
        <bgColor indexed="64"/>
      </patternFill>
    </fill>
    <fill>
      <patternFill patternType="solid">
        <fgColor rgb="FF464422"/>
        <bgColor indexed="64"/>
      </patternFill>
    </fill>
    <fill>
      <patternFill patternType="solid">
        <fgColor rgb="FFEDE937"/>
        <bgColor indexed="64"/>
      </patternFill>
    </fill>
    <fill>
      <patternFill patternType="solid">
        <fgColor rgb="FFFEFC3A"/>
        <bgColor indexed="64"/>
      </patternFill>
    </fill>
    <fill>
      <patternFill patternType="solid">
        <fgColor rgb="FFFEFD3A"/>
        <bgColor indexed="64"/>
      </patternFill>
    </fill>
    <fill>
      <patternFill patternType="solid">
        <fgColor rgb="FFE1E032"/>
        <bgColor indexed="64"/>
      </patternFill>
    </fill>
    <fill>
      <patternFill patternType="solid">
        <fgColor rgb="FFF2F336"/>
        <bgColor indexed="64"/>
      </patternFill>
    </fill>
    <fill>
      <patternFill patternType="solid">
        <fgColor rgb="FF77996D"/>
        <bgColor indexed="64"/>
      </patternFill>
    </fill>
    <fill>
      <patternFill patternType="solid">
        <fgColor rgb="FF219BFF"/>
        <bgColor indexed="64"/>
      </patternFill>
    </fill>
    <fill>
      <patternFill patternType="solid">
        <fgColor rgb="FF289EFA"/>
        <bgColor indexed="64"/>
      </patternFill>
    </fill>
    <fill>
      <patternFill patternType="solid">
        <fgColor rgb="FF279EFB"/>
        <bgColor indexed="64"/>
      </patternFill>
    </fill>
    <fill>
      <patternFill patternType="solid">
        <fgColor rgb="FFEFEEEF"/>
        <bgColor indexed="64"/>
      </patternFill>
    </fill>
    <fill>
      <patternFill patternType="solid">
        <fgColor rgb="FF9F9EA2"/>
        <bgColor indexed="64"/>
      </patternFill>
    </fill>
    <fill>
      <patternFill patternType="solid">
        <fgColor rgb="FFE0D8D9"/>
        <bgColor indexed="64"/>
      </patternFill>
    </fill>
    <fill>
      <patternFill patternType="solid">
        <fgColor rgb="FFD55E74"/>
        <bgColor indexed="64"/>
      </patternFill>
    </fill>
    <fill>
      <patternFill patternType="solid">
        <fgColor rgb="FFEC506A"/>
        <bgColor indexed="64"/>
      </patternFill>
    </fill>
    <fill>
      <patternFill patternType="solid">
        <fgColor rgb="FFFA5B74"/>
        <bgColor indexed="64"/>
      </patternFill>
    </fill>
    <fill>
      <patternFill patternType="solid">
        <fgColor rgb="FFFA5B73"/>
        <bgColor indexed="64"/>
      </patternFill>
    </fill>
    <fill>
      <patternFill patternType="solid">
        <fgColor rgb="FFFA5D78"/>
        <bgColor indexed="64"/>
      </patternFill>
    </fill>
    <fill>
      <patternFill patternType="solid">
        <fgColor rgb="FFFA6281"/>
        <bgColor indexed="64"/>
      </patternFill>
    </fill>
    <fill>
      <patternFill patternType="solid">
        <fgColor rgb="FFFC6281"/>
        <bgColor indexed="64"/>
      </patternFill>
    </fill>
    <fill>
      <patternFill patternType="solid">
        <fgColor rgb="FFFC617E"/>
        <bgColor indexed="64"/>
      </patternFill>
    </fill>
    <fill>
      <patternFill patternType="solid">
        <fgColor rgb="FFFD617D"/>
        <bgColor indexed="64"/>
      </patternFill>
    </fill>
    <fill>
      <patternFill patternType="solid">
        <fgColor rgb="FFF6627F"/>
        <bgColor indexed="64"/>
      </patternFill>
    </fill>
    <fill>
      <patternFill patternType="solid">
        <fgColor rgb="FF8D5A6C"/>
        <bgColor indexed="64"/>
      </patternFill>
    </fill>
    <fill>
      <patternFill patternType="solid">
        <fgColor rgb="FF7C4654"/>
        <bgColor indexed="64"/>
      </patternFill>
    </fill>
    <fill>
      <patternFill patternType="solid">
        <fgColor rgb="FFA69FA3"/>
        <bgColor indexed="64"/>
      </patternFill>
    </fill>
    <fill>
      <patternFill patternType="solid">
        <fgColor rgb="FFBAC4D2"/>
        <bgColor indexed="64"/>
      </patternFill>
    </fill>
    <fill>
      <patternFill patternType="solid">
        <fgColor rgb="FF3E9ADA"/>
        <bgColor indexed="64"/>
      </patternFill>
    </fill>
    <fill>
      <patternFill patternType="solid">
        <fgColor rgb="FF45B8FF"/>
        <bgColor indexed="64"/>
      </patternFill>
    </fill>
    <fill>
      <patternFill patternType="solid">
        <fgColor rgb="FF40AEFA"/>
        <bgColor indexed="64"/>
      </patternFill>
    </fill>
    <fill>
      <patternFill patternType="solid">
        <fgColor rgb="FF3FB0FD"/>
        <bgColor indexed="64"/>
      </patternFill>
    </fill>
    <fill>
      <patternFill patternType="solid">
        <fgColor rgb="FF3BA8F8"/>
        <bgColor indexed="64"/>
      </patternFill>
    </fill>
    <fill>
      <patternFill patternType="solid">
        <fgColor rgb="FF3389D2"/>
        <bgColor indexed="64"/>
      </patternFill>
    </fill>
    <fill>
      <patternFill patternType="solid">
        <fgColor rgb="FF408FC8"/>
        <bgColor indexed="64"/>
      </patternFill>
    </fill>
    <fill>
      <patternFill patternType="solid">
        <fgColor rgb="FF797934"/>
        <bgColor indexed="64"/>
      </patternFill>
    </fill>
    <fill>
      <patternFill patternType="solid">
        <fgColor rgb="FFDCDA35"/>
        <bgColor indexed="64"/>
      </patternFill>
    </fill>
    <fill>
      <patternFill patternType="solid">
        <fgColor rgb="FFBEBE2D"/>
        <bgColor indexed="64"/>
      </patternFill>
    </fill>
    <fill>
      <patternFill patternType="solid">
        <fgColor rgb="FFE6E534"/>
        <bgColor indexed="64"/>
      </patternFill>
    </fill>
    <fill>
      <patternFill patternType="solid">
        <fgColor rgb="FFF7F538"/>
        <bgColor indexed="64"/>
      </patternFill>
    </fill>
    <fill>
      <patternFill patternType="solid">
        <fgColor rgb="FFE1E137"/>
        <bgColor indexed="64"/>
      </patternFill>
    </fill>
    <fill>
      <patternFill patternType="solid">
        <fgColor rgb="FFEAEE38"/>
        <bgColor indexed="64"/>
      </patternFill>
    </fill>
    <fill>
      <patternFill patternType="solid">
        <fgColor rgb="FFDDD930"/>
        <bgColor indexed="64"/>
      </patternFill>
    </fill>
    <fill>
      <patternFill patternType="solid">
        <fgColor rgb="FF3489B8"/>
        <bgColor indexed="64"/>
      </patternFill>
    </fill>
    <fill>
      <patternFill patternType="solid">
        <fgColor rgb="FF2BA4FD"/>
        <bgColor indexed="64"/>
      </patternFill>
    </fill>
    <fill>
      <patternFill patternType="solid">
        <fgColor rgb="FF289FFB"/>
        <bgColor indexed="64"/>
      </patternFill>
    </fill>
    <fill>
      <patternFill patternType="solid">
        <fgColor rgb="FF279DFC"/>
        <bgColor indexed="64"/>
      </patternFill>
    </fill>
    <fill>
      <patternFill patternType="solid">
        <fgColor rgb="FFF9F9F9"/>
        <bgColor indexed="64"/>
      </patternFill>
    </fill>
    <fill>
      <patternFill patternType="solid">
        <fgColor rgb="FF8B727B"/>
        <bgColor indexed="64"/>
      </patternFill>
    </fill>
    <fill>
      <patternFill patternType="solid">
        <fgColor rgb="FFA77580"/>
        <bgColor indexed="64"/>
      </patternFill>
    </fill>
    <fill>
      <patternFill patternType="solid">
        <fgColor rgb="FFB76E79"/>
        <bgColor indexed="64"/>
      </patternFill>
    </fill>
    <fill>
      <patternFill patternType="solid">
        <fgColor rgb="FFE84E68"/>
        <bgColor indexed="64"/>
      </patternFill>
    </fill>
    <fill>
      <patternFill patternType="solid">
        <fgColor rgb="FFF85873"/>
        <bgColor indexed="64"/>
      </patternFill>
    </fill>
    <fill>
      <patternFill patternType="solid">
        <fgColor rgb="FFFB5A74"/>
        <bgColor indexed="64"/>
      </patternFill>
    </fill>
    <fill>
      <patternFill patternType="solid">
        <fgColor rgb="FFFA5B75"/>
        <bgColor indexed="64"/>
      </patternFill>
    </fill>
    <fill>
      <patternFill patternType="solid">
        <fgColor rgb="FFFC5C76"/>
        <bgColor indexed="64"/>
      </patternFill>
    </fill>
    <fill>
      <patternFill patternType="solid">
        <fgColor rgb="FFFA5C79"/>
        <bgColor indexed="64"/>
      </patternFill>
    </fill>
    <fill>
      <patternFill patternType="solid">
        <fgColor rgb="FFFB6181"/>
        <bgColor indexed="64"/>
      </patternFill>
    </fill>
    <fill>
      <patternFill patternType="solid">
        <fgColor rgb="FFFB637C"/>
        <bgColor indexed="64"/>
      </patternFill>
    </fill>
    <fill>
      <patternFill patternType="solid">
        <fgColor rgb="FFF75D79"/>
        <bgColor indexed="64"/>
      </patternFill>
    </fill>
    <fill>
      <patternFill patternType="solid">
        <fgColor rgb="FFF45B74"/>
        <bgColor indexed="64"/>
      </patternFill>
    </fill>
    <fill>
      <patternFill patternType="solid">
        <fgColor rgb="FFFD6584"/>
        <bgColor indexed="64"/>
      </patternFill>
    </fill>
    <fill>
      <patternFill patternType="solid">
        <fgColor rgb="FFD24960"/>
        <bgColor indexed="64"/>
      </patternFill>
    </fill>
    <fill>
      <patternFill patternType="solid">
        <fgColor rgb="FFBD7B89"/>
        <bgColor indexed="64"/>
      </patternFill>
    </fill>
    <fill>
      <patternFill patternType="solid">
        <fgColor rgb="FF8C798C"/>
        <bgColor indexed="64"/>
      </patternFill>
    </fill>
    <fill>
      <patternFill patternType="solid">
        <fgColor rgb="FF847B7E"/>
        <bgColor indexed="64"/>
      </patternFill>
    </fill>
    <fill>
      <patternFill patternType="solid">
        <fgColor rgb="FFF8F8F7"/>
        <bgColor indexed="64"/>
      </patternFill>
    </fill>
    <fill>
      <patternFill patternType="solid">
        <fgColor rgb="FFD6D8DD"/>
        <bgColor indexed="64"/>
      </patternFill>
    </fill>
    <fill>
      <patternFill patternType="solid">
        <fgColor rgb="FF4492C7"/>
        <bgColor indexed="64"/>
      </patternFill>
    </fill>
    <fill>
      <patternFill patternType="solid">
        <fgColor rgb="FF45BBFF"/>
        <bgColor indexed="64"/>
      </patternFill>
    </fill>
    <fill>
      <patternFill patternType="solid">
        <fgColor rgb="FF41B1FB"/>
        <bgColor indexed="64"/>
      </patternFill>
    </fill>
    <fill>
      <patternFill patternType="solid">
        <fgColor rgb="FF3DA6F0"/>
        <bgColor indexed="64"/>
      </patternFill>
    </fill>
    <fill>
      <patternFill patternType="solid">
        <fgColor rgb="FF3FB1FE"/>
        <bgColor indexed="64"/>
      </patternFill>
    </fill>
    <fill>
      <patternFill patternType="solid">
        <fgColor rgb="FF4895CC"/>
        <bgColor indexed="64"/>
      </patternFill>
    </fill>
    <fill>
      <patternFill patternType="solid">
        <fgColor rgb="FF4C625D"/>
        <bgColor indexed="64"/>
      </patternFill>
    </fill>
    <fill>
      <patternFill patternType="solid">
        <fgColor rgb="FF838633"/>
        <bgColor indexed="64"/>
      </patternFill>
    </fill>
    <fill>
      <patternFill patternType="solid">
        <fgColor rgb="FFBBB42A"/>
        <bgColor indexed="64"/>
      </patternFill>
    </fill>
    <fill>
      <patternFill patternType="solid">
        <fgColor rgb="FFCDC92F"/>
        <bgColor indexed="64"/>
      </patternFill>
    </fill>
    <fill>
      <patternFill patternType="solid">
        <fgColor rgb="FFC5C12C"/>
        <bgColor indexed="64"/>
      </patternFill>
    </fill>
    <fill>
      <patternFill patternType="solid">
        <fgColor rgb="FFFCFB38"/>
        <bgColor indexed="64"/>
      </patternFill>
    </fill>
    <fill>
      <patternFill patternType="solid">
        <fgColor rgb="FFECE739"/>
        <bgColor indexed="64"/>
      </patternFill>
    </fill>
    <fill>
      <patternFill patternType="solid">
        <fgColor rgb="FF9FA22E"/>
        <bgColor indexed="64"/>
      </patternFill>
    </fill>
    <fill>
      <patternFill patternType="solid">
        <fgColor rgb="FFF8F233"/>
        <bgColor indexed="64"/>
      </patternFill>
    </fill>
    <fill>
      <patternFill patternType="solid">
        <fgColor rgb="FF4F7E6D"/>
        <bgColor indexed="64"/>
      </patternFill>
    </fill>
    <fill>
      <patternFill patternType="solid">
        <fgColor rgb="FF269FFE"/>
        <bgColor indexed="64"/>
      </patternFill>
    </fill>
    <fill>
      <patternFill patternType="solid">
        <fgColor rgb="FF2AA0F9"/>
        <bgColor indexed="64"/>
      </patternFill>
    </fill>
    <fill>
      <patternFill patternType="solid">
        <fgColor rgb="FF289EFB"/>
        <bgColor indexed="64"/>
      </patternFill>
    </fill>
    <fill>
      <patternFill patternType="solid">
        <fgColor rgb="FF269DFC"/>
        <bgColor indexed="64"/>
      </patternFill>
    </fill>
    <fill>
      <patternFill patternType="solid">
        <fgColor rgb="FFFCFCFC"/>
        <bgColor indexed="64"/>
      </patternFill>
    </fill>
    <fill>
      <patternFill patternType="solid">
        <fgColor rgb="FFDCD4D6"/>
        <bgColor indexed="64"/>
      </patternFill>
    </fill>
    <fill>
      <patternFill patternType="solid">
        <fgColor rgb="FFBA4B66"/>
        <bgColor indexed="64"/>
      </patternFill>
    </fill>
    <fill>
      <patternFill patternType="solid">
        <fgColor rgb="FFF05B79"/>
        <bgColor indexed="64"/>
      </patternFill>
    </fill>
    <fill>
      <patternFill patternType="solid">
        <fgColor rgb="FFF35572"/>
        <bgColor indexed="64"/>
      </patternFill>
    </fill>
    <fill>
      <patternFill patternType="solid">
        <fgColor rgb="FFFE5E79"/>
        <bgColor indexed="64"/>
      </patternFill>
    </fill>
    <fill>
      <patternFill patternType="solid">
        <fgColor rgb="FFFB5A72"/>
        <bgColor indexed="64"/>
      </patternFill>
    </fill>
    <fill>
      <patternFill patternType="solid">
        <fgColor rgb="FFFB5974"/>
        <bgColor indexed="64"/>
      </patternFill>
    </fill>
    <fill>
      <patternFill patternType="solid">
        <fgColor rgb="FFFB5B72"/>
        <bgColor indexed="64"/>
      </patternFill>
    </fill>
    <fill>
      <patternFill patternType="solid">
        <fgColor rgb="FFF45C7B"/>
        <bgColor indexed="64"/>
      </patternFill>
    </fill>
    <fill>
      <patternFill patternType="solid">
        <fgColor rgb="FFC4455D"/>
        <bgColor indexed="64"/>
      </patternFill>
    </fill>
    <fill>
      <patternFill patternType="solid">
        <fgColor rgb="FFFB6787"/>
        <bgColor indexed="64"/>
      </patternFill>
    </fill>
    <fill>
      <patternFill patternType="solid">
        <fgColor rgb="FFCF4C6C"/>
        <bgColor indexed="64"/>
      </patternFill>
    </fill>
    <fill>
      <patternFill patternType="solid">
        <fgColor rgb="FF89535E"/>
        <bgColor indexed="64"/>
      </patternFill>
    </fill>
    <fill>
      <patternFill patternType="solid">
        <fgColor rgb="FFF4F3F8"/>
        <bgColor indexed="64"/>
      </patternFill>
    </fill>
    <fill>
      <patternFill patternType="solid">
        <fgColor rgb="FFB1B1C1"/>
        <bgColor indexed="64"/>
      </patternFill>
    </fill>
    <fill>
      <patternFill patternType="solid">
        <fgColor rgb="FFD0D0D5"/>
        <bgColor indexed="64"/>
      </patternFill>
    </fill>
    <fill>
      <patternFill patternType="solid">
        <fgColor rgb="FFD8D9DE"/>
        <bgColor indexed="64"/>
      </patternFill>
    </fill>
    <fill>
      <patternFill patternType="solid">
        <fgColor rgb="FF4790C5"/>
        <bgColor indexed="64"/>
      </patternFill>
    </fill>
    <fill>
      <patternFill patternType="solid">
        <fgColor rgb="FF46BBFF"/>
        <bgColor indexed="64"/>
      </patternFill>
    </fill>
    <fill>
      <patternFill patternType="solid">
        <fgColor rgb="FF41B2FB"/>
        <bgColor indexed="64"/>
      </patternFill>
    </fill>
    <fill>
      <patternFill patternType="solid">
        <fgColor rgb="FF3CA2ED"/>
        <bgColor indexed="64"/>
      </patternFill>
    </fill>
    <fill>
      <patternFill patternType="solid">
        <fgColor rgb="FF3274AD"/>
        <bgColor indexed="64"/>
      </patternFill>
    </fill>
    <fill>
      <patternFill patternType="solid">
        <fgColor rgb="FF3697E4"/>
        <bgColor indexed="64"/>
      </patternFill>
    </fill>
    <fill>
      <patternFill patternType="solid">
        <fgColor rgb="FF57817D"/>
        <bgColor indexed="64"/>
      </patternFill>
    </fill>
    <fill>
      <patternFill patternType="solid">
        <fgColor rgb="FFB4AA22"/>
        <bgColor indexed="64"/>
      </patternFill>
    </fill>
    <fill>
      <patternFill patternType="solid">
        <fgColor rgb="FFF4F03A"/>
        <bgColor indexed="64"/>
      </patternFill>
    </fill>
    <fill>
      <patternFill patternType="solid">
        <fgColor rgb="FFFDFC39"/>
        <bgColor indexed="64"/>
      </patternFill>
    </fill>
    <fill>
      <patternFill patternType="solid">
        <fgColor rgb="FFFCFC38"/>
        <bgColor indexed="64"/>
      </patternFill>
    </fill>
    <fill>
      <patternFill patternType="solid">
        <fgColor rgb="FFFFFD39"/>
        <bgColor indexed="64"/>
      </patternFill>
    </fill>
    <fill>
      <patternFill patternType="solid">
        <fgColor rgb="FF92902D"/>
        <bgColor indexed="64"/>
      </patternFill>
    </fill>
    <fill>
      <patternFill patternType="solid">
        <fgColor rgb="FFD4D037"/>
        <bgColor indexed="64"/>
      </patternFill>
    </fill>
    <fill>
      <patternFill patternType="solid">
        <fgColor rgb="FF81974D"/>
        <bgColor indexed="64"/>
      </patternFill>
    </fill>
    <fill>
      <patternFill patternType="solid">
        <fgColor rgb="FF2195F2"/>
        <bgColor indexed="64"/>
      </patternFill>
    </fill>
    <fill>
      <patternFill patternType="solid">
        <fgColor rgb="FF2CA2FC"/>
        <bgColor indexed="64"/>
      </patternFill>
    </fill>
    <fill>
      <patternFill patternType="solid">
        <fgColor rgb="FF259DFB"/>
        <bgColor indexed="64"/>
      </patternFill>
    </fill>
    <fill>
      <patternFill patternType="solid">
        <fgColor rgb="FFE5E9E9"/>
        <bgColor indexed="64"/>
      </patternFill>
    </fill>
    <fill>
      <patternFill patternType="solid">
        <fgColor rgb="FFA56274"/>
        <bgColor indexed="64"/>
      </patternFill>
    </fill>
    <fill>
      <patternFill patternType="solid">
        <fgColor rgb="FFF55A77"/>
        <bgColor indexed="64"/>
      </patternFill>
    </fill>
    <fill>
      <patternFill patternType="solid">
        <fgColor rgb="FFE8546C"/>
        <bgColor indexed="64"/>
      </patternFill>
    </fill>
    <fill>
      <patternFill patternType="solid">
        <fgColor rgb="FFF3556F"/>
        <bgColor indexed="64"/>
      </patternFill>
    </fill>
    <fill>
      <patternFill patternType="solid">
        <fgColor rgb="FFFC5B74"/>
        <bgColor indexed="64"/>
      </patternFill>
    </fill>
    <fill>
      <patternFill patternType="solid">
        <fgColor rgb="FFFB5972"/>
        <bgColor indexed="64"/>
      </patternFill>
    </fill>
    <fill>
      <patternFill patternType="solid">
        <fgColor rgb="FFFB5C73"/>
        <bgColor indexed="64"/>
      </patternFill>
    </fill>
    <fill>
      <patternFill patternType="solid">
        <fgColor rgb="FFFC5E7F"/>
        <bgColor indexed="64"/>
      </patternFill>
    </fill>
    <fill>
      <patternFill patternType="solid">
        <fgColor rgb="FFFA5B79"/>
        <bgColor indexed="64"/>
      </patternFill>
    </fill>
    <fill>
      <patternFill patternType="solid">
        <fgColor rgb="FFFF607F"/>
        <bgColor indexed="64"/>
      </patternFill>
    </fill>
    <fill>
      <patternFill patternType="solid">
        <fgColor rgb="FFDB516F"/>
        <bgColor indexed="64"/>
      </patternFill>
    </fill>
    <fill>
      <patternFill patternType="solid">
        <fgColor rgb="FFEA5B76"/>
        <bgColor indexed="64"/>
      </patternFill>
    </fill>
    <fill>
      <patternFill patternType="solid">
        <fgColor rgb="FF884E5E"/>
        <bgColor indexed="64"/>
      </patternFill>
    </fill>
    <fill>
      <patternFill patternType="solid">
        <fgColor rgb="FFF0F5F1"/>
        <bgColor indexed="64"/>
      </patternFill>
    </fill>
    <fill>
      <patternFill patternType="solid">
        <fgColor rgb="FFB5BDC8"/>
        <bgColor indexed="64"/>
      </patternFill>
    </fill>
    <fill>
      <patternFill patternType="solid">
        <fgColor rgb="FF398FCB"/>
        <bgColor indexed="64"/>
      </patternFill>
    </fill>
    <fill>
      <patternFill patternType="solid">
        <fgColor rgb="FF4ABCFF"/>
        <bgColor indexed="64"/>
      </patternFill>
    </fill>
    <fill>
      <patternFill patternType="solid">
        <fgColor rgb="FF41ADF6"/>
        <bgColor indexed="64"/>
      </patternFill>
    </fill>
    <fill>
      <patternFill patternType="solid">
        <fgColor rgb="FF4B8AAC"/>
        <bgColor indexed="64"/>
      </patternFill>
    </fill>
    <fill>
      <patternFill patternType="solid">
        <fgColor rgb="FF8F963E"/>
        <bgColor indexed="64"/>
      </patternFill>
    </fill>
    <fill>
      <patternFill patternType="solid">
        <fgColor rgb="FF57796F"/>
        <bgColor indexed="64"/>
      </patternFill>
    </fill>
    <fill>
      <patternFill patternType="solid">
        <fgColor rgb="FF84842A"/>
        <bgColor indexed="64"/>
      </patternFill>
    </fill>
    <fill>
      <patternFill patternType="solid">
        <fgColor rgb="FFC3C22C"/>
        <bgColor indexed="64"/>
      </patternFill>
    </fill>
    <fill>
      <patternFill patternType="solid">
        <fgColor rgb="FFC5C12A"/>
        <bgColor indexed="64"/>
      </patternFill>
    </fill>
    <fill>
      <patternFill patternType="solid">
        <fgColor rgb="FFE3E031"/>
        <bgColor indexed="64"/>
      </patternFill>
    </fill>
    <fill>
      <patternFill patternType="solid">
        <fgColor rgb="FFFAFA37"/>
        <bgColor indexed="64"/>
      </patternFill>
    </fill>
    <fill>
      <patternFill patternType="solid">
        <fgColor rgb="FF9B9A2B"/>
        <bgColor indexed="64"/>
      </patternFill>
    </fill>
    <fill>
      <patternFill patternType="solid">
        <fgColor rgb="FFD5D635"/>
        <bgColor indexed="64"/>
      </patternFill>
    </fill>
    <fill>
      <patternFill patternType="solid">
        <fgColor rgb="FFC7C93A"/>
        <bgColor indexed="64"/>
      </patternFill>
    </fill>
    <fill>
      <patternFill patternType="solid">
        <fgColor rgb="FF1878BF"/>
        <bgColor indexed="64"/>
      </patternFill>
    </fill>
    <fill>
      <patternFill patternType="solid">
        <fgColor rgb="FF289DF7"/>
        <bgColor indexed="64"/>
      </patternFill>
    </fill>
    <fill>
      <patternFill patternType="solid">
        <fgColor rgb="FFFEFEFD"/>
        <bgColor indexed="64"/>
      </patternFill>
    </fill>
    <fill>
      <patternFill patternType="solid">
        <fgColor rgb="FFFCFBFB"/>
        <bgColor indexed="64"/>
      </patternFill>
    </fill>
    <fill>
      <patternFill patternType="solid">
        <fgColor rgb="FFE7E4E7"/>
        <bgColor indexed="64"/>
      </patternFill>
    </fill>
    <fill>
      <patternFill patternType="solid">
        <fgColor rgb="FFB36F7E"/>
        <bgColor indexed="64"/>
      </patternFill>
    </fill>
    <fill>
      <patternFill patternType="solid">
        <fgColor rgb="FFD74964"/>
        <bgColor indexed="64"/>
      </patternFill>
    </fill>
    <fill>
      <patternFill patternType="solid">
        <fgColor rgb="FFF65A74"/>
        <bgColor indexed="64"/>
      </patternFill>
    </fill>
    <fill>
      <patternFill patternType="solid">
        <fgColor rgb="FFFB5A71"/>
        <bgColor indexed="64"/>
      </patternFill>
    </fill>
    <fill>
      <patternFill patternType="solid">
        <fgColor rgb="FFFB5D74"/>
        <bgColor indexed="64"/>
      </patternFill>
    </fill>
    <fill>
      <patternFill patternType="solid">
        <fgColor rgb="FFFB5E76"/>
        <bgColor indexed="64"/>
      </patternFill>
    </fill>
    <fill>
      <patternFill patternType="solid">
        <fgColor rgb="FFF95C7B"/>
        <bgColor indexed="64"/>
      </patternFill>
    </fill>
    <fill>
      <patternFill patternType="solid">
        <fgColor rgb="FFFF607D"/>
        <bgColor indexed="64"/>
      </patternFill>
    </fill>
    <fill>
      <patternFill patternType="solid">
        <fgColor rgb="FFD75069"/>
        <bgColor indexed="64"/>
      </patternFill>
    </fill>
    <fill>
      <patternFill patternType="solid">
        <fgColor rgb="FFBE4758"/>
        <bgColor indexed="64"/>
      </patternFill>
    </fill>
    <fill>
      <patternFill patternType="solid">
        <fgColor rgb="FFAA6D7F"/>
        <bgColor indexed="64"/>
      </patternFill>
    </fill>
    <fill>
      <patternFill patternType="solid">
        <fgColor rgb="FFF8FDFD"/>
        <bgColor indexed="64"/>
      </patternFill>
    </fill>
    <fill>
      <patternFill patternType="solid">
        <fgColor rgb="FFFBFCFD"/>
        <bgColor indexed="64"/>
      </patternFill>
    </fill>
    <fill>
      <patternFill patternType="solid">
        <fgColor rgb="FF91A7BD"/>
        <bgColor indexed="64"/>
      </patternFill>
    </fill>
    <fill>
      <patternFill patternType="solid">
        <fgColor rgb="FF38A0E5"/>
        <bgColor indexed="64"/>
      </patternFill>
    </fill>
    <fill>
      <patternFill patternType="solid">
        <fgColor rgb="FF48B9FF"/>
        <bgColor indexed="64"/>
      </patternFill>
    </fill>
    <fill>
      <patternFill patternType="solid">
        <fgColor rgb="FF41AFF9"/>
        <bgColor indexed="64"/>
      </patternFill>
    </fill>
    <fill>
      <patternFill patternType="solid">
        <fgColor rgb="FF44B6FE"/>
        <bgColor indexed="64"/>
      </patternFill>
    </fill>
    <fill>
      <patternFill patternType="solid">
        <fgColor rgb="FF3FA8F4"/>
        <bgColor indexed="64"/>
      </patternFill>
    </fill>
    <fill>
      <patternFill patternType="solid">
        <fgColor rgb="FF9FB055"/>
        <bgColor indexed="64"/>
      </patternFill>
    </fill>
    <fill>
      <patternFill patternType="solid">
        <fgColor rgb="FFFFFD22"/>
        <bgColor indexed="64"/>
      </patternFill>
    </fill>
    <fill>
      <patternFill patternType="solid">
        <fgColor rgb="FFE7E536"/>
        <bgColor indexed="64"/>
      </patternFill>
    </fill>
    <fill>
      <patternFill patternType="solid">
        <fgColor rgb="FFE3DF33"/>
        <bgColor indexed="64"/>
      </patternFill>
    </fill>
    <fill>
      <patternFill patternType="solid">
        <fgColor rgb="FFEDE934"/>
        <bgColor indexed="64"/>
      </patternFill>
    </fill>
    <fill>
      <patternFill patternType="solid">
        <fgColor rgb="FFF8F837"/>
        <bgColor indexed="64"/>
      </patternFill>
    </fill>
    <fill>
      <patternFill patternType="solid">
        <fgColor rgb="FF85832B"/>
        <bgColor indexed="64"/>
      </patternFill>
    </fill>
    <fill>
      <patternFill patternType="solid">
        <fgColor rgb="FF777F26"/>
        <bgColor indexed="64"/>
      </patternFill>
    </fill>
    <fill>
      <patternFill patternType="solid">
        <fgColor rgb="FFFFFD28"/>
        <bgColor indexed="64"/>
      </patternFill>
    </fill>
    <fill>
      <patternFill patternType="solid">
        <fgColor rgb="FF839C58"/>
        <bgColor indexed="64"/>
      </patternFill>
    </fill>
    <fill>
      <patternFill patternType="solid">
        <fgColor rgb="FF2194EA"/>
        <bgColor indexed="64"/>
      </patternFill>
    </fill>
    <fill>
      <patternFill patternType="solid">
        <fgColor rgb="FF28A1FC"/>
        <bgColor indexed="64"/>
      </patternFill>
    </fill>
    <fill>
      <patternFill patternType="solid">
        <fgColor rgb="FF279EFA"/>
        <bgColor indexed="64"/>
      </patternFill>
    </fill>
    <fill>
      <patternFill patternType="solid">
        <fgColor rgb="FFDFDFDF"/>
        <bgColor indexed="64"/>
      </patternFill>
    </fill>
    <fill>
      <patternFill patternType="solid">
        <fgColor rgb="FFE2E3E2"/>
        <bgColor indexed="64"/>
      </patternFill>
    </fill>
    <fill>
      <patternFill patternType="solid">
        <fgColor rgb="FFEEF8F6"/>
        <bgColor indexed="64"/>
      </patternFill>
    </fill>
    <fill>
      <patternFill patternType="solid">
        <fgColor rgb="FFA35262"/>
        <bgColor indexed="64"/>
      </patternFill>
    </fill>
    <fill>
      <patternFill patternType="solid">
        <fgColor rgb="FFEF526B"/>
        <bgColor indexed="64"/>
      </patternFill>
    </fill>
    <fill>
      <patternFill patternType="solid">
        <fgColor rgb="FFFF607A"/>
        <bgColor indexed="64"/>
      </patternFill>
    </fill>
    <fill>
      <patternFill patternType="solid">
        <fgColor rgb="FFFD5C74"/>
        <bgColor indexed="64"/>
      </patternFill>
    </fill>
    <fill>
      <patternFill patternType="solid">
        <fgColor rgb="FFFF5D74"/>
        <bgColor indexed="64"/>
      </patternFill>
    </fill>
    <fill>
      <patternFill patternType="solid">
        <fgColor rgb="FFFB5D73"/>
        <bgColor indexed="64"/>
      </patternFill>
    </fill>
    <fill>
      <patternFill patternType="solid">
        <fgColor rgb="FFFC5E7D"/>
        <bgColor indexed="64"/>
      </patternFill>
    </fill>
    <fill>
      <patternFill patternType="solid">
        <fgColor rgb="FFFF5F7E"/>
        <bgColor indexed="64"/>
      </patternFill>
    </fill>
    <fill>
      <patternFill patternType="solid">
        <fgColor rgb="FFD0526C"/>
        <bgColor indexed="64"/>
      </patternFill>
    </fill>
    <fill>
      <patternFill patternType="solid">
        <fgColor rgb="FF9A374B"/>
        <bgColor indexed="64"/>
      </patternFill>
    </fill>
    <fill>
      <patternFill patternType="solid">
        <fgColor rgb="FFDB4D65"/>
        <bgColor indexed="64"/>
      </patternFill>
    </fill>
    <fill>
      <patternFill patternType="solid">
        <fgColor rgb="FFBF9CA6"/>
        <bgColor indexed="64"/>
      </patternFill>
    </fill>
    <fill>
      <patternFill patternType="solid">
        <fgColor rgb="FFF2EFEC"/>
        <bgColor indexed="64"/>
      </patternFill>
    </fill>
    <fill>
      <patternFill patternType="solid">
        <fgColor rgb="FF5186B4"/>
        <bgColor indexed="64"/>
      </patternFill>
    </fill>
    <fill>
      <patternFill patternType="solid">
        <fgColor rgb="FF44B6FD"/>
        <bgColor indexed="64"/>
      </patternFill>
    </fill>
    <fill>
      <patternFill patternType="solid">
        <fgColor rgb="FF44B3FB"/>
        <bgColor indexed="64"/>
      </patternFill>
    </fill>
    <fill>
      <patternFill patternType="solid">
        <fgColor rgb="FF43B2FD"/>
        <bgColor indexed="64"/>
      </patternFill>
    </fill>
    <fill>
      <patternFill patternType="solid">
        <fgColor rgb="FF43ABEC"/>
        <bgColor indexed="64"/>
      </patternFill>
    </fill>
    <fill>
      <patternFill patternType="solid">
        <fgColor rgb="FF46B1EE"/>
        <bgColor indexed="64"/>
      </patternFill>
    </fill>
    <fill>
      <patternFill patternType="solid">
        <fgColor rgb="FF2D89E1"/>
        <bgColor indexed="64"/>
      </patternFill>
    </fill>
    <fill>
      <patternFill patternType="solid">
        <fgColor rgb="FF819A5E"/>
        <bgColor indexed="64"/>
      </patternFill>
    </fill>
    <fill>
      <patternFill patternType="solid">
        <fgColor rgb="FFF4F334"/>
        <bgColor indexed="64"/>
      </patternFill>
    </fill>
    <fill>
      <patternFill patternType="solid">
        <fgColor rgb="FFF9F739"/>
        <bgColor indexed="64"/>
      </patternFill>
    </fill>
    <fill>
      <patternFill patternType="solid">
        <fgColor rgb="FFFDFD37"/>
        <bgColor indexed="64"/>
      </patternFill>
    </fill>
    <fill>
      <patternFill patternType="solid">
        <fgColor rgb="FFF9F837"/>
        <bgColor indexed="64"/>
      </patternFill>
    </fill>
    <fill>
      <patternFill patternType="solid">
        <fgColor rgb="FFFFFE32"/>
        <bgColor indexed="64"/>
      </patternFill>
    </fill>
    <fill>
      <patternFill patternType="solid">
        <fgColor rgb="FF7C9655"/>
        <bgColor indexed="64"/>
      </patternFill>
    </fill>
    <fill>
      <patternFill patternType="solid">
        <fgColor rgb="FF1E6EBE"/>
        <bgColor indexed="64"/>
      </patternFill>
    </fill>
    <fill>
      <patternFill patternType="solid">
        <fgColor rgb="FF6D9770"/>
        <bgColor indexed="64"/>
      </patternFill>
    </fill>
    <fill>
      <patternFill patternType="solid">
        <fgColor rgb="FF8FA966"/>
        <bgColor indexed="64"/>
      </patternFill>
    </fill>
    <fill>
      <patternFill patternType="solid">
        <fgColor rgb="FF2B77B2"/>
        <bgColor indexed="64"/>
      </patternFill>
    </fill>
    <fill>
      <patternFill patternType="solid">
        <fgColor rgb="FF28A0FB"/>
        <bgColor indexed="64"/>
      </patternFill>
    </fill>
    <fill>
      <patternFill patternType="solid">
        <fgColor rgb="FF28A1F9"/>
        <bgColor indexed="64"/>
      </patternFill>
    </fill>
    <fill>
      <patternFill patternType="solid">
        <fgColor rgb="FF83797A"/>
        <bgColor indexed="64"/>
      </patternFill>
    </fill>
    <fill>
      <patternFill patternType="solid">
        <fgColor rgb="FFA98A8F"/>
        <bgColor indexed="64"/>
      </patternFill>
    </fill>
    <fill>
      <patternFill patternType="solid">
        <fgColor rgb="FFB299A0"/>
        <bgColor indexed="64"/>
      </patternFill>
    </fill>
    <fill>
      <patternFill patternType="solid">
        <fgColor rgb="FFA24A5D"/>
        <bgColor indexed="64"/>
      </patternFill>
    </fill>
    <fill>
      <patternFill patternType="solid">
        <fgColor rgb="FFEA566C"/>
        <bgColor indexed="64"/>
      </patternFill>
    </fill>
    <fill>
      <patternFill patternType="solid">
        <fgColor rgb="FFE45064"/>
        <bgColor indexed="64"/>
      </patternFill>
    </fill>
    <fill>
      <patternFill patternType="solid">
        <fgColor rgb="FFDC4C5E"/>
        <bgColor indexed="64"/>
      </patternFill>
    </fill>
    <fill>
      <patternFill patternType="solid">
        <fgColor rgb="FFFA5E7A"/>
        <bgColor indexed="64"/>
      </patternFill>
    </fill>
    <fill>
      <patternFill patternType="solid">
        <fgColor rgb="FFFA5E79"/>
        <bgColor indexed="64"/>
      </patternFill>
    </fill>
    <fill>
      <patternFill patternType="solid">
        <fgColor rgb="FFFC5F81"/>
        <bgColor indexed="64"/>
      </patternFill>
    </fill>
    <fill>
      <patternFill patternType="solid">
        <fgColor rgb="FFFC6182"/>
        <bgColor indexed="64"/>
      </patternFill>
    </fill>
    <fill>
      <patternFill patternType="solid">
        <fgColor rgb="FFFF5E7D"/>
        <bgColor indexed="64"/>
      </patternFill>
    </fill>
    <fill>
      <patternFill patternType="solid">
        <fgColor rgb="FFC45871"/>
        <bgColor indexed="64"/>
      </patternFill>
    </fill>
    <fill>
      <patternFill patternType="solid">
        <fgColor rgb="FF994A5F"/>
        <bgColor indexed="64"/>
      </patternFill>
    </fill>
    <fill>
      <patternFill patternType="solid">
        <fgColor rgb="FFB8465D"/>
        <bgColor indexed="64"/>
      </patternFill>
    </fill>
    <fill>
      <patternFill patternType="solid">
        <fgColor rgb="FFD8D1D5"/>
        <bgColor indexed="64"/>
      </patternFill>
    </fill>
    <fill>
      <patternFill patternType="solid">
        <fgColor rgb="FFFAF5F2"/>
        <bgColor indexed="64"/>
      </patternFill>
    </fill>
    <fill>
      <patternFill patternType="solid">
        <fgColor rgb="FF7492B3"/>
        <bgColor indexed="64"/>
      </patternFill>
    </fill>
    <fill>
      <patternFill patternType="solid">
        <fgColor rgb="FF39A3E7"/>
        <bgColor indexed="64"/>
      </patternFill>
    </fill>
    <fill>
      <patternFill patternType="solid">
        <fgColor rgb="FF45B9FD"/>
        <bgColor indexed="64"/>
      </patternFill>
    </fill>
    <fill>
      <patternFill patternType="solid">
        <fgColor rgb="FF43B5FC"/>
        <bgColor indexed="64"/>
      </patternFill>
    </fill>
    <fill>
      <patternFill patternType="solid">
        <fgColor rgb="FF3791DC"/>
        <bgColor indexed="64"/>
      </patternFill>
    </fill>
    <fill>
      <patternFill patternType="solid">
        <fgColor rgb="FF2E6298"/>
        <bgColor indexed="64"/>
      </patternFill>
    </fill>
    <fill>
      <patternFill patternType="solid">
        <fgColor rgb="FF5F8176"/>
        <bgColor indexed="64"/>
      </patternFill>
    </fill>
    <fill>
      <patternFill patternType="solid">
        <fgColor rgb="FF8AA56F"/>
        <bgColor indexed="64"/>
      </patternFill>
    </fill>
    <fill>
      <patternFill patternType="solid">
        <fgColor rgb="FF6D876A"/>
        <bgColor indexed="64"/>
      </patternFill>
    </fill>
    <fill>
      <patternFill patternType="solid">
        <fgColor rgb="FFA8A52D"/>
        <bgColor indexed="64"/>
      </patternFill>
    </fill>
    <fill>
      <patternFill patternType="solid">
        <fgColor rgb="FFE6E537"/>
        <bgColor indexed="64"/>
      </patternFill>
    </fill>
    <fill>
      <patternFill patternType="solid">
        <fgColor rgb="FFF8F73A"/>
        <bgColor indexed="64"/>
      </patternFill>
    </fill>
    <fill>
      <patternFill patternType="solid">
        <fgColor rgb="FFE2DE32"/>
        <bgColor indexed="64"/>
      </patternFill>
    </fill>
    <fill>
      <patternFill patternType="solid">
        <fgColor rgb="FFEDEA35"/>
        <bgColor indexed="64"/>
      </patternFill>
    </fill>
    <fill>
      <patternFill patternType="solid">
        <fgColor rgb="FFFEFE3C"/>
        <bgColor indexed="64"/>
      </patternFill>
    </fill>
    <fill>
      <patternFill patternType="solid">
        <fgColor rgb="FFD4D536"/>
        <bgColor indexed="64"/>
      </patternFill>
    </fill>
    <fill>
      <patternFill patternType="solid">
        <fgColor rgb="FFBBBE34"/>
        <bgColor indexed="64"/>
      </patternFill>
    </fill>
    <fill>
      <patternFill patternType="solid">
        <fgColor rgb="FFFAF430"/>
        <bgColor indexed="64"/>
      </patternFill>
    </fill>
    <fill>
      <patternFill patternType="solid">
        <fgColor rgb="FF559593"/>
        <bgColor indexed="64"/>
      </patternFill>
    </fill>
    <fill>
      <patternFill patternType="solid">
        <fgColor rgb="FF2FA4FF"/>
        <bgColor indexed="64"/>
      </patternFill>
    </fill>
    <fill>
      <patternFill patternType="solid">
        <fgColor rgb="FF29A2FF"/>
        <bgColor indexed="64"/>
      </patternFill>
    </fill>
    <fill>
      <patternFill patternType="solid">
        <fgColor rgb="FF36ABFC"/>
        <bgColor indexed="64"/>
      </patternFill>
    </fill>
    <fill>
      <patternFill patternType="solid">
        <fgColor rgb="FF35A9FA"/>
        <bgColor indexed="64"/>
      </patternFill>
    </fill>
    <fill>
      <patternFill patternType="solid">
        <fgColor rgb="FFDEDBDC"/>
        <bgColor indexed="64"/>
      </patternFill>
    </fill>
    <fill>
      <patternFill patternType="solid">
        <fgColor rgb="FF933E51"/>
        <bgColor indexed="64"/>
      </patternFill>
    </fill>
    <fill>
      <patternFill patternType="solid">
        <fgColor rgb="FFDC5975"/>
        <bgColor indexed="64"/>
      </patternFill>
    </fill>
    <fill>
      <patternFill patternType="solid">
        <fgColor rgb="FFD45E74"/>
        <bgColor indexed="64"/>
      </patternFill>
    </fill>
    <fill>
      <patternFill patternType="solid">
        <fgColor rgb="FFD75064"/>
        <bgColor indexed="64"/>
      </patternFill>
    </fill>
    <fill>
      <patternFill patternType="solid">
        <fgColor rgb="FFF0556E"/>
        <bgColor indexed="64"/>
      </patternFill>
    </fill>
    <fill>
      <patternFill patternType="solid">
        <fgColor rgb="FFEE546B"/>
        <bgColor indexed="64"/>
      </patternFill>
    </fill>
    <fill>
      <patternFill patternType="solid">
        <fgColor rgb="FFF95B76"/>
        <bgColor indexed="64"/>
      </patternFill>
    </fill>
    <fill>
      <patternFill patternType="solid">
        <fgColor rgb="FFFC5D74"/>
        <bgColor indexed="64"/>
      </patternFill>
    </fill>
    <fill>
      <patternFill patternType="solid">
        <fgColor rgb="FFFB5F77"/>
        <bgColor indexed="64"/>
      </patternFill>
    </fill>
    <fill>
      <patternFill patternType="solid">
        <fgColor rgb="FFFB617F"/>
        <bgColor indexed="64"/>
      </patternFill>
    </fill>
    <fill>
      <patternFill patternType="solid">
        <fgColor rgb="FFFA5E7D"/>
        <bgColor indexed="64"/>
      </patternFill>
    </fill>
    <fill>
      <patternFill patternType="solid">
        <fgColor rgb="FFFF5B7C"/>
        <bgColor indexed="64"/>
      </patternFill>
    </fill>
    <fill>
      <patternFill patternType="solid">
        <fgColor rgb="FFCC7086"/>
        <bgColor indexed="64"/>
      </patternFill>
    </fill>
    <fill>
      <patternFill patternType="solid">
        <fgColor rgb="FF916271"/>
        <bgColor indexed="64"/>
      </patternFill>
    </fill>
    <fill>
      <patternFill patternType="solid">
        <fgColor rgb="FFA76F80"/>
        <bgColor indexed="64"/>
      </patternFill>
    </fill>
    <fill>
      <patternFill patternType="solid">
        <fgColor rgb="FFFCFDFF"/>
        <bgColor indexed="64"/>
      </patternFill>
    </fill>
    <fill>
      <patternFill patternType="solid">
        <fgColor rgb="FFDDDADD"/>
        <bgColor indexed="64"/>
      </patternFill>
    </fill>
    <fill>
      <patternFill patternType="solid">
        <fgColor rgb="FF628AB2"/>
        <bgColor indexed="64"/>
      </patternFill>
    </fill>
    <fill>
      <patternFill patternType="solid">
        <fgColor rgb="FF39A0E8"/>
        <bgColor indexed="64"/>
      </patternFill>
    </fill>
    <fill>
      <patternFill patternType="solid">
        <fgColor rgb="FF46BAFE"/>
        <bgColor indexed="64"/>
      </patternFill>
    </fill>
    <fill>
      <patternFill patternType="solid">
        <fgColor rgb="FF42B2FA"/>
        <bgColor indexed="64"/>
      </patternFill>
    </fill>
    <fill>
      <patternFill patternType="solid">
        <fgColor rgb="FF44B3FC"/>
        <bgColor indexed="64"/>
      </patternFill>
    </fill>
    <fill>
      <patternFill patternType="solid">
        <fgColor rgb="FF41AEF6"/>
        <bgColor indexed="64"/>
      </patternFill>
    </fill>
    <fill>
      <patternFill patternType="solid">
        <fgColor rgb="FF42AFF7"/>
        <bgColor indexed="64"/>
      </patternFill>
    </fill>
    <fill>
      <patternFill patternType="solid">
        <fgColor rgb="FF6A9E97"/>
        <bgColor indexed="64"/>
      </patternFill>
    </fill>
    <fill>
      <patternFill patternType="solid">
        <fgColor rgb="FFC5BA24"/>
        <bgColor indexed="64"/>
      </patternFill>
    </fill>
    <fill>
      <patternFill patternType="solid">
        <fgColor rgb="FFEADD22"/>
        <bgColor indexed="64"/>
      </patternFill>
    </fill>
    <fill>
      <patternFill patternType="solid">
        <fgColor rgb="FFEFE422"/>
        <bgColor indexed="64"/>
      </patternFill>
    </fill>
    <fill>
      <patternFill patternType="solid">
        <fgColor rgb="FFFDF730"/>
        <bgColor indexed="64"/>
      </patternFill>
    </fill>
    <fill>
      <patternFill patternType="solid">
        <fgColor rgb="FFF8F639"/>
        <bgColor indexed="64"/>
      </patternFill>
    </fill>
    <fill>
      <patternFill patternType="solid">
        <fgColor rgb="FFE0DC31"/>
        <bgColor indexed="64"/>
      </patternFill>
    </fill>
    <fill>
      <patternFill patternType="solid">
        <fgColor rgb="FFF6F337"/>
        <bgColor indexed="64"/>
      </patternFill>
    </fill>
    <fill>
      <patternFill patternType="solid">
        <fgColor rgb="FFFBFA44"/>
        <bgColor indexed="64"/>
      </patternFill>
    </fill>
    <fill>
      <patternFill patternType="solid">
        <fgColor rgb="FFFFFF43"/>
        <bgColor indexed="64"/>
      </patternFill>
    </fill>
    <fill>
      <patternFill patternType="solid">
        <fgColor rgb="FFB4B431"/>
        <bgColor indexed="64"/>
      </patternFill>
    </fill>
    <fill>
      <patternFill patternType="solid">
        <fgColor rgb="FFBEBB2C"/>
        <bgColor indexed="64"/>
      </patternFill>
    </fill>
    <fill>
      <patternFill patternType="solid">
        <fgColor rgb="FFAEC34B"/>
        <bgColor indexed="64"/>
      </patternFill>
    </fill>
    <fill>
      <patternFill patternType="solid">
        <fgColor rgb="FF329CE7"/>
        <bgColor indexed="64"/>
      </patternFill>
    </fill>
    <fill>
      <patternFill patternType="solid">
        <fgColor rgb="FF38AEFB"/>
        <bgColor indexed="64"/>
      </patternFill>
    </fill>
    <fill>
      <patternFill patternType="solid">
        <fgColor rgb="FF36ABF7"/>
        <bgColor indexed="64"/>
      </patternFill>
    </fill>
    <fill>
      <patternFill patternType="solid">
        <fgColor rgb="FF33ABFB"/>
        <bgColor indexed="64"/>
      </patternFill>
    </fill>
    <fill>
      <patternFill patternType="solid">
        <fgColor rgb="FF30A8FB"/>
        <bgColor indexed="64"/>
      </patternFill>
    </fill>
    <fill>
      <patternFill patternType="solid">
        <fgColor rgb="FFD5BBC2"/>
        <bgColor indexed="64"/>
      </patternFill>
    </fill>
    <fill>
      <patternFill patternType="solid">
        <fgColor rgb="FFC84C64"/>
        <bgColor indexed="64"/>
      </patternFill>
    </fill>
    <fill>
      <patternFill patternType="solid">
        <fgColor rgb="FFFF6379"/>
        <bgColor indexed="64"/>
      </patternFill>
    </fill>
    <fill>
      <patternFill patternType="solid">
        <fgColor rgb="FFFF6279"/>
        <bgColor indexed="64"/>
      </patternFill>
    </fill>
    <fill>
      <patternFill patternType="solid">
        <fgColor rgb="FFFF5F77"/>
        <bgColor indexed="64"/>
      </patternFill>
    </fill>
    <fill>
      <patternFill patternType="solid">
        <fgColor rgb="FFFB5F79"/>
        <bgColor indexed="64"/>
      </patternFill>
    </fill>
    <fill>
      <patternFill patternType="solid">
        <fgColor rgb="FFFB6079"/>
        <bgColor indexed="64"/>
      </patternFill>
    </fill>
    <fill>
      <patternFill patternType="solid">
        <fgColor rgb="FFFB5E77"/>
        <bgColor indexed="64"/>
      </patternFill>
    </fill>
    <fill>
      <patternFill patternType="solid">
        <fgColor rgb="FFFA6380"/>
        <bgColor indexed="64"/>
      </patternFill>
    </fill>
    <fill>
      <patternFill patternType="solid">
        <fgColor rgb="FFFB6382"/>
        <bgColor indexed="64"/>
      </patternFill>
    </fill>
    <fill>
      <patternFill patternType="solid">
        <fgColor rgb="FFFA5F7E"/>
        <bgColor indexed="64"/>
      </patternFill>
    </fill>
    <fill>
      <patternFill patternType="solid">
        <fgColor rgb="FFFF6180"/>
        <bgColor indexed="64"/>
      </patternFill>
    </fill>
    <fill>
      <patternFill patternType="solid">
        <fgColor rgb="FFF25A77"/>
        <bgColor indexed="64"/>
      </patternFill>
    </fill>
    <fill>
      <patternFill patternType="solid">
        <fgColor rgb="FFE74F6E"/>
        <bgColor indexed="64"/>
      </patternFill>
    </fill>
    <fill>
      <patternFill patternType="solid">
        <fgColor rgb="FFBF7F8E"/>
        <bgColor indexed="64"/>
      </patternFill>
    </fill>
    <fill>
      <patternFill patternType="solid">
        <fgColor rgb="FF90828B"/>
        <bgColor indexed="64"/>
      </patternFill>
    </fill>
    <fill>
      <patternFill patternType="solid">
        <fgColor rgb="FFCCC2C7"/>
        <bgColor indexed="64"/>
      </patternFill>
    </fill>
    <fill>
      <patternFill patternType="solid">
        <fgColor rgb="FFECE7E5"/>
        <bgColor indexed="64"/>
      </patternFill>
    </fill>
    <fill>
      <patternFill patternType="solid">
        <fgColor rgb="FF9BACBF"/>
        <bgColor indexed="64"/>
      </patternFill>
    </fill>
    <fill>
      <patternFill patternType="solid">
        <fgColor rgb="FF468BC5"/>
        <bgColor indexed="64"/>
      </patternFill>
    </fill>
    <fill>
      <patternFill patternType="solid">
        <fgColor rgb="FF3CADF8"/>
        <bgColor indexed="64"/>
      </patternFill>
    </fill>
    <fill>
      <patternFill patternType="solid">
        <fgColor rgb="FF47B8FF"/>
        <bgColor indexed="64"/>
      </patternFill>
    </fill>
    <fill>
      <patternFill patternType="solid">
        <fgColor rgb="FF40B1FA"/>
        <bgColor indexed="64"/>
      </patternFill>
    </fill>
    <fill>
      <patternFill patternType="solid">
        <fgColor rgb="FF43B1FC"/>
        <bgColor indexed="64"/>
      </patternFill>
    </fill>
    <fill>
      <patternFill patternType="solid">
        <fgColor rgb="FF42B0FB"/>
        <bgColor indexed="64"/>
      </patternFill>
    </fill>
    <fill>
      <patternFill patternType="solid">
        <fgColor rgb="FF42B4FC"/>
        <bgColor indexed="64"/>
      </patternFill>
    </fill>
    <fill>
      <patternFill patternType="solid">
        <fgColor rgb="FF44B8FB"/>
        <bgColor indexed="64"/>
      </patternFill>
    </fill>
    <fill>
      <patternFill patternType="solid">
        <fgColor rgb="FF44B7FC"/>
        <bgColor indexed="64"/>
      </patternFill>
    </fill>
    <fill>
      <patternFill patternType="solid">
        <fgColor rgb="FF3EB2FF"/>
        <bgColor indexed="64"/>
      </patternFill>
    </fill>
    <fill>
      <patternFill patternType="solid">
        <fgColor rgb="FF4291C9"/>
        <bgColor indexed="64"/>
      </patternFill>
    </fill>
    <fill>
      <patternFill patternType="solid">
        <fgColor rgb="FF6F9A88"/>
        <bgColor indexed="64"/>
      </patternFill>
    </fill>
    <fill>
      <patternFill patternType="solid">
        <fgColor rgb="FF87AB80"/>
        <bgColor indexed="64"/>
      </patternFill>
    </fill>
    <fill>
      <patternFill patternType="solid">
        <fgColor rgb="FF8E9C4C"/>
        <bgColor indexed="64"/>
      </patternFill>
    </fill>
    <fill>
      <patternFill patternType="solid">
        <fgColor rgb="FFC3BC2B"/>
        <bgColor indexed="64"/>
      </patternFill>
    </fill>
    <fill>
      <patternFill patternType="solid">
        <fgColor rgb="FFF1EF38"/>
        <bgColor indexed="64"/>
      </patternFill>
    </fill>
    <fill>
      <patternFill patternType="solid">
        <fgColor rgb="FFFFFC39"/>
        <bgColor indexed="64"/>
      </patternFill>
    </fill>
    <fill>
      <patternFill patternType="solid">
        <fgColor rgb="FFFFFE3A"/>
        <bgColor indexed="64"/>
      </patternFill>
    </fill>
    <fill>
      <patternFill patternType="solid">
        <fgColor rgb="FFFFFE40"/>
        <bgColor indexed="64"/>
      </patternFill>
    </fill>
    <fill>
      <patternFill patternType="solid">
        <fgColor rgb="FFFEFE42"/>
        <bgColor indexed="64"/>
      </patternFill>
    </fill>
    <fill>
      <patternFill patternType="solid">
        <fgColor rgb="FFFDF935"/>
        <bgColor indexed="64"/>
      </patternFill>
    </fill>
    <fill>
      <patternFill patternType="solid">
        <fgColor rgb="FFA8A92B"/>
        <bgColor indexed="64"/>
      </patternFill>
    </fill>
    <fill>
      <patternFill patternType="solid">
        <fgColor rgb="FF4992A0"/>
        <bgColor indexed="64"/>
      </patternFill>
    </fill>
    <fill>
      <patternFill patternType="solid">
        <fgColor rgb="FF2EA6FA"/>
        <bgColor indexed="64"/>
      </patternFill>
    </fill>
    <fill>
      <patternFill patternType="solid">
        <fgColor rgb="FF2BA4FB"/>
        <bgColor indexed="64"/>
      </patternFill>
    </fill>
    <fill>
      <patternFill patternType="solid">
        <fgColor rgb="FFCEA3AB"/>
        <bgColor indexed="64"/>
      </patternFill>
    </fill>
    <fill>
      <patternFill patternType="solid">
        <fgColor rgb="FFDF4B63"/>
        <bgColor indexed="64"/>
      </patternFill>
    </fill>
    <fill>
      <patternFill patternType="solid">
        <fgColor rgb="FFFF6079"/>
        <bgColor indexed="64"/>
      </patternFill>
    </fill>
    <fill>
      <patternFill patternType="solid">
        <fgColor rgb="FFE65267"/>
        <bgColor indexed="64"/>
      </patternFill>
    </fill>
    <fill>
      <patternFill patternType="solid">
        <fgColor rgb="FFF1576C"/>
        <bgColor indexed="64"/>
      </patternFill>
    </fill>
    <fill>
      <patternFill patternType="solid">
        <fgColor rgb="FFFA5F80"/>
        <bgColor indexed="64"/>
      </patternFill>
    </fill>
    <fill>
      <patternFill patternType="solid">
        <fgColor rgb="FFFD6282"/>
        <bgColor indexed="64"/>
      </patternFill>
    </fill>
    <fill>
      <patternFill patternType="solid">
        <fgColor rgb="FFFE6282"/>
        <bgColor indexed="64"/>
      </patternFill>
    </fill>
    <fill>
      <patternFill patternType="solid">
        <fgColor rgb="FFF95E7F"/>
        <bgColor indexed="64"/>
      </patternFill>
    </fill>
    <fill>
      <patternFill patternType="solid">
        <fgColor rgb="FFFD6181"/>
        <bgColor indexed="64"/>
      </patternFill>
    </fill>
    <fill>
      <patternFill patternType="solid">
        <fgColor rgb="FFE2526C"/>
        <bgColor indexed="64"/>
      </patternFill>
    </fill>
    <fill>
      <patternFill patternType="solid">
        <fgColor rgb="FFF55D7B"/>
        <bgColor indexed="64"/>
      </patternFill>
    </fill>
    <fill>
      <patternFill patternType="solid">
        <fgColor rgb="FFD84C6A"/>
        <bgColor indexed="64"/>
      </patternFill>
    </fill>
    <fill>
      <patternFill patternType="solid">
        <fgColor rgb="FFB295A2"/>
        <bgColor indexed="64"/>
      </patternFill>
    </fill>
    <fill>
      <patternFill patternType="solid">
        <fgColor rgb="FFB9B4BC"/>
        <bgColor indexed="64"/>
      </patternFill>
    </fill>
    <fill>
      <patternFill patternType="solid">
        <fgColor rgb="FFFFFFFA"/>
        <bgColor indexed="64"/>
      </patternFill>
    </fill>
    <fill>
      <patternFill patternType="solid">
        <fgColor rgb="FFF0ECEB"/>
        <bgColor indexed="64"/>
      </patternFill>
    </fill>
    <fill>
      <patternFill patternType="solid">
        <fgColor rgb="FFC1C7D1"/>
        <bgColor indexed="64"/>
      </patternFill>
    </fill>
    <fill>
      <patternFill patternType="solid">
        <fgColor rgb="FF829BBB"/>
        <bgColor indexed="64"/>
      </patternFill>
    </fill>
    <fill>
      <patternFill patternType="solid">
        <fgColor rgb="FF4A8BC3"/>
        <bgColor indexed="64"/>
      </patternFill>
    </fill>
    <fill>
      <patternFill patternType="solid">
        <fgColor rgb="FF359BE5"/>
        <bgColor indexed="64"/>
      </patternFill>
    </fill>
    <fill>
      <patternFill patternType="solid">
        <fgColor rgb="FF40B0FA"/>
        <bgColor indexed="64"/>
      </patternFill>
    </fill>
    <fill>
      <patternFill patternType="solid">
        <fgColor rgb="FF3FB0FA"/>
        <bgColor indexed="64"/>
      </patternFill>
    </fill>
    <fill>
      <patternFill patternType="solid">
        <fgColor rgb="FF42B3F9"/>
        <bgColor indexed="64"/>
      </patternFill>
    </fill>
    <fill>
      <patternFill patternType="solid">
        <fgColor rgb="FF44B9FC"/>
        <bgColor indexed="64"/>
      </patternFill>
    </fill>
    <fill>
      <patternFill patternType="solid">
        <fgColor rgb="FF399BE2"/>
        <bgColor indexed="64"/>
      </patternFill>
    </fill>
    <fill>
      <patternFill patternType="solid">
        <fgColor rgb="FF428CB8"/>
        <bgColor indexed="64"/>
      </patternFill>
    </fill>
    <fill>
      <patternFill patternType="solid">
        <fgColor rgb="FF4F9FBE"/>
        <bgColor indexed="64"/>
      </patternFill>
    </fill>
    <fill>
      <patternFill patternType="solid">
        <fgColor rgb="FF559AB2"/>
        <bgColor indexed="64"/>
      </patternFill>
    </fill>
    <fill>
      <patternFill patternType="solid">
        <fgColor rgb="FF96A758"/>
        <bgColor indexed="64"/>
      </patternFill>
    </fill>
    <fill>
      <patternFill patternType="solid">
        <fgColor rgb="FFF8F83D"/>
        <bgColor indexed="64"/>
      </patternFill>
    </fill>
    <fill>
      <patternFill patternType="solid">
        <fgColor rgb="FFFCFC3A"/>
        <bgColor indexed="64"/>
      </patternFill>
    </fill>
    <fill>
      <patternFill patternType="solid">
        <fgColor rgb="FFFFFF3A"/>
        <bgColor indexed="64"/>
      </patternFill>
    </fill>
    <fill>
      <patternFill patternType="solid">
        <fgColor rgb="FFEFEC39"/>
        <bgColor indexed="64"/>
      </patternFill>
    </fill>
    <fill>
      <patternFill patternType="solid">
        <fgColor rgb="FFF5F237"/>
        <bgColor indexed="64"/>
      </patternFill>
    </fill>
    <fill>
      <patternFill patternType="solid">
        <fgColor rgb="FFFCFA40"/>
        <bgColor indexed="64"/>
      </patternFill>
    </fill>
    <fill>
      <patternFill patternType="solid">
        <fgColor rgb="FFDBDB39"/>
        <bgColor indexed="64"/>
      </patternFill>
    </fill>
    <fill>
      <patternFill patternType="solid">
        <fgColor rgb="FFFEFA31"/>
        <bgColor indexed="64"/>
      </patternFill>
    </fill>
    <fill>
      <patternFill patternType="solid">
        <fgColor rgb="FF81A96D"/>
        <bgColor indexed="64"/>
      </patternFill>
    </fill>
    <fill>
      <patternFill patternType="solid">
        <fgColor rgb="FF87AC70"/>
        <bgColor indexed="64"/>
      </patternFill>
    </fill>
    <fill>
      <patternFill patternType="solid">
        <fgColor rgb="FFA6B644"/>
        <bgColor indexed="64"/>
      </patternFill>
    </fill>
    <fill>
      <patternFill patternType="solid">
        <fgColor rgb="FF2D9EED"/>
        <bgColor indexed="64"/>
      </patternFill>
    </fill>
    <fill>
      <patternFill patternType="solid">
        <fgColor rgb="FF37AFFD"/>
        <bgColor indexed="64"/>
      </patternFill>
    </fill>
    <fill>
      <patternFill patternType="solid">
        <fgColor rgb="FF35ABFA"/>
        <bgColor indexed="64"/>
      </patternFill>
    </fill>
    <fill>
      <patternFill patternType="solid">
        <fgColor rgb="FF30A9FA"/>
        <bgColor indexed="64"/>
      </patternFill>
    </fill>
    <fill>
      <patternFill patternType="solid">
        <fgColor rgb="FF2FA8FB"/>
        <bgColor indexed="64"/>
      </patternFill>
    </fill>
    <fill>
      <patternFill patternType="solid">
        <fgColor rgb="FF2BA4FC"/>
        <bgColor indexed="64"/>
      </patternFill>
    </fill>
    <fill>
      <patternFill patternType="solid">
        <fgColor rgb="FFFEFCFC"/>
        <bgColor indexed="64"/>
      </patternFill>
    </fill>
    <fill>
      <patternFill patternType="solid">
        <fgColor rgb="FFD9AEB6"/>
        <bgColor indexed="64"/>
      </patternFill>
    </fill>
    <fill>
      <patternFill patternType="solid">
        <fgColor rgb="FFE3596B"/>
        <bgColor indexed="64"/>
      </patternFill>
    </fill>
    <fill>
      <patternFill patternType="solid">
        <fgColor rgb="FFE35266"/>
        <bgColor indexed="64"/>
      </patternFill>
    </fill>
    <fill>
      <patternFill patternType="solid">
        <fgColor rgb="FFE35068"/>
        <bgColor indexed="64"/>
      </patternFill>
    </fill>
    <fill>
      <patternFill patternType="solid">
        <fgColor rgb="FFFF6077"/>
        <bgColor indexed="64"/>
      </patternFill>
    </fill>
    <fill>
      <patternFill patternType="solid">
        <fgColor rgb="FFFA5C75"/>
        <bgColor indexed="64"/>
      </patternFill>
    </fill>
    <fill>
      <patternFill patternType="solid">
        <fgColor rgb="FFFA5D76"/>
        <bgColor indexed="64"/>
      </patternFill>
    </fill>
    <fill>
      <patternFill patternType="solid">
        <fgColor rgb="FFFA5C76"/>
        <bgColor indexed="64"/>
      </patternFill>
    </fill>
    <fill>
      <patternFill patternType="solid">
        <fgColor rgb="FFFC5F7B"/>
        <bgColor indexed="64"/>
      </patternFill>
    </fill>
    <fill>
      <patternFill patternType="solid">
        <fgColor rgb="FFF85D79"/>
        <bgColor indexed="64"/>
      </patternFill>
    </fill>
    <fill>
      <patternFill patternType="solid">
        <fgColor rgb="FFF95E7E"/>
        <bgColor indexed="64"/>
      </patternFill>
    </fill>
    <fill>
      <patternFill patternType="solid">
        <fgColor rgb="FFFE6283"/>
        <bgColor indexed="64"/>
      </patternFill>
    </fill>
    <fill>
      <patternFill patternType="solid">
        <fgColor rgb="FFE55772"/>
        <bgColor indexed="64"/>
      </patternFill>
    </fill>
    <fill>
      <patternFill patternType="solid">
        <fgColor rgb="FFC6475E"/>
        <bgColor indexed="64"/>
      </patternFill>
    </fill>
    <fill>
      <patternFill patternType="solid">
        <fgColor rgb="FFFF6687"/>
        <bgColor indexed="64"/>
      </patternFill>
    </fill>
    <fill>
      <patternFill patternType="solid">
        <fgColor rgb="FFF65A79"/>
        <bgColor indexed="64"/>
      </patternFill>
    </fill>
    <fill>
      <patternFill patternType="solid">
        <fgColor rgb="FFAE3C51"/>
        <bgColor indexed="64"/>
      </patternFill>
    </fill>
    <fill>
      <patternFill patternType="solid">
        <fgColor rgb="FFDD516A"/>
        <bgColor indexed="64"/>
      </patternFill>
    </fill>
    <fill>
      <patternFill patternType="solid">
        <fgColor rgb="FFB04D64"/>
        <bgColor indexed="64"/>
      </patternFill>
    </fill>
    <fill>
      <patternFill patternType="solid">
        <fgColor rgb="FFE1E0E2"/>
        <bgColor indexed="64"/>
      </patternFill>
    </fill>
    <fill>
      <patternFill patternType="solid">
        <fgColor rgb="FFD8D6DA"/>
        <bgColor indexed="64"/>
      </patternFill>
    </fill>
    <fill>
      <patternFill patternType="solid">
        <fgColor rgb="FFFAF9FA"/>
        <bgColor indexed="64"/>
      </patternFill>
    </fill>
    <fill>
      <patternFill patternType="solid">
        <fgColor rgb="FFB9BBBF"/>
        <bgColor indexed="64"/>
      </patternFill>
    </fill>
    <fill>
      <patternFill patternType="solid">
        <fgColor rgb="FF869CB5"/>
        <bgColor indexed="64"/>
      </patternFill>
    </fill>
    <fill>
      <patternFill patternType="solid">
        <fgColor rgb="FF7DA0C5"/>
        <bgColor indexed="64"/>
      </patternFill>
    </fill>
    <fill>
      <patternFill patternType="solid">
        <fgColor rgb="FF719EC8"/>
        <bgColor indexed="64"/>
      </patternFill>
    </fill>
    <fill>
      <patternFill patternType="solid">
        <fgColor rgb="FF5399D3"/>
        <bgColor indexed="64"/>
      </patternFill>
    </fill>
    <fill>
      <patternFill patternType="solid">
        <fgColor rgb="FF34A3F2"/>
        <bgColor indexed="64"/>
      </patternFill>
    </fill>
    <fill>
      <patternFill patternType="solid">
        <fgColor rgb="FF45B6FF"/>
        <bgColor indexed="64"/>
      </patternFill>
    </fill>
    <fill>
      <patternFill patternType="solid">
        <fgColor rgb="FF40AFF9"/>
        <bgColor indexed="64"/>
      </patternFill>
    </fill>
    <fill>
      <patternFill patternType="solid">
        <fgColor rgb="FF3FB0FB"/>
        <bgColor indexed="64"/>
      </patternFill>
    </fill>
    <fill>
      <patternFill patternType="solid">
        <fgColor rgb="FF41B1FA"/>
        <bgColor indexed="64"/>
      </patternFill>
    </fill>
    <fill>
      <patternFill patternType="solid">
        <fgColor rgb="FF40B0FB"/>
        <bgColor indexed="64"/>
      </patternFill>
    </fill>
    <fill>
      <patternFill patternType="solid">
        <fgColor rgb="FF41B0FA"/>
        <bgColor indexed="64"/>
      </patternFill>
    </fill>
    <fill>
      <patternFill patternType="solid">
        <fgColor rgb="FF43B6FB"/>
        <bgColor indexed="64"/>
      </patternFill>
    </fill>
    <fill>
      <patternFill patternType="solid">
        <fgColor rgb="FF3EADF5"/>
        <bgColor indexed="64"/>
      </patternFill>
    </fill>
    <fill>
      <patternFill patternType="solid">
        <fgColor rgb="FF4085B6"/>
        <bgColor indexed="64"/>
      </patternFill>
    </fill>
    <fill>
      <patternFill patternType="solid">
        <fgColor rgb="FF697B51"/>
        <bgColor indexed="64"/>
      </patternFill>
    </fill>
    <fill>
      <patternFill patternType="solid">
        <fgColor rgb="FFA9A124"/>
        <bgColor indexed="64"/>
      </patternFill>
    </fill>
    <fill>
      <patternFill patternType="solid">
        <fgColor rgb="FFD1C520"/>
        <bgColor indexed="64"/>
      </patternFill>
    </fill>
    <fill>
      <patternFill patternType="solid">
        <fgColor rgb="FFD9CD20"/>
        <bgColor indexed="64"/>
      </patternFill>
    </fill>
    <fill>
      <patternFill patternType="solid">
        <fgColor rgb="FFD1C725"/>
        <bgColor indexed="64"/>
      </patternFill>
    </fill>
    <fill>
      <patternFill patternType="solid">
        <fgColor rgb="FFE1DF35"/>
        <bgColor indexed="64"/>
      </patternFill>
    </fill>
    <fill>
      <patternFill patternType="solid">
        <fgColor rgb="FFEBE734"/>
        <bgColor indexed="64"/>
      </patternFill>
    </fill>
    <fill>
      <patternFill patternType="solid">
        <fgColor rgb="FFF2F138"/>
        <bgColor indexed="64"/>
      </patternFill>
    </fill>
    <fill>
      <patternFill patternType="solid">
        <fgColor rgb="FFEDEC36"/>
        <bgColor indexed="64"/>
      </patternFill>
    </fill>
    <fill>
      <patternFill patternType="solid">
        <fgColor rgb="FFE3E135"/>
        <bgColor indexed="64"/>
      </patternFill>
    </fill>
    <fill>
      <patternFill patternType="solid">
        <fgColor rgb="FFE9E738"/>
        <bgColor indexed="64"/>
      </patternFill>
    </fill>
    <fill>
      <patternFill patternType="solid">
        <fgColor rgb="FFF6F53C"/>
        <bgColor indexed="64"/>
      </patternFill>
    </fill>
    <fill>
      <patternFill patternType="solid">
        <fgColor rgb="FFECEB3E"/>
        <bgColor indexed="64"/>
      </patternFill>
    </fill>
    <fill>
      <patternFill patternType="solid">
        <fgColor rgb="FFBBB62B"/>
        <bgColor indexed="64"/>
      </patternFill>
    </fill>
    <fill>
      <patternFill patternType="solid">
        <fgColor rgb="FF92B872"/>
        <bgColor indexed="64"/>
      </patternFill>
    </fill>
    <fill>
      <patternFill patternType="solid">
        <fgColor rgb="FF269FF8"/>
        <bgColor indexed="64"/>
      </patternFill>
    </fill>
    <fill>
      <patternFill patternType="solid">
        <fgColor rgb="FF5EA3A5"/>
        <bgColor indexed="64"/>
      </patternFill>
    </fill>
    <fill>
      <patternFill patternType="solid">
        <fgColor rgb="FF7FA15F"/>
        <bgColor indexed="64"/>
      </patternFill>
    </fill>
    <fill>
      <patternFill patternType="solid">
        <fgColor rgb="FF32A9FE"/>
        <bgColor indexed="64"/>
      </patternFill>
    </fill>
    <fill>
      <patternFill patternType="solid">
        <fgColor rgb="FFF5F5F4"/>
        <bgColor indexed="64"/>
      </patternFill>
    </fill>
    <fill>
      <patternFill patternType="solid">
        <fgColor rgb="FFACA6A6"/>
        <bgColor indexed="64"/>
      </patternFill>
    </fill>
    <fill>
      <patternFill patternType="solid">
        <fgColor rgb="FFC7A1A2"/>
        <bgColor indexed="64"/>
      </patternFill>
    </fill>
    <fill>
      <patternFill patternType="solid">
        <fgColor rgb="FF8B4049"/>
        <bgColor indexed="64"/>
      </patternFill>
    </fill>
    <fill>
      <patternFill patternType="solid">
        <fgColor rgb="FFC6475B"/>
        <bgColor indexed="64"/>
      </patternFill>
    </fill>
    <fill>
      <patternFill patternType="solid">
        <fgColor rgb="FFE75569"/>
        <bgColor indexed="64"/>
      </patternFill>
    </fill>
    <fill>
      <patternFill patternType="solid">
        <fgColor rgb="FFE55166"/>
        <bgColor indexed="64"/>
      </patternFill>
    </fill>
    <fill>
      <patternFill patternType="solid">
        <fgColor rgb="FFFA5F76"/>
        <bgColor indexed="64"/>
      </patternFill>
    </fill>
    <fill>
      <patternFill patternType="solid">
        <fgColor rgb="FFF95C77"/>
        <bgColor indexed="64"/>
      </patternFill>
    </fill>
    <fill>
      <patternFill patternType="solid">
        <fgColor rgb="FFF95D7A"/>
        <bgColor indexed="64"/>
      </patternFill>
    </fill>
    <fill>
      <patternFill patternType="solid">
        <fgColor rgb="FFF85C77"/>
        <bgColor indexed="64"/>
      </patternFill>
    </fill>
    <fill>
      <patternFill patternType="solid">
        <fgColor rgb="FFE34D69"/>
        <bgColor indexed="64"/>
      </patternFill>
    </fill>
    <fill>
      <patternFill patternType="solid">
        <fgColor rgb="FFF35878"/>
        <bgColor indexed="64"/>
      </patternFill>
    </fill>
    <fill>
      <patternFill patternType="solid">
        <fgColor rgb="FFA3364B"/>
        <bgColor indexed="64"/>
      </patternFill>
    </fill>
    <fill>
      <patternFill patternType="solid">
        <fgColor rgb="FFDA5472"/>
        <bgColor indexed="64"/>
      </patternFill>
    </fill>
    <fill>
      <patternFill patternType="solid">
        <fgColor rgb="FFE0536A"/>
        <bgColor indexed="64"/>
      </patternFill>
    </fill>
    <fill>
      <patternFill patternType="solid">
        <fgColor rgb="FFD54D65"/>
        <bgColor indexed="64"/>
      </patternFill>
    </fill>
    <fill>
      <patternFill patternType="solid">
        <fgColor rgb="FFEC5973"/>
        <bgColor indexed="64"/>
      </patternFill>
    </fill>
    <fill>
      <patternFill patternType="solid">
        <fgColor rgb="FFC04761"/>
        <bgColor indexed="64"/>
      </patternFill>
    </fill>
    <fill>
      <patternFill patternType="solid">
        <fgColor rgb="FFD5496A"/>
        <bgColor indexed="64"/>
      </patternFill>
    </fill>
    <fill>
      <patternFill patternType="solid">
        <fgColor rgb="FFBC96A5"/>
        <bgColor indexed="64"/>
      </patternFill>
    </fill>
    <fill>
      <patternFill patternType="solid">
        <fgColor rgb="FFF4F3F3"/>
        <bgColor indexed="64"/>
      </patternFill>
    </fill>
    <fill>
      <patternFill patternType="solid">
        <fgColor rgb="FFC4C7D2"/>
        <bgColor indexed="64"/>
      </patternFill>
    </fill>
    <fill>
      <patternFill patternType="solid">
        <fgColor rgb="FF3B70A5"/>
        <bgColor indexed="64"/>
      </patternFill>
    </fill>
    <fill>
      <patternFill patternType="solid">
        <fgColor rgb="FF35A6F2"/>
        <bgColor indexed="64"/>
      </patternFill>
    </fill>
    <fill>
      <patternFill patternType="solid">
        <fgColor rgb="FF3DB0FE"/>
        <bgColor indexed="64"/>
      </patternFill>
    </fill>
    <fill>
      <patternFill patternType="solid">
        <fgColor rgb="FF45B7FF"/>
        <bgColor indexed="64"/>
      </patternFill>
    </fill>
    <fill>
      <patternFill patternType="solid">
        <fgColor rgb="FF45B3FC"/>
        <bgColor indexed="64"/>
      </patternFill>
    </fill>
    <fill>
      <patternFill patternType="solid">
        <fgColor rgb="FF42B0F9"/>
        <bgColor indexed="64"/>
      </patternFill>
    </fill>
    <fill>
      <patternFill patternType="solid">
        <fgColor rgb="FF41B1FC"/>
        <bgColor indexed="64"/>
      </patternFill>
    </fill>
    <fill>
      <patternFill patternType="solid">
        <fgColor rgb="FF42B5FD"/>
        <bgColor indexed="64"/>
      </patternFill>
    </fill>
    <fill>
      <patternFill patternType="solid">
        <fgColor rgb="FF41B9FF"/>
        <bgColor indexed="64"/>
      </patternFill>
    </fill>
    <fill>
      <patternFill patternType="solid">
        <fgColor rgb="FF3182CD"/>
        <bgColor indexed="64"/>
      </patternFill>
    </fill>
    <fill>
      <patternFill patternType="solid">
        <fgColor rgb="FF306BA3"/>
        <bgColor indexed="64"/>
      </patternFill>
    </fill>
    <fill>
      <patternFill patternType="solid">
        <fgColor rgb="FF4B7F93"/>
        <bgColor indexed="64"/>
      </patternFill>
    </fill>
    <fill>
      <patternFill patternType="solid">
        <fgColor rgb="FF4F849A"/>
        <bgColor indexed="64"/>
      </patternFill>
    </fill>
    <fill>
      <patternFill patternType="solid">
        <fgColor rgb="FFA7B04B"/>
        <bgColor indexed="64"/>
      </patternFill>
    </fill>
    <fill>
      <patternFill patternType="solid">
        <fgColor rgb="FFE5E032"/>
        <bgColor indexed="64"/>
      </patternFill>
    </fill>
    <fill>
      <patternFill patternType="solid">
        <fgColor rgb="FFE5E336"/>
        <bgColor indexed="64"/>
      </patternFill>
    </fill>
    <fill>
      <patternFill patternType="solid">
        <fgColor rgb="FFD2CF32"/>
        <bgColor indexed="64"/>
      </patternFill>
    </fill>
    <fill>
      <patternFill patternType="solid">
        <fgColor rgb="FFF0F13B"/>
        <bgColor indexed="64"/>
      </patternFill>
    </fill>
    <fill>
      <patternFill patternType="solid">
        <fgColor rgb="FFE1DD34"/>
        <bgColor indexed="64"/>
      </patternFill>
    </fill>
    <fill>
      <patternFill patternType="solid">
        <fgColor rgb="FFEDEA33"/>
        <bgColor indexed="64"/>
      </patternFill>
    </fill>
    <fill>
      <patternFill patternType="solid">
        <fgColor rgb="FFB5B32B"/>
        <bgColor indexed="64"/>
      </patternFill>
    </fill>
    <fill>
      <patternFill patternType="solid">
        <fgColor rgb="FFFCFB3C"/>
        <bgColor indexed="64"/>
      </patternFill>
    </fill>
    <fill>
      <patternFill patternType="solid">
        <fgColor rgb="FFBDB923"/>
        <bgColor indexed="64"/>
      </patternFill>
    </fill>
    <fill>
      <patternFill patternType="solid">
        <fgColor rgb="FF93A24A"/>
        <bgColor indexed="64"/>
      </patternFill>
    </fill>
    <fill>
      <patternFill patternType="solid">
        <fgColor rgb="FF3DA3E0"/>
        <bgColor indexed="64"/>
      </patternFill>
    </fill>
    <fill>
      <patternFill patternType="solid">
        <fgColor rgb="FF3DB8FF"/>
        <bgColor indexed="64"/>
      </patternFill>
    </fill>
    <fill>
      <patternFill patternType="solid">
        <fgColor rgb="FF359BE4"/>
        <bgColor indexed="64"/>
      </patternFill>
    </fill>
    <fill>
      <patternFill patternType="solid">
        <fgColor rgb="FF367DA7"/>
        <bgColor indexed="64"/>
      </patternFill>
    </fill>
    <fill>
      <patternFill patternType="solid">
        <fgColor rgb="FF38ADFA"/>
        <bgColor indexed="64"/>
      </patternFill>
    </fill>
    <fill>
      <patternFill patternType="solid">
        <fgColor rgb="FFE1DDDF"/>
        <bgColor indexed="64"/>
      </patternFill>
    </fill>
    <fill>
      <patternFill patternType="solid">
        <fgColor rgb="FFBD7E8C"/>
        <bgColor indexed="64"/>
      </patternFill>
    </fill>
    <fill>
      <patternFill patternType="solid">
        <fgColor rgb="FFBC4A61"/>
        <bgColor indexed="64"/>
      </patternFill>
    </fill>
    <fill>
      <patternFill patternType="solid">
        <fgColor rgb="FFB43950"/>
        <bgColor indexed="64"/>
      </patternFill>
    </fill>
    <fill>
      <patternFill patternType="solid">
        <fgColor rgb="FFC53851"/>
        <bgColor indexed="64"/>
      </patternFill>
    </fill>
    <fill>
      <patternFill patternType="solid">
        <fgColor rgb="FFE44763"/>
        <bgColor indexed="64"/>
      </patternFill>
    </fill>
    <fill>
      <patternFill patternType="solid">
        <fgColor rgb="FFEF5267"/>
        <bgColor indexed="64"/>
      </patternFill>
    </fill>
    <fill>
      <patternFill patternType="solid">
        <fgColor rgb="FFF1596F"/>
        <bgColor indexed="64"/>
      </patternFill>
    </fill>
    <fill>
      <patternFill patternType="solid">
        <fgColor rgb="FFFD5E78"/>
        <bgColor indexed="64"/>
      </patternFill>
    </fill>
    <fill>
      <patternFill patternType="solid">
        <fgColor rgb="FFF95972"/>
        <bgColor indexed="64"/>
      </patternFill>
    </fill>
    <fill>
      <patternFill patternType="solid">
        <fgColor rgb="FFFD5B74"/>
        <bgColor indexed="64"/>
      </patternFill>
    </fill>
    <fill>
      <patternFill patternType="solid">
        <fgColor rgb="FFFF5C78"/>
        <bgColor indexed="64"/>
      </patternFill>
    </fill>
    <fill>
      <patternFill patternType="solid">
        <fgColor rgb="FFFF6280"/>
        <bgColor indexed="64"/>
      </patternFill>
    </fill>
    <fill>
      <patternFill patternType="solid">
        <fgColor rgb="FFE7516B"/>
        <bgColor indexed="64"/>
      </patternFill>
    </fill>
    <fill>
      <patternFill patternType="solid">
        <fgColor rgb="FFE8536D"/>
        <bgColor indexed="64"/>
      </patternFill>
    </fill>
    <fill>
      <patternFill patternType="solid">
        <fgColor rgb="FFD94961"/>
        <bgColor indexed="64"/>
      </patternFill>
    </fill>
    <fill>
      <patternFill patternType="solid">
        <fgColor rgb="FFD14864"/>
        <bgColor indexed="64"/>
      </patternFill>
    </fill>
    <fill>
      <patternFill patternType="solid">
        <fgColor rgb="FFF5607F"/>
        <bgColor indexed="64"/>
      </patternFill>
    </fill>
    <fill>
      <patternFill patternType="solid">
        <fgColor rgb="FFFF6784"/>
        <bgColor indexed="64"/>
      </patternFill>
    </fill>
    <fill>
      <patternFill patternType="solid">
        <fgColor rgb="FFB53E50"/>
        <bgColor indexed="64"/>
      </patternFill>
    </fill>
    <fill>
      <patternFill patternType="solid">
        <fgColor rgb="FFBF4966"/>
        <bgColor indexed="64"/>
      </patternFill>
    </fill>
    <fill>
      <patternFill patternType="solid">
        <fgColor rgb="FFFF6786"/>
        <bgColor indexed="64"/>
      </patternFill>
    </fill>
    <fill>
      <patternFill patternType="solid">
        <fgColor rgb="FF8E3346"/>
        <bgColor indexed="64"/>
      </patternFill>
    </fill>
    <fill>
      <patternFill patternType="solid">
        <fgColor rgb="FFBD405B"/>
        <bgColor indexed="64"/>
      </patternFill>
    </fill>
    <fill>
      <patternFill patternType="solid">
        <fgColor rgb="FFC2536E"/>
        <bgColor indexed="64"/>
      </patternFill>
    </fill>
    <fill>
      <patternFill patternType="solid">
        <fgColor rgb="FFCF4E69"/>
        <bgColor indexed="64"/>
      </patternFill>
    </fill>
    <fill>
      <patternFill patternType="solid">
        <fgColor rgb="FFC47088"/>
        <bgColor indexed="64"/>
      </patternFill>
    </fill>
    <fill>
      <patternFill patternType="solid">
        <fgColor rgb="FFF3F4F6"/>
        <bgColor indexed="64"/>
      </patternFill>
    </fill>
    <fill>
      <patternFill patternType="solid">
        <fgColor rgb="FF3E719F"/>
        <bgColor indexed="64"/>
      </patternFill>
    </fill>
    <fill>
      <patternFill patternType="solid">
        <fgColor rgb="FF4AB5FA"/>
        <bgColor indexed="64"/>
      </patternFill>
    </fill>
    <fill>
      <patternFill patternType="solid">
        <fgColor rgb="FF44AFF9"/>
        <bgColor indexed="64"/>
      </patternFill>
    </fill>
    <fill>
      <patternFill patternType="solid">
        <fgColor rgb="FF42AEF9"/>
        <bgColor indexed="64"/>
      </patternFill>
    </fill>
    <fill>
      <patternFill patternType="solid">
        <fgColor rgb="FF42B1FB"/>
        <bgColor indexed="64"/>
      </patternFill>
    </fill>
    <fill>
      <patternFill patternType="solid">
        <fgColor rgb="FF42B3FC"/>
        <bgColor indexed="64"/>
      </patternFill>
    </fill>
    <fill>
      <patternFill patternType="solid">
        <fgColor rgb="FF41AFFB"/>
        <bgColor indexed="64"/>
      </patternFill>
    </fill>
    <fill>
      <patternFill patternType="solid">
        <fgColor rgb="FF42B1FA"/>
        <bgColor indexed="64"/>
      </patternFill>
    </fill>
    <fill>
      <patternFill patternType="solid">
        <fgColor rgb="FF40B0F8"/>
        <bgColor indexed="64"/>
      </patternFill>
    </fill>
    <fill>
      <patternFill patternType="solid">
        <fgColor rgb="FF44BAFD"/>
        <bgColor indexed="64"/>
      </patternFill>
    </fill>
    <fill>
      <patternFill patternType="solid">
        <fgColor rgb="FF46BCFF"/>
        <bgColor indexed="64"/>
      </patternFill>
    </fill>
    <fill>
      <patternFill patternType="solid">
        <fgColor rgb="FF3FABF8"/>
        <bgColor indexed="64"/>
      </patternFill>
    </fill>
    <fill>
      <patternFill patternType="solid">
        <fgColor rgb="FF4096CC"/>
        <bgColor indexed="64"/>
      </patternFill>
    </fill>
    <fill>
      <patternFill patternType="solid">
        <fgColor rgb="FF718B63"/>
        <bgColor indexed="64"/>
      </patternFill>
    </fill>
    <fill>
      <patternFill patternType="solid">
        <fgColor rgb="FFC8BE23"/>
        <bgColor indexed="64"/>
      </patternFill>
    </fill>
    <fill>
      <patternFill patternType="solid">
        <fgColor rgb="FFD8D431"/>
        <bgColor indexed="64"/>
      </patternFill>
    </fill>
    <fill>
      <patternFill patternType="solid">
        <fgColor rgb="FFC3C232"/>
        <bgColor indexed="64"/>
      </patternFill>
    </fill>
    <fill>
      <patternFill patternType="solid">
        <fgColor rgb="FF8D8923"/>
        <bgColor indexed="64"/>
      </patternFill>
    </fill>
    <fill>
      <patternFill patternType="solid">
        <fgColor rgb="FFB7B42D"/>
        <bgColor indexed="64"/>
      </patternFill>
    </fill>
    <fill>
      <patternFill patternType="solid">
        <fgColor rgb="FFDAD129"/>
        <bgColor indexed="64"/>
      </patternFill>
    </fill>
    <fill>
      <patternFill patternType="solid">
        <fgColor rgb="FFD4D538"/>
        <bgColor indexed="64"/>
      </patternFill>
    </fill>
    <fill>
      <patternFill patternType="solid">
        <fgColor rgb="FF959F3F"/>
        <bgColor indexed="64"/>
      </patternFill>
    </fill>
    <fill>
      <patternFill patternType="solid">
        <fgColor rgb="FF85954E"/>
        <bgColor indexed="64"/>
      </patternFill>
    </fill>
    <fill>
      <patternFill patternType="solid">
        <fgColor rgb="FF97A84A"/>
        <bgColor indexed="64"/>
      </patternFill>
    </fill>
    <fill>
      <patternFill patternType="solid">
        <fgColor rgb="FFCDCD33"/>
        <bgColor indexed="64"/>
      </patternFill>
    </fill>
    <fill>
      <patternFill patternType="solid">
        <fgColor rgb="FF4F6858"/>
        <bgColor indexed="64"/>
      </patternFill>
    </fill>
    <fill>
      <patternFill patternType="solid">
        <fgColor rgb="FF639A92"/>
        <bgColor indexed="64"/>
      </patternFill>
    </fill>
    <fill>
      <patternFill patternType="solid">
        <fgColor rgb="FF37AFFF"/>
        <bgColor indexed="64"/>
      </patternFill>
    </fill>
    <fill>
      <patternFill patternType="solid">
        <fgColor rgb="FF38AEFD"/>
        <bgColor indexed="64"/>
      </patternFill>
    </fill>
    <fill>
      <patternFill patternType="solid">
        <fgColor rgb="FF31A5FA"/>
        <bgColor indexed="64"/>
      </patternFill>
    </fill>
    <fill>
      <patternFill patternType="solid">
        <fgColor rgb="FF31A9F9"/>
        <bgColor indexed="64"/>
      </patternFill>
    </fill>
    <fill>
      <patternFill patternType="solid">
        <fgColor rgb="FFF1E8EC"/>
        <bgColor indexed="64"/>
      </patternFill>
    </fill>
    <fill>
      <patternFill patternType="solid">
        <fgColor rgb="FFE7CED9"/>
        <bgColor indexed="64"/>
      </patternFill>
    </fill>
    <fill>
      <patternFill patternType="solid">
        <fgColor rgb="FFDAAFBE"/>
        <bgColor indexed="64"/>
      </patternFill>
    </fill>
    <fill>
      <patternFill patternType="solid">
        <fgColor rgb="FFCD92A1"/>
        <bgColor indexed="64"/>
      </patternFill>
    </fill>
    <fill>
      <patternFill patternType="solid">
        <fgColor rgb="FFB05B6C"/>
        <bgColor indexed="64"/>
      </patternFill>
    </fill>
    <fill>
      <patternFill patternType="solid">
        <fgColor rgb="FFE6546A"/>
        <bgColor indexed="64"/>
      </patternFill>
    </fill>
    <fill>
      <patternFill patternType="solid">
        <fgColor rgb="FFFD5873"/>
        <bgColor indexed="64"/>
      </patternFill>
    </fill>
    <fill>
      <patternFill patternType="solid">
        <fgColor rgb="FFF55670"/>
        <bgColor indexed="64"/>
      </patternFill>
    </fill>
    <fill>
      <patternFill patternType="solid">
        <fgColor rgb="FFE74E67"/>
        <bgColor indexed="64"/>
      </patternFill>
    </fill>
    <fill>
      <patternFill patternType="solid">
        <fgColor rgb="FFE34B64"/>
        <bgColor indexed="64"/>
      </patternFill>
    </fill>
    <fill>
      <patternFill patternType="solid">
        <fgColor rgb="FFD0475B"/>
        <bgColor indexed="64"/>
      </patternFill>
    </fill>
    <fill>
      <patternFill patternType="solid">
        <fgColor rgb="FFC8475A"/>
        <bgColor indexed="64"/>
      </patternFill>
    </fill>
    <fill>
      <patternFill patternType="solid">
        <fgColor rgb="FFDD4D66"/>
        <bgColor indexed="64"/>
      </patternFill>
    </fill>
    <fill>
      <patternFill patternType="solid">
        <fgColor rgb="FFC93F57"/>
        <bgColor indexed="64"/>
      </patternFill>
    </fill>
    <fill>
      <patternFill patternType="solid">
        <fgColor rgb="FFC34560"/>
        <bgColor indexed="64"/>
      </patternFill>
    </fill>
    <fill>
      <patternFill patternType="solid">
        <fgColor rgb="FFEB5B77"/>
        <bgColor indexed="64"/>
      </patternFill>
    </fill>
    <fill>
      <patternFill patternType="solid">
        <fgColor rgb="FFC4536A"/>
        <bgColor indexed="64"/>
      </patternFill>
    </fill>
    <fill>
      <patternFill patternType="solid">
        <fgColor rgb="FF803E4F"/>
        <bgColor indexed="64"/>
      </patternFill>
    </fill>
    <fill>
      <patternFill patternType="solid">
        <fgColor rgb="FFE64F72"/>
        <bgColor indexed="64"/>
      </patternFill>
    </fill>
    <fill>
      <patternFill patternType="solid">
        <fgColor rgb="FFB15167"/>
        <bgColor indexed="64"/>
      </patternFill>
    </fill>
    <fill>
      <patternFill patternType="solid">
        <fgColor rgb="FF963C54"/>
        <bgColor indexed="64"/>
      </patternFill>
    </fill>
    <fill>
      <patternFill patternType="solid">
        <fgColor rgb="FFD0728E"/>
        <bgColor indexed="64"/>
      </patternFill>
    </fill>
    <fill>
      <patternFill patternType="solid">
        <fgColor rgb="FFCFB9C3"/>
        <bgColor indexed="64"/>
      </patternFill>
    </fill>
    <fill>
      <patternFill patternType="solid">
        <fgColor rgb="FF9C4A62"/>
        <bgColor indexed="64"/>
      </patternFill>
    </fill>
    <fill>
      <patternFill patternType="solid">
        <fgColor rgb="FFDAD1D8"/>
        <bgColor indexed="64"/>
      </patternFill>
    </fill>
    <fill>
      <patternFill patternType="solid">
        <fgColor rgb="FFFBFBFC"/>
        <bgColor indexed="64"/>
      </patternFill>
    </fill>
    <fill>
      <patternFill patternType="solid">
        <fgColor rgb="FFB5B9C5"/>
        <bgColor indexed="64"/>
      </patternFill>
    </fill>
    <fill>
      <patternFill patternType="solid">
        <fgColor rgb="FF3986C2"/>
        <bgColor indexed="64"/>
      </patternFill>
    </fill>
    <fill>
      <patternFill patternType="solid">
        <fgColor rgb="FF48BAFF"/>
        <bgColor indexed="64"/>
      </patternFill>
    </fill>
    <fill>
      <patternFill patternType="solid">
        <fgColor rgb="FF43AEF9"/>
        <bgColor indexed="64"/>
      </patternFill>
    </fill>
    <fill>
      <patternFill patternType="solid">
        <fgColor rgb="FF42B0FA"/>
        <bgColor indexed="64"/>
      </patternFill>
    </fill>
    <fill>
      <patternFill patternType="solid">
        <fgColor rgb="FF41AEFB"/>
        <bgColor indexed="64"/>
      </patternFill>
    </fill>
    <fill>
      <patternFill patternType="solid">
        <fgColor rgb="FF3FAFFA"/>
        <bgColor indexed="64"/>
      </patternFill>
    </fill>
    <fill>
      <patternFill patternType="solid">
        <fgColor rgb="FF41B3FC"/>
        <bgColor indexed="64"/>
      </patternFill>
    </fill>
    <fill>
      <patternFill patternType="solid">
        <fgColor rgb="FF3AA0EB"/>
        <bgColor indexed="64"/>
      </patternFill>
    </fill>
    <fill>
      <patternFill patternType="solid">
        <fgColor rgb="FF286FB6"/>
        <bgColor indexed="64"/>
      </patternFill>
    </fill>
    <fill>
      <patternFill patternType="solid">
        <fgColor rgb="FF455C5F"/>
        <bgColor indexed="64"/>
      </patternFill>
    </fill>
    <fill>
      <patternFill patternType="solid">
        <fgColor rgb="FF999A37"/>
        <bgColor indexed="64"/>
      </patternFill>
    </fill>
    <fill>
      <patternFill patternType="solid">
        <fgColor rgb="FF9BA345"/>
        <bgColor indexed="64"/>
      </patternFill>
    </fill>
    <fill>
      <patternFill patternType="solid">
        <fgColor rgb="FF768E63"/>
        <bgColor indexed="64"/>
      </patternFill>
    </fill>
    <fill>
      <patternFill patternType="solid">
        <fgColor rgb="FF676F32"/>
        <bgColor indexed="64"/>
      </patternFill>
    </fill>
    <fill>
      <patternFill patternType="solid">
        <fgColor rgb="FFA8A01B"/>
        <bgColor indexed="64"/>
      </patternFill>
    </fill>
    <fill>
      <patternFill patternType="solid">
        <fgColor rgb="FFC9C42F"/>
        <bgColor indexed="64"/>
      </patternFill>
    </fill>
    <fill>
      <patternFill patternType="solid">
        <fgColor rgb="FFA8A024"/>
        <bgColor indexed="64"/>
      </patternFill>
    </fill>
    <fill>
      <patternFill patternType="solid">
        <fgColor rgb="FF99AD52"/>
        <bgColor indexed="64"/>
      </patternFill>
    </fill>
    <fill>
      <patternFill patternType="solid">
        <fgColor rgb="FF59A9C6"/>
        <bgColor indexed="64"/>
      </patternFill>
    </fill>
    <fill>
      <patternFill patternType="solid">
        <fgColor rgb="FF488AB0"/>
        <bgColor indexed="64"/>
      </patternFill>
    </fill>
    <fill>
      <patternFill patternType="solid">
        <fgColor rgb="FF418AB5"/>
        <bgColor indexed="64"/>
      </patternFill>
    </fill>
    <fill>
      <patternFill patternType="solid">
        <fgColor rgb="FF6A855D"/>
        <bgColor indexed="64"/>
      </patternFill>
    </fill>
    <fill>
      <patternFill patternType="solid">
        <fgColor rgb="FF4A93A5"/>
        <bgColor indexed="64"/>
      </patternFill>
    </fill>
    <fill>
      <patternFill patternType="solid">
        <fgColor rgb="FF418BC2"/>
        <bgColor indexed="64"/>
      </patternFill>
    </fill>
    <fill>
      <patternFill patternType="solid">
        <fgColor rgb="FF4D92AC"/>
        <bgColor indexed="64"/>
      </patternFill>
    </fill>
    <fill>
      <patternFill patternType="solid">
        <fgColor rgb="FF36AEFB"/>
        <bgColor indexed="64"/>
      </patternFill>
    </fill>
    <fill>
      <patternFill patternType="solid">
        <fgColor rgb="FF35ADFC"/>
        <bgColor indexed="64"/>
      </patternFill>
    </fill>
    <fill>
      <patternFill patternType="solid">
        <fgColor rgb="FF32AAFB"/>
        <bgColor indexed="64"/>
      </patternFill>
    </fill>
    <fill>
      <patternFill patternType="solid">
        <fgColor rgb="FF31A7F9"/>
        <bgColor indexed="64"/>
      </patternFill>
    </fill>
    <fill>
      <patternFill patternType="solid">
        <fgColor rgb="FF33ABFD"/>
        <bgColor indexed="64"/>
      </patternFill>
    </fill>
    <fill>
      <patternFill patternType="solid">
        <fgColor rgb="FF2FA9FB"/>
        <bgColor indexed="64"/>
      </patternFill>
    </fill>
    <fill>
      <patternFill patternType="solid">
        <fgColor rgb="FFFFFDFD"/>
        <bgColor indexed="64"/>
      </patternFill>
    </fill>
    <fill>
      <patternFill patternType="solid">
        <fgColor rgb="FFEBEEEA"/>
        <bgColor indexed="64"/>
      </patternFill>
    </fill>
    <fill>
      <patternFill patternType="solid">
        <fgColor rgb="FFD8D7D2"/>
        <bgColor indexed="64"/>
      </patternFill>
    </fill>
    <fill>
      <patternFill patternType="solid">
        <fgColor rgb="FFD4BBBC"/>
        <bgColor indexed="64"/>
      </patternFill>
    </fill>
    <fill>
      <patternFill patternType="solid">
        <fgColor rgb="FFC68088"/>
        <bgColor indexed="64"/>
      </patternFill>
    </fill>
    <fill>
      <patternFill patternType="solid">
        <fgColor rgb="FFB64154"/>
        <bgColor indexed="64"/>
      </patternFill>
    </fill>
    <fill>
      <patternFill patternType="solid">
        <fgColor rgb="FFC33E55"/>
        <bgColor indexed="64"/>
      </patternFill>
    </fill>
    <fill>
      <patternFill patternType="solid">
        <fgColor rgb="FFBB495A"/>
        <bgColor indexed="64"/>
      </patternFill>
    </fill>
    <fill>
      <patternFill patternType="solid">
        <fgColor rgb="FFB34254"/>
        <bgColor indexed="64"/>
      </patternFill>
    </fill>
    <fill>
      <patternFill patternType="solid">
        <fgColor rgb="FFD74961"/>
        <bgColor indexed="64"/>
      </patternFill>
    </fill>
    <fill>
      <patternFill patternType="solid">
        <fgColor rgb="FFE54E66"/>
        <bgColor indexed="64"/>
      </patternFill>
    </fill>
    <fill>
      <patternFill patternType="solid">
        <fgColor rgb="FFEF536B"/>
        <bgColor indexed="64"/>
      </patternFill>
    </fill>
    <fill>
      <patternFill patternType="solid">
        <fgColor rgb="FFF0546D"/>
        <bgColor indexed="64"/>
      </patternFill>
    </fill>
    <fill>
      <patternFill patternType="solid">
        <fgColor rgb="FF722C33"/>
        <bgColor indexed="64"/>
      </patternFill>
    </fill>
    <fill>
      <patternFill patternType="solid">
        <fgColor rgb="FF3F231E"/>
        <bgColor indexed="64"/>
      </patternFill>
    </fill>
    <fill>
      <patternFill patternType="solid">
        <fgColor rgb="FF783440"/>
        <bgColor indexed="64"/>
      </patternFill>
    </fill>
    <fill>
      <patternFill patternType="solid">
        <fgColor rgb="FFC07D90"/>
        <bgColor indexed="64"/>
      </patternFill>
    </fill>
    <fill>
      <patternFill patternType="solid">
        <fgColor rgb="FFB05869"/>
        <bgColor indexed="64"/>
      </patternFill>
    </fill>
    <fill>
      <patternFill patternType="solid">
        <fgColor rgb="FFD8405D"/>
        <bgColor indexed="64"/>
      </patternFill>
    </fill>
    <fill>
      <patternFill patternType="solid">
        <fgColor rgb="FFBE5C78"/>
        <bgColor indexed="64"/>
      </patternFill>
    </fill>
    <fill>
      <patternFill patternType="solid">
        <fgColor rgb="FF988290"/>
        <bgColor indexed="64"/>
      </patternFill>
    </fill>
    <fill>
      <patternFill patternType="solid">
        <fgColor rgb="FF9F5770"/>
        <bgColor indexed="64"/>
      </patternFill>
    </fill>
    <fill>
      <patternFill patternType="solid">
        <fgColor rgb="FFDBA5BA"/>
        <bgColor indexed="64"/>
      </patternFill>
    </fill>
    <fill>
      <patternFill patternType="solid">
        <fgColor rgb="FFAB90A0"/>
        <bgColor indexed="64"/>
      </patternFill>
    </fill>
    <fill>
      <patternFill patternType="solid">
        <fgColor rgb="FFB86681"/>
        <bgColor indexed="64"/>
      </patternFill>
    </fill>
    <fill>
      <patternFill patternType="solid">
        <fgColor rgb="FFF6EEF3"/>
        <bgColor indexed="64"/>
      </patternFill>
    </fill>
    <fill>
      <patternFill patternType="solid">
        <fgColor rgb="FFCDC1C5"/>
        <bgColor indexed="64"/>
      </patternFill>
    </fill>
    <fill>
      <patternFill patternType="solid">
        <fgColor rgb="FF906173"/>
        <bgColor indexed="64"/>
      </patternFill>
    </fill>
    <fill>
      <patternFill patternType="solid">
        <fgColor rgb="FF6683A2"/>
        <bgColor indexed="64"/>
      </patternFill>
    </fill>
    <fill>
      <patternFill patternType="solid">
        <fgColor rgb="FF3CA5EB"/>
        <bgColor indexed="64"/>
      </patternFill>
    </fill>
    <fill>
      <patternFill patternType="solid">
        <fgColor rgb="FF45B3FE"/>
        <bgColor indexed="64"/>
      </patternFill>
    </fill>
    <fill>
      <patternFill patternType="solid">
        <fgColor rgb="FF43AFFA"/>
        <bgColor indexed="64"/>
      </patternFill>
    </fill>
    <fill>
      <patternFill patternType="solid">
        <fgColor rgb="FF42AFFA"/>
        <bgColor indexed="64"/>
      </patternFill>
    </fill>
    <fill>
      <patternFill patternType="solid">
        <fgColor rgb="FF3DA7F6"/>
        <bgColor indexed="64"/>
      </patternFill>
    </fill>
    <fill>
      <patternFill patternType="solid">
        <fgColor rgb="FF3998E1"/>
        <bgColor indexed="64"/>
      </patternFill>
    </fill>
    <fill>
      <patternFill patternType="solid">
        <fgColor rgb="FF439AD8"/>
        <bgColor indexed="64"/>
      </patternFill>
    </fill>
    <fill>
      <patternFill patternType="solid">
        <fgColor rgb="FF41A5E9"/>
        <bgColor indexed="64"/>
      </patternFill>
    </fill>
    <fill>
      <patternFill patternType="solid">
        <fgColor rgb="FF339FF8"/>
        <bgColor indexed="64"/>
      </patternFill>
    </fill>
    <fill>
      <patternFill patternType="solid">
        <fgColor rgb="FF4C7B85"/>
        <bgColor indexed="64"/>
      </patternFill>
    </fill>
    <fill>
      <patternFill patternType="solid">
        <fgColor rgb="FFA6AB3D"/>
        <bgColor indexed="64"/>
      </patternFill>
    </fill>
    <fill>
      <patternFill patternType="solid">
        <fgColor rgb="FF99B26C"/>
        <bgColor indexed="64"/>
      </patternFill>
    </fill>
    <fill>
      <patternFill patternType="solid">
        <fgColor rgb="FF525634"/>
        <bgColor indexed="64"/>
      </patternFill>
    </fill>
    <fill>
      <patternFill patternType="solid">
        <fgColor rgb="FF555123"/>
        <bgColor indexed="64"/>
      </patternFill>
    </fill>
    <fill>
      <patternFill patternType="solid">
        <fgColor rgb="FF3284BC"/>
        <bgColor indexed="64"/>
      </patternFill>
    </fill>
    <fill>
      <patternFill patternType="solid">
        <fgColor rgb="FF3FB8FF"/>
        <bgColor indexed="64"/>
      </patternFill>
    </fill>
    <fill>
      <patternFill patternType="solid">
        <fgColor rgb="FF40B4FF"/>
        <bgColor indexed="64"/>
      </patternFill>
    </fill>
    <fill>
      <patternFill patternType="solid">
        <fgColor rgb="FF2F86D3"/>
        <bgColor indexed="64"/>
      </patternFill>
    </fill>
    <fill>
      <patternFill patternType="solid">
        <fgColor rgb="FF3182C5"/>
        <bgColor indexed="64"/>
      </patternFill>
    </fill>
    <fill>
      <patternFill patternType="solid">
        <fgColor rgb="FF3FBAFF"/>
        <bgColor indexed="64"/>
      </patternFill>
    </fill>
    <fill>
      <patternFill patternType="solid">
        <fgColor rgb="FF3694DB"/>
        <bgColor indexed="64"/>
      </patternFill>
    </fill>
    <fill>
      <patternFill patternType="solid">
        <fgColor rgb="FF3180BD"/>
        <bgColor indexed="64"/>
      </patternFill>
    </fill>
    <fill>
      <patternFill patternType="solid">
        <fgColor rgb="FF3DB3FF"/>
        <bgColor indexed="64"/>
      </patternFill>
    </fill>
    <fill>
      <patternFill patternType="solid">
        <fgColor rgb="FF36ACFB"/>
        <bgColor indexed="64"/>
      </patternFill>
    </fill>
    <fill>
      <patternFill patternType="solid">
        <fgColor rgb="FF35ADFB"/>
        <bgColor indexed="64"/>
      </patternFill>
    </fill>
    <fill>
      <patternFill patternType="solid">
        <fgColor rgb="FF37AEFE"/>
        <bgColor indexed="64"/>
      </patternFill>
    </fill>
    <fill>
      <patternFill patternType="solid">
        <fgColor rgb="FF2A9EF1"/>
        <bgColor indexed="64"/>
      </patternFill>
    </fill>
    <fill>
      <patternFill patternType="solid">
        <fgColor rgb="FF2E9EEF"/>
        <bgColor indexed="64"/>
      </patternFill>
    </fill>
    <fill>
      <patternFill patternType="solid">
        <fgColor rgb="FF24A9FB"/>
        <bgColor indexed="64"/>
      </patternFill>
    </fill>
    <fill>
      <patternFill patternType="solid">
        <fgColor rgb="FF2CA6F9"/>
        <bgColor indexed="64"/>
      </patternFill>
    </fill>
    <fill>
      <patternFill patternType="solid">
        <fgColor rgb="FFCECFD0"/>
        <bgColor indexed="64"/>
      </patternFill>
    </fill>
    <fill>
      <patternFill patternType="solid">
        <fgColor rgb="FF90828D"/>
        <bgColor indexed="64"/>
      </patternFill>
    </fill>
    <fill>
      <patternFill patternType="solid">
        <fgColor rgb="FFB28191"/>
        <bgColor indexed="64"/>
      </patternFill>
    </fill>
    <fill>
      <patternFill patternType="solid">
        <fgColor rgb="FFD899AB"/>
        <bgColor indexed="64"/>
      </patternFill>
    </fill>
    <fill>
      <patternFill patternType="solid">
        <fgColor rgb="FFD6A3AF"/>
        <bgColor indexed="64"/>
      </patternFill>
    </fill>
    <fill>
      <patternFill patternType="solid">
        <fgColor rgb="FFB5929D"/>
        <bgColor indexed="64"/>
      </patternFill>
    </fill>
    <fill>
      <patternFill patternType="solid">
        <fgColor rgb="FFA35C69"/>
        <bgColor indexed="64"/>
      </patternFill>
    </fill>
    <fill>
      <patternFill patternType="solid">
        <fgColor rgb="FFB93951"/>
        <bgColor indexed="64"/>
      </patternFill>
    </fill>
    <fill>
      <patternFill patternType="solid">
        <fgColor rgb="FFDE4861"/>
        <bgColor indexed="64"/>
      </patternFill>
    </fill>
    <fill>
      <patternFill patternType="solid">
        <fgColor rgb="FFCE4258"/>
        <bgColor indexed="64"/>
      </patternFill>
    </fill>
    <fill>
      <patternFill patternType="solid">
        <fgColor rgb="FFB73B51"/>
        <bgColor indexed="64"/>
      </patternFill>
    </fill>
    <fill>
      <patternFill patternType="solid">
        <fgColor rgb="FFB74556"/>
        <bgColor indexed="64"/>
      </patternFill>
    </fill>
    <fill>
      <patternFill patternType="solid">
        <fgColor rgb="FF452A2C"/>
        <bgColor indexed="64"/>
      </patternFill>
    </fill>
    <fill>
      <patternFill patternType="solid">
        <fgColor rgb="FF251E15"/>
        <bgColor indexed="64"/>
      </patternFill>
    </fill>
    <fill>
      <patternFill patternType="solid">
        <fgColor rgb="FF4F5057"/>
        <bgColor indexed="64"/>
      </patternFill>
    </fill>
    <fill>
      <patternFill patternType="solid">
        <fgColor rgb="FFB397A3"/>
        <bgColor indexed="64"/>
      </patternFill>
    </fill>
    <fill>
      <patternFill patternType="solid">
        <fgColor rgb="FFA44059"/>
        <bgColor indexed="64"/>
      </patternFill>
    </fill>
    <fill>
      <patternFill patternType="solid">
        <fgColor rgb="FFBA8A9D"/>
        <bgColor indexed="64"/>
      </patternFill>
    </fill>
    <fill>
      <patternFill patternType="solid">
        <fgColor rgb="FFD0D3DB"/>
        <bgColor indexed="64"/>
      </patternFill>
    </fill>
    <fill>
      <patternFill patternType="solid">
        <fgColor rgb="FFBEB3BE"/>
        <bgColor indexed="64"/>
      </patternFill>
    </fill>
    <fill>
      <patternFill patternType="solid">
        <fgColor rgb="FFEEE2EA"/>
        <bgColor indexed="64"/>
      </patternFill>
    </fill>
    <fill>
      <patternFill patternType="solid">
        <fgColor rgb="FFF5FDFC"/>
        <bgColor indexed="64"/>
      </patternFill>
    </fill>
    <fill>
      <patternFill patternType="solid">
        <fgColor rgb="FFC3B8C2"/>
        <bgColor indexed="64"/>
      </patternFill>
    </fill>
    <fill>
      <patternFill patternType="solid">
        <fgColor rgb="FFE9E6EB"/>
        <bgColor indexed="64"/>
      </patternFill>
    </fill>
    <fill>
      <patternFill patternType="solid">
        <fgColor rgb="FFBDA7AF"/>
        <bgColor indexed="64"/>
      </patternFill>
    </fill>
    <fill>
      <patternFill patternType="solid">
        <fgColor rgb="FFAB8D9A"/>
        <bgColor indexed="64"/>
      </patternFill>
    </fill>
    <fill>
      <patternFill patternType="solid">
        <fgColor rgb="FFC1C7CF"/>
        <bgColor indexed="64"/>
      </patternFill>
    </fill>
    <fill>
      <patternFill patternType="solid">
        <fgColor rgb="FF388BC8"/>
        <bgColor indexed="64"/>
      </patternFill>
    </fill>
    <fill>
      <patternFill patternType="solid">
        <fgColor rgb="FF48B8FF"/>
        <bgColor indexed="64"/>
      </patternFill>
    </fill>
    <fill>
      <patternFill patternType="solid">
        <fgColor rgb="FF42AFFB"/>
        <bgColor indexed="64"/>
      </patternFill>
    </fill>
    <fill>
      <patternFill patternType="solid">
        <fgColor rgb="FF42AEFA"/>
        <bgColor indexed="64"/>
      </patternFill>
    </fill>
    <fill>
      <patternFill patternType="solid">
        <fgColor rgb="FF42ADFA"/>
        <bgColor indexed="64"/>
      </patternFill>
    </fill>
    <fill>
      <patternFill patternType="solid">
        <fgColor rgb="FF3FAEFA"/>
        <bgColor indexed="64"/>
      </patternFill>
    </fill>
    <fill>
      <patternFill patternType="solid">
        <fgColor rgb="FF42AFF9"/>
        <bgColor indexed="64"/>
      </patternFill>
    </fill>
    <fill>
      <patternFill patternType="solid">
        <fgColor rgb="FF3EB0FB"/>
        <bgColor indexed="64"/>
      </patternFill>
    </fill>
    <fill>
      <patternFill patternType="solid">
        <fgColor rgb="FF3DAFFA"/>
        <bgColor indexed="64"/>
      </patternFill>
    </fill>
    <fill>
      <patternFill patternType="solid">
        <fgColor rgb="FF41B2FC"/>
        <bgColor indexed="64"/>
      </patternFill>
    </fill>
    <fill>
      <patternFill patternType="solid">
        <fgColor rgb="FF43BAFF"/>
        <bgColor indexed="64"/>
      </patternFill>
    </fill>
    <fill>
      <patternFill patternType="solid">
        <fgColor rgb="FF367DB1"/>
        <bgColor indexed="64"/>
      </patternFill>
    </fill>
    <fill>
      <patternFill patternType="solid">
        <fgColor rgb="FF4C675E"/>
        <bgColor indexed="64"/>
      </patternFill>
    </fill>
    <fill>
      <patternFill patternType="solid">
        <fgColor rgb="FF429DD5"/>
        <bgColor indexed="64"/>
      </patternFill>
    </fill>
    <fill>
      <patternFill patternType="solid">
        <fgColor rgb="FF2C82D3"/>
        <bgColor indexed="64"/>
      </patternFill>
    </fill>
    <fill>
      <patternFill patternType="solid">
        <fgColor rgb="FF5E5C2E"/>
        <bgColor indexed="64"/>
      </patternFill>
    </fill>
    <fill>
      <patternFill patternType="solid">
        <fgColor rgb="FF738147"/>
        <bgColor indexed="64"/>
      </patternFill>
    </fill>
    <fill>
      <patternFill patternType="solid">
        <fgColor rgb="FF40A8E6"/>
        <bgColor indexed="64"/>
      </patternFill>
    </fill>
    <fill>
      <patternFill patternType="solid">
        <fgColor rgb="FF41B4FD"/>
        <bgColor indexed="64"/>
      </patternFill>
    </fill>
    <fill>
      <patternFill patternType="solid">
        <fgColor rgb="FF3FB0F8"/>
        <bgColor indexed="64"/>
      </patternFill>
    </fill>
    <fill>
      <patternFill patternType="solid">
        <fgColor rgb="FF38ABF9"/>
        <bgColor indexed="64"/>
      </patternFill>
    </fill>
    <fill>
      <patternFill patternType="solid">
        <fgColor rgb="FF339BEA"/>
        <bgColor indexed="64"/>
      </patternFill>
    </fill>
    <fill>
      <patternFill patternType="solid">
        <fgColor rgb="FF35AAFA"/>
        <bgColor indexed="64"/>
      </patternFill>
    </fill>
    <fill>
      <patternFill patternType="solid">
        <fgColor rgb="FF2E8AD7"/>
        <bgColor indexed="64"/>
      </patternFill>
    </fill>
    <fill>
      <patternFill patternType="solid">
        <fgColor rgb="FF2782C9"/>
        <bgColor indexed="64"/>
      </patternFill>
    </fill>
    <fill>
      <patternFill patternType="solid">
        <fgColor rgb="FF7279BD"/>
        <bgColor indexed="64"/>
      </patternFill>
    </fill>
    <fill>
      <patternFill patternType="solid">
        <fgColor rgb="FF6F5888"/>
        <bgColor indexed="64"/>
      </patternFill>
    </fill>
    <fill>
      <patternFill patternType="solid">
        <fgColor rgb="FF7871AB"/>
        <bgColor indexed="64"/>
      </patternFill>
    </fill>
    <fill>
      <patternFill patternType="solid">
        <fgColor rgb="FF3681CC"/>
        <bgColor indexed="64"/>
      </patternFill>
    </fill>
    <fill>
      <patternFill patternType="solid">
        <fgColor rgb="FFDFEBEA"/>
        <bgColor indexed="64"/>
      </patternFill>
    </fill>
    <fill>
      <patternFill patternType="solid">
        <fgColor rgb="FFA0A9AC"/>
        <bgColor indexed="64"/>
      </patternFill>
    </fill>
    <fill>
      <patternFill patternType="solid">
        <fgColor rgb="FFA18791"/>
        <bgColor indexed="64"/>
      </patternFill>
    </fill>
    <fill>
      <patternFill patternType="solid">
        <fgColor rgb="FFCC889A"/>
        <bgColor indexed="64"/>
      </patternFill>
    </fill>
    <fill>
      <patternFill patternType="solid">
        <fgColor rgb="FFD092A5"/>
        <bgColor indexed="64"/>
      </patternFill>
    </fill>
    <fill>
      <patternFill patternType="solid">
        <fgColor rgb="FF9C6978"/>
        <bgColor indexed="64"/>
      </patternFill>
    </fill>
    <fill>
      <patternFill patternType="solid">
        <fgColor rgb="FFA8899A"/>
        <bgColor indexed="64"/>
      </patternFill>
    </fill>
    <fill>
      <patternFill patternType="solid">
        <fgColor rgb="FFCDC1CC"/>
        <bgColor indexed="64"/>
      </patternFill>
    </fill>
    <fill>
      <patternFill patternType="solid">
        <fgColor rgb="FFB0ABB7"/>
        <bgColor indexed="64"/>
      </patternFill>
    </fill>
    <fill>
      <patternFill patternType="solid">
        <fgColor rgb="FF787157"/>
        <bgColor indexed="64"/>
      </patternFill>
    </fill>
    <fill>
      <patternFill patternType="solid">
        <fgColor rgb="FF483710"/>
        <bgColor indexed="64"/>
      </patternFill>
    </fill>
    <fill>
      <patternFill patternType="solid">
        <fgColor rgb="FF8C8476"/>
        <bgColor indexed="64"/>
      </patternFill>
    </fill>
    <fill>
      <patternFill patternType="solid">
        <fgColor rgb="FFDED3DD"/>
        <bgColor indexed="64"/>
      </patternFill>
    </fill>
    <fill>
      <patternFill patternType="solid">
        <fgColor rgb="FFE2DDE5"/>
        <bgColor indexed="64"/>
      </patternFill>
    </fill>
    <fill>
      <patternFill patternType="solid">
        <fgColor rgb="FFF8F9FA"/>
        <bgColor indexed="64"/>
      </patternFill>
    </fill>
    <fill>
      <patternFill patternType="solid">
        <fgColor rgb="FFECEAEB"/>
        <bgColor indexed="64"/>
      </patternFill>
    </fill>
    <fill>
      <patternFill patternType="solid">
        <fgColor rgb="FFE8E9EA"/>
        <bgColor indexed="64"/>
      </patternFill>
    </fill>
    <fill>
      <patternFill patternType="solid">
        <fgColor rgb="FFB5A8B0"/>
        <bgColor indexed="64"/>
      </patternFill>
    </fill>
    <fill>
      <patternFill patternType="solid">
        <fgColor rgb="FFDBCFD7"/>
        <bgColor indexed="64"/>
      </patternFill>
    </fill>
    <fill>
      <patternFill patternType="solid">
        <fgColor rgb="FFD7DBDF"/>
        <bgColor indexed="64"/>
      </patternFill>
    </fill>
    <fill>
      <patternFill patternType="solid">
        <fgColor rgb="FF418EC9"/>
        <bgColor indexed="64"/>
      </patternFill>
    </fill>
    <fill>
      <patternFill patternType="solid">
        <fgColor rgb="FF46B6FF"/>
        <bgColor indexed="64"/>
      </patternFill>
    </fill>
    <fill>
      <patternFill patternType="solid">
        <fgColor rgb="FF42AEF8"/>
        <bgColor indexed="64"/>
      </patternFill>
    </fill>
    <fill>
      <patternFill patternType="solid">
        <fgColor rgb="FF42ADF9"/>
        <bgColor indexed="64"/>
      </patternFill>
    </fill>
    <fill>
      <patternFill patternType="solid">
        <fgColor rgb="FF43AFFB"/>
        <bgColor indexed="64"/>
      </patternFill>
    </fill>
    <fill>
      <patternFill patternType="solid">
        <fgColor rgb="FF43B2FF"/>
        <bgColor indexed="64"/>
      </patternFill>
    </fill>
    <fill>
      <patternFill patternType="solid">
        <fgColor rgb="FF41ADFA"/>
        <bgColor indexed="64"/>
      </patternFill>
    </fill>
    <fill>
      <patternFill patternType="solid">
        <fgColor rgb="FF40ADF9"/>
        <bgColor indexed="64"/>
      </patternFill>
    </fill>
    <fill>
      <patternFill patternType="solid">
        <fgColor rgb="FF3EADFA"/>
        <bgColor indexed="64"/>
      </patternFill>
    </fill>
    <fill>
      <patternFill patternType="solid">
        <fgColor rgb="FF3DAAF6"/>
        <bgColor indexed="64"/>
      </patternFill>
    </fill>
    <fill>
      <patternFill patternType="solid">
        <fgColor rgb="FF2F7CC5"/>
        <bgColor indexed="64"/>
      </patternFill>
    </fill>
    <fill>
      <patternFill patternType="solid">
        <fgColor rgb="FF3BA6F6"/>
        <bgColor indexed="64"/>
      </patternFill>
    </fill>
    <fill>
      <patternFill patternType="solid">
        <fgColor rgb="FF3CB7FF"/>
        <bgColor indexed="64"/>
      </patternFill>
    </fill>
    <fill>
      <patternFill patternType="solid">
        <fgColor rgb="FF4184A6"/>
        <bgColor indexed="64"/>
      </patternFill>
    </fill>
    <fill>
      <patternFill patternType="solid">
        <fgColor rgb="FFCCC02C"/>
        <bgColor indexed="64"/>
      </patternFill>
    </fill>
    <fill>
      <patternFill patternType="solid">
        <fgColor rgb="FF81A369"/>
        <bgColor indexed="64"/>
      </patternFill>
    </fill>
    <fill>
      <patternFill patternType="solid">
        <fgColor rgb="FF38A6F8"/>
        <bgColor indexed="64"/>
      </patternFill>
    </fill>
    <fill>
      <patternFill patternType="solid">
        <fgColor rgb="FF42B3FB"/>
        <bgColor indexed="64"/>
      </patternFill>
    </fill>
    <fill>
      <patternFill patternType="solid">
        <fgColor rgb="FF39AEFD"/>
        <bgColor indexed="64"/>
      </patternFill>
    </fill>
    <fill>
      <patternFill patternType="solid">
        <fgColor rgb="FF30A1F4"/>
        <bgColor indexed="64"/>
      </patternFill>
    </fill>
    <fill>
      <patternFill patternType="solid">
        <fgColor rgb="FF2AABFB"/>
        <bgColor indexed="64"/>
      </patternFill>
    </fill>
    <fill>
      <patternFill patternType="solid">
        <fgColor rgb="FF5E78BA"/>
        <bgColor indexed="64"/>
      </patternFill>
    </fill>
    <fill>
      <patternFill patternType="solid">
        <fgColor rgb="FF915A84"/>
        <bgColor indexed="64"/>
      </patternFill>
    </fill>
    <fill>
      <patternFill patternType="solid">
        <fgColor rgb="FFDF78A5"/>
        <bgColor indexed="64"/>
      </patternFill>
    </fill>
    <fill>
      <patternFill patternType="solid">
        <fgColor rgb="FFCB6089"/>
        <bgColor indexed="64"/>
      </patternFill>
    </fill>
    <fill>
      <patternFill patternType="solid">
        <fgColor rgb="FF7380BF"/>
        <bgColor indexed="64"/>
      </patternFill>
    </fill>
    <fill>
      <patternFill patternType="solid">
        <fgColor rgb="FF34A7F9"/>
        <bgColor indexed="64"/>
      </patternFill>
    </fill>
    <fill>
      <patternFill patternType="solid">
        <fgColor rgb="FFFEFDFC"/>
        <bgColor indexed="64"/>
      </patternFill>
    </fill>
    <fill>
      <patternFill patternType="solid">
        <fgColor rgb="FFF1F0F1"/>
        <bgColor indexed="64"/>
      </patternFill>
    </fill>
    <fill>
      <patternFill patternType="solid">
        <fgColor rgb="FFEEEBF0"/>
        <bgColor indexed="64"/>
      </patternFill>
    </fill>
    <fill>
      <patternFill patternType="solid">
        <fgColor rgb="FFF9FFFF"/>
        <bgColor indexed="64"/>
      </patternFill>
    </fill>
    <fill>
      <patternFill patternType="solid">
        <fgColor rgb="FFDFE6E9"/>
        <bgColor indexed="64"/>
      </patternFill>
    </fill>
    <fill>
      <patternFill patternType="solid">
        <fgColor rgb="FFB3AB66"/>
        <bgColor indexed="64"/>
      </patternFill>
    </fill>
    <fill>
      <patternFill patternType="solid">
        <fgColor rgb="FFCCC321"/>
        <bgColor indexed="64"/>
      </patternFill>
    </fill>
    <fill>
      <patternFill patternType="solid">
        <fgColor rgb="FFC2BD82"/>
        <bgColor indexed="64"/>
      </patternFill>
    </fill>
    <fill>
      <patternFill patternType="solid">
        <fgColor rgb="FFFAFAF9"/>
        <bgColor indexed="64"/>
      </patternFill>
    </fill>
    <fill>
      <patternFill patternType="solid">
        <fgColor rgb="FFF4F4F3"/>
        <bgColor indexed="64"/>
      </patternFill>
    </fill>
    <fill>
      <patternFill patternType="solid">
        <fgColor rgb="FFCECFD3"/>
        <bgColor indexed="64"/>
      </patternFill>
    </fill>
    <fill>
      <patternFill patternType="solid">
        <fgColor rgb="FFFAFCFC"/>
        <bgColor indexed="64"/>
      </patternFill>
    </fill>
    <fill>
      <patternFill patternType="solid">
        <fgColor rgb="FFBBC2CC"/>
        <bgColor indexed="64"/>
      </patternFill>
    </fill>
    <fill>
      <patternFill patternType="solid">
        <fgColor rgb="FF3A90D1"/>
        <bgColor indexed="64"/>
      </patternFill>
    </fill>
    <fill>
      <patternFill patternType="solid">
        <fgColor rgb="FF47B9FF"/>
        <bgColor indexed="64"/>
      </patternFill>
    </fill>
    <fill>
      <patternFill patternType="solid">
        <fgColor rgb="FF44AEF8"/>
        <bgColor indexed="64"/>
      </patternFill>
    </fill>
    <fill>
      <patternFill patternType="solid">
        <fgColor rgb="FF3AABFA"/>
        <bgColor indexed="64"/>
      </patternFill>
    </fill>
    <fill>
      <patternFill patternType="solid">
        <fgColor rgb="FF3F9CE0"/>
        <bgColor indexed="64"/>
      </patternFill>
    </fill>
    <fill>
      <patternFill patternType="solid">
        <fgColor rgb="FF41A6F2"/>
        <bgColor indexed="64"/>
      </patternFill>
    </fill>
    <fill>
      <patternFill patternType="solid">
        <fgColor rgb="FF45B0FB"/>
        <bgColor indexed="64"/>
      </patternFill>
    </fill>
    <fill>
      <patternFill patternType="solid">
        <fgColor rgb="FF40B2FF"/>
        <bgColor indexed="64"/>
      </patternFill>
    </fill>
    <fill>
      <patternFill patternType="solid">
        <fgColor rgb="FF40B0FF"/>
        <bgColor indexed="64"/>
      </patternFill>
    </fill>
    <fill>
      <patternFill patternType="solid">
        <fgColor rgb="FF40B0FC"/>
        <bgColor indexed="64"/>
      </patternFill>
    </fill>
    <fill>
      <patternFill patternType="solid">
        <fgColor rgb="FF3DAEFA"/>
        <bgColor indexed="64"/>
      </patternFill>
    </fill>
    <fill>
      <patternFill patternType="solid">
        <fgColor rgb="FF3DAEFB"/>
        <bgColor indexed="64"/>
      </patternFill>
    </fill>
    <fill>
      <patternFill patternType="solid">
        <fgColor rgb="FF3DAFF9"/>
        <bgColor indexed="64"/>
      </patternFill>
    </fill>
    <fill>
      <patternFill patternType="solid">
        <fgColor rgb="FF3EB1FF"/>
        <bgColor indexed="64"/>
      </patternFill>
    </fill>
    <fill>
      <patternFill patternType="solid">
        <fgColor rgb="FF3FB0F9"/>
        <bgColor indexed="64"/>
      </patternFill>
    </fill>
    <fill>
      <patternFill patternType="solid">
        <fgColor rgb="FF36ACFD"/>
        <bgColor indexed="64"/>
      </patternFill>
    </fill>
    <fill>
      <patternFill patternType="solid">
        <fgColor rgb="FF568E8F"/>
        <bgColor indexed="64"/>
      </patternFill>
    </fill>
    <fill>
      <patternFill patternType="solid">
        <fgColor rgb="FFEDE22D"/>
        <bgColor indexed="64"/>
      </patternFill>
    </fill>
    <fill>
      <patternFill patternType="solid">
        <fgColor rgb="FF6A9D89"/>
        <bgColor indexed="64"/>
      </patternFill>
    </fill>
    <fill>
      <patternFill patternType="solid">
        <fgColor rgb="FF3AAEFF"/>
        <bgColor indexed="64"/>
      </patternFill>
    </fill>
    <fill>
      <patternFill patternType="solid">
        <fgColor rgb="FF41B1F9"/>
        <bgColor indexed="64"/>
      </patternFill>
    </fill>
    <fill>
      <patternFill patternType="solid">
        <fgColor rgb="FF3BAFFA"/>
        <bgColor indexed="64"/>
      </patternFill>
    </fill>
    <fill>
      <patternFill patternType="solid">
        <fgColor rgb="FF39AFFC"/>
        <bgColor indexed="64"/>
      </patternFill>
    </fill>
    <fill>
      <patternFill patternType="solid">
        <fgColor rgb="FF36ABFB"/>
        <bgColor indexed="64"/>
      </patternFill>
    </fill>
    <fill>
      <patternFill patternType="solid">
        <fgColor rgb="FF32ACFE"/>
        <bgColor indexed="64"/>
      </patternFill>
    </fill>
    <fill>
      <patternFill patternType="solid">
        <fgColor rgb="FF2E93E6"/>
        <bgColor indexed="64"/>
      </patternFill>
    </fill>
    <fill>
      <patternFill patternType="solid">
        <fgColor rgb="FF646DAA"/>
        <bgColor indexed="64"/>
      </patternFill>
    </fill>
    <fill>
      <patternFill patternType="solid">
        <fgColor rgb="FFB976A1"/>
        <bgColor indexed="64"/>
      </patternFill>
    </fill>
    <fill>
      <patternFill patternType="solid">
        <fgColor rgb="FFFD7EA6"/>
        <bgColor indexed="64"/>
      </patternFill>
    </fill>
    <fill>
      <patternFill patternType="solid">
        <fgColor rgb="FFFD7FA9"/>
        <bgColor indexed="64"/>
      </patternFill>
    </fill>
    <fill>
      <patternFill patternType="solid">
        <fgColor rgb="FFFF81AE"/>
        <bgColor indexed="64"/>
      </patternFill>
    </fill>
    <fill>
      <patternFill patternType="solid">
        <fgColor rgb="FF7179B7"/>
        <bgColor indexed="64"/>
      </patternFill>
    </fill>
    <fill>
      <patternFill patternType="solid">
        <fgColor rgb="FF25A4F9"/>
        <bgColor indexed="64"/>
      </patternFill>
    </fill>
    <fill>
      <patternFill patternType="solid">
        <fgColor rgb="FFFFFDFE"/>
        <bgColor indexed="64"/>
      </patternFill>
    </fill>
    <fill>
      <patternFill patternType="solid">
        <fgColor rgb="FFF5F4FB"/>
        <bgColor indexed="64"/>
      </patternFill>
    </fill>
    <fill>
      <patternFill patternType="solid">
        <fgColor rgb="FFB9B558"/>
        <bgColor indexed="64"/>
      </patternFill>
    </fill>
    <fill>
      <patternFill patternType="solid">
        <fgColor rgb="FFBBB880"/>
        <bgColor indexed="64"/>
      </patternFill>
    </fill>
    <fill>
      <patternFill patternType="solid">
        <fgColor rgb="FFFDFDFA"/>
        <bgColor indexed="64"/>
      </patternFill>
    </fill>
    <fill>
      <patternFill patternType="solid">
        <fgColor rgb="FFFBFCFC"/>
        <bgColor indexed="64"/>
      </patternFill>
    </fill>
    <fill>
      <patternFill patternType="solid">
        <fgColor rgb="FFF7F3F1"/>
        <bgColor indexed="64"/>
      </patternFill>
    </fill>
    <fill>
      <patternFill patternType="solid">
        <fgColor rgb="FF6A88A7"/>
        <bgColor indexed="64"/>
      </patternFill>
    </fill>
    <fill>
      <patternFill patternType="solid">
        <fgColor rgb="FF38A5F3"/>
        <bgColor indexed="64"/>
      </patternFill>
    </fill>
    <fill>
      <patternFill patternType="solid">
        <fgColor rgb="FF43B0F9"/>
        <bgColor indexed="64"/>
      </patternFill>
    </fill>
    <fill>
      <patternFill patternType="solid">
        <fgColor rgb="FF44B5FF"/>
        <bgColor indexed="64"/>
      </patternFill>
    </fill>
    <fill>
      <patternFill patternType="solid">
        <fgColor rgb="FF4190D2"/>
        <bgColor indexed="64"/>
      </patternFill>
    </fill>
    <fill>
      <patternFill patternType="solid">
        <fgColor rgb="FF7E7775"/>
        <bgColor indexed="64"/>
      </patternFill>
    </fill>
    <fill>
      <patternFill patternType="solid">
        <fgColor rgb="FF4E7CA6"/>
        <bgColor indexed="64"/>
      </patternFill>
    </fill>
    <fill>
      <patternFill patternType="solid">
        <fgColor rgb="FF3BB3FF"/>
        <bgColor indexed="64"/>
      </patternFill>
    </fill>
    <fill>
      <patternFill patternType="solid">
        <fgColor rgb="FF3FA3EE"/>
        <bgColor indexed="64"/>
      </patternFill>
    </fill>
    <fill>
      <patternFill patternType="solid">
        <fgColor rgb="FF439AD9"/>
        <bgColor indexed="64"/>
      </patternFill>
    </fill>
    <fill>
      <patternFill patternType="solid">
        <fgColor rgb="FF3D9FE5"/>
        <bgColor indexed="64"/>
      </patternFill>
    </fill>
    <fill>
      <patternFill patternType="solid">
        <fgColor rgb="FF41AFFC"/>
        <bgColor indexed="64"/>
      </patternFill>
    </fill>
    <fill>
      <patternFill patternType="solid">
        <fgColor rgb="FF3DADFA"/>
        <bgColor indexed="64"/>
      </patternFill>
    </fill>
    <fill>
      <patternFill patternType="solid">
        <fgColor rgb="FF3EAEF9"/>
        <bgColor indexed="64"/>
      </patternFill>
    </fill>
    <fill>
      <patternFill patternType="solid">
        <fgColor rgb="FF30A6FF"/>
        <bgColor indexed="64"/>
      </patternFill>
    </fill>
    <fill>
      <patternFill patternType="solid">
        <fgColor rgb="FF74A37F"/>
        <bgColor indexed="64"/>
      </patternFill>
    </fill>
    <fill>
      <patternFill patternType="solid">
        <fgColor rgb="FFF1E62E"/>
        <bgColor indexed="64"/>
      </patternFill>
    </fill>
    <fill>
      <patternFill patternType="solid">
        <fgColor rgb="FF498999"/>
        <bgColor indexed="64"/>
      </patternFill>
    </fill>
    <fill>
      <patternFill patternType="solid">
        <fgColor rgb="FF3DADF8"/>
        <bgColor indexed="64"/>
      </patternFill>
    </fill>
    <fill>
      <patternFill patternType="solid">
        <fgColor rgb="FF3CAFFB"/>
        <bgColor indexed="64"/>
      </patternFill>
    </fill>
    <fill>
      <patternFill patternType="solid">
        <fgColor rgb="FF289EF3"/>
        <bgColor indexed="64"/>
      </patternFill>
    </fill>
    <fill>
      <patternFill patternType="solid">
        <fgColor rgb="FF735D92"/>
        <bgColor indexed="64"/>
      </patternFill>
    </fill>
    <fill>
      <patternFill patternType="solid">
        <fgColor rgb="FFF87C9C"/>
        <bgColor indexed="64"/>
      </patternFill>
    </fill>
    <fill>
      <patternFill patternType="solid">
        <fgColor rgb="FFFA81AC"/>
        <bgColor indexed="64"/>
      </patternFill>
    </fill>
    <fill>
      <patternFill patternType="solid">
        <fgColor rgb="FFF980AA"/>
        <bgColor indexed="64"/>
      </patternFill>
    </fill>
    <fill>
      <patternFill patternType="solid">
        <fgColor rgb="FFDA73A0"/>
        <bgColor indexed="64"/>
      </patternFill>
    </fill>
    <fill>
      <patternFill patternType="solid">
        <fgColor rgb="FF9D618F"/>
        <bgColor indexed="64"/>
      </patternFill>
    </fill>
    <fill>
      <patternFill patternType="solid">
        <fgColor rgb="FF2F97E5"/>
        <bgColor indexed="64"/>
      </patternFill>
    </fill>
    <fill>
      <patternFill patternType="solid">
        <fgColor rgb="FFF3F2F1"/>
        <bgColor indexed="64"/>
      </patternFill>
    </fill>
    <fill>
      <patternFill patternType="solid">
        <fgColor rgb="FF8F8946"/>
        <bgColor indexed="64"/>
      </patternFill>
    </fill>
    <fill>
      <patternFill patternType="solid">
        <fgColor rgb="FFCAC52C"/>
        <bgColor indexed="64"/>
      </patternFill>
    </fill>
    <fill>
      <patternFill patternType="solid">
        <fgColor rgb="FFC3BF87"/>
        <bgColor indexed="64"/>
      </patternFill>
    </fill>
    <fill>
      <patternFill patternType="solid">
        <fgColor rgb="FFFEFEFB"/>
        <bgColor indexed="64"/>
      </patternFill>
    </fill>
    <fill>
      <patternFill patternType="solid">
        <fgColor rgb="FFEEEEED"/>
        <bgColor indexed="64"/>
      </patternFill>
    </fill>
    <fill>
      <patternFill patternType="solid">
        <fgColor rgb="FF808792"/>
        <bgColor indexed="64"/>
      </patternFill>
    </fill>
    <fill>
      <patternFill patternType="solid">
        <fgColor rgb="FF3C8DD0"/>
        <bgColor indexed="64"/>
      </patternFill>
    </fill>
    <fill>
      <patternFill patternType="solid">
        <fgColor rgb="FF4E86BC"/>
        <bgColor indexed="64"/>
      </patternFill>
    </fill>
    <fill>
      <patternFill patternType="solid">
        <fgColor rgb="FF559EDB"/>
        <bgColor indexed="64"/>
      </patternFill>
    </fill>
    <fill>
      <patternFill patternType="solid">
        <fgColor rgb="FF3E84C2"/>
        <bgColor indexed="64"/>
      </patternFill>
    </fill>
    <fill>
      <patternFill patternType="solid">
        <fgColor rgb="FFC38B58"/>
        <bgColor indexed="64"/>
      </patternFill>
    </fill>
    <fill>
      <patternFill patternType="solid">
        <fgColor rgb="FFAE8964"/>
        <bgColor indexed="64"/>
      </patternFill>
    </fill>
    <fill>
      <patternFill patternType="solid">
        <fgColor rgb="FF367FC9"/>
        <bgColor indexed="64"/>
      </patternFill>
    </fill>
    <fill>
      <patternFill patternType="solid">
        <fgColor rgb="FF5888B5"/>
        <bgColor indexed="64"/>
      </patternFill>
    </fill>
    <fill>
      <patternFill patternType="solid">
        <fgColor rgb="FFA28F80"/>
        <bgColor indexed="64"/>
      </patternFill>
    </fill>
    <fill>
      <patternFill patternType="solid">
        <fgColor rgb="FFB07F5C"/>
        <bgColor indexed="64"/>
      </patternFill>
    </fill>
    <fill>
      <patternFill patternType="solid">
        <fgColor rgb="FF554E5E"/>
        <bgColor indexed="64"/>
      </patternFill>
    </fill>
    <fill>
      <patternFill patternType="solid">
        <fgColor rgb="FF3580C2"/>
        <bgColor indexed="64"/>
      </patternFill>
    </fill>
    <fill>
      <patternFill patternType="solid">
        <fgColor rgb="FF44B2FD"/>
        <bgColor indexed="64"/>
      </patternFill>
    </fill>
    <fill>
      <patternFill patternType="solid">
        <fgColor rgb="FF3EADF9"/>
        <bgColor indexed="64"/>
      </patternFill>
    </fill>
    <fill>
      <patternFill patternType="solid">
        <fgColor rgb="FF3BADFA"/>
        <bgColor indexed="64"/>
      </patternFill>
    </fill>
    <fill>
      <patternFill patternType="solid">
        <fgColor rgb="FF3CACFA"/>
        <bgColor indexed="64"/>
      </patternFill>
    </fill>
    <fill>
      <patternFill patternType="solid">
        <fgColor rgb="FF35AAFF"/>
        <bgColor indexed="64"/>
      </patternFill>
    </fill>
    <fill>
      <patternFill patternType="solid">
        <fgColor rgb="FF598289"/>
        <bgColor indexed="64"/>
      </patternFill>
    </fill>
    <fill>
      <patternFill patternType="solid">
        <fgColor rgb="FFB8AF34"/>
        <bgColor indexed="64"/>
      </patternFill>
    </fill>
    <fill>
      <patternFill patternType="solid">
        <fgColor rgb="FF4F9FB9"/>
        <bgColor indexed="64"/>
      </patternFill>
    </fill>
    <fill>
      <patternFill patternType="solid">
        <fgColor rgb="FF38ACFF"/>
        <bgColor indexed="64"/>
      </patternFill>
    </fill>
    <fill>
      <patternFill patternType="solid">
        <fgColor rgb="FF3CACF8"/>
        <bgColor indexed="64"/>
      </patternFill>
    </fill>
    <fill>
      <patternFill patternType="solid">
        <fgColor rgb="FF32ACFD"/>
        <bgColor indexed="64"/>
      </patternFill>
    </fill>
    <fill>
      <patternFill patternType="solid">
        <fgColor rgb="FF2B90E7"/>
        <bgColor indexed="64"/>
      </patternFill>
    </fill>
    <fill>
      <patternFill patternType="solid">
        <fgColor rgb="FF815C92"/>
        <bgColor indexed="64"/>
      </patternFill>
    </fill>
    <fill>
      <patternFill patternType="solid">
        <fgColor rgb="FFFD80A6"/>
        <bgColor indexed="64"/>
      </patternFill>
    </fill>
    <fill>
      <patternFill patternType="solid">
        <fgColor rgb="FFFB86B2"/>
        <bgColor indexed="64"/>
      </patternFill>
    </fill>
    <fill>
      <patternFill patternType="solid">
        <fgColor rgb="FFFF87B4"/>
        <bgColor indexed="64"/>
      </patternFill>
    </fill>
    <fill>
      <patternFill patternType="solid">
        <fgColor rgb="FFB672A8"/>
        <bgColor indexed="64"/>
      </patternFill>
    </fill>
    <fill>
      <patternFill patternType="solid">
        <fgColor rgb="FF3972B8"/>
        <bgColor indexed="64"/>
      </patternFill>
    </fill>
    <fill>
      <patternFill patternType="solid">
        <fgColor rgb="FF39A2EF"/>
        <bgColor indexed="64"/>
      </patternFill>
    </fill>
    <fill>
      <patternFill patternType="solid">
        <fgColor rgb="FFEEEEEF"/>
        <bgColor indexed="64"/>
      </patternFill>
    </fill>
    <fill>
      <patternFill patternType="solid">
        <fgColor rgb="FF585239"/>
        <bgColor indexed="64"/>
      </patternFill>
    </fill>
    <fill>
      <patternFill patternType="solid">
        <fgColor rgb="FF675E1B"/>
        <bgColor indexed="64"/>
      </patternFill>
    </fill>
    <fill>
      <patternFill patternType="solid">
        <fgColor rgb="FF959188"/>
        <bgColor indexed="64"/>
      </patternFill>
    </fill>
    <fill>
      <patternFill patternType="solid">
        <fgColor rgb="FFDED5D0"/>
        <bgColor indexed="64"/>
      </patternFill>
    </fill>
    <fill>
      <patternFill patternType="solid">
        <fgColor rgb="FF456586"/>
        <bgColor indexed="64"/>
      </patternFill>
    </fill>
    <fill>
      <patternFill patternType="solid">
        <fgColor rgb="FF50A3E7"/>
        <bgColor indexed="64"/>
      </patternFill>
    </fill>
    <fill>
      <patternFill patternType="solid">
        <fgColor rgb="FFA8826A"/>
        <bgColor indexed="64"/>
      </patternFill>
    </fill>
    <fill>
      <patternFill patternType="solid">
        <fgColor rgb="FF535F7C"/>
        <bgColor indexed="64"/>
      </patternFill>
    </fill>
    <fill>
      <patternFill patternType="solid">
        <fgColor rgb="FFB3845E"/>
        <bgColor indexed="64"/>
      </patternFill>
    </fill>
    <fill>
      <patternFill patternType="solid">
        <fgColor rgb="FFFEAD57"/>
        <bgColor indexed="64"/>
      </patternFill>
    </fill>
    <fill>
      <patternFill patternType="solid">
        <fgColor rgb="FF463B44"/>
        <bgColor indexed="64"/>
      </patternFill>
    </fill>
    <fill>
      <patternFill patternType="solid">
        <fgColor rgb="FF94786B"/>
        <bgColor indexed="64"/>
      </patternFill>
    </fill>
    <fill>
      <patternFill patternType="solid">
        <fgColor rgb="FFF6A555"/>
        <bgColor indexed="64"/>
      </patternFill>
    </fill>
    <fill>
      <patternFill patternType="solid">
        <fgColor rgb="FFDD9B4F"/>
        <bgColor indexed="64"/>
      </patternFill>
    </fill>
    <fill>
      <patternFill patternType="solid">
        <fgColor rgb="FF64758B"/>
        <bgColor indexed="64"/>
      </patternFill>
    </fill>
    <fill>
      <patternFill patternType="solid">
        <fgColor rgb="FF3AA0F3"/>
        <bgColor indexed="64"/>
      </patternFill>
    </fill>
    <fill>
      <patternFill patternType="solid">
        <fgColor rgb="FF3EB7FF"/>
        <bgColor indexed="64"/>
      </patternFill>
    </fill>
    <fill>
      <patternFill patternType="solid">
        <fgColor rgb="FF3FADF9"/>
        <bgColor indexed="64"/>
      </patternFill>
    </fill>
    <fill>
      <patternFill patternType="solid">
        <fgColor rgb="FF3FADFC"/>
        <bgColor indexed="64"/>
      </patternFill>
    </fill>
    <fill>
      <patternFill patternType="solid">
        <fgColor rgb="FF3CADFC"/>
        <bgColor indexed="64"/>
      </patternFill>
    </fill>
    <fill>
      <patternFill patternType="solid">
        <fgColor rgb="FF3CADF9"/>
        <bgColor indexed="64"/>
      </patternFill>
    </fill>
    <fill>
      <patternFill patternType="solid">
        <fgColor rgb="FF37ADFF"/>
        <bgColor indexed="64"/>
      </patternFill>
    </fill>
    <fill>
      <patternFill patternType="solid">
        <fgColor rgb="FF3D6A97"/>
        <bgColor indexed="64"/>
      </patternFill>
    </fill>
    <fill>
      <patternFill patternType="solid">
        <fgColor rgb="FF737235"/>
        <bgColor indexed="64"/>
      </patternFill>
    </fill>
    <fill>
      <patternFill patternType="solid">
        <fgColor rgb="FF469DCB"/>
        <bgColor indexed="64"/>
      </patternFill>
    </fill>
    <fill>
      <patternFill patternType="solid">
        <fgColor rgb="FF3BB0FF"/>
        <bgColor indexed="64"/>
      </patternFill>
    </fill>
    <fill>
      <patternFill patternType="solid">
        <fgColor rgb="FF3DADF9"/>
        <bgColor indexed="64"/>
      </patternFill>
    </fill>
    <fill>
      <patternFill patternType="solid">
        <fgColor rgb="FF32A7FB"/>
        <bgColor indexed="64"/>
      </patternFill>
    </fill>
    <fill>
      <patternFill patternType="solid">
        <fgColor rgb="FF3D97ED"/>
        <bgColor indexed="64"/>
      </patternFill>
    </fill>
    <fill>
      <patternFill patternType="solid">
        <fgColor rgb="FF8B70AC"/>
        <bgColor indexed="64"/>
      </patternFill>
    </fill>
    <fill>
      <patternFill patternType="solid">
        <fgColor rgb="FFEF769C"/>
        <bgColor indexed="64"/>
      </patternFill>
    </fill>
    <fill>
      <patternFill patternType="solid">
        <fgColor rgb="FFB65E79"/>
        <bgColor indexed="64"/>
      </patternFill>
    </fill>
    <fill>
      <patternFill patternType="solid">
        <fgColor rgb="FFC872A1"/>
        <bgColor indexed="64"/>
      </patternFill>
    </fill>
    <fill>
      <patternFill patternType="solid">
        <fgColor rgb="FF3D9CE4"/>
        <bgColor indexed="64"/>
      </patternFill>
    </fill>
    <fill>
      <patternFill patternType="solid">
        <fgColor rgb="FFEAEAE0"/>
        <bgColor indexed="64"/>
      </patternFill>
    </fill>
    <fill>
      <patternFill patternType="solid">
        <fgColor rgb="FF6C6633"/>
        <bgColor indexed="64"/>
      </patternFill>
    </fill>
    <fill>
      <patternFill patternType="solid">
        <fgColor rgb="FF423718"/>
        <bgColor indexed="64"/>
      </patternFill>
    </fill>
    <fill>
      <patternFill patternType="solid">
        <fgColor rgb="FF918B87"/>
        <bgColor indexed="64"/>
      </patternFill>
    </fill>
    <fill>
      <patternFill patternType="solid">
        <fgColor rgb="FFFBFAFA"/>
        <bgColor indexed="64"/>
      </patternFill>
    </fill>
    <fill>
      <patternFill patternType="solid">
        <fgColor rgb="FF8B848A"/>
        <bgColor indexed="64"/>
      </patternFill>
    </fill>
    <fill>
      <patternFill patternType="solid">
        <fgColor rgb="FF926F62"/>
        <bgColor indexed="64"/>
      </patternFill>
    </fill>
    <fill>
      <patternFill patternType="solid">
        <fgColor rgb="FF70798C"/>
        <bgColor indexed="64"/>
      </patternFill>
    </fill>
    <fill>
      <patternFill patternType="solid">
        <fgColor rgb="FFD2925C"/>
        <bgColor indexed="64"/>
      </patternFill>
    </fill>
    <fill>
      <patternFill patternType="solid">
        <fgColor rgb="FF8C5938"/>
        <bgColor indexed="64"/>
      </patternFill>
    </fill>
    <fill>
      <patternFill patternType="solid">
        <fgColor rgb="FFFFB460"/>
        <bgColor indexed="64"/>
      </patternFill>
    </fill>
    <fill>
      <patternFill patternType="solid">
        <fgColor rgb="FFC27D4B"/>
        <bgColor indexed="64"/>
      </patternFill>
    </fill>
    <fill>
      <patternFill patternType="solid">
        <fgColor rgb="FFAF6F42"/>
        <bgColor indexed="64"/>
      </patternFill>
    </fill>
    <fill>
      <patternFill patternType="solid">
        <fgColor rgb="FFFFB25C"/>
        <bgColor indexed="64"/>
      </patternFill>
    </fill>
    <fill>
      <patternFill patternType="solid">
        <fgColor rgb="FFD18C4D"/>
        <bgColor indexed="64"/>
      </patternFill>
    </fill>
    <fill>
      <patternFill patternType="solid">
        <fgColor rgb="FF5B4244"/>
        <bgColor indexed="64"/>
      </patternFill>
    </fill>
    <fill>
      <patternFill patternType="solid">
        <fgColor rgb="FF5F6A89"/>
        <bgColor indexed="64"/>
      </patternFill>
    </fill>
    <fill>
      <patternFill patternType="solid">
        <fgColor rgb="FF657E9A"/>
        <bgColor indexed="64"/>
      </patternFill>
    </fill>
    <fill>
      <patternFill patternType="solid">
        <fgColor rgb="FF5890BB"/>
        <bgColor indexed="64"/>
      </patternFill>
    </fill>
    <fill>
      <patternFill patternType="solid">
        <fgColor rgb="FF45A9F0"/>
        <bgColor indexed="64"/>
      </patternFill>
    </fill>
    <fill>
      <patternFill patternType="solid">
        <fgColor rgb="FF3AACFC"/>
        <bgColor indexed="64"/>
      </patternFill>
    </fill>
    <fill>
      <patternFill patternType="solid">
        <fgColor rgb="FF3AABFC"/>
        <bgColor indexed="64"/>
      </patternFill>
    </fill>
    <fill>
      <patternFill patternType="solid">
        <fgColor rgb="FF3BACFB"/>
        <bgColor indexed="64"/>
      </patternFill>
    </fill>
    <fill>
      <patternFill patternType="solid">
        <fgColor rgb="FF3CACF9"/>
        <bgColor indexed="64"/>
      </patternFill>
    </fill>
    <fill>
      <patternFill patternType="solid">
        <fgColor rgb="FF39AFFF"/>
        <bgColor indexed="64"/>
      </patternFill>
    </fill>
    <fill>
      <patternFill patternType="solid">
        <fgColor rgb="FF34628E"/>
        <bgColor indexed="64"/>
      </patternFill>
    </fill>
    <fill>
      <patternFill patternType="solid">
        <fgColor rgb="FF313334"/>
        <bgColor indexed="64"/>
      </patternFill>
    </fill>
    <fill>
      <patternFill patternType="solid">
        <fgColor rgb="FF3D95D1"/>
        <bgColor indexed="64"/>
      </patternFill>
    </fill>
    <fill>
      <patternFill patternType="solid">
        <fgColor rgb="FF3CAEF9"/>
        <bgColor indexed="64"/>
      </patternFill>
    </fill>
    <fill>
      <patternFill patternType="solid">
        <fgColor rgb="FF3BAFFB"/>
        <bgColor indexed="64"/>
      </patternFill>
    </fill>
    <fill>
      <patternFill patternType="solid">
        <fgColor rgb="FF32A8FA"/>
        <bgColor indexed="64"/>
      </patternFill>
    </fill>
    <fill>
      <patternFill patternType="solid">
        <fgColor rgb="FF33A8FB"/>
        <bgColor indexed="64"/>
      </patternFill>
    </fill>
    <fill>
      <patternFill patternType="solid">
        <fgColor rgb="FF30AAFB"/>
        <bgColor indexed="64"/>
      </patternFill>
    </fill>
    <fill>
      <patternFill patternType="solid">
        <fgColor rgb="FF31A9FD"/>
        <bgColor indexed="64"/>
      </patternFill>
    </fill>
    <fill>
      <patternFill patternType="solid">
        <fgColor rgb="FF1E97F0"/>
        <bgColor indexed="64"/>
      </patternFill>
    </fill>
    <fill>
      <patternFill patternType="solid">
        <fgColor rgb="FF4F578E"/>
        <bgColor indexed="64"/>
      </patternFill>
    </fill>
    <fill>
      <patternFill patternType="solid">
        <fgColor rgb="FF6A5B8C"/>
        <bgColor indexed="64"/>
      </patternFill>
    </fill>
    <fill>
      <patternFill patternType="solid">
        <fgColor rgb="FF373D38"/>
        <bgColor indexed="64"/>
      </patternFill>
    </fill>
    <fill>
      <patternFill patternType="solid">
        <fgColor rgb="FF706E6A"/>
        <bgColor indexed="64"/>
      </patternFill>
    </fill>
    <fill>
      <patternFill patternType="solid">
        <fgColor rgb="FF2DA6FC"/>
        <bgColor indexed="64"/>
      </patternFill>
    </fill>
    <fill>
      <patternFill patternType="solid">
        <fgColor rgb="FFE4E2CB"/>
        <bgColor indexed="64"/>
      </patternFill>
    </fill>
    <fill>
      <patternFill patternType="solid">
        <fgColor rgb="FF8F862E"/>
        <bgColor indexed="64"/>
      </patternFill>
    </fill>
    <fill>
      <patternFill patternType="solid">
        <fgColor rgb="FF796D25"/>
        <bgColor indexed="64"/>
      </patternFill>
    </fill>
    <fill>
      <patternFill patternType="solid">
        <fgColor rgb="FFA9A198"/>
        <bgColor indexed="64"/>
      </patternFill>
    </fill>
    <fill>
      <patternFill patternType="solid">
        <fgColor rgb="FFFFFEFB"/>
        <bgColor indexed="64"/>
      </patternFill>
    </fill>
    <fill>
      <patternFill patternType="solid">
        <fgColor rgb="FF8BA8C2"/>
        <bgColor indexed="64"/>
      </patternFill>
    </fill>
    <fill>
      <patternFill patternType="solid">
        <fgColor rgb="FF4D92CB"/>
        <bgColor indexed="64"/>
      </patternFill>
    </fill>
    <fill>
      <patternFill patternType="solid">
        <fgColor rgb="FFD2966C"/>
        <bgColor indexed="64"/>
      </patternFill>
    </fill>
    <fill>
      <patternFill patternType="solid">
        <fgColor rgb="FFBF7645"/>
        <bgColor indexed="64"/>
      </patternFill>
    </fill>
    <fill>
      <patternFill patternType="solid">
        <fgColor rgb="FFE69854"/>
        <bgColor indexed="64"/>
      </patternFill>
    </fill>
    <fill>
      <patternFill patternType="solid">
        <fgColor rgb="FFF6A256"/>
        <bgColor indexed="64"/>
      </patternFill>
    </fill>
    <fill>
      <patternFill patternType="solid">
        <fgColor rgb="FFFBA85B"/>
        <bgColor indexed="64"/>
      </patternFill>
    </fill>
    <fill>
      <patternFill patternType="solid">
        <fgColor rgb="FFE99754"/>
        <bgColor indexed="64"/>
      </patternFill>
    </fill>
    <fill>
      <patternFill patternType="solid">
        <fgColor rgb="FFFFB05D"/>
        <bgColor indexed="64"/>
      </patternFill>
    </fill>
    <fill>
      <patternFill patternType="solid">
        <fgColor rgb="FFF5A259"/>
        <bgColor indexed="64"/>
      </patternFill>
    </fill>
    <fill>
      <patternFill patternType="solid">
        <fgColor rgb="FFDB8C52"/>
        <bgColor indexed="64"/>
      </patternFill>
    </fill>
    <fill>
      <patternFill patternType="solid">
        <fgColor rgb="FFF4A15E"/>
        <bgColor indexed="64"/>
      </patternFill>
    </fill>
    <fill>
      <patternFill patternType="solid">
        <fgColor rgb="FFFFA458"/>
        <bgColor indexed="64"/>
      </patternFill>
    </fill>
    <fill>
      <patternFill patternType="solid">
        <fgColor rgb="FFFFA453"/>
        <bgColor indexed="64"/>
      </patternFill>
    </fill>
    <fill>
      <patternFill patternType="solid">
        <fgColor rgb="FFED9955"/>
        <bgColor indexed="64"/>
      </patternFill>
    </fill>
    <fill>
      <patternFill patternType="solid">
        <fgColor rgb="FF8C756E"/>
        <bgColor indexed="64"/>
      </patternFill>
    </fill>
    <fill>
      <patternFill patternType="solid">
        <fgColor rgb="FF398BCE"/>
        <bgColor indexed="64"/>
      </patternFill>
    </fill>
    <fill>
      <patternFill patternType="solid">
        <fgColor rgb="FF41B0FC"/>
        <bgColor indexed="64"/>
      </patternFill>
    </fill>
    <fill>
      <patternFill patternType="solid">
        <fgColor rgb="FF3BAAFB"/>
        <bgColor indexed="64"/>
      </patternFill>
    </fill>
    <fill>
      <patternFill patternType="solid">
        <fgColor rgb="FF39ADFF"/>
        <bgColor indexed="64"/>
      </patternFill>
    </fill>
    <fill>
      <patternFill patternType="solid">
        <fgColor rgb="FF578590"/>
        <bgColor indexed="64"/>
      </patternFill>
    </fill>
    <fill>
      <patternFill patternType="solid">
        <fgColor rgb="FF79742A"/>
        <bgColor indexed="64"/>
      </patternFill>
    </fill>
    <fill>
      <patternFill patternType="solid">
        <fgColor rgb="FF4E9EC1"/>
        <bgColor indexed="64"/>
      </patternFill>
    </fill>
    <fill>
      <patternFill patternType="solid">
        <fgColor rgb="FF3BAFFF"/>
        <bgColor indexed="64"/>
      </patternFill>
    </fill>
    <fill>
      <patternFill patternType="solid">
        <fgColor rgb="FF3DAEF8"/>
        <bgColor indexed="64"/>
      </patternFill>
    </fill>
    <fill>
      <patternFill patternType="solid">
        <fgColor rgb="FF30A8FC"/>
        <bgColor indexed="64"/>
      </patternFill>
    </fill>
    <fill>
      <patternFill patternType="solid">
        <fgColor rgb="FF2D97ED"/>
        <bgColor indexed="64"/>
      </patternFill>
    </fill>
    <fill>
      <patternFill patternType="solid">
        <fgColor rgb="FF2D8EDC"/>
        <bgColor indexed="64"/>
      </patternFill>
    </fill>
    <fill>
      <patternFill patternType="solid">
        <fgColor rgb="FF27A7FF"/>
        <bgColor indexed="64"/>
      </patternFill>
    </fill>
    <fill>
      <patternFill patternType="solid">
        <fgColor rgb="FF318ED2"/>
        <bgColor indexed="64"/>
      </patternFill>
    </fill>
    <fill>
      <patternFill patternType="solid">
        <fgColor rgb="FF577551"/>
        <bgColor indexed="64"/>
      </patternFill>
    </fill>
    <fill>
      <patternFill patternType="solid">
        <fgColor rgb="FF399CD2"/>
        <bgColor indexed="64"/>
      </patternFill>
    </fill>
    <fill>
      <patternFill patternType="solid">
        <fgColor rgb="FF2EA9FF"/>
        <bgColor indexed="64"/>
      </patternFill>
    </fill>
    <fill>
      <patternFill patternType="solid">
        <fgColor rgb="FFCDCBAD"/>
        <bgColor indexed="64"/>
      </patternFill>
    </fill>
    <fill>
      <patternFill patternType="solid">
        <fgColor rgb="FFB8B12C"/>
        <bgColor indexed="64"/>
      </patternFill>
    </fill>
    <fill>
      <patternFill patternType="solid">
        <fgColor rgb="FFCFC831"/>
        <bgColor indexed="64"/>
      </patternFill>
    </fill>
    <fill>
      <patternFill patternType="solid">
        <fgColor rgb="FFAEA990"/>
        <bgColor indexed="64"/>
      </patternFill>
    </fill>
    <fill>
      <patternFill patternType="solid">
        <fgColor rgb="FF9DAEC1"/>
        <bgColor indexed="64"/>
      </patternFill>
    </fill>
    <fill>
      <patternFill patternType="solid">
        <fgColor rgb="FF3880B9"/>
        <bgColor indexed="64"/>
      </patternFill>
    </fill>
    <fill>
      <patternFill patternType="solid">
        <fgColor rgb="FF43A4EA"/>
        <bgColor indexed="64"/>
      </patternFill>
    </fill>
    <fill>
      <patternFill patternType="solid">
        <fgColor rgb="FFB4978B"/>
        <bgColor indexed="64"/>
      </patternFill>
    </fill>
    <fill>
      <patternFill patternType="solid">
        <fgColor rgb="FFF59450"/>
        <bgColor indexed="64"/>
      </patternFill>
    </fill>
    <fill>
      <patternFill patternType="solid">
        <fgColor rgb="FFF29F58"/>
        <bgColor indexed="64"/>
      </patternFill>
    </fill>
    <fill>
      <patternFill patternType="solid">
        <fgColor rgb="FFFEA75A"/>
        <bgColor indexed="64"/>
      </patternFill>
    </fill>
    <fill>
      <patternFill patternType="solid">
        <fgColor rgb="FFFBA457"/>
        <bgColor indexed="64"/>
      </patternFill>
    </fill>
    <fill>
      <patternFill patternType="solid">
        <fgColor rgb="FFFFAA58"/>
        <bgColor indexed="64"/>
      </patternFill>
    </fill>
    <fill>
      <patternFill patternType="solid">
        <fgColor rgb="FFFBA459"/>
        <bgColor indexed="64"/>
      </patternFill>
    </fill>
    <fill>
      <patternFill patternType="solid">
        <fgColor rgb="FFFCA35A"/>
        <bgColor indexed="64"/>
      </patternFill>
    </fill>
    <fill>
      <patternFill patternType="solid">
        <fgColor rgb="FFFFAA5A"/>
        <bgColor indexed="64"/>
      </patternFill>
    </fill>
    <fill>
      <patternFill patternType="solid">
        <fgColor rgb="FFFFA95A"/>
        <bgColor indexed="64"/>
      </patternFill>
    </fill>
    <fill>
      <patternFill patternType="solid">
        <fgColor rgb="FFF6A15D"/>
        <bgColor indexed="64"/>
      </patternFill>
    </fill>
    <fill>
      <patternFill patternType="solid">
        <fgColor rgb="FFB7724A"/>
        <bgColor indexed="64"/>
      </patternFill>
    </fill>
    <fill>
      <patternFill patternType="solid">
        <fgColor rgb="FF676C81"/>
        <bgColor indexed="64"/>
      </patternFill>
    </fill>
    <fill>
      <patternFill patternType="solid">
        <fgColor rgb="FF418FD8"/>
        <bgColor indexed="64"/>
      </patternFill>
    </fill>
    <fill>
      <patternFill patternType="solid">
        <fgColor rgb="FF3B9DE9"/>
        <bgColor indexed="64"/>
      </patternFill>
    </fill>
    <fill>
      <patternFill patternType="solid">
        <fgColor rgb="FF41ADF8"/>
        <bgColor indexed="64"/>
      </patternFill>
    </fill>
    <fill>
      <patternFill patternType="solid">
        <fgColor rgb="FF3BABFC"/>
        <bgColor indexed="64"/>
      </patternFill>
    </fill>
    <fill>
      <patternFill patternType="solid">
        <fgColor rgb="FF33A7FF"/>
        <bgColor indexed="64"/>
      </patternFill>
    </fill>
    <fill>
      <patternFill patternType="solid">
        <fgColor rgb="FF81AD84"/>
        <bgColor indexed="64"/>
      </patternFill>
    </fill>
    <fill>
      <patternFill patternType="solid">
        <fgColor rgb="FFD7CF27"/>
        <bgColor indexed="64"/>
      </patternFill>
    </fill>
    <fill>
      <patternFill patternType="solid">
        <fgColor rgb="FF458FAA"/>
        <bgColor indexed="64"/>
      </patternFill>
    </fill>
    <fill>
      <patternFill patternType="solid">
        <fgColor rgb="FF30AAFC"/>
        <bgColor indexed="64"/>
      </patternFill>
    </fill>
    <fill>
      <patternFill patternType="solid">
        <fgColor rgb="FF2FAAFF"/>
        <bgColor indexed="64"/>
      </patternFill>
    </fill>
    <fill>
      <patternFill patternType="solid">
        <fgColor rgb="FF2EA4F8"/>
        <bgColor indexed="64"/>
      </patternFill>
    </fill>
    <fill>
      <patternFill patternType="solid">
        <fgColor rgb="FF2CABFF"/>
        <bgColor indexed="64"/>
      </patternFill>
    </fill>
    <fill>
      <patternFill patternType="solid">
        <fgColor rgb="FF246BAE"/>
        <bgColor indexed="64"/>
      </patternFill>
    </fill>
    <fill>
      <patternFill patternType="solid">
        <fgColor rgb="FF518582"/>
        <bgColor indexed="64"/>
      </patternFill>
    </fill>
    <fill>
      <patternFill patternType="solid">
        <fgColor rgb="FF33AEFD"/>
        <bgColor indexed="64"/>
      </patternFill>
    </fill>
    <fill>
      <patternFill patternType="solid">
        <fgColor rgb="FFC6C2A1"/>
        <bgColor indexed="64"/>
      </patternFill>
    </fill>
    <fill>
      <patternFill patternType="solid">
        <fgColor rgb="FFECE82D"/>
        <bgColor indexed="64"/>
      </patternFill>
    </fill>
    <fill>
      <patternFill patternType="solid">
        <fgColor rgb="FFF5F232"/>
        <bgColor indexed="64"/>
      </patternFill>
    </fill>
    <fill>
      <patternFill patternType="solid">
        <fgColor rgb="FFBFBC9B"/>
        <bgColor indexed="64"/>
      </patternFill>
    </fill>
    <fill>
      <patternFill patternType="solid">
        <fgColor rgb="FFF7F0EE"/>
        <bgColor indexed="64"/>
      </patternFill>
    </fill>
    <fill>
      <patternFill patternType="solid">
        <fgColor rgb="FF8FA0B7"/>
        <bgColor indexed="64"/>
      </patternFill>
    </fill>
    <fill>
      <patternFill patternType="solid">
        <fgColor rgb="FF4AA5E3"/>
        <bgColor indexed="64"/>
      </patternFill>
    </fill>
    <fill>
      <patternFill patternType="solid">
        <fgColor rgb="FF488EC7"/>
        <bgColor indexed="64"/>
      </patternFill>
    </fill>
    <fill>
      <patternFill patternType="solid">
        <fgColor rgb="FF535E77"/>
        <bgColor indexed="64"/>
      </patternFill>
    </fill>
    <fill>
      <patternFill patternType="solid">
        <fgColor rgb="FF514D62"/>
        <bgColor indexed="64"/>
      </patternFill>
    </fill>
    <fill>
      <patternFill patternType="solid">
        <fgColor rgb="FFDE864B"/>
        <bgColor indexed="64"/>
      </patternFill>
    </fill>
    <fill>
      <patternFill patternType="solid">
        <fgColor rgb="FFFEA85C"/>
        <bgColor indexed="64"/>
      </patternFill>
    </fill>
    <fill>
      <patternFill patternType="solid">
        <fgColor rgb="FFFAA457"/>
        <bgColor indexed="64"/>
      </patternFill>
    </fill>
    <fill>
      <patternFill patternType="solid">
        <fgColor rgb="FFFCA459"/>
        <bgColor indexed="64"/>
      </patternFill>
    </fill>
    <fill>
      <patternFill patternType="solid">
        <fgColor rgb="FFFBA456"/>
        <bgColor indexed="64"/>
      </patternFill>
    </fill>
    <fill>
      <patternFill patternType="solid">
        <fgColor rgb="FFFBA355"/>
        <bgColor indexed="64"/>
      </patternFill>
    </fill>
    <fill>
      <patternFill patternType="solid">
        <fgColor rgb="FFFAA558"/>
        <bgColor indexed="64"/>
      </patternFill>
    </fill>
    <fill>
      <patternFill patternType="solid">
        <fgColor rgb="FFF9A558"/>
        <bgColor indexed="64"/>
      </patternFill>
    </fill>
    <fill>
      <patternFill patternType="solid">
        <fgColor rgb="FFE59654"/>
        <bgColor indexed="64"/>
      </patternFill>
    </fill>
    <fill>
      <patternFill patternType="solid">
        <fgColor rgb="FFD5935F"/>
        <bgColor indexed="64"/>
      </patternFill>
    </fill>
    <fill>
      <patternFill patternType="solid">
        <fgColor rgb="FF9A9690"/>
        <bgColor indexed="64"/>
      </patternFill>
    </fill>
    <fill>
      <patternFill patternType="solid">
        <fgColor rgb="FF4BA8E8"/>
        <bgColor indexed="64"/>
      </patternFill>
    </fill>
    <fill>
      <patternFill patternType="solid">
        <fgColor rgb="FF3DAAFC"/>
        <bgColor indexed="64"/>
      </patternFill>
    </fill>
    <fill>
      <patternFill patternType="solid">
        <fgColor rgb="FF3BACFA"/>
        <bgColor indexed="64"/>
      </patternFill>
    </fill>
    <fill>
      <patternFill patternType="solid">
        <fgColor rgb="FF2EA3FF"/>
        <bgColor indexed="64"/>
      </patternFill>
    </fill>
    <fill>
      <patternFill patternType="solid">
        <fgColor rgb="FF7AA578"/>
        <bgColor indexed="64"/>
      </patternFill>
    </fill>
    <fill>
      <patternFill patternType="solid">
        <fgColor rgb="FFECE628"/>
        <bgColor indexed="64"/>
      </patternFill>
    </fill>
    <fill>
      <patternFill patternType="solid">
        <fgColor rgb="FF3F88A4"/>
        <bgColor indexed="64"/>
      </patternFill>
    </fill>
    <fill>
      <patternFill patternType="solid">
        <fgColor rgb="FF3DB1FF"/>
        <bgColor indexed="64"/>
      </patternFill>
    </fill>
    <fill>
      <patternFill patternType="solid">
        <fgColor rgb="FF2DA4FA"/>
        <bgColor indexed="64"/>
      </patternFill>
    </fill>
    <fill>
      <patternFill patternType="solid">
        <fgColor rgb="FF2CA6FC"/>
        <bgColor indexed="64"/>
      </patternFill>
    </fill>
    <fill>
      <patternFill patternType="solid">
        <fgColor rgb="FF2C96E9"/>
        <bgColor indexed="64"/>
      </patternFill>
    </fill>
    <fill>
      <patternFill patternType="solid">
        <fgColor rgb="FF4F7D8C"/>
        <bgColor indexed="64"/>
      </patternFill>
    </fill>
    <fill>
      <patternFill patternType="solid">
        <fgColor rgb="FF32A6EE"/>
        <bgColor indexed="64"/>
      </patternFill>
    </fill>
    <fill>
      <patternFill patternType="solid">
        <fgColor rgb="FFFEFEFC"/>
        <bgColor indexed="64"/>
      </patternFill>
    </fill>
    <fill>
      <patternFill patternType="solid">
        <fgColor rgb="FFD5D2B2"/>
        <bgColor indexed="64"/>
      </patternFill>
    </fill>
    <fill>
      <patternFill patternType="solid">
        <fgColor rgb="FFEDE931"/>
        <bgColor indexed="64"/>
      </patternFill>
    </fill>
    <fill>
      <patternFill patternType="solid">
        <fgColor rgb="FFD1CF2F"/>
        <bgColor indexed="64"/>
      </patternFill>
    </fill>
    <fill>
      <patternFill patternType="solid">
        <fgColor rgb="FFBFBEBB"/>
        <bgColor indexed="64"/>
      </patternFill>
    </fill>
    <fill>
      <patternFill patternType="solid">
        <fgColor rgb="FFFEF8F5"/>
        <bgColor indexed="64"/>
      </patternFill>
    </fill>
    <fill>
      <patternFill patternType="solid">
        <fgColor rgb="FFC7CAD1"/>
        <bgColor indexed="64"/>
      </patternFill>
    </fill>
    <fill>
      <patternFill patternType="solid">
        <fgColor rgb="FF78A1C3"/>
        <bgColor indexed="64"/>
      </patternFill>
    </fill>
    <fill>
      <patternFill patternType="solid">
        <fgColor rgb="FF3F9FE8"/>
        <bgColor indexed="64"/>
      </patternFill>
    </fill>
    <fill>
      <patternFill patternType="solid">
        <fgColor rgb="FF4EBFFF"/>
        <bgColor indexed="64"/>
      </patternFill>
    </fill>
    <fill>
      <patternFill patternType="solid">
        <fgColor rgb="FF3E8CCF"/>
        <bgColor indexed="64"/>
      </patternFill>
    </fill>
    <fill>
      <patternFill patternType="solid">
        <fgColor rgb="FFA7724C"/>
        <bgColor indexed="64"/>
      </patternFill>
    </fill>
    <fill>
      <patternFill patternType="solid">
        <fgColor rgb="FFC98748"/>
        <bgColor indexed="64"/>
      </patternFill>
    </fill>
    <fill>
      <patternFill patternType="solid">
        <fgColor rgb="FFEB9957"/>
        <bgColor indexed="64"/>
      </patternFill>
    </fill>
    <fill>
      <patternFill patternType="solid">
        <fgColor rgb="FFFEA759"/>
        <bgColor indexed="64"/>
      </patternFill>
    </fill>
    <fill>
      <patternFill patternType="solid">
        <fgColor rgb="FFFBA755"/>
        <bgColor indexed="64"/>
      </patternFill>
    </fill>
    <fill>
      <patternFill patternType="solid">
        <fgColor rgb="FFFCA956"/>
        <bgColor indexed="64"/>
      </patternFill>
    </fill>
    <fill>
      <patternFill patternType="solid">
        <fgColor rgb="FFFCA856"/>
        <bgColor indexed="64"/>
      </patternFill>
    </fill>
    <fill>
      <patternFill patternType="solid">
        <fgColor rgb="FFEF9D53"/>
        <bgColor indexed="64"/>
      </patternFill>
    </fill>
    <fill>
      <patternFill patternType="solid">
        <fgColor rgb="FFF4A059"/>
        <bgColor indexed="64"/>
      </patternFill>
    </fill>
    <fill>
      <patternFill patternType="solid">
        <fgColor rgb="FFB37344"/>
        <bgColor indexed="64"/>
      </patternFill>
    </fill>
    <fill>
      <patternFill patternType="solid">
        <fgColor rgb="FF9C8569"/>
        <bgColor indexed="64"/>
      </patternFill>
    </fill>
    <fill>
      <patternFill patternType="solid">
        <fgColor rgb="FF4BA4DD"/>
        <bgColor indexed="64"/>
      </patternFill>
    </fill>
    <fill>
      <patternFill patternType="solid">
        <fgColor rgb="FF41B3FD"/>
        <bgColor indexed="64"/>
      </patternFill>
    </fill>
    <fill>
      <patternFill patternType="solid">
        <fgColor rgb="FF33A6FF"/>
        <bgColor indexed="64"/>
      </patternFill>
    </fill>
    <fill>
      <patternFill patternType="solid">
        <fgColor rgb="FF6F9674"/>
        <bgColor indexed="64"/>
      </patternFill>
    </fill>
    <fill>
      <patternFill patternType="solid">
        <fgColor rgb="FFE7E228"/>
        <bgColor indexed="64"/>
      </patternFill>
    </fill>
    <fill>
      <patternFill patternType="solid">
        <fgColor rgb="FF4190B4"/>
        <bgColor indexed="64"/>
      </patternFill>
    </fill>
    <fill>
      <patternFill patternType="solid">
        <fgColor rgb="FF3EAFF8"/>
        <bgColor indexed="64"/>
      </patternFill>
    </fill>
    <fill>
      <patternFill patternType="solid">
        <fgColor rgb="FF3CB0FA"/>
        <bgColor indexed="64"/>
      </patternFill>
    </fill>
    <fill>
      <patternFill patternType="solid">
        <fgColor rgb="FF33A7FA"/>
        <bgColor indexed="64"/>
      </patternFill>
    </fill>
    <fill>
      <patternFill patternType="solid">
        <fgColor rgb="FF34ABF9"/>
        <bgColor indexed="64"/>
      </patternFill>
    </fill>
    <fill>
      <patternFill patternType="solid">
        <fgColor rgb="FF35AEFD"/>
        <bgColor indexed="64"/>
      </patternFill>
    </fill>
    <fill>
      <patternFill patternType="solid">
        <fgColor rgb="FF2DA7FC"/>
        <bgColor indexed="64"/>
      </patternFill>
    </fill>
    <fill>
      <patternFill patternType="solid">
        <fgColor rgb="FF386A85"/>
        <bgColor indexed="64"/>
      </patternFill>
    </fill>
    <fill>
      <patternFill patternType="solid">
        <fgColor rgb="FF359BD2"/>
        <bgColor indexed="64"/>
      </patternFill>
    </fill>
    <fill>
      <patternFill patternType="solid">
        <fgColor rgb="FFD1CDB0"/>
        <bgColor indexed="64"/>
      </patternFill>
    </fill>
    <fill>
      <patternFill patternType="solid">
        <fgColor rgb="FFD5D242"/>
        <bgColor indexed="64"/>
      </patternFill>
    </fill>
    <fill>
      <patternFill patternType="solid">
        <fgColor rgb="FFDDDCDD"/>
        <bgColor indexed="64"/>
      </patternFill>
    </fill>
    <fill>
      <patternFill patternType="solid">
        <fgColor rgb="FFF5F1F0"/>
        <bgColor indexed="64"/>
      </patternFill>
    </fill>
    <fill>
      <patternFill patternType="solid">
        <fgColor rgb="FFBBC7D5"/>
        <bgColor indexed="64"/>
      </patternFill>
    </fill>
    <fill>
      <patternFill patternType="solid">
        <fgColor rgb="FF6896BE"/>
        <bgColor indexed="64"/>
      </patternFill>
    </fill>
    <fill>
      <patternFill patternType="solid">
        <fgColor rgb="FF45A0E0"/>
        <bgColor indexed="64"/>
      </patternFill>
    </fill>
    <fill>
      <patternFill patternType="solid">
        <fgColor rgb="FF45B4FD"/>
        <bgColor indexed="64"/>
      </patternFill>
    </fill>
    <fill>
      <patternFill patternType="solid">
        <fgColor rgb="FF47B4FE"/>
        <bgColor indexed="64"/>
      </patternFill>
    </fill>
    <fill>
      <patternFill patternType="solid">
        <fgColor rgb="FF48B3FB"/>
        <bgColor indexed="64"/>
      </patternFill>
    </fill>
    <fill>
      <patternFill patternType="solid">
        <fgColor rgb="FF45AAF6"/>
        <bgColor indexed="64"/>
      </patternFill>
    </fill>
    <fill>
      <patternFill patternType="solid">
        <fgColor rgb="FF614D54"/>
        <bgColor indexed="64"/>
      </patternFill>
    </fill>
    <fill>
      <patternFill patternType="solid">
        <fgColor rgb="FFD98340"/>
        <bgColor indexed="64"/>
      </patternFill>
    </fill>
    <fill>
      <patternFill patternType="solid">
        <fgColor rgb="FFFDAA5D"/>
        <bgColor indexed="64"/>
      </patternFill>
    </fill>
    <fill>
      <patternFill patternType="solid">
        <fgColor rgb="FFFAA257"/>
        <bgColor indexed="64"/>
      </patternFill>
    </fill>
    <fill>
      <patternFill patternType="solid">
        <fgColor rgb="FFFCA556"/>
        <bgColor indexed="64"/>
      </patternFill>
    </fill>
    <fill>
      <patternFill patternType="solid">
        <fgColor rgb="FFFBAA56"/>
        <bgColor indexed="64"/>
      </patternFill>
    </fill>
    <fill>
      <patternFill patternType="solid">
        <fgColor rgb="FFFCA857"/>
        <bgColor indexed="64"/>
      </patternFill>
    </fill>
    <fill>
      <patternFill patternType="solid">
        <fgColor rgb="FFFBA659"/>
        <bgColor indexed="64"/>
      </patternFill>
    </fill>
    <fill>
      <patternFill patternType="solid">
        <fgColor rgb="FFD68348"/>
        <bgColor indexed="64"/>
      </patternFill>
    </fill>
    <fill>
      <patternFill patternType="solid">
        <fgColor rgb="FF796763"/>
        <bgColor indexed="64"/>
      </patternFill>
    </fill>
    <fill>
      <patternFill patternType="solid">
        <fgColor rgb="FF537092"/>
        <bgColor indexed="64"/>
      </patternFill>
    </fill>
    <fill>
      <patternFill patternType="solid">
        <fgColor rgb="FF517A9C"/>
        <bgColor indexed="64"/>
      </patternFill>
    </fill>
    <fill>
      <patternFill patternType="solid">
        <fgColor rgb="FF42B4FF"/>
        <bgColor indexed="64"/>
      </patternFill>
    </fill>
    <fill>
      <patternFill patternType="solid">
        <fgColor rgb="FF3CAAF9"/>
        <bgColor indexed="64"/>
      </patternFill>
    </fill>
    <fill>
      <patternFill patternType="solid">
        <fgColor rgb="FF46B6F9"/>
        <bgColor indexed="64"/>
      </patternFill>
    </fill>
    <fill>
      <patternFill patternType="solid">
        <fgColor rgb="FF3FB3FF"/>
        <bgColor indexed="64"/>
      </patternFill>
    </fill>
    <fill>
      <patternFill patternType="solid">
        <fgColor rgb="FF638777"/>
        <bgColor indexed="64"/>
      </patternFill>
    </fill>
    <fill>
      <patternFill patternType="solid">
        <fgColor rgb="FFDBD426"/>
        <bgColor indexed="64"/>
      </patternFill>
    </fill>
    <fill>
      <patternFill patternType="solid">
        <fgColor rgb="FF428FAF"/>
        <bgColor indexed="64"/>
      </patternFill>
    </fill>
    <fill>
      <patternFill patternType="solid">
        <fgColor rgb="FF3AB0FF"/>
        <bgColor indexed="64"/>
      </patternFill>
    </fill>
    <fill>
      <patternFill patternType="solid">
        <fgColor rgb="FF3BADF7"/>
        <bgColor indexed="64"/>
      </patternFill>
    </fill>
    <fill>
      <patternFill patternType="solid">
        <fgColor rgb="FF35AAF8"/>
        <bgColor indexed="64"/>
      </patternFill>
    </fill>
    <fill>
      <patternFill patternType="solid">
        <fgColor rgb="FF2C9BEE"/>
        <bgColor indexed="64"/>
      </patternFill>
    </fill>
    <fill>
      <patternFill patternType="solid">
        <fgColor rgb="FF35AFFF"/>
        <bgColor indexed="64"/>
      </patternFill>
    </fill>
    <fill>
      <patternFill patternType="solid">
        <fgColor rgb="FF33AEFF"/>
        <bgColor indexed="64"/>
      </patternFill>
    </fill>
    <fill>
      <patternFill patternType="solid">
        <fgColor rgb="FF2CA2F9"/>
        <bgColor indexed="64"/>
      </patternFill>
    </fill>
    <fill>
      <patternFill patternType="solid">
        <fgColor rgb="FF628D73"/>
        <bgColor indexed="64"/>
      </patternFill>
    </fill>
    <fill>
      <patternFill patternType="solid">
        <fgColor rgb="FF3794BE"/>
        <bgColor indexed="64"/>
      </patternFill>
    </fill>
    <fill>
      <patternFill patternType="solid">
        <fgColor rgb="FFCBC599"/>
        <bgColor indexed="64"/>
      </patternFill>
    </fill>
    <fill>
      <patternFill patternType="solid">
        <fgColor rgb="FFEAE426"/>
        <bgColor indexed="64"/>
      </patternFill>
    </fill>
    <fill>
      <patternFill patternType="solid">
        <fgColor rgb="FFDCDA53"/>
        <bgColor indexed="64"/>
      </patternFill>
    </fill>
    <fill>
      <patternFill patternType="solid">
        <fgColor rgb="FFF4F4F0"/>
        <bgColor indexed="64"/>
      </patternFill>
    </fill>
    <fill>
      <patternFill patternType="solid">
        <fgColor rgb="FFFDFEFF"/>
        <bgColor indexed="64"/>
      </patternFill>
    </fill>
    <fill>
      <patternFill patternType="solid">
        <fgColor rgb="FFF4EEEA"/>
        <bgColor indexed="64"/>
      </patternFill>
    </fill>
    <fill>
      <patternFill patternType="solid">
        <fgColor rgb="FFC6C8CF"/>
        <bgColor indexed="64"/>
      </patternFill>
    </fill>
    <fill>
      <patternFill patternType="solid">
        <fgColor rgb="FF8CAAC8"/>
        <bgColor indexed="64"/>
      </patternFill>
    </fill>
    <fill>
      <patternFill patternType="solid">
        <fgColor rgb="FF59A2D8"/>
        <bgColor indexed="64"/>
      </patternFill>
    </fill>
    <fill>
      <patternFill patternType="solid">
        <fgColor rgb="FF3BA1E9"/>
        <bgColor indexed="64"/>
      </patternFill>
    </fill>
    <fill>
      <patternFill patternType="solid">
        <fgColor rgb="FF37A7FA"/>
        <bgColor indexed="64"/>
      </patternFill>
    </fill>
    <fill>
      <patternFill patternType="solid">
        <fgColor rgb="FF46B1FB"/>
        <bgColor indexed="64"/>
      </patternFill>
    </fill>
    <fill>
      <patternFill patternType="solid">
        <fgColor rgb="FF45B1FA"/>
        <bgColor indexed="64"/>
      </patternFill>
    </fill>
    <fill>
      <patternFill patternType="solid">
        <fgColor rgb="FF49B2F8"/>
        <bgColor indexed="64"/>
      </patternFill>
    </fill>
    <fill>
      <patternFill patternType="solid">
        <fgColor rgb="FF45AAF4"/>
        <bgColor indexed="64"/>
      </patternFill>
    </fill>
    <fill>
      <patternFill patternType="solid">
        <fgColor rgb="FF4B79AF"/>
        <bgColor indexed="64"/>
      </patternFill>
    </fill>
    <fill>
      <patternFill patternType="solid">
        <fgColor rgb="FFAB6240"/>
        <bgColor indexed="64"/>
      </patternFill>
    </fill>
    <fill>
      <patternFill patternType="solid">
        <fgColor rgb="FFE68E4E"/>
        <bgColor indexed="64"/>
      </patternFill>
    </fill>
    <fill>
      <patternFill patternType="solid">
        <fgColor rgb="FFFEAA55"/>
        <bgColor indexed="64"/>
      </patternFill>
    </fill>
    <fill>
      <patternFill patternType="solid">
        <fgColor rgb="FFE89654"/>
        <bgColor indexed="64"/>
      </patternFill>
    </fill>
    <fill>
      <patternFill patternType="solid">
        <fgColor rgb="FFC47740"/>
        <bgColor indexed="64"/>
      </patternFill>
    </fill>
    <fill>
      <patternFill patternType="solid">
        <fgColor rgb="FFF29852"/>
        <bgColor indexed="64"/>
      </patternFill>
    </fill>
    <fill>
      <patternFill patternType="solid">
        <fgColor rgb="FFA86342"/>
        <bgColor indexed="64"/>
      </patternFill>
    </fill>
    <fill>
      <patternFill patternType="solid">
        <fgColor rgb="FF3976AE"/>
        <bgColor indexed="64"/>
      </patternFill>
    </fill>
    <fill>
      <patternFill patternType="solid">
        <fgColor rgb="FF3A9BE7"/>
        <bgColor indexed="64"/>
      </patternFill>
    </fill>
    <fill>
      <patternFill patternType="solid">
        <fgColor rgb="FF43AFF9"/>
        <bgColor indexed="64"/>
      </patternFill>
    </fill>
    <fill>
      <patternFill patternType="solid">
        <fgColor rgb="FF39A8FA"/>
        <bgColor indexed="64"/>
      </patternFill>
    </fill>
    <fill>
      <patternFill patternType="solid">
        <fgColor rgb="FF38A8FB"/>
        <bgColor indexed="64"/>
      </patternFill>
    </fill>
    <fill>
      <patternFill patternType="solid">
        <fgColor rgb="FF43B4F9"/>
        <bgColor indexed="64"/>
      </patternFill>
    </fill>
    <fill>
      <patternFill patternType="solid">
        <fgColor rgb="FF44B9FF"/>
        <bgColor indexed="64"/>
      </patternFill>
    </fill>
    <fill>
      <patternFill patternType="solid">
        <fgColor rgb="FF38607B"/>
        <bgColor indexed="64"/>
      </patternFill>
    </fill>
    <fill>
      <patternFill patternType="solid">
        <fgColor rgb="FFB5AB21"/>
        <bgColor indexed="64"/>
      </patternFill>
    </fill>
    <fill>
      <patternFill patternType="solid">
        <fgColor rgb="FF4389A2"/>
        <bgColor indexed="64"/>
      </patternFill>
    </fill>
    <fill>
      <patternFill patternType="solid">
        <fgColor rgb="FF3AAAF7"/>
        <bgColor indexed="64"/>
      </patternFill>
    </fill>
    <fill>
      <patternFill patternType="solid">
        <fgColor rgb="FF37B3FF"/>
        <bgColor indexed="64"/>
      </patternFill>
    </fill>
    <fill>
      <patternFill patternType="solid">
        <fgColor rgb="FF318FD1"/>
        <bgColor indexed="64"/>
      </patternFill>
    </fill>
    <fill>
      <patternFill patternType="solid">
        <fgColor rgb="FF427678"/>
        <bgColor indexed="64"/>
      </patternFill>
    </fill>
    <fill>
      <patternFill patternType="solid">
        <fgColor rgb="FF3189C0"/>
        <bgColor indexed="64"/>
      </patternFill>
    </fill>
    <fill>
      <patternFill patternType="solid">
        <fgColor rgb="FF3C9ACC"/>
        <bgColor indexed="64"/>
      </patternFill>
    </fill>
    <fill>
      <patternFill patternType="solid">
        <fgColor rgb="FF36AFFE"/>
        <bgColor indexed="64"/>
      </patternFill>
    </fill>
    <fill>
      <patternFill patternType="solid">
        <fgColor rgb="FF2FA7FD"/>
        <bgColor indexed="64"/>
      </patternFill>
    </fill>
    <fill>
      <patternFill patternType="solid">
        <fgColor rgb="FF309DF5"/>
        <bgColor indexed="64"/>
      </patternFill>
    </fill>
    <fill>
      <patternFill patternType="solid">
        <fgColor rgb="FF285473"/>
        <bgColor indexed="64"/>
      </patternFill>
    </fill>
    <fill>
      <patternFill patternType="solid">
        <fgColor rgb="FF3098D9"/>
        <bgColor indexed="64"/>
      </patternFill>
    </fill>
    <fill>
      <patternFill patternType="solid">
        <fgColor rgb="FFFEFFFE"/>
        <bgColor indexed="64"/>
      </patternFill>
    </fill>
    <fill>
      <patternFill patternType="solid">
        <fgColor rgb="FFB0A87D"/>
        <bgColor indexed="64"/>
      </patternFill>
    </fill>
    <fill>
      <patternFill patternType="solid">
        <fgColor rgb="FFBFB51C"/>
        <bgColor indexed="64"/>
      </patternFill>
    </fill>
    <fill>
      <patternFill patternType="solid">
        <fgColor rgb="FFDAD75A"/>
        <bgColor indexed="64"/>
      </patternFill>
    </fill>
    <fill>
      <patternFill patternType="solid">
        <fgColor rgb="FFEFEFF6"/>
        <bgColor indexed="64"/>
      </patternFill>
    </fill>
    <fill>
      <patternFill patternType="solid">
        <fgColor rgb="FFFBF6F3"/>
        <bgColor indexed="64"/>
      </patternFill>
    </fill>
    <fill>
      <patternFill patternType="solid">
        <fgColor rgb="FFD9D6D9"/>
        <bgColor indexed="64"/>
      </patternFill>
    </fill>
    <fill>
      <patternFill patternType="solid">
        <fgColor rgb="FFB3BECD"/>
        <bgColor indexed="64"/>
      </patternFill>
    </fill>
    <fill>
      <patternFill patternType="solid">
        <fgColor rgb="FF87A8C9"/>
        <bgColor indexed="64"/>
      </patternFill>
    </fill>
    <fill>
      <patternFill patternType="solid">
        <fgColor rgb="FF5590C2"/>
        <bgColor indexed="64"/>
      </patternFill>
    </fill>
    <fill>
      <patternFill patternType="solid">
        <fgColor rgb="FF3687CD"/>
        <bgColor indexed="64"/>
      </patternFill>
    </fill>
    <fill>
      <patternFill patternType="solid">
        <fgColor rgb="FF3EA4ED"/>
        <bgColor indexed="64"/>
      </patternFill>
    </fill>
    <fill>
      <patternFill patternType="solid">
        <fgColor rgb="FF4A90BF"/>
        <bgColor indexed="64"/>
      </patternFill>
    </fill>
    <fill>
      <patternFill patternType="solid">
        <fgColor rgb="FF539ED1"/>
        <bgColor indexed="64"/>
      </patternFill>
    </fill>
    <fill>
      <patternFill patternType="solid">
        <fgColor rgb="FF91A36A"/>
        <bgColor indexed="64"/>
      </patternFill>
    </fill>
    <fill>
      <patternFill patternType="solid">
        <fgColor rgb="FF5996B5"/>
        <bgColor indexed="64"/>
      </patternFill>
    </fill>
    <fill>
      <patternFill patternType="solid">
        <fgColor rgb="FF46B6FE"/>
        <bgColor indexed="64"/>
      </patternFill>
    </fill>
    <fill>
      <patternFill patternType="solid">
        <fgColor rgb="FF47B0F6"/>
        <bgColor indexed="64"/>
      </patternFill>
    </fill>
    <fill>
      <patternFill patternType="solid">
        <fgColor rgb="FF4CB8FE"/>
        <bgColor indexed="64"/>
      </patternFill>
    </fill>
    <fill>
      <patternFill patternType="solid">
        <fgColor rgb="FF36689C"/>
        <bgColor indexed="64"/>
      </patternFill>
    </fill>
    <fill>
      <patternFill patternType="solid">
        <fgColor rgb="FF61616E"/>
        <bgColor indexed="64"/>
      </patternFill>
    </fill>
    <fill>
      <patternFill patternType="solid">
        <fgColor rgb="FF9A674E"/>
        <bgColor indexed="64"/>
      </patternFill>
    </fill>
    <fill>
      <patternFill patternType="solid">
        <fgColor rgb="FFE78D50"/>
        <bgColor indexed="64"/>
      </patternFill>
    </fill>
    <fill>
      <patternFill patternType="solid">
        <fgColor rgb="FFFAA256"/>
        <bgColor indexed="64"/>
      </patternFill>
    </fill>
    <fill>
      <patternFill patternType="solid">
        <fgColor rgb="FFF9A453"/>
        <bgColor indexed="64"/>
      </patternFill>
    </fill>
    <fill>
      <patternFill patternType="solid">
        <fgColor rgb="FFFFAF5C"/>
        <bgColor indexed="64"/>
      </patternFill>
    </fill>
    <fill>
      <patternFill patternType="solid">
        <fgColor rgb="FF8E6553"/>
        <bgColor indexed="64"/>
      </patternFill>
    </fill>
    <fill>
      <patternFill patternType="solid">
        <fgColor rgb="FF76605A"/>
        <bgColor indexed="64"/>
      </patternFill>
    </fill>
    <fill>
      <patternFill patternType="solid">
        <fgColor rgb="FFD17C47"/>
        <bgColor indexed="64"/>
      </patternFill>
    </fill>
    <fill>
      <patternFill patternType="solid">
        <fgColor rgb="FF476D91"/>
        <bgColor indexed="64"/>
      </patternFill>
    </fill>
    <fill>
      <patternFill patternType="solid">
        <fgColor rgb="FF43B9FF"/>
        <bgColor indexed="64"/>
      </patternFill>
    </fill>
    <fill>
      <patternFill patternType="solid">
        <fgColor rgb="FF3BA7F7"/>
        <bgColor indexed="64"/>
      </patternFill>
    </fill>
    <fill>
      <patternFill patternType="solid">
        <fgColor rgb="FF43B2F9"/>
        <bgColor indexed="64"/>
      </patternFill>
    </fill>
    <fill>
      <patternFill patternType="solid">
        <fgColor rgb="FF45B4FF"/>
        <bgColor indexed="64"/>
      </patternFill>
    </fill>
    <fill>
      <patternFill patternType="solid">
        <fgColor rgb="FF295277"/>
        <bgColor indexed="64"/>
      </patternFill>
    </fill>
    <fill>
      <patternFill patternType="solid">
        <fgColor rgb="FF81761A"/>
        <bgColor indexed="64"/>
      </patternFill>
    </fill>
    <fill>
      <patternFill patternType="solid">
        <fgColor rgb="FF468CA4"/>
        <bgColor indexed="64"/>
      </patternFill>
    </fill>
    <fill>
      <patternFill patternType="solid">
        <fgColor rgb="FF38A9F7"/>
        <bgColor indexed="64"/>
      </patternFill>
    </fill>
    <fill>
      <patternFill patternType="solid">
        <fgColor rgb="FF37ABFA"/>
        <bgColor indexed="64"/>
      </patternFill>
    </fill>
    <fill>
      <patternFill patternType="solid">
        <fgColor rgb="FF3AAFFE"/>
        <bgColor indexed="64"/>
      </patternFill>
    </fill>
    <fill>
      <patternFill patternType="solid">
        <fgColor rgb="FF3184C3"/>
        <bgColor indexed="64"/>
      </patternFill>
    </fill>
    <fill>
      <patternFill patternType="solid">
        <fgColor rgb="FF3074A1"/>
        <bgColor indexed="64"/>
      </patternFill>
    </fill>
    <fill>
      <patternFill patternType="solid">
        <fgColor rgb="FF487E71"/>
        <bgColor indexed="64"/>
      </patternFill>
    </fill>
    <fill>
      <patternFill patternType="solid">
        <fgColor rgb="FF79A95C"/>
        <bgColor indexed="64"/>
      </patternFill>
    </fill>
    <fill>
      <patternFill patternType="solid">
        <fgColor rgb="FF578153"/>
        <bgColor indexed="64"/>
      </patternFill>
    </fill>
    <fill>
      <patternFill patternType="solid">
        <fgColor rgb="FF3E87A3"/>
        <bgColor indexed="64"/>
      </patternFill>
    </fill>
    <fill>
      <patternFill patternType="solid">
        <fgColor rgb="FF2D99E6"/>
        <bgColor indexed="64"/>
      </patternFill>
    </fill>
    <fill>
      <patternFill patternType="solid">
        <fgColor rgb="FF3597DC"/>
        <bgColor indexed="64"/>
      </patternFill>
    </fill>
    <fill>
      <patternFill patternType="solid">
        <fgColor rgb="FF33A7F9"/>
        <bgColor indexed="64"/>
      </patternFill>
    </fill>
    <fill>
      <patternFill patternType="solid">
        <fgColor rgb="FF649484"/>
        <bgColor indexed="64"/>
      </patternFill>
    </fill>
    <fill>
      <patternFill patternType="solid">
        <fgColor rgb="FF2CA0EE"/>
        <bgColor indexed="64"/>
      </patternFill>
    </fill>
    <fill>
      <patternFill patternType="solid">
        <fgColor rgb="FFFCFDFC"/>
        <bgColor indexed="64"/>
      </patternFill>
    </fill>
    <fill>
      <patternFill patternType="solid">
        <fgColor rgb="FFD6D6D6"/>
        <bgColor indexed="64"/>
      </patternFill>
    </fill>
    <fill>
      <patternFill patternType="solid">
        <fgColor rgb="FFC3C5C7"/>
        <bgColor indexed="64"/>
      </patternFill>
    </fill>
    <fill>
      <patternFill patternType="solid">
        <fgColor rgb="FFF9F9F8"/>
        <bgColor indexed="64"/>
      </patternFill>
    </fill>
    <fill>
      <patternFill patternType="solid">
        <fgColor rgb="FF7A725C"/>
        <bgColor indexed="64"/>
      </patternFill>
    </fill>
    <fill>
      <patternFill patternType="solid">
        <fgColor rgb="FF897D14"/>
        <bgColor indexed="64"/>
      </patternFill>
    </fill>
    <fill>
      <patternFill patternType="solid">
        <fgColor rgb="FFA09859"/>
        <bgColor indexed="64"/>
      </patternFill>
    </fill>
    <fill>
      <patternFill patternType="solid">
        <fgColor rgb="FFFFFCFF"/>
        <bgColor indexed="64"/>
      </patternFill>
    </fill>
    <fill>
      <patternFill patternType="solid">
        <fgColor rgb="FFFFFDF8"/>
        <bgColor indexed="64"/>
      </patternFill>
    </fill>
    <fill>
      <patternFill patternType="solid">
        <fgColor rgb="FFF3ECE8"/>
        <bgColor indexed="64"/>
      </patternFill>
    </fill>
    <fill>
      <patternFill patternType="solid">
        <fgColor rgb="FFE2DDDB"/>
        <bgColor indexed="64"/>
      </patternFill>
    </fill>
    <fill>
      <patternFill patternType="solid">
        <fgColor rgb="FFC8C6C7"/>
        <bgColor indexed="64"/>
      </patternFill>
    </fill>
    <fill>
      <patternFill patternType="solid">
        <fgColor rgb="FFA5AAB5"/>
        <bgColor indexed="64"/>
      </patternFill>
    </fill>
    <fill>
      <patternFill patternType="solid">
        <fgColor rgb="FF7B93B0"/>
        <bgColor indexed="64"/>
      </patternFill>
    </fill>
    <fill>
      <patternFill patternType="solid">
        <fgColor rgb="FF5B8DBE"/>
        <bgColor indexed="64"/>
      </patternFill>
    </fill>
    <fill>
      <patternFill patternType="solid">
        <fgColor rgb="FF418CCD"/>
        <bgColor indexed="64"/>
      </patternFill>
    </fill>
    <fill>
      <patternFill patternType="solid">
        <fgColor rgb="FF3C9DE6"/>
        <bgColor indexed="64"/>
      </patternFill>
    </fill>
    <fill>
      <patternFill patternType="solid">
        <fgColor rgb="FF41B5FA"/>
        <bgColor indexed="64"/>
      </patternFill>
    </fill>
    <fill>
      <patternFill patternType="solid">
        <fgColor rgb="FF4B9ECD"/>
        <bgColor indexed="64"/>
      </patternFill>
    </fill>
    <fill>
      <patternFill patternType="solid">
        <fgColor rgb="FF4080B0"/>
        <bgColor indexed="64"/>
      </patternFill>
    </fill>
    <fill>
      <patternFill patternType="solid">
        <fgColor rgb="FF7FA78B"/>
        <bgColor indexed="64"/>
      </patternFill>
    </fill>
    <fill>
      <patternFill patternType="solid">
        <fgColor rgb="FF898C4D"/>
        <bgColor indexed="64"/>
      </patternFill>
    </fill>
    <fill>
      <patternFill patternType="solid">
        <fgColor rgb="FFC4CA53"/>
        <bgColor indexed="64"/>
      </patternFill>
    </fill>
    <fill>
      <patternFill patternType="solid">
        <fgColor rgb="FF8BA877"/>
        <bgColor indexed="64"/>
      </patternFill>
    </fill>
    <fill>
      <patternFill patternType="solid">
        <fgColor rgb="FF3FA8FB"/>
        <bgColor indexed="64"/>
      </patternFill>
    </fill>
    <fill>
      <patternFill patternType="solid">
        <fgColor rgb="FF44B3FF"/>
        <bgColor indexed="64"/>
      </patternFill>
    </fill>
    <fill>
      <patternFill patternType="solid">
        <fgColor rgb="FF47B1FB"/>
        <bgColor indexed="64"/>
      </patternFill>
    </fill>
    <fill>
      <patternFill patternType="solid">
        <fgColor rgb="FF49B5FC"/>
        <bgColor indexed="64"/>
      </patternFill>
    </fill>
    <fill>
      <patternFill patternType="solid">
        <fgColor rgb="FF42A3EA"/>
        <bgColor indexed="64"/>
      </patternFill>
    </fill>
    <fill>
      <patternFill patternType="solid">
        <fgColor rgb="FF505166"/>
        <bgColor indexed="64"/>
      </patternFill>
    </fill>
    <fill>
      <patternFill patternType="solid">
        <fgColor rgb="FFDA874E"/>
        <bgColor indexed="64"/>
      </patternFill>
    </fill>
    <fill>
      <patternFill patternType="solid">
        <fgColor rgb="FFFFA95E"/>
        <bgColor indexed="64"/>
      </patternFill>
    </fill>
    <fill>
      <patternFill patternType="solid">
        <fgColor rgb="FFFEA756"/>
        <bgColor indexed="64"/>
      </patternFill>
    </fill>
    <fill>
      <patternFill patternType="solid">
        <fgColor rgb="FFFAAB59"/>
        <bgColor indexed="64"/>
      </patternFill>
    </fill>
    <fill>
      <patternFill patternType="solid">
        <fgColor rgb="FFD98643"/>
        <bgColor indexed="64"/>
      </patternFill>
    </fill>
    <fill>
      <patternFill patternType="solid">
        <fgColor rgb="FFD09059"/>
        <bgColor indexed="64"/>
      </patternFill>
    </fill>
    <fill>
      <patternFill patternType="solid">
        <fgColor rgb="FF3E82C4"/>
        <bgColor indexed="64"/>
      </patternFill>
    </fill>
    <fill>
      <patternFill patternType="solid">
        <fgColor rgb="FF777771"/>
        <bgColor indexed="64"/>
      </patternFill>
    </fill>
    <fill>
      <patternFill patternType="solid">
        <fgColor rgb="FF688495"/>
        <bgColor indexed="64"/>
      </patternFill>
    </fill>
    <fill>
      <patternFill patternType="solid">
        <fgColor rgb="FF39ADFE"/>
        <bgColor indexed="64"/>
      </patternFill>
    </fill>
    <fill>
      <patternFill patternType="solid">
        <fgColor rgb="FF39A8F7"/>
        <bgColor indexed="64"/>
      </patternFill>
    </fill>
    <fill>
      <patternFill patternType="solid">
        <fgColor rgb="FF3BA9FA"/>
        <bgColor indexed="64"/>
      </patternFill>
    </fill>
    <fill>
      <patternFill patternType="solid">
        <fgColor rgb="FF43B4FB"/>
        <bgColor indexed="64"/>
      </patternFill>
    </fill>
    <fill>
      <patternFill patternType="solid">
        <fgColor rgb="FF44B0FD"/>
        <bgColor indexed="64"/>
      </patternFill>
    </fill>
    <fill>
      <patternFill patternType="solid">
        <fgColor rgb="FF22426A"/>
        <bgColor indexed="64"/>
      </patternFill>
    </fill>
    <fill>
      <patternFill patternType="solid">
        <fgColor rgb="FF665C1C"/>
        <bgColor indexed="64"/>
      </patternFill>
    </fill>
    <fill>
      <patternFill patternType="solid">
        <fgColor rgb="FF488CA7"/>
        <bgColor indexed="64"/>
      </patternFill>
    </fill>
    <fill>
      <patternFill patternType="solid">
        <fgColor rgb="FF3BAAF7"/>
        <bgColor indexed="64"/>
      </patternFill>
    </fill>
    <fill>
      <patternFill patternType="solid">
        <fgColor rgb="FF38ADF8"/>
        <bgColor indexed="64"/>
      </patternFill>
    </fill>
    <fill>
      <patternFill patternType="solid">
        <fgColor rgb="FF306B8D"/>
        <bgColor indexed="64"/>
      </patternFill>
    </fill>
    <fill>
      <patternFill patternType="solid">
        <fgColor rgb="FF6E934B"/>
        <bgColor indexed="64"/>
      </patternFill>
    </fill>
    <fill>
      <patternFill patternType="solid">
        <fgColor rgb="FF7BAD60"/>
        <bgColor indexed="64"/>
      </patternFill>
    </fill>
    <fill>
      <patternFill patternType="solid">
        <fgColor rgb="FF7CB163"/>
        <bgColor indexed="64"/>
      </patternFill>
    </fill>
    <fill>
      <patternFill patternType="solid">
        <fgColor rgb="FF5C864F"/>
        <bgColor indexed="64"/>
      </patternFill>
    </fill>
    <fill>
      <patternFill patternType="solid">
        <fgColor rgb="FF457466"/>
        <bgColor indexed="64"/>
      </patternFill>
    </fill>
    <fill>
      <patternFill patternType="solid">
        <fgColor rgb="FF288ACC"/>
        <bgColor indexed="64"/>
      </patternFill>
    </fill>
    <fill>
      <patternFill patternType="solid">
        <fgColor rgb="FF647082"/>
        <bgColor indexed="64"/>
      </patternFill>
    </fill>
    <fill>
      <patternFill patternType="solid">
        <fgColor rgb="FF718D9A"/>
        <bgColor indexed="64"/>
      </patternFill>
    </fill>
    <fill>
      <patternFill patternType="solid">
        <fgColor rgb="FF29ACFF"/>
        <bgColor indexed="64"/>
      </patternFill>
    </fill>
    <fill>
      <patternFill patternType="solid">
        <fgColor rgb="FF23A6FF"/>
        <bgColor indexed="64"/>
      </patternFill>
    </fill>
    <fill>
      <patternFill patternType="solid">
        <fgColor rgb="FF3A7CA0"/>
        <bgColor indexed="64"/>
      </patternFill>
    </fill>
    <fill>
      <patternFill patternType="solid">
        <fgColor rgb="FF458385"/>
        <bgColor indexed="64"/>
      </patternFill>
    </fill>
    <fill>
      <patternFill patternType="solid">
        <fgColor rgb="FF28B0FF"/>
        <bgColor indexed="64"/>
      </patternFill>
    </fill>
    <fill>
      <patternFill patternType="solid">
        <fgColor rgb="FFBBBABB"/>
        <bgColor indexed="64"/>
      </patternFill>
    </fill>
    <fill>
      <patternFill patternType="solid">
        <fgColor rgb="FF6F6F71"/>
        <bgColor indexed="64"/>
      </patternFill>
    </fill>
    <fill>
      <patternFill patternType="solid">
        <fgColor rgb="FF838692"/>
        <bgColor indexed="64"/>
      </patternFill>
    </fill>
    <fill>
      <patternFill patternType="solid">
        <fgColor rgb="FFDAD9DD"/>
        <bgColor indexed="64"/>
      </patternFill>
    </fill>
    <fill>
      <patternFill patternType="solid">
        <fgColor rgb="FFEEE7E5"/>
        <bgColor indexed="64"/>
      </patternFill>
    </fill>
    <fill>
      <patternFill patternType="solid">
        <fgColor rgb="FFF6EFEB"/>
        <bgColor indexed="64"/>
      </patternFill>
    </fill>
    <fill>
      <patternFill patternType="solid">
        <fgColor rgb="FFF9F3EE"/>
        <bgColor indexed="64"/>
      </patternFill>
    </fill>
    <fill>
      <patternFill patternType="solid">
        <fgColor rgb="FFFFFEF9"/>
        <bgColor indexed="64"/>
      </patternFill>
    </fill>
    <fill>
      <patternFill patternType="solid">
        <fgColor rgb="FFFFFDF9"/>
        <bgColor indexed="64"/>
      </patternFill>
    </fill>
    <fill>
      <patternFill patternType="solid">
        <fgColor rgb="FFF7F2ED"/>
        <bgColor indexed="64"/>
      </patternFill>
    </fill>
    <fill>
      <patternFill patternType="solid">
        <fgColor rgb="FFE8E2DF"/>
        <bgColor indexed="64"/>
      </patternFill>
    </fill>
    <fill>
      <patternFill patternType="solid">
        <fgColor rgb="FF6B654D"/>
        <bgColor indexed="64"/>
      </patternFill>
    </fill>
    <fill>
      <patternFill patternType="solid">
        <fgColor rgb="FF564813"/>
        <bgColor indexed="64"/>
      </patternFill>
    </fill>
    <fill>
      <patternFill patternType="solid">
        <fgColor rgb="FF464443"/>
        <bgColor indexed="64"/>
      </patternFill>
    </fill>
    <fill>
      <patternFill patternType="solid">
        <fgColor rgb="FF758AA5"/>
        <bgColor indexed="64"/>
      </patternFill>
    </fill>
    <fill>
      <patternFill patternType="solid">
        <fgColor rgb="FF6688AF"/>
        <bgColor indexed="64"/>
      </patternFill>
    </fill>
    <fill>
      <patternFill patternType="solid">
        <fgColor rgb="FF4C7AA6"/>
        <bgColor indexed="64"/>
      </patternFill>
    </fill>
    <fill>
      <patternFill patternType="solid">
        <fgColor rgb="FF407FB6"/>
        <bgColor indexed="64"/>
      </patternFill>
    </fill>
    <fill>
      <patternFill patternType="solid">
        <fgColor rgb="FF3786C8"/>
        <bgColor indexed="64"/>
      </patternFill>
    </fill>
    <fill>
      <patternFill patternType="solid">
        <fgColor rgb="FF348ED8"/>
        <bgColor indexed="64"/>
      </patternFill>
    </fill>
    <fill>
      <patternFill patternType="solid">
        <fgColor rgb="FF38A2F2"/>
        <bgColor indexed="64"/>
      </patternFill>
    </fill>
    <fill>
      <patternFill patternType="solid">
        <fgColor rgb="FF3FAFFE"/>
        <bgColor indexed="64"/>
      </patternFill>
    </fill>
    <fill>
      <patternFill patternType="solid">
        <fgColor rgb="FF3BA2F3"/>
        <bgColor indexed="64"/>
      </patternFill>
    </fill>
    <fill>
      <patternFill patternType="solid">
        <fgColor rgb="FF3EAEFF"/>
        <bgColor indexed="64"/>
      </patternFill>
    </fill>
    <fill>
      <patternFill patternType="solid">
        <fgColor rgb="FF689E9F"/>
        <bgColor indexed="64"/>
      </patternFill>
    </fill>
    <fill>
      <patternFill patternType="solid">
        <fgColor rgb="FF928C32"/>
        <bgColor indexed="64"/>
      </patternFill>
    </fill>
    <fill>
      <patternFill patternType="solid">
        <fgColor rgb="FFC3BD37"/>
        <bgColor indexed="64"/>
      </patternFill>
    </fill>
    <fill>
      <patternFill patternType="solid">
        <fgColor rgb="FFF5F035"/>
        <bgColor indexed="64"/>
      </patternFill>
    </fill>
    <fill>
      <patternFill patternType="solid">
        <fgColor rgb="FFB0AE2C"/>
        <bgColor indexed="64"/>
      </patternFill>
    </fill>
    <fill>
      <patternFill patternType="solid">
        <fgColor rgb="FF628878"/>
        <bgColor indexed="64"/>
      </patternFill>
    </fill>
    <fill>
      <patternFill patternType="solid">
        <fgColor rgb="FF74A48F"/>
        <bgColor indexed="64"/>
      </patternFill>
    </fill>
    <fill>
      <patternFill patternType="solid">
        <fgColor rgb="FF4A82A4"/>
        <bgColor indexed="64"/>
      </patternFill>
    </fill>
    <fill>
      <patternFill patternType="solid">
        <fgColor rgb="FF3C99E6"/>
        <bgColor indexed="64"/>
      </patternFill>
    </fill>
    <fill>
      <patternFill patternType="solid">
        <fgColor rgb="FF46B1FA"/>
        <bgColor indexed="64"/>
      </patternFill>
    </fill>
    <fill>
      <patternFill patternType="solid">
        <fgColor rgb="FF4CB8FF"/>
        <bgColor indexed="64"/>
      </patternFill>
    </fill>
    <fill>
      <patternFill patternType="solid">
        <fgColor rgb="FF3B9AE5"/>
        <bgColor indexed="64"/>
      </patternFill>
    </fill>
    <fill>
      <patternFill patternType="solid">
        <fgColor rgb="FF576480"/>
        <bgColor indexed="64"/>
      </patternFill>
    </fill>
    <fill>
      <patternFill patternType="solid">
        <fgColor rgb="FFD48B5C"/>
        <bgColor indexed="64"/>
      </patternFill>
    </fill>
    <fill>
      <patternFill patternType="solid">
        <fgColor rgb="FFEA944E"/>
        <bgColor indexed="64"/>
      </patternFill>
    </fill>
    <fill>
      <patternFill patternType="solid">
        <fgColor rgb="FFF7A456"/>
        <bgColor indexed="64"/>
      </patternFill>
    </fill>
    <fill>
      <patternFill patternType="solid">
        <fgColor rgb="FFFCA554"/>
        <bgColor indexed="64"/>
      </patternFill>
    </fill>
    <fill>
      <patternFill patternType="solid">
        <fgColor rgb="FFFAA158"/>
        <bgColor indexed="64"/>
      </patternFill>
    </fill>
    <fill>
      <patternFill patternType="solid">
        <fgColor rgb="FFFFB35C"/>
        <bgColor indexed="64"/>
      </patternFill>
    </fill>
    <fill>
      <patternFill patternType="solid">
        <fgColor rgb="FFB27851"/>
        <bgColor indexed="64"/>
      </patternFill>
    </fill>
    <fill>
      <patternFill patternType="solid">
        <fgColor rgb="FF955E3B"/>
        <bgColor indexed="64"/>
      </patternFill>
    </fill>
    <fill>
      <patternFill patternType="solid">
        <fgColor rgb="FF7F9DAC"/>
        <bgColor indexed="64"/>
      </patternFill>
    </fill>
    <fill>
      <patternFill patternType="solid">
        <fgColor rgb="FF328CDB"/>
        <bgColor indexed="64"/>
      </patternFill>
    </fill>
    <fill>
      <patternFill patternType="solid">
        <fgColor rgb="FF428ECD"/>
        <bgColor indexed="64"/>
      </patternFill>
    </fill>
    <fill>
      <patternFill patternType="solid">
        <fgColor rgb="FF3BAEFE"/>
        <bgColor indexed="64"/>
      </patternFill>
    </fill>
    <fill>
      <patternFill patternType="solid">
        <fgColor rgb="FF3BA9F8"/>
        <bgColor indexed="64"/>
      </patternFill>
    </fill>
    <fill>
      <patternFill patternType="solid">
        <fgColor rgb="FF3EACFA"/>
        <bgColor indexed="64"/>
      </patternFill>
    </fill>
    <fill>
      <patternFill patternType="solid">
        <fgColor rgb="FF3DAAF9"/>
        <bgColor indexed="64"/>
      </patternFill>
    </fill>
    <fill>
      <patternFill patternType="solid">
        <fgColor rgb="FF40B1FB"/>
        <bgColor indexed="64"/>
      </patternFill>
    </fill>
    <fill>
      <patternFill patternType="solid">
        <fgColor rgb="FF48BCFF"/>
        <bgColor indexed="64"/>
      </patternFill>
    </fill>
    <fill>
      <patternFill patternType="solid">
        <fgColor rgb="FF3EA6F3"/>
        <bgColor indexed="64"/>
      </patternFill>
    </fill>
    <fill>
      <patternFill patternType="solid">
        <fgColor rgb="FF213252"/>
        <bgColor indexed="64"/>
      </patternFill>
    </fill>
    <fill>
      <patternFill patternType="solid">
        <fgColor rgb="FF464223"/>
        <bgColor indexed="64"/>
      </patternFill>
    </fill>
    <fill>
      <patternFill patternType="solid">
        <fgColor rgb="FF3280AB"/>
        <bgColor indexed="64"/>
      </patternFill>
    </fill>
    <fill>
      <patternFill patternType="solid">
        <fgColor rgb="FF3EBAFF"/>
        <bgColor indexed="64"/>
      </patternFill>
    </fill>
    <fill>
      <patternFill patternType="solid">
        <fgColor rgb="FF34B0FE"/>
        <bgColor indexed="64"/>
      </patternFill>
    </fill>
    <fill>
      <patternFill patternType="solid">
        <fgColor rgb="FF39ABF9"/>
        <bgColor indexed="64"/>
      </patternFill>
    </fill>
    <fill>
      <patternFill patternType="solid">
        <fgColor rgb="FF2F99EE"/>
        <bgColor indexed="64"/>
      </patternFill>
    </fill>
    <fill>
      <patternFill patternType="solid">
        <fgColor rgb="FF52836D"/>
        <bgColor indexed="64"/>
      </patternFill>
    </fill>
    <fill>
      <patternFill patternType="solid">
        <fgColor rgb="FF81B360"/>
        <bgColor indexed="64"/>
      </patternFill>
    </fill>
    <fill>
      <patternFill patternType="solid">
        <fgColor rgb="FF7DB365"/>
        <bgColor indexed="64"/>
      </patternFill>
    </fill>
    <fill>
      <patternFill patternType="solid">
        <fgColor rgb="FF77AB60"/>
        <bgColor indexed="64"/>
      </patternFill>
    </fill>
    <fill>
      <patternFill patternType="solid">
        <fgColor rgb="FF57814D"/>
        <bgColor indexed="64"/>
      </patternFill>
    </fill>
    <fill>
      <patternFill patternType="solid">
        <fgColor rgb="FF3D797D"/>
        <bgColor indexed="64"/>
      </patternFill>
    </fill>
    <fill>
      <patternFill patternType="solid">
        <fgColor rgb="FF3177B2"/>
        <bgColor indexed="64"/>
      </patternFill>
    </fill>
    <fill>
      <patternFill patternType="solid">
        <fgColor rgb="FFB27D58"/>
        <bgColor indexed="64"/>
      </patternFill>
    </fill>
    <fill>
      <patternFill patternType="solid">
        <fgColor rgb="FF4479AC"/>
        <bgColor indexed="64"/>
      </patternFill>
    </fill>
    <fill>
      <patternFill patternType="solid">
        <fgColor rgb="FF387FC2"/>
        <bgColor indexed="64"/>
      </patternFill>
    </fill>
    <fill>
      <patternFill patternType="solid">
        <fgColor rgb="FF787887"/>
        <bgColor indexed="64"/>
      </patternFill>
    </fill>
    <fill>
      <patternFill patternType="solid">
        <fgColor rgb="FF726A3A"/>
        <bgColor indexed="64"/>
      </patternFill>
    </fill>
    <fill>
      <patternFill patternType="solid">
        <fgColor rgb="FF3E6D7F"/>
        <bgColor indexed="64"/>
      </patternFill>
    </fill>
    <fill>
      <patternFill patternType="solid">
        <fgColor rgb="FF3077B3"/>
        <bgColor indexed="64"/>
      </patternFill>
    </fill>
    <fill>
      <patternFill patternType="solid">
        <fgColor rgb="FFFAFAF6"/>
        <bgColor indexed="64"/>
      </patternFill>
    </fill>
    <fill>
      <patternFill patternType="solid">
        <fgColor rgb="FF5B7392"/>
        <bgColor indexed="64"/>
      </patternFill>
    </fill>
    <fill>
      <patternFill patternType="solid">
        <fgColor rgb="FF2C6FB1"/>
        <bgColor indexed="64"/>
      </patternFill>
    </fill>
    <fill>
      <patternFill patternType="solid">
        <fgColor rgb="FF4577A9"/>
        <bgColor indexed="64"/>
      </patternFill>
    </fill>
    <fill>
      <patternFill patternType="solid">
        <fgColor rgb="FF466D99"/>
        <bgColor indexed="64"/>
      </patternFill>
    </fill>
    <fill>
      <patternFill patternType="solid">
        <fgColor rgb="FF4B7099"/>
        <bgColor indexed="64"/>
      </patternFill>
    </fill>
    <fill>
      <patternFill patternType="solid">
        <fgColor rgb="FF6287B1"/>
        <bgColor indexed="64"/>
      </patternFill>
    </fill>
    <fill>
      <patternFill patternType="solid">
        <fgColor rgb="FF7697C1"/>
        <bgColor indexed="64"/>
      </patternFill>
    </fill>
    <fill>
      <patternFill patternType="solid">
        <fgColor rgb="FF7B9CC5"/>
        <bgColor indexed="64"/>
      </patternFill>
    </fill>
    <fill>
      <patternFill patternType="solid">
        <fgColor rgb="FF7A9CC8"/>
        <bgColor indexed="64"/>
      </patternFill>
    </fill>
    <fill>
      <patternFill patternType="solid">
        <fgColor rgb="FF6D8DBC"/>
        <bgColor indexed="64"/>
      </patternFill>
    </fill>
    <fill>
      <patternFill patternType="solid">
        <fgColor rgb="FF587DAD"/>
        <bgColor indexed="64"/>
      </patternFill>
    </fill>
    <fill>
      <patternFill patternType="solid">
        <fgColor rgb="FF4E78A7"/>
        <bgColor indexed="64"/>
      </patternFill>
    </fill>
    <fill>
      <patternFill patternType="solid">
        <fgColor rgb="FF3D71A5"/>
        <bgColor indexed="64"/>
      </patternFill>
    </fill>
    <fill>
      <patternFill patternType="solid">
        <fgColor rgb="FF596046"/>
        <bgColor indexed="64"/>
      </patternFill>
    </fill>
    <fill>
      <patternFill patternType="solid">
        <fgColor rgb="FF836E16"/>
        <bgColor indexed="64"/>
      </patternFill>
    </fill>
    <fill>
      <patternFill patternType="solid">
        <fgColor rgb="FF597261"/>
        <bgColor indexed="64"/>
      </patternFill>
    </fill>
    <fill>
      <patternFill patternType="solid">
        <fgColor rgb="FF44B4FF"/>
        <bgColor indexed="64"/>
      </patternFill>
    </fill>
    <fill>
      <patternFill patternType="solid">
        <fgColor rgb="FF46B4FF"/>
        <bgColor indexed="64"/>
      </patternFill>
    </fill>
    <fill>
      <patternFill patternType="solid">
        <fgColor rgb="FF46B3FE"/>
        <bgColor indexed="64"/>
      </patternFill>
    </fill>
    <fill>
      <patternFill patternType="solid">
        <fgColor rgb="FF3990D4"/>
        <bgColor indexed="64"/>
      </patternFill>
    </fill>
    <fill>
      <patternFill patternType="solid">
        <fgColor rgb="FF797F3B"/>
        <bgColor indexed="64"/>
      </patternFill>
    </fill>
    <fill>
      <patternFill patternType="solid">
        <fgColor rgb="FF709883"/>
        <bgColor indexed="64"/>
      </patternFill>
    </fill>
    <fill>
      <patternFill patternType="solid">
        <fgColor rgb="FF517777"/>
        <bgColor indexed="64"/>
      </patternFill>
    </fill>
    <fill>
      <patternFill patternType="solid">
        <fgColor rgb="FFF0EA31"/>
        <bgColor indexed="64"/>
      </patternFill>
    </fill>
    <fill>
      <patternFill patternType="solid">
        <fgColor rgb="FFDDD936"/>
        <bgColor indexed="64"/>
      </patternFill>
    </fill>
    <fill>
      <patternFill patternType="solid">
        <fgColor rgb="FFFEFD3B"/>
        <bgColor indexed="64"/>
      </patternFill>
    </fill>
    <fill>
      <patternFill patternType="solid">
        <fgColor rgb="FFDFDD37"/>
        <bgColor indexed="64"/>
      </patternFill>
    </fill>
    <fill>
      <patternFill patternType="solid">
        <fgColor rgb="FFC1B925"/>
        <bgColor indexed="64"/>
      </patternFill>
    </fill>
    <fill>
      <patternFill patternType="solid">
        <fgColor rgb="FF9D952B"/>
        <bgColor indexed="64"/>
      </patternFill>
    </fill>
    <fill>
      <patternFill patternType="solid">
        <fgColor rgb="FF5F8A8C"/>
        <bgColor indexed="64"/>
      </patternFill>
    </fill>
    <fill>
      <patternFill patternType="solid">
        <fgColor rgb="FF45A9EF"/>
        <bgColor indexed="64"/>
      </patternFill>
    </fill>
    <fill>
      <patternFill patternType="solid">
        <fgColor rgb="FF45B1FB"/>
        <bgColor indexed="64"/>
      </patternFill>
    </fill>
    <fill>
      <patternFill patternType="solid">
        <fgColor rgb="FF46B4FC"/>
        <bgColor indexed="64"/>
      </patternFill>
    </fill>
    <fill>
      <patternFill patternType="solid">
        <fgColor rgb="FF3F95DB"/>
        <bgColor indexed="64"/>
      </patternFill>
    </fill>
    <fill>
      <patternFill patternType="solid">
        <fgColor rgb="FF5D5768"/>
        <bgColor indexed="64"/>
      </patternFill>
    </fill>
    <fill>
      <patternFill patternType="solid">
        <fgColor rgb="FF915745"/>
        <bgColor indexed="64"/>
      </patternFill>
    </fill>
    <fill>
      <patternFill patternType="solid">
        <fgColor rgb="FFD07B4A"/>
        <bgColor indexed="64"/>
      </patternFill>
    </fill>
    <fill>
      <patternFill patternType="solid">
        <fgColor rgb="FFEF9B52"/>
        <bgColor indexed="64"/>
      </patternFill>
    </fill>
    <fill>
      <patternFill patternType="solid">
        <fgColor rgb="FFF6A753"/>
        <bgColor indexed="64"/>
      </patternFill>
    </fill>
    <fill>
      <patternFill patternType="solid">
        <fgColor rgb="FFF8A155"/>
        <bgColor indexed="64"/>
      </patternFill>
    </fill>
    <fill>
      <patternFill patternType="solid">
        <fgColor rgb="FFFAA355"/>
        <bgColor indexed="64"/>
      </patternFill>
    </fill>
    <fill>
      <patternFill patternType="solid">
        <fgColor rgb="FFE4914D"/>
        <bgColor indexed="64"/>
      </patternFill>
    </fill>
    <fill>
      <patternFill patternType="solid">
        <fgColor rgb="FFEE9745"/>
        <bgColor indexed="64"/>
      </patternFill>
    </fill>
    <fill>
      <patternFill patternType="solid">
        <fgColor rgb="FFBF9B72"/>
        <bgColor indexed="64"/>
      </patternFill>
    </fill>
    <fill>
      <patternFill patternType="solid">
        <fgColor rgb="FF466D9D"/>
        <bgColor indexed="64"/>
      </patternFill>
    </fill>
    <fill>
      <patternFill patternType="solid">
        <fgColor rgb="FF5682AB"/>
        <bgColor indexed="64"/>
      </patternFill>
    </fill>
    <fill>
      <patternFill patternType="solid">
        <fgColor rgb="FF37ABFF"/>
        <bgColor indexed="64"/>
      </patternFill>
    </fill>
    <fill>
      <patternFill patternType="solid">
        <fgColor rgb="FF41ABFB"/>
        <bgColor indexed="64"/>
      </patternFill>
    </fill>
    <fill>
      <patternFill patternType="solid">
        <fgColor rgb="FF3CABF4"/>
        <bgColor indexed="64"/>
      </patternFill>
    </fill>
    <fill>
      <patternFill patternType="solid">
        <fgColor rgb="FF40B5FA"/>
        <bgColor indexed="64"/>
      </patternFill>
    </fill>
    <fill>
      <patternFill patternType="solid">
        <fgColor rgb="FF3778B7"/>
        <bgColor indexed="64"/>
      </patternFill>
    </fill>
    <fill>
      <patternFill patternType="solid">
        <fgColor rgb="FF504E2F"/>
        <bgColor indexed="64"/>
      </patternFill>
    </fill>
    <fill>
      <patternFill patternType="solid">
        <fgColor rgb="FF47402A"/>
        <bgColor indexed="64"/>
      </patternFill>
    </fill>
    <fill>
      <patternFill patternType="solid">
        <fgColor rgb="FF52517D"/>
        <bgColor indexed="64"/>
      </patternFill>
    </fill>
    <fill>
      <patternFill patternType="solid">
        <fgColor rgb="FF3074B8"/>
        <bgColor indexed="64"/>
      </patternFill>
    </fill>
    <fill>
      <patternFill patternType="solid">
        <fgColor rgb="FF527AC0"/>
        <bgColor indexed="64"/>
      </patternFill>
    </fill>
    <fill>
      <patternFill patternType="solid">
        <fgColor rgb="FF4B71B6"/>
        <bgColor indexed="64"/>
      </patternFill>
    </fill>
    <fill>
      <patternFill patternType="solid">
        <fgColor rgb="FF36A8F5"/>
        <bgColor indexed="64"/>
      </patternFill>
    </fill>
    <fill>
      <patternFill patternType="solid">
        <fgColor rgb="FF3AA6F7"/>
        <bgColor indexed="64"/>
      </patternFill>
    </fill>
    <fill>
      <patternFill patternType="solid">
        <fgColor rgb="FF3082BA"/>
        <bgColor indexed="64"/>
      </patternFill>
    </fill>
    <fill>
      <patternFill patternType="solid">
        <fgColor rgb="FF4D785E"/>
        <bgColor indexed="64"/>
      </patternFill>
    </fill>
    <fill>
      <patternFill patternType="solid">
        <fgColor rgb="FF7DAC5D"/>
        <bgColor indexed="64"/>
      </patternFill>
    </fill>
    <fill>
      <patternFill patternType="solid">
        <fgColor rgb="FF7CAF60"/>
        <bgColor indexed="64"/>
      </patternFill>
    </fill>
    <fill>
      <patternFill patternType="solid">
        <fgColor rgb="FF7CB05E"/>
        <bgColor indexed="64"/>
      </patternFill>
    </fill>
    <fill>
      <patternFill patternType="solid">
        <fgColor rgb="FF618B4D"/>
        <bgColor indexed="64"/>
      </patternFill>
    </fill>
    <fill>
      <patternFill patternType="solid">
        <fgColor rgb="FF45807D"/>
        <bgColor indexed="64"/>
      </patternFill>
    </fill>
    <fill>
      <patternFill patternType="solid">
        <fgColor rgb="FF636978"/>
        <bgColor indexed="64"/>
      </patternFill>
    </fill>
    <fill>
      <patternFill patternType="solid">
        <fgColor rgb="FF966A50"/>
        <bgColor indexed="64"/>
      </patternFill>
    </fill>
    <fill>
      <patternFill patternType="solid">
        <fgColor rgb="FF5A4C4B"/>
        <bgColor indexed="64"/>
      </patternFill>
    </fill>
    <fill>
      <patternFill patternType="solid">
        <fgColor rgb="FFE08649"/>
        <bgColor indexed="64"/>
      </patternFill>
    </fill>
    <fill>
      <patternFill patternType="solid">
        <fgColor rgb="FFC66A31"/>
        <bgColor indexed="64"/>
      </patternFill>
    </fill>
    <fill>
      <patternFill patternType="solid">
        <fgColor rgb="FFC97B3B"/>
        <bgColor indexed="64"/>
      </patternFill>
    </fill>
    <fill>
      <patternFill patternType="solid">
        <fgColor rgb="FFD68346"/>
        <bgColor indexed="64"/>
      </patternFill>
    </fill>
    <fill>
      <patternFill patternType="solid">
        <fgColor rgb="FF704634"/>
        <bgColor indexed="64"/>
      </patternFill>
    </fill>
    <fill>
      <patternFill patternType="solid">
        <fgColor rgb="FFFAFBFB"/>
        <bgColor indexed="64"/>
      </patternFill>
    </fill>
    <fill>
      <patternFill patternType="solid">
        <fgColor rgb="FFCBD1D9"/>
        <bgColor indexed="64"/>
      </patternFill>
    </fill>
    <fill>
      <patternFill patternType="solid">
        <fgColor rgb="FF3390DB"/>
        <bgColor indexed="64"/>
      </patternFill>
    </fill>
    <fill>
      <patternFill patternType="solid">
        <fgColor rgb="FF3DB6FF"/>
        <bgColor indexed="64"/>
      </patternFill>
    </fill>
    <fill>
      <patternFill patternType="solid">
        <fgColor rgb="FF37A8FE"/>
        <bgColor indexed="64"/>
      </patternFill>
    </fill>
    <fill>
      <patternFill patternType="solid">
        <fgColor rgb="FF30A0F7"/>
        <bgColor indexed="64"/>
      </patternFill>
    </fill>
    <fill>
      <patternFill patternType="solid">
        <fgColor rgb="FF2F9DF4"/>
        <bgColor indexed="64"/>
      </patternFill>
    </fill>
    <fill>
      <patternFill patternType="solid">
        <fgColor rgb="FF309EF5"/>
        <bgColor indexed="64"/>
      </patternFill>
    </fill>
    <fill>
      <patternFill patternType="solid">
        <fgColor rgb="FF319FF7"/>
        <bgColor indexed="64"/>
      </patternFill>
    </fill>
    <fill>
      <patternFill patternType="solid">
        <fgColor rgb="FF32A3F9"/>
        <bgColor indexed="64"/>
      </patternFill>
    </fill>
    <fill>
      <patternFill patternType="solid">
        <fgColor rgb="FF36ABFF"/>
        <bgColor indexed="64"/>
      </patternFill>
    </fill>
    <fill>
      <patternFill patternType="solid">
        <fgColor rgb="FF3BADFF"/>
        <bgColor indexed="64"/>
      </patternFill>
    </fill>
    <fill>
      <patternFill patternType="solid">
        <fgColor rgb="FF5D7358"/>
        <bgColor indexed="64"/>
      </patternFill>
    </fill>
    <fill>
      <patternFill patternType="solid">
        <fgColor rgb="FFDECD25"/>
        <bgColor indexed="64"/>
      </patternFill>
    </fill>
    <fill>
      <patternFill patternType="solid">
        <fgColor rgb="FF7B9B6D"/>
        <bgColor indexed="64"/>
      </patternFill>
    </fill>
    <fill>
      <patternFill patternType="solid">
        <fgColor rgb="FF39A5FF"/>
        <bgColor indexed="64"/>
      </patternFill>
    </fill>
    <fill>
      <patternFill patternType="solid">
        <fgColor rgb="FF41ACF8"/>
        <bgColor indexed="64"/>
      </patternFill>
    </fill>
    <fill>
      <patternFill patternType="solid">
        <fgColor rgb="FF3FAAF8"/>
        <bgColor indexed="64"/>
      </patternFill>
    </fill>
    <fill>
      <patternFill patternType="solid">
        <fgColor rgb="FF40AAF9"/>
        <bgColor indexed="64"/>
      </patternFill>
    </fill>
    <fill>
      <patternFill patternType="solid">
        <fgColor rgb="FF3FAAF9"/>
        <bgColor indexed="64"/>
      </patternFill>
    </fill>
    <fill>
      <patternFill patternType="solid">
        <fgColor rgb="FF3BA3F5"/>
        <bgColor indexed="64"/>
      </patternFill>
    </fill>
    <fill>
      <patternFill patternType="solid">
        <fgColor rgb="FF73997A"/>
        <bgColor indexed="64"/>
      </patternFill>
    </fill>
    <fill>
      <patternFill patternType="solid">
        <fgColor rgb="FFDBD632"/>
        <bgColor indexed="64"/>
      </patternFill>
    </fill>
    <fill>
      <patternFill patternType="solid">
        <fgColor rgb="FFB9B22E"/>
        <bgColor indexed="64"/>
      </patternFill>
    </fill>
    <fill>
      <patternFill patternType="solid">
        <fgColor rgb="FFF8F439"/>
        <bgColor indexed="64"/>
      </patternFill>
    </fill>
    <fill>
      <patternFill patternType="solid">
        <fgColor rgb="FFF6F339"/>
        <bgColor indexed="64"/>
      </patternFill>
    </fill>
    <fill>
      <patternFill patternType="solid">
        <fgColor rgb="FFFFFF38"/>
        <bgColor indexed="64"/>
      </patternFill>
    </fill>
    <fill>
      <patternFill patternType="solid">
        <fgColor rgb="FFEBEB3A"/>
        <bgColor indexed="64"/>
      </patternFill>
    </fill>
    <fill>
      <patternFill patternType="solid">
        <fgColor rgb="FFB0AC33"/>
        <bgColor indexed="64"/>
      </patternFill>
    </fill>
    <fill>
      <patternFill patternType="solid">
        <fgColor rgb="FF999F4C"/>
        <bgColor indexed="64"/>
      </patternFill>
    </fill>
    <fill>
      <patternFill patternType="solid">
        <fgColor rgb="FF5C8D9F"/>
        <bgColor indexed="64"/>
      </patternFill>
    </fill>
    <fill>
      <patternFill patternType="solid">
        <fgColor rgb="FF41AEF8"/>
        <bgColor indexed="64"/>
      </patternFill>
    </fill>
    <fill>
      <patternFill patternType="solid">
        <fgColor rgb="FF48B5FE"/>
        <bgColor indexed="64"/>
      </patternFill>
    </fill>
    <fill>
      <patternFill patternType="solid">
        <fgColor rgb="FF477FB6"/>
        <bgColor indexed="64"/>
      </patternFill>
    </fill>
    <fill>
      <patternFill patternType="solid">
        <fgColor rgb="FF775958"/>
        <bgColor indexed="64"/>
      </patternFill>
    </fill>
    <fill>
      <patternFill patternType="solid">
        <fgColor rgb="FFCC7E4D"/>
        <bgColor indexed="64"/>
      </patternFill>
    </fill>
    <fill>
      <patternFill patternType="solid">
        <fgColor rgb="FFF9A25D"/>
        <bgColor indexed="64"/>
      </patternFill>
    </fill>
    <fill>
      <patternFill patternType="solid">
        <fgColor rgb="FFF5A054"/>
        <bgColor indexed="64"/>
      </patternFill>
    </fill>
    <fill>
      <patternFill patternType="solid">
        <fgColor rgb="FFFEA757"/>
        <bgColor indexed="64"/>
      </patternFill>
    </fill>
    <fill>
      <patternFill patternType="solid">
        <fgColor rgb="FFF19953"/>
        <bgColor indexed="64"/>
      </patternFill>
    </fill>
    <fill>
      <patternFill patternType="solid">
        <fgColor rgb="FFE48945"/>
        <bgColor indexed="64"/>
      </patternFill>
    </fill>
    <fill>
      <patternFill patternType="solid">
        <fgColor rgb="FFAE7A4D"/>
        <bgColor indexed="64"/>
      </patternFill>
    </fill>
    <fill>
      <patternFill patternType="solid">
        <fgColor rgb="FF8F6549"/>
        <bgColor indexed="64"/>
      </patternFill>
    </fill>
    <fill>
      <patternFill patternType="solid">
        <fgColor rgb="FFB99876"/>
        <bgColor indexed="64"/>
      </patternFill>
    </fill>
    <fill>
      <patternFill patternType="solid">
        <fgColor rgb="FF329BF1"/>
        <bgColor indexed="64"/>
      </patternFill>
    </fill>
    <fill>
      <patternFill patternType="solid">
        <fgColor rgb="FF309AF0"/>
        <bgColor indexed="64"/>
      </patternFill>
    </fill>
    <fill>
      <patternFill patternType="solid">
        <fgColor rgb="FF37A8FC"/>
        <bgColor indexed="64"/>
      </patternFill>
    </fill>
    <fill>
      <patternFill patternType="solid">
        <fgColor rgb="FF3DADFD"/>
        <bgColor indexed="64"/>
      </patternFill>
    </fill>
    <fill>
      <patternFill patternType="solid">
        <fgColor rgb="FF40B1FE"/>
        <bgColor indexed="64"/>
      </patternFill>
    </fill>
    <fill>
      <patternFill patternType="solid">
        <fgColor rgb="FF3FB4FF"/>
        <bgColor indexed="64"/>
      </patternFill>
    </fill>
    <fill>
      <patternFill patternType="solid">
        <fgColor rgb="FF44B1FB"/>
        <bgColor indexed="64"/>
      </patternFill>
    </fill>
    <fill>
      <patternFill patternType="solid">
        <fgColor rgb="FF44B6FF"/>
        <bgColor indexed="64"/>
      </patternFill>
    </fill>
    <fill>
      <patternFill patternType="solid">
        <fgColor rgb="FF34A8F6"/>
        <bgColor indexed="64"/>
      </patternFill>
    </fill>
    <fill>
      <patternFill patternType="solid">
        <fgColor rgb="FF5871B4"/>
        <bgColor indexed="64"/>
      </patternFill>
    </fill>
    <fill>
      <patternFill patternType="solid">
        <fgColor rgb="FF6967AF"/>
        <bgColor indexed="64"/>
      </patternFill>
    </fill>
    <fill>
      <patternFill patternType="solid">
        <fgColor rgb="FF756464"/>
        <bgColor indexed="64"/>
      </patternFill>
    </fill>
    <fill>
      <patternFill patternType="solid">
        <fgColor rgb="FFBEB928"/>
        <bgColor indexed="64"/>
      </patternFill>
    </fill>
    <fill>
      <patternFill patternType="solid">
        <fgColor rgb="FF62542C"/>
        <bgColor indexed="64"/>
      </patternFill>
    </fill>
    <fill>
      <patternFill patternType="solid">
        <fgColor rgb="FFAD75AD"/>
        <bgColor indexed="64"/>
      </patternFill>
    </fill>
    <fill>
      <patternFill patternType="solid">
        <fgColor rgb="FF875B97"/>
        <bgColor indexed="64"/>
      </patternFill>
    </fill>
    <fill>
      <patternFill patternType="solid">
        <fgColor rgb="FF8E5D95"/>
        <bgColor indexed="64"/>
      </patternFill>
    </fill>
    <fill>
      <patternFill patternType="solid">
        <fgColor rgb="FF574C7F"/>
        <bgColor indexed="64"/>
      </patternFill>
    </fill>
    <fill>
      <patternFill patternType="solid">
        <fgColor rgb="FF467CBA"/>
        <bgColor indexed="64"/>
      </patternFill>
    </fill>
    <fill>
      <patternFill patternType="solid">
        <fgColor rgb="FF3DB7FF"/>
        <bgColor indexed="64"/>
      </patternFill>
    </fill>
    <fill>
      <patternFill patternType="solid">
        <fgColor rgb="FF2B97EE"/>
        <bgColor indexed="64"/>
      </patternFill>
    </fill>
    <fill>
      <patternFill patternType="solid">
        <fgColor rgb="FF53565F"/>
        <bgColor indexed="64"/>
      </patternFill>
    </fill>
    <fill>
      <patternFill patternType="solid">
        <fgColor rgb="FF7F9F58"/>
        <bgColor indexed="64"/>
      </patternFill>
    </fill>
    <fill>
      <patternFill patternType="solid">
        <fgColor rgb="FF7AB862"/>
        <bgColor indexed="64"/>
      </patternFill>
    </fill>
    <fill>
      <patternFill patternType="solid">
        <fgColor rgb="FF7AAE5C"/>
        <bgColor indexed="64"/>
      </patternFill>
    </fill>
    <fill>
      <patternFill patternType="solid">
        <fgColor rgb="FF7FB35C"/>
        <bgColor indexed="64"/>
      </patternFill>
    </fill>
    <fill>
      <patternFill patternType="solid">
        <fgColor rgb="FF7EA956"/>
        <bgColor indexed="64"/>
      </patternFill>
    </fill>
    <fill>
      <patternFill patternType="solid">
        <fgColor rgb="FF355A63"/>
        <bgColor indexed="64"/>
      </patternFill>
    </fill>
    <fill>
      <patternFill patternType="solid">
        <fgColor rgb="FFA78375"/>
        <bgColor indexed="64"/>
      </patternFill>
    </fill>
    <fill>
      <patternFill patternType="solid">
        <fgColor rgb="FFCA7941"/>
        <bgColor indexed="64"/>
      </patternFill>
    </fill>
    <fill>
      <patternFill patternType="solid">
        <fgColor rgb="FFE78D45"/>
        <bgColor indexed="64"/>
      </patternFill>
    </fill>
    <fill>
      <patternFill patternType="solid">
        <fgColor rgb="FFDD8143"/>
        <bgColor indexed="64"/>
      </patternFill>
    </fill>
    <fill>
      <patternFill patternType="solid">
        <fgColor rgb="FFF1974F"/>
        <bgColor indexed="64"/>
      </patternFill>
    </fill>
    <fill>
      <patternFill patternType="solid">
        <fgColor rgb="FFFFA557"/>
        <bgColor indexed="64"/>
      </patternFill>
    </fill>
    <fill>
      <patternFill patternType="solid">
        <fgColor rgb="FFB4693B"/>
        <bgColor indexed="64"/>
      </patternFill>
    </fill>
    <fill>
      <patternFill patternType="solid">
        <fgColor rgb="FF634D44"/>
        <bgColor indexed="64"/>
      </patternFill>
    </fill>
    <fill>
      <patternFill patternType="solid">
        <fgColor rgb="FFECEBEB"/>
        <bgColor indexed="64"/>
      </patternFill>
    </fill>
    <fill>
      <patternFill patternType="solid">
        <fgColor rgb="FF478ECD"/>
        <bgColor indexed="64"/>
      </patternFill>
    </fill>
    <fill>
      <patternFill patternType="solid">
        <fgColor rgb="FF38AAFD"/>
        <bgColor indexed="64"/>
      </patternFill>
    </fill>
    <fill>
      <patternFill patternType="solid">
        <fgColor rgb="FF39A6F7"/>
        <bgColor indexed="64"/>
      </patternFill>
    </fill>
    <fill>
      <patternFill patternType="solid">
        <fgColor rgb="FF3BA7F9"/>
        <bgColor indexed="64"/>
      </patternFill>
    </fill>
    <fill>
      <patternFill patternType="solid">
        <fgColor rgb="FF3CA8FB"/>
        <bgColor indexed="64"/>
      </patternFill>
    </fill>
    <fill>
      <patternFill patternType="solid">
        <fgColor rgb="FF3DA9FC"/>
        <bgColor indexed="64"/>
      </patternFill>
    </fill>
    <fill>
      <patternFill patternType="solid">
        <fgColor rgb="FF3CAAFC"/>
        <bgColor indexed="64"/>
      </patternFill>
    </fill>
    <fill>
      <patternFill patternType="solid">
        <fgColor rgb="FF3BA9FC"/>
        <bgColor indexed="64"/>
      </patternFill>
    </fill>
    <fill>
      <patternFill patternType="solid">
        <fgColor rgb="FF329AF0"/>
        <bgColor indexed="64"/>
      </patternFill>
    </fill>
    <fill>
      <patternFill patternType="solid">
        <fgColor rgb="FF7D944E"/>
        <bgColor indexed="64"/>
      </patternFill>
    </fill>
    <fill>
      <patternFill patternType="solid">
        <fgColor rgb="FFFFFF2F"/>
        <bgColor indexed="64"/>
      </patternFill>
    </fill>
    <fill>
      <patternFill patternType="solid">
        <fgColor rgb="FF7D9C68"/>
        <bgColor indexed="64"/>
      </patternFill>
    </fill>
    <fill>
      <patternFill patternType="solid">
        <fgColor rgb="FF38A3FC"/>
        <bgColor indexed="64"/>
      </patternFill>
    </fill>
    <fill>
      <patternFill patternType="solid">
        <fgColor rgb="FF3FABFB"/>
        <bgColor indexed="64"/>
      </patternFill>
    </fill>
    <fill>
      <patternFill patternType="solid">
        <fgColor rgb="FF3FACFA"/>
        <bgColor indexed="64"/>
      </patternFill>
    </fill>
    <fill>
      <patternFill patternType="solid">
        <fgColor rgb="FF4496CC"/>
        <bgColor indexed="64"/>
      </patternFill>
    </fill>
    <fill>
      <patternFill patternType="solid">
        <fgColor rgb="FF4E86A2"/>
        <bgColor indexed="64"/>
      </patternFill>
    </fill>
    <fill>
      <patternFill patternType="solid">
        <fgColor rgb="FFA4B24F"/>
        <bgColor indexed="64"/>
      </patternFill>
    </fill>
    <fill>
      <patternFill patternType="solid">
        <fgColor rgb="FFFFFF36"/>
        <bgColor indexed="64"/>
      </patternFill>
    </fill>
    <fill>
      <patternFill patternType="solid">
        <fgColor rgb="FFFFFD3A"/>
        <bgColor indexed="64"/>
      </patternFill>
    </fill>
    <fill>
      <patternFill patternType="solid">
        <fgColor rgb="FFFBFA3A"/>
        <bgColor indexed="64"/>
      </patternFill>
    </fill>
    <fill>
      <patternFill patternType="solid">
        <fgColor rgb="FFEFEC31"/>
        <bgColor indexed="64"/>
      </patternFill>
    </fill>
    <fill>
      <patternFill patternType="solid">
        <fgColor rgb="FF729065"/>
        <bgColor indexed="64"/>
      </patternFill>
    </fill>
    <fill>
      <patternFill patternType="solid">
        <fgColor rgb="FF358AD9"/>
        <bgColor indexed="64"/>
      </patternFill>
    </fill>
    <fill>
      <patternFill patternType="solid">
        <fgColor rgb="FF44ABF4"/>
        <bgColor indexed="64"/>
      </patternFill>
    </fill>
    <fill>
      <patternFill patternType="solid">
        <fgColor rgb="FF48B6FB"/>
        <bgColor indexed="64"/>
      </patternFill>
    </fill>
    <fill>
      <patternFill patternType="solid">
        <fgColor rgb="FF3894DF"/>
        <bgColor indexed="64"/>
      </patternFill>
    </fill>
    <fill>
      <patternFill patternType="solid">
        <fgColor rgb="FF515A79"/>
        <bgColor indexed="64"/>
      </patternFill>
    </fill>
    <fill>
      <patternFill patternType="solid">
        <fgColor rgb="FFB1633C"/>
        <bgColor indexed="64"/>
      </patternFill>
    </fill>
    <fill>
      <patternFill patternType="solid">
        <fgColor rgb="FFE88647"/>
        <bgColor indexed="64"/>
      </patternFill>
    </fill>
    <fill>
      <patternFill patternType="solid">
        <fgColor rgb="FFDA844A"/>
        <bgColor indexed="64"/>
      </patternFill>
    </fill>
    <fill>
      <patternFill patternType="solid">
        <fgColor rgb="FFE6914A"/>
        <bgColor indexed="64"/>
      </patternFill>
    </fill>
    <fill>
      <patternFill patternType="solid">
        <fgColor rgb="FFC67E4A"/>
        <bgColor indexed="64"/>
      </patternFill>
    </fill>
    <fill>
      <patternFill patternType="solid">
        <fgColor rgb="FFD67F44"/>
        <bgColor indexed="64"/>
      </patternFill>
    </fill>
    <fill>
      <patternFill patternType="solid">
        <fgColor rgb="FF64717F"/>
        <bgColor indexed="64"/>
      </patternFill>
    </fill>
    <fill>
      <patternFill patternType="solid">
        <fgColor rgb="FF4F7EAF"/>
        <bgColor indexed="64"/>
      </patternFill>
    </fill>
    <fill>
      <patternFill patternType="solid">
        <fgColor rgb="FF6586A5"/>
        <bgColor indexed="64"/>
      </patternFill>
    </fill>
    <fill>
      <patternFill patternType="solid">
        <fgColor rgb="FF3FB1FF"/>
        <bgColor indexed="64"/>
      </patternFill>
    </fill>
    <fill>
      <patternFill patternType="solid">
        <fgColor rgb="FF2E9CF3"/>
        <bgColor indexed="64"/>
      </patternFill>
    </fill>
    <fill>
      <patternFill patternType="solid">
        <fgColor rgb="FF34A1ED"/>
        <bgColor indexed="64"/>
      </patternFill>
    </fill>
    <fill>
      <patternFill patternType="solid">
        <fgColor rgb="FF5D95DC"/>
        <bgColor indexed="64"/>
      </patternFill>
    </fill>
    <fill>
      <patternFill patternType="solid">
        <fgColor rgb="FF646EA8"/>
        <bgColor indexed="64"/>
      </patternFill>
    </fill>
    <fill>
      <patternFill patternType="solid">
        <fgColor rgb="FF597DBD"/>
        <bgColor indexed="64"/>
      </patternFill>
    </fill>
    <fill>
      <patternFill patternType="solid">
        <fgColor rgb="FF72659B"/>
        <bgColor indexed="64"/>
      </patternFill>
    </fill>
    <fill>
      <patternFill patternType="solid">
        <fgColor rgb="FF3AA5EC"/>
        <bgColor indexed="64"/>
      </patternFill>
    </fill>
    <fill>
      <patternFill patternType="solid">
        <fgColor rgb="FF3288D0"/>
        <bgColor indexed="64"/>
      </patternFill>
    </fill>
    <fill>
      <patternFill patternType="solid">
        <fgColor rgb="FF59629D"/>
        <bgColor indexed="64"/>
      </patternFill>
    </fill>
    <fill>
      <patternFill patternType="solid">
        <fgColor rgb="FF996DA2"/>
        <bgColor indexed="64"/>
      </patternFill>
    </fill>
    <fill>
      <patternFill patternType="solid">
        <fgColor rgb="FFAD6EBB"/>
        <bgColor indexed="64"/>
      </patternFill>
    </fill>
    <fill>
      <patternFill patternType="solid">
        <fgColor rgb="FFA38F50"/>
        <bgColor indexed="64"/>
      </patternFill>
    </fill>
    <fill>
      <patternFill patternType="solid">
        <fgColor rgb="FFE9E832"/>
        <bgColor indexed="64"/>
      </patternFill>
    </fill>
    <fill>
      <patternFill patternType="solid">
        <fgColor rgb="FF6A5930"/>
        <bgColor indexed="64"/>
      </patternFill>
    </fill>
    <fill>
      <patternFill patternType="solid">
        <fgColor rgb="FFA771A9"/>
        <bgColor indexed="64"/>
      </patternFill>
    </fill>
    <fill>
      <patternFill patternType="solid">
        <fgColor rgb="FFBC7FC2"/>
        <bgColor indexed="64"/>
      </patternFill>
    </fill>
    <fill>
      <patternFill patternType="solid">
        <fgColor rgb="FFAE77B9"/>
        <bgColor indexed="64"/>
      </patternFill>
    </fill>
    <fill>
      <patternFill patternType="solid">
        <fgColor rgb="FF9665A6"/>
        <bgColor indexed="64"/>
      </patternFill>
    </fill>
    <fill>
      <patternFill patternType="solid">
        <fgColor rgb="FF4A6CA8"/>
        <bgColor indexed="64"/>
      </patternFill>
    </fill>
    <fill>
      <patternFill patternType="solid">
        <fgColor rgb="FF3A74B8"/>
        <bgColor indexed="64"/>
      </patternFill>
    </fill>
    <fill>
      <patternFill patternType="solid">
        <fgColor rgb="FF925E95"/>
        <bgColor indexed="64"/>
      </patternFill>
    </fill>
    <fill>
      <patternFill patternType="solid">
        <fgColor rgb="FFC74B74"/>
        <bgColor indexed="64"/>
      </patternFill>
    </fill>
    <fill>
      <patternFill patternType="solid">
        <fgColor rgb="FF817B53"/>
        <bgColor indexed="64"/>
      </patternFill>
    </fill>
    <fill>
      <patternFill patternType="solid">
        <fgColor rgb="FF8C9B61"/>
        <bgColor indexed="64"/>
      </patternFill>
    </fill>
    <fill>
      <patternFill patternType="solid">
        <fgColor rgb="FF7DA85A"/>
        <bgColor indexed="64"/>
      </patternFill>
    </fill>
    <fill>
      <patternFill patternType="solid">
        <fgColor rgb="FF7F9D53"/>
        <bgColor indexed="64"/>
      </patternFill>
    </fill>
    <fill>
      <patternFill patternType="solid">
        <fgColor rgb="FFA3673B"/>
        <bgColor indexed="64"/>
      </patternFill>
    </fill>
    <fill>
      <patternFill patternType="solid">
        <fgColor rgb="FFD98142"/>
        <bgColor indexed="64"/>
      </patternFill>
    </fill>
    <fill>
      <patternFill patternType="solid">
        <fgColor rgb="FFFFA656"/>
        <bgColor indexed="64"/>
      </patternFill>
    </fill>
    <fill>
      <patternFill patternType="solid">
        <fgColor rgb="FFF5964F"/>
        <bgColor indexed="64"/>
      </patternFill>
    </fill>
    <fill>
      <patternFill patternType="solid">
        <fgColor rgb="FFED9049"/>
        <bgColor indexed="64"/>
      </patternFill>
    </fill>
    <fill>
      <patternFill patternType="solid">
        <fgColor rgb="FFFB9E54"/>
        <bgColor indexed="64"/>
      </patternFill>
    </fill>
    <fill>
      <patternFill patternType="solid">
        <fgColor rgb="FFCA743F"/>
        <bgColor indexed="64"/>
      </patternFill>
    </fill>
    <fill>
      <patternFill patternType="solid">
        <fgColor rgb="FFE58947"/>
        <bgColor indexed="64"/>
      </patternFill>
    </fill>
    <fill>
      <patternFill patternType="solid">
        <fgColor rgb="FFFD964E"/>
        <bgColor indexed="64"/>
      </patternFill>
    </fill>
    <fill>
      <patternFill patternType="solid">
        <fgColor rgb="FFE7E7E7"/>
        <bgColor indexed="64"/>
      </patternFill>
    </fill>
    <fill>
      <patternFill patternType="solid">
        <fgColor rgb="FF438ECD"/>
        <bgColor indexed="64"/>
      </patternFill>
    </fill>
    <fill>
      <patternFill patternType="solid">
        <fgColor rgb="FF38A7F9"/>
        <bgColor indexed="64"/>
      </patternFill>
    </fill>
    <fill>
      <patternFill patternType="solid">
        <fgColor rgb="FF39A6FA"/>
        <bgColor indexed="64"/>
      </patternFill>
    </fill>
    <fill>
      <patternFill patternType="solid">
        <fgColor rgb="FF39A7FA"/>
        <bgColor indexed="64"/>
      </patternFill>
    </fill>
    <fill>
      <patternFill patternType="solid">
        <fgColor rgb="FF38A5F8"/>
        <bgColor indexed="64"/>
      </patternFill>
    </fill>
    <fill>
      <patternFill patternType="solid">
        <fgColor rgb="FF3DADFE"/>
        <bgColor indexed="64"/>
      </patternFill>
    </fill>
    <fill>
      <patternFill patternType="solid">
        <fgColor rgb="FF3094E4"/>
        <bgColor indexed="64"/>
      </patternFill>
    </fill>
    <fill>
      <patternFill patternType="solid">
        <fgColor rgb="FF838E40"/>
        <bgColor indexed="64"/>
      </patternFill>
    </fill>
    <fill>
      <patternFill patternType="solid">
        <fgColor rgb="FFFCF52F"/>
        <bgColor indexed="64"/>
      </patternFill>
    </fill>
    <fill>
      <patternFill patternType="solid">
        <fgColor rgb="FF90AB61"/>
        <bgColor indexed="64"/>
      </patternFill>
    </fill>
    <fill>
      <patternFill patternType="solid">
        <fgColor rgb="FF44B0FB"/>
        <bgColor indexed="64"/>
      </patternFill>
    </fill>
    <fill>
      <patternFill patternType="solid">
        <fgColor rgb="FF40ADFB"/>
        <bgColor indexed="64"/>
      </patternFill>
    </fill>
    <fill>
      <patternFill patternType="solid">
        <fgColor rgb="FF41B1FE"/>
        <bgColor indexed="64"/>
      </patternFill>
    </fill>
    <fill>
      <patternFill patternType="solid">
        <fgColor rgb="FF458AB7"/>
        <bgColor indexed="64"/>
      </patternFill>
    </fill>
    <fill>
      <patternFill patternType="solid">
        <fgColor rgb="FFA19B2C"/>
        <bgColor indexed="64"/>
      </patternFill>
    </fill>
    <fill>
      <patternFill patternType="solid">
        <fgColor rgb="FFEAE42F"/>
        <bgColor indexed="64"/>
      </patternFill>
    </fill>
    <fill>
      <patternFill patternType="solid">
        <fgColor rgb="FFF9F73A"/>
        <bgColor indexed="64"/>
      </patternFill>
    </fill>
    <fill>
      <patternFill patternType="solid">
        <fgColor rgb="FFFBF939"/>
        <bgColor indexed="64"/>
      </patternFill>
    </fill>
    <fill>
      <patternFill patternType="solid">
        <fgColor rgb="FFEBE838"/>
        <bgColor indexed="64"/>
      </patternFill>
    </fill>
    <fill>
      <patternFill patternType="solid">
        <fgColor rgb="FFE9E437"/>
        <bgColor indexed="64"/>
      </patternFill>
    </fill>
    <fill>
      <patternFill patternType="solid">
        <fgColor rgb="FF47859F"/>
        <bgColor indexed="64"/>
      </patternFill>
    </fill>
    <fill>
      <patternFill patternType="solid">
        <fgColor rgb="FF43B4FF"/>
        <bgColor indexed="64"/>
      </patternFill>
    </fill>
    <fill>
      <patternFill patternType="solid">
        <fgColor rgb="FF42ADF8"/>
        <bgColor indexed="64"/>
      </patternFill>
    </fill>
    <fill>
      <patternFill patternType="solid">
        <fgColor rgb="FF4AA2E9"/>
        <bgColor indexed="64"/>
      </patternFill>
    </fill>
    <fill>
      <patternFill patternType="solid">
        <fgColor rgb="FF5782B2"/>
        <bgColor indexed="64"/>
      </patternFill>
    </fill>
    <fill>
      <patternFill patternType="solid">
        <fgColor rgb="FF6B758E"/>
        <bgColor indexed="64"/>
      </patternFill>
    </fill>
    <fill>
      <patternFill patternType="solid">
        <fgColor rgb="FF96573C"/>
        <bgColor indexed="64"/>
      </patternFill>
    </fill>
    <fill>
      <patternFill patternType="solid">
        <fgColor rgb="FF7F6E74"/>
        <bgColor indexed="64"/>
      </patternFill>
    </fill>
    <fill>
      <patternFill patternType="solid">
        <fgColor rgb="FF8B6F6C"/>
        <bgColor indexed="64"/>
      </patternFill>
    </fill>
    <fill>
      <patternFill patternType="solid">
        <fgColor rgb="FF8B5433"/>
        <bgColor indexed="64"/>
      </patternFill>
    </fill>
    <fill>
      <patternFill patternType="solid">
        <fgColor rgb="FF3682BD"/>
        <bgColor indexed="64"/>
      </patternFill>
    </fill>
    <fill>
      <patternFill patternType="solid">
        <fgColor rgb="FF44ADFB"/>
        <bgColor indexed="64"/>
      </patternFill>
    </fill>
    <fill>
      <patternFill patternType="solid">
        <fgColor rgb="FF3DA7F5"/>
        <bgColor indexed="64"/>
      </patternFill>
    </fill>
    <fill>
      <patternFill patternType="solid">
        <fgColor rgb="FF43ACF9"/>
        <bgColor indexed="64"/>
      </patternFill>
    </fill>
    <fill>
      <patternFill patternType="solid">
        <fgColor rgb="FF2E98E8"/>
        <bgColor indexed="64"/>
      </patternFill>
    </fill>
    <fill>
      <patternFill patternType="solid">
        <fgColor rgb="FF876AAB"/>
        <bgColor indexed="64"/>
      </patternFill>
    </fill>
    <fill>
      <patternFill patternType="solid">
        <fgColor rgb="FF8E4A76"/>
        <bgColor indexed="64"/>
      </patternFill>
    </fill>
    <fill>
      <patternFill patternType="solid">
        <fgColor rgb="FFBD6992"/>
        <bgColor indexed="64"/>
      </patternFill>
    </fill>
    <fill>
      <patternFill patternType="solid">
        <fgColor rgb="FFDD6088"/>
        <bgColor indexed="64"/>
      </patternFill>
    </fill>
    <fill>
      <patternFill patternType="solid">
        <fgColor rgb="FFE3678C"/>
        <bgColor indexed="64"/>
      </patternFill>
    </fill>
    <fill>
      <patternFill patternType="solid">
        <fgColor rgb="FFB45379"/>
        <bgColor indexed="64"/>
      </patternFill>
    </fill>
    <fill>
      <patternFill patternType="solid">
        <fgColor rgb="FF915F89"/>
        <bgColor indexed="64"/>
      </patternFill>
    </fill>
    <fill>
      <patternFill patternType="solid">
        <fgColor rgb="FF95517B"/>
        <bgColor indexed="64"/>
      </patternFill>
    </fill>
    <fill>
      <patternFill patternType="solid">
        <fgColor rgb="FFAA6695"/>
        <bgColor indexed="64"/>
      </patternFill>
    </fill>
    <fill>
      <patternFill patternType="solid">
        <fgColor rgb="FFC888CC"/>
        <bgColor indexed="64"/>
      </patternFill>
    </fill>
    <fill>
      <patternFill patternType="solid">
        <fgColor rgb="FF895F9F"/>
        <bgColor indexed="64"/>
      </patternFill>
    </fill>
    <fill>
      <patternFill patternType="solid">
        <fgColor rgb="FFB3AC34"/>
        <bgColor indexed="64"/>
      </patternFill>
    </fill>
    <fill>
      <patternFill patternType="solid">
        <fgColor rgb="FFFFFE35"/>
        <bgColor indexed="64"/>
      </patternFill>
    </fill>
    <fill>
      <patternFill patternType="solid">
        <fgColor rgb="FF7A6341"/>
        <bgColor indexed="64"/>
      </patternFill>
    </fill>
    <fill>
      <patternFill patternType="solid">
        <fgColor rgb="FFB377BA"/>
        <bgColor indexed="64"/>
      </patternFill>
    </fill>
    <fill>
      <patternFill patternType="solid">
        <fgColor rgb="FFB87BBC"/>
        <bgColor indexed="64"/>
      </patternFill>
    </fill>
    <fill>
      <patternFill patternType="solid">
        <fgColor rgb="FFB579B9"/>
        <bgColor indexed="64"/>
      </patternFill>
    </fill>
    <fill>
      <patternFill patternType="solid">
        <fgColor rgb="FF9D4F81"/>
        <bgColor indexed="64"/>
      </patternFill>
    </fill>
    <fill>
      <patternFill patternType="solid">
        <fgColor rgb="FFB9476B"/>
        <bgColor indexed="64"/>
      </patternFill>
    </fill>
    <fill>
      <patternFill patternType="solid">
        <fgColor rgb="FFD84E74"/>
        <bgColor indexed="64"/>
      </patternFill>
    </fill>
    <fill>
      <patternFill patternType="solid">
        <fgColor rgb="FFFF5E82"/>
        <bgColor indexed="64"/>
      </patternFill>
    </fill>
    <fill>
      <patternFill patternType="solid">
        <fgColor rgb="FFDC5275"/>
        <bgColor indexed="64"/>
      </patternFill>
    </fill>
    <fill>
      <patternFill patternType="solid">
        <fgColor rgb="FFCF4D6F"/>
        <bgColor indexed="64"/>
      </patternFill>
    </fill>
    <fill>
      <patternFill patternType="solid">
        <fgColor rgb="FF904B52"/>
        <bgColor indexed="64"/>
      </patternFill>
    </fill>
    <fill>
      <patternFill patternType="solid">
        <fgColor rgb="FF81B256"/>
        <bgColor indexed="64"/>
      </patternFill>
    </fill>
    <fill>
      <patternFill patternType="solid">
        <fgColor rgb="FF77B35A"/>
        <bgColor indexed="64"/>
      </patternFill>
    </fill>
    <fill>
      <patternFill patternType="solid">
        <fgColor rgb="FF6B773A"/>
        <bgColor indexed="64"/>
      </patternFill>
    </fill>
    <fill>
      <patternFill patternType="solid">
        <fgColor rgb="FFEF944C"/>
        <bgColor indexed="64"/>
      </patternFill>
    </fill>
    <fill>
      <patternFill patternType="solid">
        <fgColor rgb="FFFD9954"/>
        <bgColor indexed="64"/>
      </patternFill>
    </fill>
    <fill>
      <patternFill patternType="solid">
        <fgColor rgb="FFFA9A52"/>
        <bgColor indexed="64"/>
      </patternFill>
    </fill>
    <fill>
      <patternFill patternType="solid">
        <fgColor rgb="FFFC9B51"/>
        <bgColor indexed="64"/>
      </patternFill>
    </fill>
    <fill>
      <patternFill patternType="solid">
        <fgColor rgb="FFFF9D52"/>
        <bgColor indexed="64"/>
      </patternFill>
    </fill>
    <fill>
      <patternFill patternType="solid">
        <fgColor rgb="FFF9984C"/>
        <bgColor indexed="64"/>
      </patternFill>
    </fill>
    <fill>
      <patternFill patternType="solid">
        <fgColor rgb="FFFF9C50"/>
        <bgColor indexed="64"/>
      </patternFill>
    </fill>
    <fill>
      <patternFill patternType="solid">
        <fgColor rgb="FFC5CBD2"/>
        <bgColor indexed="64"/>
      </patternFill>
    </fill>
    <fill>
      <patternFill patternType="solid">
        <fgColor rgb="FF328CD4"/>
        <bgColor indexed="64"/>
      </patternFill>
    </fill>
    <fill>
      <patternFill patternType="solid">
        <fgColor rgb="FF3CAFFF"/>
        <bgColor indexed="64"/>
      </patternFill>
    </fill>
    <fill>
      <patternFill patternType="solid">
        <fgColor rgb="FF36A5F9"/>
        <bgColor indexed="64"/>
      </patternFill>
    </fill>
    <fill>
      <patternFill patternType="solid">
        <fgColor rgb="FF38A5FB"/>
        <bgColor indexed="64"/>
      </patternFill>
    </fill>
    <fill>
      <patternFill patternType="solid">
        <fgColor rgb="FF37A4FA"/>
        <bgColor indexed="64"/>
      </patternFill>
    </fill>
    <fill>
      <patternFill patternType="solid">
        <fgColor rgb="FF37A4FB"/>
        <bgColor indexed="64"/>
      </patternFill>
    </fill>
    <fill>
      <patternFill patternType="solid">
        <fgColor rgb="FF3493DD"/>
        <bgColor indexed="64"/>
      </patternFill>
    </fill>
    <fill>
      <patternFill patternType="solid">
        <fgColor rgb="FF60653D"/>
        <bgColor indexed="64"/>
      </patternFill>
    </fill>
    <fill>
      <patternFill patternType="solid">
        <fgColor rgb="FFBAAA2F"/>
        <bgColor indexed="64"/>
      </patternFill>
    </fill>
    <fill>
      <patternFill patternType="solid">
        <fgColor rgb="FF779064"/>
        <bgColor indexed="64"/>
      </patternFill>
    </fill>
    <fill>
      <patternFill patternType="solid">
        <fgColor rgb="FF38A2FA"/>
        <bgColor indexed="64"/>
      </patternFill>
    </fill>
    <fill>
      <patternFill patternType="solid">
        <fgColor rgb="FF45B2FB"/>
        <bgColor indexed="64"/>
      </patternFill>
    </fill>
    <fill>
      <patternFill patternType="solid">
        <fgColor rgb="FF41ADFB"/>
        <bgColor indexed="64"/>
      </patternFill>
    </fill>
    <fill>
      <patternFill patternType="solid">
        <fgColor rgb="FF42ADFB"/>
        <bgColor indexed="64"/>
      </patternFill>
    </fill>
    <fill>
      <patternFill patternType="solid">
        <fgColor rgb="FF3FAFFF"/>
        <bgColor indexed="64"/>
      </patternFill>
    </fill>
    <fill>
      <patternFill patternType="solid">
        <fgColor rgb="FF1E57A3"/>
        <bgColor indexed="64"/>
      </patternFill>
    </fill>
    <fill>
      <patternFill patternType="solid">
        <fgColor rgb="FF787429"/>
        <bgColor indexed="64"/>
      </patternFill>
    </fill>
    <fill>
      <patternFill patternType="solid">
        <fgColor rgb="FFFCFA39"/>
        <bgColor indexed="64"/>
      </patternFill>
    </fill>
    <fill>
      <patternFill patternType="solid">
        <fgColor rgb="FFFBF937"/>
        <bgColor indexed="64"/>
      </patternFill>
    </fill>
    <fill>
      <patternFill patternType="solid">
        <fgColor rgb="FFD1CC38"/>
        <bgColor indexed="64"/>
      </patternFill>
    </fill>
    <fill>
      <patternFill patternType="solid">
        <fgColor rgb="FFE6DC39"/>
        <bgColor indexed="64"/>
      </patternFill>
    </fill>
    <fill>
      <patternFill patternType="solid">
        <fgColor rgb="FF648366"/>
        <bgColor indexed="64"/>
      </patternFill>
    </fill>
    <fill>
      <patternFill patternType="solid">
        <fgColor rgb="FF3AA6F9"/>
        <bgColor indexed="64"/>
      </patternFill>
    </fill>
    <fill>
      <patternFill patternType="solid">
        <fgColor rgb="FF40BBFF"/>
        <bgColor indexed="64"/>
      </patternFill>
    </fill>
    <fill>
      <patternFill patternType="solid">
        <fgColor rgb="FF3C91DB"/>
        <bgColor indexed="64"/>
      </patternFill>
    </fill>
    <fill>
      <patternFill patternType="solid">
        <fgColor rgb="FF516481"/>
        <bgColor indexed="64"/>
      </patternFill>
    </fill>
    <fill>
      <patternFill patternType="solid">
        <fgColor rgb="FF5592CA"/>
        <bgColor indexed="64"/>
      </patternFill>
    </fill>
    <fill>
      <patternFill patternType="solid">
        <fgColor rgb="FF6D5E63"/>
        <bgColor indexed="64"/>
      </patternFill>
    </fill>
    <fill>
      <patternFill patternType="solid">
        <fgColor rgb="FF1E1A1E"/>
        <bgColor indexed="64"/>
      </patternFill>
    </fill>
    <fill>
      <patternFill patternType="solid">
        <fgColor rgb="FF3581BA"/>
        <bgColor indexed="64"/>
      </patternFill>
    </fill>
    <fill>
      <patternFill patternType="solid">
        <fgColor rgb="FF3F81C8"/>
        <bgColor indexed="64"/>
      </patternFill>
    </fill>
    <fill>
      <patternFill patternType="solid">
        <fgColor rgb="FF913D65"/>
        <bgColor indexed="64"/>
      </patternFill>
    </fill>
    <fill>
      <patternFill patternType="solid">
        <fgColor rgb="FFF25E84"/>
        <bgColor indexed="64"/>
      </patternFill>
    </fill>
    <fill>
      <patternFill patternType="solid">
        <fgColor rgb="FFFF648A"/>
        <bgColor indexed="64"/>
      </patternFill>
    </fill>
    <fill>
      <patternFill patternType="solid">
        <fgColor rgb="FFFB6D92"/>
        <bgColor indexed="64"/>
      </patternFill>
    </fill>
    <fill>
      <patternFill patternType="solid">
        <fgColor rgb="FFFF729C"/>
        <bgColor indexed="64"/>
      </patternFill>
    </fill>
    <fill>
      <patternFill patternType="solid">
        <fgColor rgb="FFFF719E"/>
        <bgColor indexed="64"/>
      </patternFill>
    </fill>
    <fill>
      <patternFill patternType="solid">
        <fgColor rgb="FFFD6F9D"/>
        <bgColor indexed="64"/>
      </patternFill>
    </fill>
    <fill>
      <patternFill patternType="solid">
        <fgColor rgb="FFFD6B93"/>
        <bgColor indexed="64"/>
      </patternFill>
    </fill>
    <fill>
      <patternFill patternType="solid">
        <fgColor rgb="FFCD567E"/>
        <bgColor indexed="64"/>
      </patternFill>
    </fill>
    <fill>
      <patternFill patternType="solid">
        <fgColor rgb="FF814873"/>
        <bgColor indexed="64"/>
      </patternFill>
    </fill>
    <fill>
      <patternFill patternType="solid">
        <fgColor rgb="FFAF73B2"/>
        <bgColor indexed="64"/>
      </patternFill>
    </fill>
    <fill>
      <patternFill patternType="solid">
        <fgColor rgb="FF6E4F71"/>
        <bgColor indexed="64"/>
      </patternFill>
    </fill>
    <fill>
      <patternFill patternType="solid">
        <fgColor rgb="FFD9D82F"/>
        <bgColor indexed="64"/>
      </patternFill>
    </fill>
    <fill>
      <patternFill patternType="solid">
        <fgColor rgb="FFEBE832"/>
        <bgColor indexed="64"/>
      </patternFill>
    </fill>
    <fill>
      <patternFill patternType="solid">
        <fgColor rgb="FF775359"/>
        <bgColor indexed="64"/>
      </patternFill>
    </fill>
    <fill>
      <patternFill patternType="solid">
        <fgColor rgb="FFA76CAD"/>
        <bgColor indexed="64"/>
      </patternFill>
    </fill>
    <fill>
      <patternFill patternType="solid">
        <fgColor rgb="FFA86EAB"/>
        <bgColor indexed="64"/>
      </patternFill>
    </fill>
    <fill>
      <patternFill patternType="solid">
        <fgColor rgb="FFA069A8"/>
        <bgColor indexed="64"/>
      </patternFill>
    </fill>
    <fill>
      <patternFill patternType="solid">
        <fgColor rgb="FF993D62"/>
        <bgColor indexed="64"/>
      </patternFill>
    </fill>
    <fill>
      <patternFill patternType="solid">
        <fgColor rgb="FFF04F6E"/>
        <bgColor indexed="64"/>
      </patternFill>
    </fill>
    <fill>
      <patternFill patternType="solid">
        <fgColor rgb="FFFF5E8B"/>
        <bgColor indexed="64"/>
      </patternFill>
    </fill>
    <fill>
      <patternFill patternType="solid">
        <fgColor rgb="FFF4517D"/>
        <bgColor indexed="64"/>
      </patternFill>
    </fill>
    <fill>
      <patternFill patternType="solid">
        <fgColor rgb="FFFF5F87"/>
        <bgColor indexed="64"/>
      </patternFill>
    </fill>
    <fill>
      <patternFill patternType="solid">
        <fgColor rgb="FFFC5D84"/>
        <bgColor indexed="64"/>
      </patternFill>
    </fill>
    <fill>
      <patternFill patternType="solid">
        <fgColor rgb="FFB54D62"/>
        <bgColor indexed="64"/>
      </patternFill>
    </fill>
    <fill>
      <patternFill patternType="solid">
        <fgColor rgb="FF987458"/>
        <bgColor indexed="64"/>
      </patternFill>
    </fill>
    <fill>
      <patternFill patternType="solid">
        <fgColor rgb="FF676241"/>
        <bgColor indexed="64"/>
      </patternFill>
    </fill>
    <fill>
      <patternFill patternType="solid">
        <fgColor rgb="FF5E4E2A"/>
        <bgColor indexed="64"/>
      </patternFill>
    </fill>
    <fill>
      <patternFill patternType="solid">
        <fgColor rgb="FFE79049"/>
        <bgColor indexed="64"/>
      </patternFill>
    </fill>
    <fill>
      <patternFill patternType="solid">
        <fgColor rgb="FFFF9D54"/>
        <bgColor indexed="64"/>
      </patternFill>
    </fill>
    <fill>
      <patternFill patternType="solid">
        <fgColor rgb="FFFB9950"/>
        <bgColor indexed="64"/>
      </patternFill>
    </fill>
    <fill>
      <patternFill patternType="solid">
        <fgColor rgb="FFFC984E"/>
        <bgColor indexed="64"/>
      </patternFill>
    </fill>
    <fill>
      <patternFill patternType="solid">
        <fgColor rgb="FFFB974F"/>
        <bgColor indexed="64"/>
      </patternFill>
    </fill>
    <fill>
      <patternFill patternType="solid">
        <fgColor rgb="FFFB964C"/>
        <bgColor indexed="64"/>
      </patternFill>
    </fill>
    <fill>
      <patternFill patternType="solid">
        <fgColor rgb="FFDDDEDF"/>
        <bgColor indexed="64"/>
      </patternFill>
    </fill>
    <fill>
      <patternFill patternType="solid">
        <fgColor rgb="FFEAE5E2"/>
        <bgColor indexed="64"/>
      </patternFill>
    </fill>
    <fill>
      <patternFill patternType="solid">
        <fgColor rgb="FFCAC0BA"/>
        <bgColor indexed="64"/>
      </patternFill>
    </fill>
    <fill>
      <patternFill patternType="solid">
        <fgColor rgb="FFF0F2F5"/>
        <bgColor indexed="64"/>
      </patternFill>
    </fill>
    <fill>
      <patternFill patternType="solid">
        <fgColor rgb="FF6A8AAF"/>
        <bgColor indexed="64"/>
      </patternFill>
    </fill>
    <fill>
      <patternFill patternType="solid">
        <fgColor rgb="FF2B8FE8"/>
        <bgColor indexed="64"/>
      </patternFill>
    </fill>
    <fill>
      <patternFill patternType="solid">
        <fgColor rgb="FF3AA7FA"/>
        <bgColor indexed="64"/>
      </patternFill>
    </fill>
    <fill>
      <patternFill patternType="solid">
        <fgColor rgb="FF36A5FA"/>
        <bgColor indexed="64"/>
      </patternFill>
    </fill>
    <fill>
      <patternFill patternType="solid">
        <fgColor rgb="FF36A4FC"/>
        <bgColor indexed="64"/>
      </patternFill>
    </fill>
    <fill>
      <patternFill patternType="solid">
        <fgColor rgb="FF3AA1F1"/>
        <bgColor indexed="64"/>
      </patternFill>
    </fill>
    <fill>
      <patternFill patternType="solid">
        <fgColor rgb="FF2A3C49"/>
        <bgColor indexed="64"/>
      </patternFill>
    </fill>
    <fill>
      <patternFill patternType="solid">
        <fgColor rgb="FF534315"/>
        <bgColor indexed="64"/>
      </patternFill>
    </fill>
    <fill>
      <patternFill patternType="solid">
        <fgColor rgb="FF59736B"/>
        <bgColor indexed="64"/>
      </patternFill>
    </fill>
    <fill>
      <patternFill patternType="solid">
        <fgColor rgb="FF3EAAFD"/>
        <bgColor indexed="64"/>
      </patternFill>
    </fill>
    <fill>
      <patternFill patternType="solid">
        <fgColor rgb="FF44B0FC"/>
        <bgColor indexed="64"/>
      </patternFill>
    </fill>
    <fill>
      <patternFill patternType="solid">
        <fgColor rgb="FF3EABFC"/>
        <bgColor indexed="64"/>
      </patternFill>
    </fill>
    <fill>
      <patternFill patternType="solid">
        <fgColor rgb="FF3EABFB"/>
        <bgColor indexed="64"/>
      </patternFill>
    </fill>
    <fill>
      <patternFill patternType="solid">
        <fgColor rgb="FF42AFFC"/>
        <bgColor indexed="64"/>
      </patternFill>
    </fill>
    <fill>
      <patternFill patternType="solid">
        <fgColor rgb="FF457D9A"/>
        <bgColor indexed="64"/>
      </patternFill>
    </fill>
    <fill>
      <patternFill patternType="solid">
        <fgColor rgb="FF91A760"/>
        <bgColor indexed="64"/>
      </patternFill>
    </fill>
    <fill>
      <patternFill patternType="solid">
        <fgColor rgb="FFD6D73C"/>
        <bgColor indexed="64"/>
      </patternFill>
    </fill>
    <fill>
      <patternFill patternType="solid">
        <fgColor rgb="FFFFFE39"/>
        <bgColor indexed="64"/>
      </patternFill>
    </fill>
    <fill>
      <patternFill patternType="solid">
        <fgColor rgb="FFDFDC35"/>
        <bgColor indexed="64"/>
      </patternFill>
    </fill>
    <fill>
      <patternFill patternType="solid">
        <fgColor rgb="FF868231"/>
        <bgColor indexed="64"/>
      </patternFill>
    </fill>
    <fill>
      <patternFill patternType="solid">
        <fgColor rgb="FF858249"/>
        <bgColor indexed="64"/>
      </patternFill>
    </fill>
    <fill>
      <patternFill patternType="solid">
        <fgColor rgb="FF436572"/>
        <bgColor indexed="64"/>
      </patternFill>
    </fill>
    <fill>
      <patternFill patternType="solid">
        <fgColor rgb="FF40AAFA"/>
        <bgColor indexed="64"/>
      </patternFill>
    </fill>
    <fill>
      <patternFill patternType="solid">
        <fgColor rgb="FF45AFF9"/>
        <bgColor indexed="64"/>
      </patternFill>
    </fill>
    <fill>
      <patternFill patternType="solid">
        <fgColor rgb="FF45A5ED"/>
        <bgColor indexed="64"/>
      </patternFill>
    </fill>
    <fill>
      <patternFill patternType="solid">
        <fgColor rgb="FF3D8BCF"/>
        <bgColor indexed="64"/>
      </patternFill>
    </fill>
    <fill>
      <patternFill patternType="solid">
        <fgColor rgb="FF3B8BD2"/>
        <bgColor indexed="64"/>
      </patternFill>
    </fill>
    <fill>
      <patternFill patternType="solid">
        <fgColor rgb="FF23374F"/>
        <bgColor indexed="64"/>
      </patternFill>
    </fill>
    <fill>
      <patternFill patternType="solid">
        <fgColor rgb="FF3F82AD"/>
        <bgColor indexed="64"/>
      </patternFill>
    </fill>
    <fill>
      <patternFill patternType="solid">
        <fgColor rgb="FF42B5FE"/>
        <bgColor indexed="64"/>
      </patternFill>
    </fill>
    <fill>
      <patternFill patternType="solid">
        <fgColor rgb="FF387FC9"/>
        <bgColor indexed="64"/>
      </patternFill>
    </fill>
    <fill>
      <patternFill patternType="solid">
        <fgColor rgb="FF6E3455"/>
        <bgColor indexed="64"/>
      </patternFill>
    </fill>
    <fill>
      <patternFill patternType="solid">
        <fgColor rgb="FFEF526E"/>
        <bgColor indexed="64"/>
      </patternFill>
    </fill>
    <fill>
      <patternFill patternType="solid">
        <fgColor rgb="FFFD6187"/>
        <bgColor indexed="64"/>
      </patternFill>
    </fill>
    <fill>
      <patternFill patternType="solid">
        <fgColor rgb="FFED5984"/>
        <bgColor indexed="64"/>
      </patternFill>
    </fill>
    <fill>
      <patternFill patternType="solid">
        <fgColor rgb="FFFF6497"/>
        <bgColor indexed="64"/>
      </patternFill>
    </fill>
    <fill>
      <patternFill patternType="solid">
        <fgColor rgb="FFE65881"/>
        <bgColor indexed="64"/>
      </patternFill>
    </fill>
    <fill>
      <patternFill patternType="solid">
        <fgColor rgb="FFB34F62"/>
        <bgColor indexed="64"/>
      </patternFill>
    </fill>
    <fill>
      <patternFill patternType="solid">
        <fgColor rgb="FFA75C62"/>
        <bgColor indexed="64"/>
      </patternFill>
    </fill>
    <fill>
      <patternFill patternType="solid">
        <fgColor rgb="FFC55B77"/>
        <bgColor indexed="64"/>
      </patternFill>
    </fill>
    <fill>
      <patternFill patternType="solid">
        <fgColor rgb="FF985762"/>
        <bgColor indexed="64"/>
      </patternFill>
    </fill>
    <fill>
      <patternFill patternType="solid">
        <fgColor rgb="FF6A7E4B"/>
        <bgColor indexed="64"/>
      </patternFill>
    </fill>
    <fill>
      <patternFill patternType="solid">
        <fgColor rgb="FF678351"/>
        <bgColor indexed="64"/>
      </patternFill>
    </fill>
    <fill>
      <patternFill patternType="solid">
        <fgColor rgb="FF707335"/>
        <bgColor indexed="64"/>
      </patternFill>
    </fill>
    <fill>
      <patternFill patternType="solid">
        <fgColor rgb="FFAFAF2A"/>
        <bgColor indexed="64"/>
      </patternFill>
    </fill>
    <fill>
      <patternFill patternType="solid">
        <fgColor rgb="FF50683B"/>
        <bgColor indexed="64"/>
      </patternFill>
    </fill>
    <fill>
      <patternFill patternType="solid">
        <fgColor rgb="FF6D8B53"/>
        <bgColor indexed="64"/>
      </patternFill>
    </fill>
    <fill>
      <patternFill patternType="solid">
        <fgColor rgb="FF6B8654"/>
        <bgColor indexed="64"/>
      </patternFill>
    </fill>
    <fill>
      <patternFill patternType="solid">
        <fgColor rgb="FF6B8B58"/>
        <bgColor indexed="64"/>
      </patternFill>
    </fill>
    <fill>
      <patternFill patternType="solid">
        <fgColor rgb="FF604A40"/>
        <bgColor indexed="64"/>
      </patternFill>
    </fill>
    <fill>
      <patternFill patternType="solid">
        <fgColor rgb="FFC2495D"/>
        <bgColor indexed="64"/>
      </patternFill>
    </fill>
    <fill>
      <patternFill patternType="solid">
        <fgColor rgb="FFAC6663"/>
        <bgColor indexed="64"/>
      </patternFill>
    </fill>
    <fill>
      <patternFill patternType="solid">
        <fgColor rgb="FF7B5A47"/>
        <bgColor indexed="64"/>
      </patternFill>
    </fill>
    <fill>
      <patternFill patternType="solid">
        <fgColor rgb="FFAD4952"/>
        <bgColor indexed="64"/>
      </patternFill>
    </fill>
    <fill>
      <patternFill patternType="solid">
        <fgColor rgb="FFE65071"/>
        <bgColor indexed="64"/>
      </patternFill>
    </fill>
    <fill>
      <patternFill patternType="solid">
        <fgColor rgb="FFE44466"/>
        <bgColor indexed="64"/>
      </patternFill>
    </fill>
    <fill>
      <patternFill patternType="solid">
        <fgColor rgb="FFF54477"/>
        <bgColor indexed="64"/>
      </patternFill>
    </fill>
    <fill>
      <patternFill patternType="solid">
        <fgColor rgb="FFB24A47"/>
        <bgColor indexed="64"/>
      </patternFill>
    </fill>
    <fill>
      <patternFill patternType="solid">
        <fgColor rgb="FFCF7D43"/>
        <bgColor indexed="64"/>
      </patternFill>
    </fill>
    <fill>
      <patternFill patternType="solid">
        <fgColor rgb="FFDC8141"/>
        <bgColor indexed="64"/>
      </patternFill>
    </fill>
    <fill>
      <patternFill patternType="solid">
        <fgColor rgb="FFFE9E55"/>
        <bgColor indexed="64"/>
      </patternFill>
    </fill>
    <fill>
      <patternFill patternType="solid">
        <fgColor rgb="FFFB9752"/>
        <bgColor indexed="64"/>
      </patternFill>
    </fill>
    <fill>
      <patternFill patternType="solid">
        <fgColor rgb="FFA0918C"/>
        <bgColor indexed="64"/>
      </patternFill>
    </fill>
    <fill>
      <patternFill patternType="solid">
        <fgColor rgb="FFD6CCCB"/>
        <bgColor indexed="64"/>
      </patternFill>
    </fill>
    <fill>
      <patternFill patternType="solid">
        <fgColor rgb="FFD49362"/>
        <bgColor indexed="64"/>
      </patternFill>
    </fill>
    <fill>
      <patternFill patternType="solid">
        <fgColor rgb="FF805A47"/>
        <bgColor indexed="64"/>
      </patternFill>
    </fill>
    <fill>
      <patternFill patternType="solid">
        <fgColor rgb="FFA29491"/>
        <bgColor indexed="64"/>
      </patternFill>
    </fill>
    <fill>
      <patternFill patternType="solid">
        <fgColor rgb="FF4B5674"/>
        <bgColor indexed="64"/>
      </patternFill>
    </fill>
    <fill>
      <patternFill patternType="solid">
        <fgColor rgb="FF308AE3"/>
        <bgColor indexed="64"/>
      </patternFill>
    </fill>
    <fill>
      <patternFill patternType="solid">
        <fgColor rgb="FF3AA8FB"/>
        <bgColor indexed="64"/>
      </patternFill>
    </fill>
    <fill>
      <patternFill patternType="solid">
        <fgColor rgb="FF39A7F9"/>
        <bgColor indexed="64"/>
      </patternFill>
    </fill>
    <fill>
      <patternFill patternType="solid">
        <fgColor rgb="FF3BA7FB"/>
        <bgColor indexed="64"/>
      </patternFill>
    </fill>
    <fill>
      <patternFill patternType="solid">
        <fgColor rgb="FF23405B"/>
        <bgColor indexed="64"/>
      </patternFill>
    </fill>
    <fill>
      <patternFill patternType="solid">
        <fgColor rgb="FF2B1F0D"/>
        <bgColor indexed="64"/>
      </patternFill>
    </fill>
    <fill>
      <patternFill patternType="solid">
        <fgColor rgb="FF3D5C6E"/>
        <bgColor indexed="64"/>
      </patternFill>
    </fill>
    <fill>
      <patternFill patternType="solid">
        <fgColor rgb="FF40ADFF"/>
        <bgColor indexed="64"/>
      </patternFill>
    </fill>
    <fill>
      <patternFill patternType="solid">
        <fgColor rgb="FF43B0FB"/>
        <bgColor indexed="64"/>
      </patternFill>
    </fill>
    <fill>
      <patternFill patternType="solid">
        <fgColor rgb="FF489DCB"/>
        <bgColor indexed="64"/>
      </patternFill>
    </fill>
    <fill>
      <patternFill patternType="solid">
        <fgColor rgb="FFA5B34F"/>
        <bgColor indexed="64"/>
      </patternFill>
    </fill>
    <fill>
      <patternFill patternType="solid">
        <fgColor rgb="FFDEDA2F"/>
        <bgColor indexed="64"/>
      </patternFill>
    </fill>
    <fill>
      <patternFill patternType="solid">
        <fgColor rgb="FFDCD832"/>
        <bgColor indexed="64"/>
      </patternFill>
    </fill>
    <fill>
      <patternFill patternType="solid">
        <fgColor rgb="FFFAF839"/>
        <bgColor indexed="64"/>
      </patternFill>
    </fill>
    <fill>
      <patternFill patternType="solid">
        <fgColor rgb="FFF0EE36"/>
        <bgColor indexed="64"/>
      </patternFill>
    </fill>
    <fill>
      <patternFill patternType="solid">
        <fgColor rgb="FFDCD733"/>
        <bgColor indexed="64"/>
      </patternFill>
    </fill>
    <fill>
      <patternFill patternType="solid">
        <fgColor rgb="FFE5E33B"/>
        <bgColor indexed="64"/>
      </patternFill>
    </fill>
    <fill>
      <patternFill patternType="solid">
        <fgColor rgb="FF3E657C"/>
        <bgColor indexed="64"/>
      </patternFill>
    </fill>
    <fill>
      <patternFill patternType="solid">
        <fgColor rgb="FF3A8FD9"/>
        <bgColor indexed="64"/>
      </patternFill>
    </fill>
    <fill>
      <patternFill patternType="solid">
        <fgColor rgb="FF3485CB"/>
        <bgColor indexed="64"/>
      </patternFill>
    </fill>
    <fill>
      <patternFill patternType="solid">
        <fgColor rgb="FF42B0FC"/>
        <bgColor indexed="64"/>
      </patternFill>
    </fill>
    <fill>
      <patternFill patternType="solid">
        <fgColor rgb="FF40ACFA"/>
        <bgColor indexed="64"/>
      </patternFill>
    </fill>
    <fill>
      <patternFill patternType="solid">
        <fgColor rgb="FF42B2FD"/>
        <bgColor indexed="64"/>
      </patternFill>
    </fill>
    <fill>
      <patternFill patternType="solid">
        <fgColor rgb="FF43B0FA"/>
        <bgColor indexed="64"/>
      </patternFill>
    </fill>
    <fill>
      <patternFill patternType="solid">
        <fgColor rgb="FF43B4FE"/>
        <bgColor indexed="64"/>
      </patternFill>
    </fill>
    <fill>
      <patternFill patternType="solid">
        <fgColor rgb="FF465659"/>
        <bgColor indexed="64"/>
      </patternFill>
    </fill>
    <fill>
      <patternFill patternType="solid">
        <fgColor rgb="FF4687A5"/>
        <bgColor indexed="64"/>
      </patternFill>
    </fill>
    <fill>
      <patternFill patternType="solid">
        <fgColor rgb="FF40BFFF"/>
        <bgColor indexed="64"/>
      </patternFill>
    </fill>
    <fill>
      <patternFill patternType="solid">
        <fgColor rgb="FF3C74BE"/>
        <bgColor indexed="64"/>
      </patternFill>
    </fill>
    <fill>
      <patternFill patternType="solid">
        <fgColor rgb="FFAA3456"/>
        <bgColor indexed="64"/>
      </patternFill>
    </fill>
    <fill>
      <patternFill patternType="solid">
        <fgColor rgb="FFBE465D"/>
        <bgColor indexed="64"/>
      </patternFill>
    </fill>
    <fill>
      <patternFill patternType="solid">
        <fgColor rgb="FFB44A5C"/>
        <bgColor indexed="64"/>
      </patternFill>
    </fill>
    <fill>
      <patternFill patternType="solid">
        <fgColor rgb="FF826849"/>
        <bgColor indexed="64"/>
      </patternFill>
    </fill>
    <fill>
      <patternFill patternType="solid">
        <fgColor rgb="FF9B6B5B"/>
        <bgColor indexed="64"/>
      </patternFill>
    </fill>
    <fill>
      <patternFill patternType="solid">
        <fgColor rgb="FF948556"/>
        <bgColor indexed="64"/>
      </patternFill>
    </fill>
    <fill>
      <patternFill patternType="solid">
        <fgColor rgb="FF7DA54E"/>
        <bgColor indexed="64"/>
      </patternFill>
    </fill>
    <fill>
      <patternFill patternType="solid">
        <fgColor rgb="FF85B357"/>
        <bgColor indexed="64"/>
      </patternFill>
    </fill>
    <fill>
      <patternFill patternType="solid">
        <fgColor rgb="FF849452"/>
        <bgColor indexed="64"/>
      </patternFill>
    </fill>
    <fill>
      <patternFill patternType="solid">
        <fgColor rgb="FF87A351"/>
        <bgColor indexed="64"/>
      </patternFill>
    </fill>
    <fill>
      <patternFill patternType="solid">
        <fgColor rgb="FF8EC35E"/>
        <bgColor indexed="64"/>
      </patternFill>
    </fill>
    <fill>
      <patternFill patternType="solid">
        <fgColor rgb="FF82B05B"/>
        <bgColor indexed="64"/>
      </patternFill>
    </fill>
    <fill>
      <patternFill patternType="solid">
        <fgColor rgb="FF5D6425"/>
        <bgColor indexed="64"/>
      </patternFill>
    </fill>
    <fill>
      <patternFill patternType="solid">
        <fgColor rgb="FFFCF73A"/>
        <bgColor indexed="64"/>
      </patternFill>
    </fill>
    <fill>
      <patternFill patternType="solid">
        <fgColor rgb="FF8F9829"/>
        <bgColor indexed="64"/>
      </patternFill>
    </fill>
    <fill>
      <patternFill patternType="solid">
        <fgColor rgb="FF6B9B48"/>
        <bgColor indexed="64"/>
      </patternFill>
    </fill>
    <fill>
      <patternFill patternType="solid">
        <fgColor rgb="FF80B656"/>
        <bgColor indexed="64"/>
      </patternFill>
    </fill>
    <fill>
      <patternFill patternType="solid">
        <fgColor rgb="FF7CB057"/>
        <bgColor indexed="64"/>
      </patternFill>
    </fill>
    <fill>
      <patternFill patternType="solid">
        <fgColor rgb="FF7DB357"/>
        <bgColor indexed="64"/>
      </patternFill>
    </fill>
    <fill>
      <patternFill patternType="solid">
        <fgColor rgb="FF749450"/>
        <bgColor indexed="64"/>
      </patternFill>
    </fill>
    <fill>
      <patternFill patternType="solid">
        <fgColor rgb="FF769950"/>
        <bgColor indexed="64"/>
      </patternFill>
    </fill>
    <fill>
      <patternFill patternType="solid">
        <fgColor rgb="FF6FAA50"/>
        <bgColor indexed="64"/>
      </patternFill>
    </fill>
    <fill>
      <patternFill patternType="solid">
        <fgColor rgb="FF70AC55"/>
        <bgColor indexed="64"/>
      </patternFill>
    </fill>
    <fill>
      <patternFill patternType="solid">
        <fgColor rgb="FF6D9E4B"/>
        <bgColor indexed="64"/>
      </patternFill>
    </fill>
    <fill>
      <patternFill patternType="solid">
        <fgColor rgb="FF6B7F45"/>
        <bgColor indexed="64"/>
      </patternFill>
    </fill>
    <fill>
      <patternFill patternType="solid">
        <fgColor rgb="FF875442"/>
        <bgColor indexed="64"/>
      </patternFill>
    </fill>
    <fill>
      <patternFill patternType="solid">
        <fgColor rgb="FFBD6465"/>
        <bgColor indexed="64"/>
      </patternFill>
    </fill>
    <fill>
      <patternFill patternType="solid">
        <fgColor rgb="FF9F5846"/>
        <bgColor indexed="64"/>
      </patternFill>
    </fill>
    <fill>
      <patternFill patternType="solid">
        <fgColor rgb="FFFB9B4B"/>
        <bgColor indexed="64"/>
      </patternFill>
    </fill>
    <fill>
      <patternFill patternType="solid">
        <fgColor rgb="FFFC9854"/>
        <bgColor indexed="64"/>
      </patternFill>
    </fill>
    <fill>
      <patternFill patternType="solid">
        <fgColor rgb="FFFB9D50"/>
        <bgColor indexed="64"/>
      </patternFill>
    </fill>
    <fill>
      <patternFill patternType="solid">
        <fgColor rgb="FFFC9552"/>
        <bgColor indexed="64"/>
      </patternFill>
    </fill>
    <fill>
      <patternFill patternType="solid">
        <fgColor rgb="FFFC944D"/>
        <bgColor indexed="64"/>
      </patternFill>
    </fill>
    <fill>
      <patternFill patternType="solid">
        <fgColor rgb="FFFC964B"/>
        <bgColor indexed="64"/>
      </patternFill>
    </fill>
    <fill>
      <patternFill patternType="solid">
        <fgColor rgb="FFFC934C"/>
        <bgColor indexed="64"/>
      </patternFill>
    </fill>
    <fill>
      <patternFill patternType="solid">
        <fgColor rgb="FFF3F6FB"/>
        <bgColor indexed="64"/>
      </patternFill>
    </fill>
    <fill>
      <patternFill patternType="solid">
        <fgColor rgb="FFAD8061"/>
        <bgColor indexed="64"/>
      </patternFill>
    </fill>
    <fill>
      <patternFill patternType="solid">
        <fgColor rgb="FFAB6B4B"/>
        <bgColor indexed="64"/>
      </patternFill>
    </fill>
    <fill>
      <patternFill patternType="solid">
        <fgColor rgb="FFDF864C"/>
        <bgColor indexed="64"/>
      </patternFill>
    </fill>
    <fill>
      <patternFill patternType="solid">
        <fgColor rgb="FFA1603B"/>
        <bgColor indexed="64"/>
      </patternFill>
    </fill>
    <fill>
      <patternFill patternType="solid">
        <fgColor rgb="FFC57441"/>
        <bgColor indexed="64"/>
      </patternFill>
    </fill>
    <fill>
      <patternFill patternType="solid">
        <fgColor rgb="FF3A4871"/>
        <bgColor indexed="64"/>
      </patternFill>
    </fill>
    <fill>
      <patternFill patternType="solid">
        <fgColor rgb="FF2282E4"/>
        <bgColor indexed="64"/>
      </patternFill>
    </fill>
    <fill>
      <patternFill patternType="solid">
        <fgColor rgb="FF329EF7"/>
        <bgColor indexed="64"/>
      </patternFill>
    </fill>
    <fill>
      <patternFill patternType="solid">
        <fgColor rgb="FF3BA9FB"/>
        <bgColor indexed="64"/>
      </patternFill>
    </fill>
    <fill>
      <patternFill patternType="solid">
        <fgColor rgb="FF34A3FA"/>
        <bgColor indexed="64"/>
      </patternFill>
    </fill>
    <fill>
      <patternFill patternType="solid">
        <fgColor rgb="FF36A2FB"/>
        <bgColor indexed="64"/>
      </patternFill>
    </fill>
    <fill>
      <patternFill patternType="solid">
        <fgColor rgb="FF36A3FA"/>
        <bgColor indexed="64"/>
      </patternFill>
    </fill>
    <fill>
      <patternFill patternType="solid">
        <fgColor rgb="FF3AA2F7"/>
        <bgColor indexed="64"/>
      </patternFill>
    </fill>
    <fill>
      <patternFill patternType="solid">
        <fgColor rgb="FF304551"/>
        <bgColor indexed="64"/>
      </patternFill>
    </fill>
    <fill>
      <patternFill patternType="solid">
        <fgColor rgb="FF594A16"/>
        <bgColor indexed="64"/>
      </patternFill>
    </fill>
    <fill>
      <patternFill patternType="solid">
        <fgColor rgb="FF355A7B"/>
        <bgColor indexed="64"/>
      </patternFill>
    </fill>
    <fill>
      <patternFill patternType="solid">
        <fgColor rgb="FF41ACF9"/>
        <bgColor indexed="64"/>
      </patternFill>
    </fill>
    <fill>
      <patternFill patternType="solid">
        <fgColor rgb="FF3794DF"/>
        <bgColor indexed="64"/>
      </patternFill>
    </fill>
    <fill>
      <patternFill patternType="solid">
        <fgColor rgb="FF2C5788"/>
        <bgColor indexed="64"/>
      </patternFill>
    </fill>
    <fill>
      <patternFill patternType="solid">
        <fgColor rgb="FF81742A"/>
        <bgColor indexed="64"/>
      </patternFill>
    </fill>
    <fill>
      <patternFill patternType="solid">
        <fgColor rgb="FFE4DB32"/>
        <bgColor indexed="64"/>
      </patternFill>
    </fill>
    <fill>
      <patternFill patternType="solid">
        <fgColor rgb="FFEEEC36"/>
        <bgColor indexed="64"/>
      </patternFill>
    </fill>
    <fill>
      <patternFill patternType="solid">
        <fgColor rgb="FFD5D13F"/>
        <bgColor indexed="64"/>
      </patternFill>
    </fill>
    <fill>
      <patternFill patternType="solid">
        <fgColor rgb="FFBFB939"/>
        <bgColor indexed="64"/>
      </patternFill>
    </fill>
    <fill>
      <patternFill patternType="solid">
        <fgColor rgb="FFC9D34D"/>
        <bgColor indexed="64"/>
      </patternFill>
    </fill>
    <fill>
      <patternFill patternType="solid">
        <fgColor rgb="FF42A0E1"/>
        <bgColor indexed="64"/>
      </patternFill>
    </fill>
    <fill>
      <patternFill patternType="solid">
        <fgColor rgb="FF3EAAF8"/>
        <bgColor indexed="64"/>
      </patternFill>
    </fill>
    <fill>
      <patternFill patternType="solid">
        <fgColor rgb="FF41ADF7"/>
        <bgColor indexed="64"/>
      </patternFill>
    </fill>
    <fill>
      <patternFill patternType="solid">
        <fgColor rgb="FF43B0F8"/>
        <bgColor indexed="64"/>
      </patternFill>
    </fill>
    <fill>
      <patternFill patternType="solid">
        <fgColor rgb="FF47BCFF"/>
        <bgColor indexed="64"/>
      </patternFill>
    </fill>
    <fill>
      <patternFill patternType="solid">
        <fgColor rgb="FF3CA8F3"/>
        <bgColor indexed="64"/>
      </patternFill>
    </fill>
    <fill>
      <patternFill patternType="solid">
        <fgColor rgb="FF85934D"/>
        <bgColor indexed="64"/>
      </patternFill>
    </fill>
    <fill>
      <patternFill patternType="solid">
        <fgColor rgb="FF4B8B9F"/>
        <bgColor indexed="64"/>
      </patternFill>
    </fill>
    <fill>
      <patternFill patternType="solid">
        <fgColor rgb="FF2D9CEF"/>
        <bgColor indexed="64"/>
      </patternFill>
    </fill>
    <fill>
      <patternFill patternType="solid">
        <fgColor rgb="FF4764A1"/>
        <bgColor indexed="64"/>
      </patternFill>
    </fill>
    <fill>
      <patternFill patternType="solid">
        <fgColor rgb="FF976B59"/>
        <bgColor indexed="64"/>
      </patternFill>
    </fill>
    <fill>
      <patternFill patternType="solid">
        <fgColor rgb="FF7C9851"/>
        <bgColor indexed="64"/>
      </patternFill>
    </fill>
    <fill>
      <patternFill patternType="solid">
        <fgColor rgb="FF6F8F48"/>
        <bgColor indexed="64"/>
      </patternFill>
    </fill>
    <fill>
      <patternFill patternType="solid">
        <fgColor rgb="FF7DB257"/>
        <bgColor indexed="64"/>
      </patternFill>
    </fill>
    <fill>
      <patternFill patternType="solid">
        <fgColor rgb="FF7BB653"/>
        <bgColor indexed="64"/>
      </patternFill>
    </fill>
    <fill>
      <patternFill patternType="solid">
        <fgColor rgb="FF7FB655"/>
        <bgColor indexed="64"/>
      </patternFill>
    </fill>
    <fill>
      <patternFill patternType="solid">
        <fgColor rgb="FF85B454"/>
        <bgColor indexed="64"/>
      </patternFill>
    </fill>
    <fill>
      <patternFill patternType="solid">
        <fgColor rgb="FF83B352"/>
        <bgColor indexed="64"/>
      </patternFill>
    </fill>
    <fill>
      <patternFill patternType="solid">
        <fgColor rgb="FF83B654"/>
        <bgColor indexed="64"/>
      </patternFill>
    </fill>
    <fill>
      <patternFill patternType="solid">
        <fgColor rgb="FF86B751"/>
        <bgColor indexed="64"/>
      </patternFill>
    </fill>
    <fill>
      <patternFill patternType="solid">
        <fgColor rgb="FF95C359"/>
        <bgColor indexed="64"/>
      </patternFill>
    </fill>
    <fill>
      <patternFill patternType="solid">
        <fgColor rgb="FF789E4E"/>
        <bgColor indexed="64"/>
      </patternFill>
    </fill>
    <fill>
      <patternFill patternType="solid">
        <fgColor rgb="FF5F5C21"/>
        <bgColor indexed="64"/>
      </patternFill>
    </fill>
    <fill>
      <patternFill patternType="solid">
        <fgColor rgb="FFD9CF35"/>
        <bgColor indexed="64"/>
      </patternFill>
    </fill>
    <fill>
      <patternFill patternType="solid">
        <fgColor rgb="FF75832C"/>
        <bgColor indexed="64"/>
      </patternFill>
    </fill>
    <fill>
      <patternFill patternType="solid">
        <fgColor rgb="FF78A952"/>
        <bgColor indexed="64"/>
      </patternFill>
    </fill>
    <fill>
      <patternFill patternType="solid">
        <fgColor rgb="FF7FAE54"/>
        <bgColor indexed="64"/>
      </patternFill>
    </fill>
    <fill>
      <patternFill patternType="solid">
        <fgColor rgb="FF7FAD58"/>
        <bgColor indexed="64"/>
      </patternFill>
    </fill>
    <fill>
      <patternFill patternType="solid">
        <fgColor rgb="FF83B358"/>
        <bgColor indexed="64"/>
      </patternFill>
    </fill>
    <fill>
      <patternFill patternType="solid">
        <fgColor rgb="FF7AAE59"/>
        <bgColor indexed="64"/>
      </patternFill>
    </fill>
    <fill>
      <patternFill patternType="solid">
        <fgColor rgb="FF78A753"/>
        <bgColor indexed="64"/>
      </patternFill>
    </fill>
    <fill>
      <patternFill patternType="solid">
        <fgColor rgb="FF72A44D"/>
        <bgColor indexed="64"/>
      </patternFill>
    </fill>
    <fill>
      <patternFill patternType="solid">
        <fgColor rgb="FF73A94E"/>
        <bgColor indexed="64"/>
      </patternFill>
    </fill>
    <fill>
      <patternFill patternType="solid">
        <fgColor rgb="FF6FA84B"/>
        <bgColor indexed="64"/>
      </patternFill>
    </fill>
    <fill>
      <patternFill patternType="solid">
        <fgColor rgb="FF6EA84A"/>
        <bgColor indexed="64"/>
      </patternFill>
    </fill>
    <fill>
      <patternFill patternType="solid">
        <fgColor rgb="FF6DAB4C"/>
        <bgColor indexed="64"/>
      </patternFill>
    </fill>
    <fill>
      <patternFill patternType="solid">
        <fgColor rgb="FF538042"/>
        <bgColor indexed="64"/>
      </patternFill>
    </fill>
    <fill>
      <patternFill patternType="solid">
        <fgColor rgb="FF866932"/>
        <bgColor indexed="64"/>
      </patternFill>
    </fill>
    <fill>
      <patternFill patternType="solid">
        <fgColor rgb="FFFE9B4D"/>
        <bgColor indexed="64"/>
      </patternFill>
    </fill>
    <fill>
      <patternFill patternType="solid">
        <fgColor rgb="FFFF9E52"/>
        <bgColor indexed="64"/>
      </patternFill>
    </fill>
    <fill>
      <patternFill patternType="solid">
        <fgColor rgb="FFFA9851"/>
        <bgColor indexed="64"/>
      </patternFill>
    </fill>
    <fill>
      <patternFill patternType="solid">
        <fgColor rgb="FFFD9E4F"/>
        <bgColor indexed="64"/>
      </patternFill>
    </fill>
    <fill>
      <patternFill patternType="solid">
        <fgColor rgb="FFFC944C"/>
        <bgColor indexed="64"/>
      </patternFill>
    </fill>
    <fill>
      <patternFill patternType="solid">
        <fgColor rgb="FFA89085"/>
        <bgColor indexed="64"/>
      </patternFill>
    </fill>
    <fill>
      <patternFill patternType="solid">
        <fgColor rgb="FFC3815A"/>
        <bgColor indexed="64"/>
      </patternFill>
    </fill>
    <fill>
      <patternFill patternType="solid">
        <fgColor rgb="FFE48045"/>
        <bgColor indexed="64"/>
      </patternFill>
    </fill>
    <fill>
      <patternFill patternType="solid">
        <fgColor rgb="FFF5904E"/>
        <bgColor indexed="64"/>
      </patternFill>
    </fill>
    <fill>
      <patternFill patternType="solid">
        <fgColor rgb="FFFA944E"/>
        <bgColor indexed="64"/>
      </patternFill>
    </fill>
    <fill>
      <patternFill patternType="solid">
        <fgColor rgb="FFAC6338"/>
        <bgColor indexed="64"/>
      </patternFill>
    </fill>
    <fill>
      <patternFill patternType="solid">
        <fgColor rgb="FFA5775A"/>
        <bgColor indexed="64"/>
      </patternFill>
    </fill>
    <fill>
      <patternFill patternType="solid">
        <fgColor rgb="FF988C8E"/>
        <bgColor indexed="64"/>
      </patternFill>
    </fill>
    <fill>
      <patternFill patternType="solid">
        <fgColor rgb="FF4D90CD"/>
        <bgColor indexed="64"/>
      </patternFill>
    </fill>
    <fill>
      <patternFill patternType="solid">
        <fgColor rgb="FF39A8FE"/>
        <bgColor indexed="64"/>
      </patternFill>
    </fill>
    <fill>
      <patternFill patternType="solid">
        <fgColor rgb="FF369CEB"/>
        <bgColor indexed="64"/>
      </patternFill>
    </fill>
    <fill>
      <patternFill patternType="solid">
        <fgColor rgb="FF677348"/>
        <bgColor indexed="64"/>
      </patternFill>
    </fill>
    <fill>
      <patternFill patternType="solid">
        <fgColor rgb="FFD0BF26"/>
        <bgColor indexed="64"/>
      </patternFill>
    </fill>
    <fill>
      <patternFill patternType="solid">
        <fgColor rgb="FF5B8A89"/>
        <bgColor indexed="64"/>
      </patternFill>
    </fill>
    <fill>
      <patternFill patternType="solid">
        <fgColor rgb="FF38AAFF"/>
        <bgColor indexed="64"/>
      </patternFill>
    </fill>
    <fill>
      <patternFill patternType="solid">
        <fgColor rgb="FF42AFF8"/>
        <bgColor indexed="64"/>
      </patternFill>
    </fill>
    <fill>
      <patternFill patternType="solid">
        <fgColor rgb="FF40ABFA"/>
        <bgColor indexed="64"/>
      </patternFill>
    </fill>
    <fill>
      <patternFill patternType="solid">
        <fgColor rgb="FF3E99E0"/>
        <bgColor indexed="64"/>
      </patternFill>
    </fill>
    <fill>
      <patternFill patternType="solid">
        <fgColor rgb="FF407FAB"/>
        <bgColor indexed="64"/>
      </patternFill>
    </fill>
    <fill>
      <patternFill patternType="solid">
        <fgColor rgb="FF497A8C"/>
        <bgColor indexed="64"/>
      </patternFill>
    </fill>
    <fill>
      <patternFill patternType="solid">
        <fgColor rgb="FF576968"/>
        <bgColor indexed="64"/>
      </patternFill>
    </fill>
    <fill>
      <patternFill patternType="solid">
        <fgColor rgb="FF898B34"/>
        <bgColor indexed="64"/>
      </patternFill>
    </fill>
    <fill>
      <patternFill patternType="solid">
        <fgColor rgb="FFDAD831"/>
        <bgColor indexed="64"/>
      </patternFill>
    </fill>
    <fill>
      <patternFill patternType="solid">
        <fgColor rgb="FFB4A458"/>
        <bgColor indexed="64"/>
      </patternFill>
    </fill>
    <fill>
      <patternFill patternType="solid">
        <fgColor rgb="FF94784F"/>
        <bgColor indexed="64"/>
      </patternFill>
    </fill>
    <fill>
      <patternFill patternType="solid">
        <fgColor rgb="FF7D8D4E"/>
        <bgColor indexed="64"/>
      </patternFill>
    </fill>
    <fill>
      <patternFill patternType="solid">
        <fgColor rgb="FF39A1F1"/>
        <bgColor indexed="64"/>
      </patternFill>
    </fill>
    <fill>
      <patternFill patternType="solid">
        <fgColor rgb="FF41AAF9"/>
        <bgColor indexed="64"/>
      </patternFill>
    </fill>
    <fill>
      <patternFill patternType="solid">
        <fgColor rgb="FF3FB0FF"/>
        <bgColor indexed="64"/>
      </patternFill>
    </fill>
    <fill>
      <patternFill patternType="solid">
        <fgColor rgb="FF3EAAF6"/>
        <bgColor indexed="64"/>
      </patternFill>
    </fill>
    <fill>
      <patternFill patternType="solid">
        <fgColor rgb="FF46B7FF"/>
        <bgColor indexed="64"/>
      </patternFill>
    </fill>
    <fill>
      <patternFill patternType="solid">
        <fgColor rgb="FF3CACFF"/>
        <bgColor indexed="64"/>
      </patternFill>
    </fill>
    <fill>
      <patternFill patternType="solid">
        <fgColor rgb="FF3CA0EA"/>
        <bgColor indexed="64"/>
      </patternFill>
    </fill>
    <fill>
      <patternFill patternType="solid">
        <fgColor rgb="FF3881AB"/>
        <bgColor indexed="64"/>
      </patternFill>
    </fill>
    <fill>
      <patternFill patternType="solid">
        <fgColor rgb="FF9A9E41"/>
        <bgColor indexed="64"/>
      </patternFill>
    </fill>
    <fill>
      <patternFill patternType="solid">
        <fgColor rgb="FF607546"/>
        <bgColor indexed="64"/>
      </patternFill>
    </fill>
    <fill>
      <patternFill patternType="solid">
        <fgColor rgb="FF5C886F"/>
        <bgColor indexed="64"/>
      </patternFill>
    </fill>
    <fill>
      <patternFill patternType="solid">
        <fgColor rgb="FF71A26E"/>
        <bgColor indexed="64"/>
      </patternFill>
    </fill>
    <fill>
      <patternFill patternType="solid">
        <fgColor rgb="FF77B255"/>
        <bgColor indexed="64"/>
      </patternFill>
    </fill>
    <fill>
      <patternFill patternType="solid">
        <fgColor rgb="FF80B552"/>
        <bgColor indexed="64"/>
      </patternFill>
    </fill>
    <fill>
      <patternFill patternType="solid">
        <fgColor rgb="FF87BB54"/>
        <bgColor indexed="64"/>
      </patternFill>
    </fill>
    <fill>
      <patternFill patternType="solid">
        <fgColor rgb="FF85B251"/>
        <bgColor indexed="64"/>
      </patternFill>
    </fill>
    <fill>
      <patternFill patternType="solid">
        <fgColor rgb="FF82AF51"/>
        <bgColor indexed="64"/>
      </patternFill>
    </fill>
    <fill>
      <patternFill patternType="solid">
        <fgColor rgb="FF7BAA50"/>
        <bgColor indexed="64"/>
      </patternFill>
    </fill>
    <fill>
      <patternFill patternType="solid">
        <fgColor rgb="FF7DAC52"/>
        <bgColor indexed="64"/>
      </patternFill>
    </fill>
    <fill>
      <patternFill patternType="solid">
        <fgColor rgb="FF7DAB52"/>
        <bgColor indexed="64"/>
      </patternFill>
    </fill>
    <fill>
      <patternFill patternType="solid">
        <fgColor rgb="FF80B150"/>
        <bgColor indexed="64"/>
      </patternFill>
    </fill>
    <fill>
      <patternFill patternType="solid">
        <fgColor rgb="FF88B651"/>
        <bgColor indexed="64"/>
      </patternFill>
    </fill>
    <fill>
      <patternFill patternType="solid">
        <fgColor rgb="FF87B550"/>
        <bgColor indexed="64"/>
      </patternFill>
    </fill>
    <fill>
      <patternFill patternType="solid">
        <fgColor rgb="FF58753C"/>
        <bgColor indexed="64"/>
      </patternFill>
    </fill>
    <fill>
      <patternFill patternType="solid">
        <fgColor rgb="FF494119"/>
        <bgColor indexed="64"/>
      </patternFill>
    </fill>
    <fill>
      <patternFill patternType="solid">
        <fgColor rgb="FF867B24"/>
        <bgColor indexed="64"/>
      </patternFill>
    </fill>
    <fill>
      <patternFill patternType="solid">
        <fgColor rgb="FF6D903B"/>
        <bgColor indexed="64"/>
      </patternFill>
    </fill>
    <fill>
      <patternFill patternType="solid">
        <fgColor rgb="FF71A952"/>
        <bgColor indexed="64"/>
      </patternFill>
    </fill>
    <fill>
      <patternFill patternType="solid">
        <fgColor rgb="FF73AA50"/>
        <bgColor indexed="64"/>
      </patternFill>
    </fill>
    <fill>
      <patternFill patternType="solid">
        <fgColor rgb="FF83BA59"/>
        <bgColor indexed="64"/>
      </patternFill>
    </fill>
    <fill>
      <patternFill patternType="solid">
        <fgColor rgb="FF7FB257"/>
        <bgColor indexed="64"/>
      </patternFill>
    </fill>
    <fill>
      <patternFill patternType="solid">
        <fgColor rgb="FF7DAD59"/>
        <bgColor indexed="64"/>
      </patternFill>
    </fill>
    <fill>
      <patternFill patternType="solid">
        <fgColor rgb="FF82B059"/>
        <bgColor indexed="64"/>
      </patternFill>
    </fill>
    <fill>
      <patternFill patternType="solid">
        <fgColor rgb="FF78A950"/>
        <bgColor indexed="64"/>
      </patternFill>
    </fill>
    <fill>
      <patternFill patternType="solid">
        <fgColor rgb="FF71A54A"/>
        <bgColor indexed="64"/>
      </patternFill>
    </fill>
    <fill>
      <patternFill patternType="solid">
        <fgColor rgb="FF6FA14E"/>
        <bgColor indexed="64"/>
      </patternFill>
    </fill>
    <fill>
      <patternFill patternType="solid">
        <fgColor rgb="FF78A94D"/>
        <bgColor indexed="64"/>
      </patternFill>
    </fill>
    <fill>
      <patternFill patternType="solid">
        <fgColor rgb="FF6C9D49"/>
        <bgColor indexed="64"/>
      </patternFill>
    </fill>
    <fill>
      <patternFill patternType="solid">
        <fgColor rgb="FF718141"/>
        <bgColor indexed="64"/>
      </patternFill>
    </fill>
    <fill>
      <patternFill patternType="solid">
        <fgColor rgb="FFBD8440"/>
        <bgColor indexed="64"/>
      </patternFill>
    </fill>
    <fill>
      <patternFill patternType="solid">
        <fgColor rgb="FFE78E4A"/>
        <bgColor indexed="64"/>
      </patternFill>
    </fill>
    <fill>
      <patternFill patternType="solid">
        <fgColor rgb="FFDD8443"/>
        <bgColor indexed="64"/>
      </patternFill>
    </fill>
    <fill>
      <patternFill patternType="solid">
        <fgColor rgb="FFF08E46"/>
        <bgColor indexed="64"/>
      </patternFill>
    </fill>
    <fill>
      <patternFill patternType="solid">
        <fgColor rgb="FFF7954B"/>
        <bgColor indexed="64"/>
      </patternFill>
    </fill>
    <fill>
      <patternFill patternType="solid">
        <fgColor rgb="FFFA964C"/>
        <bgColor indexed="64"/>
      </patternFill>
    </fill>
    <fill>
      <patternFill patternType="solid">
        <fgColor rgb="FFFD984D"/>
        <bgColor indexed="64"/>
      </patternFill>
    </fill>
    <fill>
      <patternFill patternType="solid">
        <fgColor rgb="FFC78C64"/>
        <bgColor indexed="64"/>
      </patternFill>
    </fill>
    <fill>
      <patternFill patternType="solid">
        <fgColor rgb="FFE07B40"/>
        <bgColor indexed="64"/>
      </patternFill>
    </fill>
    <fill>
      <patternFill patternType="solid">
        <fgColor rgb="FFFF9855"/>
        <bgColor indexed="64"/>
      </patternFill>
    </fill>
    <fill>
      <patternFill patternType="solid">
        <fgColor rgb="FFF38D4C"/>
        <bgColor indexed="64"/>
      </patternFill>
    </fill>
    <fill>
      <patternFill patternType="solid">
        <fgColor rgb="FFEF9342"/>
        <bgColor indexed="64"/>
      </patternFill>
    </fill>
    <fill>
      <patternFill patternType="solid">
        <fgColor rgb="FFDC8743"/>
        <bgColor indexed="64"/>
      </patternFill>
    </fill>
    <fill>
      <patternFill patternType="solid">
        <fgColor rgb="FFD68449"/>
        <bgColor indexed="64"/>
      </patternFill>
    </fill>
    <fill>
      <patternFill patternType="solid">
        <fgColor rgb="FF517BAB"/>
        <bgColor indexed="64"/>
      </patternFill>
    </fill>
    <fill>
      <patternFill patternType="solid">
        <fgColor rgb="FF32A5FF"/>
        <bgColor indexed="64"/>
      </patternFill>
    </fill>
    <fill>
      <patternFill patternType="solid">
        <fgColor rgb="FF35A3F9"/>
        <bgColor indexed="64"/>
      </patternFill>
    </fill>
    <fill>
      <patternFill patternType="solid">
        <fgColor rgb="FF3AAAFF"/>
        <bgColor indexed="64"/>
      </patternFill>
    </fill>
    <fill>
      <patternFill patternType="solid">
        <fgColor rgb="FF318ED9"/>
        <bgColor indexed="64"/>
      </patternFill>
    </fill>
    <fill>
      <patternFill patternType="solid">
        <fgColor rgb="FFB3B63B"/>
        <bgColor indexed="64"/>
      </patternFill>
    </fill>
    <fill>
      <patternFill patternType="solid">
        <fgColor rgb="FFFFFC30"/>
        <bgColor indexed="64"/>
      </patternFill>
    </fill>
    <fill>
      <patternFill patternType="solid">
        <fgColor rgb="FF649E9B"/>
        <bgColor indexed="64"/>
      </patternFill>
    </fill>
    <fill>
      <patternFill patternType="solid">
        <fgColor rgb="FF38A9FF"/>
        <bgColor indexed="64"/>
      </patternFill>
    </fill>
    <fill>
      <patternFill patternType="solid">
        <fgColor rgb="FF3FACFC"/>
        <bgColor indexed="64"/>
      </patternFill>
    </fill>
    <fill>
      <patternFill patternType="solid">
        <fgColor rgb="FF42B2FF"/>
        <bgColor indexed="64"/>
      </patternFill>
    </fill>
    <fill>
      <patternFill patternType="solid">
        <fgColor rgb="FF3EB5FF"/>
        <bgColor indexed="64"/>
      </patternFill>
    </fill>
    <fill>
      <patternFill patternType="solid">
        <fgColor rgb="FF377CBC"/>
        <bgColor indexed="64"/>
      </patternFill>
    </fill>
    <fill>
      <patternFill patternType="solid">
        <fgColor rgb="FF6E64A3"/>
        <bgColor indexed="64"/>
      </patternFill>
    </fill>
    <fill>
      <patternFill patternType="solid">
        <fgColor rgb="FF57476F"/>
        <bgColor indexed="64"/>
      </patternFill>
    </fill>
    <fill>
      <patternFill patternType="solid">
        <fgColor rgb="FF82724D"/>
        <bgColor indexed="64"/>
      </patternFill>
    </fill>
    <fill>
      <patternFill patternType="solid">
        <fgColor rgb="FF766D28"/>
        <bgColor indexed="64"/>
      </patternFill>
    </fill>
    <fill>
      <patternFill patternType="solid">
        <fgColor rgb="FF815A77"/>
        <bgColor indexed="64"/>
      </patternFill>
    </fill>
    <fill>
      <patternFill patternType="solid">
        <fgColor rgb="FFA0689A"/>
        <bgColor indexed="64"/>
      </patternFill>
    </fill>
    <fill>
      <patternFill patternType="solid">
        <fgColor rgb="FF83587D"/>
        <bgColor indexed="64"/>
      </patternFill>
    </fill>
    <fill>
      <patternFill patternType="solid">
        <fgColor rgb="FF4272B0"/>
        <bgColor indexed="64"/>
      </patternFill>
    </fill>
    <fill>
      <patternFill patternType="solid">
        <fgColor rgb="FF3FA5EC"/>
        <bgColor indexed="64"/>
      </patternFill>
    </fill>
    <fill>
      <patternFill patternType="solid">
        <fgColor rgb="FF3EB2FE"/>
        <bgColor indexed="64"/>
      </patternFill>
    </fill>
    <fill>
      <patternFill patternType="solid">
        <fgColor rgb="FF4A8CD4"/>
        <bgColor indexed="64"/>
      </patternFill>
    </fill>
    <fill>
      <patternFill patternType="solid">
        <fgColor rgb="FF4E8ACC"/>
        <bgColor indexed="64"/>
      </patternFill>
    </fill>
    <fill>
      <patternFill patternType="solid">
        <fgColor rgb="FF3696E0"/>
        <bgColor indexed="64"/>
      </patternFill>
    </fill>
    <fill>
      <patternFill patternType="solid">
        <fgColor rgb="FF3D88CD"/>
        <bgColor indexed="64"/>
      </patternFill>
    </fill>
    <fill>
      <patternFill patternType="solid">
        <fgColor rgb="FF4188D4"/>
        <bgColor indexed="64"/>
      </patternFill>
    </fill>
    <fill>
      <patternFill patternType="solid">
        <fgColor rgb="FF399DEF"/>
        <bgColor indexed="64"/>
      </patternFill>
    </fill>
    <fill>
      <patternFill patternType="solid">
        <fgColor rgb="FF377FB1"/>
        <bgColor indexed="64"/>
      </patternFill>
    </fill>
    <fill>
      <patternFill patternType="solid">
        <fgColor rgb="FF4E8284"/>
        <bgColor indexed="64"/>
      </patternFill>
    </fill>
    <fill>
      <patternFill patternType="solid">
        <fgColor rgb="FF679361"/>
        <bgColor indexed="64"/>
      </patternFill>
    </fill>
    <fill>
      <patternFill patternType="solid">
        <fgColor rgb="FF779F4F"/>
        <bgColor indexed="64"/>
      </patternFill>
    </fill>
    <fill>
      <patternFill patternType="solid">
        <fgColor rgb="FF5A5E27"/>
        <bgColor indexed="64"/>
      </patternFill>
    </fill>
    <fill>
      <patternFill patternType="solid">
        <fgColor rgb="FF718436"/>
        <bgColor indexed="64"/>
      </patternFill>
    </fill>
    <fill>
      <patternFill patternType="solid">
        <fgColor rgb="FF7FB24C"/>
        <bgColor indexed="64"/>
      </patternFill>
    </fill>
    <fill>
      <patternFill patternType="solid">
        <fgColor rgb="FF7CAD46"/>
        <bgColor indexed="64"/>
      </patternFill>
    </fill>
    <fill>
      <patternFill patternType="solid">
        <fgColor rgb="FF7EAD4B"/>
        <bgColor indexed="64"/>
      </patternFill>
    </fill>
    <fill>
      <patternFill patternType="solid">
        <fgColor rgb="FF689640"/>
        <bgColor indexed="64"/>
      </patternFill>
    </fill>
    <fill>
      <patternFill patternType="solid">
        <fgColor rgb="FF60763D"/>
        <bgColor indexed="64"/>
      </patternFill>
    </fill>
    <fill>
      <patternFill patternType="solid">
        <fgColor rgb="FF6D8549"/>
        <bgColor indexed="64"/>
      </patternFill>
    </fill>
    <fill>
      <patternFill patternType="solid">
        <fgColor rgb="FF86B64F"/>
        <bgColor indexed="64"/>
      </patternFill>
    </fill>
    <fill>
      <patternFill patternType="solid">
        <fgColor rgb="FF7BAA4C"/>
        <bgColor indexed="64"/>
      </patternFill>
    </fill>
    <fill>
      <patternFill patternType="solid">
        <fgColor rgb="FF7AA950"/>
        <bgColor indexed="64"/>
      </patternFill>
    </fill>
    <fill>
      <patternFill patternType="solid">
        <fgColor rgb="FF81B051"/>
        <bgColor indexed="64"/>
      </patternFill>
    </fill>
    <fill>
      <patternFill patternType="solid">
        <fgColor rgb="FF7E9F4A"/>
        <bgColor indexed="64"/>
      </patternFill>
    </fill>
    <fill>
      <patternFill patternType="solid">
        <fgColor rgb="FF83A351"/>
        <bgColor indexed="64"/>
      </patternFill>
    </fill>
    <fill>
      <patternFill patternType="solid">
        <fgColor rgb="FF746844"/>
        <bgColor indexed="64"/>
      </patternFill>
    </fill>
    <fill>
      <patternFill patternType="solid">
        <fgColor rgb="FF697534"/>
        <bgColor indexed="64"/>
      </patternFill>
    </fill>
    <fill>
      <patternFill patternType="solid">
        <fgColor rgb="FF383115"/>
        <bgColor indexed="64"/>
      </patternFill>
    </fill>
    <fill>
      <patternFill patternType="solid">
        <fgColor rgb="FF4F4F1A"/>
        <bgColor indexed="64"/>
      </patternFill>
    </fill>
    <fill>
      <patternFill patternType="solid">
        <fgColor rgb="FF6A623C"/>
        <bgColor indexed="64"/>
      </patternFill>
    </fill>
    <fill>
      <patternFill patternType="solid">
        <fgColor rgb="FF513C31"/>
        <bgColor indexed="64"/>
      </patternFill>
    </fill>
    <fill>
      <patternFill patternType="solid">
        <fgColor rgb="FF787543"/>
        <bgColor indexed="64"/>
      </patternFill>
    </fill>
    <fill>
      <patternFill patternType="solid">
        <fgColor rgb="FF677640"/>
        <bgColor indexed="64"/>
      </patternFill>
    </fill>
    <fill>
      <patternFill patternType="solid">
        <fgColor rgb="FF61893D"/>
        <bgColor indexed="64"/>
      </patternFill>
    </fill>
    <fill>
      <patternFill patternType="solid">
        <fgColor rgb="FF7AAB55"/>
        <bgColor indexed="64"/>
      </patternFill>
    </fill>
    <fill>
      <patternFill patternType="solid">
        <fgColor rgb="FF7CAF57"/>
        <bgColor indexed="64"/>
      </patternFill>
    </fill>
    <fill>
      <patternFill patternType="solid">
        <fgColor rgb="FF78AB50"/>
        <bgColor indexed="64"/>
      </patternFill>
    </fill>
    <fill>
      <patternFill patternType="solid">
        <fgColor rgb="FF70A44D"/>
        <bgColor indexed="64"/>
      </patternFill>
    </fill>
    <fill>
      <patternFill patternType="solid">
        <fgColor rgb="FF6FA24C"/>
        <bgColor indexed="64"/>
      </patternFill>
    </fill>
    <fill>
      <patternFill patternType="solid">
        <fgColor rgb="FF73A549"/>
        <bgColor indexed="64"/>
      </patternFill>
    </fill>
    <fill>
      <patternFill patternType="solid">
        <fgColor rgb="FF799D49"/>
        <bgColor indexed="64"/>
      </patternFill>
    </fill>
    <fill>
      <patternFill patternType="solid">
        <fgColor rgb="FF8B9042"/>
        <bgColor indexed="64"/>
      </patternFill>
    </fill>
    <fill>
      <patternFill patternType="solid">
        <fgColor rgb="FF9D7336"/>
        <bgColor indexed="64"/>
      </patternFill>
    </fill>
    <fill>
      <patternFill patternType="solid">
        <fgColor rgb="FFD4743A"/>
        <bgColor indexed="64"/>
      </patternFill>
    </fill>
    <fill>
      <patternFill patternType="solid">
        <fgColor rgb="FFED8846"/>
        <bgColor indexed="64"/>
      </patternFill>
    </fill>
    <fill>
      <patternFill patternType="solid">
        <fgColor rgb="FFEF8A47"/>
        <bgColor indexed="64"/>
      </patternFill>
    </fill>
    <fill>
      <patternFill patternType="solid">
        <fgColor rgb="FFF7954C"/>
        <bgColor indexed="64"/>
      </patternFill>
    </fill>
    <fill>
      <patternFill patternType="solid">
        <fgColor rgb="FFFE9A4F"/>
        <bgColor indexed="64"/>
      </patternFill>
    </fill>
    <fill>
      <patternFill patternType="solid">
        <fgColor rgb="FFF79149"/>
        <bgColor indexed="64"/>
      </patternFill>
    </fill>
    <fill>
      <patternFill patternType="solid">
        <fgColor rgb="FFEB8742"/>
        <bgColor indexed="64"/>
      </patternFill>
    </fill>
    <fill>
      <patternFill patternType="solid">
        <fgColor rgb="FF996858"/>
        <bgColor indexed="64"/>
      </patternFill>
    </fill>
    <fill>
      <patternFill patternType="solid">
        <fgColor rgb="FFF58D4D"/>
        <bgColor indexed="64"/>
      </patternFill>
    </fill>
    <fill>
      <patternFill patternType="solid">
        <fgColor rgb="FFFB984D"/>
        <bgColor indexed="64"/>
      </patternFill>
    </fill>
    <fill>
      <patternFill patternType="solid">
        <fgColor rgb="FFE78D41"/>
        <bgColor indexed="64"/>
      </patternFill>
    </fill>
    <fill>
      <patternFill patternType="solid">
        <fgColor rgb="FF8D6F68"/>
        <bgColor indexed="64"/>
      </patternFill>
    </fill>
    <fill>
      <patternFill patternType="solid">
        <fgColor rgb="FF4F7BB4"/>
        <bgColor indexed="64"/>
      </patternFill>
    </fill>
    <fill>
      <patternFill patternType="solid">
        <fgColor rgb="FF4376AB"/>
        <bgColor indexed="64"/>
      </patternFill>
    </fill>
    <fill>
      <patternFill patternType="solid">
        <fgColor rgb="FF329CF7"/>
        <bgColor indexed="64"/>
      </patternFill>
    </fill>
    <fill>
      <patternFill patternType="solid">
        <fgColor rgb="FF33A0FB"/>
        <bgColor indexed="64"/>
      </patternFill>
    </fill>
    <fill>
      <patternFill patternType="solid">
        <fgColor rgb="FF36A2FA"/>
        <bgColor indexed="64"/>
      </patternFill>
    </fill>
    <fill>
      <patternFill patternType="solid">
        <fgColor rgb="FF39ABFF"/>
        <bgColor indexed="64"/>
      </patternFill>
    </fill>
    <fill>
      <patternFill patternType="solid">
        <fgColor rgb="FF348ACE"/>
        <bgColor indexed="64"/>
      </patternFill>
    </fill>
    <fill>
      <patternFill patternType="solid">
        <fgColor rgb="FFC7C536"/>
        <bgColor indexed="64"/>
      </patternFill>
    </fill>
    <fill>
      <patternFill patternType="solid">
        <fgColor rgb="FFFCF630"/>
        <bgColor indexed="64"/>
      </patternFill>
    </fill>
    <fill>
      <patternFill patternType="solid">
        <fgColor rgb="FF538F9E"/>
        <bgColor indexed="64"/>
      </patternFill>
    </fill>
    <fill>
      <patternFill patternType="solid">
        <fgColor rgb="FF3AACFF"/>
        <bgColor indexed="64"/>
      </patternFill>
    </fill>
    <fill>
      <patternFill patternType="solid">
        <fgColor rgb="FF3EAAFA"/>
        <bgColor indexed="64"/>
      </patternFill>
    </fill>
    <fill>
      <patternFill patternType="solid">
        <fgColor rgb="FF3B8DD0"/>
        <bgColor indexed="64"/>
      </patternFill>
    </fill>
    <fill>
      <patternFill patternType="solid">
        <fgColor rgb="FF5B649A"/>
        <bgColor indexed="64"/>
      </patternFill>
    </fill>
    <fill>
      <patternFill patternType="solid">
        <fgColor rgb="FF966598"/>
        <bgColor indexed="64"/>
      </patternFill>
    </fill>
    <fill>
      <patternFill patternType="solid">
        <fgColor rgb="FFA76798"/>
        <bgColor indexed="64"/>
      </patternFill>
    </fill>
    <fill>
      <patternFill patternType="solid">
        <fgColor rgb="FF784D69"/>
        <bgColor indexed="64"/>
      </patternFill>
    </fill>
    <fill>
      <patternFill patternType="solid">
        <fgColor rgb="FFB878A9"/>
        <bgColor indexed="64"/>
      </patternFill>
    </fill>
    <fill>
      <patternFill patternType="solid">
        <fgColor rgb="FF745F45"/>
        <bgColor indexed="64"/>
      </patternFill>
    </fill>
    <fill>
      <patternFill patternType="solid">
        <fgColor rgb="FF8E6377"/>
        <bgColor indexed="64"/>
      </patternFill>
    </fill>
    <fill>
      <patternFill patternType="solid">
        <fgColor rgb="FFC277BB"/>
        <bgColor indexed="64"/>
      </patternFill>
    </fill>
    <fill>
      <patternFill patternType="solid">
        <fgColor rgb="FFAB6DA7"/>
        <bgColor indexed="64"/>
      </patternFill>
    </fill>
    <fill>
      <patternFill patternType="solid">
        <fgColor rgb="FF573860"/>
        <bgColor indexed="64"/>
      </patternFill>
    </fill>
    <fill>
      <patternFill patternType="solid">
        <fgColor rgb="FF3A85C8"/>
        <bgColor indexed="64"/>
      </patternFill>
    </fill>
    <fill>
      <patternFill patternType="solid">
        <fgColor rgb="FF45A4EF"/>
        <bgColor indexed="64"/>
      </patternFill>
    </fill>
    <fill>
      <patternFill patternType="solid">
        <fgColor rgb="FFA26292"/>
        <bgColor indexed="64"/>
      </patternFill>
    </fill>
    <fill>
      <patternFill patternType="solid">
        <fgColor rgb="FF6F5688"/>
        <bgColor indexed="64"/>
      </patternFill>
    </fill>
    <fill>
      <patternFill patternType="solid">
        <fgColor rgb="FF675888"/>
        <bgColor indexed="64"/>
      </patternFill>
    </fill>
    <fill>
      <patternFill patternType="solid">
        <fgColor rgb="FF916699"/>
        <bgColor indexed="64"/>
      </patternFill>
    </fill>
    <fill>
      <patternFill patternType="solid">
        <fgColor rgb="FF565A6D"/>
        <bgColor indexed="64"/>
      </patternFill>
    </fill>
    <fill>
      <patternFill patternType="solid">
        <fgColor rgb="FF4F8161"/>
        <bgColor indexed="64"/>
      </patternFill>
    </fill>
    <fill>
      <patternFill patternType="solid">
        <fgColor rgb="FF63813A"/>
        <bgColor indexed="64"/>
      </patternFill>
    </fill>
    <fill>
      <patternFill patternType="solid">
        <fgColor rgb="FF82AA4D"/>
        <bgColor indexed="64"/>
      </patternFill>
    </fill>
    <fill>
      <patternFill patternType="solid">
        <fgColor rgb="FF89B952"/>
        <bgColor indexed="64"/>
      </patternFill>
    </fill>
    <fill>
      <patternFill patternType="solid">
        <fgColor rgb="FF86B85C"/>
        <bgColor indexed="64"/>
      </patternFill>
    </fill>
    <fill>
      <patternFill patternType="solid">
        <fgColor rgb="FF2F3B22"/>
        <bgColor indexed="64"/>
      </patternFill>
    </fill>
    <fill>
      <patternFill patternType="solid">
        <fgColor rgb="FF425526"/>
        <bgColor indexed="64"/>
      </patternFill>
    </fill>
    <fill>
      <patternFill patternType="solid">
        <fgColor rgb="FF80B24E"/>
        <bgColor indexed="64"/>
      </patternFill>
    </fill>
    <fill>
      <patternFill patternType="solid">
        <fgColor rgb="FF77AA43"/>
        <bgColor indexed="64"/>
      </patternFill>
    </fill>
    <fill>
      <patternFill patternType="solid">
        <fgColor rgb="FF5B8238"/>
        <bgColor indexed="64"/>
      </patternFill>
    </fill>
    <fill>
      <patternFill patternType="solid">
        <fgColor rgb="FF444039"/>
        <bgColor indexed="64"/>
      </patternFill>
    </fill>
    <fill>
      <patternFill patternType="solid">
        <fgColor rgb="FF6F4D6D"/>
        <bgColor indexed="64"/>
      </patternFill>
    </fill>
    <fill>
      <patternFill patternType="solid">
        <fgColor rgb="FF565C43"/>
        <bgColor indexed="64"/>
      </patternFill>
    </fill>
    <fill>
      <patternFill patternType="solid">
        <fgColor rgb="FF7EAB49"/>
        <bgColor indexed="64"/>
      </patternFill>
    </fill>
    <fill>
      <patternFill patternType="solid">
        <fgColor rgb="FF7DAE4C"/>
        <bgColor indexed="64"/>
      </patternFill>
    </fill>
    <fill>
      <patternFill patternType="solid">
        <fgColor rgb="FF7BA94E"/>
        <bgColor indexed="64"/>
      </patternFill>
    </fill>
    <fill>
      <patternFill patternType="solid">
        <fgColor rgb="FF7DAF49"/>
        <bgColor indexed="64"/>
      </patternFill>
    </fill>
    <fill>
      <patternFill patternType="solid">
        <fgColor rgb="FFB17462"/>
        <bgColor indexed="64"/>
      </patternFill>
    </fill>
    <fill>
      <patternFill patternType="solid">
        <fgColor rgb="FFAB6C62"/>
        <bgColor indexed="64"/>
      </patternFill>
    </fill>
    <fill>
      <patternFill patternType="solid">
        <fgColor rgb="FFBB666E"/>
        <bgColor indexed="64"/>
      </patternFill>
    </fill>
    <fill>
      <patternFill patternType="solid">
        <fgColor rgb="FF786731"/>
        <bgColor indexed="64"/>
      </patternFill>
    </fill>
    <fill>
      <patternFill patternType="solid">
        <fgColor rgb="FF2A2A11"/>
        <bgColor indexed="64"/>
      </patternFill>
    </fill>
    <fill>
      <patternFill patternType="solid">
        <fgColor rgb="FF693328"/>
        <bgColor indexed="64"/>
      </patternFill>
    </fill>
    <fill>
      <patternFill patternType="solid">
        <fgColor rgb="FFDD4E6C"/>
        <bgColor indexed="64"/>
      </patternFill>
    </fill>
    <fill>
      <patternFill patternType="solid">
        <fgColor rgb="FFBE425D"/>
        <bgColor indexed="64"/>
      </patternFill>
    </fill>
    <fill>
      <patternFill patternType="solid">
        <fgColor rgb="FF973E55"/>
        <bgColor indexed="64"/>
      </patternFill>
    </fill>
    <fill>
      <patternFill patternType="solid">
        <fgColor rgb="FF5B5A39"/>
        <bgColor indexed="64"/>
      </patternFill>
    </fill>
    <fill>
      <patternFill patternType="solid">
        <fgColor rgb="FF74A24B"/>
        <bgColor indexed="64"/>
      </patternFill>
    </fill>
    <fill>
      <patternFill patternType="solid">
        <fgColor rgb="FF7AAB54"/>
        <bgColor indexed="64"/>
      </patternFill>
    </fill>
    <fill>
      <patternFill patternType="solid">
        <fgColor rgb="FF79AA54"/>
        <bgColor indexed="64"/>
      </patternFill>
    </fill>
    <fill>
      <patternFill patternType="solid">
        <fgColor rgb="FF73A54C"/>
        <bgColor indexed="64"/>
      </patternFill>
    </fill>
    <fill>
      <patternFill patternType="solid">
        <fgColor rgb="FF6FA44A"/>
        <bgColor indexed="64"/>
      </patternFill>
    </fill>
    <fill>
      <patternFill patternType="solid">
        <fgColor rgb="FF70A348"/>
        <bgColor indexed="64"/>
      </patternFill>
    </fill>
    <fill>
      <patternFill patternType="solid">
        <fgColor rgb="FF577F3A"/>
        <bgColor indexed="64"/>
      </patternFill>
    </fill>
    <fill>
      <patternFill patternType="solid">
        <fgColor rgb="FF966934"/>
        <bgColor indexed="64"/>
      </patternFill>
    </fill>
    <fill>
      <patternFill patternType="solid">
        <fgColor rgb="FFE68946"/>
        <bgColor indexed="64"/>
      </patternFill>
    </fill>
    <fill>
      <patternFill patternType="solid">
        <fgColor rgb="FFB3733D"/>
        <bgColor indexed="64"/>
      </patternFill>
    </fill>
    <fill>
      <patternFill patternType="solid">
        <fgColor rgb="FFB36633"/>
        <bgColor indexed="64"/>
      </patternFill>
    </fill>
    <fill>
      <patternFill patternType="solid">
        <fgColor rgb="FFFF9A4E"/>
        <bgColor indexed="64"/>
      </patternFill>
    </fill>
    <fill>
      <patternFill patternType="solid">
        <fgColor rgb="FFFF9E54"/>
        <bgColor indexed="64"/>
      </patternFill>
    </fill>
    <fill>
      <patternFill patternType="solid">
        <fgColor rgb="FFCE7C3E"/>
        <bgColor indexed="64"/>
      </patternFill>
    </fill>
    <fill>
      <patternFill patternType="solid">
        <fgColor rgb="FFDD8540"/>
        <bgColor indexed="64"/>
      </patternFill>
    </fill>
    <fill>
      <patternFill patternType="solid">
        <fgColor rgb="FFC37640"/>
        <bgColor indexed="64"/>
      </patternFill>
    </fill>
    <fill>
      <patternFill patternType="solid">
        <fgColor rgb="FFE38A48"/>
        <bgColor indexed="64"/>
      </patternFill>
    </fill>
    <fill>
      <patternFill patternType="solid">
        <fgColor rgb="FFB66844"/>
        <bgColor indexed="64"/>
      </patternFill>
    </fill>
    <fill>
      <patternFill patternType="solid">
        <fgColor rgb="FFEF874B"/>
        <bgColor indexed="64"/>
      </patternFill>
    </fill>
    <fill>
      <patternFill patternType="solid">
        <fgColor rgb="FFFE9650"/>
        <bgColor indexed="64"/>
      </patternFill>
    </fill>
    <fill>
      <patternFill patternType="solid">
        <fgColor rgb="FFF58F4D"/>
        <bgColor indexed="64"/>
      </patternFill>
    </fill>
    <fill>
      <patternFill patternType="solid">
        <fgColor rgb="FFF6924B"/>
        <bgColor indexed="64"/>
      </patternFill>
    </fill>
    <fill>
      <patternFill patternType="solid">
        <fgColor rgb="FFFF9E50"/>
        <bgColor indexed="64"/>
      </patternFill>
    </fill>
    <fill>
      <patternFill patternType="solid">
        <fgColor rgb="FFD18144"/>
        <bgColor indexed="64"/>
      </patternFill>
    </fill>
    <fill>
      <patternFill patternType="solid">
        <fgColor rgb="FFCF7C41"/>
        <bgColor indexed="64"/>
      </patternFill>
    </fill>
    <fill>
      <patternFill patternType="solid">
        <fgColor rgb="FF7998B5"/>
        <bgColor indexed="64"/>
      </patternFill>
    </fill>
    <fill>
      <patternFill patternType="solid">
        <fgColor rgb="FF3CA8F8"/>
        <bgColor indexed="64"/>
      </patternFill>
    </fill>
    <fill>
      <patternFill patternType="solid">
        <fgColor rgb="FF33A2FA"/>
        <bgColor indexed="64"/>
      </patternFill>
    </fill>
    <fill>
      <patternFill patternType="solid">
        <fgColor rgb="FF38A8FF"/>
        <bgColor indexed="64"/>
      </patternFill>
    </fill>
    <fill>
      <patternFill patternType="solid">
        <fgColor rgb="FF3690D7"/>
        <bgColor indexed="64"/>
      </patternFill>
    </fill>
    <fill>
      <patternFill patternType="solid">
        <fgColor rgb="FFCACB3F"/>
        <bgColor indexed="64"/>
      </patternFill>
    </fill>
    <fill>
      <patternFill patternType="solid">
        <fgColor rgb="FFF0E72E"/>
        <bgColor indexed="64"/>
      </patternFill>
    </fill>
    <fill>
      <patternFill patternType="solid">
        <fgColor rgb="FF4085A8"/>
        <bgColor indexed="64"/>
      </patternFill>
    </fill>
    <fill>
      <patternFill patternType="solid">
        <fgColor rgb="FF3DAFFF"/>
        <bgColor indexed="64"/>
      </patternFill>
    </fill>
    <fill>
      <patternFill patternType="solid">
        <fgColor rgb="FF3585C3"/>
        <bgColor indexed="64"/>
      </patternFill>
    </fill>
    <fill>
      <patternFill patternType="solid">
        <fgColor rgb="FF72527F"/>
        <bgColor indexed="64"/>
      </patternFill>
    </fill>
    <fill>
      <patternFill patternType="solid">
        <fgColor rgb="FFBE78B4"/>
        <bgColor indexed="64"/>
      </patternFill>
    </fill>
    <fill>
      <patternFill patternType="solid">
        <fgColor rgb="FFAA6EA7"/>
        <bgColor indexed="64"/>
      </patternFill>
    </fill>
    <fill>
      <patternFill patternType="solid">
        <fgColor rgb="FFB672AE"/>
        <bgColor indexed="64"/>
      </patternFill>
    </fill>
    <fill>
      <patternFill patternType="solid">
        <fgColor rgb="FFBC76B1"/>
        <bgColor indexed="64"/>
      </patternFill>
    </fill>
    <fill>
      <patternFill patternType="solid">
        <fgColor rgb="FF514036"/>
        <bgColor indexed="64"/>
      </patternFill>
    </fill>
    <fill>
      <patternFill patternType="solid">
        <fgColor rgb="FF845A77"/>
        <bgColor indexed="64"/>
      </patternFill>
    </fill>
    <fill>
      <patternFill patternType="solid">
        <fgColor rgb="FFC578BB"/>
        <bgColor indexed="64"/>
      </patternFill>
    </fill>
    <fill>
      <patternFill patternType="solid">
        <fgColor rgb="FFB874B0"/>
        <bgColor indexed="64"/>
      </patternFill>
    </fill>
    <fill>
      <patternFill patternType="solid">
        <fgColor rgb="FF9C6192"/>
        <bgColor indexed="64"/>
      </patternFill>
    </fill>
    <fill>
      <patternFill patternType="solid">
        <fgColor rgb="FF4B5689"/>
        <bgColor indexed="64"/>
      </patternFill>
    </fill>
    <fill>
      <patternFill patternType="solid">
        <fgColor rgb="FF6E6BA4"/>
        <bgColor indexed="64"/>
      </patternFill>
    </fill>
    <fill>
      <patternFill patternType="solid">
        <fgColor rgb="FFD26892"/>
        <bgColor indexed="64"/>
      </patternFill>
    </fill>
    <fill>
      <patternFill patternType="solid">
        <fgColor rgb="FFBA6089"/>
        <bgColor indexed="64"/>
      </patternFill>
    </fill>
    <fill>
      <patternFill patternType="solid">
        <fgColor rgb="FFE777A0"/>
        <bgColor indexed="64"/>
      </patternFill>
    </fill>
    <fill>
      <patternFill patternType="solid">
        <fgColor rgb="FF9E5271"/>
        <bgColor indexed="64"/>
      </patternFill>
    </fill>
    <fill>
      <patternFill patternType="solid">
        <fgColor rgb="FF585232"/>
        <bgColor indexed="64"/>
      </patternFill>
    </fill>
    <fill>
      <patternFill patternType="solid">
        <fgColor rgb="FF98815E"/>
        <bgColor indexed="64"/>
      </patternFill>
    </fill>
    <fill>
      <patternFill patternType="solid">
        <fgColor rgb="FF72704A"/>
        <bgColor indexed="64"/>
      </patternFill>
    </fill>
    <fill>
      <patternFill patternType="solid">
        <fgColor rgb="FF85B259"/>
        <bgColor indexed="64"/>
      </patternFill>
    </fill>
    <fill>
      <patternFill patternType="solid">
        <fgColor rgb="FF88B852"/>
        <bgColor indexed="64"/>
      </patternFill>
    </fill>
    <fill>
      <patternFill patternType="solid">
        <fgColor rgb="FF82B255"/>
        <bgColor indexed="64"/>
      </patternFill>
    </fill>
    <fill>
      <patternFill patternType="solid">
        <fgColor rgb="FF6A7437"/>
        <bgColor indexed="64"/>
      </patternFill>
    </fill>
    <fill>
      <patternFill patternType="solid">
        <fgColor rgb="FF56632A"/>
        <bgColor indexed="64"/>
      </patternFill>
    </fill>
    <fill>
      <patternFill patternType="solid">
        <fgColor rgb="FF7EB34D"/>
        <bgColor indexed="64"/>
      </patternFill>
    </fill>
    <fill>
      <patternFill patternType="solid">
        <fgColor rgb="FF6B8448"/>
        <bgColor indexed="64"/>
      </patternFill>
    </fill>
    <fill>
      <patternFill patternType="solid">
        <fgColor rgb="FF614855"/>
        <bgColor indexed="64"/>
      </patternFill>
    </fill>
    <fill>
      <patternFill patternType="solid">
        <fgColor rgb="FFAF74A8"/>
        <bgColor indexed="64"/>
      </patternFill>
    </fill>
    <fill>
      <patternFill patternType="solid">
        <fgColor rgb="FFA16BA1"/>
        <bgColor indexed="64"/>
      </patternFill>
    </fill>
    <fill>
      <patternFill patternType="solid">
        <fgColor rgb="FF7D577A"/>
        <bgColor indexed="64"/>
      </patternFill>
    </fill>
    <fill>
      <patternFill patternType="solid">
        <fgColor rgb="FF788752"/>
        <bgColor indexed="64"/>
      </patternFill>
    </fill>
    <fill>
      <patternFill patternType="solid">
        <fgColor rgb="FF85B64D"/>
        <bgColor indexed="64"/>
      </patternFill>
    </fill>
    <fill>
      <patternFill patternType="solid">
        <fgColor rgb="FF7FB14B"/>
        <bgColor indexed="64"/>
      </patternFill>
    </fill>
    <fill>
      <patternFill patternType="solid">
        <fgColor rgb="FF6E9041"/>
        <bgColor indexed="64"/>
      </patternFill>
    </fill>
    <fill>
      <patternFill patternType="solid">
        <fgColor rgb="FF91554B"/>
        <bgColor indexed="64"/>
      </patternFill>
    </fill>
    <fill>
      <patternFill patternType="solid">
        <fgColor rgb="FFF3688C"/>
        <bgColor indexed="64"/>
      </patternFill>
    </fill>
    <fill>
      <patternFill patternType="solid">
        <fgColor rgb="FFDA5F74"/>
        <bgColor indexed="64"/>
      </patternFill>
    </fill>
    <fill>
      <patternFill patternType="solid">
        <fgColor rgb="FFBDA533"/>
        <bgColor indexed="64"/>
      </patternFill>
    </fill>
    <fill>
      <patternFill patternType="solid">
        <fgColor rgb="FF575212"/>
        <bgColor indexed="64"/>
      </patternFill>
    </fill>
    <fill>
      <patternFill patternType="solid">
        <fgColor rgb="FFAF3E47"/>
        <bgColor indexed="64"/>
      </patternFill>
    </fill>
    <fill>
      <patternFill patternType="solid">
        <fgColor rgb="FFFF6989"/>
        <bgColor indexed="64"/>
      </patternFill>
    </fill>
    <fill>
      <patternFill patternType="solid">
        <fgColor rgb="FFD55471"/>
        <bgColor indexed="64"/>
      </patternFill>
    </fill>
    <fill>
      <patternFill patternType="solid">
        <fgColor rgb="FFCA5071"/>
        <bgColor indexed="64"/>
      </patternFill>
    </fill>
    <fill>
      <patternFill patternType="solid">
        <fgColor rgb="FF8A5F50"/>
        <bgColor indexed="64"/>
      </patternFill>
    </fill>
    <fill>
      <patternFill patternType="solid">
        <fgColor rgb="FF78A64F"/>
        <bgColor indexed="64"/>
      </patternFill>
    </fill>
    <fill>
      <patternFill patternType="solid">
        <fgColor rgb="FF7CAD53"/>
        <bgColor indexed="64"/>
      </patternFill>
    </fill>
    <fill>
      <patternFill patternType="solid">
        <fgColor rgb="FF7AAA55"/>
        <bgColor indexed="64"/>
      </patternFill>
    </fill>
    <fill>
      <patternFill patternType="solid">
        <fgColor rgb="FF71A44E"/>
        <bgColor indexed="64"/>
      </patternFill>
    </fill>
    <fill>
      <patternFill patternType="solid">
        <fgColor rgb="FF73A84A"/>
        <bgColor indexed="64"/>
      </patternFill>
    </fill>
    <fill>
      <patternFill patternType="solid">
        <fgColor rgb="FF669242"/>
        <bgColor indexed="64"/>
      </patternFill>
    </fill>
    <fill>
      <patternFill patternType="solid">
        <fgColor rgb="FF778A40"/>
        <bgColor indexed="64"/>
      </patternFill>
    </fill>
    <fill>
      <patternFill patternType="solid">
        <fgColor rgb="FF819B47"/>
        <bgColor indexed="64"/>
      </patternFill>
    </fill>
    <fill>
      <patternFill patternType="solid">
        <fgColor rgb="FF817D3A"/>
        <bgColor indexed="64"/>
      </patternFill>
    </fill>
    <fill>
      <patternFill patternType="solid">
        <fgColor rgb="FFE19244"/>
        <bgColor indexed="64"/>
      </patternFill>
    </fill>
    <fill>
      <patternFill patternType="solid">
        <fgColor rgb="FFEC9B50"/>
        <bgColor indexed="64"/>
      </patternFill>
    </fill>
    <fill>
      <patternFill patternType="solid">
        <fgColor rgb="FF9B6D3D"/>
        <bgColor indexed="64"/>
      </patternFill>
    </fill>
    <fill>
      <patternFill patternType="solid">
        <fgColor rgb="FF846631"/>
        <bgColor indexed="64"/>
      </patternFill>
    </fill>
    <fill>
      <patternFill patternType="solid">
        <fgColor rgb="FF8F8445"/>
        <bgColor indexed="64"/>
      </patternFill>
    </fill>
    <fill>
      <patternFill patternType="solid">
        <fgColor rgb="FF7F6B3B"/>
        <bgColor indexed="64"/>
      </patternFill>
    </fill>
    <fill>
      <patternFill patternType="solid">
        <fgColor rgb="FFA38E49"/>
        <bgColor indexed="64"/>
      </patternFill>
    </fill>
    <fill>
      <patternFill patternType="solid">
        <fgColor rgb="FFBC8B70"/>
        <bgColor indexed="64"/>
      </patternFill>
    </fill>
    <fill>
      <patternFill patternType="solid">
        <fgColor rgb="FFE57A41"/>
        <bgColor indexed="64"/>
      </patternFill>
    </fill>
    <fill>
      <patternFill patternType="solid">
        <fgColor rgb="FFED8045"/>
        <bgColor indexed="64"/>
      </patternFill>
    </fill>
    <fill>
      <patternFill patternType="solid">
        <fgColor rgb="FFE88348"/>
        <bgColor indexed="64"/>
      </patternFill>
    </fill>
    <fill>
      <patternFill patternType="solid">
        <fgColor rgb="FFE38547"/>
        <bgColor indexed="64"/>
      </patternFill>
    </fill>
    <fill>
      <patternFill patternType="solid">
        <fgColor rgb="FFE88D41"/>
        <bgColor indexed="64"/>
      </patternFill>
    </fill>
    <fill>
      <patternFill patternType="solid">
        <fgColor rgb="FFC18453"/>
        <bgColor indexed="64"/>
      </patternFill>
    </fill>
    <fill>
      <patternFill patternType="solid">
        <fgColor rgb="FF546481"/>
        <bgColor indexed="64"/>
      </patternFill>
    </fill>
    <fill>
      <patternFill patternType="solid">
        <fgColor rgb="FF797B86"/>
        <bgColor indexed="64"/>
      </patternFill>
    </fill>
    <fill>
      <patternFill patternType="solid">
        <fgColor rgb="FF3CA4F5"/>
        <bgColor indexed="64"/>
      </patternFill>
    </fill>
    <fill>
      <patternFill patternType="solid">
        <fgColor rgb="FF34A2FB"/>
        <bgColor indexed="64"/>
      </patternFill>
    </fill>
    <fill>
      <patternFill patternType="solid">
        <fgColor rgb="FF38A6FF"/>
        <bgColor indexed="64"/>
      </patternFill>
    </fill>
    <fill>
      <patternFill patternType="solid">
        <fgColor rgb="FF3F95D2"/>
        <bgColor indexed="64"/>
      </patternFill>
    </fill>
    <fill>
      <patternFill patternType="solid">
        <fgColor rgb="FFE0DE3D"/>
        <bgColor indexed="64"/>
      </patternFill>
    </fill>
    <fill>
      <patternFill patternType="solid">
        <fgColor rgb="FFECE531"/>
        <bgColor indexed="64"/>
      </patternFill>
    </fill>
    <fill>
      <patternFill patternType="solid">
        <fgColor rgb="FF408BB7"/>
        <bgColor indexed="64"/>
      </patternFill>
    </fill>
    <fill>
      <patternFill patternType="solid">
        <fgColor rgb="FF3CA9F9"/>
        <bgColor indexed="64"/>
      </patternFill>
    </fill>
    <fill>
      <patternFill patternType="solid">
        <fgColor rgb="FF40ADF6"/>
        <bgColor indexed="64"/>
      </patternFill>
    </fill>
    <fill>
      <patternFill patternType="solid">
        <fgColor rgb="FF5074B4"/>
        <bgColor indexed="64"/>
      </patternFill>
    </fill>
    <fill>
      <patternFill patternType="solid">
        <fgColor rgb="FF8E6199"/>
        <bgColor indexed="64"/>
      </patternFill>
    </fill>
    <fill>
      <patternFill patternType="solid">
        <fgColor rgb="FFB374B1"/>
        <bgColor indexed="64"/>
      </patternFill>
    </fill>
    <fill>
      <patternFill patternType="solid">
        <fgColor rgb="FFBB75B3"/>
        <bgColor indexed="64"/>
      </patternFill>
    </fill>
    <fill>
      <patternFill patternType="solid">
        <fgColor rgb="FFC576B2"/>
        <bgColor indexed="64"/>
      </patternFill>
    </fill>
    <fill>
      <patternFill patternType="solid">
        <fgColor rgb="FFB56FA5"/>
        <bgColor indexed="64"/>
      </patternFill>
    </fill>
    <fill>
      <patternFill patternType="solid">
        <fgColor rgb="FF8A763D"/>
        <bgColor indexed="64"/>
      </patternFill>
    </fill>
    <fill>
      <patternFill patternType="solid">
        <fgColor rgb="FFA2757D"/>
        <bgColor indexed="64"/>
      </patternFill>
    </fill>
    <fill>
      <patternFill patternType="solid">
        <fgColor rgb="FFC878BD"/>
        <bgColor indexed="64"/>
      </patternFill>
    </fill>
    <fill>
      <patternFill patternType="solid">
        <fgColor rgb="FFC87BBF"/>
        <bgColor indexed="64"/>
      </patternFill>
    </fill>
    <fill>
      <patternFill patternType="solid">
        <fgColor rgb="FFA65993"/>
        <bgColor indexed="64"/>
      </patternFill>
    </fill>
    <fill>
      <patternFill patternType="solid">
        <fgColor rgb="FFBD5679"/>
        <bgColor indexed="64"/>
      </patternFill>
    </fill>
    <fill>
      <patternFill patternType="solid">
        <fgColor rgb="FFB35675"/>
        <bgColor indexed="64"/>
      </patternFill>
    </fill>
    <fill>
      <patternFill patternType="solid">
        <fgColor rgb="FFF379A5"/>
        <bgColor indexed="64"/>
      </patternFill>
    </fill>
    <fill>
      <patternFill patternType="solid">
        <fgColor rgb="FFF37BA4"/>
        <bgColor indexed="64"/>
      </patternFill>
    </fill>
    <fill>
      <patternFill patternType="solid">
        <fgColor rgb="FFFC86B3"/>
        <bgColor indexed="64"/>
      </patternFill>
    </fill>
    <fill>
      <patternFill patternType="solid">
        <fgColor rgb="FFC05F82"/>
        <bgColor indexed="64"/>
      </patternFill>
    </fill>
    <fill>
      <patternFill patternType="solid">
        <fgColor rgb="FFDF749E"/>
        <bgColor indexed="64"/>
      </patternFill>
    </fill>
    <fill>
      <patternFill patternType="solid">
        <fgColor rgb="FFBF6C8A"/>
        <bgColor indexed="64"/>
      </patternFill>
    </fill>
    <fill>
      <patternFill patternType="solid">
        <fgColor rgb="FF89A15D"/>
        <bgColor indexed="64"/>
      </patternFill>
    </fill>
    <fill>
      <patternFill patternType="solid">
        <fgColor rgb="FF88B556"/>
        <bgColor indexed="64"/>
      </patternFill>
    </fill>
    <fill>
      <patternFill patternType="solid">
        <fgColor rgb="FF85B252"/>
        <bgColor indexed="64"/>
      </patternFill>
    </fill>
    <fill>
      <patternFill patternType="solid">
        <fgColor rgb="FF74A84F"/>
        <bgColor indexed="64"/>
      </patternFill>
    </fill>
    <fill>
      <patternFill patternType="solid">
        <fgColor rgb="FF9BAA3C"/>
        <bgColor indexed="64"/>
      </patternFill>
    </fill>
    <fill>
      <patternFill patternType="solid">
        <fgColor rgb="FF99A537"/>
        <bgColor indexed="64"/>
      </patternFill>
    </fill>
    <fill>
      <patternFill patternType="solid">
        <fgColor rgb="FF73A747"/>
        <bgColor indexed="64"/>
      </patternFill>
    </fill>
    <fill>
      <patternFill patternType="solid">
        <fgColor rgb="FF729642"/>
        <bgColor indexed="64"/>
      </patternFill>
    </fill>
    <fill>
      <patternFill patternType="solid">
        <fgColor rgb="FF8A6972"/>
        <bgColor indexed="64"/>
      </patternFill>
    </fill>
    <fill>
      <patternFill patternType="solid">
        <fgColor rgb="FFCF85C8"/>
        <bgColor indexed="64"/>
      </patternFill>
    </fill>
    <fill>
      <patternFill patternType="solid">
        <fgColor rgb="FFBB7ABA"/>
        <bgColor indexed="64"/>
      </patternFill>
    </fill>
    <fill>
      <patternFill patternType="solid">
        <fgColor rgb="FF8B6387"/>
        <bgColor indexed="64"/>
      </patternFill>
    </fill>
    <fill>
      <patternFill patternType="solid">
        <fgColor rgb="FF789154"/>
        <bgColor indexed="64"/>
      </patternFill>
    </fill>
    <fill>
      <patternFill patternType="solid">
        <fgColor rgb="FF81B14A"/>
        <bgColor indexed="64"/>
      </patternFill>
    </fill>
    <fill>
      <patternFill patternType="solid">
        <fgColor rgb="FF7FB349"/>
        <bgColor indexed="64"/>
      </patternFill>
    </fill>
    <fill>
      <patternFill patternType="solid">
        <fgColor rgb="FF8A804B"/>
        <bgColor indexed="64"/>
      </patternFill>
    </fill>
    <fill>
      <patternFill patternType="solid">
        <fgColor rgb="FFCD5671"/>
        <bgColor indexed="64"/>
      </patternFill>
    </fill>
    <fill>
      <patternFill patternType="solid">
        <fgColor rgb="FFF8688D"/>
        <bgColor indexed="64"/>
      </patternFill>
    </fill>
    <fill>
      <patternFill patternType="solid">
        <fgColor rgb="FFC0565C"/>
        <bgColor indexed="64"/>
      </patternFill>
    </fill>
    <fill>
      <patternFill patternType="solid">
        <fgColor rgb="FFE5DF32"/>
        <bgColor indexed="64"/>
      </patternFill>
    </fill>
    <fill>
      <patternFill patternType="solid">
        <fgColor rgb="FF8D741F"/>
        <bgColor indexed="64"/>
      </patternFill>
    </fill>
    <fill>
      <patternFill patternType="solid">
        <fgColor rgb="FFD84F5F"/>
        <bgColor indexed="64"/>
      </patternFill>
    </fill>
    <fill>
      <patternFill patternType="solid">
        <fgColor rgb="FFFE6788"/>
        <bgColor indexed="64"/>
      </patternFill>
    </fill>
    <fill>
      <patternFill patternType="solid">
        <fgColor rgb="FFD65371"/>
        <bgColor indexed="64"/>
      </patternFill>
    </fill>
    <fill>
      <patternFill patternType="solid">
        <fgColor rgb="FF9B6054"/>
        <bgColor indexed="64"/>
      </patternFill>
    </fill>
    <fill>
      <patternFill patternType="solid">
        <fgColor rgb="FF817947"/>
        <bgColor indexed="64"/>
      </patternFill>
    </fill>
    <fill>
      <patternFill patternType="solid">
        <fgColor rgb="FF739E48"/>
        <bgColor indexed="64"/>
      </patternFill>
    </fill>
    <fill>
      <patternFill patternType="solid">
        <fgColor rgb="FF7EAD54"/>
        <bgColor indexed="64"/>
      </patternFill>
    </fill>
    <fill>
      <patternFill patternType="solid">
        <fgColor rgb="FF80AF57"/>
        <bgColor indexed="64"/>
      </patternFill>
    </fill>
    <fill>
      <patternFill patternType="solid">
        <fgColor rgb="FF7EAE55"/>
        <bgColor indexed="64"/>
      </patternFill>
    </fill>
    <fill>
      <patternFill patternType="solid">
        <fgColor rgb="FF74A64E"/>
        <bgColor indexed="64"/>
      </patternFill>
    </fill>
    <fill>
      <patternFill patternType="solid">
        <fgColor rgb="FF75A84F"/>
        <bgColor indexed="64"/>
      </patternFill>
    </fill>
    <fill>
      <patternFill patternType="solid">
        <fgColor rgb="FF74A84C"/>
        <bgColor indexed="64"/>
      </patternFill>
    </fill>
    <fill>
      <patternFill patternType="solid">
        <fgColor rgb="FF71A84C"/>
        <bgColor indexed="64"/>
      </patternFill>
    </fill>
    <fill>
      <patternFill patternType="solid">
        <fgColor rgb="FF7AAF4B"/>
        <bgColor indexed="64"/>
      </patternFill>
    </fill>
    <fill>
      <patternFill patternType="solid">
        <fgColor rgb="FF70AB4C"/>
        <bgColor indexed="64"/>
      </patternFill>
    </fill>
    <fill>
      <patternFill patternType="solid">
        <fgColor rgb="FF5A6E39"/>
        <bgColor indexed="64"/>
      </patternFill>
    </fill>
    <fill>
      <patternFill patternType="solid">
        <fgColor rgb="FF997545"/>
        <bgColor indexed="64"/>
      </patternFill>
    </fill>
    <fill>
      <patternFill patternType="solid">
        <fgColor rgb="FF6D4E2A"/>
        <bgColor indexed="64"/>
      </patternFill>
    </fill>
    <fill>
      <patternFill patternType="solid">
        <fgColor rgb="FF4D4C23"/>
        <bgColor indexed="64"/>
      </patternFill>
    </fill>
    <fill>
      <patternFill patternType="solid">
        <fgColor rgb="FF51703B"/>
        <bgColor indexed="64"/>
      </patternFill>
    </fill>
    <fill>
      <patternFill patternType="solid">
        <fgColor rgb="FF7D9151"/>
        <bgColor indexed="64"/>
      </patternFill>
    </fill>
    <fill>
      <patternFill patternType="solid">
        <fgColor rgb="FF7EAF66"/>
        <bgColor indexed="64"/>
      </patternFill>
    </fill>
    <fill>
      <patternFill patternType="solid">
        <fgColor rgb="FF6E9855"/>
        <bgColor indexed="64"/>
      </patternFill>
    </fill>
    <fill>
      <patternFill patternType="solid">
        <fgColor rgb="FF76AC5F"/>
        <bgColor indexed="64"/>
      </patternFill>
    </fill>
    <fill>
      <patternFill patternType="solid">
        <fgColor rgb="FF846D63"/>
        <bgColor indexed="64"/>
      </patternFill>
    </fill>
    <fill>
      <patternFill patternType="solid">
        <fgColor rgb="FFA57559"/>
        <bgColor indexed="64"/>
      </patternFill>
    </fill>
    <fill>
      <patternFill patternType="solid">
        <fgColor rgb="FF996553"/>
        <bgColor indexed="64"/>
      </patternFill>
    </fill>
    <fill>
      <patternFill patternType="solid">
        <fgColor rgb="FFDB8349"/>
        <bgColor indexed="64"/>
      </patternFill>
    </fill>
    <fill>
      <patternFill patternType="solid">
        <fgColor rgb="FFC57A42"/>
        <bgColor indexed="64"/>
      </patternFill>
    </fill>
    <fill>
      <patternFill patternType="solid">
        <fgColor rgb="FF9E7860"/>
        <bgColor indexed="64"/>
      </patternFill>
    </fill>
    <fill>
      <patternFill patternType="solid">
        <fgColor rgb="FF586B85"/>
        <bgColor indexed="64"/>
      </patternFill>
    </fill>
    <fill>
      <patternFill patternType="solid">
        <fgColor rgb="FF449CEA"/>
        <bgColor indexed="64"/>
      </patternFill>
    </fill>
    <fill>
      <patternFill patternType="solid">
        <fgColor rgb="FF2B80D1"/>
        <bgColor indexed="64"/>
      </patternFill>
    </fill>
    <fill>
      <patternFill patternType="solid">
        <fgColor rgb="FF369FF4"/>
        <bgColor indexed="64"/>
      </patternFill>
    </fill>
    <fill>
      <patternFill patternType="solid">
        <fgColor rgb="FF33A3FA"/>
        <bgColor indexed="64"/>
      </patternFill>
    </fill>
    <fill>
      <patternFill patternType="solid">
        <fgColor rgb="FF36A2F9"/>
        <bgColor indexed="64"/>
      </patternFill>
    </fill>
    <fill>
      <patternFill patternType="solid">
        <fgColor rgb="FF32A4FF"/>
        <bgColor indexed="64"/>
      </patternFill>
    </fill>
    <fill>
      <patternFill patternType="solid">
        <fgColor rgb="FF4F9CBA"/>
        <bgColor indexed="64"/>
      </patternFill>
    </fill>
    <fill>
      <patternFill patternType="solid">
        <fgColor rgb="FFDED231"/>
        <bgColor indexed="64"/>
      </patternFill>
    </fill>
    <fill>
      <patternFill patternType="solid">
        <fgColor rgb="FFD2CD32"/>
        <bgColor indexed="64"/>
      </patternFill>
    </fill>
    <fill>
      <patternFill patternType="solid">
        <fgColor rgb="FF3F8EBA"/>
        <bgColor indexed="64"/>
      </patternFill>
    </fill>
    <fill>
      <patternFill patternType="solid">
        <fgColor rgb="FF3FABF9"/>
        <bgColor indexed="64"/>
      </patternFill>
    </fill>
    <fill>
      <patternFill patternType="solid">
        <fgColor rgb="FF41B0FE"/>
        <bgColor indexed="64"/>
      </patternFill>
    </fill>
    <fill>
      <patternFill patternType="solid">
        <fgColor rgb="FF3D9DE3"/>
        <bgColor indexed="64"/>
      </patternFill>
    </fill>
    <fill>
      <patternFill patternType="solid">
        <fgColor rgb="FF443C65"/>
        <bgColor indexed="64"/>
      </patternFill>
    </fill>
    <fill>
      <patternFill patternType="solid">
        <fgColor rgb="FF8E5684"/>
        <bgColor indexed="64"/>
      </patternFill>
    </fill>
    <fill>
      <patternFill patternType="solid">
        <fgColor rgb="FFA069A0"/>
        <bgColor indexed="64"/>
      </patternFill>
    </fill>
    <fill>
      <patternFill patternType="solid">
        <fgColor rgb="FFA06498"/>
        <bgColor indexed="64"/>
      </patternFill>
    </fill>
    <fill>
      <patternFill patternType="solid">
        <fgColor rgb="FFA56599"/>
        <bgColor indexed="64"/>
      </patternFill>
    </fill>
    <fill>
      <patternFill patternType="solid">
        <fgColor rgb="FFB974A5"/>
        <bgColor indexed="64"/>
      </patternFill>
    </fill>
    <fill>
      <patternFill patternType="solid">
        <fgColor rgb="FFA28E39"/>
        <bgColor indexed="64"/>
      </patternFill>
    </fill>
    <fill>
      <patternFill patternType="solid">
        <fgColor rgb="FF916276"/>
        <bgColor indexed="64"/>
      </patternFill>
    </fill>
    <fill>
      <patternFill patternType="solid">
        <fgColor rgb="FFAA63A5"/>
        <bgColor indexed="64"/>
      </patternFill>
    </fill>
    <fill>
      <patternFill patternType="solid">
        <fgColor rgb="FF73556B"/>
        <bgColor indexed="64"/>
      </patternFill>
    </fill>
    <fill>
      <patternFill patternType="solid">
        <fgColor rgb="FF475239"/>
        <bgColor indexed="64"/>
      </patternFill>
    </fill>
    <fill>
      <patternFill patternType="solid">
        <fgColor rgb="FF9F5666"/>
        <bgColor indexed="64"/>
      </patternFill>
    </fill>
    <fill>
      <patternFill patternType="solid">
        <fgColor rgb="FFF878A6"/>
        <bgColor indexed="64"/>
      </patternFill>
    </fill>
    <fill>
      <patternFill patternType="solid">
        <fgColor rgb="FFFC7DAB"/>
        <bgColor indexed="64"/>
      </patternFill>
    </fill>
    <fill>
      <patternFill patternType="solid">
        <fgColor rgb="FFFC7EAC"/>
        <bgColor indexed="64"/>
      </patternFill>
    </fill>
    <fill>
      <patternFill patternType="solid">
        <fgColor rgb="FFFB80AD"/>
        <bgColor indexed="64"/>
      </patternFill>
    </fill>
    <fill>
      <patternFill patternType="solid">
        <fgColor rgb="FFFD81AE"/>
        <bgColor indexed="64"/>
      </patternFill>
    </fill>
    <fill>
      <patternFill patternType="solid">
        <fgColor rgb="FFE6739B"/>
        <bgColor indexed="64"/>
      </patternFill>
    </fill>
    <fill>
      <patternFill patternType="solid">
        <fgColor rgb="FFC4718C"/>
        <bgColor indexed="64"/>
      </patternFill>
    </fill>
    <fill>
      <patternFill patternType="solid">
        <fgColor rgb="FF8B805E"/>
        <bgColor indexed="64"/>
      </patternFill>
    </fill>
    <fill>
      <patternFill patternType="solid">
        <fgColor rgb="FF83B04F"/>
        <bgColor indexed="64"/>
      </patternFill>
    </fill>
    <fill>
      <patternFill patternType="solid">
        <fgColor rgb="FF96A23A"/>
        <bgColor indexed="64"/>
      </patternFill>
    </fill>
    <fill>
      <patternFill patternType="solid">
        <fgColor rgb="FF8C9533"/>
        <bgColor indexed="64"/>
      </patternFill>
    </fill>
    <fill>
      <patternFill patternType="solid">
        <fgColor rgb="FF74A64A"/>
        <bgColor indexed="64"/>
      </patternFill>
    </fill>
    <fill>
      <patternFill patternType="solid">
        <fgColor rgb="FF76A440"/>
        <bgColor indexed="64"/>
      </patternFill>
    </fill>
    <fill>
      <patternFill patternType="solid">
        <fgColor rgb="FF7C6D61"/>
        <bgColor indexed="64"/>
      </patternFill>
    </fill>
    <fill>
      <patternFill patternType="solid">
        <fgColor rgb="FF8F6C86"/>
        <bgColor indexed="64"/>
      </patternFill>
    </fill>
    <fill>
      <patternFill patternType="solid">
        <fgColor rgb="FF817471"/>
        <bgColor indexed="64"/>
      </patternFill>
    </fill>
    <fill>
      <patternFill patternType="solid">
        <fgColor rgb="FF7E7A69"/>
        <bgColor indexed="64"/>
      </patternFill>
    </fill>
    <fill>
      <patternFill patternType="solid">
        <fgColor rgb="FF80A059"/>
        <bgColor indexed="64"/>
      </patternFill>
    </fill>
    <fill>
      <patternFill patternType="solid">
        <fgColor rgb="FF7BB043"/>
        <bgColor indexed="64"/>
      </patternFill>
    </fill>
    <fill>
      <patternFill patternType="solid">
        <fgColor rgb="FF74AC49"/>
        <bgColor indexed="64"/>
      </patternFill>
    </fill>
    <fill>
      <patternFill patternType="solid">
        <fgColor rgb="FF4C6C2D"/>
        <bgColor indexed="64"/>
      </patternFill>
    </fill>
    <fill>
      <patternFill patternType="solid">
        <fgColor rgb="FFBE525B"/>
        <bgColor indexed="64"/>
      </patternFill>
    </fill>
    <fill>
      <patternFill patternType="solid">
        <fgColor rgb="FFFF6392"/>
        <bgColor indexed="64"/>
      </patternFill>
    </fill>
    <fill>
      <patternFill patternType="solid">
        <fgColor rgb="FFA96147"/>
        <bgColor indexed="64"/>
      </patternFill>
    </fill>
    <fill>
      <patternFill patternType="solid">
        <fgColor rgb="FFF5F833"/>
        <bgColor indexed="64"/>
      </patternFill>
    </fill>
    <fill>
      <patternFill patternType="solid">
        <fgColor rgb="FFCD9E34"/>
        <bgColor indexed="64"/>
      </patternFill>
    </fill>
    <fill>
      <patternFill patternType="solid">
        <fgColor rgb="FFE9526D"/>
        <bgColor indexed="64"/>
      </patternFill>
    </fill>
    <fill>
      <patternFill patternType="solid">
        <fgColor rgb="FFF66180"/>
        <bgColor indexed="64"/>
      </patternFill>
    </fill>
    <fill>
      <patternFill patternType="solid">
        <fgColor rgb="FFE55277"/>
        <bgColor indexed="64"/>
      </patternFill>
    </fill>
    <fill>
      <patternFill patternType="solid">
        <fgColor rgb="FF9D7059"/>
        <bgColor indexed="64"/>
      </patternFill>
    </fill>
    <fill>
      <patternFill patternType="solid">
        <fgColor rgb="FF6CAC43"/>
        <bgColor indexed="64"/>
      </patternFill>
    </fill>
    <fill>
      <patternFill patternType="solid">
        <fgColor rgb="FF7BAB50"/>
        <bgColor indexed="64"/>
      </patternFill>
    </fill>
    <fill>
      <patternFill patternType="solid">
        <fgColor rgb="FF7CAC52"/>
        <bgColor indexed="64"/>
      </patternFill>
    </fill>
    <fill>
      <patternFill patternType="solid">
        <fgColor rgb="FF7EAF54"/>
        <bgColor indexed="64"/>
      </patternFill>
    </fill>
    <fill>
      <patternFill patternType="solid">
        <fgColor rgb="FF7DAF52"/>
        <bgColor indexed="64"/>
      </patternFill>
    </fill>
    <fill>
      <patternFill patternType="solid">
        <fgColor rgb="FF78AA4F"/>
        <bgColor indexed="64"/>
      </patternFill>
    </fill>
    <fill>
      <patternFill patternType="solid">
        <fgColor rgb="FF74A94C"/>
        <bgColor indexed="64"/>
      </patternFill>
    </fill>
    <fill>
      <patternFill patternType="solid">
        <fgColor rgb="FF71A648"/>
        <bgColor indexed="64"/>
      </patternFill>
    </fill>
    <fill>
      <patternFill patternType="solid">
        <fgColor rgb="FF70A84A"/>
        <bgColor indexed="64"/>
      </patternFill>
    </fill>
    <fill>
      <patternFill patternType="solid">
        <fgColor rgb="FF73A849"/>
        <bgColor indexed="64"/>
      </patternFill>
    </fill>
    <fill>
      <patternFill patternType="solid">
        <fgColor rgb="FF6E9C47"/>
        <bgColor indexed="64"/>
      </patternFill>
    </fill>
    <fill>
      <patternFill patternType="solid">
        <fgColor rgb="FF5F853D"/>
        <bgColor indexed="64"/>
      </patternFill>
    </fill>
    <fill>
      <patternFill patternType="solid">
        <fgColor rgb="FF4F6A37"/>
        <bgColor indexed="64"/>
      </patternFill>
    </fill>
    <fill>
      <patternFill patternType="solid">
        <fgColor rgb="FF272C10"/>
        <bgColor indexed="64"/>
      </patternFill>
    </fill>
    <fill>
      <patternFill patternType="solid">
        <fgColor rgb="FF51702F"/>
        <bgColor indexed="64"/>
      </patternFill>
    </fill>
    <fill>
      <patternFill patternType="solid">
        <fgColor rgb="FF89BC69"/>
        <bgColor indexed="64"/>
      </patternFill>
    </fill>
    <fill>
      <patternFill patternType="solid">
        <fgColor rgb="FF86B86D"/>
        <bgColor indexed="64"/>
      </patternFill>
    </fill>
    <fill>
      <patternFill patternType="solid">
        <fgColor rgb="FF7CAD60"/>
        <bgColor indexed="64"/>
      </patternFill>
    </fill>
    <fill>
      <patternFill patternType="solid">
        <fgColor rgb="FF7AAE60"/>
        <bgColor indexed="64"/>
      </patternFill>
    </fill>
    <fill>
      <patternFill patternType="solid">
        <fgColor rgb="FF7DB263"/>
        <bgColor indexed="64"/>
      </patternFill>
    </fill>
    <fill>
      <patternFill patternType="solid">
        <fgColor rgb="FF319BF8"/>
        <bgColor indexed="64"/>
      </patternFill>
    </fill>
    <fill>
      <patternFill patternType="solid">
        <fgColor rgb="FF319CF3"/>
        <bgColor indexed="64"/>
      </patternFill>
    </fill>
    <fill>
      <patternFill patternType="solid">
        <fgColor rgb="FF4B6383"/>
        <bgColor indexed="64"/>
      </patternFill>
    </fill>
    <fill>
      <patternFill patternType="solid">
        <fgColor rgb="FF6F5862"/>
        <bgColor indexed="64"/>
      </patternFill>
    </fill>
    <fill>
      <patternFill patternType="solid">
        <fgColor rgb="FF806D64"/>
        <bgColor indexed="64"/>
      </patternFill>
    </fill>
    <fill>
      <patternFill patternType="solid">
        <fgColor rgb="FF6987A7"/>
        <bgColor indexed="64"/>
      </patternFill>
    </fill>
    <fill>
      <patternFill patternType="solid">
        <fgColor rgb="FF269EFF"/>
        <bgColor indexed="64"/>
      </patternFill>
    </fill>
    <fill>
      <patternFill patternType="solid">
        <fgColor rgb="FF35A0F7"/>
        <bgColor indexed="64"/>
      </patternFill>
    </fill>
    <fill>
      <patternFill patternType="solid">
        <fgColor rgb="FF36A5FD"/>
        <bgColor indexed="64"/>
      </patternFill>
    </fill>
    <fill>
      <patternFill patternType="solid">
        <fgColor rgb="FF32A1FA"/>
        <bgColor indexed="64"/>
      </patternFill>
    </fill>
    <fill>
      <patternFill patternType="solid">
        <fgColor rgb="FF33A4FA"/>
        <bgColor indexed="64"/>
      </patternFill>
    </fill>
    <fill>
      <patternFill patternType="solid">
        <fgColor rgb="FF37A3F9"/>
        <bgColor indexed="64"/>
      </patternFill>
    </fill>
    <fill>
      <patternFill patternType="solid">
        <fgColor rgb="FF31A4FF"/>
        <bgColor indexed="64"/>
      </patternFill>
    </fill>
    <fill>
      <patternFill patternType="solid">
        <fgColor rgb="FF5A979F"/>
        <bgColor indexed="64"/>
      </patternFill>
    </fill>
    <fill>
      <patternFill patternType="solid">
        <fgColor rgb="FFAA9720"/>
        <bgColor indexed="64"/>
      </patternFill>
    </fill>
    <fill>
      <patternFill patternType="solid">
        <fgColor rgb="FFBEBE38"/>
        <bgColor indexed="64"/>
      </patternFill>
    </fill>
    <fill>
      <patternFill patternType="solid">
        <fgColor rgb="FF378CCA"/>
        <bgColor indexed="64"/>
      </patternFill>
    </fill>
    <fill>
      <patternFill patternType="solid">
        <fgColor rgb="FF3DA8F9"/>
        <bgColor indexed="64"/>
      </patternFill>
    </fill>
    <fill>
      <patternFill patternType="solid">
        <fgColor rgb="FF3DA9FA"/>
        <bgColor indexed="64"/>
      </patternFill>
    </fill>
    <fill>
      <patternFill patternType="solid">
        <fgColor rgb="FF40ABFB"/>
        <bgColor indexed="64"/>
      </patternFill>
    </fill>
    <fill>
      <patternFill patternType="solid">
        <fgColor rgb="FF43AEFA"/>
        <bgColor indexed="64"/>
      </patternFill>
    </fill>
    <fill>
      <patternFill patternType="solid">
        <fgColor rgb="FF506BA4"/>
        <bgColor indexed="64"/>
      </patternFill>
    </fill>
    <fill>
      <patternFill patternType="solid">
        <fgColor rgb="FF5C4367"/>
        <bgColor indexed="64"/>
      </patternFill>
    </fill>
    <fill>
      <patternFill patternType="solid">
        <fgColor rgb="FF7D517A"/>
        <bgColor indexed="64"/>
      </patternFill>
    </fill>
    <fill>
      <patternFill patternType="solid">
        <fgColor rgb="FF945A8C"/>
        <bgColor indexed="64"/>
      </patternFill>
    </fill>
    <fill>
      <patternFill patternType="solid">
        <fgColor rgb="FF71416C"/>
        <bgColor indexed="64"/>
      </patternFill>
    </fill>
    <fill>
      <patternFill patternType="solid">
        <fgColor rgb="FF7A4A73"/>
        <bgColor indexed="64"/>
      </patternFill>
    </fill>
    <fill>
      <patternFill patternType="solid">
        <fgColor rgb="FF4C3C29"/>
        <bgColor indexed="64"/>
      </patternFill>
    </fill>
    <fill>
      <patternFill patternType="solid">
        <fgColor rgb="FF525138"/>
        <bgColor indexed="64"/>
      </patternFill>
    </fill>
    <fill>
      <patternFill patternType="solid">
        <fgColor rgb="FF5D7540"/>
        <bgColor indexed="64"/>
      </patternFill>
    </fill>
    <fill>
      <patternFill patternType="solid">
        <fgColor rgb="FF495128"/>
        <bgColor indexed="64"/>
      </patternFill>
    </fill>
    <fill>
      <patternFill patternType="solid">
        <fgColor rgb="FF9D6F63"/>
        <bgColor indexed="64"/>
      </patternFill>
    </fill>
    <fill>
      <patternFill patternType="solid">
        <fgColor rgb="FFBA6579"/>
        <bgColor indexed="64"/>
      </patternFill>
    </fill>
    <fill>
      <patternFill patternType="solid">
        <fgColor rgb="FFF983AD"/>
        <bgColor indexed="64"/>
      </patternFill>
    </fill>
    <fill>
      <patternFill patternType="solid">
        <fgColor rgb="FFFE83AF"/>
        <bgColor indexed="64"/>
      </patternFill>
    </fill>
    <fill>
      <patternFill patternType="solid">
        <fgColor rgb="FFFF88B7"/>
        <bgColor indexed="64"/>
      </patternFill>
    </fill>
    <fill>
      <patternFill patternType="solid">
        <fgColor rgb="FFD96C95"/>
        <bgColor indexed="64"/>
      </patternFill>
    </fill>
    <fill>
      <patternFill patternType="solid">
        <fgColor rgb="FFC46486"/>
        <bgColor indexed="64"/>
      </patternFill>
    </fill>
    <fill>
      <patternFill patternType="solid">
        <fgColor rgb="FF836D59"/>
        <bgColor indexed="64"/>
      </patternFill>
    </fill>
    <fill>
      <patternFill patternType="solid">
        <fgColor rgb="FF74A146"/>
        <bgColor indexed="64"/>
      </patternFill>
    </fill>
    <fill>
      <patternFill patternType="solid">
        <fgColor rgb="FF757F37"/>
        <bgColor indexed="64"/>
      </patternFill>
    </fill>
    <fill>
      <patternFill patternType="solid">
        <fgColor rgb="FF646A29"/>
        <bgColor indexed="64"/>
      </patternFill>
    </fill>
    <fill>
      <patternFill patternType="solid">
        <fgColor rgb="FF7AAB47"/>
        <bgColor indexed="64"/>
      </patternFill>
    </fill>
    <fill>
      <patternFill patternType="solid">
        <fgColor rgb="FF79A547"/>
        <bgColor indexed="64"/>
      </patternFill>
    </fill>
    <fill>
      <patternFill patternType="solid">
        <fgColor rgb="FF6E8B4A"/>
        <bgColor indexed="64"/>
      </patternFill>
    </fill>
    <fill>
      <patternFill patternType="solid">
        <fgColor rgb="FF739946"/>
        <bgColor indexed="64"/>
      </patternFill>
    </fill>
    <fill>
      <patternFill patternType="solid">
        <fgColor rgb="FF709546"/>
        <bgColor indexed="64"/>
      </patternFill>
    </fill>
    <fill>
      <patternFill patternType="solid">
        <fgColor rgb="FF6C9A40"/>
        <bgColor indexed="64"/>
      </patternFill>
    </fill>
    <fill>
      <patternFill patternType="solid">
        <fgColor rgb="FF77A444"/>
        <bgColor indexed="64"/>
      </patternFill>
    </fill>
    <fill>
      <patternFill patternType="solid">
        <fgColor rgb="FF78AE48"/>
        <bgColor indexed="64"/>
      </patternFill>
    </fill>
    <fill>
      <patternFill patternType="solid">
        <fgColor rgb="FF7F7845"/>
        <bgColor indexed="64"/>
      </patternFill>
    </fill>
    <fill>
      <patternFill patternType="solid">
        <fgColor rgb="FFAD3F4D"/>
        <bgColor indexed="64"/>
      </patternFill>
    </fill>
    <fill>
      <patternFill patternType="solid">
        <fgColor rgb="FFDE5265"/>
        <bgColor indexed="64"/>
      </patternFill>
    </fill>
    <fill>
      <patternFill patternType="solid">
        <fgColor rgb="FFE9547E"/>
        <bgColor indexed="64"/>
      </patternFill>
    </fill>
    <fill>
      <patternFill patternType="solid">
        <fgColor rgb="FFB58B36"/>
        <bgColor indexed="64"/>
      </patternFill>
    </fill>
    <fill>
      <patternFill patternType="solid">
        <fgColor rgb="FFFFFF35"/>
        <bgColor indexed="64"/>
      </patternFill>
    </fill>
    <fill>
      <patternFill patternType="solid">
        <fgColor rgb="FFC2743A"/>
        <bgColor indexed="64"/>
      </patternFill>
    </fill>
    <fill>
      <patternFill patternType="solid">
        <fgColor rgb="FFF05378"/>
        <bgColor indexed="64"/>
      </patternFill>
    </fill>
    <fill>
      <patternFill patternType="solid">
        <fgColor rgb="FFBC4E60"/>
        <bgColor indexed="64"/>
      </patternFill>
    </fill>
    <fill>
      <patternFill patternType="solid">
        <fgColor rgb="FF7A5444"/>
        <bgColor indexed="64"/>
      </patternFill>
    </fill>
    <fill>
      <patternFill patternType="solid">
        <fgColor rgb="FF7E7840"/>
        <bgColor indexed="64"/>
      </patternFill>
    </fill>
    <fill>
      <patternFill patternType="solid">
        <fgColor rgb="FF7BA747"/>
        <bgColor indexed="64"/>
      </patternFill>
    </fill>
    <fill>
      <patternFill patternType="solid">
        <fgColor rgb="FF7BAC4F"/>
        <bgColor indexed="64"/>
      </patternFill>
    </fill>
    <fill>
      <patternFill patternType="solid">
        <fgColor rgb="FF7EAF53"/>
        <bgColor indexed="64"/>
      </patternFill>
    </fill>
    <fill>
      <patternFill patternType="solid">
        <fgColor rgb="FF7DAF4F"/>
        <bgColor indexed="64"/>
      </patternFill>
    </fill>
    <fill>
      <patternFill patternType="solid">
        <fgColor rgb="FF7EAF4D"/>
        <bgColor indexed="64"/>
      </patternFill>
    </fill>
    <fill>
      <patternFill patternType="solid">
        <fgColor rgb="FF7BAE4E"/>
        <bgColor indexed="64"/>
      </patternFill>
    </fill>
    <fill>
      <patternFill patternType="solid">
        <fgColor rgb="FF77AB4C"/>
        <bgColor indexed="64"/>
      </patternFill>
    </fill>
    <fill>
      <patternFill patternType="solid">
        <fgColor rgb="FF72A849"/>
        <bgColor indexed="64"/>
      </patternFill>
    </fill>
    <fill>
      <patternFill patternType="solid">
        <fgColor rgb="FF70A548"/>
        <bgColor indexed="64"/>
      </patternFill>
    </fill>
    <fill>
      <patternFill patternType="solid">
        <fgColor rgb="FF76AA4B"/>
        <bgColor indexed="64"/>
      </patternFill>
    </fill>
    <fill>
      <patternFill patternType="solid">
        <fgColor rgb="FF6AA04B"/>
        <bgColor indexed="64"/>
      </patternFill>
    </fill>
    <fill>
      <patternFill patternType="solid">
        <fgColor rgb="FF89922D"/>
        <bgColor indexed="64"/>
      </patternFill>
    </fill>
    <fill>
      <patternFill patternType="solid">
        <fgColor rgb="FF848F2C"/>
        <bgColor indexed="64"/>
      </patternFill>
    </fill>
    <fill>
      <patternFill patternType="solid">
        <fgColor rgb="FF7DAE5C"/>
        <bgColor indexed="64"/>
      </patternFill>
    </fill>
    <fill>
      <patternFill patternType="solid">
        <fgColor rgb="FF84B668"/>
        <bgColor indexed="64"/>
      </patternFill>
    </fill>
    <fill>
      <patternFill patternType="solid">
        <fgColor rgb="FF7DAF63"/>
        <bgColor indexed="64"/>
      </patternFill>
    </fill>
    <fill>
      <patternFill patternType="solid">
        <fgColor rgb="FF79AD5E"/>
        <bgColor indexed="64"/>
      </patternFill>
    </fill>
    <fill>
      <patternFill patternType="solid">
        <fgColor rgb="FF7AAE61"/>
        <bgColor indexed="64"/>
      </patternFill>
    </fill>
    <fill>
      <patternFill patternType="solid">
        <fgColor rgb="FF7BB162"/>
        <bgColor indexed="64"/>
      </patternFill>
    </fill>
    <fill>
      <patternFill patternType="solid">
        <fgColor rgb="FF34A5FF"/>
        <bgColor indexed="64"/>
      </patternFill>
    </fill>
    <fill>
      <patternFill patternType="solid">
        <fgColor rgb="FF319BF6"/>
        <bgColor indexed="64"/>
      </patternFill>
    </fill>
    <fill>
      <patternFill patternType="solid">
        <fgColor rgb="FF3B5E76"/>
        <bgColor indexed="64"/>
      </patternFill>
    </fill>
    <fill>
      <patternFill patternType="solid">
        <fgColor rgb="FF385A75"/>
        <bgColor indexed="64"/>
      </patternFill>
    </fill>
    <fill>
      <patternFill patternType="solid">
        <fgColor rgb="FF416DA0"/>
        <bgColor indexed="64"/>
      </patternFill>
    </fill>
    <fill>
      <patternFill patternType="solid">
        <fgColor rgb="FF3D9BEB"/>
        <bgColor indexed="64"/>
      </patternFill>
    </fill>
    <fill>
      <patternFill patternType="solid">
        <fgColor rgb="FF37AAFF"/>
        <bgColor indexed="64"/>
      </patternFill>
    </fill>
    <fill>
      <patternFill patternType="solid">
        <fgColor rgb="FF37A6F9"/>
        <bgColor indexed="64"/>
      </patternFill>
    </fill>
    <fill>
      <patternFill patternType="solid">
        <fgColor rgb="FF34A1F8"/>
        <bgColor indexed="64"/>
      </patternFill>
    </fill>
    <fill>
      <patternFill patternType="solid">
        <fgColor rgb="FF34A2FA"/>
        <bgColor indexed="64"/>
      </patternFill>
    </fill>
    <fill>
      <patternFill patternType="solid">
        <fgColor rgb="FF38A7FF"/>
        <bgColor indexed="64"/>
      </patternFill>
    </fill>
    <fill>
      <patternFill patternType="solid">
        <fgColor rgb="FF446F7D"/>
        <bgColor indexed="64"/>
      </patternFill>
    </fill>
    <fill>
      <patternFill patternType="solid">
        <fgColor rgb="FF6F5F0F"/>
        <bgColor indexed="64"/>
      </patternFill>
    </fill>
    <fill>
      <patternFill patternType="solid">
        <fgColor rgb="FF7F8642"/>
        <bgColor indexed="64"/>
      </patternFill>
    </fill>
    <fill>
      <patternFill patternType="solid">
        <fgColor rgb="FF318FE2"/>
        <bgColor indexed="64"/>
      </patternFill>
    </fill>
    <fill>
      <patternFill patternType="solid">
        <fgColor rgb="FF39A6F8"/>
        <bgColor indexed="64"/>
      </patternFill>
    </fill>
    <fill>
      <patternFill patternType="solid">
        <fgColor rgb="FF45AFFA"/>
        <bgColor indexed="64"/>
      </patternFill>
    </fill>
    <fill>
      <patternFill patternType="solid">
        <fgColor rgb="FF3893E2"/>
        <bgColor indexed="64"/>
      </patternFill>
    </fill>
    <fill>
      <patternFill patternType="solid">
        <fgColor rgb="FF42406E"/>
        <bgColor indexed="64"/>
      </patternFill>
    </fill>
    <fill>
      <patternFill patternType="solid">
        <fgColor rgb="FF714865"/>
        <bgColor indexed="64"/>
      </patternFill>
    </fill>
    <fill>
      <patternFill patternType="solid">
        <fgColor rgb="FF8F6B82"/>
        <bgColor indexed="64"/>
      </patternFill>
    </fill>
    <fill>
      <patternFill patternType="solid">
        <fgColor rgb="FF605850"/>
        <bgColor indexed="64"/>
      </patternFill>
    </fill>
    <fill>
      <patternFill patternType="solid">
        <fgColor rgb="FF5A673A"/>
        <bgColor indexed="64"/>
      </patternFill>
    </fill>
    <fill>
      <patternFill patternType="solid">
        <fgColor rgb="FFA4A235"/>
        <bgColor indexed="64"/>
      </patternFill>
    </fill>
    <fill>
      <patternFill patternType="solid">
        <fgColor rgb="FF7FA23E"/>
        <bgColor indexed="64"/>
      </patternFill>
    </fill>
    <fill>
      <patternFill patternType="solid">
        <fgColor rgb="FF83B853"/>
        <bgColor indexed="64"/>
      </patternFill>
    </fill>
    <fill>
      <patternFill patternType="solid">
        <fgColor rgb="FF81A44F"/>
        <bgColor indexed="64"/>
      </patternFill>
    </fill>
    <fill>
      <patternFill patternType="solid">
        <fgColor rgb="FF6C5A44"/>
        <bgColor indexed="64"/>
      </patternFill>
    </fill>
    <fill>
      <patternFill patternType="solid">
        <fgColor rgb="FFD1698C"/>
        <bgColor indexed="64"/>
      </patternFill>
    </fill>
    <fill>
      <patternFill patternType="solid">
        <fgColor rgb="FFFF89B7"/>
        <bgColor indexed="64"/>
      </patternFill>
    </fill>
    <fill>
      <patternFill patternType="solid">
        <fgColor rgb="FFEB76A0"/>
        <bgColor indexed="64"/>
      </patternFill>
    </fill>
    <fill>
      <patternFill patternType="solid">
        <fgColor rgb="FFE6729E"/>
        <bgColor indexed="64"/>
      </patternFill>
    </fill>
    <fill>
      <patternFill patternType="solid">
        <fgColor rgb="FFC75E8B"/>
        <bgColor indexed="64"/>
      </patternFill>
    </fill>
    <fill>
      <patternFill patternType="solid">
        <fgColor rgb="FF6B6446"/>
        <bgColor indexed="64"/>
      </patternFill>
    </fill>
    <fill>
      <patternFill patternType="solid">
        <fgColor rgb="FF84A552"/>
        <bgColor indexed="64"/>
      </patternFill>
    </fill>
    <fill>
      <patternFill patternType="solid">
        <fgColor rgb="FF79A44B"/>
        <bgColor indexed="64"/>
      </patternFill>
    </fill>
    <fill>
      <patternFill patternType="solid">
        <fgColor rgb="FF80B151"/>
        <bgColor indexed="64"/>
      </patternFill>
    </fill>
    <fill>
      <patternFill patternType="solid">
        <fgColor rgb="FF405027"/>
        <bgColor indexed="64"/>
      </patternFill>
    </fill>
    <fill>
      <patternFill patternType="solid">
        <fgColor rgb="FF2F3615"/>
        <bgColor indexed="64"/>
      </patternFill>
    </fill>
    <fill>
      <patternFill patternType="solid">
        <fgColor rgb="FF7BA748"/>
        <bgColor indexed="64"/>
      </patternFill>
    </fill>
    <fill>
      <patternFill patternType="solid">
        <fgColor rgb="FF7BAC48"/>
        <bgColor indexed="64"/>
      </patternFill>
    </fill>
    <fill>
      <patternFill patternType="solid">
        <fgColor rgb="FF79AB49"/>
        <bgColor indexed="64"/>
      </patternFill>
    </fill>
    <fill>
      <patternFill patternType="solid">
        <fgColor rgb="FF78AB49"/>
        <bgColor indexed="64"/>
      </patternFill>
    </fill>
    <fill>
      <patternFill patternType="solid">
        <fgColor rgb="FF75A845"/>
        <bgColor indexed="64"/>
      </patternFill>
    </fill>
    <fill>
      <patternFill patternType="solid">
        <fgColor rgb="FF7AAA47"/>
        <bgColor indexed="64"/>
      </patternFill>
    </fill>
    <fill>
      <patternFill patternType="solid">
        <fgColor rgb="FF71A344"/>
        <bgColor indexed="64"/>
      </patternFill>
    </fill>
    <fill>
      <patternFill patternType="solid">
        <fgColor rgb="FF917147"/>
        <bgColor indexed="64"/>
      </patternFill>
    </fill>
    <fill>
      <patternFill patternType="solid">
        <fgColor rgb="FF926246"/>
        <bgColor indexed="64"/>
      </patternFill>
    </fill>
    <fill>
      <patternFill patternType="solid">
        <fgColor rgb="FFD15A63"/>
        <bgColor indexed="64"/>
      </patternFill>
    </fill>
    <fill>
      <patternFill patternType="solid">
        <fgColor rgb="FFD34E6C"/>
        <bgColor indexed="64"/>
      </patternFill>
    </fill>
    <fill>
      <patternFill patternType="solid">
        <fgColor rgb="FFD3C431"/>
        <bgColor indexed="64"/>
      </patternFill>
    </fill>
    <fill>
      <patternFill patternType="solid">
        <fgColor rgb="FFFCF836"/>
        <bgColor indexed="64"/>
      </patternFill>
    </fill>
    <fill>
      <patternFill patternType="solid">
        <fgColor rgb="FFC35C45"/>
        <bgColor indexed="64"/>
      </patternFill>
    </fill>
    <fill>
      <patternFill patternType="solid">
        <fgColor rgb="FFDA4E6D"/>
        <bgColor indexed="64"/>
      </patternFill>
    </fill>
    <fill>
      <patternFill patternType="solid">
        <fgColor rgb="FF8A7E4B"/>
        <bgColor indexed="64"/>
      </patternFill>
    </fill>
    <fill>
      <patternFill patternType="solid">
        <fgColor rgb="FF70A93E"/>
        <bgColor indexed="64"/>
      </patternFill>
    </fill>
    <fill>
      <patternFill patternType="solid">
        <fgColor rgb="FF74AC41"/>
        <bgColor indexed="64"/>
      </patternFill>
    </fill>
    <fill>
      <patternFill patternType="solid">
        <fgColor rgb="FF7AAB49"/>
        <bgColor indexed="64"/>
      </patternFill>
    </fill>
    <fill>
      <patternFill patternType="solid">
        <fgColor rgb="FF7EAF4E"/>
        <bgColor indexed="64"/>
      </patternFill>
    </fill>
    <fill>
      <patternFill patternType="solid">
        <fgColor rgb="FF7FAE4F"/>
        <bgColor indexed="64"/>
      </patternFill>
    </fill>
    <fill>
      <patternFill patternType="solid">
        <fgColor rgb="FF7CAE4E"/>
        <bgColor indexed="64"/>
      </patternFill>
    </fill>
    <fill>
      <patternFill patternType="solid">
        <fgColor rgb="FF78AA4C"/>
        <bgColor indexed="64"/>
      </patternFill>
    </fill>
    <fill>
      <patternFill patternType="solid">
        <fgColor rgb="FF79AB4F"/>
        <bgColor indexed="64"/>
      </patternFill>
    </fill>
    <fill>
      <patternFill patternType="solid">
        <fgColor rgb="FF77AA4E"/>
        <bgColor indexed="64"/>
      </patternFill>
    </fill>
    <fill>
      <patternFill patternType="solid">
        <fgColor rgb="FF72A649"/>
        <bgColor indexed="64"/>
      </patternFill>
    </fill>
    <fill>
      <patternFill patternType="solid">
        <fgColor rgb="FF70A449"/>
        <bgColor indexed="64"/>
      </patternFill>
    </fill>
    <fill>
      <patternFill patternType="solid">
        <fgColor rgb="FF73A949"/>
        <bgColor indexed="64"/>
      </patternFill>
    </fill>
    <fill>
      <patternFill patternType="solid">
        <fgColor rgb="FF73AA4B"/>
        <bgColor indexed="64"/>
      </patternFill>
    </fill>
    <fill>
      <patternFill patternType="solid">
        <fgColor rgb="FF678635"/>
        <bgColor indexed="64"/>
      </patternFill>
    </fill>
    <fill>
      <patternFill patternType="solid">
        <fgColor rgb="FFC1BE2D"/>
        <bgColor indexed="64"/>
      </patternFill>
    </fill>
    <fill>
      <patternFill patternType="solid">
        <fgColor rgb="FF719740"/>
        <bgColor indexed="64"/>
      </patternFill>
    </fill>
    <fill>
      <patternFill patternType="solid">
        <fgColor rgb="FF81B665"/>
        <bgColor indexed="64"/>
      </patternFill>
    </fill>
    <fill>
      <patternFill patternType="solid">
        <fgColor rgb="FF7EB161"/>
        <bgColor indexed="64"/>
      </patternFill>
    </fill>
    <fill>
      <patternFill patternType="solid">
        <fgColor rgb="FF7AAF60"/>
        <bgColor indexed="64"/>
      </patternFill>
    </fill>
    <fill>
      <patternFill patternType="solid">
        <fgColor rgb="FF77AD5E"/>
        <bgColor indexed="64"/>
      </patternFill>
    </fill>
    <fill>
      <patternFill patternType="solid">
        <fgColor rgb="FF5AA0B3"/>
        <bgColor indexed="64"/>
      </patternFill>
    </fill>
    <fill>
      <patternFill patternType="solid">
        <fgColor rgb="FF61928E"/>
        <bgColor indexed="64"/>
      </patternFill>
    </fill>
    <fill>
      <patternFill patternType="solid">
        <fgColor rgb="FF2C9AFC"/>
        <bgColor indexed="64"/>
      </patternFill>
    </fill>
    <fill>
      <patternFill patternType="solid">
        <fgColor rgb="FF318BD7"/>
        <bgColor indexed="64"/>
      </patternFill>
    </fill>
    <fill>
      <patternFill patternType="solid">
        <fgColor rgb="FF348BD7"/>
        <bgColor indexed="64"/>
      </patternFill>
    </fill>
    <fill>
      <patternFill patternType="solid">
        <fgColor rgb="FF37A7FF"/>
        <bgColor indexed="64"/>
      </patternFill>
    </fill>
    <fill>
      <patternFill patternType="solid">
        <fgColor rgb="FF33A8FF"/>
        <bgColor indexed="64"/>
      </patternFill>
    </fill>
    <fill>
      <patternFill patternType="solid">
        <fgColor rgb="FF34A4FB"/>
        <bgColor indexed="64"/>
      </patternFill>
    </fill>
    <fill>
      <patternFill patternType="solid">
        <fgColor rgb="FF3BA3FA"/>
        <bgColor indexed="64"/>
      </patternFill>
    </fill>
    <fill>
      <patternFill patternType="solid">
        <fgColor rgb="FF2D4552"/>
        <bgColor indexed="64"/>
      </patternFill>
    </fill>
    <fill>
      <patternFill patternType="solid">
        <fgColor rgb="FF362904"/>
        <bgColor indexed="64"/>
      </patternFill>
    </fill>
    <fill>
      <patternFill patternType="solid">
        <fgColor rgb="FF2B3E53"/>
        <bgColor indexed="64"/>
      </patternFill>
    </fill>
    <fill>
      <patternFill patternType="solid">
        <fgColor rgb="FF3CA0F4"/>
        <bgColor indexed="64"/>
      </patternFill>
    </fill>
    <fill>
      <patternFill patternType="solid">
        <fgColor rgb="FF3CA8F9"/>
        <bgColor indexed="64"/>
      </patternFill>
    </fill>
    <fill>
      <patternFill patternType="solid">
        <fgColor rgb="FF3BAEFF"/>
        <bgColor indexed="64"/>
      </patternFill>
    </fill>
    <fill>
      <patternFill patternType="solid">
        <fgColor rgb="FF38A4FC"/>
        <bgColor indexed="64"/>
      </patternFill>
    </fill>
    <fill>
      <patternFill patternType="solid">
        <fgColor rgb="FF3491E4"/>
        <bgColor indexed="64"/>
      </patternFill>
    </fill>
    <fill>
      <patternFill patternType="solid">
        <fgColor rgb="FF3D7AA2"/>
        <bgColor indexed="64"/>
      </patternFill>
    </fill>
    <fill>
      <patternFill patternType="solid">
        <fgColor rgb="FF576F4C"/>
        <bgColor indexed="64"/>
      </patternFill>
    </fill>
    <fill>
      <patternFill patternType="solid">
        <fgColor rgb="FF709145"/>
        <bgColor indexed="64"/>
      </patternFill>
    </fill>
    <fill>
      <patternFill patternType="solid">
        <fgColor rgb="FF76A343"/>
        <bgColor indexed="64"/>
      </patternFill>
    </fill>
    <fill>
      <patternFill patternType="solid">
        <fgColor rgb="FF76A743"/>
        <bgColor indexed="64"/>
      </patternFill>
    </fill>
    <fill>
      <patternFill patternType="solid">
        <fgColor rgb="FF86A946"/>
        <bgColor indexed="64"/>
      </patternFill>
    </fill>
    <fill>
      <patternFill patternType="solid">
        <fgColor rgb="FFB7BA41"/>
        <bgColor indexed="64"/>
      </patternFill>
    </fill>
    <fill>
      <patternFill patternType="solid">
        <fgColor rgb="FF7CA048"/>
        <bgColor indexed="64"/>
      </patternFill>
    </fill>
    <fill>
      <patternFill patternType="solid">
        <fgColor rgb="FF88B35B"/>
        <bgColor indexed="64"/>
      </patternFill>
    </fill>
    <fill>
      <patternFill patternType="solid">
        <fgColor rgb="FF6F9345"/>
        <bgColor indexed="64"/>
      </patternFill>
    </fill>
    <fill>
      <patternFill patternType="solid">
        <fgColor rgb="FF7B5C45"/>
        <bgColor indexed="64"/>
      </patternFill>
    </fill>
    <fill>
      <patternFill patternType="solid">
        <fgColor rgb="FFD3678D"/>
        <bgColor indexed="64"/>
      </patternFill>
    </fill>
    <fill>
      <patternFill patternType="solid">
        <fgColor rgb="FFA95571"/>
        <bgColor indexed="64"/>
      </patternFill>
    </fill>
    <fill>
      <patternFill patternType="solid">
        <fgColor rgb="FFBB5773"/>
        <bgColor indexed="64"/>
      </patternFill>
    </fill>
    <fill>
      <patternFill patternType="solid">
        <fgColor rgb="FFFF84B3"/>
        <bgColor indexed="64"/>
      </patternFill>
    </fill>
    <fill>
      <patternFill patternType="solid">
        <fgColor rgb="FFED77A2"/>
        <bgColor indexed="64"/>
      </patternFill>
    </fill>
    <fill>
      <patternFill patternType="solid">
        <fgColor rgb="FFFF87B5"/>
        <bgColor indexed="64"/>
      </patternFill>
    </fill>
    <fill>
      <patternFill patternType="solid">
        <fgColor rgb="FFD0748E"/>
        <bgColor indexed="64"/>
      </patternFill>
    </fill>
    <fill>
      <patternFill patternType="solid">
        <fgColor rgb="FF794F4E"/>
        <bgColor indexed="64"/>
      </patternFill>
    </fill>
    <fill>
      <patternFill patternType="solid">
        <fgColor rgb="FF6F744A"/>
        <bgColor indexed="64"/>
      </patternFill>
    </fill>
    <fill>
      <patternFill patternType="solid">
        <fgColor rgb="FF84B755"/>
        <bgColor indexed="64"/>
      </patternFill>
    </fill>
    <fill>
      <patternFill patternType="solid">
        <fgColor rgb="FF7EAB4D"/>
        <bgColor indexed="64"/>
      </patternFill>
    </fill>
    <fill>
      <patternFill patternType="solid">
        <fgColor rgb="FF77813B"/>
        <bgColor indexed="64"/>
      </patternFill>
    </fill>
    <fill>
      <patternFill patternType="solid">
        <fgColor rgb="FF606426"/>
        <bgColor indexed="64"/>
      </patternFill>
    </fill>
    <fill>
      <patternFill patternType="solid">
        <fgColor rgb="FF74A347"/>
        <bgColor indexed="64"/>
      </patternFill>
    </fill>
    <fill>
      <patternFill patternType="solid">
        <fgColor rgb="FF78A747"/>
        <bgColor indexed="64"/>
      </patternFill>
    </fill>
    <fill>
      <patternFill patternType="solid">
        <fgColor rgb="FF75A546"/>
        <bgColor indexed="64"/>
      </patternFill>
    </fill>
    <fill>
      <patternFill patternType="solid">
        <fgColor rgb="FF74A545"/>
        <bgColor indexed="64"/>
      </patternFill>
    </fill>
    <fill>
      <patternFill patternType="solid">
        <fgColor rgb="FF77A745"/>
        <bgColor indexed="64"/>
      </patternFill>
    </fill>
    <fill>
      <patternFill patternType="solid">
        <fgColor rgb="FF77A843"/>
        <bgColor indexed="64"/>
      </patternFill>
    </fill>
    <fill>
      <patternFill patternType="solid">
        <fgColor rgb="FF78A744"/>
        <bgColor indexed="64"/>
      </patternFill>
    </fill>
    <fill>
      <patternFill patternType="solid">
        <fgColor rgb="FF71AF44"/>
        <bgColor indexed="64"/>
      </patternFill>
    </fill>
    <fill>
      <patternFill patternType="solid">
        <fgColor rgb="FF719341"/>
        <bgColor indexed="64"/>
      </patternFill>
    </fill>
    <fill>
      <patternFill patternType="solid">
        <fgColor rgb="FFA34A50"/>
        <bgColor indexed="64"/>
      </patternFill>
    </fill>
    <fill>
      <patternFill patternType="solid">
        <fgColor rgb="FFB35B46"/>
        <bgColor indexed="64"/>
      </patternFill>
    </fill>
    <fill>
      <patternFill patternType="solid">
        <fgColor rgb="FFEDD534"/>
        <bgColor indexed="64"/>
      </patternFill>
    </fill>
    <fill>
      <patternFill patternType="solid">
        <fgColor rgb="FF8A4D3A"/>
        <bgColor indexed="64"/>
      </patternFill>
    </fill>
    <fill>
      <patternFill patternType="solid">
        <fgColor rgb="FF6D633A"/>
        <bgColor indexed="64"/>
      </patternFill>
    </fill>
    <fill>
      <patternFill patternType="solid">
        <fgColor rgb="FF819246"/>
        <bgColor indexed="64"/>
      </patternFill>
    </fill>
    <fill>
      <patternFill patternType="solid">
        <fgColor rgb="FF75AB43"/>
        <bgColor indexed="64"/>
      </patternFill>
    </fill>
    <fill>
      <patternFill patternType="solid">
        <fgColor rgb="FF7AAC4B"/>
        <bgColor indexed="64"/>
      </patternFill>
    </fill>
    <fill>
      <patternFill patternType="solid">
        <fgColor rgb="FF7EAD4F"/>
        <bgColor indexed="64"/>
      </patternFill>
    </fill>
    <fill>
      <patternFill patternType="solid">
        <fgColor rgb="FF79A94E"/>
        <bgColor indexed="64"/>
      </patternFill>
    </fill>
    <fill>
      <patternFill patternType="solid">
        <fgColor rgb="FF76A74C"/>
        <bgColor indexed="64"/>
      </patternFill>
    </fill>
    <fill>
      <patternFill patternType="solid">
        <fgColor rgb="FF78AB4D"/>
        <bgColor indexed="64"/>
      </patternFill>
    </fill>
    <fill>
      <patternFill patternType="solid">
        <fgColor rgb="FF6CA147"/>
        <bgColor indexed="64"/>
      </patternFill>
    </fill>
    <fill>
      <patternFill patternType="solid">
        <fgColor rgb="FF78AC4C"/>
        <bgColor indexed="64"/>
      </patternFill>
    </fill>
    <fill>
      <patternFill patternType="solid">
        <fgColor rgb="FF6B9F48"/>
        <bgColor indexed="64"/>
      </patternFill>
    </fill>
    <fill>
      <patternFill patternType="solid">
        <fgColor rgb="FF99A430"/>
        <bgColor indexed="64"/>
      </patternFill>
    </fill>
    <fill>
      <patternFill patternType="solid">
        <fgColor rgb="FFA9B12E"/>
        <bgColor indexed="64"/>
      </patternFill>
    </fill>
    <fill>
      <patternFill patternType="solid">
        <fgColor rgb="FF6FA24F"/>
        <bgColor indexed="64"/>
      </patternFill>
    </fill>
    <fill>
      <patternFill patternType="solid">
        <fgColor rgb="FF81B560"/>
        <bgColor indexed="64"/>
      </patternFill>
    </fill>
    <fill>
      <patternFill patternType="solid">
        <fgColor rgb="FF7EB261"/>
        <bgColor indexed="64"/>
      </patternFill>
    </fill>
    <fill>
      <patternFill patternType="solid">
        <fgColor rgb="FF7CB160"/>
        <bgColor indexed="64"/>
      </patternFill>
    </fill>
    <fill>
      <patternFill patternType="solid">
        <fgColor rgb="FF7CB260"/>
        <bgColor indexed="64"/>
      </patternFill>
    </fill>
    <fill>
      <patternFill patternType="solid">
        <fgColor rgb="FF78B25F"/>
        <bgColor indexed="64"/>
      </patternFill>
    </fill>
    <fill>
      <patternFill patternType="solid">
        <fgColor rgb="FF32A0FF"/>
        <bgColor indexed="64"/>
      </patternFill>
    </fill>
    <fill>
      <patternFill patternType="solid">
        <fgColor rgb="FF2DA9FF"/>
        <bgColor indexed="64"/>
      </patternFill>
    </fill>
    <fill>
      <patternFill patternType="solid">
        <fgColor rgb="FF3B85AB"/>
        <bgColor indexed="64"/>
      </patternFill>
    </fill>
    <fill>
      <patternFill patternType="solid">
        <fgColor rgb="FF31709D"/>
        <bgColor indexed="64"/>
      </patternFill>
    </fill>
    <fill>
      <patternFill patternType="solid">
        <fgColor rgb="FF2F91EA"/>
        <bgColor indexed="64"/>
      </patternFill>
    </fill>
    <fill>
      <patternFill patternType="solid">
        <fgColor rgb="FF3F7074"/>
        <bgColor indexed="64"/>
      </patternFill>
    </fill>
    <fill>
      <patternFill patternType="solid">
        <fgColor rgb="FF4C6849"/>
        <bgColor indexed="64"/>
      </patternFill>
    </fill>
    <fill>
      <patternFill patternType="solid">
        <fgColor rgb="FF3C7585"/>
        <bgColor indexed="64"/>
      </patternFill>
    </fill>
    <fill>
      <patternFill patternType="solid">
        <fgColor rgb="FF367FB8"/>
        <bgColor indexed="64"/>
      </patternFill>
    </fill>
    <fill>
      <patternFill patternType="solid">
        <fgColor rgb="FF4F7DB5"/>
        <bgColor indexed="64"/>
      </patternFill>
    </fill>
    <fill>
      <patternFill patternType="solid">
        <fgColor rgb="FF38A1F6"/>
        <bgColor indexed="64"/>
      </patternFill>
    </fill>
    <fill>
      <patternFill patternType="solid">
        <fgColor rgb="FF36A9FF"/>
        <bgColor indexed="64"/>
      </patternFill>
    </fill>
    <fill>
      <patternFill patternType="solid">
        <fgColor rgb="FF34A0F9"/>
        <bgColor indexed="64"/>
      </patternFill>
    </fill>
    <fill>
      <patternFill patternType="solid">
        <fgColor rgb="FF36A0F9"/>
        <bgColor indexed="64"/>
      </patternFill>
    </fill>
    <fill>
      <patternFill patternType="solid">
        <fgColor rgb="FF36A4FD"/>
        <bgColor indexed="64"/>
      </patternFill>
    </fill>
    <fill>
      <patternFill patternType="solid">
        <fgColor rgb="FF3C9CE7"/>
        <bgColor indexed="64"/>
      </patternFill>
    </fill>
    <fill>
      <patternFill patternType="solid">
        <fgColor rgb="FF47513A"/>
        <bgColor indexed="64"/>
      </patternFill>
    </fill>
    <fill>
      <patternFill patternType="solid">
        <fgColor rgb="FF4A3B0E"/>
        <bgColor indexed="64"/>
      </patternFill>
    </fill>
    <fill>
      <patternFill patternType="solid">
        <fgColor rgb="FF2D5575"/>
        <bgColor indexed="64"/>
      </patternFill>
    </fill>
    <fill>
      <patternFill patternType="solid">
        <fgColor rgb="FF38A5FF"/>
        <bgColor indexed="64"/>
      </patternFill>
    </fill>
    <fill>
      <patternFill patternType="solid">
        <fgColor rgb="FF3396ED"/>
        <bgColor indexed="64"/>
      </patternFill>
    </fill>
    <fill>
      <patternFill patternType="solid">
        <fgColor rgb="FF3683C4"/>
        <bgColor indexed="64"/>
      </patternFill>
    </fill>
    <fill>
      <patternFill patternType="solid">
        <fgColor rgb="FF417A94"/>
        <bgColor indexed="64"/>
      </patternFill>
    </fill>
    <fill>
      <patternFill patternType="solid">
        <fgColor rgb="FF507F76"/>
        <bgColor indexed="64"/>
      </patternFill>
    </fill>
    <fill>
      <patternFill patternType="solid">
        <fgColor rgb="FF5C8255"/>
        <bgColor indexed="64"/>
      </patternFill>
    </fill>
    <fill>
      <patternFill patternType="solid">
        <fgColor rgb="FF769B43"/>
        <bgColor indexed="64"/>
      </patternFill>
    </fill>
    <fill>
      <patternFill patternType="solid">
        <fgColor rgb="FF83B24B"/>
        <bgColor indexed="64"/>
      </patternFill>
    </fill>
    <fill>
      <patternFill patternType="solid">
        <fgColor rgb="FF80AF4D"/>
        <bgColor indexed="64"/>
      </patternFill>
    </fill>
    <fill>
      <patternFill patternType="solid">
        <fgColor rgb="FF81AE4D"/>
        <bgColor indexed="64"/>
      </patternFill>
    </fill>
    <fill>
      <patternFill patternType="solid">
        <fgColor rgb="FF627930"/>
        <bgColor indexed="64"/>
      </patternFill>
    </fill>
    <fill>
      <patternFill patternType="solid">
        <fgColor rgb="FF61632E"/>
        <bgColor indexed="64"/>
      </patternFill>
    </fill>
    <fill>
      <patternFill patternType="solid">
        <fgColor rgb="FF82A951"/>
        <bgColor indexed="64"/>
      </patternFill>
    </fill>
    <fill>
      <patternFill patternType="solid">
        <fgColor rgb="FF86B254"/>
        <bgColor indexed="64"/>
      </patternFill>
    </fill>
    <fill>
      <patternFill patternType="solid">
        <fgColor rgb="FF6E8644"/>
        <bgColor indexed="64"/>
      </patternFill>
    </fill>
    <fill>
      <patternFill patternType="solid">
        <fgColor rgb="FF846E55"/>
        <bgColor indexed="64"/>
      </patternFill>
    </fill>
    <fill>
      <patternFill patternType="solid">
        <fgColor rgb="FF868C5D"/>
        <bgColor indexed="64"/>
      </patternFill>
    </fill>
    <fill>
      <patternFill patternType="solid">
        <fgColor rgb="FF856F53"/>
        <bgColor indexed="64"/>
      </patternFill>
    </fill>
    <fill>
      <patternFill patternType="solid">
        <fgColor rgb="FFE87199"/>
        <bgColor indexed="64"/>
      </patternFill>
    </fill>
    <fill>
      <patternFill patternType="solid">
        <fgColor rgb="FF874459"/>
        <bgColor indexed="64"/>
      </patternFill>
    </fill>
    <fill>
      <patternFill patternType="solid">
        <fgColor rgb="FFC3617D"/>
        <bgColor indexed="64"/>
      </patternFill>
    </fill>
    <fill>
      <patternFill patternType="solid">
        <fgColor rgb="FFEF77A9"/>
        <bgColor indexed="64"/>
      </patternFill>
    </fill>
    <fill>
      <patternFill patternType="solid">
        <fgColor rgb="FFB76C78"/>
        <bgColor indexed="64"/>
      </patternFill>
    </fill>
    <fill>
      <patternFill patternType="solid">
        <fgColor rgb="FF749A4B"/>
        <bgColor indexed="64"/>
      </patternFill>
    </fill>
    <fill>
      <patternFill patternType="solid">
        <fgColor rgb="FF688D44"/>
        <bgColor indexed="64"/>
      </patternFill>
    </fill>
    <fill>
      <patternFill patternType="solid">
        <fgColor rgb="FF80AD52"/>
        <bgColor indexed="64"/>
      </patternFill>
    </fill>
    <fill>
      <patternFill patternType="solid">
        <fgColor rgb="FF7CAB4C"/>
        <bgColor indexed="64"/>
      </patternFill>
    </fill>
    <fill>
      <patternFill patternType="solid">
        <fgColor rgb="FF78AA4D"/>
        <bgColor indexed="64"/>
      </patternFill>
    </fill>
    <fill>
      <patternFill patternType="solid">
        <fgColor rgb="FF7C8838"/>
        <bgColor indexed="64"/>
      </patternFill>
    </fill>
    <fill>
      <patternFill patternType="solid">
        <fgColor rgb="FF898C31"/>
        <bgColor indexed="64"/>
      </patternFill>
    </fill>
    <fill>
      <patternFill patternType="solid">
        <fgColor rgb="FF6E9E45"/>
        <bgColor indexed="64"/>
      </patternFill>
    </fill>
    <fill>
      <patternFill patternType="solid">
        <fgColor rgb="FF7AAA48"/>
        <bgColor indexed="64"/>
      </patternFill>
    </fill>
    <fill>
      <patternFill patternType="solid">
        <fgColor rgb="FF76A845"/>
        <bgColor indexed="64"/>
      </patternFill>
    </fill>
    <fill>
      <patternFill patternType="solid">
        <fgColor rgb="FF74A745"/>
        <bgColor indexed="64"/>
      </patternFill>
    </fill>
    <fill>
      <patternFill patternType="solid">
        <fgColor rgb="FF74A646"/>
        <bgColor indexed="64"/>
      </patternFill>
    </fill>
    <fill>
      <patternFill patternType="solid">
        <fgColor rgb="FF74A743"/>
        <bgColor indexed="64"/>
      </patternFill>
    </fill>
    <fill>
      <patternFill patternType="solid">
        <fgColor rgb="FF75A444"/>
        <bgColor indexed="64"/>
      </patternFill>
    </fill>
    <fill>
      <patternFill patternType="solid">
        <fgColor rgb="FF76A644"/>
        <bgColor indexed="64"/>
      </patternFill>
    </fill>
    <fill>
      <patternFill patternType="solid">
        <fgColor rgb="FF7BAB44"/>
        <bgColor indexed="64"/>
      </patternFill>
    </fill>
    <fill>
      <patternFill patternType="solid">
        <fgColor rgb="FF7DAD47"/>
        <bgColor indexed="64"/>
      </patternFill>
    </fill>
    <fill>
      <patternFill patternType="solid">
        <fgColor rgb="FF719245"/>
        <bgColor indexed="64"/>
      </patternFill>
    </fill>
    <fill>
      <patternFill patternType="solid">
        <fgColor rgb="FF937C2E"/>
        <bgColor indexed="64"/>
      </patternFill>
    </fill>
    <fill>
      <patternFill patternType="solid">
        <fgColor rgb="FFEFE937"/>
        <bgColor indexed="64"/>
      </patternFill>
    </fill>
    <fill>
      <patternFill patternType="solid">
        <fgColor rgb="FFAAA52A"/>
        <bgColor indexed="64"/>
      </patternFill>
    </fill>
    <fill>
      <patternFill patternType="solid">
        <fgColor rgb="FF537329"/>
        <bgColor indexed="64"/>
      </patternFill>
    </fill>
    <fill>
      <patternFill patternType="solid">
        <fgColor rgb="FF79B342"/>
        <bgColor indexed="64"/>
      </patternFill>
    </fill>
    <fill>
      <patternFill patternType="solid">
        <fgColor rgb="FF72A640"/>
        <bgColor indexed="64"/>
      </patternFill>
    </fill>
    <fill>
      <patternFill patternType="solid">
        <fgColor rgb="FF75A544"/>
        <bgColor indexed="64"/>
      </patternFill>
    </fill>
    <fill>
      <patternFill patternType="solid">
        <fgColor rgb="FF77A948"/>
        <bgColor indexed="64"/>
      </patternFill>
    </fill>
    <fill>
      <patternFill patternType="solid">
        <fgColor rgb="FF7BAC4E"/>
        <bgColor indexed="64"/>
      </patternFill>
    </fill>
    <fill>
      <patternFill patternType="solid">
        <fgColor rgb="FF7BAE4C"/>
        <bgColor indexed="64"/>
      </patternFill>
    </fill>
    <fill>
      <patternFill patternType="solid">
        <fgColor rgb="FF74A747"/>
        <bgColor indexed="64"/>
      </patternFill>
    </fill>
    <fill>
      <patternFill patternType="solid">
        <fgColor rgb="FF75A84A"/>
        <bgColor indexed="64"/>
      </patternFill>
    </fill>
    <fill>
      <patternFill patternType="solid">
        <fgColor rgb="FF77AA4C"/>
        <bgColor indexed="64"/>
      </patternFill>
    </fill>
    <fill>
      <patternFill patternType="solid">
        <fgColor rgb="FF72A748"/>
        <bgColor indexed="64"/>
      </patternFill>
    </fill>
    <fill>
      <patternFill patternType="solid">
        <fgColor rgb="FF6EA646"/>
        <bgColor indexed="64"/>
      </patternFill>
    </fill>
    <fill>
      <patternFill patternType="solid">
        <fgColor rgb="FF6FA647"/>
        <bgColor indexed="64"/>
      </patternFill>
    </fill>
    <fill>
      <patternFill patternType="solid">
        <fgColor rgb="FF6CA148"/>
        <bgColor indexed="64"/>
      </patternFill>
    </fill>
    <fill>
      <patternFill patternType="solid">
        <fgColor rgb="FF79B04B"/>
        <bgColor indexed="64"/>
      </patternFill>
    </fill>
    <fill>
      <patternFill patternType="solid">
        <fgColor rgb="FF5B853D"/>
        <bgColor indexed="64"/>
      </patternFill>
    </fill>
    <fill>
      <patternFill patternType="solid">
        <fgColor rgb="FF5C5C18"/>
        <bgColor indexed="64"/>
      </patternFill>
    </fill>
    <fill>
      <patternFill patternType="solid">
        <fgColor rgb="FF7F9934"/>
        <bgColor indexed="64"/>
      </patternFill>
    </fill>
    <fill>
      <patternFill patternType="solid">
        <fgColor rgb="FF7DB359"/>
        <bgColor indexed="64"/>
      </patternFill>
    </fill>
    <fill>
      <patternFill patternType="solid">
        <fgColor rgb="FF7EB15F"/>
        <bgColor indexed="64"/>
      </patternFill>
    </fill>
    <fill>
      <patternFill patternType="solid">
        <fgColor rgb="FF7DB261"/>
        <bgColor indexed="64"/>
      </patternFill>
    </fill>
    <fill>
      <patternFill patternType="solid">
        <fgColor rgb="FF7DB161"/>
        <bgColor indexed="64"/>
      </patternFill>
    </fill>
    <fill>
      <patternFill patternType="solid">
        <fgColor rgb="FF7BAE62"/>
        <bgColor indexed="64"/>
      </patternFill>
    </fill>
    <fill>
      <patternFill patternType="solid">
        <fgColor rgb="FF639453"/>
        <bgColor indexed="64"/>
      </patternFill>
    </fill>
    <fill>
      <patternFill patternType="solid">
        <fgColor rgb="FF3A5339"/>
        <bgColor indexed="64"/>
      </patternFill>
    </fill>
    <fill>
      <patternFill patternType="solid">
        <fgColor rgb="FF2C9EFB"/>
        <bgColor indexed="64"/>
      </patternFill>
    </fill>
    <fill>
      <patternFill patternType="solid">
        <fgColor rgb="FF6371B1"/>
        <bgColor indexed="64"/>
      </patternFill>
    </fill>
    <fill>
      <patternFill patternType="solid">
        <fgColor rgb="FF816E7A"/>
        <bgColor indexed="64"/>
      </patternFill>
    </fill>
    <fill>
      <patternFill patternType="solid">
        <fgColor rgb="FF50556A"/>
        <bgColor indexed="64"/>
      </patternFill>
    </fill>
    <fill>
      <patternFill patternType="solid">
        <fgColor rgb="FF3B78C2"/>
        <bgColor indexed="64"/>
      </patternFill>
    </fill>
    <fill>
      <patternFill patternType="solid">
        <fgColor rgb="FF2E596D"/>
        <bgColor indexed="64"/>
      </patternFill>
    </fill>
    <fill>
      <patternFill patternType="solid">
        <fgColor rgb="FF6F9347"/>
        <bgColor indexed="64"/>
      </patternFill>
    </fill>
    <fill>
      <patternFill patternType="solid">
        <fgColor rgb="FF7EA841"/>
        <bgColor indexed="64"/>
      </patternFill>
    </fill>
    <fill>
      <patternFill patternType="solid">
        <fgColor rgb="FF646529"/>
        <bgColor indexed="64"/>
      </patternFill>
    </fill>
    <fill>
      <patternFill patternType="solid">
        <fgColor rgb="FFA36233"/>
        <bgColor indexed="64"/>
      </patternFill>
    </fill>
    <fill>
      <patternFill patternType="solid">
        <fgColor rgb="FFB16538"/>
        <bgColor indexed="64"/>
      </patternFill>
    </fill>
    <fill>
      <patternFill patternType="solid">
        <fgColor rgb="FF6F647C"/>
        <bgColor indexed="64"/>
      </patternFill>
    </fill>
    <fill>
      <patternFill patternType="solid">
        <fgColor rgb="FF5D6EAD"/>
        <bgColor indexed="64"/>
      </patternFill>
    </fill>
    <fill>
      <patternFill patternType="solid">
        <fgColor rgb="FF3486D9"/>
        <bgColor indexed="64"/>
      </patternFill>
    </fill>
    <fill>
      <patternFill patternType="solid">
        <fgColor rgb="FF3AADFF"/>
        <bgColor indexed="64"/>
      </patternFill>
    </fill>
    <fill>
      <patternFill patternType="solid">
        <fgColor rgb="FF3992D2"/>
        <bgColor indexed="64"/>
      </patternFill>
    </fill>
    <fill>
      <patternFill patternType="solid">
        <fgColor rgb="FF726E2F"/>
        <bgColor indexed="64"/>
      </patternFill>
    </fill>
    <fill>
      <patternFill patternType="solid">
        <fgColor rgb="FFAB9A22"/>
        <bgColor indexed="64"/>
      </patternFill>
    </fill>
    <fill>
      <patternFill patternType="solid">
        <fgColor rgb="FF375564"/>
        <bgColor indexed="64"/>
      </patternFill>
    </fill>
    <fill>
      <patternFill patternType="solid">
        <fgColor rgb="FF2C79C5"/>
        <bgColor indexed="64"/>
      </patternFill>
    </fill>
    <fill>
      <patternFill patternType="solid">
        <fgColor rgb="FF36719B"/>
        <bgColor indexed="64"/>
      </patternFill>
    </fill>
    <fill>
      <patternFill patternType="solid">
        <fgColor rgb="FF447077"/>
        <bgColor indexed="64"/>
      </patternFill>
    </fill>
    <fill>
      <patternFill patternType="solid">
        <fgColor rgb="FF577B5D"/>
        <bgColor indexed="64"/>
      </patternFill>
    </fill>
    <fill>
      <patternFill patternType="solid">
        <fgColor rgb="FF799C51"/>
        <bgColor indexed="64"/>
      </patternFill>
    </fill>
    <fill>
      <patternFill patternType="solid">
        <fgColor rgb="FF83A94C"/>
        <bgColor indexed="64"/>
      </patternFill>
    </fill>
    <fill>
      <patternFill patternType="solid">
        <fgColor rgb="FF82AE49"/>
        <bgColor indexed="64"/>
      </patternFill>
    </fill>
    <fill>
      <patternFill patternType="solid">
        <fgColor rgb="FF80AF49"/>
        <bgColor indexed="64"/>
      </patternFill>
    </fill>
    <fill>
      <patternFill patternType="solid">
        <fgColor rgb="FF7BAA4B"/>
        <bgColor indexed="64"/>
      </patternFill>
    </fill>
    <fill>
      <patternFill patternType="solid">
        <fgColor rgb="FF77A548"/>
        <bgColor indexed="64"/>
      </patternFill>
    </fill>
    <fill>
      <patternFill patternType="solid">
        <fgColor rgb="FF7AA747"/>
        <bgColor indexed="64"/>
      </patternFill>
    </fill>
    <fill>
      <patternFill patternType="solid">
        <fgColor rgb="FF77A643"/>
        <bgColor indexed="64"/>
      </patternFill>
    </fill>
    <fill>
      <patternFill patternType="solid">
        <fgColor rgb="FF78A748"/>
        <bgColor indexed="64"/>
      </patternFill>
    </fill>
    <fill>
      <patternFill patternType="solid">
        <fgColor rgb="FF8B9837"/>
        <bgColor indexed="64"/>
      </patternFill>
    </fill>
    <fill>
      <patternFill patternType="solid">
        <fgColor rgb="FF6B7730"/>
        <bgColor indexed="64"/>
      </patternFill>
    </fill>
    <fill>
      <patternFill patternType="solid">
        <fgColor rgb="FF81AD57"/>
        <bgColor indexed="64"/>
      </patternFill>
    </fill>
    <fill>
      <patternFill patternType="solid">
        <fgColor rgb="FF87AF55"/>
        <bgColor indexed="64"/>
      </patternFill>
    </fill>
    <fill>
      <patternFill patternType="solid">
        <fgColor rgb="FF8EB85E"/>
        <bgColor indexed="64"/>
      </patternFill>
    </fill>
    <fill>
      <patternFill patternType="solid">
        <fgColor rgb="FF8ABF5F"/>
        <bgColor indexed="64"/>
      </patternFill>
    </fill>
    <fill>
      <patternFill patternType="solid">
        <fgColor rgb="FF7EA258"/>
        <bgColor indexed="64"/>
      </patternFill>
    </fill>
    <fill>
      <patternFill patternType="solid">
        <fgColor rgb="FF9A5F62"/>
        <bgColor indexed="64"/>
      </patternFill>
    </fill>
    <fill>
      <patternFill patternType="solid">
        <fgColor rgb="FF8D7C5D"/>
        <bgColor indexed="64"/>
      </patternFill>
    </fill>
    <fill>
      <patternFill patternType="solid">
        <fgColor rgb="FF6F4D41"/>
        <bgColor indexed="64"/>
      </patternFill>
    </fill>
    <fill>
      <patternFill patternType="solid">
        <fgColor rgb="FFD57191"/>
        <bgColor indexed="64"/>
      </patternFill>
    </fill>
    <fill>
      <patternFill patternType="solid">
        <fgColor rgb="FF966863"/>
        <bgColor indexed="64"/>
      </patternFill>
    </fill>
    <fill>
      <patternFill patternType="solid">
        <fgColor rgb="FF9C6B61"/>
        <bgColor indexed="64"/>
      </patternFill>
    </fill>
    <fill>
      <patternFill patternType="solid">
        <fgColor rgb="FF89B557"/>
        <bgColor indexed="64"/>
      </patternFill>
    </fill>
    <fill>
      <patternFill patternType="solid">
        <fgColor rgb="FF83B155"/>
        <bgColor indexed="64"/>
      </patternFill>
    </fill>
    <fill>
      <patternFill patternType="solid">
        <fgColor rgb="FF7CA950"/>
        <bgColor indexed="64"/>
      </patternFill>
    </fill>
    <fill>
      <patternFill patternType="solid">
        <fgColor rgb="FF7DAC4C"/>
        <bgColor indexed="64"/>
      </patternFill>
    </fill>
    <fill>
      <patternFill patternType="solid">
        <fgColor rgb="FF829135"/>
        <bgColor indexed="64"/>
      </patternFill>
    </fill>
    <fill>
      <patternFill patternType="solid">
        <fgColor rgb="FFA6A932"/>
        <bgColor indexed="64"/>
      </patternFill>
    </fill>
    <fill>
      <patternFill patternType="solid">
        <fgColor rgb="FF699844"/>
        <bgColor indexed="64"/>
      </patternFill>
    </fill>
    <fill>
      <patternFill patternType="solid">
        <fgColor rgb="FF79AB48"/>
        <bgColor indexed="64"/>
      </patternFill>
    </fill>
    <fill>
      <patternFill patternType="solid">
        <fgColor rgb="FF76A645"/>
        <bgColor indexed="64"/>
      </patternFill>
    </fill>
    <fill>
      <patternFill patternType="solid">
        <fgColor rgb="FF76A643"/>
        <bgColor indexed="64"/>
      </patternFill>
    </fill>
    <fill>
      <patternFill patternType="solid">
        <fgColor rgb="FF76A744"/>
        <bgColor indexed="64"/>
      </patternFill>
    </fill>
    <fill>
      <patternFill patternType="solid">
        <fgColor rgb="FF78AA43"/>
        <bgColor indexed="64"/>
      </patternFill>
    </fill>
    <fill>
      <patternFill patternType="solid">
        <fgColor rgb="FF7BAD45"/>
        <bgColor indexed="64"/>
      </patternFill>
    </fill>
    <fill>
      <patternFill patternType="solid">
        <fgColor rgb="FF7AAC42"/>
        <bgColor indexed="64"/>
      </patternFill>
    </fill>
    <fill>
      <patternFill patternType="solid">
        <fgColor rgb="FF363E13"/>
        <bgColor indexed="64"/>
      </patternFill>
    </fill>
    <fill>
      <patternFill patternType="solid">
        <fgColor rgb="FFA79B2A"/>
        <bgColor indexed="64"/>
      </patternFill>
    </fill>
    <fill>
      <patternFill patternType="solid">
        <fgColor rgb="FF88962C"/>
        <bgColor indexed="64"/>
      </patternFill>
    </fill>
    <fill>
      <patternFill patternType="solid">
        <fgColor rgb="FF669B3C"/>
        <bgColor indexed="64"/>
      </patternFill>
    </fill>
    <fill>
      <patternFill patternType="solid">
        <fgColor rgb="FF7DAF46"/>
        <bgColor indexed="64"/>
      </patternFill>
    </fill>
    <fill>
      <patternFill patternType="solid">
        <fgColor rgb="FF76A946"/>
        <bgColor indexed="64"/>
      </patternFill>
    </fill>
    <fill>
      <patternFill patternType="solid">
        <fgColor rgb="FF76A944"/>
        <bgColor indexed="64"/>
      </patternFill>
    </fill>
    <fill>
      <patternFill patternType="solid">
        <fgColor rgb="FF77AA48"/>
        <bgColor indexed="64"/>
      </patternFill>
    </fill>
    <fill>
      <patternFill patternType="solid">
        <fgColor rgb="FF7AAB4A"/>
        <bgColor indexed="64"/>
      </patternFill>
    </fill>
    <fill>
      <patternFill patternType="solid">
        <fgColor rgb="FF79AC48"/>
        <bgColor indexed="64"/>
      </patternFill>
    </fill>
    <fill>
      <patternFill patternType="solid">
        <fgColor rgb="FF75A849"/>
        <bgColor indexed="64"/>
      </patternFill>
    </fill>
    <fill>
      <patternFill patternType="solid">
        <fgColor rgb="FF74A748"/>
        <bgColor indexed="64"/>
      </patternFill>
    </fill>
    <fill>
      <patternFill patternType="solid">
        <fgColor rgb="FF73A648"/>
        <bgColor indexed="64"/>
      </patternFill>
    </fill>
    <fill>
      <patternFill patternType="solid">
        <fgColor rgb="FF75A74B"/>
        <bgColor indexed="64"/>
      </patternFill>
    </fill>
    <fill>
      <patternFill patternType="solid">
        <fgColor rgb="FF70A645"/>
        <bgColor indexed="64"/>
      </patternFill>
    </fill>
    <fill>
      <patternFill patternType="solid">
        <fgColor rgb="FF70A547"/>
        <bgColor indexed="64"/>
      </patternFill>
    </fill>
    <fill>
      <patternFill patternType="solid">
        <fgColor rgb="FF71A748"/>
        <bgColor indexed="64"/>
      </patternFill>
    </fill>
    <fill>
      <patternFill patternType="solid">
        <fgColor rgb="FF6FA446"/>
        <bgColor indexed="64"/>
      </patternFill>
    </fill>
    <fill>
      <patternFill patternType="solid">
        <fgColor rgb="FF72AA4D"/>
        <bgColor indexed="64"/>
      </patternFill>
    </fill>
    <fill>
      <patternFill patternType="solid">
        <fgColor rgb="FF4D6730"/>
        <bgColor indexed="64"/>
      </patternFill>
    </fill>
    <fill>
      <patternFill patternType="solid">
        <fgColor rgb="FF424613"/>
        <bgColor indexed="64"/>
      </patternFill>
    </fill>
    <fill>
      <patternFill patternType="solid">
        <fgColor rgb="FF719F46"/>
        <bgColor indexed="64"/>
      </patternFill>
    </fill>
    <fill>
      <patternFill patternType="solid">
        <fgColor rgb="FF80B563"/>
        <bgColor indexed="64"/>
      </patternFill>
    </fill>
    <fill>
      <patternFill patternType="solid">
        <fgColor rgb="FF7DB162"/>
        <bgColor indexed="64"/>
      </patternFill>
    </fill>
    <fill>
      <patternFill patternType="solid">
        <fgColor rgb="FF4A7042"/>
        <bgColor indexed="64"/>
      </patternFill>
    </fill>
    <fill>
      <patternFill patternType="solid">
        <fgColor rgb="FF374633"/>
        <bgColor indexed="64"/>
      </patternFill>
    </fill>
    <fill>
      <patternFill patternType="solid">
        <fgColor rgb="FF67659E"/>
        <bgColor indexed="64"/>
      </patternFill>
    </fill>
    <fill>
      <patternFill patternType="solid">
        <fgColor rgb="FFE9698E"/>
        <bgColor indexed="64"/>
      </patternFill>
    </fill>
    <fill>
      <patternFill patternType="solid">
        <fgColor rgb="FFDE7669"/>
        <bgColor indexed="64"/>
      </patternFill>
    </fill>
    <fill>
      <patternFill patternType="solid">
        <fgColor rgb="FFC36A5A"/>
        <bgColor indexed="64"/>
      </patternFill>
    </fill>
    <fill>
      <patternFill patternType="solid">
        <fgColor rgb="FF7A455D"/>
        <bgColor indexed="64"/>
      </patternFill>
    </fill>
    <fill>
      <patternFill patternType="solid">
        <fgColor rgb="FF5A7E3D"/>
        <bgColor indexed="64"/>
      </patternFill>
    </fill>
    <fill>
      <patternFill patternType="solid">
        <fgColor rgb="FF8BBA4C"/>
        <bgColor indexed="64"/>
      </patternFill>
    </fill>
    <fill>
      <patternFill patternType="solid">
        <fgColor rgb="FF789842"/>
        <bgColor indexed="64"/>
      </patternFill>
    </fill>
    <fill>
      <patternFill patternType="solid">
        <fgColor rgb="FFAC6E3D"/>
        <bgColor indexed="64"/>
      </patternFill>
    </fill>
    <fill>
      <patternFill patternType="solid">
        <fgColor rgb="FFFD924E"/>
        <bgColor indexed="64"/>
      </patternFill>
    </fill>
    <fill>
      <patternFill patternType="solid">
        <fgColor rgb="FFC2633D"/>
        <bgColor indexed="64"/>
      </patternFill>
    </fill>
    <fill>
      <patternFill patternType="solid">
        <fgColor rgb="FFE1637D"/>
        <bgColor indexed="64"/>
      </patternFill>
    </fill>
    <fill>
      <patternFill patternType="solid">
        <fgColor rgb="FFFC6C96"/>
        <bgColor indexed="64"/>
      </patternFill>
    </fill>
    <fill>
      <patternFill patternType="solid">
        <fgColor rgb="FF9A4F7E"/>
        <bgColor indexed="64"/>
      </patternFill>
    </fill>
    <fill>
      <patternFill patternType="solid">
        <fgColor rgb="FF336CB4"/>
        <bgColor indexed="64"/>
      </patternFill>
    </fill>
    <fill>
      <patternFill patternType="solid">
        <fgColor rgb="FF2E8CD9"/>
        <bgColor indexed="64"/>
      </patternFill>
    </fill>
    <fill>
      <patternFill patternType="solid">
        <fgColor rgb="FF3288D5"/>
        <bgColor indexed="64"/>
      </patternFill>
    </fill>
    <fill>
      <patternFill patternType="solid">
        <fgColor rgb="FF366D8D"/>
        <bgColor indexed="64"/>
      </patternFill>
    </fill>
    <fill>
      <patternFill patternType="solid">
        <fgColor rgb="FFD8C92D"/>
        <bgColor indexed="64"/>
      </patternFill>
    </fill>
    <fill>
      <patternFill patternType="solid">
        <fgColor rgb="FFECDE34"/>
        <bgColor indexed="64"/>
      </patternFill>
    </fill>
    <fill>
      <patternFill patternType="solid">
        <fgColor rgb="FF525E2D"/>
        <bgColor indexed="64"/>
      </patternFill>
    </fill>
    <fill>
      <patternFill patternType="solid">
        <fgColor rgb="FF799752"/>
        <bgColor indexed="64"/>
      </patternFill>
    </fill>
    <fill>
      <patternFill patternType="solid">
        <fgColor rgb="FF89AA4E"/>
        <bgColor indexed="64"/>
      </patternFill>
    </fill>
    <fill>
      <patternFill patternType="solid">
        <fgColor rgb="FF88AC4A"/>
        <bgColor indexed="64"/>
      </patternFill>
    </fill>
    <fill>
      <patternFill patternType="solid">
        <fgColor rgb="FF8FBB53"/>
        <bgColor indexed="64"/>
      </patternFill>
    </fill>
    <fill>
      <patternFill patternType="solid">
        <fgColor rgb="FF85B453"/>
        <bgColor indexed="64"/>
      </patternFill>
    </fill>
    <fill>
      <patternFill patternType="solid">
        <fgColor rgb="FF7DAC4E"/>
        <bgColor indexed="64"/>
      </patternFill>
    </fill>
    <fill>
      <patternFill patternType="solid">
        <fgColor rgb="FF7AAA49"/>
        <bgColor indexed="64"/>
      </patternFill>
    </fill>
    <fill>
      <patternFill patternType="solid">
        <fgColor rgb="FF7CAA49"/>
        <bgColor indexed="64"/>
      </patternFill>
    </fill>
    <fill>
      <patternFill patternType="solid">
        <fgColor rgb="FF77A547"/>
        <bgColor indexed="64"/>
      </patternFill>
    </fill>
    <fill>
      <patternFill patternType="solid">
        <fgColor rgb="FF78A545"/>
        <bgColor indexed="64"/>
      </patternFill>
    </fill>
    <fill>
      <patternFill patternType="solid">
        <fgColor rgb="FF7AA748"/>
        <bgColor indexed="64"/>
      </patternFill>
    </fill>
    <fill>
      <patternFill patternType="solid">
        <fgColor rgb="FF7AA847"/>
        <bgColor indexed="64"/>
      </patternFill>
    </fill>
    <fill>
      <patternFill patternType="solid">
        <fgColor rgb="FF78A547"/>
        <bgColor indexed="64"/>
      </patternFill>
    </fill>
    <fill>
      <patternFill patternType="solid">
        <fgColor rgb="FFB5BE3D"/>
        <bgColor indexed="64"/>
      </patternFill>
    </fill>
    <fill>
      <patternFill patternType="solid">
        <fgColor rgb="FF839841"/>
        <bgColor indexed="64"/>
      </patternFill>
    </fill>
    <fill>
      <patternFill patternType="solid">
        <fgColor rgb="FF86B25A"/>
        <bgColor indexed="64"/>
      </patternFill>
    </fill>
    <fill>
      <patternFill patternType="solid">
        <fgColor rgb="FF8BB55A"/>
        <bgColor indexed="64"/>
      </patternFill>
    </fill>
    <fill>
      <patternFill patternType="solid">
        <fgColor rgb="FF8BB55F"/>
        <bgColor indexed="64"/>
      </patternFill>
    </fill>
    <fill>
      <patternFill patternType="solid">
        <fgColor rgb="FF89B25E"/>
        <bgColor indexed="64"/>
      </patternFill>
    </fill>
    <fill>
      <patternFill patternType="solid">
        <fgColor rgb="FF72914D"/>
        <bgColor indexed="64"/>
      </patternFill>
    </fill>
    <fill>
      <patternFill patternType="solid">
        <fgColor rgb="FF74984C"/>
        <bgColor indexed="64"/>
      </patternFill>
    </fill>
    <fill>
      <patternFill patternType="solid">
        <fgColor rgb="FF659040"/>
        <bgColor indexed="64"/>
      </patternFill>
    </fill>
    <fill>
      <patternFill patternType="solid">
        <fgColor rgb="FF6B4D46"/>
        <bgColor indexed="64"/>
      </patternFill>
    </fill>
    <fill>
      <patternFill patternType="solid">
        <fgColor rgb="FF453832"/>
        <bgColor indexed="64"/>
      </patternFill>
    </fill>
    <fill>
      <patternFill patternType="solid">
        <fgColor rgb="FF6A7646"/>
        <bgColor indexed="64"/>
      </patternFill>
    </fill>
    <fill>
      <patternFill patternType="solid">
        <fgColor rgb="FF86855A"/>
        <bgColor indexed="64"/>
      </patternFill>
    </fill>
    <fill>
      <patternFill patternType="solid">
        <fgColor rgb="FF8CBB58"/>
        <bgColor indexed="64"/>
      </patternFill>
    </fill>
    <fill>
      <patternFill patternType="solid">
        <fgColor rgb="FF88B455"/>
        <bgColor indexed="64"/>
      </patternFill>
    </fill>
    <fill>
      <patternFill patternType="solid">
        <fgColor rgb="FF84B053"/>
        <bgColor indexed="64"/>
      </patternFill>
    </fill>
    <fill>
      <patternFill patternType="solid">
        <fgColor rgb="FF7BAA4A"/>
        <bgColor indexed="64"/>
      </patternFill>
    </fill>
    <fill>
      <patternFill patternType="solid">
        <fgColor rgb="FF818B30"/>
        <bgColor indexed="64"/>
      </patternFill>
    </fill>
    <fill>
      <patternFill patternType="solid">
        <fgColor rgb="FFABAD33"/>
        <bgColor indexed="64"/>
      </patternFill>
    </fill>
    <fill>
      <patternFill patternType="solid">
        <fgColor rgb="FF669442"/>
        <bgColor indexed="64"/>
      </patternFill>
    </fill>
    <fill>
      <patternFill patternType="solid">
        <fgColor rgb="FF7AAB48"/>
        <bgColor indexed="64"/>
      </patternFill>
    </fill>
    <fill>
      <patternFill patternType="solid">
        <fgColor rgb="FF7AAB44"/>
        <bgColor indexed="64"/>
      </patternFill>
    </fill>
    <fill>
      <patternFill patternType="solid">
        <fgColor rgb="FF7CAD44"/>
        <bgColor indexed="64"/>
      </patternFill>
    </fill>
    <fill>
      <patternFill patternType="solid">
        <fgColor rgb="FF7CAE43"/>
        <bgColor indexed="64"/>
      </patternFill>
    </fill>
    <fill>
      <patternFill patternType="solid">
        <fgColor rgb="FF83B747"/>
        <bgColor indexed="64"/>
      </patternFill>
    </fill>
    <fill>
      <patternFill patternType="solid">
        <fgColor rgb="FF709D42"/>
        <bgColor indexed="64"/>
      </patternFill>
    </fill>
    <fill>
      <patternFill patternType="solid">
        <fgColor rgb="FF6D9740"/>
        <bgColor indexed="64"/>
      </patternFill>
    </fill>
    <fill>
      <patternFill patternType="solid">
        <fgColor rgb="FF80B444"/>
        <bgColor indexed="64"/>
      </patternFill>
    </fill>
    <fill>
      <patternFill patternType="solid">
        <fgColor rgb="FF638F3F"/>
        <bgColor indexed="64"/>
      </patternFill>
    </fill>
    <fill>
      <patternFill patternType="solid">
        <fgColor rgb="FF181B10"/>
        <bgColor indexed="64"/>
      </patternFill>
    </fill>
    <fill>
      <patternFill patternType="solid">
        <fgColor rgb="FF544D19"/>
        <bgColor indexed="64"/>
      </patternFill>
    </fill>
    <fill>
      <patternFill patternType="solid">
        <fgColor rgb="FF6D8430"/>
        <bgColor indexed="64"/>
      </patternFill>
    </fill>
    <fill>
      <patternFill patternType="solid">
        <fgColor rgb="FF72A745"/>
        <bgColor indexed="64"/>
      </patternFill>
    </fill>
    <fill>
      <patternFill patternType="solid">
        <fgColor rgb="FF77A946"/>
        <bgColor indexed="64"/>
      </patternFill>
    </fill>
    <fill>
      <patternFill patternType="solid">
        <fgColor rgb="FF77AB48"/>
        <bgColor indexed="64"/>
      </patternFill>
    </fill>
    <fill>
      <patternFill patternType="solid">
        <fgColor rgb="FF77AA4A"/>
        <bgColor indexed="64"/>
      </patternFill>
    </fill>
    <fill>
      <patternFill patternType="solid">
        <fgColor rgb="FF78A949"/>
        <bgColor indexed="64"/>
      </patternFill>
    </fill>
    <fill>
      <patternFill patternType="solid">
        <fgColor rgb="FF76A849"/>
        <bgColor indexed="64"/>
      </patternFill>
    </fill>
    <fill>
      <patternFill patternType="solid">
        <fgColor rgb="FF74A746"/>
        <bgColor indexed="64"/>
      </patternFill>
    </fill>
    <fill>
      <patternFill patternType="solid">
        <fgColor rgb="FF73A749"/>
        <bgColor indexed="64"/>
      </patternFill>
    </fill>
    <fill>
      <patternFill patternType="solid">
        <fgColor rgb="FF70A746"/>
        <bgColor indexed="64"/>
      </patternFill>
    </fill>
    <fill>
      <patternFill patternType="solid">
        <fgColor rgb="FF6FA546"/>
        <bgColor indexed="64"/>
      </patternFill>
    </fill>
    <fill>
      <patternFill patternType="solid">
        <fgColor rgb="FF73A946"/>
        <bgColor indexed="64"/>
      </patternFill>
    </fill>
    <fill>
      <patternFill patternType="solid">
        <fgColor rgb="FF689C49"/>
        <bgColor indexed="64"/>
      </patternFill>
    </fill>
    <fill>
      <patternFill patternType="solid">
        <fgColor rgb="FF959E33"/>
        <bgColor indexed="64"/>
      </patternFill>
    </fill>
    <fill>
      <patternFill patternType="solid">
        <fgColor rgb="FF98A430"/>
        <bgColor indexed="64"/>
      </patternFill>
    </fill>
    <fill>
      <patternFill patternType="solid">
        <fgColor rgb="FF74AA51"/>
        <bgColor indexed="64"/>
      </patternFill>
    </fill>
    <fill>
      <patternFill patternType="solid">
        <fgColor rgb="FF7EB363"/>
        <bgColor indexed="64"/>
      </patternFill>
    </fill>
    <fill>
      <patternFill patternType="solid">
        <fgColor rgb="FF7FB062"/>
        <bgColor indexed="64"/>
      </patternFill>
    </fill>
    <fill>
      <patternFill patternType="solid">
        <fgColor rgb="FF80B266"/>
        <bgColor indexed="64"/>
      </patternFill>
    </fill>
    <fill>
      <patternFill patternType="solid">
        <fgColor rgb="FF71A060"/>
        <bgColor indexed="64"/>
      </patternFill>
    </fill>
    <fill>
      <patternFill patternType="solid">
        <fgColor rgb="FF4A6141"/>
        <bgColor indexed="64"/>
      </patternFill>
    </fill>
    <fill>
      <patternFill patternType="solid">
        <fgColor rgb="FF594A5A"/>
        <bgColor indexed="64"/>
      </patternFill>
    </fill>
    <fill>
      <patternFill patternType="solid">
        <fgColor rgb="FFCC5277"/>
        <bgColor indexed="64"/>
      </patternFill>
    </fill>
    <fill>
      <patternFill patternType="solid">
        <fgColor rgb="FFF4719B"/>
        <bgColor indexed="64"/>
      </patternFill>
    </fill>
    <fill>
      <patternFill patternType="solid">
        <fgColor rgb="FFB65D61"/>
        <bgColor indexed="64"/>
      </patternFill>
    </fill>
    <fill>
      <patternFill patternType="solid">
        <fgColor rgb="FF6B3B3B"/>
        <bgColor indexed="64"/>
      </patternFill>
    </fill>
    <fill>
      <patternFill patternType="solid">
        <fgColor rgb="FF5A4736"/>
        <bgColor indexed="64"/>
      </patternFill>
    </fill>
    <fill>
      <patternFill patternType="solid">
        <fgColor rgb="FF658A3B"/>
        <bgColor indexed="64"/>
      </patternFill>
    </fill>
    <fill>
      <patternFill patternType="solid">
        <fgColor rgb="FF68923F"/>
        <bgColor indexed="64"/>
      </patternFill>
    </fill>
    <fill>
      <patternFill patternType="solid">
        <fgColor rgb="FF4A5528"/>
        <bgColor indexed="64"/>
      </patternFill>
    </fill>
    <fill>
      <patternFill patternType="solid">
        <fgColor rgb="FF69512F"/>
        <bgColor indexed="64"/>
      </patternFill>
    </fill>
    <fill>
      <patternFill patternType="solid">
        <fgColor rgb="FF85703C"/>
        <bgColor indexed="64"/>
      </patternFill>
    </fill>
    <fill>
      <patternFill patternType="solid">
        <fgColor rgb="FF8F6F4F"/>
        <bgColor indexed="64"/>
      </patternFill>
    </fill>
    <fill>
      <patternFill patternType="solid">
        <fgColor rgb="FF9C7D60"/>
        <bgColor indexed="64"/>
      </patternFill>
    </fill>
    <fill>
      <patternFill patternType="solid">
        <fgColor rgb="FF8C7658"/>
        <bgColor indexed="64"/>
      </patternFill>
    </fill>
    <fill>
      <patternFill patternType="solid">
        <fgColor rgb="FF72703E"/>
        <bgColor indexed="64"/>
      </patternFill>
    </fill>
    <fill>
      <patternFill patternType="solid">
        <fgColor rgb="FF607C3E"/>
        <bgColor indexed="64"/>
      </patternFill>
    </fill>
    <fill>
      <patternFill patternType="solid">
        <fgColor rgb="FF638644"/>
        <bgColor indexed="64"/>
      </patternFill>
    </fill>
    <fill>
      <patternFill patternType="solid">
        <fgColor rgb="FF678B43"/>
        <bgColor indexed="64"/>
      </patternFill>
    </fill>
    <fill>
      <patternFill patternType="solid">
        <fgColor rgb="FF58662A"/>
        <bgColor indexed="64"/>
      </patternFill>
    </fill>
    <fill>
      <patternFill patternType="solid">
        <fgColor rgb="FFFEF038"/>
        <bgColor indexed="64"/>
      </patternFill>
    </fill>
    <fill>
      <patternFill patternType="solid">
        <fgColor rgb="FFCCC232"/>
        <bgColor indexed="64"/>
      </patternFill>
    </fill>
    <fill>
      <patternFill patternType="solid">
        <fgColor rgb="FF5D7940"/>
        <bgColor indexed="64"/>
      </patternFill>
    </fill>
    <fill>
      <patternFill patternType="solid">
        <fgColor rgb="FF93C15A"/>
        <bgColor indexed="64"/>
      </patternFill>
    </fill>
    <fill>
      <patternFill patternType="solid">
        <fgColor rgb="FF8BB756"/>
        <bgColor indexed="64"/>
      </patternFill>
    </fill>
    <fill>
      <patternFill patternType="solid">
        <fgColor rgb="FF84B252"/>
        <bgColor indexed="64"/>
      </patternFill>
    </fill>
    <fill>
      <patternFill patternType="solid">
        <fgColor rgb="FF7EAB4C"/>
        <bgColor indexed="64"/>
      </patternFill>
    </fill>
    <fill>
      <patternFill patternType="solid">
        <fgColor rgb="FF7FAC4B"/>
        <bgColor indexed="64"/>
      </patternFill>
    </fill>
    <fill>
      <patternFill patternType="solid">
        <fgColor rgb="FF80AC49"/>
        <bgColor indexed="64"/>
      </patternFill>
    </fill>
    <fill>
      <patternFill patternType="solid">
        <fgColor rgb="FF7FAC4A"/>
        <bgColor indexed="64"/>
      </patternFill>
    </fill>
    <fill>
      <patternFill patternType="solid">
        <fgColor rgb="FF83AE4D"/>
        <bgColor indexed="64"/>
      </patternFill>
    </fill>
    <fill>
      <patternFill patternType="solid">
        <fgColor rgb="FF77A544"/>
        <bgColor indexed="64"/>
      </patternFill>
    </fill>
    <fill>
      <patternFill patternType="solid">
        <fgColor rgb="FF7AA946"/>
        <bgColor indexed="64"/>
      </patternFill>
    </fill>
    <fill>
      <patternFill patternType="solid">
        <fgColor rgb="FF84AE49"/>
        <bgColor indexed="64"/>
      </patternFill>
    </fill>
    <fill>
      <patternFill patternType="solid">
        <fgColor rgb="FF7D832C"/>
        <bgColor indexed="64"/>
      </patternFill>
    </fill>
    <fill>
      <patternFill patternType="solid">
        <fgColor rgb="FF7A9649"/>
        <bgColor indexed="64"/>
      </patternFill>
    </fill>
    <fill>
      <patternFill patternType="solid">
        <fgColor rgb="FF8CB95C"/>
        <bgColor indexed="64"/>
      </patternFill>
    </fill>
    <fill>
      <patternFill patternType="solid">
        <fgColor rgb="FF89B459"/>
        <bgColor indexed="64"/>
      </patternFill>
    </fill>
    <fill>
      <patternFill patternType="solid">
        <fgColor rgb="FF8BB660"/>
        <bgColor indexed="64"/>
      </patternFill>
    </fill>
    <fill>
      <patternFill patternType="solid">
        <fgColor rgb="FF89B45C"/>
        <bgColor indexed="64"/>
      </patternFill>
    </fill>
    <fill>
      <patternFill patternType="solid">
        <fgColor rgb="FF88B35A"/>
        <bgColor indexed="64"/>
      </patternFill>
    </fill>
    <fill>
      <patternFill patternType="solid">
        <fgColor rgb="FF83AE54"/>
        <bgColor indexed="64"/>
      </patternFill>
    </fill>
    <fill>
      <patternFill patternType="solid">
        <fgColor rgb="FF7DA650"/>
        <bgColor indexed="64"/>
      </patternFill>
    </fill>
    <fill>
      <patternFill patternType="solid">
        <fgColor rgb="FF699343"/>
        <bgColor indexed="64"/>
      </patternFill>
    </fill>
    <fill>
      <patternFill patternType="solid">
        <fgColor rgb="FF4E521A"/>
        <bgColor indexed="64"/>
      </patternFill>
    </fill>
    <fill>
      <patternFill patternType="solid">
        <fgColor rgb="FF698341"/>
        <bgColor indexed="64"/>
      </patternFill>
    </fill>
    <fill>
      <patternFill patternType="solid">
        <fgColor rgb="FF86B35E"/>
        <bgColor indexed="64"/>
      </patternFill>
    </fill>
    <fill>
      <patternFill patternType="solid">
        <fgColor rgb="FF87B156"/>
        <bgColor indexed="64"/>
      </patternFill>
    </fill>
    <fill>
      <patternFill patternType="solid">
        <fgColor rgb="FF87B554"/>
        <bgColor indexed="64"/>
      </patternFill>
    </fill>
    <fill>
      <patternFill patternType="solid">
        <fgColor rgb="FF84B452"/>
        <bgColor indexed="64"/>
      </patternFill>
    </fill>
    <fill>
      <patternFill patternType="solid">
        <fgColor rgb="FF7AA94A"/>
        <bgColor indexed="64"/>
      </patternFill>
    </fill>
    <fill>
      <patternFill patternType="solid">
        <fgColor rgb="FF74A54A"/>
        <bgColor indexed="64"/>
      </patternFill>
    </fill>
    <fill>
      <patternFill patternType="solid">
        <fgColor rgb="FF687029"/>
        <bgColor indexed="64"/>
      </patternFill>
    </fill>
    <fill>
      <patternFill patternType="solid">
        <fgColor rgb="FF9A9D31"/>
        <bgColor indexed="64"/>
      </patternFill>
    </fill>
    <fill>
      <patternFill patternType="solid">
        <fgColor rgb="FF6C9842"/>
        <bgColor indexed="64"/>
      </patternFill>
    </fill>
    <fill>
      <patternFill patternType="solid">
        <fgColor rgb="FF7CAC46"/>
        <bgColor indexed="64"/>
      </patternFill>
    </fill>
    <fill>
      <patternFill patternType="solid">
        <fgColor rgb="FF77A743"/>
        <bgColor indexed="64"/>
      </patternFill>
    </fill>
    <fill>
      <patternFill patternType="solid">
        <fgColor rgb="FF6D9E3D"/>
        <bgColor indexed="64"/>
      </patternFill>
    </fill>
    <fill>
      <patternFill patternType="solid">
        <fgColor rgb="FF78AB43"/>
        <bgColor indexed="64"/>
      </patternFill>
    </fill>
    <fill>
      <patternFill patternType="solid">
        <fgColor rgb="FF729F40"/>
        <bgColor indexed="64"/>
      </patternFill>
    </fill>
    <fill>
      <patternFill patternType="solid">
        <fgColor rgb="FF6F9A3B"/>
        <bgColor indexed="64"/>
      </patternFill>
    </fill>
    <fill>
      <patternFill patternType="solid">
        <fgColor rgb="FF6F8A35"/>
        <bgColor indexed="64"/>
      </patternFill>
    </fill>
    <fill>
      <patternFill patternType="solid">
        <fgColor rgb="FF708634"/>
        <bgColor indexed="64"/>
      </patternFill>
    </fill>
    <fill>
      <patternFill patternType="solid">
        <fgColor rgb="FF7DB448"/>
        <bgColor indexed="64"/>
      </patternFill>
    </fill>
    <fill>
      <patternFill patternType="solid">
        <fgColor rgb="FF587A38"/>
        <bgColor indexed="64"/>
      </patternFill>
    </fill>
    <fill>
      <patternFill patternType="solid">
        <fgColor rgb="FF1E1C0D"/>
        <bgColor indexed="64"/>
      </patternFill>
    </fill>
    <fill>
      <patternFill patternType="solid">
        <fgColor rgb="FF2F2A0E"/>
        <bgColor indexed="64"/>
      </patternFill>
    </fill>
    <fill>
      <patternFill patternType="solid">
        <fgColor rgb="FF55732C"/>
        <bgColor indexed="64"/>
      </patternFill>
    </fill>
    <fill>
      <patternFill patternType="solid">
        <fgColor rgb="FF7AB14A"/>
        <bgColor indexed="64"/>
      </patternFill>
    </fill>
    <fill>
      <patternFill patternType="solid">
        <fgColor rgb="FF73A846"/>
        <bgColor indexed="64"/>
      </patternFill>
    </fill>
    <fill>
      <patternFill patternType="solid">
        <fgColor rgb="FF78AB4A"/>
        <bgColor indexed="64"/>
      </patternFill>
    </fill>
    <fill>
      <patternFill patternType="solid">
        <fgColor rgb="FF78AA4B"/>
        <bgColor indexed="64"/>
      </patternFill>
    </fill>
    <fill>
      <patternFill patternType="solid">
        <fgColor rgb="FF77A846"/>
        <bgColor indexed="64"/>
      </patternFill>
    </fill>
    <fill>
      <patternFill patternType="solid">
        <fgColor rgb="FF74A647"/>
        <bgColor indexed="64"/>
      </patternFill>
    </fill>
    <fill>
      <patternFill patternType="solid">
        <fgColor rgb="FF75A842"/>
        <bgColor indexed="64"/>
      </patternFill>
    </fill>
    <fill>
      <patternFill patternType="solid">
        <fgColor rgb="FF72A546"/>
        <bgColor indexed="64"/>
      </patternFill>
    </fill>
    <fill>
      <patternFill patternType="solid">
        <fgColor rgb="FF6FA544"/>
        <bgColor indexed="64"/>
      </patternFill>
    </fill>
    <fill>
      <patternFill patternType="solid">
        <fgColor rgb="FF6FA445"/>
        <bgColor indexed="64"/>
      </patternFill>
    </fill>
    <fill>
      <patternFill patternType="solid">
        <fgColor rgb="FF73A944"/>
        <bgColor indexed="64"/>
      </patternFill>
    </fill>
    <fill>
      <patternFill patternType="solid">
        <fgColor rgb="FF6FA346"/>
        <bgColor indexed="64"/>
      </patternFill>
    </fill>
    <fill>
      <patternFill patternType="solid">
        <fgColor rgb="FF6EA649"/>
        <bgColor indexed="64"/>
      </patternFill>
    </fill>
    <fill>
      <patternFill patternType="solid">
        <fgColor rgb="FF5E8D3F"/>
        <bgColor indexed="64"/>
      </patternFill>
    </fill>
    <fill>
      <patternFill patternType="solid">
        <fgColor rgb="FFC0C131"/>
        <bgColor indexed="64"/>
      </patternFill>
    </fill>
    <fill>
      <patternFill patternType="solid">
        <fgColor rgb="FF8CA733"/>
        <bgColor indexed="64"/>
      </patternFill>
    </fill>
    <fill>
      <patternFill patternType="solid">
        <fgColor rgb="FF76AC5A"/>
        <bgColor indexed="64"/>
      </patternFill>
    </fill>
    <fill>
      <patternFill patternType="solid">
        <fgColor rgb="FF7DB160"/>
        <bgColor indexed="64"/>
      </patternFill>
    </fill>
    <fill>
      <patternFill patternType="solid">
        <fgColor rgb="FF7EB160"/>
        <bgColor indexed="64"/>
      </patternFill>
    </fill>
    <fill>
      <patternFill patternType="solid">
        <fgColor rgb="FF83B66D"/>
        <bgColor indexed="64"/>
      </patternFill>
    </fill>
    <fill>
      <patternFill patternType="solid">
        <fgColor rgb="FF4A6E41"/>
        <bgColor indexed="64"/>
      </patternFill>
    </fill>
    <fill>
      <patternFill patternType="solid">
        <fgColor rgb="FF464141"/>
        <bgColor indexed="64"/>
      </patternFill>
    </fill>
    <fill>
      <patternFill patternType="solid">
        <fgColor rgb="FF724F7D"/>
        <bgColor indexed="64"/>
      </patternFill>
    </fill>
    <fill>
      <patternFill patternType="solid">
        <fgColor rgb="FF707041"/>
        <bgColor indexed="64"/>
      </patternFill>
    </fill>
    <fill>
      <patternFill patternType="solid">
        <fgColor rgb="FF758248"/>
        <bgColor indexed="64"/>
      </patternFill>
    </fill>
    <fill>
      <patternFill patternType="solid">
        <fgColor rgb="FF898E3E"/>
        <bgColor indexed="64"/>
      </patternFill>
    </fill>
    <fill>
      <patternFill patternType="solid">
        <fgColor rgb="FF6C7B2D"/>
        <bgColor indexed="64"/>
      </patternFill>
    </fill>
    <fill>
      <patternFill patternType="solid">
        <fgColor rgb="FF507831"/>
        <bgColor indexed="64"/>
      </patternFill>
    </fill>
    <fill>
      <patternFill patternType="solid">
        <fgColor rgb="FF65873B"/>
        <bgColor indexed="64"/>
      </patternFill>
    </fill>
    <fill>
      <patternFill patternType="solid">
        <fgColor rgb="FF688D3B"/>
        <bgColor indexed="64"/>
      </patternFill>
    </fill>
    <fill>
      <patternFill patternType="solid">
        <fgColor rgb="FF6A923B"/>
        <bgColor indexed="64"/>
      </patternFill>
    </fill>
    <fill>
      <patternFill patternType="solid">
        <fgColor rgb="FF6D9A3D"/>
        <bgColor indexed="64"/>
      </patternFill>
    </fill>
    <fill>
      <patternFill patternType="solid">
        <fgColor rgb="FF73A541"/>
        <bgColor indexed="64"/>
      </patternFill>
    </fill>
    <fill>
      <patternFill patternType="solid">
        <fgColor rgb="FF77AA42"/>
        <bgColor indexed="64"/>
      </patternFill>
    </fill>
    <fill>
      <patternFill patternType="solid">
        <fgColor rgb="FF75AD3D"/>
        <bgColor indexed="64"/>
      </patternFill>
    </fill>
    <fill>
      <patternFill patternType="solid">
        <fgColor rgb="FF77AE41"/>
        <bgColor indexed="64"/>
      </patternFill>
    </fill>
    <fill>
      <patternFill patternType="solid">
        <fgColor rgb="FF7AB044"/>
        <bgColor indexed="64"/>
      </patternFill>
    </fill>
    <fill>
      <patternFill patternType="solid">
        <fgColor rgb="FF80B048"/>
        <bgColor indexed="64"/>
      </patternFill>
    </fill>
    <fill>
      <patternFill patternType="solid">
        <fgColor rgb="FF86B347"/>
        <bgColor indexed="64"/>
      </patternFill>
    </fill>
    <fill>
      <patternFill patternType="solid">
        <fgColor rgb="FF729F43"/>
        <bgColor indexed="64"/>
      </patternFill>
    </fill>
    <fill>
      <patternFill patternType="solid">
        <fgColor rgb="FF80832D"/>
        <bgColor indexed="64"/>
      </patternFill>
    </fill>
    <fill>
      <patternFill patternType="solid">
        <fgColor rgb="FFDED133"/>
        <bgColor indexed="64"/>
      </patternFill>
    </fill>
    <fill>
      <patternFill patternType="solid">
        <fgColor rgb="FFC0B934"/>
        <bgColor indexed="64"/>
      </patternFill>
    </fill>
    <fill>
      <patternFill patternType="solid">
        <fgColor rgb="FF5D7A3F"/>
        <bgColor indexed="64"/>
      </patternFill>
    </fill>
    <fill>
      <patternFill patternType="solid">
        <fgColor rgb="FF88B44E"/>
        <bgColor indexed="64"/>
      </patternFill>
    </fill>
    <fill>
      <patternFill patternType="solid">
        <fgColor rgb="FF7FA949"/>
        <bgColor indexed="64"/>
      </patternFill>
    </fill>
    <fill>
      <patternFill patternType="solid">
        <fgColor rgb="FF7FAA48"/>
        <bgColor indexed="64"/>
      </patternFill>
    </fill>
    <fill>
      <patternFill patternType="solid">
        <fgColor rgb="FF7DA949"/>
        <bgColor indexed="64"/>
      </patternFill>
    </fill>
    <fill>
      <patternFill patternType="solid">
        <fgColor rgb="FF7EAC47"/>
        <bgColor indexed="64"/>
      </patternFill>
    </fill>
    <fill>
      <patternFill patternType="solid">
        <fgColor rgb="FF80AC47"/>
        <bgColor indexed="64"/>
      </patternFill>
    </fill>
    <fill>
      <patternFill patternType="solid">
        <fgColor rgb="FF81AE4A"/>
        <bgColor indexed="64"/>
      </patternFill>
    </fill>
    <fill>
      <patternFill patternType="solid">
        <fgColor rgb="FF84B04C"/>
        <bgColor indexed="64"/>
      </patternFill>
    </fill>
    <fill>
      <patternFill patternType="solid">
        <fgColor rgb="FF7CA944"/>
        <bgColor indexed="64"/>
      </patternFill>
    </fill>
    <fill>
      <patternFill patternType="solid">
        <fgColor rgb="FF77A941"/>
        <bgColor indexed="64"/>
      </patternFill>
    </fill>
    <fill>
      <patternFill patternType="solid">
        <fgColor rgb="FF79A645"/>
        <bgColor indexed="64"/>
      </patternFill>
    </fill>
    <fill>
      <patternFill patternType="solid">
        <fgColor rgb="FF7EAC4A"/>
        <bgColor indexed="64"/>
      </patternFill>
    </fill>
    <fill>
      <patternFill patternType="solid">
        <fgColor rgb="FF86AE4A"/>
        <bgColor indexed="64"/>
      </patternFill>
    </fill>
    <fill>
      <patternFill patternType="solid">
        <fgColor rgb="FF5B6220"/>
        <bgColor indexed="64"/>
      </patternFill>
    </fill>
    <fill>
      <patternFill patternType="solid">
        <fgColor rgb="FF77984B"/>
        <bgColor indexed="64"/>
      </patternFill>
    </fill>
    <fill>
      <patternFill patternType="solid">
        <fgColor rgb="FF8CB95B"/>
        <bgColor indexed="64"/>
      </patternFill>
    </fill>
    <fill>
      <patternFill patternType="solid">
        <fgColor rgb="FF84AE54"/>
        <bgColor indexed="64"/>
      </patternFill>
    </fill>
    <fill>
      <patternFill patternType="solid">
        <fgColor rgb="FF88B15A"/>
        <bgColor indexed="64"/>
      </patternFill>
    </fill>
    <fill>
      <patternFill patternType="solid">
        <fgColor rgb="FF85B155"/>
        <bgColor indexed="64"/>
      </patternFill>
    </fill>
    <fill>
      <patternFill patternType="solid">
        <fgColor rgb="FF7FAB51"/>
        <bgColor indexed="64"/>
      </patternFill>
    </fill>
    <fill>
      <patternFill patternType="solid">
        <fgColor rgb="FF729D4A"/>
        <bgColor indexed="64"/>
      </patternFill>
    </fill>
    <fill>
      <patternFill patternType="solid">
        <fgColor rgb="FFA6A537"/>
        <bgColor indexed="64"/>
      </patternFill>
    </fill>
    <fill>
      <patternFill patternType="solid">
        <fgColor rgb="FF839944"/>
        <bgColor indexed="64"/>
      </patternFill>
    </fill>
    <fill>
      <patternFill patternType="solid">
        <fgColor rgb="FF87B358"/>
        <bgColor indexed="64"/>
      </patternFill>
    </fill>
    <fill>
      <patternFill patternType="solid">
        <fgColor rgb="FF8AB65A"/>
        <bgColor indexed="64"/>
      </patternFill>
    </fill>
    <fill>
      <patternFill patternType="solid">
        <fgColor rgb="FF84B253"/>
        <bgColor indexed="64"/>
      </patternFill>
    </fill>
    <fill>
      <patternFill patternType="solid">
        <fgColor rgb="FF79A946"/>
        <bgColor indexed="64"/>
      </patternFill>
    </fill>
    <fill>
      <patternFill patternType="solid">
        <fgColor rgb="FF75A648"/>
        <bgColor indexed="64"/>
      </patternFill>
    </fill>
    <fill>
      <patternFill patternType="solid">
        <fgColor rgb="FF475020"/>
        <bgColor indexed="64"/>
      </patternFill>
    </fill>
    <fill>
      <patternFill patternType="solid">
        <fgColor rgb="FF77782D"/>
        <bgColor indexed="64"/>
      </patternFill>
    </fill>
    <fill>
      <patternFill patternType="solid">
        <fgColor rgb="FF6D9842"/>
        <bgColor indexed="64"/>
      </patternFill>
    </fill>
    <fill>
      <patternFill patternType="solid">
        <fgColor rgb="FF75A847"/>
        <bgColor indexed="64"/>
      </patternFill>
    </fill>
    <fill>
      <patternFill patternType="solid">
        <fgColor rgb="FF5E742D"/>
        <bgColor indexed="64"/>
      </patternFill>
    </fill>
    <fill>
      <patternFill patternType="solid">
        <fgColor rgb="FF81902F"/>
        <bgColor indexed="64"/>
      </patternFill>
    </fill>
    <fill>
      <patternFill patternType="solid">
        <fgColor rgb="FF8B912F"/>
        <bgColor indexed="64"/>
      </patternFill>
    </fill>
    <fill>
      <patternFill patternType="solid">
        <fgColor rgb="FFC0BA2E"/>
        <bgColor indexed="64"/>
      </patternFill>
    </fill>
    <fill>
      <patternFill patternType="solid">
        <fgColor rgb="FFC8C830"/>
        <bgColor indexed="64"/>
      </patternFill>
    </fill>
    <fill>
      <patternFill patternType="solid">
        <fgColor rgb="FF769834"/>
        <bgColor indexed="64"/>
      </patternFill>
    </fill>
    <fill>
      <patternFill patternType="solid">
        <fgColor rgb="FF72A645"/>
        <bgColor indexed="64"/>
      </patternFill>
    </fill>
    <fill>
      <patternFill patternType="solid">
        <fgColor rgb="FF798A35"/>
        <bgColor indexed="64"/>
      </patternFill>
    </fill>
    <fill>
      <patternFill patternType="solid">
        <fgColor rgb="FF4D4518"/>
        <bgColor indexed="64"/>
      </patternFill>
    </fill>
    <fill>
      <patternFill patternType="solid">
        <fgColor rgb="FF282C0E"/>
        <bgColor indexed="64"/>
      </patternFill>
    </fill>
    <fill>
      <patternFill patternType="solid">
        <fgColor rgb="FF668E37"/>
        <bgColor indexed="64"/>
      </patternFill>
    </fill>
    <fill>
      <patternFill patternType="solid">
        <fgColor rgb="FF7AAF46"/>
        <bgColor indexed="64"/>
      </patternFill>
    </fill>
    <fill>
      <patternFill patternType="solid">
        <fgColor rgb="FF76A948"/>
        <bgColor indexed="64"/>
      </patternFill>
    </fill>
    <fill>
      <patternFill patternType="solid">
        <fgColor rgb="FF74A644"/>
        <bgColor indexed="64"/>
      </patternFill>
    </fill>
    <fill>
      <patternFill patternType="solid">
        <fgColor rgb="FF73A644"/>
        <bgColor indexed="64"/>
      </patternFill>
    </fill>
    <fill>
      <patternFill patternType="solid">
        <fgColor rgb="FF75A942"/>
        <bgColor indexed="64"/>
      </patternFill>
    </fill>
    <fill>
      <patternFill patternType="solid">
        <fgColor rgb="FF70A444"/>
        <bgColor indexed="64"/>
      </patternFill>
    </fill>
    <fill>
      <patternFill patternType="solid">
        <fgColor rgb="FF6EA246"/>
        <bgColor indexed="64"/>
      </patternFill>
    </fill>
    <fill>
      <patternFill patternType="solid">
        <fgColor rgb="FF6EA243"/>
        <bgColor indexed="64"/>
      </patternFill>
    </fill>
    <fill>
      <patternFill patternType="solid">
        <fgColor rgb="FF6FA545"/>
        <bgColor indexed="64"/>
      </patternFill>
    </fill>
    <fill>
      <patternFill patternType="solid">
        <fgColor rgb="FF6CA143"/>
        <bgColor indexed="64"/>
      </patternFill>
    </fill>
    <fill>
      <patternFill patternType="solid">
        <fgColor rgb="FF68A144"/>
        <bgColor indexed="64"/>
      </patternFill>
    </fill>
    <fill>
      <patternFill patternType="solid">
        <fgColor rgb="FF719839"/>
        <bgColor indexed="64"/>
      </patternFill>
    </fill>
    <fill>
      <patternFill patternType="solid">
        <fgColor rgb="FFC8C730"/>
        <bgColor indexed="64"/>
      </patternFill>
    </fill>
    <fill>
      <patternFill patternType="solid">
        <fgColor rgb="FF749B3F"/>
        <bgColor indexed="64"/>
      </patternFill>
    </fill>
    <fill>
      <patternFill patternType="solid">
        <fgColor rgb="FF7DB25E"/>
        <bgColor indexed="64"/>
      </patternFill>
    </fill>
    <fill>
      <patternFill patternType="solid">
        <fgColor rgb="FF7BAD62"/>
        <bgColor indexed="64"/>
      </patternFill>
    </fill>
    <fill>
      <patternFill patternType="solid">
        <fgColor rgb="FF82B46A"/>
        <bgColor indexed="64"/>
      </patternFill>
    </fill>
    <fill>
      <patternFill patternType="solid">
        <fgColor rgb="FF6A805D"/>
        <bgColor indexed="64"/>
      </patternFill>
    </fill>
    <fill>
      <patternFill patternType="solid">
        <fgColor rgb="FF80637C"/>
        <bgColor indexed="64"/>
      </patternFill>
    </fill>
    <fill>
      <patternFill patternType="solid">
        <fgColor rgb="FF9F6FAB"/>
        <bgColor indexed="64"/>
      </patternFill>
    </fill>
    <fill>
      <patternFill patternType="solid">
        <fgColor rgb="FF956AAB"/>
        <bgColor indexed="64"/>
      </patternFill>
    </fill>
    <fill>
      <patternFill patternType="solid">
        <fgColor rgb="FF78AB40"/>
        <bgColor indexed="64"/>
      </patternFill>
    </fill>
    <fill>
      <patternFill patternType="solid">
        <fgColor rgb="FF78AD45"/>
        <bgColor indexed="64"/>
      </patternFill>
    </fill>
    <fill>
      <patternFill patternType="solid">
        <fgColor rgb="FF65832F"/>
        <bgColor indexed="64"/>
      </patternFill>
    </fill>
    <fill>
      <patternFill patternType="solid">
        <fgColor rgb="FF63782F"/>
        <bgColor indexed="64"/>
      </patternFill>
    </fill>
    <fill>
      <patternFill patternType="solid">
        <fgColor rgb="FF82B247"/>
        <bgColor indexed="64"/>
      </patternFill>
    </fill>
    <fill>
      <patternFill patternType="solid">
        <fgColor rgb="FF7BA741"/>
        <bgColor indexed="64"/>
      </patternFill>
    </fill>
    <fill>
      <patternFill patternType="solid">
        <fgColor rgb="FF7BA844"/>
        <bgColor indexed="64"/>
      </patternFill>
    </fill>
    <fill>
      <patternFill patternType="solid">
        <fgColor rgb="FF7CA744"/>
        <bgColor indexed="64"/>
      </patternFill>
    </fill>
    <fill>
      <patternFill patternType="solid">
        <fgColor rgb="FF7AA541"/>
        <bgColor indexed="64"/>
      </patternFill>
    </fill>
    <fill>
      <patternFill patternType="solid">
        <fgColor rgb="FF78A340"/>
        <bgColor indexed="64"/>
      </patternFill>
    </fill>
    <fill>
      <patternFill patternType="solid">
        <fgColor rgb="FF7AA441"/>
        <bgColor indexed="64"/>
      </patternFill>
    </fill>
    <fill>
      <patternFill patternType="solid">
        <fgColor rgb="FF7AA442"/>
        <bgColor indexed="64"/>
      </patternFill>
    </fill>
    <fill>
      <patternFill patternType="solid">
        <fgColor rgb="FF7BA745"/>
        <bgColor indexed="64"/>
      </patternFill>
    </fill>
    <fill>
      <patternFill patternType="solid">
        <fgColor rgb="FF78A644"/>
        <bgColor indexed="64"/>
      </patternFill>
    </fill>
    <fill>
      <patternFill patternType="solid">
        <fgColor rgb="FF77A742"/>
        <bgColor indexed="64"/>
      </patternFill>
    </fill>
    <fill>
      <patternFill patternType="solid">
        <fgColor rgb="FF7DAE43"/>
        <bgColor indexed="64"/>
      </patternFill>
    </fill>
    <fill>
      <patternFill patternType="solid">
        <fgColor rgb="FF6D933C"/>
        <bgColor indexed="64"/>
      </patternFill>
    </fill>
    <fill>
      <patternFill patternType="solid">
        <fgColor rgb="FF9B9530"/>
        <bgColor indexed="64"/>
      </patternFill>
    </fill>
    <fill>
      <patternFill patternType="solid">
        <fgColor rgb="FFBBAC2E"/>
        <bgColor indexed="64"/>
      </patternFill>
    </fill>
    <fill>
      <patternFill patternType="solid">
        <fgColor rgb="FFB9B52F"/>
        <bgColor indexed="64"/>
      </patternFill>
    </fill>
    <fill>
      <patternFill patternType="solid">
        <fgColor rgb="FF5B7A3A"/>
        <bgColor indexed="64"/>
      </patternFill>
    </fill>
    <fill>
      <patternFill patternType="solid">
        <fgColor rgb="FF8EBB50"/>
        <bgColor indexed="64"/>
      </patternFill>
    </fill>
    <fill>
      <patternFill patternType="solid">
        <fgColor rgb="FF7FAB49"/>
        <bgColor indexed="64"/>
      </patternFill>
    </fill>
    <fill>
      <patternFill patternType="solid">
        <fgColor rgb="FF80AB48"/>
        <bgColor indexed="64"/>
      </patternFill>
    </fill>
    <fill>
      <patternFill patternType="solid">
        <fgColor rgb="FF82AF4A"/>
        <bgColor indexed="64"/>
      </patternFill>
    </fill>
    <fill>
      <patternFill patternType="solid">
        <fgColor rgb="FF80AD4C"/>
        <bgColor indexed="64"/>
      </patternFill>
    </fill>
    <fill>
      <patternFill patternType="solid">
        <fgColor rgb="FF81AD4E"/>
        <bgColor indexed="64"/>
      </patternFill>
    </fill>
    <fill>
      <patternFill patternType="solid">
        <fgColor rgb="FF85B44D"/>
        <bgColor indexed="64"/>
      </patternFill>
    </fill>
    <fill>
      <patternFill patternType="solid">
        <fgColor rgb="FF80AD4A"/>
        <bgColor indexed="64"/>
      </patternFill>
    </fill>
    <fill>
      <patternFill patternType="solid">
        <fgColor rgb="FF80AE46"/>
        <bgColor indexed="64"/>
      </patternFill>
    </fill>
    <fill>
      <patternFill patternType="solid">
        <fgColor rgb="FF78A643"/>
        <bgColor indexed="64"/>
      </patternFill>
    </fill>
    <fill>
      <patternFill patternType="solid">
        <fgColor rgb="FF7DA947"/>
        <bgColor indexed="64"/>
      </patternFill>
    </fill>
    <fill>
      <patternFill patternType="solid">
        <fgColor rgb="FF88AC47"/>
        <bgColor indexed="64"/>
      </patternFill>
    </fill>
    <fill>
      <patternFill patternType="solid">
        <fgColor rgb="FFB5BB39"/>
        <bgColor indexed="64"/>
      </patternFill>
    </fill>
    <fill>
      <patternFill patternType="solid">
        <fgColor rgb="FF81A34E"/>
        <bgColor indexed="64"/>
      </patternFill>
    </fill>
    <fill>
      <patternFill patternType="solid">
        <fgColor rgb="FF80AC50"/>
        <bgColor indexed="64"/>
      </patternFill>
    </fill>
    <fill>
      <patternFill patternType="solid">
        <fgColor rgb="FF81AE53"/>
        <bgColor indexed="64"/>
      </patternFill>
    </fill>
    <fill>
      <patternFill patternType="solid">
        <fgColor rgb="FF7DAA4C"/>
        <bgColor indexed="64"/>
      </patternFill>
    </fill>
    <fill>
      <patternFill patternType="solid">
        <fgColor rgb="FF7BA94B"/>
        <bgColor indexed="64"/>
      </patternFill>
    </fill>
    <fill>
      <patternFill patternType="solid">
        <fgColor rgb="FF7EAB4F"/>
        <bgColor indexed="64"/>
      </patternFill>
    </fill>
    <fill>
      <patternFill patternType="solid">
        <fgColor rgb="FF78A74C"/>
        <bgColor indexed="64"/>
      </patternFill>
    </fill>
    <fill>
      <patternFill patternType="solid">
        <fgColor rgb="FF5E6928"/>
        <bgColor indexed="64"/>
      </patternFill>
    </fill>
    <fill>
      <patternFill patternType="solid">
        <fgColor rgb="FF647737"/>
        <bgColor indexed="64"/>
      </patternFill>
    </fill>
    <fill>
      <patternFill patternType="solid">
        <fgColor rgb="FF8BBB56"/>
        <bgColor indexed="64"/>
      </patternFill>
    </fill>
    <fill>
      <patternFill patternType="solid">
        <fgColor rgb="FF86B452"/>
        <bgColor indexed="64"/>
      </patternFill>
    </fill>
    <fill>
      <patternFill patternType="solid">
        <fgColor rgb="FF89B657"/>
        <bgColor indexed="64"/>
      </patternFill>
    </fill>
    <fill>
      <patternFill patternType="solid">
        <fgColor rgb="FF82B04F"/>
        <bgColor indexed="64"/>
      </patternFill>
    </fill>
    <fill>
      <patternFill patternType="solid">
        <fgColor rgb="FF75A547"/>
        <bgColor indexed="64"/>
      </patternFill>
    </fill>
    <fill>
      <patternFill patternType="solid">
        <fgColor rgb="FF3B4620"/>
        <bgColor indexed="64"/>
      </patternFill>
    </fill>
    <fill>
      <patternFill patternType="solid">
        <fgColor rgb="FF2B2D0F"/>
        <bgColor indexed="64"/>
      </patternFill>
    </fill>
    <fill>
      <patternFill patternType="solid">
        <fgColor rgb="FF6B9441"/>
        <bgColor indexed="64"/>
      </patternFill>
    </fill>
    <fill>
      <patternFill patternType="solid">
        <fgColor rgb="FF79A845"/>
        <bgColor indexed="64"/>
      </patternFill>
    </fill>
    <fill>
      <patternFill patternType="solid">
        <fgColor rgb="FF78A745"/>
        <bgColor indexed="64"/>
      </patternFill>
    </fill>
    <fill>
      <patternFill patternType="solid">
        <fgColor rgb="FF779A3B"/>
        <bgColor indexed="64"/>
      </patternFill>
    </fill>
    <fill>
      <patternFill patternType="solid">
        <fgColor rgb="FFACAE33"/>
        <bgColor indexed="64"/>
      </patternFill>
    </fill>
    <fill>
      <patternFill patternType="solid">
        <fgColor rgb="FFBFB72F"/>
        <bgColor indexed="64"/>
      </patternFill>
    </fill>
    <fill>
      <patternFill patternType="solid">
        <fgColor rgb="FFFFFA3A"/>
        <bgColor indexed="64"/>
      </patternFill>
    </fill>
    <fill>
      <patternFill patternType="solid">
        <fgColor rgb="FFC9C932"/>
        <bgColor indexed="64"/>
      </patternFill>
    </fill>
    <fill>
      <patternFill patternType="solid">
        <fgColor rgb="FF749F38"/>
        <bgColor indexed="64"/>
      </patternFill>
    </fill>
    <fill>
      <patternFill patternType="solid">
        <fgColor rgb="FF6D9F43"/>
        <bgColor indexed="64"/>
      </patternFill>
    </fill>
    <fill>
      <patternFill patternType="solid">
        <fgColor rgb="FFAAAE33"/>
        <bgColor indexed="64"/>
      </patternFill>
    </fill>
    <fill>
      <patternFill patternType="solid">
        <fgColor rgb="FFA7982D"/>
        <bgColor indexed="64"/>
      </patternFill>
    </fill>
    <fill>
      <patternFill patternType="solid">
        <fgColor rgb="FF334116"/>
        <bgColor indexed="64"/>
      </patternFill>
    </fill>
    <fill>
      <patternFill patternType="solid">
        <fgColor rgb="FF7AAD42"/>
        <bgColor indexed="64"/>
      </patternFill>
    </fill>
    <fill>
      <patternFill patternType="solid">
        <fgColor rgb="FF76AA42"/>
        <bgColor indexed="64"/>
      </patternFill>
    </fill>
    <fill>
      <patternFill patternType="solid">
        <fgColor rgb="FF71A342"/>
        <bgColor indexed="64"/>
      </patternFill>
    </fill>
    <fill>
      <patternFill patternType="solid">
        <fgColor rgb="FF72A444"/>
        <bgColor indexed="64"/>
      </patternFill>
    </fill>
    <fill>
      <patternFill patternType="solid">
        <fgColor rgb="FF74A742"/>
        <bgColor indexed="64"/>
      </patternFill>
    </fill>
    <fill>
      <patternFill patternType="solid">
        <fgColor rgb="FF73A641"/>
        <bgColor indexed="64"/>
      </patternFill>
    </fill>
    <fill>
      <patternFill patternType="solid">
        <fgColor rgb="FF70A245"/>
        <bgColor indexed="64"/>
      </patternFill>
    </fill>
    <fill>
      <patternFill patternType="solid">
        <fgColor rgb="FF6FA343"/>
        <bgColor indexed="64"/>
      </patternFill>
    </fill>
    <fill>
      <patternFill patternType="solid">
        <fgColor rgb="FF6EA343"/>
        <bgColor indexed="64"/>
      </patternFill>
    </fill>
    <fill>
      <patternFill patternType="solid">
        <fgColor rgb="FF6CA242"/>
        <bgColor indexed="64"/>
      </patternFill>
    </fill>
    <fill>
      <patternFill patternType="solid">
        <fgColor rgb="FF6FA642"/>
        <bgColor indexed="64"/>
      </patternFill>
    </fill>
    <fill>
      <patternFill patternType="solid">
        <fgColor rgb="FF6AA040"/>
        <bgColor indexed="64"/>
      </patternFill>
    </fill>
    <fill>
      <patternFill patternType="solid">
        <fgColor rgb="FF68A248"/>
        <bgColor indexed="64"/>
      </patternFill>
    </fill>
    <fill>
      <patternFill patternType="solid">
        <fgColor rgb="FF6E8A31"/>
        <bgColor indexed="64"/>
      </patternFill>
    </fill>
    <fill>
      <patternFill patternType="solid">
        <fgColor rgb="FF929826"/>
        <bgColor indexed="64"/>
      </patternFill>
    </fill>
    <fill>
      <patternFill patternType="solid">
        <fgColor rgb="FF6B9C48"/>
        <bgColor indexed="64"/>
      </patternFill>
    </fill>
    <fill>
      <patternFill patternType="solid">
        <fgColor rgb="FF7DB25B"/>
        <bgColor indexed="64"/>
      </patternFill>
    </fill>
    <fill>
      <patternFill patternType="solid">
        <fgColor rgb="FF7BAE61"/>
        <bgColor indexed="64"/>
      </patternFill>
    </fill>
    <fill>
      <patternFill patternType="solid">
        <fgColor rgb="FF82B966"/>
        <bgColor indexed="64"/>
      </patternFill>
    </fill>
    <fill>
      <patternFill patternType="solid">
        <fgColor rgb="FF6E8F61"/>
        <bgColor indexed="64"/>
      </patternFill>
    </fill>
    <fill>
      <patternFill patternType="solid">
        <fgColor rgb="FF6E4874"/>
        <bgColor indexed="64"/>
      </patternFill>
    </fill>
    <fill>
      <patternFill patternType="solid">
        <fgColor rgb="FF9260A2"/>
        <bgColor indexed="64"/>
      </patternFill>
    </fill>
    <fill>
      <patternFill patternType="solid">
        <fgColor rgb="FF8D629D"/>
        <bgColor indexed="64"/>
      </patternFill>
    </fill>
    <fill>
      <patternFill patternType="solid">
        <fgColor rgb="FF8F69A4"/>
        <bgColor indexed="64"/>
      </patternFill>
    </fill>
    <fill>
      <patternFill patternType="solid">
        <fgColor rgb="FF76A342"/>
        <bgColor indexed="64"/>
      </patternFill>
    </fill>
    <fill>
      <patternFill patternType="solid">
        <fgColor rgb="FF74A045"/>
        <bgColor indexed="64"/>
      </patternFill>
    </fill>
    <fill>
      <patternFill patternType="solid">
        <fgColor rgb="FF7C9336"/>
        <bgColor indexed="64"/>
      </patternFill>
    </fill>
    <fill>
      <patternFill patternType="solid">
        <fgColor rgb="FF7E9237"/>
        <bgColor indexed="64"/>
      </patternFill>
    </fill>
    <fill>
      <patternFill patternType="solid">
        <fgColor rgb="FF75A440"/>
        <bgColor indexed="64"/>
      </patternFill>
    </fill>
    <fill>
      <patternFill patternType="solid">
        <fgColor rgb="FF7AA63D"/>
        <bgColor indexed="64"/>
      </patternFill>
    </fill>
    <fill>
      <patternFill patternType="solid">
        <fgColor rgb="FF74A03C"/>
        <bgColor indexed="64"/>
      </patternFill>
    </fill>
    <fill>
      <patternFill patternType="solid">
        <fgColor rgb="FF75A03E"/>
        <bgColor indexed="64"/>
      </patternFill>
    </fill>
    <fill>
      <patternFill patternType="solid">
        <fgColor rgb="FF76A43D"/>
        <bgColor indexed="64"/>
      </patternFill>
    </fill>
    <fill>
      <patternFill patternType="solid">
        <fgColor rgb="FF79A740"/>
        <bgColor indexed="64"/>
      </patternFill>
    </fill>
    <fill>
      <patternFill patternType="solid">
        <fgColor rgb="FF79A73F"/>
        <bgColor indexed="64"/>
      </patternFill>
    </fill>
    <fill>
      <patternFill patternType="solid">
        <fgColor rgb="FF76A43F"/>
        <bgColor indexed="64"/>
      </patternFill>
    </fill>
    <fill>
      <patternFill patternType="solid">
        <fgColor rgb="FF76A542"/>
        <bgColor indexed="64"/>
      </patternFill>
    </fill>
    <fill>
      <patternFill patternType="solid">
        <fgColor rgb="FF77A540"/>
        <bgColor indexed="64"/>
      </patternFill>
    </fill>
    <fill>
      <patternFill patternType="solid">
        <fgColor rgb="FF7AA943"/>
        <bgColor indexed="64"/>
      </patternFill>
    </fill>
    <fill>
      <patternFill patternType="solid">
        <fgColor rgb="FF77933C"/>
        <bgColor indexed="64"/>
      </patternFill>
    </fill>
    <fill>
      <patternFill patternType="solid">
        <fgColor rgb="FF8D852A"/>
        <bgColor indexed="64"/>
      </patternFill>
    </fill>
    <fill>
      <patternFill patternType="solid">
        <fgColor rgb="FFE1D434"/>
        <bgColor indexed="64"/>
      </patternFill>
    </fill>
    <fill>
      <patternFill patternType="solid">
        <fgColor rgb="FF9E9D2C"/>
        <bgColor indexed="64"/>
      </patternFill>
    </fill>
    <fill>
      <patternFill patternType="solid">
        <fgColor rgb="FF89B650"/>
        <bgColor indexed="64"/>
      </patternFill>
    </fill>
    <fill>
      <patternFill patternType="solid">
        <fgColor rgb="FF80AB4B"/>
        <bgColor indexed="64"/>
      </patternFill>
    </fill>
    <fill>
      <patternFill patternType="solid">
        <fgColor rgb="FF87B24B"/>
        <bgColor indexed="64"/>
      </patternFill>
    </fill>
    <fill>
      <patternFill patternType="solid">
        <fgColor rgb="FF6E9240"/>
        <bgColor indexed="64"/>
      </patternFill>
    </fill>
    <fill>
      <patternFill patternType="solid">
        <fgColor rgb="FF799D4C"/>
        <bgColor indexed="64"/>
      </patternFill>
    </fill>
    <fill>
      <patternFill patternType="solid">
        <fgColor rgb="FF5B6936"/>
        <bgColor indexed="64"/>
      </patternFill>
    </fill>
    <fill>
      <patternFill patternType="solid">
        <fgColor rgb="FF636A38"/>
        <bgColor indexed="64"/>
      </patternFill>
    </fill>
    <fill>
      <patternFill patternType="solid">
        <fgColor rgb="FF5D7B34"/>
        <bgColor indexed="64"/>
      </patternFill>
    </fill>
    <fill>
      <patternFill patternType="solid">
        <fgColor rgb="FF86AD4E"/>
        <bgColor indexed="64"/>
      </patternFill>
    </fill>
    <fill>
      <patternFill patternType="solid">
        <fgColor rgb="FF7DAA44"/>
        <bgColor indexed="64"/>
      </patternFill>
    </fill>
    <fill>
      <patternFill patternType="solid">
        <fgColor rgb="FF82B048"/>
        <bgColor indexed="64"/>
      </patternFill>
    </fill>
    <fill>
      <patternFill patternType="solid">
        <fgColor rgb="FF80B04E"/>
        <bgColor indexed="64"/>
      </patternFill>
    </fill>
    <fill>
      <patternFill patternType="solid">
        <fgColor rgb="FF7EA043"/>
        <bgColor indexed="64"/>
      </patternFill>
    </fill>
    <fill>
      <patternFill patternType="solid">
        <fgColor rgb="FFA8AA34"/>
        <bgColor indexed="64"/>
      </patternFill>
    </fill>
    <fill>
      <patternFill patternType="solid">
        <fgColor rgb="FF7D9F49"/>
        <bgColor indexed="64"/>
      </patternFill>
    </fill>
    <fill>
      <patternFill patternType="solid">
        <fgColor rgb="FF89B45B"/>
        <bgColor indexed="64"/>
      </patternFill>
    </fill>
    <fill>
      <patternFill patternType="solid">
        <fgColor rgb="FF7EAA4F"/>
        <bgColor indexed="64"/>
      </patternFill>
    </fill>
    <fill>
      <patternFill patternType="solid">
        <fgColor rgb="FF7BA84E"/>
        <bgColor indexed="64"/>
      </patternFill>
    </fill>
    <fill>
      <patternFill patternType="solid">
        <fgColor rgb="FF79A84B"/>
        <bgColor indexed="64"/>
      </patternFill>
    </fill>
    <fill>
      <patternFill patternType="solid">
        <fgColor rgb="FF77A546"/>
        <bgColor indexed="64"/>
      </patternFill>
    </fill>
    <fill>
      <patternFill patternType="solid">
        <fgColor rgb="FF7CAA4C"/>
        <bgColor indexed="64"/>
      </patternFill>
    </fill>
    <fill>
      <patternFill patternType="solid">
        <fgColor rgb="FF7CAA4E"/>
        <bgColor indexed="64"/>
      </patternFill>
    </fill>
    <fill>
      <patternFill patternType="solid">
        <fgColor rgb="FF7CAB4F"/>
        <bgColor indexed="64"/>
      </patternFill>
    </fill>
    <fill>
      <patternFill patternType="solid">
        <fgColor rgb="FF546227"/>
        <bgColor indexed="64"/>
      </patternFill>
    </fill>
    <fill>
      <patternFill patternType="solid">
        <fgColor rgb="FF5F6E2B"/>
        <bgColor indexed="64"/>
      </patternFill>
    </fill>
    <fill>
      <patternFill patternType="solid">
        <fgColor rgb="FF8DBC54"/>
        <bgColor indexed="64"/>
      </patternFill>
    </fill>
    <fill>
      <patternFill patternType="solid">
        <fgColor rgb="FF86B451"/>
        <bgColor indexed="64"/>
      </patternFill>
    </fill>
    <fill>
      <patternFill patternType="solid">
        <fgColor rgb="FF86B355"/>
        <bgColor indexed="64"/>
      </patternFill>
    </fill>
    <fill>
      <patternFill patternType="solid">
        <fgColor rgb="FF7EAB4E"/>
        <bgColor indexed="64"/>
      </patternFill>
    </fill>
    <fill>
      <patternFill patternType="solid">
        <fgColor rgb="FF7AAA46"/>
        <bgColor indexed="64"/>
      </patternFill>
    </fill>
    <fill>
      <patternFill patternType="solid">
        <fgColor rgb="FF74A247"/>
        <bgColor indexed="64"/>
      </patternFill>
    </fill>
    <fill>
      <patternFill patternType="solid">
        <fgColor rgb="FF65642D"/>
        <bgColor indexed="64"/>
      </patternFill>
    </fill>
    <fill>
      <patternFill patternType="solid">
        <fgColor rgb="FF4D4E1B"/>
        <bgColor indexed="64"/>
      </patternFill>
    </fill>
    <fill>
      <patternFill patternType="solid">
        <fgColor rgb="FF668F41"/>
        <bgColor indexed="64"/>
      </patternFill>
    </fill>
    <fill>
      <patternFill patternType="solid">
        <fgColor rgb="FF79AA45"/>
        <bgColor indexed="64"/>
      </patternFill>
    </fill>
    <fill>
      <patternFill patternType="solid">
        <fgColor rgb="FF75A442"/>
        <bgColor indexed="64"/>
      </patternFill>
    </fill>
    <fill>
      <patternFill patternType="solid">
        <fgColor rgb="FF79AC47"/>
        <bgColor indexed="64"/>
      </patternFill>
    </fill>
    <fill>
      <patternFill patternType="solid">
        <fgColor rgb="FF627328"/>
        <bgColor indexed="64"/>
      </patternFill>
    </fill>
    <fill>
      <patternFill patternType="solid">
        <fgColor rgb="FFC3BA2E"/>
        <bgColor indexed="64"/>
      </patternFill>
    </fill>
    <fill>
      <patternFill patternType="solid">
        <fgColor rgb="FFD1C934"/>
        <bgColor indexed="64"/>
      </patternFill>
    </fill>
    <fill>
      <patternFill patternType="solid">
        <fgColor rgb="FF627928"/>
        <bgColor indexed="64"/>
      </patternFill>
    </fill>
    <fill>
      <patternFill patternType="solid">
        <fgColor rgb="FF76A943"/>
        <bgColor indexed="64"/>
      </patternFill>
    </fill>
    <fill>
      <patternFill patternType="solid">
        <fgColor rgb="FF618E3B"/>
        <bgColor indexed="64"/>
      </patternFill>
    </fill>
    <fill>
      <patternFill patternType="solid">
        <fgColor rgb="FFC6BE30"/>
        <bgColor indexed="64"/>
      </patternFill>
    </fill>
    <fill>
      <patternFill patternType="solid">
        <fgColor rgb="FFE5D833"/>
        <bgColor indexed="64"/>
      </patternFill>
    </fill>
    <fill>
      <patternFill patternType="solid">
        <fgColor rgb="FF567427"/>
        <bgColor indexed="64"/>
      </patternFill>
    </fill>
    <fill>
      <patternFill patternType="solid">
        <fgColor rgb="FF83BD4A"/>
        <bgColor indexed="64"/>
      </patternFill>
    </fill>
    <fill>
      <patternFill patternType="solid">
        <fgColor rgb="FF7AB246"/>
        <bgColor indexed="64"/>
      </patternFill>
    </fill>
    <fill>
      <patternFill patternType="solid">
        <fgColor rgb="FF78B045"/>
        <bgColor indexed="64"/>
      </patternFill>
    </fill>
    <fill>
      <patternFill patternType="solid">
        <fgColor rgb="FF77AF44"/>
        <bgColor indexed="64"/>
      </patternFill>
    </fill>
    <fill>
      <patternFill patternType="solid">
        <fgColor rgb="FF79AE47"/>
        <bgColor indexed="64"/>
      </patternFill>
    </fill>
    <fill>
      <patternFill patternType="solid">
        <fgColor rgb="FF77AE46"/>
        <bgColor indexed="64"/>
      </patternFill>
    </fill>
    <fill>
      <patternFill patternType="solid">
        <fgColor rgb="FF77AC46"/>
        <bgColor indexed="64"/>
      </patternFill>
    </fill>
    <fill>
      <patternFill patternType="solid">
        <fgColor rgb="FF75AA45"/>
        <bgColor indexed="64"/>
      </patternFill>
    </fill>
    <fill>
      <patternFill patternType="solid">
        <fgColor rgb="FF75A944"/>
        <bgColor indexed="64"/>
      </patternFill>
    </fill>
    <fill>
      <patternFill patternType="solid">
        <fgColor rgb="FF76AB42"/>
        <bgColor indexed="64"/>
      </patternFill>
    </fill>
    <fill>
      <patternFill patternType="solid">
        <fgColor rgb="FF74AB40"/>
        <bgColor indexed="64"/>
      </patternFill>
    </fill>
    <fill>
      <patternFill patternType="solid">
        <fgColor rgb="FF72A93E"/>
        <bgColor indexed="64"/>
      </patternFill>
    </fill>
    <fill>
      <patternFill patternType="solid">
        <fgColor rgb="FF73AA45"/>
        <bgColor indexed="64"/>
      </patternFill>
    </fill>
    <fill>
      <patternFill patternType="solid">
        <fgColor rgb="FF71A745"/>
        <bgColor indexed="64"/>
      </patternFill>
    </fill>
    <fill>
      <patternFill patternType="solid">
        <fgColor rgb="FF2E3B18"/>
        <bgColor indexed="64"/>
      </patternFill>
    </fill>
    <fill>
      <patternFill patternType="solid">
        <fgColor rgb="FF3D4C19"/>
        <bgColor indexed="64"/>
      </patternFill>
    </fill>
    <fill>
      <patternFill patternType="solid">
        <fgColor rgb="FF73A950"/>
        <bgColor indexed="64"/>
      </patternFill>
    </fill>
    <fill>
      <patternFill patternType="solid">
        <fgColor rgb="FF77AC5B"/>
        <bgColor indexed="64"/>
      </patternFill>
    </fill>
    <fill>
      <patternFill patternType="solid">
        <fgColor rgb="FF79AF61"/>
        <bgColor indexed="64"/>
      </patternFill>
    </fill>
    <fill>
      <patternFill patternType="solid">
        <fgColor rgb="FF76A95E"/>
        <bgColor indexed="64"/>
      </patternFill>
    </fill>
    <fill>
      <patternFill patternType="solid">
        <fgColor rgb="FF618752"/>
        <bgColor indexed="64"/>
      </patternFill>
    </fill>
    <fill>
      <patternFill patternType="solid">
        <fgColor rgb="FF49474E"/>
        <bgColor indexed="64"/>
      </patternFill>
    </fill>
    <fill>
      <patternFill patternType="solid">
        <fgColor rgb="FF5B4066"/>
        <bgColor indexed="64"/>
      </patternFill>
    </fill>
    <fill>
      <patternFill patternType="solid">
        <fgColor rgb="FF785688"/>
        <bgColor indexed="64"/>
      </patternFill>
    </fill>
    <fill>
      <patternFill patternType="solid">
        <fgColor rgb="FF89639E"/>
        <bgColor indexed="64"/>
      </patternFill>
    </fill>
    <fill>
      <patternFill patternType="solid">
        <fgColor rgb="FF76A340"/>
        <bgColor indexed="64"/>
      </patternFill>
    </fill>
    <fill>
      <patternFill patternType="solid">
        <fgColor rgb="FF76A341"/>
        <bgColor indexed="64"/>
      </patternFill>
    </fill>
    <fill>
      <patternFill patternType="solid">
        <fgColor rgb="FF6E862C"/>
        <bgColor indexed="64"/>
      </patternFill>
    </fill>
    <fill>
      <patternFill patternType="solid">
        <fgColor rgb="FF556425"/>
        <bgColor indexed="64"/>
      </patternFill>
    </fill>
    <fill>
      <patternFill patternType="solid">
        <fgColor rgb="FF6A9338"/>
        <bgColor indexed="64"/>
      </patternFill>
    </fill>
    <fill>
      <patternFill patternType="solid">
        <fgColor rgb="FF709835"/>
        <bgColor indexed="64"/>
      </patternFill>
    </fill>
    <fill>
      <patternFill patternType="solid">
        <fgColor rgb="FF58772D"/>
        <bgColor indexed="64"/>
      </patternFill>
    </fill>
    <fill>
      <patternFill patternType="solid">
        <fgColor rgb="FF7FAD42"/>
        <bgColor indexed="64"/>
      </patternFill>
    </fill>
    <fill>
      <patternFill patternType="solid">
        <fgColor rgb="FF76A23B"/>
        <bgColor indexed="64"/>
      </patternFill>
    </fill>
    <fill>
      <patternFill patternType="solid">
        <fgColor rgb="FF6C8E33"/>
        <bgColor indexed="64"/>
      </patternFill>
    </fill>
    <fill>
      <patternFill patternType="solid">
        <fgColor rgb="FF698F37"/>
        <bgColor indexed="64"/>
      </patternFill>
    </fill>
    <fill>
      <patternFill patternType="solid">
        <fgColor rgb="FF7AA841"/>
        <bgColor indexed="64"/>
      </patternFill>
    </fill>
    <fill>
      <patternFill patternType="solid">
        <fgColor rgb="FF75A340"/>
        <bgColor indexed="64"/>
      </patternFill>
    </fill>
    <fill>
      <patternFill patternType="solid">
        <fgColor rgb="FF77A340"/>
        <bgColor indexed="64"/>
      </patternFill>
    </fill>
    <fill>
      <patternFill patternType="solid">
        <fgColor rgb="FF79AA42"/>
        <bgColor indexed="64"/>
      </patternFill>
    </fill>
    <fill>
      <patternFill patternType="solid">
        <fgColor rgb="FF678439"/>
        <bgColor indexed="64"/>
      </patternFill>
    </fill>
    <fill>
      <patternFill patternType="solid">
        <fgColor rgb="FF605922"/>
        <bgColor indexed="64"/>
      </patternFill>
    </fill>
    <fill>
      <patternFill patternType="solid">
        <fgColor rgb="FFBDB031"/>
        <bgColor indexed="64"/>
      </patternFill>
    </fill>
    <fill>
      <patternFill patternType="solid">
        <fgColor rgb="FF677028"/>
        <bgColor indexed="64"/>
      </patternFill>
    </fill>
    <fill>
      <patternFill patternType="solid">
        <fgColor rgb="FF7AA64D"/>
        <bgColor indexed="64"/>
      </patternFill>
    </fill>
    <fill>
      <patternFill patternType="solid">
        <fgColor rgb="FF81AD49"/>
        <bgColor indexed="64"/>
      </patternFill>
    </fill>
    <fill>
      <patternFill patternType="solid">
        <fgColor rgb="FF83AD4B"/>
        <bgColor indexed="64"/>
      </patternFill>
    </fill>
    <fill>
      <patternFill patternType="solid">
        <fgColor rgb="FF719F44"/>
        <bgColor indexed="64"/>
      </patternFill>
    </fill>
    <fill>
      <patternFill patternType="solid">
        <fgColor rgb="FF625436"/>
        <bgColor indexed="64"/>
      </patternFill>
    </fill>
    <fill>
      <patternFill patternType="solid">
        <fgColor rgb="FF8B4C45"/>
        <bgColor indexed="64"/>
      </patternFill>
    </fill>
    <fill>
      <patternFill patternType="solid">
        <fgColor rgb="FFB4434F"/>
        <bgColor indexed="64"/>
      </patternFill>
    </fill>
    <fill>
      <patternFill patternType="solid">
        <fgColor rgb="FF98393E"/>
        <bgColor indexed="64"/>
      </patternFill>
    </fill>
    <fill>
      <patternFill patternType="solid">
        <fgColor rgb="FFAD4A4D"/>
        <bgColor indexed="64"/>
      </patternFill>
    </fill>
    <fill>
      <patternFill patternType="solid">
        <fgColor rgb="FF734E35"/>
        <bgColor indexed="64"/>
      </patternFill>
    </fill>
    <fill>
      <patternFill patternType="solid">
        <fgColor rgb="FF86B04B"/>
        <bgColor indexed="64"/>
      </patternFill>
    </fill>
    <fill>
      <patternFill patternType="solid">
        <fgColor rgb="FF86B44A"/>
        <bgColor indexed="64"/>
      </patternFill>
    </fill>
    <fill>
      <patternFill patternType="solid">
        <fgColor rgb="FF83B24F"/>
        <bgColor indexed="64"/>
      </patternFill>
    </fill>
    <fill>
      <patternFill patternType="solid">
        <fgColor rgb="FF6E9144"/>
        <bgColor indexed="64"/>
      </patternFill>
    </fill>
    <fill>
      <patternFill patternType="solid">
        <fgColor rgb="FF4C4A14"/>
        <bgColor indexed="64"/>
      </patternFill>
    </fill>
    <fill>
      <patternFill patternType="solid">
        <fgColor rgb="FF708B42"/>
        <bgColor indexed="64"/>
      </patternFill>
    </fill>
    <fill>
      <patternFill patternType="solid">
        <fgColor rgb="FF89B55A"/>
        <bgColor indexed="64"/>
      </patternFill>
    </fill>
    <fill>
      <patternFill patternType="solid">
        <fgColor rgb="FF7DA94E"/>
        <bgColor indexed="64"/>
      </patternFill>
    </fill>
    <fill>
      <patternFill patternType="solid">
        <fgColor rgb="FF79A74B"/>
        <bgColor indexed="64"/>
      </patternFill>
    </fill>
    <fill>
      <patternFill patternType="solid">
        <fgColor rgb="FF7CA84D"/>
        <bgColor indexed="64"/>
      </patternFill>
    </fill>
    <fill>
      <patternFill patternType="solid">
        <fgColor rgb="FF78A646"/>
        <bgColor indexed="64"/>
      </patternFill>
    </fill>
    <fill>
      <patternFill patternType="solid">
        <fgColor rgb="FF7CAA4B"/>
        <bgColor indexed="64"/>
      </patternFill>
    </fill>
    <fill>
      <patternFill patternType="solid">
        <fgColor rgb="FF7DAA4D"/>
        <bgColor indexed="64"/>
      </patternFill>
    </fill>
    <fill>
      <patternFill patternType="solid">
        <fgColor rgb="FF71A249"/>
        <bgColor indexed="64"/>
      </patternFill>
    </fill>
    <fill>
      <patternFill patternType="solid">
        <fgColor rgb="FF9DAA3C"/>
        <bgColor indexed="64"/>
      </patternFill>
    </fill>
    <fill>
      <patternFill patternType="solid">
        <fgColor rgb="FF888F30"/>
        <bgColor indexed="64"/>
      </patternFill>
    </fill>
    <fill>
      <patternFill patternType="solid">
        <fgColor rgb="FF82AE4D"/>
        <bgColor indexed="64"/>
      </patternFill>
    </fill>
    <fill>
      <patternFill patternType="solid">
        <fgColor rgb="FF87B552"/>
        <bgColor indexed="64"/>
      </patternFill>
    </fill>
    <fill>
      <patternFill patternType="solid">
        <fgColor rgb="FF84B251"/>
        <bgColor indexed="64"/>
      </patternFill>
    </fill>
    <fill>
      <patternFill patternType="solid">
        <fgColor rgb="FF81AF50"/>
        <bgColor indexed="64"/>
      </patternFill>
    </fill>
    <fill>
      <patternFill patternType="solid">
        <fgColor rgb="FF83B24A"/>
        <bgColor indexed="64"/>
      </patternFill>
    </fill>
    <fill>
      <patternFill patternType="solid">
        <fgColor rgb="FF709B47"/>
        <bgColor indexed="64"/>
      </patternFill>
    </fill>
    <fill>
      <patternFill patternType="solid">
        <fgColor rgb="FF9A9935"/>
        <bgColor indexed="64"/>
      </patternFill>
    </fill>
    <fill>
      <patternFill patternType="solid">
        <fgColor rgb="FFA8A632"/>
        <bgColor indexed="64"/>
      </patternFill>
    </fill>
    <fill>
      <patternFill patternType="solid">
        <fgColor rgb="FF5D8638"/>
        <bgColor indexed="64"/>
      </patternFill>
    </fill>
    <fill>
      <patternFill patternType="solid">
        <fgColor rgb="FF78AA46"/>
        <bgColor indexed="64"/>
      </patternFill>
    </fill>
    <fill>
      <patternFill patternType="solid">
        <fgColor rgb="FF74A543"/>
        <bgColor indexed="64"/>
      </patternFill>
    </fill>
    <fill>
      <patternFill patternType="solid">
        <fgColor rgb="FF7AAB45"/>
        <bgColor indexed="64"/>
      </patternFill>
    </fill>
    <fill>
      <patternFill patternType="solid">
        <fgColor rgb="FF7AA237"/>
        <bgColor indexed="64"/>
      </patternFill>
    </fill>
    <fill>
      <patternFill patternType="solid">
        <fgColor rgb="FFBDBF35"/>
        <bgColor indexed="64"/>
      </patternFill>
    </fill>
    <fill>
      <patternFill patternType="solid">
        <fgColor rgb="FF91A12D"/>
        <bgColor indexed="64"/>
      </patternFill>
    </fill>
    <fill>
      <patternFill patternType="solid">
        <fgColor rgb="FF74A43C"/>
        <bgColor indexed="64"/>
      </patternFill>
    </fill>
    <fill>
      <patternFill patternType="solid">
        <fgColor rgb="FF7EAE3E"/>
        <bgColor indexed="64"/>
      </patternFill>
    </fill>
    <fill>
      <patternFill patternType="solid">
        <fgColor rgb="FF5C7B2D"/>
        <bgColor indexed="64"/>
      </patternFill>
    </fill>
    <fill>
      <patternFill patternType="solid">
        <fgColor rgb="FFE3D133"/>
        <bgColor indexed="64"/>
      </patternFill>
    </fill>
    <fill>
      <patternFill patternType="solid">
        <fgColor rgb="FFD5CC30"/>
        <bgColor indexed="64"/>
      </patternFill>
    </fill>
    <fill>
      <patternFill patternType="solid">
        <fgColor rgb="FF4E6A23"/>
        <bgColor indexed="64"/>
      </patternFill>
    </fill>
    <fill>
      <patternFill patternType="solid">
        <fgColor rgb="FF5E8731"/>
        <bgColor indexed="64"/>
      </patternFill>
    </fill>
    <fill>
      <patternFill patternType="solid">
        <fgColor rgb="FF547730"/>
        <bgColor indexed="64"/>
      </patternFill>
    </fill>
    <fill>
      <patternFill patternType="solid">
        <fgColor rgb="FF496C2E"/>
        <bgColor indexed="64"/>
      </patternFill>
    </fill>
    <fill>
      <patternFill patternType="solid">
        <fgColor rgb="FF4B7233"/>
        <bgColor indexed="64"/>
      </patternFill>
    </fill>
    <fill>
      <patternFill patternType="solid">
        <fgColor rgb="FF476C30"/>
        <bgColor indexed="64"/>
      </patternFill>
    </fill>
    <fill>
      <patternFill patternType="solid">
        <fgColor rgb="FF436631"/>
        <bgColor indexed="64"/>
      </patternFill>
    </fill>
    <fill>
      <patternFill patternType="solid">
        <fgColor rgb="FF466930"/>
        <bgColor indexed="64"/>
      </patternFill>
    </fill>
    <fill>
      <patternFill patternType="solid">
        <fgColor rgb="FF466F34"/>
        <bgColor indexed="64"/>
      </patternFill>
    </fill>
    <fill>
      <patternFill patternType="solid">
        <fgColor rgb="FF48753E"/>
        <bgColor indexed="64"/>
      </patternFill>
    </fill>
    <fill>
      <patternFill patternType="solid">
        <fgColor rgb="FF487A45"/>
        <bgColor indexed="64"/>
      </patternFill>
    </fill>
    <fill>
      <patternFill patternType="solid">
        <fgColor rgb="FF4A7F44"/>
        <bgColor indexed="64"/>
      </patternFill>
    </fill>
    <fill>
      <patternFill patternType="solid">
        <fgColor rgb="FF518848"/>
        <bgColor indexed="64"/>
      </patternFill>
    </fill>
    <fill>
      <patternFill patternType="solid">
        <fgColor rgb="FF548742"/>
        <bgColor indexed="64"/>
      </patternFill>
    </fill>
    <fill>
      <patternFill patternType="solid">
        <fgColor rgb="FF5A8738"/>
        <bgColor indexed="64"/>
      </patternFill>
    </fill>
    <fill>
      <patternFill patternType="solid">
        <fgColor rgb="FF6D9E3B"/>
        <bgColor indexed="64"/>
      </patternFill>
    </fill>
    <fill>
      <patternFill patternType="solid">
        <fgColor rgb="FF689638"/>
        <bgColor indexed="64"/>
      </patternFill>
    </fill>
    <fill>
      <patternFill patternType="solid">
        <fgColor rgb="FF7D7F20"/>
        <bgColor indexed="64"/>
      </patternFill>
    </fill>
    <fill>
      <patternFill patternType="solid">
        <fgColor rgb="FF7B9535"/>
        <bgColor indexed="64"/>
      </patternFill>
    </fill>
    <fill>
      <patternFill patternType="solid">
        <fgColor rgb="FF75AE52"/>
        <bgColor indexed="64"/>
      </patternFill>
    </fill>
    <fill>
      <patternFill patternType="solid">
        <fgColor rgb="FF7EB35D"/>
        <bgColor indexed="64"/>
      </patternFill>
    </fill>
    <fill>
      <patternFill patternType="solid">
        <fgColor rgb="FF81B763"/>
        <bgColor indexed="64"/>
      </patternFill>
    </fill>
    <fill>
      <patternFill patternType="solid">
        <fgColor rgb="FF7DB262"/>
        <bgColor indexed="64"/>
      </patternFill>
    </fill>
    <fill>
      <patternFill patternType="solid">
        <fgColor rgb="FF6C9C5E"/>
        <bgColor indexed="64"/>
      </patternFill>
    </fill>
    <fill>
      <patternFill patternType="solid">
        <fgColor rgb="FF2C382E"/>
        <bgColor indexed="64"/>
      </patternFill>
    </fill>
    <fill>
      <patternFill patternType="solid">
        <fgColor rgb="FF503858"/>
        <bgColor indexed="64"/>
      </patternFill>
    </fill>
    <fill>
      <patternFill patternType="solid">
        <fgColor rgb="FF725180"/>
        <bgColor indexed="64"/>
      </patternFill>
    </fill>
    <fill>
      <patternFill patternType="solid">
        <fgColor rgb="FF8D64A1"/>
        <bgColor indexed="64"/>
      </patternFill>
    </fill>
    <fill>
      <patternFill patternType="solid">
        <fgColor rgb="FF78A540"/>
        <bgColor indexed="64"/>
      </patternFill>
    </fill>
    <fill>
      <patternFill patternType="solid">
        <fgColor rgb="FF79A741"/>
        <bgColor indexed="64"/>
      </patternFill>
    </fill>
    <fill>
      <patternFill patternType="solid">
        <fgColor rgb="FF8AA234"/>
        <bgColor indexed="64"/>
      </patternFill>
    </fill>
    <fill>
      <patternFill patternType="solid">
        <fgColor rgb="FF7B7622"/>
        <bgColor indexed="64"/>
      </patternFill>
    </fill>
    <fill>
      <patternFill patternType="solid">
        <fgColor rgb="FF63842D"/>
        <bgColor indexed="64"/>
      </patternFill>
    </fill>
    <fill>
      <patternFill patternType="solid">
        <fgColor rgb="FF6C8830"/>
        <bgColor indexed="64"/>
      </patternFill>
    </fill>
    <fill>
      <patternFill patternType="solid">
        <fgColor rgb="FF63772B"/>
        <bgColor indexed="64"/>
      </patternFill>
    </fill>
    <fill>
      <patternFill patternType="solid">
        <fgColor rgb="FF6B9137"/>
        <bgColor indexed="64"/>
      </patternFill>
    </fill>
    <fill>
      <patternFill patternType="solid">
        <fgColor rgb="FF888D2E"/>
        <bgColor indexed="64"/>
      </patternFill>
    </fill>
    <fill>
      <patternFill patternType="solid">
        <fgColor rgb="FF7E7F25"/>
        <bgColor indexed="64"/>
      </patternFill>
    </fill>
    <fill>
      <patternFill patternType="solid">
        <fgColor rgb="FF6D963A"/>
        <bgColor indexed="64"/>
      </patternFill>
    </fill>
    <fill>
      <patternFill patternType="solid">
        <fgColor rgb="FF719D3B"/>
        <bgColor indexed="64"/>
      </patternFill>
    </fill>
    <fill>
      <patternFill patternType="solid">
        <fgColor rgb="FF77A63E"/>
        <bgColor indexed="64"/>
      </patternFill>
    </fill>
    <fill>
      <patternFill patternType="solid">
        <fgColor rgb="FF75A43F"/>
        <bgColor indexed="64"/>
      </patternFill>
    </fill>
    <fill>
      <patternFill patternType="solid">
        <fgColor rgb="FF74A33E"/>
        <bgColor indexed="64"/>
      </patternFill>
    </fill>
    <fill>
      <patternFill patternType="solid">
        <fgColor rgb="FF7DAE44"/>
        <bgColor indexed="64"/>
      </patternFill>
    </fill>
    <fill>
      <patternFill patternType="solid">
        <fgColor rgb="FF476529"/>
        <bgColor indexed="64"/>
      </patternFill>
    </fill>
    <fill>
      <patternFill patternType="solid">
        <fgColor rgb="FF26220C"/>
        <bgColor indexed="64"/>
      </patternFill>
    </fill>
    <fill>
      <patternFill patternType="solid">
        <fgColor rgb="FF4B4219"/>
        <bgColor indexed="64"/>
      </patternFill>
    </fill>
    <fill>
      <patternFill patternType="solid">
        <fgColor rgb="FF52632A"/>
        <bgColor indexed="64"/>
      </patternFill>
    </fill>
    <fill>
      <patternFill patternType="solid">
        <fgColor rgb="FF80AE4D"/>
        <bgColor indexed="64"/>
      </patternFill>
    </fill>
    <fill>
      <patternFill patternType="solid">
        <fgColor rgb="FF7AA745"/>
        <bgColor indexed="64"/>
      </patternFill>
    </fill>
    <fill>
      <patternFill patternType="solid">
        <fgColor rgb="FF87B44B"/>
        <bgColor indexed="64"/>
      </patternFill>
    </fill>
    <fill>
      <patternFill patternType="solid">
        <fgColor rgb="FF51672E"/>
        <bgColor indexed="64"/>
      </patternFill>
    </fill>
    <fill>
      <patternFill patternType="solid">
        <fgColor rgb="FF692A2F"/>
        <bgColor indexed="64"/>
      </patternFill>
    </fill>
    <fill>
      <patternFill patternType="solid">
        <fgColor rgb="FFE04661"/>
        <bgColor indexed="64"/>
      </patternFill>
    </fill>
    <fill>
      <patternFill patternType="solid">
        <fgColor rgb="FFFF5B74"/>
        <bgColor indexed="64"/>
      </patternFill>
    </fill>
    <fill>
      <patternFill patternType="solid">
        <fgColor rgb="FFE74E65"/>
        <bgColor indexed="64"/>
      </patternFill>
    </fill>
    <fill>
      <patternFill patternType="solid">
        <fgColor rgb="FFEA4D67"/>
        <bgColor indexed="64"/>
      </patternFill>
    </fill>
    <fill>
      <patternFill patternType="solid">
        <fgColor rgb="FFA9474D"/>
        <bgColor indexed="64"/>
      </patternFill>
    </fill>
    <fill>
      <patternFill patternType="solid">
        <fgColor rgb="FF76723C"/>
        <bgColor indexed="64"/>
      </patternFill>
    </fill>
    <fill>
      <patternFill patternType="solid">
        <fgColor rgb="FF84B449"/>
        <bgColor indexed="64"/>
      </patternFill>
    </fill>
    <fill>
      <patternFill patternType="solid">
        <fgColor rgb="FF7EAD4C"/>
        <bgColor indexed="64"/>
      </patternFill>
    </fill>
    <fill>
      <patternFill patternType="solid">
        <fgColor rgb="FF789A41"/>
        <bgColor indexed="64"/>
      </patternFill>
    </fill>
    <fill>
      <patternFill patternType="solid">
        <fgColor rgb="FFBCB82E"/>
        <bgColor indexed="64"/>
      </patternFill>
    </fill>
    <fill>
      <patternFill patternType="solid">
        <fgColor rgb="FF81983B"/>
        <bgColor indexed="64"/>
      </patternFill>
    </fill>
    <fill>
      <patternFill patternType="solid">
        <fgColor rgb="FF84B057"/>
        <bgColor indexed="64"/>
      </patternFill>
    </fill>
    <fill>
      <patternFill patternType="solid">
        <fgColor rgb="FF7EAA4A"/>
        <bgColor indexed="64"/>
      </patternFill>
    </fill>
    <fill>
      <patternFill patternType="solid">
        <fgColor rgb="FF7BA94C"/>
        <bgColor indexed="64"/>
      </patternFill>
    </fill>
    <fill>
      <patternFill patternType="solid">
        <fgColor rgb="FF7CA94D"/>
        <bgColor indexed="64"/>
      </patternFill>
    </fill>
    <fill>
      <patternFill patternType="solid">
        <fgColor rgb="FF79A74A"/>
        <bgColor indexed="64"/>
      </patternFill>
    </fill>
    <fill>
      <patternFill patternType="solid">
        <fgColor rgb="FF79AB4A"/>
        <bgColor indexed="64"/>
      </patternFill>
    </fill>
    <fill>
      <patternFill patternType="solid">
        <fgColor rgb="FF64782D"/>
        <bgColor indexed="64"/>
      </patternFill>
    </fill>
    <fill>
      <patternFill patternType="solid">
        <fgColor rgb="FF575D23"/>
        <bgColor indexed="64"/>
      </patternFill>
    </fill>
    <fill>
      <patternFill patternType="solid">
        <fgColor rgb="FF8AB552"/>
        <bgColor indexed="64"/>
      </patternFill>
    </fill>
    <fill>
      <patternFill patternType="solid">
        <fgColor rgb="FF85B452"/>
        <bgColor indexed="64"/>
      </patternFill>
    </fill>
    <fill>
      <patternFill patternType="solid">
        <fgColor rgb="FF82AF50"/>
        <bgColor indexed="64"/>
      </patternFill>
    </fill>
    <fill>
      <patternFill patternType="solid">
        <fgColor rgb="FF7CAB4B"/>
        <bgColor indexed="64"/>
      </patternFill>
    </fill>
    <fill>
      <patternFill patternType="solid">
        <fgColor rgb="FF699246"/>
        <bgColor indexed="64"/>
      </patternFill>
    </fill>
    <fill>
      <patternFill patternType="solid">
        <fgColor rgb="FFD6D435"/>
        <bgColor indexed="64"/>
      </patternFill>
    </fill>
    <fill>
      <patternFill patternType="solid">
        <fgColor rgb="FFBEB82D"/>
        <bgColor indexed="64"/>
      </patternFill>
    </fill>
    <fill>
      <patternFill patternType="solid">
        <fgColor rgb="FF608736"/>
        <bgColor indexed="64"/>
      </patternFill>
    </fill>
    <fill>
      <patternFill patternType="solid">
        <fgColor rgb="FF83B446"/>
        <bgColor indexed="64"/>
      </patternFill>
    </fill>
    <fill>
      <patternFill patternType="solid">
        <fgColor rgb="FF78A13C"/>
        <bgColor indexed="64"/>
      </patternFill>
    </fill>
    <fill>
      <patternFill patternType="solid">
        <fgColor rgb="FF709D3B"/>
        <bgColor indexed="64"/>
      </patternFill>
    </fill>
    <fill>
      <patternFill patternType="solid">
        <fgColor rgb="FF769832"/>
        <bgColor indexed="64"/>
      </patternFill>
    </fill>
    <fill>
      <patternFill patternType="solid">
        <fgColor rgb="FFB0AC30"/>
        <bgColor indexed="64"/>
      </patternFill>
    </fill>
    <fill>
      <patternFill patternType="solid">
        <fgColor rgb="FF456531"/>
        <bgColor indexed="64"/>
      </patternFill>
    </fill>
    <fill>
      <patternFill patternType="solid">
        <fgColor rgb="FF3A6946"/>
        <bgColor indexed="64"/>
      </patternFill>
    </fill>
    <fill>
      <patternFill patternType="solid">
        <fgColor rgb="FF2A6352"/>
        <bgColor indexed="64"/>
      </patternFill>
    </fill>
    <fill>
      <patternFill patternType="solid">
        <fgColor rgb="FF5C7036"/>
        <bgColor indexed="64"/>
      </patternFill>
    </fill>
    <fill>
      <patternFill patternType="solid">
        <fgColor rgb="FFFFF937"/>
        <bgColor indexed="64"/>
      </patternFill>
    </fill>
    <fill>
      <patternFill patternType="solid">
        <fgColor rgb="FFAFB530"/>
        <bgColor indexed="64"/>
      </patternFill>
    </fill>
    <fill>
      <patternFill patternType="solid">
        <fgColor rgb="FF114C5A"/>
        <bgColor indexed="64"/>
      </patternFill>
    </fill>
    <fill>
      <patternFill patternType="solid">
        <fgColor rgb="FF176077"/>
        <bgColor indexed="64"/>
      </patternFill>
    </fill>
    <fill>
      <patternFill patternType="solid">
        <fgColor rgb="FF146077"/>
        <bgColor indexed="64"/>
      </patternFill>
    </fill>
    <fill>
      <patternFill patternType="solid">
        <fgColor rgb="FF126682"/>
        <bgColor indexed="64"/>
      </patternFill>
    </fill>
    <fill>
      <patternFill patternType="solid">
        <fgColor rgb="FF116C8B"/>
        <bgColor indexed="64"/>
      </patternFill>
    </fill>
    <fill>
      <patternFill patternType="solid">
        <fgColor rgb="FF106887"/>
        <bgColor indexed="64"/>
      </patternFill>
    </fill>
    <fill>
      <patternFill patternType="solid">
        <fgColor rgb="FF126D8D"/>
        <bgColor indexed="64"/>
      </patternFill>
    </fill>
    <fill>
      <patternFill patternType="solid">
        <fgColor rgb="FF0F6689"/>
        <bgColor indexed="64"/>
      </patternFill>
    </fill>
    <fill>
      <patternFill patternType="solid">
        <fgColor rgb="FF0E668B"/>
        <bgColor indexed="64"/>
      </patternFill>
    </fill>
    <fill>
      <patternFill patternType="solid">
        <fgColor rgb="FF0F6891"/>
        <bgColor indexed="64"/>
      </patternFill>
    </fill>
    <fill>
      <patternFill patternType="solid">
        <fgColor rgb="FF0E5D83"/>
        <bgColor indexed="64"/>
      </patternFill>
    </fill>
    <fill>
      <patternFill patternType="solid">
        <fgColor rgb="FF1179A2"/>
        <bgColor indexed="64"/>
      </patternFill>
    </fill>
    <fill>
      <patternFill patternType="solid">
        <fgColor rgb="FF1279A3"/>
        <bgColor indexed="64"/>
      </patternFill>
    </fill>
    <fill>
      <patternFill patternType="solid">
        <fgColor rgb="FF137199"/>
        <bgColor indexed="64"/>
      </patternFill>
    </fill>
    <fill>
      <patternFill patternType="solid">
        <fgColor rgb="FF156884"/>
        <bgColor indexed="64"/>
      </patternFill>
    </fill>
    <fill>
      <patternFill patternType="solid">
        <fgColor rgb="FF125B71"/>
        <bgColor indexed="64"/>
      </patternFill>
    </fill>
    <fill>
      <patternFill patternType="solid">
        <fgColor rgb="FF496634"/>
        <bgColor indexed="64"/>
      </patternFill>
    </fill>
    <fill>
      <patternFill patternType="solid">
        <fgColor rgb="FFEBE435"/>
        <bgColor indexed="64"/>
      </patternFill>
    </fill>
    <fill>
      <patternFill patternType="solid">
        <fgColor rgb="FF4B6833"/>
        <bgColor indexed="64"/>
      </patternFill>
    </fill>
    <fill>
      <patternFill patternType="solid">
        <fgColor rgb="FF3B6842"/>
        <bgColor indexed="64"/>
      </patternFill>
    </fill>
    <fill>
      <patternFill patternType="solid">
        <fgColor rgb="FF588044"/>
        <bgColor indexed="64"/>
      </patternFill>
    </fill>
    <fill>
      <patternFill patternType="solid">
        <fgColor rgb="FF598344"/>
        <bgColor indexed="64"/>
      </patternFill>
    </fill>
    <fill>
      <patternFill patternType="solid">
        <fgColor rgb="FF669152"/>
        <bgColor indexed="64"/>
      </patternFill>
    </fill>
    <fill>
      <patternFill patternType="solid">
        <fgColor rgb="FF4A6E38"/>
        <bgColor indexed="64"/>
      </patternFill>
    </fill>
    <fill>
      <patternFill patternType="solid">
        <fgColor rgb="FF49623D"/>
        <bgColor indexed="64"/>
      </patternFill>
    </fill>
    <fill>
      <patternFill patternType="solid">
        <fgColor rgb="FF664B68"/>
        <bgColor indexed="64"/>
      </patternFill>
    </fill>
    <fill>
      <patternFill patternType="solid">
        <fgColor rgb="FF9A6DAC"/>
        <bgColor indexed="64"/>
      </patternFill>
    </fill>
    <fill>
      <patternFill patternType="solid">
        <fgColor rgb="FF8F62A5"/>
        <bgColor indexed="64"/>
      </patternFill>
    </fill>
    <fill>
      <patternFill patternType="solid">
        <fgColor rgb="FF7AA73F"/>
        <bgColor indexed="64"/>
      </patternFill>
    </fill>
    <fill>
      <patternFill patternType="solid">
        <fgColor rgb="FF5C8835"/>
        <bgColor indexed="64"/>
      </patternFill>
    </fill>
    <fill>
      <patternFill patternType="solid">
        <fgColor rgb="FF7E9430"/>
        <bgColor indexed="64"/>
      </patternFill>
    </fill>
    <fill>
      <patternFill patternType="solid">
        <fgColor rgb="FFBCAD37"/>
        <bgColor indexed="64"/>
      </patternFill>
    </fill>
    <fill>
      <patternFill patternType="solid">
        <fgColor rgb="FF6E852E"/>
        <bgColor indexed="64"/>
      </patternFill>
    </fill>
    <fill>
      <patternFill patternType="solid">
        <fgColor rgb="FF818E34"/>
        <bgColor indexed="64"/>
      </patternFill>
    </fill>
    <fill>
      <patternFill patternType="solid">
        <fgColor rgb="FF7C7C23"/>
        <bgColor indexed="64"/>
      </patternFill>
    </fill>
    <fill>
      <patternFill patternType="solid">
        <fgColor rgb="FFAFAD2E"/>
        <bgColor indexed="64"/>
      </patternFill>
    </fill>
    <fill>
      <patternFill patternType="solid">
        <fgColor rgb="FFD1C735"/>
        <bgColor indexed="64"/>
      </patternFill>
    </fill>
    <fill>
      <patternFill patternType="solid">
        <fgColor rgb="FF7E9336"/>
        <bgColor indexed="64"/>
      </patternFill>
    </fill>
    <fill>
      <patternFill patternType="solid">
        <fgColor rgb="FF6B8C38"/>
        <bgColor indexed="64"/>
      </patternFill>
    </fill>
    <fill>
      <patternFill patternType="solid">
        <fgColor rgb="FF6E8D39"/>
        <bgColor indexed="64"/>
      </patternFill>
    </fill>
    <fill>
      <patternFill patternType="solid">
        <fgColor rgb="FF7CAA42"/>
        <bgColor indexed="64"/>
      </patternFill>
    </fill>
    <fill>
      <patternFill patternType="solid">
        <fgColor rgb="FF75A43C"/>
        <bgColor indexed="64"/>
      </patternFill>
    </fill>
    <fill>
      <patternFill patternType="solid">
        <fgColor rgb="FF74A53D"/>
        <bgColor indexed="64"/>
      </patternFill>
    </fill>
    <fill>
      <patternFill patternType="solid">
        <fgColor rgb="FF76A541"/>
        <bgColor indexed="64"/>
      </patternFill>
    </fill>
    <fill>
      <patternFill patternType="solid">
        <fgColor rgb="FF687F36"/>
        <bgColor indexed="64"/>
      </patternFill>
    </fill>
    <fill>
      <patternFill patternType="solid">
        <fgColor rgb="FF4B4619"/>
        <bgColor indexed="64"/>
      </patternFill>
    </fill>
    <fill>
      <patternFill patternType="solid">
        <fgColor rgb="FF312708"/>
        <bgColor indexed="64"/>
      </patternFill>
    </fill>
    <fill>
      <patternFill patternType="solid">
        <fgColor rgb="FF637835"/>
        <bgColor indexed="64"/>
      </patternFill>
    </fill>
    <fill>
      <patternFill patternType="solid">
        <fgColor rgb="FF7DA944"/>
        <bgColor indexed="64"/>
      </patternFill>
    </fill>
    <fill>
      <patternFill patternType="solid">
        <fgColor rgb="FF7AA641"/>
        <bgColor indexed="64"/>
      </patternFill>
    </fill>
    <fill>
      <patternFill patternType="solid">
        <fgColor rgb="FF5D6B30"/>
        <bgColor indexed="64"/>
      </patternFill>
    </fill>
    <fill>
      <patternFill patternType="solid">
        <fgColor rgb="FF8E373C"/>
        <bgColor indexed="64"/>
      </patternFill>
    </fill>
    <fill>
      <patternFill patternType="solid">
        <fgColor rgb="FFF35371"/>
        <bgColor indexed="64"/>
      </patternFill>
    </fill>
    <fill>
      <patternFill patternType="solid">
        <fgColor rgb="FFF85770"/>
        <bgColor indexed="64"/>
      </patternFill>
    </fill>
    <fill>
      <patternFill patternType="solid">
        <fgColor rgb="FFF45870"/>
        <bgColor indexed="64"/>
      </patternFill>
    </fill>
    <fill>
      <patternFill patternType="solid">
        <fgColor rgb="FFE34E69"/>
        <bgColor indexed="64"/>
      </patternFill>
    </fill>
    <fill>
      <patternFill patternType="solid">
        <fgColor rgb="FF944240"/>
        <bgColor indexed="64"/>
      </patternFill>
    </fill>
    <fill>
      <patternFill patternType="solid">
        <fgColor rgb="FF6F893C"/>
        <bgColor indexed="64"/>
      </patternFill>
    </fill>
    <fill>
      <patternFill patternType="solid">
        <fgColor rgb="FF7CAA47"/>
        <bgColor indexed="64"/>
      </patternFill>
    </fill>
    <fill>
      <patternFill patternType="solid">
        <fgColor rgb="FF7FAE4A"/>
        <bgColor indexed="64"/>
      </patternFill>
    </fill>
    <fill>
      <patternFill patternType="solid">
        <fgColor rgb="FF789D44"/>
        <bgColor indexed="64"/>
      </patternFill>
    </fill>
    <fill>
      <patternFill patternType="solid">
        <fgColor rgb="FF837D24"/>
        <bgColor indexed="64"/>
      </patternFill>
    </fill>
    <fill>
      <patternFill patternType="solid">
        <fgColor rgb="FF7D933C"/>
        <bgColor indexed="64"/>
      </patternFill>
    </fill>
    <fill>
      <patternFill patternType="solid">
        <fgColor rgb="FF7DAA52"/>
        <bgColor indexed="64"/>
      </patternFill>
    </fill>
    <fill>
      <patternFill patternType="solid">
        <fgColor rgb="FF83B050"/>
        <bgColor indexed="64"/>
      </patternFill>
    </fill>
    <fill>
      <patternFill patternType="solid">
        <fgColor rgb="FF80AD4D"/>
        <bgColor indexed="64"/>
      </patternFill>
    </fill>
    <fill>
      <patternFill patternType="solid">
        <fgColor rgb="FF7AA74A"/>
        <bgColor indexed="64"/>
      </patternFill>
    </fill>
    <fill>
      <patternFill patternType="solid">
        <fgColor rgb="FF78A649"/>
        <bgColor indexed="64"/>
      </patternFill>
    </fill>
    <fill>
      <patternFill patternType="solid">
        <fgColor rgb="FF7AAC4D"/>
        <bgColor indexed="64"/>
      </patternFill>
    </fill>
    <fill>
      <patternFill patternType="solid">
        <fgColor rgb="FF576F2F"/>
        <bgColor indexed="64"/>
      </patternFill>
    </fill>
    <fill>
      <patternFill patternType="solid">
        <fgColor rgb="FF41491C"/>
        <bgColor indexed="64"/>
      </patternFill>
    </fill>
    <fill>
      <patternFill patternType="solid">
        <fgColor rgb="FF87B553"/>
        <bgColor indexed="64"/>
      </patternFill>
    </fill>
    <fill>
      <patternFill patternType="solid">
        <fgColor rgb="FF88B751"/>
        <bgColor indexed="64"/>
      </patternFill>
    </fill>
    <fill>
      <patternFill patternType="solid">
        <fgColor rgb="FF89B551"/>
        <bgColor indexed="64"/>
      </patternFill>
    </fill>
    <fill>
      <patternFill patternType="solid">
        <fgColor rgb="FF81AD47"/>
        <bgColor indexed="64"/>
      </patternFill>
    </fill>
    <fill>
      <patternFill patternType="solid">
        <fgColor rgb="FF6A8C39"/>
        <bgColor indexed="64"/>
      </patternFill>
    </fill>
    <fill>
      <patternFill patternType="solid">
        <fgColor rgb="FFD5CB32"/>
        <bgColor indexed="64"/>
      </patternFill>
    </fill>
    <fill>
      <patternFill patternType="solid">
        <fgColor rgb="FFBAB52E"/>
        <bgColor indexed="64"/>
      </patternFill>
    </fill>
    <fill>
      <patternFill patternType="solid">
        <fgColor rgb="FF3A562F"/>
        <bgColor indexed="64"/>
      </patternFill>
    </fill>
    <fill>
      <patternFill patternType="solid">
        <fgColor rgb="FF40663D"/>
        <bgColor indexed="64"/>
      </patternFill>
    </fill>
    <fill>
      <patternFill patternType="solid">
        <fgColor rgb="FF2B5D4E"/>
        <bgColor indexed="64"/>
      </patternFill>
    </fill>
    <fill>
      <patternFill patternType="solid">
        <fgColor rgb="FF2C554E"/>
        <bgColor indexed="64"/>
      </patternFill>
    </fill>
    <fill>
      <patternFill patternType="solid">
        <fgColor rgb="FFA46F30"/>
        <bgColor indexed="64"/>
      </patternFill>
    </fill>
    <fill>
      <patternFill patternType="solid">
        <fgColor rgb="FF696334"/>
        <bgColor indexed="64"/>
      </patternFill>
    </fill>
    <fill>
      <patternFill patternType="solid">
        <fgColor rgb="FF0F6387"/>
        <bgColor indexed="64"/>
      </patternFill>
    </fill>
    <fill>
      <patternFill patternType="solid">
        <fgColor rgb="FF146995"/>
        <bgColor indexed="64"/>
      </patternFill>
    </fill>
    <fill>
      <patternFill patternType="solid">
        <fgColor rgb="FF0469A5"/>
        <bgColor indexed="64"/>
      </patternFill>
    </fill>
    <fill>
      <patternFill patternType="solid">
        <fgColor rgb="FF799349"/>
        <bgColor indexed="64"/>
      </patternFill>
    </fill>
    <fill>
      <patternFill patternType="solid">
        <fgColor rgb="FF7B963B"/>
        <bgColor indexed="64"/>
      </patternFill>
    </fill>
    <fill>
      <patternFill patternType="solid">
        <fgColor rgb="FF0C78A7"/>
        <bgColor indexed="64"/>
      </patternFill>
    </fill>
    <fill>
      <patternFill patternType="solid">
        <fgColor rgb="FF1C8EBB"/>
        <bgColor indexed="64"/>
      </patternFill>
    </fill>
    <fill>
      <patternFill patternType="solid">
        <fgColor rgb="FF1889B4"/>
        <bgColor indexed="64"/>
      </patternFill>
    </fill>
    <fill>
      <patternFill patternType="solid">
        <fgColor rgb="FF188BB3"/>
        <bgColor indexed="64"/>
      </patternFill>
    </fill>
    <fill>
      <patternFill patternType="solid">
        <fgColor rgb="FF188DB5"/>
        <bgColor indexed="64"/>
      </patternFill>
    </fill>
    <fill>
      <patternFill patternType="solid">
        <fgColor rgb="FF198DB7"/>
        <bgColor indexed="64"/>
      </patternFill>
    </fill>
    <fill>
      <patternFill patternType="solid">
        <fgColor rgb="FF1687B2"/>
        <bgColor indexed="64"/>
      </patternFill>
    </fill>
    <fill>
      <patternFill patternType="solid">
        <fgColor rgb="FF1683B3"/>
        <bgColor indexed="64"/>
      </patternFill>
    </fill>
    <fill>
      <patternFill patternType="solid">
        <fgColor rgb="FF1684B1"/>
        <bgColor indexed="64"/>
      </patternFill>
    </fill>
    <fill>
      <patternFill patternType="solid">
        <fgColor rgb="FF157EAF"/>
        <bgColor indexed="64"/>
      </patternFill>
    </fill>
    <fill>
      <patternFill patternType="solid">
        <fgColor rgb="FF124766"/>
        <bgColor indexed="64"/>
      </patternFill>
    </fill>
    <fill>
      <patternFill patternType="solid">
        <fgColor rgb="FF1B82A7"/>
        <bgColor indexed="64"/>
      </patternFill>
    </fill>
    <fill>
      <patternFill patternType="solid">
        <fgColor rgb="FF1688B6"/>
        <bgColor indexed="64"/>
      </patternFill>
    </fill>
    <fill>
      <patternFill patternType="solid">
        <fgColor rgb="FF1788B8"/>
        <bgColor indexed="64"/>
      </patternFill>
    </fill>
    <fill>
      <patternFill patternType="solid">
        <fgColor rgb="FF1988BA"/>
        <bgColor indexed="64"/>
      </patternFill>
    </fill>
    <fill>
      <patternFill patternType="solid">
        <fgColor rgb="FF067ABB"/>
        <bgColor indexed="64"/>
      </patternFill>
    </fill>
    <fill>
      <patternFill patternType="solid">
        <fgColor rgb="FF6A9A64"/>
        <bgColor indexed="64"/>
      </patternFill>
    </fill>
    <fill>
      <patternFill patternType="solid">
        <fgColor rgb="FFB7B92A"/>
        <bgColor indexed="64"/>
      </patternFill>
    </fill>
    <fill>
      <patternFill patternType="solid">
        <fgColor rgb="FF0E6680"/>
        <bgColor indexed="64"/>
      </patternFill>
    </fill>
    <fill>
      <patternFill patternType="solid">
        <fgColor rgb="FF0C70A5"/>
        <bgColor indexed="64"/>
      </patternFill>
    </fill>
    <fill>
      <patternFill patternType="solid">
        <fgColor rgb="FF0D648D"/>
        <bgColor indexed="64"/>
      </patternFill>
    </fill>
    <fill>
      <patternFill patternType="solid">
        <fgColor rgb="FF0E638B"/>
        <bgColor indexed="64"/>
      </patternFill>
    </fill>
    <fill>
      <patternFill patternType="solid">
        <fgColor rgb="FF136382"/>
        <bgColor indexed="64"/>
      </patternFill>
    </fill>
    <fill>
      <patternFill patternType="solid">
        <fgColor rgb="FF10485A"/>
        <bgColor indexed="64"/>
      </patternFill>
    </fill>
    <fill>
      <patternFill patternType="solid">
        <fgColor rgb="FF634C65"/>
        <bgColor indexed="64"/>
      </patternFill>
    </fill>
    <fill>
      <patternFill patternType="solid">
        <fgColor rgb="FF9D6CB0"/>
        <bgColor indexed="64"/>
      </patternFill>
    </fill>
    <fill>
      <patternFill patternType="solid">
        <fgColor rgb="FF7B5593"/>
        <bgColor indexed="64"/>
      </patternFill>
    </fill>
    <fill>
      <patternFill patternType="solid">
        <fgColor rgb="FF9364A4"/>
        <bgColor indexed="64"/>
      </patternFill>
    </fill>
    <fill>
      <patternFill patternType="solid">
        <fgColor rgb="FF77A740"/>
        <bgColor indexed="64"/>
      </patternFill>
    </fill>
    <fill>
      <patternFill patternType="solid">
        <fgColor rgb="FF607B2C"/>
        <bgColor indexed="64"/>
      </patternFill>
    </fill>
    <fill>
      <patternFill patternType="solid">
        <fgColor rgb="FF717022"/>
        <bgColor indexed="64"/>
      </patternFill>
    </fill>
    <fill>
      <patternFill patternType="solid">
        <fgColor rgb="FF796B1E"/>
        <bgColor indexed="64"/>
      </patternFill>
    </fill>
    <fill>
      <patternFill patternType="solid">
        <fgColor rgb="FFA7A12E"/>
        <bgColor indexed="64"/>
      </patternFill>
    </fill>
    <fill>
      <patternFill patternType="solid">
        <fgColor rgb="FF979428"/>
        <bgColor indexed="64"/>
      </patternFill>
    </fill>
    <fill>
      <patternFill patternType="solid">
        <fgColor rgb="FFE7DE35"/>
        <bgColor indexed="64"/>
      </patternFill>
    </fill>
    <fill>
      <patternFill patternType="solid">
        <fgColor rgb="FFD6CC32"/>
        <bgColor indexed="64"/>
      </patternFill>
    </fill>
    <fill>
      <patternFill patternType="solid">
        <fgColor rgb="FFA49F26"/>
        <bgColor indexed="64"/>
      </patternFill>
    </fill>
    <fill>
      <patternFill patternType="solid">
        <fgColor rgb="FF919226"/>
        <bgColor indexed="64"/>
      </patternFill>
    </fill>
    <fill>
      <patternFill patternType="solid">
        <fgColor rgb="FF99A12D"/>
        <bgColor indexed="64"/>
      </patternFill>
    </fill>
    <fill>
      <patternFill patternType="solid">
        <fgColor rgb="FF83AA40"/>
        <bgColor indexed="64"/>
      </patternFill>
    </fill>
    <fill>
      <patternFill patternType="solid">
        <fgColor rgb="FF7AA63F"/>
        <bgColor indexed="64"/>
      </patternFill>
    </fill>
    <fill>
      <patternFill patternType="solid">
        <fgColor rgb="FF79A63C"/>
        <bgColor indexed="64"/>
      </patternFill>
    </fill>
    <fill>
      <patternFill patternType="solid">
        <fgColor rgb="FF76A63B"/>
        <bgColor indexed="64"/>
      </patternFill>
    </fill>
    <fill>
      <patternFill patternType="solid">
        <fgColor rgb="FF71A13E"/>
        <bgColor indexed="64"/>
      </patternFill>
    </fill>
    <fill>
      <patternFill patternType="solid">
        <fgColor rgb="FF728738"/>
        <bgColor indexed="64"/>
      </patternFill>
    </fill>
    <fill>
      <patternFill patternType="solid">
        <fgColor rgb="FF6D6525"/>
        <bgColor indexed="64"/>
      </patternFill>
    </fill>
    <fill>
      <patternFill patternType="solid">
        <fgColor rgb="FF574B16"/>
        <bgColor indexed="64"/>
      </patternFill>
    </fill>
    <fill>
      <patternFill patternType="solid">
        <fgColor rgb="FF697E35"/>
        <bgColor indexed="64"/>
      </patternFill>
    </fill>
    <fill>
      <patternFill patternType="solid">
        <fgColor rgb="FF7EAD49"/>
        <bgColor indexed="64"/>
      </patternFill>
    </fill>
    <fill>
      <patternFill patternType="solid">
        <fgColor rgb="FF85AF45"/>
        <bgColor indexed="64"/>
      </patternFill>
    </fill>
    <fill>
      <patternFill patternType="solid">
        <fgColor rgb="FF85B545"/>
        <bgColor indexed="64"/>
      </patternFill>
    </fill>
    <fill>
      <patternFill patternType="solid">
        <fgColor rgb="FF7B7E39"/>
        <bgColor indexed="64"/>
      </patternFill>
    </fill>
    <fill>
      <patternFill patternType="solid">
        <fgColor rgb="FF994240"/>
        <bgColor indexed="64"/>
      </patternFill>
    </fill>
    <fill>
      <patternFill patternType="solid">
        <fgColor rgb="FFE54B67"/>
        <bgColor indexed="64"/>
      </patternFill>
    </fill>
    <fill>
      <patternFill patternType="solid">
        <fgColor rgb="FFFA5373"/>
        <bgColor indexed="64"/>
      </patternFill>
    </fill>
    <fill>
      <patternFill patternType="solid">
        <fgColor rgb="FFAE494C"/>
        <bgColor indexed="64"/>
      </patternFill>
    </fill>
    <fill>
      <patternFill patternType="solid">
        <fgColor rgb="FF8E5041"/>
        <bgColor indexed="64"/>
      </patternFill>
    </fill>
    <fill>
      <patternFill patternType="solid">
        <fgColor rgb="FF7E7F41"/>
        <bgColor indexed="64"/>
      </patternFill>
    </fill>
    <fill>
      <patternFill patternType="solid">
        <fgColor rgb="FF7FB34C"/>
        <bgColor indexed="64"/>
      </patternFill>
    </fill>
    <fill>
      <patternFill patternType="solid">
        <fgColor rgb="FF76A049"/>
        <bgColor indexed="64"/>
      </patternFill>
    </fill>
    <fill>
      <patternFill patternType="solid">
        <fgColor rgb="FF567535"/>
        <bgColor indexed="64"/>
      </patternFill>
    </fill>
    <fill>
      <patternFill patternType="solid">
        <fgColor rgb="FF4C642C"/>
        <bgColor indexed="64"/>
      </patternFill>
    </fill>
    <fill>
      <patternFill patternType="solid">
        <fgColor rgb="FF66863E"/>
        <bgColor indexed="64"/>
      </patternFill>
    </fill>
    <fill>
      <patternFill patternType="solid">
        <fgColor rgb="FF6C9241"/>
        <bgColor indexed="64"/>
      </patternFill>
    </fill>
    <fill>
      <patternFill patternType="solid">
        <fgColor rgb="FF759C48"/>
        <bgColor indexed="64"/>
      </patternFill>
    </fill>
    <fill>
      <patternFill patternType="solid">
        <fgColor rgb="FF79A44A"/>
        <bgColor indexed="64"/>
      </patternFill>
    </fill>
    <fill>
      <patternFill patternType="solid">
        <fgColor rgb="FF7BA84A"/>
        <bgColor indexed="64"/>
      </patternFill>
    </fill>
    <fill>
      <patternFill patternType="solid">
        <fgColor rgb="FF7BA949"/>
        <bgColor indexed="64"/>
      </patternFill>
    </fill>
    <fill>
      <patternFill patternType="solid">
        <fgColor rgb="FF7BA94D"/>
        <bgColor indexed="64"/>
      </patternFill>
    </fill>
    <fill>
      <patternFill patternType="solid">
        <fgColor rgb="FF71A24B"/>
        <bgColor indexed="64"/>
      </patternFill>
    </fill>
    <fill>
      <patternFill patternType="solid">
        <fgColor rgb="FF899F3E"/>
        <bgColor indexed="64"/>
      </patternFill>
    </fill>
    <fill>
      <patternFill patternType="solid">
        <fgColor rgb="FF878E32"/>
        <bgColor indexed="64"/>
      </patternFill>
    </fill>
    <fill>
      <patternFill patternType="solid">
        <fgColor rgb="FF82AD4F"/>
        <bgColor indexed="64"/>
      </patternFill>
    </fill>
    <fill>
      <patternFill patternType="solid">
        <fgColor rgb="FF84AD48"/>
        <bgColor indexed="64"/>
      </patternFill>
    </fill>
    <fill>
      <patternFill patternType="solid">
        <fgColor rgb="FF628C3E"/>
        <bgColor indexed="64"/>
      </patternFill>
    </fill>
    <fill>
      <patternFill patternType="solid">
        <fgColor rgb="FF47703E"/>
        <bgColor indexed="64"/>
      </patternFill>
    </fill>
    <fill>
      <patternFill patternType="solid">
        <fgColor rgb="FF356A51"/>
        <bgColor indexed="64"/>
      </patternFill>
    </fill>
    <fill>
      <patternFill patternType="solid">
        <fgColor rgb="FF205956"/>
        <bgColor indexed="64"/>
      </patternFill>
    </fill>
    <fill>
      <patternFill patternType="solid">
        <fgColor rgb="FFC7C134"/>
        <bgColor indexed="64"/>
      </patternFill>
    </fill>
    <fill>
      <patternFill patternType="solid">
        <fgColor rgb="FFA7A62F"/>
        <bgColor indexed="64"/>
      </patternFill>
    </fill>
    <fill>
      <patternFill patternType="solid">
        <fgColor rgb="FF034165"/>
        <bgColor indexed="64"/>
      </patternFill>
    </fill>
    <fill>
      <patternFill patternType="solid">
        <fgColor rgb="FF146991"/>
        <bgColor indexed="64"/>
      </patternFill>
    </fill>
    <fill>
      <patternFill patternType="solid">
        <fgColor rgb="FF0472AC"/>
        <bgColor indexed="64"/>
      </patternFill>
    </fill>
    <fill>
      <patternFill patternType="solid">
        <fgColor rgb="FF776560"/>
        <bgColor indexed="64"/>
      </patternFill>
    </fill>
    <fill>
      <patternFill patternType="solid">
        <fgColor rgb="FFFF9149"/>
        <bgColor indexed="64"/>
      </patternFill>
    </fill>
    <fill>
      <patternFill patternType="solid">
        <fgColor rgb="FF3D6A74"/>
        <bgColor indexed="64"/>
      </patternFill>
    </fill>
    <fill>
      <patternFill patternType="solid">
        <fgColor rgb="FF1082B3"/>
        <bgColor indexed="64"/>
      </patternFill>
    </fill>
    <fill>
      <patternFill patternType="solid">
        <fgColor rgb="FF1E8DBA"/>
        <bgColor indexed="64"/>
      </patternFill>
    </fill>
    <fill>
      <patternFill patternType="solid">
        <fgColor rgb="FF086598"/>
        <bgColor indexed="64"/>
      </patternFill>
    </fill>
    <fill>
      <patternFill patternType="solid">
        <fgColor rgb="FF9EA230"/>
        <bgColor indexed="64"/>
      </patternFill>
    </fill>
    <fill>
      <patternFill patternType="solid">
        <fgColor rgb="FFFEFA38"/>
        <bgColor indexed="64"/>
      </patternFill>
    </fill>
    <fill>
      <patternFill patternType="solid">
        <fgColor rgb="FF3D6C4E"/>
        <bgColor indexed="64"/>
      </patternFill>
    </fill>
    <fill>
      <patternFill patternType="solid">
        <fgColor rgb="FF127FB1"/>
        <bgColor indexed="64"/>
      </patternFill>
    </fill>
    <fill>
      <patternFill patternType="solid">
        <fgColor rgb="FF1986AF"/>
        <bgColor indexed="64"/>
      </patternFill>
    </fill>
    <fill>
      <patternFill patternType="solid">
        <fgColor rgb="FF1787B0"/>
        <bgColor indexed="64"/>
      </patternFill>
    </fill>
    <fill>
      <patternFill patternType="solid">
        <fgColor rgb="FF1582AF"/>
        <bgColor indexed="64"/>
      </patternFill>
    </fill>
    <fill>
      <patternFill patternType="solid">
        <fgColor rgb="FF1681AA"/>
        <bgColor indexed="64"/>
      </patternFill>
    </fill>
    <fill>
      <patternFill patternType="solid">
        <fgColor rgb="FF147EAB"/>
        <bgColor indexed="64"/>
      </patternFill>
    </fill>
    <fill>
      <patternFill patternType="solid">
        <fgColor rgb="FF1580AF"/>
        <bgColor indexed="64"/>
      </patternFill>
    </fill>
    <fill>
      <patternFill patternType="solid">
        <fgColor rgb="FF157DAA"/>
        <bgColor indexed="64"/>
      </patternFill>
    </fill>
    <fill>
      <patternFill patternType="solid">
        <fgColor rgb="FF1184AF"/>
        <bgColor indexed="64"/>
      </patternFill>
    </fill>
    <fill>
      <patternFill patternType="solid">
        <fgColor rgb="FF216898"/>
        <bgColor indexed="64"/>
      </patternFill>
    </fill>
    <fill>
      <patternFill patternType="solid">
        <fgColor rgb="FF453C56"/>
        <bgColor indexed="64"/>
      </patternFill>
    </fill>
    <fill>
      <patternFill patternType="solid">
        <fgColor rgb="FF1582AA"/>
        <bgColor indexed="64"/>
      </patternFill>
    </fill>
    <fill>
      <patternFill patternType="solid">
        <fgColor rgb="FF1788B7"/>
        <bgColor indexed="64"/>
      </patternFill>
    </fill>
    <fill>
      <patternFill patternType="solid">
        <fgColor rgb="FF1982AF"/>
        <bgColor indexed="64"/>
      </patternFill>
    </fill>
    <fill>
      <patternFill patternType="solid">
        <fgColor rgb="FF1880AE"/>
        <bgColor indexed="64"/>
      </patternFill>
    </fill>
    <fill>
      <patternFill patternType="solid">
        <fgColor rgb="FF117EB1"/>
        <bgColor indexed="64"/>
      </patternFill>
    </fill>
    <fill>
      <patternFill patternType="solid">
        <fgColor rgb="FF365648"/>
        <bgColor indexed="64"/>
      </patternFill>
    </fill>
    <fill>
      <patternFill patternType="solid">
        <fgColor rgb="FF59692E"/>
        <bgColor indexed="64"/>
      </patternFill>
    </fill>
    <fill>
      <patternFill patternType="solid">
        <fgColor rgb="FF147CA0"/>
        <bgColor indexed="64"/>
      </patternFill>
    </fill>
    <fill>
      <patternFill patternType="solid">
        <fgColor rgb="FF1580B3"/>
        <bgColor indexed="64"/>
      </patternFill>
    </fill>
    <fill>
      <patternFill patternType="solid">
        <fgColor rgb="FF1581B4"/>
        <bgColor indexed="64"/>
      </patternFill>
    </fill>
    <fill>
      <patternFill patternType="solid">
        <fgColor rgb="FF147FB4"/>
        <bgColor indexed="64"/>
      </patternFill>
    </fill>
    <fill>
      <patternFill patternType="solid">
        <fgColor rgb="FF1080B8"/>
        <bgColor indexed="64"/>
      </patternFill>
    </fill>
    <fill>
      <patternFill patternType="solid">
        <fgColor rgb="FF1C4F7D"/>
        <bgColor indexed="64"/>
      </patternFill>
    </fill>
    <fill>
      <patternFill patternType="solid">
        <fgColor rgb="FF916199"/>
        <bgColor indexed="64"/>
      </patternFill>
    </fill>
    <fill>
      <patternFill patternType="solid">
        <fgColor rgb="FF755191"/>
        <bgColor indexed="64"/>
      </patternFill>
    </fill>
    <fill>
      <patternFill patternType="solid">
        <fgColor rgb="FF7C568C"/>
        <bgColor indexed="64"/>
      </patternFill>
    </fill>
    <fill>
      <patternFill patternType="solid">
        <fgColor rgb="FF835998"/>
        <bgColor indexed="64"/>
      </patternFill>
    </fill>
    <fill>
      <patternFill patternType="solid">
        <fgColor rgb="FF6A9033"/>
        <bgColor indexed="64"/>
      </patternFill>
    </fill>
    <fill>
      <patternFill patternType="solid">
        <fgColor rgb="FF697A25"/>
        <bgColor indexed="64"/>
      </patternFill>
    </fill>
    <fill>
      <patternFill patternType="solid">
        <fgColor rgb="FFAEA62C"/>
        <bgColor indexed="64"/>
      </patternFill>
    </fill>
    <fill>
      <patternFill patternType="solid">
        <fgColor rgb="FFA29622"/>
        <bgColor indexed="64"/>
      </patternFill>
    </fill>
    <fill>
      <patternFill patternType="solid">
        <fgColor rgb="FFE0CE2F"/>
        <bgColor indexed="64"/>
      </patternFill>
    </fill>
    <fill>
      <patternFill patternType="solid">
        <fgColor rgb="FFF8EA34"/>
        <bgColor indexed="64"/>
      </patternFill>
    </fill>
    <fill>
      <patternFill patternType="solid">
        <fgColor rgb="FFFFF738"/>
        <bgColor indexed="64"/>
      </patternFill>
    </fill>
    <fill>
      <patternFill patternType="solid">
        <fgColor rgb="FFD9CE32"/>
        <bgColor indexed="64"/>
      </patternFill>
    </fill>
    <fill>
      <patternFill patternType="solid">
        <fgColor rgb="FFFAF137"/>
        <bgColor indexed="64"/>
      </patternFill>
    </fill>
    <fill>
      <patternFill patternType="solid">
        <fgColor rgb="FFE9DF31"/>
        <bgColor indexed="64"/>
      </patternFill>
    </fill>
    <fill>
      <patternFill patternType="solid">
        <fgColor rgb="FF707A1B"/>
        <bgColor indexed="64"/>
      </patternFill>
    </fill>
    <fill>
      <patternFill patternType="solid">
        <fgColor rgb="FF76A13B"/>
        <bgColor indexed="64"/>
      </patternFill>
    </fill>
    <fill>
      <patternFill patternType="solid">
        <fgColor rgb="FF7BA740"/>
        <bgColor indexed="64"/>
      </patternFill>
    </fill>
    <fill>
      <patternFill patternType="solid">
        <fgColor rgb="FF78A639"/>
        <bgColor indexed="64"/>
      </patternFill>
    </fill>
    <fill>
      <patternFill patternType="solid">
        <fgColor rgb="FF74A33A"/>
        <bgColor indexed="64"/>
      </patternFill>
    </fill>
    <fill>
      <patternFill patternType="solid">
        <fgColor rgb="FF73A03E"/>
        <bgColor indexed="64"/>
      </patternFill>
    </fill>
    <fill>
      <patternFill patternType="solid">
        <fgColor rgb="FF6D8637"/>
        <bgColor indexed="64"/>
      </patternFill>
    </fill>
    <fill>
      <patternFill patternType="solid">
        <fgColor rgb="FF988D2E"/>
        <bgColor indexed="64"/>
      </patternFill>
    </fill>
    <fill>
      <patternFill patternType="solid">
        <fgColor rgb="FFD3C733"/>
        <bgColor indexed="64"/>
      </patternFill>
    </fill>
    <fill>
      <patternFill patternType="solid">
        <fgColor rgb="FF6F8331"/>
        <bgColor indexed="64"/>
      </patternFill>
    </fill>
    <fill>
      <patternFill patternType="solid">
        <fgColor rgb="FF7AA849"/>
        <bgColor indexed="64"/>
      </patternFill>
    </fill>
    <fill>
      <patternFill patternType="solid">
        <fgColor rgb="FF84AF46"/>
        <bgColor indexed="64"/>
      </patternFill>
    </fill>
    <fill>
      <patternFill patternType="solid">
        <fgColor rgb="FF84B046"/>
        <bgColor indexed="64"/>
      </patternFill>
    </fill>
    <fill>
      <patternFill patternType="solid">
        <fgColor rgb="FF87B649"/>
        <bgColor indexed="64"/>
      </patternFill>
    </fill>
    <fill>
      <patternFill patternType="solid">
        <fgColor rgb="FF6D6F37"/>
        <bgColor indexed="64"/>
      </patternFill>
    </fill>
    <fill>
      <patternFill patternType="solid">
        <fgColor rgb="FF9D384A"/>
        <bgColor indexed="64"/>
      </patternFill>
    </fill>
    <fill>
      <patternFill patternType="solid">
        <fgColor rgb="FFD75065"/>
        <bgColor indexed="64"/>
      </patternFill>
    </fill>
    <fill>
      <patternFill patternType="solid">
        <fgColor rgb="FFEC506D"/>
        <bgColor indexed="64"/>
      </patternFill>
    </fill>
    <fill>
      <patternFill patternType="solid">
        <fgColor rgb="FF9F4C4A"/>
        <bgColor indexed="64"/>
      </patternFill>
    </fill>
    <fill>
      <patternFill patternType="solid">
        <fgColor rgb="FF678F35"/>
        <bgColor indexed="64"/>
      </patternFill>
    </fill>
    <fill>
      <patternFill patternType="solid">
        <fgColor rgb="FF719741"/>
        <bgColor indexed="64"/>
      </patternFill>
    </fill>
    <fill>
      <patternFill patternType="solid">
        <fgColor rgb="FF80AA50"/>
        <bgColor indexed="64"/>
      </patternFill>
    </fill>
    <fill>
      <patternFill patternType="solid">
        <fgColor rgb="FF567435"/>
        <bgColor indexed="64"/>
      </patternFill>
    </fill>
    <fill>
      <patternFill patternType="solid">
        <fgColor rgb="FF6A8E3E"/>
        <bgColor indexed="64"/>
      </patternFill>
    </fill>
    <fill>
      <patternFill patternType="solid">
        <fgColor rgb="FF7FAB4D"/>
        <bgColor indexed="64"/>
      </patternFill>
    </fill>
    <fill>
      <patternFill patternType="solid">
        <fgColor rgb="FF739D44"/>
        <bgColor indexed="64"/>
      </patternFill>
    </fill>
    <fill>
      <patternFill patternType="solid">
        <fgColor rgb="FF5A7B36"/>
        <bgColor indexed="64"/>
      </patternFill>
    </fill>
    <fill>
      <patternFill patternType="solid">
        <fgColor rgb="FF719A45"/>
        <bgColor indexed="64"/>
      </patternFill>
    </fill>
    <fill>
      <patternFill patternType="solid">
        <fgColor rgb="FF80AE50"/>
        <bgColor indexed="64"/>
      </patternFill>
    </fill>
    <fill>
      <patternFill patternType="solid">
        <fgColor rgb="FF7CA84B"/>
        <bgColor indexed="64"/>
      </patternFill>
    </fill>
    <fill>
      <patternFill patternType="solid">
        <fgColor rgb="FF80AF51"/>
        <bgColor indexed="64"/>
      </patternFill>
    </fill>
    <fill>
      <patternFill patternType="solid">
        <fgColor rgb="FF809938"/>
        <bgColor indexed="64"/>
      </patternFill>
    </fill>
    <fill>
      <patternFill patternType="solid">
        <fgColor rgb="FF7F832D"/>
        <bgColor indexed="64"/>
      </patternFill>
    </fill>
    <fill>
      <patternFill patternType="solid">
        <fgColor rgb="FF456739"/>
        <bgColor indexed="64"/>
      </patternFill>
    </fill>
    <fill>
      <patternFill patternType="solid">
        <fgColor rgb="FF2E6455"/>
        <bgColor indexed="64"/>
      </patternFill>
    </fill>
    <fill>
      <patternFill patternType="solid">
        <fgColor rgb="FF165E74"/>
        <bgColor indexed="64"/>
      </patternFill>
    </fill>
    <fill>
      <patternFill patternType="solid">
        <fgColor rgb="FF0E5F84"/>
        <bgColor indexed="64"/>
      </patternFill>
    </fill>
    <fill>
      <patternFill patternType="solid">
        <fgColor rgb="FF136F9A"/>
        <bgColor indexed="64"/>
      </patternFill>
    </fill>
    <fill>
      <patternFill patternType="solid">
        <fgColor rgb="FF066691"/>
        <bgColor indexed="64"/>
      </patternFill>
    </fill>
    <fill>
      <patternFill patternType="solid">
        <fgColor rgb="FFC6C437"/>
        <bgColor indexed="64"/>
      </patternFill>
    </fill>
    <fill>
      <patternFill patternType="solid">
        <fgColor rgb="FFABAC31"/>
        <bgColor indexed="64"/>
      </patternFill>
    </fill>
    <fill>
      <patternFill patternType="solid">
        <fgColor rgb="FF0B658D"/>
        <bgColor indexed="64"/>
      </patternFill>
    </fill>
    <fill>
      <patternFill patternType="solid">
        <fgColor rgb="FF1387BB"/>
        <bgColor indexed="64"/>
      </patternFill>
    </fill>
    <fill>
      <patternFill patternType="solid">
        <fgColor rgb="FF486779"/>
        <bgColor indexed="64"/>
      </patternFill>
    </fill>
    <fill>
      <patternFill patternType="solid">
        <fgColor rgb="FFF99045"/>
        <bgColor indexed="64"/>
      </patternFill>
    </fill>
    <fill>
      <patternFill patternType="solid">
        <fgColor rgb="FFC9844B"/>
        <bgColor indexed="64"/>
      </patternFill>
    </fill>
    <fill>
      <patternFill patternType="solid">
        <fgColor rgb="FF1A7191"/>
        <bgColor indexed="64"/>
      </patternFill>
    </fill>
    <fill>
      <patternFill patternType="solid">
        <fgColor rgb="FF1783B4"/>
        <bgColor indexed="64"/>
      </patternFill>
    </fill>
    <fill>
      <patternFill patternType="solid">
        <fgColor rgb="FF1786B9"/>
        <bgColor indexed="64"/>
      </patternFill>
    </fill>
    <fill>
      <patternFill patternType="solid">
        <fgColor rgb="FF125B81"/>
        <bgColor indexed="64"/>
      </patternFill>
    </fill>
    <fill>
      <patternFill patternType="solid">
        <fgColor rgb="FFA79C29"/>
        <bgColor indexed="64"/>
      </patternFill>
    </fill>
    <fill>
      <patternFill patternType="solid">
        <fgColor rgb="FFDFD731"/>
        <bgColor indexed="64"/>
      </patternFill>
    </fill>
    <fill>
      <patternFill patternType="solid">
        <fgColor rgb="FF18606B"/>
        <bgColor indexed="64"/>
      </patternFill>
    </fill>
    <fill>
      <patternFill patternType="solid">
        <fgColor rgb="FF1687BC"/>
        <bgColor indexed="64"/>
      </patternFill>
    </fill>
    <fill>
      <patternFill patternType="solid">
        <fgColor rgb="FF14719D"/>
        <bgColor indexed="64"/>
      </patternFill>
    </fill>
    <fill>
      <patternFill patternType="solid">
        <fgColor rgb="FF12668C"/>
        <bgColor indexed="64"/>
      </patternFill>
    </fill>
    <fill>
      <patternFill patternType="solid">
        <fgColor rgb="FF115E86"/>
        <bgColor indexed="64"/>
      </patternFill>
    </fill>
    <fill>
      <patternFill patternType="solid">
        <fgColor rgb="FF105B7D"/>
        <bgColor indexed="64"/>
      </patternFill>
    </fill>
    <fill>
      <patternFill patternType="solid">
        <fgColor rgb="FF1681AF"/>
        <bgColor indexed="64"/>
      </patternFill>
    </fill>
    <fill>
      <patternFill patternType="solid">
        <fgColor rgb="FF116D9A"/>
        <bgColor indexed="64"/>
      </patternFill>
    </fill>
    <fill>
      <patternFill patternType="solid">
        <fgColor rgb="FF1780AA"/>
        <bgColor indexed="64"/>
      </patternFill>
    </fill>
    <fill>
      <patternFill patternType="solid">
        <fgColor rgb="FF0579AC"/>
        <bgColor indexed="64"/>
      </patternFill>
    </fill>
    <fill>
      <patternFill patternType="solid">
        <fgColor rgb="FF8D4E6B"/>
        <bgColor indexed="64"/>
      </patternFill>
    </fill>
    <fill>
      <patternFill patternType="solid">
        <fgColor rgb="FF83506E"/>
        <bgColor indexed="64"/>
      </patternFill>
    </fill>
    <fill>
      <patternFill patternType="solid">
        <fgColor rgb="FF136A96"/>
        <bgColor indexed="64"/>
      </patternFill>
    </fill>
    <fill>
      <patternFill patternType="solid">
        <fgColor rgb="FF1777A2"/>
        <bgColor indexed="64"/>
      </patternFill>
    </fill>
    <fill>
      <patternFill patternType="solid">
        <fgColor rgb="FF0988B8"/>
        <bgColor indexed="64"/>
      </patternFill>
    </fill>
    <fill>
      <patternFill patternType="solid">
        <fgColor rgb="FF0983B1"/>
        <bgColor indexed="64"/>
      </patternFill>
    </fill>
    <fill>
      <patternFill patternType="solid">
        <fgColor rgb="FF1B73A6"/>
        <bgColor indexed="64"/>
      </patternFill>
    </fill>
    <fill>
      <patternFill patternType="solid">
        <fgColor rgb="FF0E172E"/>
        <bgColor indexed="64"/>
      </patternFill>
    </fill>
    <fill>
      <patternFill patternType="solid">
        <fgColor rgb="FF173531"/>
        <bgColor indexed="64"/>
      </patternFill>
    </fill>
    <fill>
      <patternFill patternType="solid">
        <fgColor rgb="FF157CA7"/>
        <bgColor indexed="64"/>
      </patternFill>
    </fill>
    <fill>
      <patternFill patternType="solid">
        <fgColor rgb="FF127AAB"/>
        <bgColor indexed="64"/>
      </patternFill>
    </fill>
    <fill>
      <patternFill patternType="solid">
        <fgColor rgb="FF137AAB"/>
        <bgColor indexed="64"/>
      </patternFill>
    </fill>
    <fill>
      <patternFill patternType="solid">
        <fgColor rgb="FF147AAB"/>
        <bgColor indexed="64"/>
      </patternFill>
    </fill>
    <fill>
      <patternFill patternType="solid">
        <fgColor rgb="FF0B71A6"/>
        <bgColor indexed="64"/>
      </patternFill>
    </fill>
    <fill>
      <patternFill patternType="solid">
        <fgColor rgb="FF404A72"/>
        <bgColor indexed="64"/>
      </patternFill>
    </fill>
    <fill>
      <patternFill patternType="solid">
        <fgColor rgb="FF67477B"/>
        <bgColor indexed="64"/>
      </patternFill>
    </fill>
    <fill>
      <patternFill patternType="solid">
        <fgColor rgb="FF604573"/>
        <bgColor indexed="64"/>
      </patternFill>
    </fill>
    <fill>
      <patternFill patternType="solid">
        <fgColor rgb="FF9467A8"/>
        <bgColor indexed="64"/>
      </patternFill>
    </fill>
    <fill>
      <patternFill patternType="solid">
        <fgColor rgb="FF67457F"/>
        <bgColor indexed="64"/>
      </patternFill>
    </fill>
    <fill>
      <patternFill patternType="solid">
        <fgColor rgb="FF759F39"/>
        <bgColor indexed="64"/>
      </patternFill>
    </fill>
    <fill>
      <patternFill patternType="solid">
        <fgColor rgb="FF6C7D26"/>
        <bgColor indexed="64"/>
      </patternFill>
    </fill>
    <fill>
      <patternFill patternType="solid">
        <fgColor rgb="FFC0B82B"/>
        <bgColor indexed="64"/>
      </patternFill>
    </fill>
    <fill>
      <patternFill patternType="solid">
        <fgColor rgb="FFFFF939"/>
        <bgColor indexed="64"/>
      </patternFill>
    </fill>
    <fill>
      <patternFill patternType="solid">
        <fgColor rgb="FFFAEA34"/>
        <bgColor indexed="64"/>
      </patternFill>
    </fill>
    <fill>
      <patternFill patternType="solid">
        <fgColor rgb="FFFEEC35"/>
        <bgColor indexed="64"/>
      </patternFill>
    </fill>
    <fill>
      <patternFill patternType="solid">
        <fgColor rgb="FFFCF036"/>
        <bgColor indexed="64"/>
      </patternFill>
    </fill>
    <fill>
      <patternFill patternType="solid">
        <fgColor rgb="FFFFF737"/>
        <bgColor indexed="64"/>
      </patternFill>
    </fill>
    <fill>
      <patternFill patternType="solid">
        <fgColor rgb="FFFBF035"/>
        <bgColor indexed="64"/>
      </patternFill>
    </fill>
    <fill>
      <patternFill patternType="solid">
        <fgColor rgb="FFEEE535"/>
        <bgColor indexed="64"/>
      </patternFill>
    </fill>
    <fill>
      <patternFill patternType="solid">
        <fgColor rgb="FF959427"/>
        <bgColor indexed="64"/>
      </patternFill>
    </fill>
    <fill>
      <patternFill patternType="solid">
        <fgColor rgb="FF638634"/>
        <bgColor indexed="64"/>
      </patternFill>
    </fill>
    <fill>
      <patternFill patternType="solid">
        <fgColor rgb="FF77A53D"/>
        <bgColor indexed="64"/>
      </patternFill>
    </fill>
    <fill>
      <patternFill patternType="solid">
        <fgColor rgb="FF76A43B"/>
        <bgColor indexed="64"/>
      </patternFill>
    </fill>
    <fill>
      <patternFill patternType="solid">
        <fgColor rgb="FF74A43F"/>
        <bgColor indexed="64"/>
      </patternFill>
    </fill>
    <fill>
      <patternFill patternType="solid">
        <fgColor rgb="FF658132"/>
        <bgColor indexed="64"/>
      </patternFill>
    </fill>
    <fill>
      <patternFill patternType="solid">
        <fgColor rgb="FF9D912B"/>
        <bgColor indexed="64"/>
      </patternFill>
    </fill>
    <fill>
      <patternFill patternType="solid">
        <fgColor rgb="FFF9ED38"/>
        <bgColor indexed="64"/>
      </patternFill>
    </fill>
    <fill>
      <patternFill patternType="solid">
        <fgColor rgb="FF70822F"/>
        <bgColor indexed="64"/>
      </patternFill>
    </fill>
    <fill>
      <patternFill patternType="solid">
        <fgColor rgb="FF79A649"/>
        <bgColor indexed="64"/>
      </patternFill>
    </fill>
    <fill>
      <patternFill patternType="solid">
        <fgColor rgb="FF7FAC45"/>
        <bgColor indexed="64"/>
      </patternFill>
    </fill>
    <fill>
      <patternFill patternType="solid">
        <fgColor rgb="FF7EAD44"/>
        <bgColor indexed="64"/>
      </patternFill>
    </fill>
    <fill>
      <patternFill patternType="solid">
        <fgColor rgb="FF7EAB41"/>
        <bgColor indexed="64"/>
      </patternFill>
    </fill>
    <fill>
      <patternFill patternType="solid">
        <fgColor rgb="FF7FA943"/>
        <bgColor indexed="64"/>
      </patternFill>
    </fill>
    <fill>
      <patternFill patternType="solid">
        <fgColor rgb="FF668337"/>
        <bgColor indexed="64"/>
      </patternFill>
    </fill>
    <fill>
      <patternFill patternType="solid">
        <fgColor rgb="FF844B3C"/>
        <bgColor indexed="64"/>
      </patternFill>
    </fill>
    <fill>
      <patternFill patternType="solid">
        <fgColor rgb="FF762C3D"/>
        <bgColor indexed="64"/>
      </patternFill>
    </fill>
    <fill>
      <patternFill patternType="solid">
        <fgColor rgb="FF36481F"/>
        <bgColor indexed="64"/>
      </patternFill>
    </fill>
    <fill>
      <patternFill patternType="solid">
        <fgColor rgb="FF81AD46"/>
        <bgColor indexed="64"/>
      </patternFill>
    </fill>
    <fill>
      <patternFill patternType="solid">
        <fgColor rgb="FF7DAB4B"/>
        <bgColor indexed="64"/>
      </patternFill>
    </fill>
    <fill>
      <patternFill patternType="solid">
        <fgColor rgb="FF7AA649"/>
        <bgColor indexed="64"/>
      </patternFill>
    </fill>
    <fill>
      <patternFill patternType="solid">
        <fgColor rgb="FF80AA4F"/>
        <bgColor indexed="64"/>
      </patternFill>
    </fill>
    <fill>
      <patternFill patternType="solid">
        <fgColor rgb="FF7FAA4C"/>
        <bgColor indexed="64"/>
      </patternFill>
    </fill>
    <fill>
      <patternFill patternType="solid">
        <fgColor rgb="FF80AC4E"/>
        <bgColor indexed="64"/>
      </patternFill>
    </fill>
    <fill>
      <patternFill patternType="solid">
        <fgColor rgb="FF7EAA4B"/>
        <bgColor indexed="64"/>
      </patternFill>
    </fill>
    <fill>
      <patternFill patternType="solid">
        <fgColor rgb="FF7DAC4D"/>
        <bgColor indexed="64"/>
      </patternFill>
    </fill>
    <fill>
      <patternFill patternType="solid">
        <fgColor rgb="FF7DAD4E"/>
        <bgColor indexed="64"/>
      </patternFill>
    </fill>
    <fill>
      <patternFill patternType="solid">
        <fgColor rgb="FF85B551"/>
        <bgColor indexed="64"/>
      </patternFill>
    </fill>
    <fill>
      <patternFill patternType="solid">
        <fgColor rgb="FF67893A"/>
        <bgColor indexed="64"/>
      </patternFill>
    </fill>
    <fill>
      <patternFill patternType="solid">
        <fgColor rgb="FF4F7336"/>
        <bgColor indexed="64"/>
      </patternFill>
    </fill>
    <fill>
      <patternFill patternType="solid">
        <fgColor rgb="FF374C28"/>
        <bgColor indexed="64"/>
      </patternFill>
    </fill>
    <fill>
      <patternFill patternType="solid">
        <fgColor rgb="FF323C2B"/>
        <bgColor indexed="64"/>
      </patternFill>
    </fill>
    <fill>
      <patternFill patternType="solid">
        <fgColor rgb="FF146581"/>
        <bgColor indexed="64"/>
      </patternFill>
    </fill>
    <fill>
      <patternFill patternType="solid">
        <fgColor rgb="FF0F6088"/>
        <bgColor indexed="64"/>
      </patternFill>
    </fill>
    <fill>
      <patternFill patternType="solid">
        <fgColor rgb="FF177098"/>
        <bgColor indexed="64"/>
      </patternFill>
    </fill>
    <fill>
      <patternFill patternType="solid">
        <fgColor rgb="FF177298"/>
        <bgColor indexed="64"/>
      </patternFill>
    </fill>
    <fill>
      <patternFill patternType="solid">
        <fgColor rgb="FF106A8C"/>
        <bgColor indexed="64"/>
      </patternFill>
    </fill>
    <fill>
      <patternFill patternType="solid">
        <fgColor rgb="FFAEAA37"/>
        <bgColor indexed="64"/>
      </patternFill>
    </fill>
    <fill>
      <patternFill patternType="solid">
        <fgColor rgb="FFACAF32"/>
        <bgColor indexed="64"/>
      </patternFill>
    </fill>
    <fill>
      <patternFill patternType="solid">
        <fgColor rgb="FF0A6D97"/>
        <bgColor indexed="64"/>
      </patternFill>
    </fill>
    <fill>
      <patternFill patternType="solid">
        <fgColor rgb="FF216A93"/>
        <bgColor indexed="64"/>
      </patternFill>
    </fill>
    <fill>
      <patternFill patternType="solid">
        <fgColor rgb="FFA65B38"/>
        <bgColor indexed="64"/>
      </patternFill>
    </fill>
    <fill>
      <patternFill patternType="solid">
        <fgColor rgb="FFE0773D"/>
        <bgColor indexed="64"/>
      </patternFill>
    </fill>
    <fill>
      <patternFill patternType="solid">
        <fgColor rgb="FFA86632"/>
        <bgColor indexed="64"/>
      </patternFill>
    </fill>
    <fill>
      <patternFill patternType="solid">
        <fgColor rgb="FF12607F"/>
        <bgColor indexed="64"/>
      </patternFill>
    </fill>
    <fill>
      <patternFill patternType="solid">
        <fgColor rgb="FF1687BA"/>
        <bgColor indexed="64"/>
      </patternFill>
    </fill>
    <fill>
      <patternFill patternType="solid">
        <fgColor rgb="FF1984B9"/>
        <bgColor indexed="64"/>
      </patternFill>
    </fill>
    <fill>
      <patternFill patternType="solid">
        <fgColor rgb="FF15475F"/>
        <bgColor indexed="64"/>
      </patternFill>
    </fill>
    <fill>
      <patternFill patternType="solid">
        <fgColor rgb="FF8F7F1D"/>
        <bgColor indexed="64"/>
      </patternFill>
    </fill>
    <fill>
      <patternFill patternType="solid">
        <fgColor rgb="FF8C9333"/>
        <bgColor indexed="64"/>
      </patternFill>
    </fill>
    <fill>
      <patternFill patternType="solid">
        <fgColor rgb="FF116D8F"/>
        <bgColor indexed="64"/>
      </patternFill>
    </fill>
    <fill>
      <patternFill patternType="solid">
        <fgColor rgb="FF125C86"/>
        <bgColor indexed="64"/>
      </patternFill>
    </fill>
    <fill>
      <patternFill patternType="solid">
        <fgColor rgb="FF135D80"/>
        <bgColor indexed="64"/>
      </patternFill>
    </fill>
    <fill>
      <patternFill patternType="solid">
        <fgColor rgb="FF146F97"/>
        <bgColor indexed="64"/>
      </patternFill>
    </fill>
    <fill>
      <patternFill patternType="solid">
        <fgColor rgb="FF167EA7"/>
        <bgColor indexed="64"/>
      </patternFill>
    </fill>
    <fill>
      <patternFill patternType="solid">
        <fgColor rgb="FF137EA9"/>
        <bgColor indexed="64"/>
      </patternFill>
    </fill>
    <fill>
      <patternFill patternType="solid">
        <fgColor rgb="FF187CAD"/>
        <bgColor indexed="64"/>
      </patternFill>
    </fill>
    <fill>
      <patternFill patternType="solid">
        <fgColor rgb="FF1A3956"/>
        <bgColor indexed="64"/>
      </patternFill>
    </fill>
    <fill>
      <patternFill patternType="solid">
        <fgColor rgb="FF116C92"/>
        <bgColor indexed="64"/>
      </patternFill>
    </fill>
    <fill>
      <patternFill patternType="solid">
        <fgColor rgb="FF7A5377"/>
        <bgColor indexed="64"/>
      </patternFill>
    </fill>
    <fill>
      <patternFill patternType="solid">
        <fgColor rgb="FFF2506E"/>
        <bgColor indexed="64"/>
      </patternFill>
    </fill>
    <fill>
      <patternFill patternType="solid">
        <fgColor rgb="FF7D3450"/>
        <bgColor indexed="64"/>
      </patternFill>
    </fill>
    <fill>
      <patternFill patternType="solid">
        <fgColor rgb="FF563A54"/>
        <bgColor indexed="64"/>
      </patternFill>
    </fill>
    <fill>
      <patternFill patternType="solid">
        <fgColor rgb="FF295676"/>
        <bgColor indexed="64"/>
      </patternFill>
    </fill>
    <fill>
      <patternFill patternType="solid">
        <fgColor rgb="FF6C6187"/>
        <bgColor indexed="64"/>
      </patternFill>
    </fill>
    <fill>
      <patternFill patternType="solid">
        <fgColor rgb="FFB3567C"/>
        <bgColor indexed="64"/>
      </patternFill>
    </fill>
    <fill>
      <patternFill patternType="solid">
        <fgColor rgb="FF883A5C"/>
        <bgColor indexed="64"/>
      </patternFill>
    </fill>
    <fill>
      <patternFill patternType="solid">
        <fgColor rgb="FF2E1F1B"/>
        <bgColor indexed="64"/>
      </patternFill>
    </fill>
    <fill>
      <patternFill patternType="solid">
        <fgColor rgb="FF1E5048"/>
        <bgColor indexed="64"/>
      </patternFill>
    </fill>
    <fill>
      <patternFill patternType="solid">
        <fgColor rgb="FF127FB0"/>
        <bgColor indexed="64"/>
      </patternFill>
    </fill>
    <fill>
      <patternFill patternType="solid">
        <fgColor rgb="FF137CAC"/>
        <bgColor indexed="64"/>
      </patternFill>
    </fill>
    <fill>
      <patternFill patternType="solid">
        <fgColor rgb="FF127CAD"/>
        <bgColor indexed="64"/>
      </patternFill>
    </fill>
    <fill>
      <patternFill patternType="solid">
        <fgColor rgb="FF137BAC"/>
        <bgColor indexed="64"/>
      </patternFill>
    </fill>
    <fill>
      <patternFill patternType="solid">
        <fgColor rgb="FF0F6DA0"/>
        <bgColor indexed="64"/>
      </patternFill>
    </fill>
    <fill>
      <patternFill patternType="solid">
        <fgColor rgb="FF2B4A75"/>
        <bgColor indexed="64"/>
      </patternFill>
    </fill>
    <fill>
      <patternFill patternType="solid">
        <fgColor rgb="FF1A4776"/>
        <bgColor indexed="64"/>
      </patternFill>
    </fill>
    <fill>
      <patternFill patternType="solid">
        <fgColor rgb="FF674F7D"/>
        <bgColor indexed="64"/>
      </patternFill>
    </fill>
    <fill>
      <patternFill patternType="solid">
        <fgColor rgb="FF734E89"/>
        <bgColor indexed="64"/>
      </patternFill>
    </fill>
    <fill>
      <patternFill patternType="solid">
        <fgColor rgb="FF664777"/>
        <bgColor indexed="64"/>
      </patternFill>
    </fill>
    <fill>
      <patternFill patternType="solid">
        <fgColor rgb="FF74A23B"/>
        <bgColor indexed="64"/>
      </patternFill>
    </fill>
    <fill>
      <patternFill patternType="solid">
        <fgColor rgb="FF4F6823"/>
        <bgColor indexed="64"/>
      </patternFill>
    </fill>
    <fill>
      <patternFill patternType="solid">
        <fgColor rgb="FF9C9825"/>
        <bgColor indexed="64"/>
      </patternFill>
    </fill>
    <fill>
      <patternFill patternType="solid">
        <fgColor rgb="FFF6E735"/>
        <bgColor indexed="64"/>
      </patternFill>
    </fill>
    <fill>
      <patternFill patternType="solid">
        <fgColor rgb="FFF8E733"/>
        <bgColor indexed="64"/>
      </patternFill>
    </fill>
    <fill>
      <patternFill patternType="solid">
        <fgColor rgb="FFFBE834"/>
        <bgColor indexed="64"/>
      </patternFill>
    </fill>
    <fill>
      <patternFill patternType="solid">
        <fgColor rgb="FFFDEF36"/>
        <bgColor indexed="64"/>
      </patternFill>
    </fill>
    <fill>
      <patternFill patternType="solid">
        <fgColor rgb="FFFCEE36"/>
        <bgColor indexed="64"/>
      </patternFill>
    </fill>
    <fill>
      <patternFill patternType="solid">
        <fgColor rgb="FFF5EA35"/>
        <bgColor indexed="64"/>
      </patternFill>
    </fill>
    <fill>
      <patternFill patternType="solid">
        <fgColor rgb="FFC5B92B"/>
        <bgColor indexed="64"/>
      </patternFill>
    </fill>
    <fill>
      <patternFill patternType="solid">
        <fgColor rgb="FFBAAD2A"/>
        <bgColor indexed="64"/>
      </patternFill>
    </fill>
    <fill>
      <patternFill patternType="solid">
        <fgColor rgb="FFBEBC31"/>
        <bgColor indexed="64"/>
      </patternFill>
    </fill>
    <fill>
      <patternFill patternType="solid">
        <fgColor rgb="FF769C3E"/>
        <bgColor indexed="64"/>
      </patternFill>
    </fill>
    <fill>
      <patternFill patternType="solid">
        <fgColor rgb="FF7AA740"/>
        <bgColor indexed="64"/>
      </patternFill>
    </fill>
    <fill>
      <patternFill patternType="solid">
        <fgColor rgb="FF77A33B"/>
        <bgColor indexed="64"/>
      </patternFill>
    </fill>
    <fill>
      <patternFill patternType="solid">
        <fgColor rgb="FF78A63F"/>
        <bgColor indexed="64"/>
      </patternFill>
    </fill>
    <fill>
      <patternFill patternType="solid">
        <fgColor rgb="FF57732C"/>
        <bgColor indexed="64"/>
      </patternFill>
    </fill>
    <fill>
      <patternFill patternType="solid">
        <fgColor rgb="FFB7AA2C"/>
        <bgColor indexed="64"/>
      </patternFill>
    </fill>
    <fill>
      <patternFill patternType="solid">
        <fgColor rgb="FFFEF939"/>
        <bgColor indexed="64"/>
      </patternFill>
    </fill>
    <fill>
      <patternFill patternType="solid">
        <fgColor rgb="FF859533"/>
        <bgColor indexed="64"/>
      </patternFill>
    </fill>
    <fill>
      <patternFill patternType="solid">
        <fgColor rgb="FF74A344"/>
        <bgColor indexed="64"/>
      </patternFill>
    </fill>
    <fill>
      <patternFill patternType="solid">
        <fgColor rgb="FF7CAB43"/>
        <bgColor indexed="64"/>
      </patternFill>
    </fill>
    <fill>
      <patternFill patternType="solid">
        <fgColor rgb="FF7BAA43"/>
        <bgColor indexed="64"/>
      </patternFill>
    </fill>
    <fill>
      <patternFill patternType="solid">
        <fgColor rgb="FF7EAD43"/>
        <bgColor indexed="64"/>
      </patternFill>
    </fill>
    <fill>
      <patternFill patternType="solid">
        <fgColor rgb="FF788A3F"/>
        <bgColor indexed="64"/>
      </patternFill>
    </fill>
    <fill>
      <patternFill patternType="solid">
        <fgColor rgb="FF4E662A"/>
        <bgColor indexed="64"/>
      </patternFill>
    </fill>
    <fill>
      <patternFill patternType="solid">
        <fgColor rgb="FF4F6028"/>
        <bgColor indexed="64"/>
      </patternFill>
    </fill>
    <fill>
      <patternFill patternType="solid">
        <fgColor rgb="FF7AA84A"/>
        <bgColor indexed="64"/>
      </patternFill>
    </fill>
    <fill>
      <patternFill patternType="solid">
        <fgColor rgb="FF7CA74B"/>
        <bgColor indexed="64"/>
      </patternFill>
    </fill>
    <fill>
      <patternFill patternType="solid">
        <fgColor rgb="FF7BA74A"/>
        <bgColor indexed="64"/>
      </patternFill>
    </fill>
    <fill>
      <patternFill patternType="solid">
        <fgColor rgb="FF7DAA4E"/>
        <bgColor indexed="64"/>
      </patternFill>
    </fill>
    <fill>
      <patternFill patternType="solid">
        <fgColor rgb="FF80AB4E"/>
        <bgColor indexed="64"/>
      </patternFill>
    </fill>
    <fill>
      <patternFill patternType="solid">
        <fgColor rgb="FF80AC4C"/>
        <bgColor indexed="64"/>
      </patternFill>
    </fill>
    <fill>
      <patternFill patternType="solid">
        <fgColor rgb="FF7DA94D"/>
        <bgColor indexed="64"/>
      </patternFill>
    </fill>
    <fill>
      <patternFill patternType="solid">
        <fgColor rgb="FF80B050"/>
        <bgColor indexed="64"/>
      </patternFill>
    </fill>
    <fill>
      <patternFill patternType="solid">
        <fgColor rgb="FF60813A"/>
        <bgColor indexed="64"/>
      </patternFill>
    </fill>
    <fill>
      <patternFill patternType="solid">
        <fgColor rgb="FF3E5D33"/>
        <bgColor indexed="64"/>
      </patternFill>
    </fill>
    <fill>
      <patternFill patternType="solid">
        <fgColor rgb="FF1F4F4A"/>
        <bgColor indexed="64"/>
      </patternFill>
    </fill>
    <fill>
      <patternFill patternType="solid">
        <fgColor rgb="FF0E658A"/>
        <bgColor indexed="64"/>
      </patternFill>
    </fill>
    <fill>
      <patternFill patternType="solid">
        <fgColor rgb="FF2D6A65"/>
        <bgColor indexed="64"/>
      </patternFill>
    </fill>
    <fill>
      <patternFill patternType="solid">
        <fgColor rgb="FF677735"/>
        <bgColor indexed="64"/>
      </patternFill>
    </fill>
    <fill>
      <patternFill patternType="solid">
        <fgColor rgb="FF147197"/>
        <bgColor indexed="64"/>
      </patternFill>
    </fill>
    <fill>
      <patternFill patternType="solid">
        <fgColor rgb="FF135F80"/>
        <bgColor indexed="64"/>
      </patternFill>
    </fill>
    <fill>
      <patternFill patternType="solid">
        <fgColor rgb="FF17789E"/>
        <bgColor indexed="64"/>
      </patternFill>
    </fill>
    <fill>
      <patternFill patternType="solid">
        <fgColor rgb="FF1887B2"/>
        <bgColor indexed="64"/>
      </patternFill>
    </fill>
    <fill>
      <patternFill patternType="solid">
        <fgColor rgb="FF1889B0"/>
        <bgColor indexed="64"/>
      </patternFill>
    </fill>
    <fill>
      <patternFill patternType="solid">
        <fgColor rgb="FF0F6F97"/>
        <bgColor indexed="64"/>
      </patternFill>
    </fill>
    <fill>
      <patternFill patternType="solid">
        <fgColor rgb="FF858232"/>
        <bgColor indexed="64"/>
      </patternFill>
    </fill>
    <fill>
      <patternFill patternType="solid">
        <fgColor rgb="FF9BA436"/>
        <bgColor indexed="64"/>
      </patternFill>
    </fill>
    <fill>
      <patternFill patternType="solid">
        <fgColor rgb="FF07628F"/>
        <bgColor indexed="64"/>
      </patternFill>
    </fill>
    <fill>
      <patternFill patternType="solid">
        <fgColor rgb="FF23516C"/>
        <bgColor indexed="64"/>
      </patternFill>
    </fill>
    <fill>
      <patternFill patternType="solid">
        <fgColor rgb="FFCE7138"/>
        <bgColor indexed="64"/>
      </patternFill>
    </fill>
    <fill>
      <patternFill patternType="solid">
        <fgColor rgb="FFF58947"/>
        <bgColor indexed="64"/>
      </patternFill>
    </fill>
    <fill>
      <patternFill patternType="solid">
        <fgColor rgb="FFF48942"/>
        <bgColor indexed="64"/>
      </patternFill>
    </fill>
    <fill>
      <patternFill patternType="solid">
        <fgColor rgb="FF8A674F"/>
        <bgColor indexed="64"/>
      </patternFill>
    </fill>
    <fill>
      <patternFill patternType="solid">
        <fgColor rgb="FF1B749C"/>
        <bgColor indexed="64"/>
      </patternFill>
    </fill>
    <fill>
      <patternFill patternType="solid">
        <fgColor rgb="FF1081B5"/>
        <bgColor indexed="64"/>
      </patternFill>
    </fill>
    <fill>
      <patternFill patternType="solid">
        <fgColor rgb="FF183643"/>
        <bgColor indexed="64"/>
      </patternFill>
    </fill>
    <fill>
      <patternFill patternType="solid">
        <fgColor rgb="FF4E400A"/>
        <bgColor indexed="64"/>
      </patternFill>
    </fill>
    <fill>
      <patternFill patternType="solid">
        <fgColor rgb="FF4C6741"/>
        <bgColor indexed="64"/>
      </patternFill>
    </fill>
    <fill>
      <patternFill patternType="solid">
        <fgColor rgb="FF1179A7"/>
        <bgColor indexed="64"/>
      </patternFill>
    </fill>
    <fill>
      <patternFill patternType="solid">
        <fgColor rgb="FF146A92"/>
        <bgColor indexed="64"/>
      </patternFill>
    </fill>
    <fill>
      <patternFill patternType="solid">
        <fgColor rgb="FF12688C"/>
        <bgColor indexed="64"/>
      </patternFill>
    </fill>
    <fill>
      <patternFill patternType="solid">
        <fgColor rgb="FF126088"/>
        <bgColor indexed="64"/>
      </patternFill>
    </fill>
    <fill>
      <patternFill patternType="solid">
        <fgColor rgb="FF0E4A6A"/>
        <bgColor indexed="64"/>
      </patternFill>
    </fill>
    <fill>
      <patternFill patternType="solid">
        <fgColor rgb="FF0D79A0"/>
        <bgColor indexed="64"/>
      </patternFill>
    </fill>
    <fill>
      <patternFill patternType="solid">
        <fgColor rgb="FF436F99"/>
        <bgColor indexed="64"/>
      </patternFill>
    </fill>
    <fill>
      <patternFill patternType="solid">
        <fgColor rgb="FF7B334A"/>
        <bgColor indexed="64"/>
      </patternFill>
    </fill>
    <fill>
      <patternFill patternType="solid">
        <fgColor rgb="FF5A2F3E"/>
        <bgColor indexed="64"/>
      </patternFill>
    </fill>
    <fill>
      <patternFill patternType="solid">
        <fgColor rgb="FFFF5474"/>
        <bgColor indexed="64"/>
      </patternFill>
    </fill>
    <fill>
      <patternFill patternType="solid">
        <fgColor rgb="FFC23553"/>
        <bgColor indexed="64"/>
      </patternFill>
    </fill>
    <fill>
      <patternFill patternType="solid">
        <fgColor rgb="FFD24157"/>
        <bgColor indexed="64"/>
      </patternFill>
    </fill>
    <fill>
      <patternFill patternType="solid">
        <fgColor rgb="FF9B3248"/>
        <bgColor indexed="64"/>
      </patternFill>
    </fill>
    <fill>
      <patternFill patternType="solid">
        <fgColor rgb="FFE34E68"/>
        <bgColor indexed="64"/>
      </patternFill>
    </fill>
    <fill>
      <patternFill patternType="solid">
        <fgColor rgb="FFE8496B"/>
        <bgColor indexed="64"/>
      </patternFill>
    </fill>
    <fill>
      <patternFill patternType="solid">
        <fgColor rgb="FF5B416B"/>
        <bgColor indexed="64"/>
      </patternFill>
    </fill>
    <fill>
      <patternFill patternType="solid">
        <fgColor rgb="FF3B544C"/>
        <bgColor indexed="64"/>
      </patternFill>
    </fill>
    <fill>
      <patternFill patternType="solid">
        <fgColor rgb="FF8E701C"/>
        <bgColor indexed="64"/>
      </patternFill>
    </fill>
    <fill>
      <patternFill patternType="solid">
        <fgColor rgb="FF556648"/>
        <bgColor indexed="64"/>
      </patternFill>
    </fill>
    <fill>
      <patternFill patternType="solid">
        <fgColor rgb="FF1073A4"/>
        <bgColor indexed="64"/>
      </patternFill>
    </fill>
    <fill>
      <patternFill patternType="solid">
        <fgColor rgb="FF1378AC"/>
        <bgColor indexed="64"/>
      </patternFill>
    </fill>
    <fill>
      <patternFill patternType="solid">
        <fgColor rgb="FF1178AC"/>
        <bgColor indexed="64"/>
      </patternFill>
    </fill>
    <fill>
      <patternFill patternType="solid">
        <fgColor rgb="FF1172A4"/>
        <bgColor indexed="64"/>
      </patternFill>
    </fill>
    <fill>
      <patternFill patternType="solid">
        <fgColor rgb="FF0D6A9B"/>
        <bgColor indexed="64"/>
      </patternFill>
    </fill>
    <fill>
      <patternFill patternType="solid">
        <fgColor rgb="FF12588D"/>
        <bgColor indexed="64"/>
      </patternFill>
    </fill>
    <fill>
      <patternFill patternType="solid">
        <fgColor rgb="FF4D3B67"/>
        <bgColor indexed="64"/>
      </patternFill>
    </fill>
    <fill>
      <patternFill patternType="solid">
        <fgColor rgb="FF172C50"/>
        <bgColor indexed="64"/>
      </patternFill>
    </fill>
    <fill>
      <patternFill patternType="solid">
        <fgColor rgb="FF544368"/>
        <bgColor indexed="64"/>
      </patternFill>
    </fill>
    <fill>
      <patternFill patternType="solid">
        <fgColor rgb="FF67772A"/>
        <bgColor indexed="64"/>
      </patternFill>
    </fill>
    <fill>
      <patternFill patternType="solid">
        <fgColor rgb="FF91902A"/>
        <bgColor indexed="64"/>
      </patternFill>
    </fill>
    <fill>
      <patternFill patternType="solid">
        <fgColor rgb="FFDCCB30"/>
        <bgColor indexed="64"/>
      </patternFill>
    </fill>
    <fill>
      <patternFill patternType="solid">
        <fgColor rgb="FFF7E835"/>
        <bgColor indexed="64"/>
      </patternFill>
    </fill>
    <fill>
      <patternFill patternType="solid">
        <fgColor rgb="FFF8E833"/>
        <bgColor indexed="64"/>
      </patternFill>
    </fill>
    <fill>
      <patternFill patternType="solid">
        <fgColor rgb="FFFAE833"/>
        <bgColor indexed="64"/>
      </patternFill>
    </fill>
    <fill>
      <patternFill patternType="solid">
        <fgColor rgb="FFFCE934"/>
        <bgColor indexed="64"/>
      </patternFill>
    </fill>
    <fill>
      <patternFill patternType="solid">
        <fgColor rgb="FFFBE633"/>
        <bgColor indexed="64"/>
      </patternFill>
    </fill>
    <fill>
      <patternFill patternType="solid">
        <fgColor rgb="FFFCEC34"/>
        <bgColor indexed="64"/>
      </patternFill>
    </fill>
    <fill>
      <patternFill patternType="solid">
        <fgColor rgb="FFEDE237"/>
        <bgColor indexed="64"/>
      </patternFill>
    </fill>
    <fill>
      <patternFill patternType="solid">
        <fgColor rgb="FF6B6D1B"/>
        <bgColor indexed="64"/>
      </patternFill>
    </fill>
    <fill>
      <patternFill patternType="solid">
        <fgColor rgb="FF868A27"/>
        <bgColor indexed="64"/>
      </patternFill>
    </fill>
    <fill>
      <patternFill patternType="solid">
        <fgColor rgb="FF758E39"/>
        <bgColor indexed="64"/>
      </patternFill>
    </fill>
    <fill>
      <patternFill patternType="solid">
        <fgColor rgb="FF79A742"/>
        <bgColor indexed="64"/>
      </patternFill>
    </fill>
    <fill>
      <patternFill patternType="solid">
        <fgColor rgb="FF76A33B"/>
        <bgColor indexed="64"/>
      </patternFill>
    </fill>
    <fill>
      <patternFill patternType="solid">
        <fgColor rgb="FF78A73D"/>
        <bgColor indexed="64"/>
      </patternFill>
    </fill>
    <fill>
      <patternFill patternType="solid">
        <fgColor rgb="FF587A2E"/>
        <bgColor indexed="64"/>
      </patternFill>
    </fill>
    <fill>
      <patternFill patternType="solid">
        <fgColor rgb="FFC4BB31"/>
        <bgColor indexed="64"/>
      </patternFill>
    </fill>
    <fill>
      <patternFill patternType="solid">
        <fgColor rgb="FF899332"/>
        <bgColor indexed="64"/>
      </patternFill>
    </fill>
    <fill>
      <patternFill patternType="solid">
        <fgColor rgb="FF6E9C43"/>
        <bgColor indexed="64"/>
      </patternFill>
    </fill>
    <fill>
      <patternFill patternType="solid">
        <fgColor rgb="FF7BAC43"/>
        <bgColor indexed="64"/>
      </patternFill>
    </fill>
    <fill>
      <patternFill patternType="solid">
        <fgColor rgb="FF7BA943"/>
        <bgColor indexed="64"/>
      </patternFill>
    </fill>
    <fill>
      <patternFill patternType="solid">
        <fgColor rgb="FF7AA944"/>
        <bgColor indexed="64"/>
      </patternFill>
    </fill>
    <fill>
      <patternFill patternType="solid">
        <fgColor rgb="FF7AA644"/>
        <bgColor indexed="64"/>
      </patternFill>
    </fill>
    <fill>
      <patternFill patternType="solid">
        <fgColor rgb="FF7CA945"/>
        <bgColor indexed="64"/>
      </patternFill>
    </fill>
    <fill>
      <patternFill patternType="solid">
        <fgColor rgb="FF7BAE47"/>
        <bgColor indexed="64"/>
      </patternFill>
    </fill>
    <fill>
      <patternFill patternType="solid">
        <fgColor rgb="FF809D42"/>
        <bgColor indexed="64"/>
      </patternFill>
    </fill>
    <fill>
      <patternFill patternType="solid">
        <fgColor rgb="FF969A38"/>
        <bgColor indexed="64"/>
      </patternFill>
    </fill>
    <fill>
      <patternFill patternType="solid">
        <fgColor rgb="FF729D44"/>
        <bgColor indexed="64"/>
      </patternFill>
    </fill>
    <fill>
      <patternFill patternType="solid">
        <fgColor rgb="FF7EAB4B"/>
        <bgColor indexed="64"/>
      </patternFill>
    </fill>
    <fill>
      <patternFill patternType="solid">
        <fgColor rgb="FF7AA749"/>
        <bgColor indexed="64"/>
      </patternFill>
    </fill>
    <fill>
      <patternFill patternType="solid">
        <fgColor rgb="FF7BA74D"/>
        <bgColor indexed="64"/>
      </patternFill>
    </fill>
    <fill>
      <patternFill patternType="solid">
        <fgColor rgb="FF7FAA50"/>
        <bgColor indexed="64"/>
      </patternFill>
    </fill>
    <fill>
      <patternFill patternType="solid">
        <fgColor rgb="FF7AA94C"/>
        <bgColor indexed="64"/>
      </patternFill>
    </fill>
    <fill>
      <patternFill patternType="solid">
        <fgColor rgb="FF7EA948"/>
        <bgColor indexed="64"/>
      </patternFill>
    </fill>
    <fill>
      <patternFill patternType="solid">
        <fgColor rgb="FF668D3C"/>
        <bgColor indexed="64"/>
      </patternFill>
    </fill>
    <fill>
      <patternFill patternType="solid">
        <fgColor rgb="FF3C6946"/>
        <bgColor indexed="64"/>
      </patternFill>
    </fill>
    <fill>
      <patternFill patternType="solid">
        <fgColor rgb="FF185D6D"/>
        <bgColor indexed="64"/>
      </patternFill>
    </fill>
    <fill>
      <patternFill patternType="solid">
        <fgColor rgb="FF106C93"/>
        <bgColor indexed="64"/>
      </patternFill>
    </fill>
    <fill>
      <patternFill patternType="solid">
        <fgColor rgb="FF167BA6"/>
        <bgColor indexed="64"/>
      </patternFill>
    </fill>
    <fill>
      <patternFill patternType="solid">
        <fgColor rgb="FF0C7CB5"/>
        <bgColor indexed="64"/>
      </patternFill>
    </fill>
    <fill>
      <patternFill patternType="solid">
        <fgColor rgb="FF539875"/>
        <bgColor indexed="64"/>
      </patternFill>
    </fill>
    <fill>
      <patternFill patternType="solid">
        <fgColor rgb="FFA5B236"/>
        <bgColor indexed="64"/>
      </patternFill>
    </fill>
    <fill>
      <patternFill patternType="solid">
        <fgColor rgb="FF0A6A91"/>
        <bgColor indexed="64"/>
      </patternFill>
    </fill>
    <fill>
      <patternFill patternType="solid">
        <fgColor rgb="FF1882A9"/>
        <bgColor indexed="64"/>
      </patternFill>
    </fill>
    <fill>
      <patternFill patternType="solid">
        <fgColor rgb="FF1685B1"/>
        <bgColor indexed="64"/>
      </patternFill>
    </fill>
    <fill>
      <patternFill patternType="solid">
        <fgColor rgb="FF1478A3"/>
        <bgColor indexed="64"/>
      </patternFill>
    </fill>
    <fill>
      <patternFill patternType="solid">
        <fgColor rgb="FF15759C"/>
        <bgColor indexed="64"/>
      </patternFill>
    </fill>
    <fill>
      <patternFill patternType="solid">
        <fgColor rgb="FF116E93"/>
        <bgColor indexed="64"/>
      </patternFill>
    </fill>
    <fill>
      <patternFill patternType="solid">
        <fgColor rgb="FF4C4B1D"/>
        <bgColor indexed="64"/>
      </patternFill>
    </fill>
    <fill>
      <patternFill patternType="solid">
        <fgColor rgb="FF566C38"/>
        <bgColor indexed="64"/>
      </patternFill>
    </fill>
    <fill>
      <patternFill patternType="solid">
        <fgColor rgb="FF0B72A1"/>
        <bgColor indexed="64"/>
      </patternFill>
    </fill>
    <fill>
      <patternFill patternType="solid">
        <fgColor rgb="FF2D5A71"/>
        <bgColor indexed="64"/>
      </patternFill>
    </fill>
    <fill>
      <patternFill patternType="solid">
        <fgColor rgb="FFE17940"/>
        <bgColor indexed="64"/>
      </patternFill>
    </fill>
    <fill>
      <patternFill patternType="solid">
        <fgColor rgb="FFFF934F"/>
        <bgColor indexed="64"/>
      </patternFill>
    </fill>
    <fill>
      <patternFill patternType="solid">
        <fgColor rgb="FFFC914C"/>
        <bgColor indexed="64"/>
      </patternFill>
    </fill>
    <fill>
      <patternFill patternType="solid">
        <fgColor rgb="FFFF964C"/>
        <bgColor indexed="64"/>
      </patternFill>
    </fill>
    <fill>
      <patternFill patternType="solid">
        <fgColor rgb="FFB97D56"/>
        <bgColor indexed="64"/>
      </patternFill>
    </fill>
    <fill>
      <patternFill patternType="solid">
        <fgColor rgb="FF296D8B"/>
        <bgColor indexed="64"/>
      </patternFill>
    </fill>
    <fill>
      <patternFill patternType="solid">
        <fgColor rgb="FF162E32"/>
        <bgColor indexed="64"/>
      </patternFill>
    </fill>
    <fill>
      <patternFill patternType="solid">
        <fgColor rgb="FF1E1504"/>
        <bgColor indexed="64"/>
      </patternFill>
    </fill>
    <fill>
      <patternFill patternType="solid">
        <fgColor rgb="FF19434A"/>
        <bgColor indexed="64"/>
      </patternFill>
    </fill>
    <fill>
      <patternFill patternType="solid">
        <fgColor rgb="FF1786B3"/>
        <bgColor indexed="64"/>
      </patternFill>
    </fill>
    <fill>
      <patternFill patternType="solid">
        <fgColor rgb="FF147BAD"/>
        <bgColor indexed="64"/>
      </patternFill>
    </fill>
    <fill>
      <patternFill patternType="solid">
        <fgColor rgb="FF116894"/>
        <bgColor indexed="64"/>
      </patternFill>
    </fill>
    <fill>
      <patternFill patternType="solid">
        <fgColor rgb="FF13688F"/>
        <bgColor indexed="64"/>
      </patternFill>
    </fill>
    <fill>
      <patternFill patternType="solid">
        <fgColor rgb="FF135A7C"/>
        <bgColor indexed="64"/>
      </patternFill>
    </fill>
    <fill>
      <patternFill patternType="solid">
        <fgColor rgb="FF0A749D"/>
        <bgColor indexed="64"/>
      </patternFill>
    </fill>
    <fill>
      <patternFill patternType="solid">
        <fgColor rgb="FF65547B"/>
        <bgColor indexed="64"/>
      </patternFill>
    </fill>
    <fill>
      <patternFill patternType="solid">
        <fgColor rgb="FFD1425D"/>
        <bgColor indexed="64"/>
      </patternFill>
    </fill>
    <fill>
      <patternFill patternType="solid">
        <fgColor rgb="FFCA3B51"/>
        <bgColor indexed="64"/>
      </patternFill>
    </fill>
    <fill>
      <patternFill patternType="solid">
        <fgColor rgb="FFFE4D71"/>
        <bgColor indexed="64"/>
      </patternFill>
    </fill>
    <fill>
      <patternFill patternType="solid">
        <fgColor rgb="FFF34965"/>
        <bgColor indexed="64"/>
      </patternFill>
    </fill>
    <fill>
      <patternFill patternType="solid">
        <fgColor rgb="FFEF496A"/>
        <bgColor indexed="64"/>
      </patternFill>
    </fill>
    <fill>
      <patternFill patternType="solid">
        <fgColor rgb="FFF54864"/>
        <bgColor indexed="64"/>
      </patternFill>
    </fill>
    <fill>
      <patternFill patternType="solid">
        <fgColor rgb="FFEE496B"/>
        <bgColor indexed="64"/>
      </patternFill>
    </fill>
    <fill>
      <patternFill patternType="solid">
        <fgColor rgb="FF8C3049"/>
        <bgColor indexed="64"/>
      </patternFill>
    </fill>
    <fill>
      <patternFill patternType="solid">
        <fgColor rgb="FF894561"/>
        <bgColor indexed="64"/>
      </patternFill>
    </fill>
    <fill>
      <patternFill patternType="solid">
        <fgColor rgb="FFBF4B64"/>
        <bgColor indexed="64"/>
      </patternFill>
    </fill>
    <fill>
      <patternFill patternType="solid">
        <fgColor rgb="FFAF3F4F"/>
        <bgColor indexed="64"/>
      </patternFill>
    </fill>
    <fill>
      <patternFill patternType="solid">
        <fgColor rgb="FF8E425E"/>
        <bgColor indexed="64"/>
      </patternFill>
    </fill>
    <fill>
      <patternFill patternType="solid">
        <fgColor rgb="FF374D6C"/>
        <bgColor indexed="64"/>
      </patternFill>
    </fill>
    <fill>
      <patternFill patternType="solid">
        <fgColor rgb="FF0C6C92"/>
        <bgColor indexed="64"/>
      </patternFill>
    </fill>
    <fill>
      <patternFill patternType="solid">
        <fgColor rgb="FF137AAC"/>
        <bgColor indexed="64"/>
      </patternFill>
    </fill>
    <fill>
      <patternFill patternType="solid">
        <fgColor rgb="FF1378A9"/>
        <bgColor indexed="64"/>
      </patternFill>
    </fill>
    <fill>
      <patternFill patternType="solid">
        <fgColor rgb="FF1276A7"/>
        <bgColor indexed="64"/>
      </patternFill>
    </fill>
    <fill>
      <patternFill patternType="solid">
        <fgColor rgb="FF1277AF"/>
        <bgColor indexed="64"/>
      </patternFill>
    </fill>
    <fill>
      <patternFill patternType="solid">
        <fgColor rgb="FF115286"/>
        <bgColor indexed="64"/>
      </patternFill>
    </fill>
    <fill>
      <patternFill patternType="solid">
        <fgColor rgb="FF153C56"/>
        <bgColor indexed="64"/>
      </patternFill>
    </fill>
    <fill>
      <patternFill patternType="solid">
        <fgColor rgb="FF09547B"/>
        <bgColor indexed="64"/>
      </patternFill>
    </fill>
    <fill>
      <patternFill patternType="solid">
        <fgColor rgb="FF423E68"/>
        <bgColor indexed="64"/>
      </patternFill>
    </fill>
    <fill>
      <patternFill patternType="solid">
        <fgColor rgb="FF687B24"/>
        <bgColor indexed="64"/>
      </patternFill>
    </fill>
    <fill>
      <patternFill patternType="solid">
        <fgColor rgb="FF818221"/>
        <bgColor indexed="64"/>
      </patternFill>
    </fill>
    <fill>
      <patternFill patternType="solid">
        <fgColor rgb="FF7F8220"/>
        <bgColor indexed="64"/>
      </patternFill>
    </fill>
    <fill>
      <patternFill patternType="solid">
        <fgColor rgb="FFA69F26"/>
        <bgColor indexed="64"/>
      </patternFill>
    </fill>
    <fill>
      <patternFill patternType="solid">
        <fgColor rgb="FFFAEB35"/>
        <bgColor indexed="64"/>
      </patternFill>
    </fill>
    <fill>
      <patternFill patternType="solid">
        <fgColor rgb="FFF8E933"/>
        <bgColor indexed="64"/>
      </patternFill>
    </fill>
    <fill>
      <patternFill patternType="solid">
        <fgColor rgb="FFFCEA34"/>
        <bgColor indexed="64"/>
      </patternFill>
    </fill>
    <fill>
      <patternFill patternType="solid">
        <fgColor rgb="FFF9E534"/>
        <bgColor indexed="64"/>
      </patternFill>
    </fill>
    <fill>
      <patternFill patternType="solid">
        <fgColor rgb="FFE9D831"/>
        <bgColor indexed="64"/>
      </patternFill>
    </fill>
    <fill>
      <patternFill patternType="solid">
        <fgColor rgb="FFF0E437"/>
        <bgColor indexed="64"/>
      </patternFill>
    </fill>
    <fill>
      <patternFill patternType="solid">
        <fgColor rgb="FF758B2C"/>
        <bgColor indexed="64"/>
      </patternFill>
    </fill>
    <fill>
      <patternFill patternType="solid">
        <fgColor rgb="FF648C36"/>
        <bgColor indexed="64"/>
      </patternFill>
    </fill>
    <fill>
      <patternFill patternType="solid">
        <fgColor rgb="FF7AA640"/>
        <bgColor indexed="64"/>
      </patternFill>
    </fill>
    <fill>
      <patternFill patternType="solid">
        <fgColor rgb="FF75A23B"/>
        <bgColor indexed="64"/>
      </patternFill>
    </fill>
    <fill>
      <patternFill patternType="solid">
        <fgColor rgb="FF76A73A"/>
        <bgColor indexed="64"/>
      </patternFill>
    </fill>
    <fill>
      <patternFill patternType="solid">
        <fgColor rgb="FF608734"/>
        <bgColor indexed="64"/>
      </patternFill>
    </fill>
    <fill>
      <patternFill patternType="solid">
        <fgColor rgb="FF989431"/>
        <bgColor indexed="64"/>
      </patternFill>
    </fill>
    <fill>
      <patternFill patternType="solid">
        <fgColor rgb="FFF5ED3A"/>
        <bgColor indexed="64"/>
      </patternFill>
    </fill>
    <fill>
      <patternFill patternType="solid">
        <fgColor rgb="FF999F31"/>
        <bgColor indexed="64"/>
      </patternFill>
    </fill>
    <fill>
      <patternFill patternType="solid">
        <fgColor rgb="FF669342"/>
        <bgColor indexed="64"/>
      </patternFill>
    </fill>
    <fill>
      <patternFill patternType="solid">
        <fgColor rgb="FF7CAC42"/>
        <bgColor indexed="64"/>
      </patternFill>
    </fill>
    <fill>
      <patternFill patternType="solid">
        <fgColor rgb="FF78A642"/>
        <bgColor indexed="64"/>
      </patternFill>
    </fill>
    <fill>
      <patternFill patternType="solid">
        <fgColor rgb="FF79A944"/>
        <bgColor indexed="64"/>
      </patternFill>
    </fill>
    <fill>
      <patternFill patternType="solid">
        <fgColor rgb="FF79A745"/>
        <bgColor indexed="64"/>
      </patternFill>
    </fill>
    <fill>
      <patternFill patternType="solid">
        <fgColor rgb="FF77A345"/>
        <bgColor indexed="64"/>
      </patternFill>
    </fill>
    <fill>
      <patternFill patternType="solid">
        <fgColor rgb="FF7BA946"/>
        <bgColor indexed="64"/>
      </patternFill>
    </fill>
    <fill>
      <patternFill patternType="solid">
        <fgColor rgb="FF779C43"/>
        <bgColor indexed="64"/>
      </patternFill>
    </fill>
    <fill>
      <patternFill patternType="solid">
        <fgColor rgb="FF515820"/>
        <bgColor indexed="64"/>
      </patternFill>
    </fill>
    <fill>
      <patternFill patternType="solid">
        <fgColor rgb="FF6F9442"/>
        <bgColor indexed="64"/>
      </patternFill>
    </fill>
    <fill>
      <patternFill patternType="solid">
        <fgColor rgb="FF7FAC4F"/>
        <bgColor indexed="64"/>
      </patternFill>
    </fill>
    <fill>
      <patternFill patternType="solid">
        <fgColor rgb="FF7BA849"/>
        <bgColor indexed="64"/>
      </patternFill>
    </fill>
    <fill>
      <patternFill patternType="solid">
        <fgColor rgb="FF7DA84D"/>
        <bgColor indexed="64"/>
      </patternFill>
    </fill>
    <fill>
      <patternFill patternType="solid">
        <fgColor rgb="FF81AE4E"/>
        <bgColor indexed="64"/>
      </patternFill>
    </fill>
    <fill>
      <patternFill patternType="solid">
        <fgColor rgb="FF6B933E"/>
        <bgColor indexed="64"/>
      </patternFill>
    </fill>
    <fill>
      <patternFill patternType="solid">
        <fgColor rgb="FF366441"/>
        <bgColor indexed="64"/>
      </patternFill>
    </fill>
    <fill>
      <patternFill patternType="solid">
        <fgColor rgb="FF195E6A"/>
        <bgColor indexed="64"/>
      </patternFill>
    </fill>
    <fill>
      <patternFill patternType="solid">
        <fgColor rgb="FF11729E"/>
        <bgColor indexed="64"/>
      </patternFill>
    </fill>
    <fill>
      <patternFill patternType="solid">
        <fgColor rgb="FF1583B1"/>
        <bgColor indexed="64"/>
      </patternFill>
    </fill>
    <fill>
      <patternFill patternType="solid">
        <fgColor rgb="FF136E95"/>
        <bgColor indexed="64"/>
      </patternFill>
    </fill>
    <fill>
      <patternFill patternType="solid">
        <fgColor rgb="FF156080"/>
        <bgColor indexed="64"/>
      </patternFill>
    </fill>
    <fill>
      <patternFill patternType="solid">
        <fgColor rgb="FF0872A6"/>
        <bgColor indexed="64"/>
      </patternFill>
    </fill>
    <fill>
      <patternFill patternType="solid">
        <fgColor rgb="FF5E986B"/>
        <bgColor indexed="64"/>
      </patternFill>
    </fill>
    <fill>
      <patternFill patternType="solid">
        <fgColor rgb="FF92A539"/>
        <bgColor indexed="64"/>
      </patternFill>
    </fill>
    <fill>
      <patternFill patternType="solid">
        <fgColor rgb="FF09709D"/>
        <bgColor indexed="64"/>
      </patternFill>
    </fill>
    <fill>
      <patternFill patternType="solid">
        <fgColor rgb="FF1984B0"/>
        <bgColor indexed="64"/>
      </patternFill>
    </fill>
    <fill>
      <patternFill patternType="solid">
        <fgColor rgb="FF12648C"/>
        <bgColor indexed="64"/>
      </patternFill>
    </fill>
    <fill>
      <patternFill patternType="solid">
        <fgColor rgb="FF126181"/>
        <bgColor indexed="64"/>
      </patternFill>
    </fill>
    <fill>
      <patternFill patternType="solid">
        <fgColor rgb="FF167CA2"/>
        <bgColor indexed="64"/>
      </patternFill>
    </fill>
    <fill>
      <patternFill patternType="solid">
        <fgColor rgb="FF166B8D"/>
        <bgColor indexed="64"/>
      </patternFill>
    </fill>
    <fill>
      <patternFill patternType="solid">
        <fgColor rgb="FF25240E"/>
        <bgColor indexed="64"/>
      </patternFill>
    </fill>
    <fill>
      <patternFill patternType="solid">
        <fgColor rgb="FF1A312D"/>
        <bgColor indexed="64"/>
      </patternFill>
    </fill>
    <fill>
      <patternFill patternType="solid">
        <fgColor rgb="FF105C84"/>
        <bgColor indexed="64"/>
      </patternFill>
    </fill>
    <fill>
      <patternFill patternType="solid">
        <fgColor rgb="FF1C5779"/>
        <bgColor indexed="64"/>
      </patternFill>
    </fill>
    <fill>
      <patternFill patternType="solid">
        <fgColor rgb="FFBB6336"/>
        <bgColor indexed="64"/>
      </patternFill>
    </fill>
    <fill>
      <patternFill patternType="solid">
        <fgColor rgb="FFF38949"/>
        <bgColor indexed="64"/>
      </patternFill>
    </fill>
    <fill>
      <patternFill patternType="solid">
        <fgColor rgb="FFE88042"/>
        <bgColor indexed="64"/>
      </patternFill>
    </fill>
    <fill>
      <patternFill patternType="solid">
        <fgColor rgb="FFFA8847"/>
        <bgColor indexed="64"/>
      </patternFill>
    </fill>
    <fill>
      <patternFill patternType="solid">
        <fgColor rgb="FFB06643"/>
        <bgColor indexed="64"/>
      </patternFill>
    </fill>
    <fill>
      <patternFill patternType="solid">
        <fgColor rgb="FF595028"/>
        <bgColor indexed="64"/>
      </patternFill>
    </fill>
    <fill>
      <patternFill patternType="solid">
        <fgColor rgb="FF3B350B"/>
        <bgColor indexed="64"/>
      </patternFill>
    </fill>
    <fill>
      <patternFill patternType="solid">
        <fgColor rgb="FF1B555F"/>
        <bgColor indexed="64"/>
      </patternFill>
    </fill>
    <fill>
      <patternFill patternType="solid">
        <fgColor rgb="FF147AAC"/>
        <bgColor indexed="64"/>
      </patternFill>
    </fill>
    <fill>
      <patternFill patternType="solid">
        <fgColor rgb="FF12638D"/>
        <bgColor indexed="64"/>
      </patternFill>
    </fill>
    <fill>
      <patternFill patternType="solid">
        <fgColor rgb="FF136D90"/>
        <bgColor indexed="64"/>
      </patternFill>
    </fill>
    <fill>
      <patternFill patternType="solid">
        <fgColor rgb="FF167BA3"/>
        <bgColor indexed="64"/>
      </patternFill>
    </fill>
    <fill>
      <patternFill patternType="solid">
        <fgColor rgb="FF12648B"/>
        <bgColor indexed="64"/>
      </patternFill>
    </fill>
    <fill>
      <patternFill patternType="solid">
        <fgColor rgb="FF1083B4"/>
        <bgColor indexed="64"/>
      </patternFill>
    </fill>
    <fill>
      <patternFill patternType="solid">
        <fgColor rgb="FF623B5C"/>
        <bgColor indexed="64"/>
      </patternFill>
    </fill>
    <fill>
      <patternFill patternType="solid">
        <fgColor rgb="FFE9475F"/>
        <bgColor indexed="64"/>
      </patternFill>
    </fill>
    <fill>
      <patternFill patternType="solid">
        <fgColor rgb="FFF34969"/>
        <bgColor indexed="64"/>
      </patternFill>
    </fill>
    <fill>
      <patternFill patternType="solid">
        <fgColor rgb="FFFA4969"/>
        <bgColor indexed="64"/>
      </patternFill>
    </fill>
    <fill>
      <patternFill patternType="solid">
        <fgColor rgb="FFF74A6D"/>
        <bgColor indexed="64"/>
      </patternFill>
    </fill>
    <fill>
      <patternFill patternType="solid">
        <fgColor rgb="FFD33754"/>
        <bgColor indexed="64"/>
      </patternFill>
    </fill>
    <fill>
      <patternFill patternType="solid">
        <fgColor rgb="FFF64A67"/>
        <bgColor indexed="64"/>
      </patternFill>
    </fill>
    <fill>
      <patternFill patternType="solid">
        <fgColor rgb="FFDC3C59"/>
        <bgColor indexed="64"/>
      </patternFill>
    </fill>
    <fill>
      <patternFill patternType="solid">
        <fgColor rgb="FFF84864"/>
        <bgColor indexed="64"/>
      </patternFill>
    </fill>
    <fill>
      <patternFill patternType="solid">
        <fgColor rgb="FFFB476D"/>
        <bgColor indexed="64"/>
      </patternFill>
    </fill>
    <fill>
      <patternFill patternType="solid">
        <fgColor rgb="FF972742"/>
        <bgColor indexed="64"/>
      </patternFill>
    </fill>
    <fill>
      <patternFill patternType="solid">
        <fgColor rgb="FF4C202E"/>
        <bgColor indexed="64"/>
      </patternFill>
    </fill>
    <fill>
      <patternFill patternType="solid">
        <fgColor rgb="FF1F617E"/>
        <bgColor indexed="64"/>
      </patternFill>
    </fill>
    <fill>
      <patternFill patternType="solid">
        <fgColor rgb="FF1479A4"/>
        <bgColor indexed="64"/>
      </patternFill>
    </fill>
    <fill>
      <patternFill patternType="solid">
        <fgColor rgb="FF1375A2"/>
        <bgColor indexed="64"/>
      </patternFill>
    </fill>
    <fill>
      <patternFill patternType="solid">
        <fgColor rgb="FF1279A9"/>
        <bgColor indexed="64"/>
      </patternFill>
    </fill>
    <fill>
      <patternFill patternType="solid">
        <fgColor rgb="FF1482AF"/>
        <bgColor indexed="64"/>
      </patternFill>
    </fill>
    <fill>
      <patternFill patternType="solid">
        <fgColor rgb="FF1175A7"/>
        <bgColor indexed="64"/>
      </patternFill>
    </fill>
    <fill>
      <patternFill patternType="solid">
        <fgColor rgb="FF1072A4"/>
        <bgColor indexed="64"/>
      </patternFill>
    </fill>
    <fill>
      <patternFill patternType="solid">
        <fgColor rgb="FF0F6395"/>
        <bgColor indexed="64"/>
      </patternFill>
    </fill>
    <fill>
      <patternFill patternType="solid">
        <fgColor rgb="FF0F6B94"/>
        <bgColor indexed="64"/>
      </patternFill>
    </fill>
    <fill>
      <patternFill patternType="solid">
        <fgColor rgb="FF1272A6"/>
        <bgColor indexed="64"/>
      </patternFill>
    </fill>
    <fill>
      <patternFill patternType="solid">
        <fgColor rgb="FF0E2D4B"/>
        <bgColor indexed="64"/>
      </patternFill>
    </fill>
    <fill>
      <patternFill patternType="solid">
        <fgColor rgb="FF587E2A"/>
        <bgColor indexed="64"/>
      </patternFill>
    </fill>
    <fill>
      <patternFill patternType="solid">
        <fgColor rgb="FF51792C"/>
        <bgColor indexed="64"/>
      </patternFill>
    </fill>
    <fill>
      <patternFill patternType="solid">
        <fgColor rgb="FF697F29"/>
        <bgColor indexed="64"/>
      </patternFill>
    </fill>
    <fill>
      <patternFill patternType="solid">
        <fgColor rgb="FFD9CF32"/>
        <bgColor indexed="64"/>
      </patternFill>
    </fill>
    <fill>
      <patternFill patternType="solid">
        <fgColor rgb="FFFFF234"/>
        <bgColor indexed="64"/>
      </patternFill>
    </fill>
    <fill>
      <patternFill patternType="solid">
        <fgColor rgb="FFFDED34"/>
        <bgColor indexed="64"/>
      </patternFill>
    </fill>
    <fill>
      <patternFill patternType="solid">
        <fgColor rgb="FFF1E234"/>
        <bgColor indexed="64"/>
      </patternFill>
    </fill>
    <fill>
      <patternFill patternType="solid">
        <fgColor rgb="FFF3E033"/>
        <bgColor indexed="64"/>
      </patternFill>
    </fill>
    <fill>
      <patternFill patternType="solid">
        <fgColor rgb="FFF2DF33"/>
        <bgColor indexed="64"/>
      </patternFill>
    </fill>
    <fill>
      <patternFill patternType="solid">
        <fgColor rgb="FFE2D333"/>
        <bgColor indexed="64"/>
      </patternFill>
    </fill>
    <fill>
      <patternFill patternType="solid">
        <fgColor rgb="FF908D21"/>
        <bgColor indexed="64"/>
      </patternFill>
    </fill>
    <fill>
      <patternFill patternType="solid">
        <fgColor rgb="FFB4B432"/>
        <bgColor indexed="64"/>
      </patternFill>
    </fill>
    <fill>
      <patternFill patternType="solid">
        <fgColor rgb="FF7EA53C"/>
        <bgColor indexed="64"/>
      </patternFill>
    </fill>
    <fill>
      <patternFill patternType="solid">
        <fgColor rgb="FF74A13D"/>
        <bgColor indexed="64"/>
      </patternFill>
    </fill>
    <fill>
      <patternFill patternType="solid">
        <fgColor rgb="FF78A83B"/>
        <bgColor indexed="64"/>
      </patternFill>
    </fill>
    <fill>
      <patternFill patternType="solid">
        <fgColor rgb="FF638B36"/>
        <bgColor indexed="64"/>
      </patternFill>
    </fill>
    <fill>
      <patternFill patternType="solid">
        <fgColor rgb="FF948F2E"/>
        <bgColor indexed="64"/>
      </patternFill>
    </fill>
    <fill>
      <patternFill patternType="solid">
        <fgColor rgb="FFEBE238"/>
        <bgColor indexed="64"/>
      </patternFill>
    </fill>
    <fill>
      <patternFill patternType="solid">
        <fgColor rgb="FFBEBF33"/>
        <bgColor indexed="64"/>
      </patternFill>
    </fill>
    <fill>
      <patternFill patternType="solid">
        <fgColor rgb="FF648B41"/>
        <bgColor indexed="64"/>
      </patternFill>
    </fill>
    <fill>
      <patternFill patternType="solid">
        <fgColor rgb="FF76A540"/>
        <bgColor indexed="64"/>
      </patternFill>
    </fill>
    <fill>
      <patternFill patternType="solid">
        <fgColor rgb="FF78A743"/>
        <bgColor indexed="64"/>
      </patternFill>
    </fill>
    <fill>
      <patternFill patternType="solid">
        <fgColor rgb="FF76A445"/>
        <bgColor indexed="64"/>
      </patternFill>
    </fill>
    <fill>
      <patternFill patternType="solid">
        <fgColor rgb="FF75A443"/>
        <bgColor indexed="64"/>
      </patternFill>
    </fill>
    <fill>
      <patternFill patternType="solid">
        <fgColor rgb="FF79A642"/>
        <bgColor indexed="64"/>
      </patternFill>
    </fill>
    <fill>
      <patternFill patternType="solid">
        <fgColor rgb="FF78A246"/>
        <bgColor indexed="64"/>
      </patternFill>
    </fill>
    <fill>
      <patternFill patternType="solid">
        <fgColor rgb="FF3A441F"/>
        <bgColor indexed="64"/>
      </patternFill>
    </fill>
    <fill>
      <patternFill patternType="solid">
        <fgColor rgb="FF678836"/>
        <bgColor indexed="64"/>
      </patternFill>
    </fill>
    <fill>
      <patternFill patternType="solid">
        <fgColor rgb="FF78A548"/>
        <bgColor indexed="64"/>
      </patternFill>
    </fill>
    <fill>
      <patternFill patternType="solid">
        <fgColor rgb="FF7AAA4B"/>
        <bgColor indexed="64"/>
      </patternFill>
    </fill>
    <fill>
      <patternFill patternType="solid">
        <fgColor rgb="FF7FAD49"/>
        <bgColor indexed="64"/>
      </patternFill>
    </fill>
    <fill>
      <patternFill patternType="solid">
        <fgColor rgb="FF729A3E"/>
        <bgColor indexed="64"/>
      </patternFill>
    </fill>
    <fill>
      <patternFill patternType="solid">
        <fgColor rgb="FF487645"/>
        <bgColor indexed="64"/>
      </patternFill>
    </fill>
    <fill>
      <patternFill patternType="solid">
        <fgColor rgb="FF21696F"/>
        <bgColor indexed="64"/>
      </patternFill>
    </fill>
    <fill>
      <patternFill patternType="solid">
        <fgColor rgb="FF10729C"/>
        <bgColor indexed="64"/>
      </patternFill>
    </fill>
    <fill>
      <patternFill patternType="solid">
        <fgColor rgb="FF1685B3"/>
        <bgColor indexed="64"/>
      </patternFill>
    </fill>
    <fill>
      <patternFill patternType="solid">
        <fgColor rgb="FF15749D"/>
        <bgColor indexed="64"/>
      </patternFill>
    </fill>
    <fill>
      <patternFill patternType="solid">
        <fgColor rgb="FF125F7F"/>
        <bgColor indexed="64"/>
      </patternFill>
    </fill>
    <fill>
      <patternFill patternType="solid">
        <fgColor rgb="FF136D91"/>
        <bgColor indexed="64"/>
      </patternFill>
    </fill>
    <fill>
      <patternFill patternType="solid">
        <fgColor rgb="FF177EA2"/>
        <bgColor indexed="64"/>
      </patternFill>
    </fill>
    <fill>
      <patternFill patternType="solid">
        <fgColor rgb="FF107FAF"/>
        <bgColor indexed="64"/>
      </patternFill>
    </fill>
    <fill>
      <patternFill patternType="solid">
        <fgColor rgb="FF376051"/>
        <bgColor indexed="64"/>
      </patternFill>
    </fill>
    <fill>
      <patternFill patternType="solid">
        <fgColor rgb="FF4F6338"/>
        <bgColor indexed="64"/>
      </patternFill>
    </fill>
    <fill>
      <patternFill patternType="solid">
        <fgColor rgb="FF107EAC"/>
        <bgColor indexed="64"/>
      </patternFill>
    </fill>
    <fill>
      <patternFill patternType="solid">
        <fgColor rgb="FF146990"/>
        <bgColor indexed="64"/>
      </patternFill>
    </fill>
    <fill>
      <patternFill patternType="solid">
        <fgColor rgb="FF125B7A"/>
        <bgColor indexed="64"/>
      </patternFill>
    </fill>
    <fill>
      <patternFill patternType="solid">
        <fgColor rgb="FF1889B1"/>
        <bgColor indexed="64"/>
      </patternFill>
    </fill>
    <fill>
      <patternFill patternType="solid">
        <fgColor rgb="FF1181B0"/>
        <bgColor indexed="64"/>
      </patternFill>
    </fill>
    <fill>
      <patternFill patternType="solid">
        <fgColor rgb="FF28747D"/>
        <bgColor indexed="64"/>
      </patternFill>
    </fill>
    <fill>
      <patternFill patternType="solid">
        <fgColor rgb="FF70631A"/>
        <bgColor indexed="64"/>
      </patternFill>
    </fill>
    <fill>
      <patternFill patternType="solid">
        <fgColor rgb="FF29544B"/>
        <bgColor indexed="64"/>
      </patternFill>
    </fill>
    <fill>
      <patternFill patternType="solid">
        <fgColor rgb="FF126D94"/>
        <bgColor indexed="64"/>
      </patternFill>
    </fill>
    <fill>
      <patternFill patternType="solid">
        <fgColor rgb="FF0F658D"/>
        <bgColor indexed="64"/>
      </patternFill>
    </fill>
    <fill>
      <patternFill patternType="solid">
        <fgColor rgb="FF424A50"/>
        <bgColor indexed="64"/>
      </patternFill>
    </fill>
    <fill>
      <patternFill patternType="solid">
        <fgColor rgb="FFB95B32"/>
        <bgColor indexed="64"/>
      </patternFill>
    </fill>
    <fill>
      <patternFill patternType="solid">
        <fgColor rgb="FFD36937"/>
        <bgColor indexed="64"/>
      </patternFill>
    </fill>
    <fill>
      <patternFill patternType="solid">
        <fgColor rgb="FFC85F2F"/>
        <bgColor indexed="64"/>
      </patternFill>
    </fill>
    <fill>
      <patternFill patternType="solid">
        <fgColor rgb="FFD36936"/>
        <bgColor indexed="64"/>
      </patternFill>
    </fill>
    <fill>
      <patternFill patternType="solid">
        <fgColor rgb="FF9E5128"/>
        <bgColor indexed="64"/>
      </patternFill>
    </fill>
    <fill>
      <patternFill patternType="solid">
        <fgColor rgb="FFA89631"/>
        <bgColor indexed="64"/>
      </patternFill>
    </fill>
    <fill>
      <patternFill patternType="solid">
        <fgColor rgb="FF7B7728"/>
        <bgColor indexed="64"/>
      </patternFill>
    </fill>
    <fill>
      <patternFill patternType="solid">
        <fgColor rgb="FF236B74"/>
        <bgColor indexed="64"/>
      </patternFill>
    </fill>
    <fill>
      <patternFill patternType="solid">
        <fgColor rgb="FF10638E"/>
        <bgColor indexed="64"/>
      </patternFill>
    </fill>
    <fill>
      <patternFill patternType="solid">
        <fgColor rgb="FF13688D"/>
        <bgColor indexed="64"/>
      </patternFill>
    </fill>
    <fill>
      <patternFill patternType="solid">
        <fgColor rgb="FF1376A1"/>
        <bgColor indexed="64"/>
      </patternFill>
    </fill>
    <fill>
      <patternFill patternType="solid">
        <fgColor rgb="FF12719B"/>
        <bgColor indexed="64"/>
      </patternFill>
    </fill>
    <fill>
      <patternFill patternType="solid">
        <fgColor rgb="FF186F9A"/>
        <bgColor indexed="64"/>
      </patternFill>
    </fill>
    <fill>
      <patternFill patternType="solid">
        <fgColor rgb="FF0D6490"/>
        <bgColor indexed="64"/>
      </patternFill>
    </fill>
    <fill>
      <patternFill patternType="solid">
        <fgColor rgb="FF533D5A"/>
        <bgColor indexed="64"/>
      </patternFill>
    </fill>
    <fill>
      <patternFill patternType="solid">
        <fgColor rgb="FFF04964"/>
        <bgColor indexed="64"/>
      </patternFill>
    </fill>
    <fill>
      <patternFill patternType="solid">
        <fgColor rgb="FFFB4E70"/>
        <bgColor indexed="64"/>
      </patternFill>
    </fill>
    <fill>
      <patternFill patternType="solid">
        <fgColor rgb="FFF84868"/>
        <bgColor indexed="64"/>
      </patternFill>
    </fill>
    <fill>
      <patternFill patternType="solid">
        <fgColor rgb="FFF04569"/>
        <bgColor indexed="64"/>
      </patternFill>
    </fill>
    <fill>
      <patternFill patternType="solid">
        <fgColor rgb="FFE2405D"/>
        <bgColor indexed="64"/>
      </patternFill>
    </fill>
    <fill>
      <patternFill patternType="solid">
        <fgColor rgb="FFF44866"/>
        <bgColor indexed="64"/>
      </patternFill>
    </fill>
    <fill>
      <patternFill patternType="solid">
        <fgColor rgb="FFF64767"/>
        <bgColor indexed="64"/>
      </patternFill>
    </fill>
    <fill>
      <patternFill patternType="solid">
        <fgColor rgb="FFF7486C"/>
        <bgColor indexed="64"/>
      </patternFill>
    </fill>
    <fill>
      <patternFill patternType="solid">
        <fgColor rgb="FFED4567"/>
        <bgColor indexed="64"/>
      </patternFill>
    </fill>
    <fill>
      <patternFill patternType="solid">
        <fgColor rgb="FFF14664"/>
        <bgColor indexed="64"/>
      </patternFill>
    </fill>
    <fill>
      <patternFill patternType="solid">
        <fgColor rgb="FFF24867"/>
        <bgColor indexed="64"/>
      </patternFill>
    </fill>
    <fill>
      <patternFill patternType="solid">
        <fgColor rgb="FF8D3B57"/>
        <bgColor indexed="64"/>
      </patternFill>
    </fill>
    <fill>
      <patternFill patternType="solid">
        <fgColor rgb="FF1C4D69"/>
        <bgColor indexed="64"/>
      </patternFill>
    </fill>
    <fill>
      <patternFill patternType="solid">
        <fgColor rgb="FF12739A"/>
        <bgColor indexed="64"/>
      </patternFill>
    </fill>
    <fill>
      <patternFill patternType="solid">
        <fgColor rgb="FF1478A6"/>
        <bgColor indexed="64"/>
      </patternFill>
    </fill>
    <fill>
      <patternFill patternType="solid">
        <fgColor rgb="FF1073A6"/>
        <bgColor indexed="64"/>
      </patternFill>
    </fill>
    <fill>
      <patternFill patternType="solid">
        <fgColor rgb="FF1071A1"/>
        <bgColor indexed="64"/>
      </patternFill>
    </fill>
    <fill>
      <patternFill patternType="solid">
        <fgColor rgb="FF106E9F"/>
        <bgColor indexed="64"/>
      </patternFill>
    </fill>
    <fill>
      <patternFill patternType="solid">
        <fgColor rgb="FF106FA1"/>
        <bgColor indexed="64"/>
      </patternFill>
    </fill>
    <fill>
      <patternFill patternType="solid">
        <fgColor rgb="FF0E6894"/>
        <bgColor indexed="64"/>
      </patternFill>
    </fill>
    <fill>
      <patternFill patternType="solid">
        <fgColor rgb="FF5E812D"/>
        <bgColor indexed="64"/>
      </patternFill>
    </fill>
    <fill>
      <patternFill patternType="solid">
        <fgColor rgb="FF667527"/>
        <bgColor indexed="64"/>
      </patternFill>
    </fill>
    <fill>
      <patternFill patternType="solid">
        <fgColor rgb="FFBCB52B"/>
        <bgColor indexed="64"/>
      </patternFill>
    </fill>
    <fill>
      <patternFill patternType="solid">
        <fgColor rgb="FFBBB128"/>
        <bgColor indexed="64"/>
      </patternFill>
    </fill>
    <fill>
      <patternFill patternType="solid">
        <fgColor rgb="FFB8AA2D"/>
        <bgColor indexed="64"/>
      </patternFill>
    </fill>
    <fill>
      <patternFill patternType="solid">
        <fgColor rgb="FFEDDF35"/>
        <bgColor indexed="64"/>
      </patternFill>
    </fill>
    <fill>
      <patternFill patternType="solid">
        <fgColor rgb="FFD0C232"/>
        <bgColor indexed="64"/>
      </patternFill>
    </fill>
    <fill>
      <patternFill patternType="solid">
        <fgColor rgb="FFD4C634"/>
        <bgColor indexed="64"/>
      </patternFill>
    </fill>
    <fill>
      <patternFill patternType="solid">
        <fgColor rgb="FFCCBB30"/>
        <bgColor indexed="64"/>
      </patternFill>
    </fill>
    <fill>
      <patternFill patternType="solid">
        <fgColor rgb="FFB4A82C"/>
        <bgColor indexed="64"/>
      </patternFill>
    </fill>
    <fill>
      <patternFill patternType="solid">
        <fgColor rgb="FF7D902F"/>
        <bgColor indexed="64"/>
      </patternFill>
    </fill>
    <fill>
      <patternFill patternType="solid">
        <fgColor rgb="FF55671F"/>
        <bgColor indexed="64"/>
      </patternFill>
    </fill>
    <fill>
      <patternFill patternType="solid">
        <fgColor rgb="FF749135"/>
        <bgColor indexed="64"/>
      </patternFill>
    </fill>
    <fill>
      <patternFill patternType="solid">
        <fgColor rgb="FF75A23A"/>
        <bgColor indexed="64"/>
      </patternFill>
    </fill>
    <fill>
      <patternFill patternType="solid">
        <fgColor rgb="FF689537"/>
        <bgColor indexed="64"/>
      </patternFill>
    </fill>
    <fill>
      <patternFill patternType="solid">
        <fgColor rgb="FF7C7E2F"/>
        <bgColor indexed="64"/>
      </patternFill>
    </fill>
    <fill>
      <patternFill patternType="solid">
        <fgColor rgb="FFBDB434"/>
        <bgColor indexed="64"/>
      </patternFill>
    </fill>
    <fill>
      <patternFill patternType="solid">
        <fgColor rgb="FFDAD335"/>
        <bgColor indexed="64"/>
      </patternFill>
    </fill>
    <fill>
      <patternFill patternType="solid">
        <fgColor rgb="FF658539"/>
        <bgColor indexed="64"/>
      </patternFill>
    </fill>
    <fill>
      <patternFill patternType="solid">
        <fgColor rgb="FF7AAC45"/>
        <bgColor indexed="64"/>
      </patternFill>
    </fill>
    <fill>
      <patternFill patternType="solid">
        <fgColor rgb="FF74A440"/>
        <bgColor indexed="64"/>
      </patternFill>
    </fill>
    <fill>
      <patternFill patternType="solid">
        <fgColor rgb="FF76A641"/>
        <bgColor indexed="64"/>
      </patternFill>
    </fill>
    <fill>
      <patternFill patternType="solid">
        <fgColor rgb="FF74A241"/>
        <bgColor indexed="64"/>
      </patternFill>
    </fill>
    <fill>
      <patternFill patternType="solid">
        <fgColor rgb="FF929B37"/>
        <bgColor indexed="64"/>
      </patternFill>
    </fill>
    <fill>
      <patternFill patternType="solid">
        <fgColor rgb="FF769533"/>
        <bgColor indexed="64"/>
      </patternFill>
    </fill>
    <fill>
      <patternFill patternType="solid">
        <fgColor rgb="FF79AC49"/>
        <bgColor indexed="64"/>
      </patternFill>
    </fill>
    <fill>
      <patternFill patternType="solid">
        <fgColor rgb="FF7DAC49"/>
        <bgColor indexed="64"/>
      </patternFill>
    </fill>
    <fill>
      <patternFill patternType="solid">
        <fgColor rgb="FF70963F"/>
        <bgColor indexed="64"/>
      </patternFill>
    </fill>
    <fill>
      <patternFill patternType="solid">
        <fgColor rgb="FF548243"/>
        <bgColor indexed="64"/>
      </patternFill>
    </fill>
    <fill>
      <patternFill patternType="solid">
        <fgColor rgb="FF28665C"/>
        <bgColor indexed="64"/>
      </patternFill>
    </fill>
    <fill>
      <patternFill patternType="solid">
        <fgColor rgb="FF0C5575"/>
        <bgColor indexed="64"/>
      </patternFill>
    </fill>
    <fill>
      <patternFill patternType="solid">
        <fgColor rgb="FF106389"/>
        <bgColor indexed="64"/>
      </patternFill>
    </fill>
    <fill>
      <patternFill patternType="solid">
        <fgColor rgb="FF1781A6"/>
        <bgColor indexed="64"/>
      </patternFill>
    </fill>
    <fill>
      <patternFill patternType="solid">
        <fgColor rgb="FF15729A"/>
        <bgColor indexed="64"/>
      </patternFill>
    </fill>
    <fill>
      <patternFill patternType="solid">
        <fgColor rgb="FF135B7C"/>
        <bgColor indexed="64"/>
      </patternFill>
    </fill>
    <fill>
      <patternFill patternType="solid">
        <fgColor rgb="FF16799E"/>
        <bgColor indexed="64"/>
      </patternFill>
    </fill>
    <fill>
      <patternFill patternType="solid">
        <fgColor rgb="FF1482AD"/>
        <bgColor indexed="64"/>
      </patternFill>
    </fill>
    <fill>
      <patternFill patternType="solid">
        <fgColor rgb="FF1680A7"/>
        <bgColor indexed="64"/>
      </patternFill>
    </fill>
    <fill>
      <patternFill patternType="solid">
        <fgColor rgb="FF0972A3"/>
        <bgColor indexed="64"/>
      </patternFill>
    </fill>
    <fill>
      <patternFill patternType="solid">
        <fgColor rgb="FF70863E"/>
        <bgColor indexed="64"/>
      </patternFill>
    </fill>
    <fill>
      <patternFill patternType="solid">
        <fgColor rgb="FF4A6F46"/>
        <bgColor indexed="64"/>
      </patternFill>
    </fill>
    <fill>
      <patternFill patternType="solid">
        <fgColor rgb="FF0B7BAE"/>
        <bgColor indexed="64"/>
      </patternFill>
    </fill>
    <fill>
      <patternFill patternType="solid">
        <fgColor rgb="FF147395"/>
        <bgColor indexed="64"/>
      </patternFill>
    </fill>
    <fill>
      <patternFill patternType="solid">
        <fgColor rgb="FF105B7B"/>
        <bgColor indexed="64"/>
      </patternFill>
    </fill>
    <fill>
      <patternFill patternType="solid">
        <fgColor rgb="FF14688E"/>
        <bgColor indexed="64"/>
      </patternFill>
    </fill>
    <fill>
      <patternFill patternType="solid">
        <fgColor rgb="FF0F7CAC"/>
        <bgColor indexed="64"/>
      </patternFill>
    </fill>
    <fill>
      <patternFill patternType="solid">
        <fgColor rgb="FF327670"/>
        <bgColor indexed="64"/>
      </patternFill>
    </fill>
    <fill>
      <patternFill patternType="solid">
        <fgColor rgb="FFC8B92C"/>
        <bgColor indexed="64"/>
      </patternFill>
    </fill>
    <fill>
      <patternFill patternType="solid">
        <fgColor rgb="FF32533D"/>
        <bgColor indexed="64"/>
      </patternFill>
    </fill>
    <fill>
      <patternFill patternType="solid">
        <fgColor rgb="FF0B5E8A"/>
        <bgColor indexed="64"/>
      </patternFill>
    </fill>
    <fill>
      <patternFill patternType="solid">
        <fgColor rgb="FF166C93"/>
        <bgColor indexed="64"/>
      </patternFill>
    </fill>
    <fill>
      <patternFill patternType="solid">
        <fgColor rgb="FF0E658C"/>
        <bgColor indexed="64"/>
      </patternFill>
    </fill>
    <fill>
      <patternFill patternType="solid">
        <fgColor rgb="FF1F5165"/>
        <bgColor indexed="64"/>
      </patternFill>
    </fill>
    <fill>
      <patternFill patternType="solid">
        <fgColor rgb="FF344F53"/>
        <bgColor indexed="64"/>
      </patternFill>
    </fill>
    <fill>
      <patternFill patternType="solid">
        <fgColor rgb="FF39585D"/>
        <bgColor indexed="64"/>
      </patternFill>
    </fill>
    <fill>
      <patternFill patternType="solid">
        <fgColor rgb="FF3A6777"/>
        <bgColor indexed="64"/>
      </patternFill>
    </fill>
    <fill>
      <patternFill patternType="solid">
        <fgColor rgb="FF2B595A"/>
        <bgColor indexed="64"/>
      </patternFill>
    </fill>
    <fill>
      <patternFill patternType="solid">
        <fgColor rgb="FFBFB52F"/>
        <bgColor indexed="64"/>
      </patternFill>
    </fill>
    <fill>
      <patternFill patternType="solid">
        <fgColor rgb="FF918F2D"/>
        <bgColor indexed="64"/>
      </patternFill>
    </fill>
    <fill>
      <patternFill patternType="solid">
        <fgColor rgb="FF1B6F80"/>
        <bgColor indexed="64"/>
      </patternFill>
    </fill>
    <fill>
      <patternFill patternType="solid">
        <fgColor rgb="FF1582B4"/>
        <bgColor indexed="64"/>
      </patternFill>
    </fill>
    <fill>
      <patternFill patternType="solid">
        <fgColor rgb="FF13749D"/>
        <bgColor indexed="64"/>
      </patternFill>
    </fill>
    <fill>
      <patternFill patternType="solid">
        <fgColor rgb="FF15749C"/>
        <bgColor indexed="64"/>
      </patternFill>
    </fill>
    <fill>
      <patternFill patternType="solid">
        <fgColor rgb="FF106B92"/>
        <bgColor indexed="64"/>
      </patternFill>
    </fill>
    <fill>
      <patternFill patternType="solid">
        <fgColor rgb="FF23729E"/>
        <bgColor indexed="64"/>
      </patternFill>
    </fill>
    <fill>
      <patternFill patternType="solid">
        <fgColor rgb="FF5E2E49"/>
        <bgColor indexed="64"/>
      </patternFill>
    </fill>
    <fill>
      <patternFill patternType="solid">
        <fgColor rgb="FF8D3646"/>
        <bgColor indexed="64"/>
      </patternFill>
    </fill>
    <fill>
      <patternFill patternType="solid">
        <fgColor rgb="FFF24967"/>
        <bgColor indexed="64"/>
      </patternFill>
    </fill>
    <fill>
      <patternFill patternType="solid">
        <fgColor rgb="FFFB486A"/>
        <bgColor indexed="64"/>
      </patternFill>
    </fill>
    <fill>
      <patternFill patternType="solid">
        <fgColor rgb="FFF34565"/>
        <bgColor indexed="64"/>
      </patternFill>
    </fill>
    <fill>
      <patternFill patternType="solid">
        <fgColor rgb="FFF44665"/>
        <bgColor indexed="64"/>
      </patternFill>
    </fill>
    <fill>
      <patternFill patternType="solid">
        <fgColor rgb="FFF94767"/>
        <bgColor indexed="64"/>
      </patternFill>
    </fill>
    <fill>
      <patternFill patternType="solid">
        <fgColor rgb="FFF74767"/>
        <bgColor indexed="64"/>
      </patternFill>
    </fill>
    <fill>
      <patternFill patternType="solid">
        <fgColor rgb="FFF64766"/>
        <bgColor indexed="64"/>
      </patternFill>
    </fill>
    <fill>
      <patternFill patternType="solid">
        <fgColor rgb="FFFB4A66"/>
        <bgColor indexed="64"/>
      </patternFill>
    </fill>
    <fill>
      <patternFill patternType="solid">
        <fgColor rgb="FFF04466"/>
        <bgColor indexed="64"/>
      </patternFill>
    </fill>
    <fill>
      <patternFill patternType="solid">
        <fgColor rgb="FFC23350"/>
        <bgColor indexed="64"/>
      </patternFill>
    </fill>
    <fill>
      <patternFill patternType="solid">
        <fgColor rgb="FF96374F"/>
        <bgColor indexed="64"/>
      </patternFill>
    </fill>
    <fill>
      <patternFill patternType="solid">
        <fgColor rgb="FF3B4B66"/>
        <bgColor indexed="64"/>
      </patternFill>
    </fill>
    <fill>
      <patternFill patternType="solid">
        <fgColor rgb="FF047096"/>
        <bgColor indexed="64"/>
      </patternFill>
    </fill>
    <fill>
      <patternFill patternType="solid">
        <fgColor rgb="FF0D7BA8"/>
        <bgColor indexed="64"/>
      </patternFill>
    </fill>
    <fill>
      <patternFill patternType="solid">
        <fgColor rgb="FF1175A5"/>
        <bgColor indexed="64"/>
      </patternFill>
    </fill>
    <fill>
      <patternFill patternType="solid">
        <fgColor rgb="FF1176A4"/>
        <bgColor indexed="64"/>
      </patternFill>
    </fill>
    <fill>
      <patternFill patternType="solid">
        <fgColor rgb="FF1174A4"/>
        <bgColor indexed="64"/>
      </patternFill>
    </fill>
    <fill>
      <patternFill patternType="solid">
        <fgColor rgb="FF1070A3"/>
        <bgColor indexed="64"/>
      </patternFill>
    </fill>
    <fill>
      <patternFill patternType="solid">
        <fgColor rgb="FF106E9D"/>
        <bgColor indexed="64"/>
      </patternFill>
    </fill>
    <fill>
      <patternFill patternType="solid">
        <fgColor rgb="FF106EA0"/>
        <bgColor indexed="64"/>
      </patternFill>
    </fill>
    <fill>
      <patternFill patternType="solid">
        <fgColor rgb="FF1071A7"/>
        <bgColor indexed="64"/>
      </patternFill>
    </fill>
    <fill>
      <patternFill patternType="solid">
        <fgColor rgb="FF608426"/>
        <bgColor indexed="64"/>
      </patternFill>
    </fill>
    <fill>
      <patternFill patternType="solid">
        <fgColor rgb="FF6C8524"/>
        <bgColor indexed="64"/>
      </patternFill>
    </fill>
    <fill>
      <patternFill patternType="solid">
        <fgColor rgb="FF6E9132"/>
        <bgColor indexed="64"/>
      </patternFill>
    </fill>
    <fill>
      <patternFill patternType="solid">
        <fgColor rgb="FF486223"/>
        <bgColor indexed="64"/>
      </patternFill>
    </fill>
    <fill>
      <patternFill patternType="solid">
        <fgColor rgb="FF7D7621"/>
        <bgColor indexed="64"/>
      </patternFill>
    </fill>
    <fill>
      <patternFill patternType="solid">
        <fgColor rgb="FFD1C431"/>
        <bgColor indexed="64"/>
      </patternFill>
    </fill>
    <fill>
      <patternFill patternType="solid">
        <fgColor rgb="FFA39A29"/>
        <bgColor indexed="64"/>
      </patternFill>
    </fill>
    <fill>
      <patternFill patternType="solid">
        <fgColor rgb="FF8F8726"/>
        <bgColor indexed="64"/>
      </patternFill>
    </fill>
    <fill>
      <patternFill patternType="solid">
        <fgColor rgb="FF9B942B"/>
        <bgColor indexed="64"/>
      </patternFill>
    </fill>
    <fill>
      <patternFill patternType="solid">
        <fgColor rgb="FF6E7A26"/>
        <bgColor indexed="64"/>
      </patternFill>
    </fill>
    <fill>
      <patternFill patternType="solid">
        <fgColor rgb="FF909B39"/>
        <bgColor indexed="64"/>
      </patternFill>
    </fill>
    <fill>
      <patternFill patternType="solid">
        <fgColor rgb="FF5C852B"/>
        <bgColor indexed="64"/>
      </patternFill>
    </fill>
    <fill>
      <patternFill patternType="solid">
        <fgColor rgb="FF6C9337"/>
        <bgColor indexed="64"/>
      </patternFill>
    </fill>
    <fill>
      <patternFill patternType="solid">
        <fgColor rgb="FF78A43E"/>
        <bgColor indexed="64"/>
      </patternFill>
    </fill>
    <fill>
      <patternFill patternType="solid">
        <fgColor rgb="FF76A13D"/>
        <bgColor indexed="64"/>
      </patternFill>
    </fill>
    <fill>
      <patternFill patternType="solid">
        <fgColor rgb="FF79A73C"/>
        <bgColor indexed="64"/>
      </patternFill>
    </fill>
    <fill>
      <patternFill patternType="solid">
        <fgColor rgb="FF699736"/>
        <bgColor indexed="64"/>
      </patternFill>
    </fill>
    <fill>
      <patternFill patternType="solid">
        <fgColor rgb="FF6C7230"/>
        <bgColor indexed="64"/>
      </patternFill>
    </fill>
    <fill>
      <patternFill patternType="solid">
        <fgColor rgb="FF8F8832"/>
        <bgColor indexed="64"/>
      </patternFill>
    </fill>
    <fill>
      <patternFill patternType="solid">
        <fgColor rgb="FFADA637"/>
        <bgColor indexed="64"/>
      </patternFill>
    </fill>
    <fill>
      <patternFill patternType="solid">
        <fgColor rgb="FF708C3B"/>
        <bgColor indexed="64"/>
      </patternFill>
    </fill>
    <fill>
      <patternFill patternType="solid">
        <fgColor rgb="FF78A944"/>
        <bgColor indexed="64"/>
      </patternFill>
    </fill>
    <fill>
      <patternFill patternType="solid">
        <fgColor rgb="FF74A23F"/>
        <bgColor indexed="64"/>
      </patternFill>
    </fill>
    <fill>
      <patternFill patternType="solid">
        <fgColor rgb="FF73A142"/>
        <bgColor indexed="64"/>
      </patternFill>
    </fill>
    <fill>
      <patternFill patternType="solid">
        <fgColor rgb="FF74A342"/>
        <bgColor indexed="64"/>
      </patternFill>
    </fill>
    <fill>
      <patternFill patternType="solid">
        <fgColor rgb="FF74A141"/>
        <bgColor indexed="64"/>
      </patternFill>
    </fill>
    <fill>
      <patternFill patternType="solid">
        <fgColor rgb="FF74A442"/>
        <bgColor indexed="64"/>
      </patternFill>
    </fill>
    <fill>
      <patternFill patternType="solid">
        <fgColor rgb="FF778531"/>
        <bgColor indexed="64"/>
      </patternFill>
    </fill>
    <fill>
      <patternFill patternType="solid">
        <fgColor rgb="FF73912E"/>
        <bgColor indexed="64"/>
      </patternFill>
    </fill>
    <fill>
      <patternFill patternType="solid">
        <fgColor rgb="FF6B9439"/>
        <bgColor indexed="64"/>
      </patternFill>
    </fill>
    <fill>
      <patternFill patternType="solid">
        <fgColor rgb="FF4E7439"/>
        <bgColor indexed="64"/>
      </patternFill>
    </fill>
    <fill>
      <patternFill patternType="solid">
        <fgColor rgb="FF235C57"/>
        <bgColor indexed="64"/>
      </patternFill>
    </fill>
    <fill>
      <patternFill patternType="solid">
        <fgColor rgb="FF106083"/>
        <bgColor indexed="64"/>
      </patternFill>
    </fill>
    <fill>
      <patternFill patternType="solid">
        <fgColor rgb="FF0D577D"/>
        <bgColor indexed="64"/>
      </patternFill>
    </fill>
    <fill>
      <patternFill patternType="solid">
        <fgColor rgb="FF166E8E"/>
        <bgColor indexed="64"/>
      </patternFill>
    </fill>
    <fill>
      <patternFill patternType="solid">
        <fgColor rgb="FF167DA3"/>
        <bgColor indexed="64"/>
      </patternFill>
    </fill>
    <fill>
      <patternFill patternType="solid">
        <fgColor rgb="FF167BA5"/>
        <bgColor indexed="64"/>
      </patternFill>
    </fill>
    <fill>
      <patternFill patternType="solid">
        <fgColor rgb="FF13678E"/>
        <bgColor indexed="64"/>
      </patternFill>
    </fill>
    <fill>
      <patternFill patternType="solid">
        <fgColor rgb="FF177EA5"/>
        <bgColor indexed="64"/>
      </patternFill>
    </fill>
    <fill>
      <patternFill patternType="solid">
        <fgColor rgb="FF147FAC"/>
        <bgColor indexed="64"/>
      </patternFill>
    </fill>
    <fill>
      <patternFill patternType="solid">
        <fgColor rgb="FF147DA6"/>
        <bgColor indexed="64"/>
      </patternFill>
    </fill>
    <fill>
      <patternFill patternType="solid">
        <fgColor rgb="FF1581AD"/>
        <bgColor indexed="64"/>
      </patternFill>
    </fill>
    <fill>
      <patternFill patternType="solid">
        <fgColor rgb="FF126D8E"/>
        <bgColor indexed="64"/>
      </patternFill>
    </fill>
    <fill>
      <patternFill patternType="solid">
        <fgColor rgb="FFB5B730"/>
        <bgColor indexed="64"/>
      </patternFill>
    </fill>
    <fill>
      <patternFill patternType="solid">
        <fgColor rgb="FF3F7C64"/>
        <bgColor indexed="64"/>
      </patternFill>
    </fill>
    <fill>
      <patternFill patternType="solid">
        <fgColor rgb="FF0C7AAB"/>
        <bgColor indexed="64"/>
      </patternFill>
    </fill>
    <fill>
      <patternFill patternType="solid">
        <fgColor rgb="FF1580A7"/>
        <bgColor indexed="64"/>
      </patternFill>
    </fill>
    <fill>
      <patternFill patternType="solid">
        <fgColor rgb="FF157DA5"/>
        <bgColor indexed="64"/>
      </patternFill>
    </fill>
    <fill>
      <patternFill patternType="solid">
        <fgColor rgb="FF167A9E"/>
        <bgColor indexed="64"/>
      </patternFill>
    </fill>
    <fill>
      <patternFill patternType="solid">
        <fgColor rgb="FF0D7CAD"/>
        <bgColor indexed="64"/>
      </patternFill>
    </fill>
    <fill>
      <patternFill patternType="solid">
        <fgColor rgb="FF397567"/>
        <bgColor indexed="64"/>
      </patternFill>
    </fill>
    <fill>
      <patternFill patternType="solid">
        <fgColor rgb="FFF6E62F"/>
        <bgColor indexed="64"/>
      </patternFill>
    </fill>
    <fill>
      <patternFill patternType="solid">
        <fgColor rgb="FF3D6649"/>
        <bgColor indexed="64"/>
      </patternFill>
    </fill>
    <fill>
      <patternFill patternType="solid">
        <fgColor rgb="FF0C648B"/>
        <bgColor indexed="64"/>
      </patternFill>
    </fill>
    <fill>
      <patternFill patternType="solid">
        <fgColor rgb="FF13597A"/>
        <bgColor indexed="64"/>
      </patternFill>
    </fill>
    <fill>
      <patternFill patternType="solid">
        <fgColor rgb="FF166B91"/>
        <bgColor indexed="64"/>
      </patternFill>
    </fill>
    <fill>
      <patternFill patternType="solid">
        <fgColor rgb="FF137FB0"/>
        <bgColor indexed="64"/>
      </patternFill>
    </fill>
    <fill>
      <patternFill patternType="solid">
        <fgColor rgb="FF107CAC"/>
        <bgColor indexed="64"/>
      </patternFill>
    </fill>
    <fill>
      <patternFill patternType="solid">
        <fgColor rgb="FF0F78A4"/>
        <bgColor indexed="64"/>
      </patternFill>
    </fill>
    <fill>
      <patternFill patternType="solid">
        <fgColor rgb="FF097AB0"/>
        <bgColor indexed="64"/>
      </patternFill>
    </fill>
    <fill>
      <patternFill patternType="solid">
        <fgColor rgb="FF347F7F"/>
        <bgColor indexed="64"/>
      </patternFill>
    </fill>
    <fill>
      <patternFill patternType="solid">
        <fgColor rgb="FFA89929"/>
        <bgColor indexed="64"/>
      </patternFill>
    </fill>
    <fill>
      <patternFill patternType="solid">
        <fgColor rgb="FF878A2B"/>
        <bgColor indexed="64"/>
      </patternFill>
    </fill>
    <fill>
      <patternFill patternType="solid">
        <fgColor rgb="FF176D83"/>
        <bgColor indexed="64"/>
      </patternFill>
    </fill>
    <fill>
      <patternFill patternType="solid">
        <fgColor rgb="FF0F6390"/>
        <bgColor indexed="64"/>
      </patternFill>
    </fill>
    <fill>
      <patternFill patternType="solid">
        <fgColor rgb="FF116589"/>
        <bgColor indexed="64"/>
      </patternFill>
    </fill>
    <fill>
      <patternFill patternType="solid">
        <fgColor rgb="FF1881AB"/>
        <bgColor indexed="64"/>
      </patternFill>
    </fill>
    <fill>
      <patternFill patternType="solid">
        <fgColor rgb="FF1685B6"/>
        <bgColor indexed="64"/>
      </patternFill>
    </fill>
    <fill>
      <patternFill patternType="solid">
        <fgColor rgb="FF236F9F"/>
        <bgColor indexed="64"/>
      </patternFill>
    </fill>
    <fill>
      <patternFill patternType="solid">
        <fgColor rgb="FFBB3F5B"/>
        <bgColor indexed="64"/>
      </patternFill>
    </fill>
    <fill>
      <patternFill patternType="solid">
        <fgColor rgb="FFF0415D"/>
        <bgColor indexed="64"/>
      </patternFill>
    </fill>
    <fill>
      <patternFill patternType="solid">
        <fgColor rgb="FFF64768"/>
        <bgColor indexed="64"/>
      </patternFill>
    </fill>
    <fill>
      <patternFill patternType="solid">
        <fgColor rgb="FFF84766"/>
        <bgColor indexed="64"/>
      </patternFill>
    </fill>
    <fill>
      <patternFill patternType="solid">
        <fgColor rgb="FFF84769"/>
        <bgColor indexed="64"/>
      </patternFill>
    </fill>
    <fill>
      <patternFill patternType="solid">
        <fgColor rgb="FFF74764"/>
        <bgColor indexed="64"/>
      </patternFill>
    </fill>
    <fill>
      <patternFill patternType="solid">
        <fgColor rgb="FFF74766"/>
        <bgColor indexed="64"/>
      </patternFill>
    </fill>
    <fill>
      <patternFill patternType="solid">
        <fgColor rgb="FFF84665"/>
        <bgColor indexed="64"/>
      </patternFill>
    </fill>
    <fill>
      <patternFill patternType="solid">
        <fgColor rgb="FFF74665"/>
        <bgColor indexed="64"/>
      </patternFill>
    </fill>
    <fill>
      <patternFill patternType="solid">
        <fgColor rgb="FFF94A68"/>
        <bgColor indexed="64"/>
      </patternFill>
    </fill>
    <fill>
      <patternFill patternType="solid">
        <fgColor rgb="FFEE4363"/>
        <bgColor indexed="64"/>
      </patternFill>
    </fill>
    <fill>
      <patternFill patternType="solid">
        <fgColor rgb="FFE53F5D"/>
        <bgColor indexed="64"/>
      </patternFill>
    </fill>
    <fill>
      <patternFill patternType="solid">
        <fgColor rgb="FF854362"/>
        <bgColor indexed="64"/>
      </patternFill>
    </fill>
    <fill>
      <patternFill patternType="solid">
        <fgColor rgb="FF245E84"/>
        <bgColor indexed="64"/>
      </patternFill>
    </fill>
    <fill>
      <patternFill patternType="solid">
        <fgColor rgb="FF116792"/>
        <bgColor indexed="64"/>
      </patternFill>
    </fill>
    <fill>
      <patternFill patternType="solid">
        <fgColor rgb="FF11709F"/>
        <bgColor indexed="64"/>
      </patternFill>
    </fill>
    <fill>
      <patternFill patternType="solid">
        <fgColor rgb="FF106F9E"/>
        <bgColor indexed="64"/>
      </patternFill>
    </fill>
    <fill>
      <patternFill patternType="solid">
        <fgColor rgb="FF0F6E9E"/>
        <bgColor indexed="64"/>
      </patternFill>
    </fill>
    <fill>
      <patternFill patternType="solid">
        <fgColor rgb="FF0E6C9D"/>
        <bgColor indexed="64"/>
      </patternFill>
    </fill>
    <fill>
      <patternFill patternType="solid">
        <fgColor rgb="FF79A93A"/>
        <bgColor indexed="64"/>
      </patternFill>
    </fill>
    <fill>
      <patternFill patternType="solid">
        <fgColor rgb="FF76A538"/>
        <bgColor indexed="64"/>
      </patternFill>
    </fill>
    <fill>
      <patternFill patternType="solid">
        <fgColor rgb="FF7AAB3B"/>
        <bgColor indexed="64"/>
      </patternFill>
    </fill>
    <fill>
      <patternFill patternType="solid">
        <fgColor rgb="FF6E8626"/>
        <bgColor indexed="64"/>
      </patternFill>
    </fill>
    <fill>
      <patternFill patternType="solid">
        <fgColor rgb="FF9F9D28"/>
        <bgColor indexed="64"/>
      </patternFill>
    </fill>
    <fill>
      <patternFill patternType="solid">
        <fgColor rgb="FF4D5618"/>
        <bgColor indexed="64"/>
      </patternFill>
    </fill>
    <fill>
      <patternFill patternType="solid">
        <fgColor rgb="FF3E4214"/>
        <bgColor indexed="64"/>
      </patternFill>
    </fill>
    <fill>
      <patternFill patternType="solid">
        <fgColor rgb="FF688327"/>
        <bgColor indexed="64"/>
      </patternFill>
    </fill>
    <fill>
      <patternFill patternType="solid">
        <fgColor rgb="FF6E8B2B"/>
        <bgColor indexed="64"/>
      </patternFill>
    </fill>
    <fill>
      <patternFill patternType="solid">
        <fgColor rgb="FF648831"/>
        <bgColor indexed="64"/>
      </patternFill>
    </fill>
    <fill>
      <patternFill patternType="solid">
        <fgColor rgb="FF576A2A"/>
        <bgColor indexed="64"/>
      </patternFill>
    </fill>
    <fill>
      <patternFill patternType="solid">
        <fgColor rgb="FF7DAE3D"/>
        <bgColor indexed="64"/>
      </patternFill>
    </fill>
    <fill>
      <patternFill patternType="solid">
        <fgColor rgb="FF77A639"/>
        <bgColor indexed="64"/>
      </patternFill>
    </fill>
    <fill>
      <patternFill patternType="solid">
        <fgColor rgb="FF74A03B"/>
        <bgColor indexed="64"/>
      </patternFill>
    </fill>
    <fill>
      <patternFill patternType="solid">
        <fgColor rgb="FF76A03D"/>
        <bgColor indexed="64"/>
      </patternFill>
    </fill>
    <fill>
      <patternFill patternType="solid">
        <fgColor rgb="FF79A53E"/>
        <bgColor indexed="64"/>
      </patternFill>
    </fill>
    <fill>
      <patternFill patternType="solid">
        <fgColor rgb="FF729D3B"/>
        <bgColor indexed="64"/>
      </patternFill>
    </fill>
    <fill>
      <patternFill patternType="solid">
        <fgColor rgb="FF616830"/>
        <bgColor indexed="64"/>
      </patternFill>
    </fill>
    <fill>
      <patternFill patternType="solid">
        <fgColor rgb="FF413B17"/>
        <bgColor indexed="64"/>
      </patternFill>
    </fill>
    <fill>
      <patternFill patternType="solid">
        <fgColor rgb="FF736A2D"/>
        <bgColor indexed="64"/>
      </patternFill>
    </fill>
    <fill>
      <patternFill patternType="solid">
        <fgColor rgb="FF69853A"/>
        <bgColor indexed="64"/>
      </patternFill>
    </fill>
    <fill>
      <patternFill patternType="solid">
        <fgColor rgb="FF7CAB46"/>
        <bgColor indexed="64"/>
      </patternFill>
    </fill>
    <fill>
      <patternFill patternType="solid">
        <fgColor rgb="FF75A243"/>
        <bgColor indexed="64"/>
      </patternFill>
    </fill>
    <fill>
      <patternFill patternType="solid">
        <fgColor rgb="FF7AAB42"/>
        <bgColor indexed="64"/>
      </patternFill>
    </fill>
    <fill>
      <patternFill patternType="solid">
        <fgColor rgb="FF83B749"/>
        <bgColor indexed="64"/>
      </patternFill>
    </fill>
    <fill>
      <patternFill patternType="solid">
        <fgColor rgb="FF536524"/>
        <bgColor indexed="64"/>
      </patternFill>
    </fill>
    <fill>
      <patternFill patternType="solid">
        <fgColor rgb="FF3C4D1D"/>
        <bgColor indexed="64"/>
      </patternFill>
    </fill>
    <fill>
      <patternFill patternType="solid">
        <fgColor rgb="FF1B4943"/>
        <bgColor indexed="64"/>
      </patternFill>
    </fill>
    <fill>
      <patternFill patternType="solid">
        <fgColor rgb="FF106282"/>
        <bgColor indexed="64"/>
      </patternFill>
    </fill>
    <fill>
      <patternFill patternType="solid">
        <fgColor rgb="FF137AA7"/>
        <bgColor indexed="64"/>
      </patternFill>
    </fill>
    <fill>
      <patternFill patternType="solid">
        <fgColor rgb="FF135C7B"/>
        <bgColor indexed="64"/>
      </patternFill>
    </fill>
    <fill>
      <patternFill patternType="solid">
        <fgColor rgb="FF177192"/>
        <bgColor indexed="64"/>
      </patternFill>
    </fill>
    <fill>
      <patternFill patternType="solid">
        <fgColor rgb="FF1681AB"/>
        <bgColor indexed="64"/>
      </patternFill>
    </fill>
    <fill>
      <patternFill patternType="solid">
        <fgColor rgb="FF1480A9"/>
        <bgColor indexed="64"/>
      </patternFill>
    </fill>
    <fill>
      <patternFill patternType="solid">
        <fgColor rgb="FF14749A"/>
        <bgColor indexed="64"/>
      </patternFill>
    </fill>
    <fill>
      <patternFill patternType="solid">
        <fgColor rgb="FF136081"/>
        <bgColor indexed="64"/>
      </patternFill>
    </fill>
    <fill>
      <patternFill patternType="solid">
        <fgColor rgb="FF1580A9"/>
        <bgColor indexed="64"/>
      </patternFill>
    </fill>
    <fill>
      <patternFill patternType="solid">
        <fgColor rgb="FF147CA8"/>
        <bgColor indexed="64"/>
      </patternFill>
    </fill>
    <fill>
      <patternFill patternType="solid">
        <fgColor rgb="FF167EA6"/>
        <bgColor indexed="64"/>
      </patternFill>
    </fill>
    <fill>
      <patternFill patternType="solid">
        <fgColor rgb="FF0B7CAF"/>
        <bgColor indexed="64"/>
      </patternFill>
    </fill>
    <fill>
      <patternFill patternType="solid">
        <fgColor rgb="FF3C7B6C"/>
        <bgColor indexed="64"/>
      </patternFill>
    </fill>
    <fill>
      <patternFill patternType="solid">
        <fgColor rgb="FFB9B528"/>
        <bgColor indexed="64"/>
      </patternFill>
    </fill>
    <fill>
      <patternFill patternType="solid">
        <fgColor rgb="FF13697E"/>
        <bgColor indexed="64"/>
      </patternFill>
    </fill>
    <fill>
      <patternFill patternType="solid">
        <fgColor rgb="FF1584B1"/>
        <bgColor indexed="64"/>
      </patternFill>
    </fill>
    <fill>
      <patternFill patternType="solid">
        <fgColor rgb="FF157FA9"/>
        <bgColor indexed="64"/>
      </patternFill>
    </fill>
    <fill>
      <patternFill patternType="solid">
        <fgColor rgb="FF1682AD"/>
        <bgColor indexed="64"/>
      </patternFill>
    </fill>
    <fill>
      <patternFill patternType="solid">
        <fgColor rgb="FF1682AB"/>
        <bgColor indexed="64"/>
      </patternFill>
    </fill>
    <fill>
      <patternFill patternType="solid">
        <fgColor rgb="FF0F7DAD"/>
        <bgColor indexed="64"/>
      </patternFill>
    </fill>
    <fill>
      <patternFill patternType="solid">
        <fgColor rgb="FF336D65"/>
        <bgColor indexed="64"/>
      </patternFill>
    </fill>
    <fill>
      <patternFill patternType="solid">
        <fgColor rgb="FFF3E12B"/>
        <bgColor indexed="64"/>
      </patternFill>
    </fill>
    <fill>
      <patternFill patternType="solid">
        <fgColor rgb="FF447554"/>
        <bgColor indexed="64"/>
      </patternFill>
    </fill>
    <fill>
      <patternFill patternType="solid">
        <fgColor rgb="FF0E7DB3"/>
        <bgColor indexed="64"/>
      </patternFill>
    </fill>
    <fill>
      <patternFill patternType="solid">
        <fgColor rgb="FF156B8F"/>
        <bgColor indexed="64"/>
      </patternFill>
    </fill>
    <fill>
      <patternFill patternType="solid">
        <fgColor rgb="FF136789"/>
        <bgColor indexed="64"/>
      </patternFill>
    </fill>
    <fill>
      <patternFill patternType="solid">
        <fgColor rgb="FF146C90"/>
        <bgColor indexed="64"/>
      </patternFill>
    </fill>
    <fill>
      <patternFill patternType="solid">
        <fgColor rgb="FF13658B"/>
        <bgColor indexed="64"/>
      </patternFill>
    </fill>
    <fill>
      <patternFill patternType="solid">
        <fgColor rgb="FF146180"/>
        <bgColor indexed="64"/>
      </patternFill>
    </fill>
    <fill>
      <patternFill patternType="solid">
        <fgColor rgb="FF0E6C95"/>
        <bgColor indexed="64"/>
      </patternFill>
    </fill>
    <fill>
      <patternFill patternType="solid">
        <fgColor rgb="FF38756F"/>
        <bgColor indexed="64"/>
      </patternFill>
    </fill>
    <fill>
      <patternFill patternType="solid">
        <fgColor rgb="FFC9B72A"/>
        <bgColor indexed="64"/>
      </patternFill>
    </fill>
    <fill>
      <patternFill patternType="solid">
        <fgColor rgb="FF949A2D"/>
        <bgColor indexed="64"/>
      </patternFill>
    </fill>
    <fill>
      <patternFill patternType="solid">
        <fgColor rgb="FF10708C"/>
        <bgColor indexed="64"/>
      </patternFill>
    </fill>
    <fill>
      <patternFill patternType="solid">
        <fgColor rgb="FF1583AC"/>
        <bgColor indexed="64"/>
      </patternFill>
    </fill>
    <fill>
      <patternFill patternType="solid">
        <fgColor rgb="FF156C9B"/>
        <bgColor indexed="64"/>
      </patternFill>
    </fill>
    <fill>
      <patternFill patternType="solid">
        <fgColor rgb="FF0A6796"/>
        <bgColor indexed="64"/>
      </patternFill>
    </fill>
    <fill>
      <patternFill patternType="solid">
        <fgColor rgb="FF125787"/>
        <bgColor indexed="64"/>
      </patternFill>
    </fill>
    <fill>
      <patternFill patternType="solid">
        <fgColor rgb="FFCD4466"/>
        <bgColor indexed="64"/>
      </patternFill>
    </fill>
    <fill>
      <patternFill patternType="solid">
        <fgColor rgb="FFFB486D"/>
        <bgColor indexed="64"/>
      </patternFill>
    </fill>
    <fill>
      <patternFill patternType="solid">
        <fgColor rgb="FFF94768"/>
        <bgColor indexed="64"/>
      </patternFill>
    </fill>
    <fill>
      <patternFill patternType="solid">
        <fgColor rgb="FFF94666"/>
        <bgColor indexed="64"/>
      </patternFill>
    </fill>
    <fill>
      <patternFill patternType="solid">
        <fgColor rgb="FFF64665"/>
        <bgColor indexed="64"/>
      </patternFill>
    </fill>
    <fill>
      <patternFill patternType="solid">
        <fgColor rgb="FFF64668"/>
        <bgColor indexed="64"/>
      </patternFill>
    </fill>
    <fill>
      <patternFill patternType="solid">
        <fgColor rgb="FFF64667"/>
        <bgColor indexed="64"/>
      </patternFill>
    </fill>
    <fill>
      <patternFill patternType="solid">
        <fgColor rgb="FFF94764"/>
        <bgColor indexed="64"/>
      </patternFill>
    </fill>
    <fill>
      <patternFill patternType="solid">
        <fgColor rgb="FFF74666"/>
        <bgColor indexed="64"/>
      </patternFill>
    </fill>
    <fill>
      <patternFill patternType="solid">
        <fgColor rgb="FFF74969"/>
        <bgColor indexed="64"/>
      </patternFill>
    </fill>
    <fill>
      <patternFill patternType="solid">
        <fgColor rgb="FFDB3D5B"/>
        <bgColor indexed="64"/>
      </patternFill>
    </fill>
    <fill>
      <patternFill patternType="solid">
        <fgColor rgb="FFD33A58"/>
        <bgColor indexed="64"/>
      </patternFill>
    </fill>
    <fill>
      <patternFill patternType="solid">
        <fgColor rgb="FFBB3655"/>
        <bgColor indexed="64"/>
      </patternFill>
    </fill>
    <fill>
      <patternFill patternType="solid">
        <fgColor rgb="FF723652"/>
        <bgColor indexed="64"/>
      </patternFill>
    </fill>
    <fill>
      <patternFill patternType="solid">
        <fgColor rgb="FF1C5C79"/>
        <bgColor indexed="64"/>
      </patternFill>
    </fill>
    <fill>
      <patternFill patternType="solid">
        <fgColor rgb="FF0F6E9F"/>
        <bgColor indexed="64"/>
      </patternFill>
    </fill>
    <fill>
      <patternFill patternType="solid">
        <fgColor rgb="FF116E9E"/>
        <bgColor indexed="64"/>
      </patternFill>
    </fill>
    <fill>
      <patternFill patternType="solid">
        <fgColor rgb="FF106F9D"/>
        <bgColor indexed="64"/>
      </patternFill>
    </fill>
    <fill>
      <patternFill patternType="solid">
        <fgColor rgb="FF0F6E9D"/>
        <bgColor indexed="64"/>
      </patternFill>
    </fill>
    <fill>
      <patternFill patternType="solid">
        <fgColor rgb="FF1171A1"/>
        <bgColor indexed="64"/>
      </patternFill>
    </fill>
    <fill>
      <patternFill patternType="solid">
        <fgColor rgb="FF1070A2"/>
        <bgColor indexed="64"/>
      </patternFill>
    </fill>
    <fill>
      <patternFill patternType="solid">
        <fgColor rgb="FF71A036"/>
        <bgColor indexed="64"/>
      </patternFill>
    </fill>
    <fill>
      <patternFill patternType="solid">
        <fgColor rgb="FF77A437"/>
        <bgColor indexed="64"/>
      </patternFill>
    </fill>
    <fill>
      <patternFill patternType="solid">
        <fgColor rgb="FF5F852C"/>
        <bgColor indexed="64"/>
      </patternFill>
    </fill>
    <fill>
      <patternFill patternType="solid">
        <fgColor rgb="FF54601A"/>
        <bgColor indexed="64"/>
      </patternFill>
    </fill>
    <fill>
      <patternFill patternType="solid">
        <fgColor rgb="FF77992D"/>
        <bgColor indexed="64"/>
      </patternFill>
    </fill>
    <fill>
      <patternFill patternType="solid">
        <fgColor rgb="FF4D6926"/>
        <bgColor indexed="64"/>
      </patternFill>
    </fill>
    <fill>
      <patternFill patternType="solid">
        <fgColor rgb="FF3B461D"/>
        <bgColor indexed="64"/>
      </patternFill>
    </fill>
    <fill>
      <patternFill patternType="solid">
        <fgColor rgb="FF76A839"/>
        <bgColor indexed="64"/>
      </patternFill>
    </fill>
    <fill>
      <patternFill patternType="solid">
        <fgColor rgb="FF6B9735"/>
        <bgColor indexed="64"/>
      </patternFill>
    </fill>
    <fill>
      <patternFill patternType="solid">
        <fgColor rgb="FF658F34"/>
        <bgColor indexed="64"/>
      </patternFill>
    </fill>
    <fill>
      <patternFill patternType="solid">
        <fgColor rgb="FF77A83E"/>
        <bgColor indexed="64"/>
      </patternFill>
    </fill>
    <fill>
      <patternFill patternType="solid">
        <fgColor rgb="FF73A03B"/>
        <bgColor indexed="64"/>
      </patternFill>
    </fill>
    <fill>
      <patternFill patternType="solid">
        <fgColor rgb="FF74A23A"/>
        <bgColor indexed="64"/>
      </patternFill>
    </fill>
    <fill>
      <patternFill patternType="solid">
        <fgColor rgb="FF759D3E"/>
        <bgColor indexed="64"/>
      </patternFill>
    </fill>
    <fill>
      <patternFill patternType="solid">
        <fgColor rgb="FF739D40"/>
        <bgColor indexed="64"/>
      </patternFill>
    </fill>
    <fill>
      <patternFill patternType="solid">
        <fgColor rgb="FF333E1A"/>
        <bgColor indexed="64"/>
      </patternFill>
    </fill>
    <fill>
      <patternFill patternType="solid">
        <fgColor rgb="FF261F08"/>
        <bgColor indexed="64"/>
      </patternFill>
    </fill>
    <fill>
      <patternFill patternType="solid">
        <fgColor rgb="FF322C0B"/>
        <bgColor indexed="64"/>
      </patternFill>
    </fill>
    <fill>
      <patternFill patternType="solid">
        <fgColor rgb="FF567032"/>
        <bgColor indexed="64"/>
      </patternFill>
    </fill>
    <fill>
      <patternFill patternType="solid">
        <fgColor rgb="FF7DAB49"/>
        <bgColor indexed="64"/>
      </patternFill>
    </fill>
    <fill>
      <patternFill patternType="solid">
        <fgColor rgb="FF77A342"/>
        <bgColor indexed="64"/>
      </patternFill>
    </fill>
    <fill>
      <patternFill patternType="solid">
        <fgColor rgb="FF77A543"/>
        <bgColor indexed="64"/>
      </patternFill>
    </fill>
    <fill>
      <patternFill patternType="solid">
        <fgColor rgb="FF79AA41"/>
        <bgColor indexed="64"/>
      </patternFill>
    </fill>
    <fill>
      <patternFill patternType="solid">
        <fgColor rgb="FF77A744"/>
        <bgColor indexed="64"/>
      </patternFill>
    </fill>
    <fill>
      <patternFill patternType="solid">
        <fgColor rgb="FF6C923C"/>
        <bgColor indexed="64"/>
      </patternFill>
    </fill>
    <fill>
      <patternFill patternType="solid">
        <fgColor rgb="FF466931"/>
        <bgColor indexed="64"/>
      </patternFill>
    </fill>
    <fill>
      <patternFill patternType="solid">
        <fgColor rgb="FF6C7B32"/>
        <bgColor indexed="64"/>
      </patternFill>
    </fill>
    <fill>
      <patternFill patternType="solid">
        <fgColor rgb="FF4F7D5C"/>
        <bgColor indexed="64"/>
      </patternFill>
    </fill>
    <fill>
      <patternFill patternType="solid">
        <fgColor rgb="FF065B8A"/>
        <bgColor indexed="64"/>
      </patternFill>
    </fill>
    <fill>
      <patternFill patternType="solid">
        <fgColor rgb="FF177499"/>
        <bgColor indexed="64"/>
      </patternFill>
    </fill>
    <fill>
      <patternFill patternType="solid">
        <fgColor rgb="FF177195"/>
        <bgColor indexed="64"/>
      </patternFill>
    </fill>
    <fill>
      <patternFill patternType="solid">
        <fgColor rgb="FF115473"/>
        <bgColor indexed="64"/>
      </patternFill>
    </fill>
    <fill>
      <patternFill patternType="solid">
        <fgColor rgb="FF147CA9"/>
        <bgColor indexed="64"/>
      </patternFill>
    </fill>
    <fill>
      <patternFill patternType="solid">
        <fgColor rgb="FF157CA6"/>
        <bgColor indexed="64"/>
      </patternFill>
    </fill>
    <fill>
      <patternFill patternType="solid">
        <fgColor rgb="FF147DA5"/>
        <bgColor indexed="64"/>
      </patternFill>
    </fill>
    <fill>
      <patternFill patternType="solid">
        <fgColor rgb="FF157EA5"/>
        <bgColor indexed="64"/>
      </patternFill>
    </fill>
    <fill>
      <patternFill patternType="solid">
        <fgColor rgb="FF157A9F"/>
        <bgColor indexed="64"/>
      </patternFill>
    </fill>
    <fill>
      <patternFill patternType="solid">
        <fgColor rgb="FF147FA6"/>
        <bgColor indexed="64"/>
      </patternFill>
    </fill>
    <fill>
      <patternFill patternType="solid">
        <fgColor rgb="FF137EA7"/>
        <bgColor indexed="64"/>
      </patternFill>
    </fill>
    <fill>
      <patternFill patternType="solid">
        <fgColor rgb="FF1680A6"/>
        <bgColor indexed="64"/>
      </patternFill>
    </fill>
    <fill>
      <patternFill patternType="solid">
        <fgColor rgb="FF0573AA"/>
        <bgColor indexed="64"/>
      </patternFill>
    </fill>
    <fill>
      <patternFill patternType="solid">
        <fgColor rgb="FF6C8F53"/>
        <bgColor indexed="64"/>
      </patternFill>
    </fill>
    <fill>
      <patternFill patternType="solid">
        <fgColor rgb="FF99A134"/>
        <bgColor indexed="64"/>
      </patternFill>
    </fill>
    <fill>
      <patternFill patternType="solid">
        <fgColor rgb="FF065780"/>
        <bgColor indexed="64"/>
      </patternFill>
    </fill>
    <fill>
      <patternFill patternType="solid">
        <fgColor rgb="FF126185"/>
        <bgColor indexed="64"/>
      </patternFill>
    </fill>
    <fill>
      <patternFill patternType="solid">
        <fgColor rgb="FF11678F"/>
        <bgColor indexed="64"/>
      </patternFill>
    </fill>
    <fill>
      <patternFill patternType="solid">
        <fgColor rgb="FF13769D"/>
        <bgColor indexed="64"/>
      </patternFill>
    </fill>
    <fill>
      <patternFill patternType="solid">
        <fgColor rgb="FF1682A7"/>
        <bgColor indexed="64"/>
      </patternFill>
    </fill>
    <fill>
      <patternFill patternType="solid">
        <fgColor rgb="FF0C79AC"/>
        <bgColor indexed="64"/>
      </patternFill>
    </fill>
    <fill>
      <patternFill patternType="solid">
        <fgColor rgb="FF3B6D59"/>
        <bgColor indexed="64"/>
      </patternFill>
    </fill>
    <fill>
      <patternFill patternType="solid">
        <fgColor rgb="FFFAE92D"/>
        <bgColor indexed="64"/>
      </patternFill>
    </fill>
    <fill>
      <patternFill patternType="solid">
        <fgColor rgb="FF3F694C"/>
        <bgColor indexed="64"/>
      </patternFill>
    </fill>
    <fill>
      <patternFill patternType="solid">
        <fgColor rgb="FF0A6496"/>
        <bgColor indexed="64"/>
      </patternFill>
    </fill>
    <fill>
      <patternFill patternType="solid">
        <fgColor rgb="FF146E95"/>
        <bgColor indexed="64"/>
      </patternFill>
    </fill>
    <fill>
      <patternFill patternType="solid">
        <fgColor rgb="FF137099"/>
        <bgColor indexed="64"/>
      </patternFill>
    </fill>
    <fill>
      <patternFill patternType="solid">
        <fgColor rgb="FF1377A1"/>
        <bgColor indexed="64"/>
      </patternFill>
    </fill>
    <fill>
      <patternFill patternType="solid">
        <fgColor rgb="FF1480AB"/>
        <bgColor indexed="64"/>
      </patternFill>
    </fill>
    <fill>
      <patternFill patternType="solid">
        <fgColor rgb="FF1887AD"/>
        <bgColor indexed="64"/>
      </patternFill>
    </fill>
    <fill>
      <patternFill patternType="solid">
        <fgColor rgb="FF1086B6"/>
        <bgColor indexed="64"/>
      </patternFill>
    </fill>
    <fill>
      <patternFill patternType="solid">
        <fgColor rgb="FF327168"/>
        <bgColor indexed="64"/>
      </patternFill>
    </fill>
    <fill>
      <patternFill patternType="solid">
        <fgColor rgb="FFFFF130"/>
        <bgColor indexed="64"/>
      </patternFill>
    </fill>
    <fill>
      <patternFill patternType="solid">
        <fgColor rgb="FFA4AF36"/>
        <bgColor indexed="64"/>
      </patternFill>
    </fill>
    <fill>
      <patternFill patternType="solid">
        <fgColor rgb="FF0A7098"/>
        <bgColor indexed="64"/>
      </patternFill>
    </fill>
    <fill>
      <patternFill patternType="solid">
        <fgColor rgb="FF1786B1"/>
        <bgColor indexed="64"/>
      </patternFill>
    </fill>
    <fill>
      <patternFill patternType="solid">
        <fgColor rgb="FF1382AE"/>
        <bgColor indexed="64"/>
      </patternFill>
    </fill>
    <fill>
      <patternFill patternType="solid">
        <fgColor rgb="FF176695"/>
        <bgColor indexed="64"/>
      </patternFill>
    </fill>
    <fill>
      <patternFill patternType="solid">
        <fgColor rgb="FF753F5C"/>
        <bgColor indexed="64"/>
      </patternFill>
    </fill>
    <fill>
      <patternFill patternType="solid">
        <fgColor rgb="FF392F49"/>
        <bgColor indexed="64"/>
      </patternFill>
    </fill>
    <fill>
      <patternFill patternType="solid">
        <fgColor rgb="FF9B2F42"/>
        <bgColor indexed="64"/>
      </patternFill>
    </fill>
    <fill>
      <patternFill patternType="solid">
        <fgColor rgb="FFFF4D6F"/>
        <bgColor indexed="64"/>
      </patternFill>
    </fill>
    <fill>
      <patternFill patternType="solid">
        <fgColor rgb="FFF44666"/>
        <bgColor indexed="64"/>
      </patternFill>
    </fill>
    <fill>
      <patternFill patternType="solid">
        <fgColor rgb="FFF84667"/>
        <bgColor indexed="64"/>
      </patternFill>
    </fill>
    <fill>
      <patternFill patternType="solid">
        <fgColor rgb="FFF74667"/>
        <bgColor indexed="64"/>
      </patternFill>
    </fill>
    <fill>
      <patternFill patternType="solid">
        <fgColor rgb="FFF74664"/>
        <bgColor indexed="64"/>
      </patternFill>
    </fill>
    <fill>
      <patternFill patternType="solid">
        <fgColor rgb="FFF74663"/>
        <bgColor indexed="64"/>
      </patternFill>
    </fill>
    <fill>
      <patternFill patternType="solid">
        <fgColor rgb="FFF04462"/>
        <bgColor indexed="64"/>
      </patternFill>
    </fill>
    <fill>
      <patternFill patternType="solid">
        <fgColor rgb="FFF14565"/>
        <bgColor indexed="64"/>
      </patternFill>
    </fill>
    <fill>
      <patternFill patternType="solid">
        <fgColor rgb="FFF34567"/>
        <bgColor indexed="64"/>
      </patternFill>
    </fill>
    <fill>
      <patternFill patternType="solid">
        <fgColor rgb="FFEE4365"/>
        <bgColor indexed="64"/>
      </patternFill>
    </fill>
    <fill>
      <patternFill patternType="solid">
        <fgColor rgb="FF59344D"/>
        <bgColor indexed="64"/>
      </patternFill>
    </fill>
    <fill>
      <patternFill patternType="solid">
        <fgColor rgb="FF036C8A"/>
        <bgColor indexed="64"/>
      </patternFill>
    </fill>
    <fill>
      <patternFill patternType="solid">
        <fgColor rgb="FF137BA4"/>
        <bgColor indexed="64"/>
      </patternFill>
    </fill>
    <fill>
      <patternFill patternType="solid">
        <fgColor rgb="FF0F6EA0"/>
        <bgColor indexed="64"/>
      </patternFill>
    </fill>
    <fill>
      <patternFill patternType="solid">
        <fgColor rgb="FF106D9E"/>
        <bgColor indexed="64"/>
      </patternFill>
    </fill>
    <fill>
      <patternFill patternType="solid">
        <fgColor rgb="FF1070A0"/>
        <bgColor indexed="64"/>
      </patternFill>
    </fill>
    <fill>
      <patternFill patternType="solid">
        <fgColor rgb="FF116F9E"/>
        <bgColor indexed="64"/>
      </patternFill>
    </fill>
    <fill>
      <patternFill patternType="solid">
        <fgColor rgb="FF1172A0"/>
        <bgColor indexed="64"/>
      </patternFill>
    </fill>
    <fill>
      <patternFill patternType="solid">
        <fgColor rgb="FF709F36"/>
        <bgColor indexed="64"/>
      </patternFill>
    </fill>
    <fill>
      <patternFill patternType="solid">
        <fgColor rgb="FF72A036"/>
        <bgColor indexed="64"/>
      </patternFill>
    </fill>
    <fill>
      <patternFill patternType="solid">
        <fgColor rgb="FF658C2D"/>
        <bgColor indexed="64"/>
      </patternFill>
    </fill>
    <fill>
      <patternFill patternType="solid">
        <fgColor rgb="FF6F9B31"/>
        <bgColor indexed="64"/>
      </patternFill>
    </fill>
    <fill>
      <patternFill patternType="solid">
        <fgColor rgb="FF73A538"/>
        <bgColor indexed="64"/>
      </patternFill>
    </fill>
    <fill>
      <patternFill patternType="solid">
        <fgColor rgb="FF778A2E"/>
        <bgColor indexed="64"/>
      </patternFill>
    </fill>
    <fill>
      <patternFill patternType="solid">
        <fgColor rgb="FF8E9736"/>
        <bgColor indexed="64"/>
      </patternFill>
    </fill>
    <fill>
      <patternFill patternType="solid">
        <fgColor rgb="FF6C9B34"/>
        <bgColor indexed="64"/>
      </patternFill>
    </fill>
    <fill>
      <patternFill patternType="solid">
        <fgColor rgb="FF71A136"/>
        <bgColor indexed="64"/>
      </patternFill>
    </fill>
    <fill>
      <patternFill patternType="solid">
        <fgColor rgb="FF77A638"/>
        <bgColor indexed="64"/>
      </patternFill>
    </fill>
    <fill>
      <patternFill patternType="solid">
        <fgColor rgb="FF75A43A"/>
        <bgColor indexed="64"/>
      </patternFill>
    </fill>
    <fill>
      <patternFill patternType="solid">
        <fgColor rgb="FF74A339"/>
        <bgColor indexed="64"/>
      </patternFill>
    </fill>
    <fill>
      <patternFill patternType="solid">
        <fgColor rgb="FF6A9736"/>
        <bgColor indexed="64"/>
      </patternFill>
    </fill>
    <fill>
      <patternFill patternType="solid">
        <fgColor rgb="FF5B832E"/>
        <bgColor indexed="64"/>
      </patternFill>
    </fill>
    <fill>
      <patternFill patternType="solid">
        <fgColor rgb="FF679034"/>
        <bgColor indexed="64"/>
      </patternFill>
    </fill>
    <fill>
      <patternFill patternType="solid">
        <fgColor rgb="FF679038"/>
        <bgColor indexed="64"/>
      </patternFill>
    </fill>
    <fill>
      <patternFill patternType="solid">
        <fgColor rgb="FF1B220B"/>
        <bgColor indexed="64"/>
      </patternFill>
    </fill>
    <fill>
      <patternFill patternType="solid">
        <fgColor rgb="FF524B18"/>
        <bgColor indexed="64"/>
      </patternFill>
    </fill>
    <fill>
      <patternFill patternType="solid">
        <fgColor rgb="FF36310B"/>
        <bgColor indexed="64"/>
      </patternFill>
    </fill>
    <fill>
      <patternFill patternType="solid">
        <fgColor rgb="FF3E5527"/>
        <bgColor indexed="64"/>
      </patternFill>
    </fill>
    <fill>
      <patternFill patternType="solid">
        <fgColor rgb="FF658D37"/>
        <bgColor indexed="64"/>
      </patternFill>
    </fill>
    <fill>
      <patternFill patternType="solid">
        <fgColor rgb="FF6E973E"/>
        <bgColor indexed="64"/>
      </patternFill>
    </fill>
    <fill>
      <patternFill patternType="solid">
        <fgColor rgb="FF6E9B3D"/>
        <bgColor indexed="64"/>
      </patternFill>
    </fill>
    <fill>
      <patternFill patternType="solid">
        <fgColor rgb="FF6D993D"/>
        <bgColor indexed="64"/>
      </patternFill>
    </fill>
    <fill>
      <patternFill patternType="solid">
        <fgColor rgb="FF415A24"/>
        <bgColor indexed="64"/>
      </patternFill>
    </fill>
    <fill>
      <patternFill patternType="solid">
        <fgColor rgb="FF193125"/>
        <bgColor indexed="64"/>
      </patternFill>
    </fill>
    <fill>
      <patternFill patternType="solid">
        <fgColor rgb="FF07526E"/>
        <bgColor indexed="64"/>
      </patternFill>
    </fill>
    <fill>
      <patternFill patternType="solid">
        <fgColor rgb="FF497D60"/>
        <bgColor indexed="64"/>
      </patternFill>
    </fill>
    <fill>
      <patternFill patternType="solid">
        <fgColor rgb="FF557F5B"/>
        <bgColor indexed="64"/>
      </patternFill>
    </fill>
    <fill>
      <patternFill patternType="solid">
        <fgColor rgb="FF074E71"/>
        <bgColor indexed="64"/>
      </patternFill>
    </fill>
    <fill>
      <patternFill patternType="solid">
        <fgColor rgb="FF177AA2"/>
        <bgColor indexed="64"/>
      </patternFill>
    </fill>
    <fill>
      <patternFill patternType="solid">
        <fgColor rgb="FF167FA8"/>
        <bgColor indexed="64"/>
      </patternFill>
    </fill>
    <fill>
      <patternFill patternType="solid">
        <fgColor rgb="FF115E7B"/>
        <bgColor indexed="64"/>
      </patternFill>
    </fill>
    <fill>
      <patternFill patternType="solid">
        <fgColor rgb="FF137194"/>
        <bgColor indexed="64"/>
      </patternFill>
    </fill>
    <fill>
      <patternFill patternType="solid">
        <fgColor rgb="FF1580AA"/>
        <bgColor indexed="64"/>
      </patternFill>
    </fill>
    <fill>
      <patternFill patternType="solid">
        <fgColor rgb="FF147FA7"/>
        <bgColor indexed="64"/>
      </patternFill>
    </fill>
    <fill>
      <patternFill patternType="solid">
        <fgColor rgb="FF147EA6"/>
        <bgColor indexed="64"/>
      </patternFill>
    </fill>
    <fill>
      <patternFill patternType="solid">
        <fgColor rgb="FF147DA7"/>
        <bgColor indexed="64"/>
      </patternFill>
    </fill>
    <fill>
      <patternFill patternType="solid">
        <fgColor rgb="FF137FA7"/>
        <bgColor indexed="64"/>
      </patternFill>
    </fill>
    <fill>
      <patternFill patternType="solid">
        <fgColor rgb="FF167FA9"/>
        <bgColor indexed="64"/>
      </patternFill>
    </fill>
    <fill>
      <patternFill patternType="solid">
        <fgColor rgb="FF10739D"/>
        <bgColor indexed="64"/>
      </patternFill>
    </fill>
    <fill>
      <patternFill patternType="solid">
        <fgColor rgb="FF28321E"/>
        <bgColor indexed="64"/>
      </patternFill>
    </fill>
    <fill>
      <patternFill patternType="solid">
        <fgColor rgb="FF3B5A3B"/>
        <bgColor indexed="64"/>
      </patternFill>
    </fill>
    <fill>
      <patternFill patternType="solid">
        <fgColor rgb="FF14769A"/>
        <bgColor indexed="64"/>
      </patternFill>
    </fill>
    <fill>
      <patternFill patternType="solid">
        <fgColor rgb="FF14799F"/>
        <bgColor indexed="64"/>
      </patternFill>
    </fill>
    <fill>
      <patternFill patternType="solid">
        <fgColor rgb="FF1582A9"/>
        <bgColor indexed="64"/>
      </patternFill>
    </fill>
    <fill>
      <patternFill patternType="solid">
        <fgColor rgb="FF1886AF"/>
        <bgColor indexed="64"/>
      </patternFill>
    </fill>
    <fill>
      <patternFill patternType="solid">
        <fgColor rgb="FF0A7AAF"/>
        <bgColor indexed="64"/>
      </patternFill>
    </fill>
    <fill>
      <patternFill patternType="solid">
        <fgColor rgb="FF507F5A"/>
        <bgColor indexed="64"/>
      </patternFill>
    </fill>
    <fill>
      <patternFill patternType="solid">
        <fgColor rgb="FFF8E82E"/>
        <bgColor indexed="64"/>
      </patternFill>
    </fill>
    <fill>
      <patternFill patternType="solid">
        <fgColor rgb="FF3E7255"/>
        <bgColor indexed="64"/>
      </patternFill>
    </fill>
    <fill>
      <patternFill patternType="solid">
        <fgColor rgb="FF0D719D"/>
        <bgColor indexed="64"/>
      </patternFill>
    </fill>
    <fill>
      <patternFill patternType="solid">
        <fgColor rgb="FF156A8A"/>
        <bgColor indexed="64"/>
      </patternFill>
    </fill>
    <fill>
      <patternFill patternType="solid">
        <fgColor rgb="FF125F80"/>
        <bgColor indexed="64"/>
      </patternFill>
    </fill>
    <fill>
      <patternFill patternType="solid">
        <fgColor rgb="FF116386"/>
        <bgColor indexed="64"/>
      </patternFill>
    </fill>
    <fill>
      <patternFill patternType="solid">
        <fgColor rgb="FF147AA3"/>
        <bgColor indexed="64"/>
      </patternFill>
    </fill>
    <fill>
      <patternFill patternType="solid">
        <fgColor rgb="FF1682AA"/>
        <bgColor indexed="64"/>
      </patternFill>
    </fill>
    <fill>
      <patternFill patternType="solid">
        <fgColor rgb="FF0E7EB0"/>
        <bgColor indexed="64"/>
      </patternFill>
    </fill>
    <fill>
      <patternFill patternType="solid">
        <fgColor rgb="FF316A60"/>
        <bgColor indexed="64"/>
      </patternFill>
    </fill>
    <fill>
      <patternFill patternType="solid">
        <fgColor rgb="FFFAE82E"/>
        <bgColor indexed="64"/>
      </patternFill>
    </fill>
    <fill>
      <patternFill patternType="solid">
        <fgColor rgb="FF8E9C35"/>
        <bgColor indexed="64"/>
      </patternFill>
    </fill>
    <fill>
      <patternFill patternType="solid">
        <fgColor rgb="FF096D97"/>
        <bgColor indexed="64"/>
      </patternFill>
    </fill>
    <fill>
      <patternFill patternType="solid">
        <fgColor rgb="FF1683B1"/>
        <bgColor indexed="64"/>
      </patternFill>
    </fill>
    <fill>
      <patternFill patternType="solid">
        <fgColor rgb="FF1578A8"/>
        <bgColor indexed="64"/>
      </patternFill>
    </fill>
    <fill>
      <patternFill patternType="solid">
        <fgColor rgb="FF036A9C"/>
        <bgColor indexed="64"/>
      </patternFill>
    </fill>
    <fill>
      <patternFill patternType="solid">
        <fgColor rgb="FF734667"/>
        <bgColor indexed="64"/>
      </patternFill>
    </fill>
    <fill>
      <patternFill patternType="solid">
        <fgColor rgb="FFFC4965"/>
        <bgColor indexed="64"/>
      </patternFill>
    </fill>
    <fill>
      <patternFill patternType="solid">
        <fgColor rgb="FFE84764"/>
        <bgColor indexed="64"/>
      </patternFill>
    </fill>
    <fill>
      <patternFill patternType="solid">
        <fgColor rgb="FFF6486A"/>
        <bgColor indexed="64"/>
      </patternFill>
    </fill>
    <fill>
      <patternFill patternType="solid">
        <fgColor rgb="FFF64769"/>
        <bgColor indexed="64"/>
      </patternFill>
    </fill>
    <fill>
      <patternFill patternType="solid">
        <fgColor rgb="FFF64466"/>
        <bgColor indexed="64"/>
      </patternFill>
    </fill>
    <fill>
      <patternFill patternType="solid">
        <fgColor rgb="FFF94668"/>
        <bgColor indexed="64"/>
      </patternFill>
    </fill>
    <fill>
      <patternFill patternType="solid">
        <fgColor rgb="FFF74563"/>
        <bgColor indexed="64"/>
      </patternFill>
    </fill>
    <fill>
      <patternFill patternType="solid">
        <fgColor rgb="FFF64563"/>
        <bgColor indexed="64"/>
      </patternFill>
    </fill>
    <fill>
      <patternFill patternType="solid">
        <fgColor rgb="FFF64564"/>
        <bgColor indexed="64"/>
      </patternFill>
    </fill>
    <fill>
      <patternFill patternType="solid">
        <fgColor rgb="FFEC4262"/>
        <bgColor indexed="64"/>
      </patternFill>
    </fill>
    <fill>
      <patternFill patternType="solid">
        <fgColor rgb="FFEB4163"/>
        <bgColor indexed="64"/>
      </patternFill>
    </fill>
    <fill>
      <patternFill patternType="solid">
        <fgColor rgb="FF952844"/>
        <bgColor indexed="64"/>
      </patternFill>
    </fill>
    <fill>
      <patternFill patternType="solid">
        <fgColor rgb="FFC73752"/>
        <bgColor indexed="64"/>
      </patternFill>
    </fill>
    <fill>
      <patternFill patternType="solid">
        <fgColor rgb="FFBF385B"/>
        <bgColor indexed="64"/>
      </patternFill>
    </fill>
    <fill>
      <patternFill patternType="solid">
        <fgColor rgb="FF145773"/>
        <bgColor indexed="64"/>
      </patternFill>
    </fill>
    <fill>
      <patternFill patternType="solid">
        <fgColor rgb="FF1178A2"/>
        <bgColor indexed="64"/>
      </patternFill>
    </fill>
    <fill>
      <patternFill patternType="solid">
        <fgColor rgb="FF11709D"/>
        <bgColor indexed="64"/>
      </patternFill>
    </fill>
    <fill>
      <patternFill patternType="solid">
        <fgColor rgb="FF106C9F"/>
        <bgColor indexed="64"/>
      </patternFill>
    </fill>
    <fill>
      <patternFill patternType="solid">
        <fgColor rgb="FF106E9E"/>
        <bgColor indexed="64"/>
      </patternFill>
    </fill>
    <fill>
      <patternFill patternType="solid">
        <fgColor rgb="FF0F6D9D"/>
        <bgColor indexed="64"/>
      </patternFill>
    </fill>
    <fill>
      <patternFill patternType="solid">
        <fgColor rgb="FF6E9E34"/>
        <bgColor indexed="64"/>
      </patternFill>
    </fill>
    <fill>
      <patternFill patternType="solid">
        <fgColor rgb="FF6B9B33"/>
        <bgColor indexed="64"/>
      </patternFill>
    </fill>
    <fill>
      <patternFill patternType="solid">
        <fgColor rgb="FF72A133"/>
        <bgColor indexed="64"/>
      </patternFill>
    </fill>
    <fill>
      <patternFill patternType="solid">
        <fgColor rgb="FF72A035"/>
        <bgColor indexed="64"/>
      </patternFill>
    </fill>
    <fill>
      <patternFill patternType="solid">
        <fgColor rgb="FF70A136"/>
        <bgColor indexed="64"/>
      </patternFill>
    </fill>
    <fill>
      <patternFill patternType="solid">
        <fgColor rgb="FF5F7628"/>
        <bgColor indexed="64"/>
      </patternFill>
    </fill>
    <fill>
      <patternFill patternType="solid">
        <fgColor rgb="FF5A6321"/>
        <bgColor indexed="64"/>
      </patternFill>
    </fill>
    <fill>
      <patternFill patternType="solid">
        <fgColor rgb="FF6F9E37"/>
        <bgColor indexed="64"/>
      </patternFill>
    </fill>
    <fill>
      <patternFill patternType="solid">
        <fgColor rgb="FF6F9E36"/>
        <bgColor indexed="64"/>
      </patternFill>
    </fill>
    <fill>
      <patternFill patternType="solid">
        <fgColor rgb="FF71A037"/>
        <bgColor indexed="64"/>
      </patternFill>
    </fill>
    <fill>
      <patternFill patternType="solid">
        <fgColor rgb="FF72A039"/>
        <bgColor indexed="64"/>
      </patternFill>
    </fill>
    <fill>
      <patternFill patternType="solid">
        <fgColor rgb="FF72A33A"/>
        <bgColor indexed="64"/>
      </patternFill>
    </fill>
    <fill>
      <patternFill patternType="solid">
        <fgColor rgb="FF6A9A34"/>
        <bgColor indexed="64"/>
      </patternFill>
    </fill>
    <fill>
      <patternFill patternType="solid">
        <fgColor rgb="FF6A9635"/>
        <bgColor indexed="64"/>
      </patternFill>
    </fill>
    <fill>
      <patternFill patternType="solid">
        <fgColor rgb="FF6D9936"/>
        <bgColor indexed="64"/>
      </patternFill>
    </fill>
    <fill>
      <patternFill patternType="solid">
        <fgColor rgb="FF618A31"/>
        <bgColor indexed="64"/>
      </patternFill>
    </fill>
    <fill>
      <patternFill patternType="solid">
        <fgColor rgb="FF5F8334"/>
        <bgColor indexed="64"/>
      </patternFill>
    </fill>
    <fill>
      <patternFill patternType="solid">
        <fgColor rgb="FF4E4F20"/>
        <bgColor indexed="64"/>
      </patternFill>
    </fill>
    <fill>
      <patternFill patternType="solid">
        <fgColor rgb="FFA49931"/>
        <bgColor indexed="64"/>
      </patternFill>
    </fill>
    <fill>
      <patternFill patternType="solid">
        <fgColor rgb="FF8B8421"/>
        <bgColor indexed="64"/>
      </patternFill>
    </fill>
    <fill>
      <patternFill patternType="solid">
        <fgColor rgb="FF475D28"/>
        <bgColor indexed="64"/>
      </patternFill>
    </fill>
    <fill>
      <patternFill patternType="solid">
        <fgColor rgb="FF6E9C3E"/>
        <bgColor indexed="64"/>
      </patternFill>
    </fill>
    <fill>
      <patternFill patternType="solid">
        <fgColor rgb="FF658F37"/>
        <bgColor indexed="64"/>
      </patternFill>
    </fill>
    <fill>
      <patternFill patternType="solid">
        <fgColor rgb="FF608A35"/>
        <bgColor indexed="64"/>
      </patternFill>
    </fill>
    <fill>
      <patternFill patternType="solid">
        <fgColor rgb="FF2F431B"/>
        <bgColor indexed="64"/>
      </patternFill>
    </fill>
    <fill>
      <patternFill patternType="solid">
        <fgColor rgb="FF103E46"/>
        <bgColor indexed="64"/>
      </patternFill>
    </fill>
    <fill>
      <patternFill patternType="solid">
        <fgColor rgb="FF147398"/>
        <bgColor indexed="64"/>
      </patternFill>
    </fill>
    <fill>
      <patternFill patternType="solid">
        <fgColor rgb="FF127FAB"/>
        <bgColor indexed="64"/>
      </patternFill>
    </fill>
    <fill>
      <patternFill patternType="solid">
        <fgColor rgb="FF215B5E"/>
        <bgColor indexed="64"/>
      </patternFill>
    </fill>
    <fill>
      <patternFill patternType="solid">
        <fgColor rgb="FF294D44"/>
        <bgColor indexed="64"/>
      </patternFill>
    </fill>
    <fill>
      <patternFill patternType="solid">
        <fgColor rgb="FF147192"/>
        <bgColor indexed="64"/>
      </patternFill>
    </fill>
    <fill>
      <patternFill patternType="solid">
        <fgColor rgb="FF115A77"/>
        <bgColor indexed="64"/>
      </patternFill>
    </fill>
    <fill>
      <patternFill patternType="solid">
        <fgColor rgb="FF136F94"/>
        <bgColor indexed="64"/>
      </patternFill>
    </fill>
    <fill>
      <patternFill patternType="solid">
        <fgColor rgb="FF1687B0"/>
        <bgColor indexed="64"/>
      </patternFill>
    </fill>
    <fill>
      <patternFill patternType="solid">
        <fgColor rgb="FF147BA4"/>
        <bgColor indexed="64"/>
      </patternFill>
    </fill>
    <fill>
      <patternFill patternType="solid">
        <fgColor rgb="FF157BA7"/>
        <bgColor indexed="64"/>
      </patternFill>
    </fill>
    <fill>
      <patternFill patternType="solid">
        <fgColor rgb="FF157EA8"/>
        <bgColor indexed="64"/>
      </patternFill>
    </fill>
    <fill>
      <patternFill patternType="solid">
        <fgColor rgb="FF147FA8"/>
        <bgColor indexed="64"/>
      </patternFill>
    </fill>
    <fill>
      <patternFill patternType="solid">
        <fgColor rgb="FF1481AC"/>
        <bgColor indexed="64"/>
      </patternFill>
    </fill>
    <fill>
      <patternFill patternType="solid">
        <fgColor rgb="FF147FAB"/>
        <bgColor indexed="64"/>
      </patternFill>
    </fill>
    <fill>
      <patternFill patternType="solid">
        <fgColor rgb="FF156783"/>
        <bgColor indexed="64"/>
      </patternFill>
    </fill>
    <fill>
      <patternFill patternType="solid">
        <fgColor rgb="FF69641E"/>
        <bgColor indexed="64"/>
      </patternFill>
    </fill>
    <fill>
      <patternFill patternType="solid">
        <fgColor rgb="FF31695B"/>
        <bgColor indexed="64"/>
      </patternFill>
    </fill>
    <fill>
      <patternFill patternType="solid">
        <fgColor rgb="FF0E78A7"/>
        <bgColor indexed="64"/>
      </patternFill>
    </fill>
    <fill>
      <patternFill patternType="solid">
        <fgColor rgb="FF105F85"/>
        <bgColor indexed="64"/>
      </patternFill>
    </fill>
    <fill>
      <patternFill patternType="solid">
        <fgColor rgb="FF105E86"/>
        <bgColor indexed="64"/>
      </patternFill>
    </fill>
    <fill>
      <patternFill patternType="solid">
        <fgColor rgb="FF11658C"/>
        <bgColor indexed="64"/>
      </patternFill>
    </fill>
    <fill>
      <patternFill patternType="solid">
        <fgColor rgb="FF126286"/>
        <bgColor indexed="64"/>
      </patternFill>
    </fill>
    <fill>
      <patternFill patternType="solid">
        <fgColor rgb="FF0C6592"/>
        <bgColor indexed="64"/>
      </patternFill>
    </fill>
    <fill>
      <patternFill patternType="solid">
        <fgColor rgb="FF3A675A"/>
        <bgColor indexed="64"/>
      </patternFill>
    </fill>
    <fill>
      <patternFill patternType="solid">
        <fgColor rgb="FFAFA027"/>
        <bgColor indexed="64"/>
      </patternFill>
    </fill>
    <fill>
      <patternFill patternType="solid">
        <fgColor rgb="FF498866"/>
        <bgColor indexed="64"/>
      </patternFill>
    </fill>
    <fill>
      <patternFill patternType="solid">
        <fgColor rgb="FF0B73A7"/>
        <bgColor indexed="64"/>
      </patternFill>
    </fill>
    <fill>
      <patternFill patternType="solid">
        <fgColor rgb="FF136D97"/>
        <bgColor indexed="64"/>
      </patternFill>
    </fill>
    <fill>
      <patternFill patternType="solid">
        <fgColor rgb="FF147AA6"/>
        <bgColor indexed="64"/>
      </patternFill>
    </fill>
    <fill>
      <patternFill patternType="solid">
        <fgColor rgb="FF1685B0"/>
        <bgColor indexed="64"/>
      </patternFill>
    </fill>
    <fill>
      <patternFill patternType="solid">
        <fgColor rgb="FF11749F"/>
        <bgColor indexed="64"/>
      </patternFill>
    </fill>
    <fill>
      <patternFill patternType="solid">
        <fgColor rgb="FF137299"/>
        <bgColor indexed="64"/>
      </patternFill>
    </fill>
    <fill>
      <patternFill patternType="solid">
        <fgColor rgb="FF0B7AAD"/>
        <bgColor indexed="64"/>
      </patternFill>
    </fill>
    <fill>
      <patternFill patternType="solid">
        <fgColor rgb="FF487B5B"/>
        <bgColor indexed="64"/>
      </patternFill>
    </fill>
    <fill>
      <patternFill patternType="solid">
        <fgColor rgb="FFE6D02C"/>
        <bgColor indexed="64"/>
      </patternFill>
    </fill>
    <fill>
      <patternFill patternType="solid">
        <fgColor rgb="FF778635"/>
        <bgColor indexed="64"/>
      </patternFill>
    </fill>
    <fill>
      <patternFill patternType="solid">
        <fgColor rgb="FF0F7298"/>
        <bgColor indexed="64"/>
      </patternFill>
    </fill>
    <fill>
      <patternFill patternType="solid">
        <fgColor rgb="FF1681AD"/>
        <bgColor indexed="64"/>
      </patternFill>
    </fill>
    <fill>
      <patternFill patternType="solid">
        <fgColor rgb="FF253452"/>
        <bgColor indexed="64"/>
      </patternFill>
    </fill>
    <fill>
      <patternFill patternType="solid">
        <fgColor rgb="FF123B58"/>
        <bgColor indexed="64"/>
      </patternFill>
    </fill>
    <fill>
      <patternFill patternType="solid">
        <fgColor rgb="FF752840"/>
        <bgColor indexed="64"/>
      </patternFill>
    </fill>
    <fill>
      <patternFill patternType="solid">
        <fgColor rgb="FFF44766"/>
        <bgColor indexed="64"/>
      </patternFill>
    </fill>
    <fill>
      <patternFill patternType="solid">
        <fgColor rgb="FFF64969"/>
        <bgColor indexed="64"/>
      </patternFill>
    </fill>
    <fill>
      <patternFill patternType="solid">
        <fgColor rgb="FFF44767"/>
        <bgColor indexed="64"/>
      </patternFill>
    </fill>
    <fill>
      <patternFill patternType="solid">
        <fgColor rgb="FFF34462"/>
        <bgColor indexed="64"/>
      </patternFill>
    </fill>
    <fill>
      <patternFill patternType="solid">
        <fgColor rgb="FFFA4666"/>
        <bgColor indexed="64"/>
      </patternFill>
    </fill>
    <fill>
      <patternFill patternType="solid">
        <fgColor rgb="FFCE3959"/>
        <bgColor indexed="64"/>
      </patternFill>
    </fill>
    <fill>
      <patternFill patternType="solid">
        <fgColor rgb="FFA52B41"/>
        <bgColor indexed="64"/>
      </patternFill>
    </fill>
    <fill>
      <patternFill patternType="solid">
        <fgColor rgb="FFEC4261"/>
        <bgColor indexed="64"/>
      </patternFill>
    </fill>
    <fill>
      <patternFill patternType="solid">
        <fgColor rgb="FF6D263C"/>
        <bgColor indexed="64"/>
      </patternFill>
    </fill>
    <fill>
      <patternFill patternType="solid">
        <fgColor rgb="FF2F3C52"/>
        <bgColor indexed="64"/>
      </patternFill>
    </fill>
    <fill>
      <patternFill patternType="solid">
        <fgColor rgb="FFA73D5D"/>
        <bgColor indexed="64"/>
      </patternFill>
    </fill>
    <fill>
      <patternFill patternType="solid">
        <fgColor rgb="FF2C4C67"/>
        <bgColor indexed="64"/>
      </patternFill>
    </fill>
    <fill>
      <patternFill patternType="solid">
        <fgColor rgb="FF0B76A1"/>
        <bgColor indexed="64"/>
      </patternFill>
    </fill>
    <fill>
      <patternFill patternType="solid">
        <fgColor rgb="FF116F9A"/>
        <bgColor indexed="64"/>
      </patternFill>
    </fill>
    <fill>
      <patternFill patternType="solid">
        <fgColor rgb="FF106F9C"/>
        <bgColor indexed="64"/>
      </patternFill>
    </fill>
    <fill>
      <patternFill patternType="solid">
        <fgColor rgb="FF0F6B9C"/>
        <bgColor indexed="64"/>
      </patternFill>
    </fill>
    <fill>
      <patternFill patternType="solid">
        <fgColor rgb="FF106D9B"/>
        <bgColor indexed="64"/>
      </patternFill>
    </fill>
    <fill>
      <patternFill patternType="solid">
        <fgColor rgb="FF0F6C9E"/>
        <bgColor indexed="64"/>
      </patternFill>
    </fill>
    <fill>
      <patternFill patternType="solid">
        <fgColor rgb="FF6C9E37"/>
        <bgColor indexed="64"/>
      </patternFill>
    </fill>
    <fill>
      <patternFill patternType="solid">
        <fgColor rgb="FF6A9B33"/>
        <bgColor indexed="64"/>
      </patternFill>
    </fill>
    <fill>
      <patternFill patternType="solid">
        <fgColor rgb="FF6C9B31"/>
        <bgColor indexed="64"/>
      </patternFill>
    </fill>
    <fill>
      <patternFill patternType="solid">
        <fgColor rgb="FF6A9933"/>
        <bgColor indexed="64"/>
      </patternFill>
    </fill>
    <fill>
      <patternFill patternType="solid">
        <fgColor rgb="FF75A739"/>
        <bgColor indexed="64"/>
      </patternFill>
    </fill>
    <fill>
      <patternFill patternType="solid">
        <fgColor rgb="FF445E22"/>
        <bgColor indexed="64"/>
      </patternFill>
    </fill>
    <fill>
      <patternFill patternType="solid">
        <fgColor rgb="FF3B461B"/>
        <bgColor indexed="64"/>
      </patternFill>
    </fill>
    <fill>
      <patternFill patternType="solid">
        <fgColor rgb="FF73A23A"/>
        <bgColor indexed="64"/>
      </patternFill>
    </fill>
    <fill>
      <patternFill patternType="solid">
        <fgColor rgb="FF6E9D33"/>
        <bgColor indexed="64"/>
      </patternFill>
    </fill>
    <fill>
      <patternFill patternType="solid">
        <fgColor rgb="FF6F9E35"/>
        <bgColor indexed="64"/>
      </patternFill>
    </fill>
    <fill>
      <patternFill patternType="solid">
        <fgColor rgb="FF6F9D38"/>
        <bgColor indexed="64"/>
      </patternFill>
    </fill>
    <fill>
      <patternFill patternType="solid">
        <fgColor rgb="FF72A43A"/>
        <bgColor indexed="64"/>
      </patternFill>
    </fill>
    <fill>
      <patternFill patternType="solid">
        <fgColor rgb="FF669331"/>
        <bgColor indexed="64"/>
      </patternFill>
    </fill>
    <fill>
      <patternFill patternType="solid">
        <fgColor rgb="FF6A9634"/>
        <bgColor indexed="64"/>
      </patternFill>
    </fill>
    <fill>
      <patternFill patternType="solid">
        <fgColor rgb="FF6A9735"/>
        <bgColor indexed="64"/>
      </patternFill>
    </fill>
    <fill>
      <patternFill patternType="solid">
        <fgColor rgb="FF6E9A38"/>
        <bgColor indexed="64"/>
      </patternFill>
    </fill>
    <fill>
      <patternFill patternType="solid">
        <fgColor rgb="FF679036"/>
        <bgColor indexed="64"/>
      </patternFill>
    </fill>
    <fill>
      <patternFill patternType="solid">
        <fgColor rgb="FF938F2E"/>
        <bgColor indexed="64"/>
      </patternFill>
    </fill>
    <fill>
      <patternFill patternType="solid">
        <fgColor rgb="FFC8B72D"/>
        <bgColor indexed="64"/>
      </patternFill>
    </fill>
    <fill>
      <patternFill patternType="solid">
        <fgColor rgb="FFEEE636"/>
        <bgColor indexed="64"/>
      </patternFill>
    </fill>
    <fill>
      <patternFill patternType="solid">
        <fgColor rgb="FF586D28"/>
        <bgColor indexed="64"/>
      </patternFill>
    </fill>
    <fill>
      <patternFill patternType="solid">
        <fgColor rgb="FF6E9B3F"/>
        <bgColor indexed="64"/>
      </patternFill>
    </fill>
    <fill>
      <patternFill patternType="solid">
        <fgColor rgb="FF699336"/>
        <bgColor indexed="64"/>
      </patternFill>
    </fill>
    <fill>
      <patternFill patternType="solid">
        <fgColor rgb="FF6E983A"/>
        <bgColor indexed="64"/>
      </patternFill>
    </fill>
    <fill>
      <patternFill patternType="solid">
        <fgColor rgb="FF344F23"/>
        <bgColor indexed="64"/>
      </patternFill>
    </fill>
    <fill>
      <patternFill patternType="solid">
        <fgColor rgb="FF0B577D"/>
        <bgColor indexed="64"/>
      </patternFill>
    </fill>
    <fill>
      <patternFill patternType="solid">
        <fgColor rgb="FF0F709E"/>
        <bgColor indexed="64"/>
      </patternFill>
    </fill>
    <fill>
      <patternFill patternType="solid">
        <fgColor rgb="FF055078"/>
        <bgColor indexed="64"/>
      </patternFill>
    </fill>
    <fill>
      <patternFill patternType="solid">
        <fgColor rgb="FF42745E"/>
        <bgColor indexed="64"/>
      </patternFill>
    </fill>
    <fill>
      <patternFill patternType="solid">
        <fgColor rgb="FF768B40"/>
        <bgColor indexed="64"/>
      </patternFill>
    </fill>
    <fill>
      <patternFill patternType="solid">
        <fgColor rgb="FF0A6692"/>
        <bgColor indexed="64"/>
      </patternFill>
    </fill>
    <fill>
      <patternFill patternType="solid">
        <fgColor rgb="FF177497"/>
        <bgColor indexed="64"/>
      </patternFill>
    </fill>
    <fill>
      <patternFill patternType="solid">
        <fgColor rgb="FF187EA1"/>
        <bgColor indexed="64"/>
      </patternFill>
    </fill>
    <fill>
      <patternFill patternType="solid">
        <fgColor rgb="FF157EA4"/>
        <bgColor indexed="64"/>
      </patternFill>
    </fill>
    <fill>
      <patternFill patternType="solid">
        <fgColor rgb="FF157FA6"/>
        <bgColor indexed="64"/>
      </patternFill>
    </fill>
    <fill>
      <patternFill patternType="solid">
        <fgColor rgb="FF146F92"/>
        <bgColor indexed="64"/>
      </patternFill>
    </fill>
    <fill>
      <patternFill patternType="solid">
        <fgColor rgb="FF0F526F"/>
        <bgColor indexed="64"/>
      </patternFill>
    </fill>
    <fill>
      <patternFill patternType="solid">
        <fgColor rgb="FF105474"/>
        <bgColor indexed="64"/>
      </patternFill>
    </fill>
    <fill>
      <patternFill patternType="solid">
        <fgColor rgb="FF105D80"/>
        <bgColor indexed="64"/>
      </patternFill>
    </fill>
    <fill>
      <patternFill patternType="solid">
        <fgColor rgb="FF0F5E86"/>
        <bgColor indexed="64"/>
      </patternFill>
    </fill>
    <fill>
      <patternFill patternType="solid">
        <fgColor rgb="FF13759C"/>
        <bgColor indexed="64"/>
      </patternFill>
    </fill>
    <fill>
      <patternFill patternType="solid">
        <fgColor rgb="FF266267"/>
        <bgColor indexed="64"/>
      </patternFill>
    </fill>
    <fill>
      <patternFill patternType="solid">
        <fgColor rgb="FFB9AF29"/>
        <bgColor indexed="64"/>
      </patternFill>
    </fill>
    <fill>
      <patternFill patternType="solid">
        <fgColor rgb="FF246D6C"/>
        <bgColor indexed="64"/>
      </patternFill>
    </fill>
    <fill>
      <patternFill patternType="solid">
        <fgColor rgb="FF117AA7"/>
        <bgColor indexed="64"/>
      </patternFill>
    </fill>
    <fill>
      <patternFill patternType="solid">
        <fgColor rgb="FF146B8B"/>
        <bgColor indexed="64"/>
      </patternFill>
    </fill>
    <fill>
      <patternFill patternType="solid">
        <fgColor rgb="FF136B8A"/>
        <bgColor indexed="64"/>
      </patternFill>
    </fill>
    <fill>
      <patternFill patternType="solid">
        <fgColor rgb="FF136C8B"/>
        <bgColor indexed="64"/>
      </patternFill>
    </fill>
    <fill>
      <patternFill patternType="solid">
        <fgColor rgb="FF156F8D"/>
        <bgColor indexed="64"/>
      </patternFill>
    </fill>
    <fill>
      <patternFill patternType="solid">
        <fgColor rgb="FF12769D"/>
        <bgColor indexed="64"/>
      </patternFill>
    </fill>
    <fill>
      <patternFill patternType="solid">
        <fgColor rgb="FF2C5755"/>
        <bgColor indexed="64"/>
      </patternFill>
    </fill>
    <fill>
      <patternFill patternType="solid">
        <fgColor rgb="FFB09E20"/>
        <bgColor indexed="64"/>
      </patternFill>
    </fill>
    <fill>
      <patternFill patternType="solid">
        <fgColor rgb="FF387B66"/>
        <bgColor indexed="64"/>
      </patternFill>
    </fill>
    <fill>
      <patternFill patternType="solid">
        <fgColor rgb="FF0E76A3"/>
        <bgColor indexed="64"/>
      </patternFill>
    </fill>
    <fill>
      <patternFill patternType="solid">
        <fgColor rgb="FF136989"/>
        <bgColor indexed="64"/>
      </patternFill>
    </fill>
    <fill>
      <patternFill patternType="solid">
        <fgColor rgb="FF13759D"/>
        <bgColor indexed="64"/>
      </patternFill>
    </fill>
    <fill>
      <patternFill patternType="solid">
        <fgColor rgb="FF1484AD"/>
        <bgColor indexed="64"/>
      </patternFill>
    </fill>
    <fill>
      <patternFill patternType="solid">
        <fgColor rgb="FF137AA0"/>
        <bgColor indexed="64"/>
      </patternFill>
    </fill>
    <fill>
      <patternFill patternType="solid">
        <fgColor rgb="FF15799C"/>
        <bgColor indexed="64"/>
      </patternFill>
    </fill>
    <fill>
      <patternFill patternType="solid">
        <fgColor rgb="FF097BAD"/>
        <bgColor indexed="64"/>
      </patternFill>
    </fill>
    <fill>
      <patternFill patternType="solid">
        <fgColor rgb="FF588557"/>
        <bgColor indexed="64"/>
      </patternFill>
    </fill>
    <fill>
      <patternFill patternType="solid">
        <fgColor rgb="FFD5C02D"/>
        <bgColor indexed="64"/>
      </patternFill>
    </fill>
    <fill>
      <patternFill patternType="solid">
        <fgColor rgb="FF626A2E"/>
        <bgColor indexed="64"/>
      </patternFill>
    </fill>
    <fill>
      <patternFill patternType="solid">
        <fgColor rgb="FF117290"/>
        <bgColor indexed="64"/>
      </patternFill>
    </fill>
    <fill>
      <patternFill patternType="solid">
        <fgColor rgb="FF1782AF"/>
        <bgColor indexed="64"/>
      </patternFill>
    </fill>
    <fill>
      <patternFill patternType="solid">
        <fgColor rgb="FF0D7DAE"/>
        <bgColor indexed="64"/>
      </patternFill>
    </fill>
    <fill>
      <patternFill patternType="solid">
        <fgColor rgb="FF384B6C"/>
        <bgColor indexed="64"/>
      </patternFill>
    </fill>
    <fill>
      <patternFill patternType="solid">
        <fgColor rgb="FFB4384F"/>
        <bgColor indexed="64"/>
      </patternFill>
    </fill>
    <fill>
      <patternFill patternType="solid">
        <fgColor rgb="FFA43A53"/>
        <bgColor indexed="64"/>
      </patternFill>
    </fill>
    <fill>
      <patternFill patternType="solid">
        <fgColor rgb="FFE4415C"/>
        <bgColor indexed="64"/>
      </patternFill>
    </fill>
    <fill>
      <patternFill patternType="solid">
        <fgColor rgb="FFF54768"/>
        <bgColor indexed="64"/>
      </patternFill>
    </fill>
    <fill>
      <patternFill patternType="solid">
        <fgColor rgb="FFF44568"/>
        <bgColor indexed="64"/>
      </patternFill>
    </fill>
    <fill>
      <patternFill patternType="solid">
        <fgColor rgb="FFF54565"/>
        <bgColor indexed="64"/>
      </patternFill>
    </fill>
    <fill>
      <patternFill patternType="solid">
        <fgColor rgb="FFF84765"/>
        <bgColor indexed="64"/>
      </patternFill>
    </fill>
    <fill>
      <patternFill patternType="solid">
        <fgColor rgb="FFF94766"/>
        <bgColor indexed="64"/>
      </patternFill>
    </fill>
    <fill>
      <patternFill patternType="solid">
        <fgColor rgb="FFF74564"/>
        <bgColor indexed="64"/>
      </patternFill>
    </fill>
    <fill>
      <patternFill patternType="solid">
        <fgColor rgb="FFF64869"/>
        <bgColor indexed="64"/>
      </patternFill>
    </fill>
    <fill>
      <patternFill patternType="solid">
        <fgColor rgb="FF66263A"/>
        <bgColor indexed="64"/>
      </patternFill>
    </fill>
    <fill>
      <patternFill patternType="solid">
        <fgColor rgb="FFB2374F"/>
        <bgColor indexed="64"/>
      </patternFill>
    </fill>
    <fill>
      <patternFill patternType="solid">
        <fgColor rgb="FF992D45"/>
        <bgColor indexed="64"/>
      </patternFill>
    </fill>
    <fill>
      <patternFill patternType="solid">
        <fgColor rgb="FF095C74"/>
        <bgColor indexed="64"/>
      </patternFill>
    </fill>
    <fill>
      <patternFill patternType="solid">
        <fgColor rgb="FF3C4669"/>
        <bgColor indexed="64"/>
      </patternFill>
    </fill>
    <fill>
      <patternFill patternType="solid">
        <fgColor rgb="FF28435C"/>
        <bgColor indexed="64"/>
      </patternFill>
    </fill>
    <fill>
      <patternFill patternType="solid">
        <fgColor rgb="FF0C739E"/>
        <bgColor indexed="64"/>
      </patternFill>
    </fill>
    <fill>
      <patternFill patternType="solid">
        <fgColor rgb="FF106E99"/>
        <bgColor indexed="64"/>
      </patternFill>
    </fill>
    <fill>
      <patternFill patternType="solid">
        <fgColor rgb="FF0F6F9C"/>
        <bgColor indexed="64"/>
      </patternFill>
    </fill>
    <fill>
      <patternFill patternType="solid">
        <fgColor rgb="FF0E6B9A"/>
        <bgColor indexed="64"/>
      </patternFill>
    </fill>
    <fill>
      <patternFill patternType="solid">
        <fgColor rgb="FF0F6B9A"/>
        <bgColor indexed="64"/>
      </patternFill>
    </fill>
    <fill>
      <patternFill patternType="solid">
        <fgColor rgb="FF0F6C9B"/>
        <bgColor indexed="64"/>
      </patternFill>
    </fill>
    <fill>
      <patternFill patternType="solid">
        <fgColor rgb="FF6C9E35"/>
        <bgColor indexed="64"/>
      </patternFill>
    </fill>
    <fill>
      <patternFill patternType="solid">
        <fgColor rgb="FF699931"/>
        <bgColor indexed="64"/>
      </patternFill>
    </fill>
    <fill>
      <patternFill patternType="solid">
        <fgColor rgb="FF6B9A33"/>
        <bgColor indexed="64"/>
      </patternFill>
    </fill>
    <fill>
      <patternFill patternType="solid">
        <fgColor rgb="FF6C9F35"/>
        <bgColor indexed="64"/>
      </patternFill>
    </fill>
    <fill>
      <patternFill patternType="solid">
        <fgColor rgb="FF6F802D"/>
        <bgColor indexed="64"/>
      </patternFill>
    </fill>
    <fill>
      <patternFill patternType="solid">
        <fgColor rgb="FF788731"/>
        <bgColor indexed="64"/>
      </patternFill>
    </fill>
    <fill>
      <patternFill patternType="solid">
        <fgColor rgb="FF6A9A31"/>
        <bgColor indexed="64"/>
      </patternFill>
    </fill>
    <fill>
      <patternFill patternType="solid">
        <fgColor rgb="FF709E33"/>
        <bgColor indexed="64"/>
      </patternFill>
    </fill>
    <fill>
      <patternFill patternType="solid">
        <fgColor rgb="FF709F35"/>
        <bgColor indexed="64"/>
      </patternFill>
    </fill>
    <fill>
      <patternFill patternType="solid">
        <fgColor rgb="FF709E36"/>
        <bgColor indexed="64"/>
      </patternFill>
    </fill>
    <fill>
      <patternFill patternType="solid">
        <fgColor rgb="FF71A038"/>
        <bgColor indexed="64"/>
      </patternFill>
    </fill>
    <fill>
      <patternFill patternType="solid">
        <fgColor rgb="FF73A338"/>
        <bgColor indexed="64"/>
      </patternFill>
    </fill>
    <fill>
      <patternFill patternType="solid">
        <fgColor rgb="FF72A137"/>
        <bgColor indexed="64"/>
      </patternFill>
    </fill>
    <fill>
      <patternFill patternType="solid">
        <fgColor rgb="FF73A137"/>
        <bgColor indexed="64"/>
      </patternFill>
    </fill>
    <fill>
      <patternFill patternType="solid">
        <fgColor rgb="FF77A63D"/>
        <bgColor indexed="64"/>
      </patternFill>
    </fill>
    <fill>
      <patternFill patternType="solid">
        <fgColor rgb="FF689138"/>
        <bgColor indexed="64"/>
      </patternFill>
    </fill>
    <fill>
      <patternFill patternType="solid">
        <fgColor rgb="FFB3AC2E"/>
        <bgColor indexed="64"/>
      </patternFill>
    </fill>
    <fill>
      <patternFill patternType="solid">
        <fgColor rgb="FFF9F037"/>
        <bgColor indexed="64"/>
      </patternFill>
    </fill>
    <fill>
      <patternFill patternType="solid">
        <fgColor rgb="FFE5DC33"/>
        <bgColor indexed="64"/>
      </patternFill>
    </fill>
    <fill>
      <patternFill patternType="solid">
        <fgColor rgb="FF60772C"/>
        <bgColor indexed="64"/>
      </patternFill>
    </fill>
    <fill>
      <patternFill patternType="solid">
        <fgColor rgb="FF7EAD45"/>
        <bgColor indexed="64"/>
      </patternFill>
    </fill>
    <fill>
      <patternFill patternType="solid">
        <fgColor rgb="FF7AA83F"/>
        <bgColor indexed="64"/>
      </patternFill>
    </fill>
    <fill>
      <patternFill patternType="solid">
        <fgColor rgb="FF567D39"/>
        <bgColor indexed="64"/>
      </patternFill>
    </fill>
    <fill>
      <patternFill patternType="solid">
        <fgColor rgb="FF35684D"/>
        <bgColor indexed="64"/>
      </patternFill>
    </fill>
    <fill>
      <patternFill patternType="solid">
        <fgColor rgb="FF175059"/>
        <bgColor indexed="64"/>
      </patternFill>
    </fill>
    <fill>
      <patternFill patternType="solid">
        <fgColor rgb="FF365C47"/>
        <bgColor indexed="64"/>
      </patternFill>
    </fill>
    <fill>
      <patternFill patternType="solid">
        <fgColor rgb="FF8B9737"/>
        <bgColor indexed="64"/>
      </patternFill>
    </fill>
    <fill>
      <patternFill patternType="solid">
        <fgColor rgb="FF05577B"/>
        <bgColor indexed="64"/>
      </patternFill>
    </fill>
    <fill>
      <patternFill patternType="solid">
        <fgColor rgb="FF0C658F"/>
        <bgColor indexed="64"/>
      </patternFill>
    </fill>
    <fill>
      <patternFill patternType="solid">
        <fgColor rgb="FF0D77A7"/>
        <bgColor indexed="64"/>
      </patternFill>
    </fill>
    <fill>
      <patternFill patternType="solid">
        <fgColor rgb="FF137FAE"/>
        <bgColor indexed="64"/>
      </patternFill>
    </fill>
    <fill>
      <patternFill patternType="solid">
        <fgColor rgb="FF1580AC"/>
        <bgColor indexed="64"/>
      </patternFill>
    </fill>
    <fill>
      <patternFill patternType="solid">
        <fgColor rgb="FF1785AD"/>
        <bgColor indexed="64"/>
      </patternFill>
    </fill>
    <fill>
      <patternFill patternType="solid">
        <fgColor rgb="FF1680A2"/>
        <bgColor indexed="64"/>
      </patternFill>
    </fill>
    <fill>
      <patternFill patternType="solid">
        <fgColor rgb="FF157C9D"/>
        <bgColor indexed="64"/>
      </patternFill>
    </fill>
    <fill>
      <patternFill patternType="solid">
        <fgColor rgb="FF15799B"/>
        <bgColor indexed="64"/>
      </patternFill>
    </fill>
    <fill>
      <patternFill patternType="solid">
        <fgColor rgb="FF137697"/>
        <bgColor indexed="64"/>
      </patternFill>
    </fill>
    <fill>
      <patternFill patternType="solid">
        <fgColor rgb="FF167FA2"/>
        <bgColor indexed="64"/>
      </patternFill>
    </fill>
    <fill>
      <patternFill patternType="solid">
        <fgColor rgb="FF0673A9"/>
        <bgColor indexed="64"/>
      </patternFill>
    </fill>
    <fill>
      <patternFill patternType="solid">
        <fgColor rgb="FF64844C"/>
        <bgColor indexed="64"/>
      </patternFill>
    </fill>
    <fill>
      <patternFill patternType="solid">
        <fgColor rgb="FFC9C12C"/>
        <bgColor indexed="64"/>
      </patternFill>
    </fill>
    <fill>
      <patternFill patternType="solid">
        <fgColor rgb="FF0A5771"/>
        <bgColor indexed="64"/>
      </patternFill>
    </fill>
    <fill>
      <patternFill patternType="solid">
        <fgColor rgb="FF126588"/>
        <bgColor indexed="64"/>
      </patternFill>
    </fill>
    <fill>
      <patternFill patternType="solid">
        <fgColor rgb="FF116A8F"/>
        <bgColor indexed="64"/>
      </patternFill>
    </fill>
    <fill>
      <patternFill patternType="solid">
        <fgColor rgb="FF12749D"/>
        <bgColor indexed="64"/>
      </patternFill>
    </fill>
    <fill>
      <patternFill patternType="solid">
        <fgColor rgb="FF1585B0"/>
        <bgColor indexed="64"/>
      </patternFill>
    </fill>
    <fill>
      <patternFill patternType="solid">
        <fgColor rgb="FF1586AF"/>
        <bgColor indexed="64"/>
      </patternFill>
    </fill>
    <fill>
      <patternFill patternType="solid">
        <fgColor rgb="FF1383B0"/>
        <bgColor indexed="64"/>
      </patternFill>
    </fill>
    <fill>
      <patternFill patternType="solid">
        <fgColor rgb="FF174048"/>
        <bgColor indexed="64"/>
      </patternFill>
    </fill>
    <fill>
      <patternFill patternType="solid">
        <fgColor rgb="FF6D5F10"/>
        <bgColor indexed="64"/>
      </patternFill>
    </fill>
    <fill>
      <patternFill patternType="solid">
        <fgColor rgb="FF24676A"/>
        <bgColor indexed="64"/>
      </patternFill>
    </fill>
    <fill>
      <patternFill patternType="solid">
        <fgColor rgb="FF1387B7"/>
        <bgColor indexed="64"/>
      </patternFill>
    </fill>
    <fill>
      <patternFill patternType="solid">
        <fgColor rgb="FF1581AB"/>
        <bgColor indexed="64"/>
      </patternFill>
    </fill>
    <fill>
      <patternFill patternType="solid">
        <fgColor rgb="FF0F6991"/>
        <bgColor indexed="64"/>
      </patternFill>
    </fill>
    <fill>
      <patternFill patternType="solid">
        <fgColor rgb="FF116C94"/>
        <bgColor indexed="64"/>
      </patternFill>
    </fill>
    <fill>
      <patternFill patternType="solid">
        <fgColor rgb="FF126D92"/>
        <bgColor indexed="64"/>
      </patternFill>
    </fill>
    <fill>
      <patternFill patternType="solid">
        <fgColor rgb="FF096C9B"/>
        <bgColor indexed="64"/>
      </patternFill>
    </fill>
    <fill>
      <patternFill patternType="solid">
        <fgColor rgb="FF3B6754"/>
        <bgColor indexed="64"/>
      </patternFill>
    </fill>
    <fill>
      <patternFill patternType="solid">
        <fgColor rgb="FF958327"/>
        <bgColor indexed="64"/>
      </patternFill>
    </fill>
    <fill>
      <patternFill patternType="solid">
        <fgColor rgb="FF7A7E2D"/>
        <bgColor indexed="64"/>
      </patternFill>
    </fill>
    <fill>
      <patternFill patternType="solid">
        <fgColor rgb="FF0D5F7C"/>
        <bgColor indexed="64"/>
      </patternFill>
    </fill>
    <fill>
      <patternFill patternType="solid">
        <fgColor rgb="FF13709D"/>
        <bgColor indexed="64"/>
      </patternFill>
    </fill>
    <fill>
      <patternFill patternType="solid">
        <fgColor rgb="FF1479A9"/>
        <bgColor indexed="64"/>
      </patternFill>
    </fill>
    <fill>
      <patternFill patternType="solid">
        <fgColor rgb="FF0977A5"/>
        <bgColor indexed="64"/>
      </patternFill>
    </fill>
    <fill>
      <patternFill patternType="solid">
        <fgColor rgb="FF704361"/>
        <bgColor indexed="64"/>
      </patternFill>
    </fill>
    <fill>
      <patternFill patternType="solid">
        <fgColor rgb="FFFA4B69"/>
        <bgColor indexed="64"/>
      </patternFill>
    </fill>
    <fill>
      <patternFill patternType="solid">
        <fgColor rgb="FFF94D6D"/>
        <bgColor indexed="64"/>
      </patternFill>
    </fill>
    <fill>
      <patternFill patternType="solid">
        <fgColor rgb="FFF44667"/>
        <bgColor indexed="64"/>
      </patternFill>
    </fill>
    <fill>
      <patternFill patternType="solid">
        <fgColor rgb="FFF24466"/>
        <bgColor indexed="64"/>
      </patternFill>
    </fill>
    <fill>
      <patternFill patternType="solid">
        <fgColor rgb="FFF44865"/>
        <bgColor indexed="64"/>
      </patternFill>
    </fill>
    <fill>
      <patternFill patternType="solid">
        <fgColor rgb="FFF04464"/>
        <bgColor indexed="64"/>
      </patternFill>
    </fill>
    <fill>
      <patternFill patternType="solid">
        <fgColor rgb="FFC2324D"/>
        <bgColor indexed="64"/>
      </patternFill>
    </fill>
    <fill>
      <patternFill patternType="solid">
        <fgColor rgb="FFF04663"/>
        <bgColor indexed="64"/>
      </patternFill>
    </fill>
    <fill>
      <patternFill patternType="solid">
        <fgColor rgb="FFD83857"/>
        <bgColor indexed="64"/>
      </patternFill>
    </fill>
    <fill>
      <patternFill patternType="solid">
        <fgColor rgb="FF2D4766"/>
        <bgColor indexed="64"/>
      </patternFill>
    </fill>
    <fill>
      <patternFill patternType="solid">
        <fgColor rgb="FF6E3F5E"/>
        <bgColor indexed="64"/>
      </patternFill>
    </fill>
    <fill>
      <patternFill patternType="solid">
        <fgColor rgb="FFB2344E"/>
        <bgColor indexed="64"/>
      </patternFill>
    </fill>
    <fill>
      <patternFill patternType="solid">
        <fgColor rgb="FF115F7A"/>
        <bgColor indexed="64"/>
      </patternFill>
    </fill>
    <fill>
      <patternFill patternType="solid">
        <fgColor rgb="FF0B5878"/>
        <bgColor indexed="64"/>
      </patternFill>
    </fill>
    <fill>
      <patternFill patternType="solid">
        <fgColor rgb="FF0F6280"/>
        <bgColor indexed="64"/>
      </patternFill>
    </fill>
    <fill>
      <patternFill patternType="solid">
        <fgColor rgb="FF10709D"/>
        <bgColor indexed="64"/>
      </patternFill>
    </fill>
    <fill>
      <patternFill patternType="solid">
        <fgColor rgb="FF106E9B"/>
        <bgColor indexed="64"/>
      </patternFill>
    </fill>
    <fill>
      <patternFill patternType="solid">
        <fgColor rgb="FF1071A0"/>
        <bgColor indexed="64"/>
      </patternFill>
    </fill>
    <fill>
      <patternFill patternType="solid">
        <fgColor rgb="FF0F6B9B"/>
        <bgColor indexed="64"/>
      </patternFill>
    </fill>
    <fill>
      <patternFill patternType="solid">
        <fgColor rgb="FF6D9D35"/>
        <bgColor indexed="64"/>
      </patternFill>
    </fill>
    <fill>
      <patternFill patternType="solid">
        <fgColor rgb="FF699833"/>
        <bgColor indexed="64"/>
      </patternFill>
    </fill>
    <fill>
      <patternFill patternType="solid">
        <fgColor rgb="FF6A9A32"/>
        <bgColor indexed="64"/>
      </patternFill>
    </fill>
    <fill>
      <patternFill patternType="solid">
        <fgColor rgb="FF6A9C2F"/>
        <bgColor indexed="64"/>
      </patternFill>
    </fill>
    <fill>
      <patternFill patternType="solid">
        <fgColor rgb="FF6B9E31"/>
        <bgColor indexed="64"/>
      </patternFill>
    </fill>
    <fill>
      <patternFill patternType="solid">
        <fgColor rgb="FF758229"/>
        <bgColor indexed="64"/>
      </patternFill>
    </fill>
    <fill>
      <patternFill patternType="solid">
        <fgColor rgb="FF75872C"/>
        <bgColor indexed="64"/>
      </patternFill>
    </fill>
    <fill>
      <patternFill patternType="solid">
        <fgColor rgb="FF699E30"/>
        <bgColor indexed="64"/>
      </patternFill>
    </fill>
    <fill>
      <patternFill patternType="solid">
        <fgColor rgb="FF6D9D34"/>
        <bgColor indexed="64"/>
      </patternFill>
    </fill>
    <fill>
      <patternFill patternType="solid">
        <fgColor rgb="FF6D9D33"/>
        <bgColor indexed="64"/>
      </patternFill>
    </fill>
    <fill>
      <patternFill patternType="solid">
        <fgColor rgb="FF6F9F37"/>
        <bgColor indexed="64"/>
      </patternFill>
    </fill>
    <fill>
      <patternFill patternType="solid">
        <fgColor rgb="FF6F9D36"/>
        <bgColor indexed="64"/>
      </patternFill>
    </fill>
    <fill>
      <patternFill patternType="solid">
        <fgColor rgb="FF709F38"/>
        <bgColor indexed="64"/>
      </patternFill>
    </fill>
    <fill>
      <patternFill patternType="solid">
        <fgColor rgb="FF75A63A"/>
        <bgColor indexed="64"/>
      </patternFill>
    </fill>
    <fill>
      <patternFill patternType="solid">
        <fgColor rgb="FF658C34"/>
        <bgColor indexed="64"/>
      </patternFill>
    </fill>
    <fill>
      <patternFill patternType="solid">
        <fgColor rgb="FFB7AD2F"/>
        <bgColor indexed="64"/>
      </patternFill>
    </fill>
    <fill>
      <patternFill patternType="solid">
        <fgColor rgb="FFFCF839"/>
        <bgColor indexed="64"/>
      </patternFill>
    </fill>
    <fill>
      <patternFill patternType="solid">
        <fgColor rgb="FFC4BD2F"/>
        <bgColor indexed="64"/>
      </patternFill>
    </fill>
    <fill>
      <patternFill patternType="solid">
        <fgColor rgb="FF53722F"/>
        <bgColor indexed="64"/>
      </patternFill>
    </fill>
    <fill>
      <patternFill patternType="solid">
        <fgColor rgb="FF7DAE42"/>
        <bgColor indexed="64"/>
      </patternFill>
    </fill>
    <fill>
      <patternFill patternType="solid">
        <fgColor rgb="FF76A53F"/>
        <bgColor indexed="64"/>
      </patternFill>
    </fill>
    <fill>
      <patternFill patternType="solid">
        <fgColor rgb="FF77A53F"/>
        <bgColor indexed="64"/>
      </patternFill>
    </fill>
    <fill>
      <patternFill patternType="solid">
        <fgColor rgb="FF79A543"/>
        <bgColor indexed="64"/>
      </patternFill>
    </fill>
    <fill>
      <patternFill patternType="solid">
        <fgColor rgb="FF82AF44"/>
        <bgColor indexed="64"/>
      </patternFill>
    </fill>
    <fill>
      <patternFill patternType="solid">
        <fgColor rgb="FF81A93D"/>
        <bgColor indexed="64"/>
      </patternFill>
    </fill>
    <fill>
      <patternFill patternType="solid">
        <fgColor rgb="FF7AA439"/>
        <bgColor indexed="64"/>
      </patternFill>
    </fill>
    <fill>
      <patternFill patternType="solid">
        <fgColor rgb="FF557129"/>
        <bgColor indexed="64"/>
      </patternFill>
    </fill>
    <fill>
      <patternFill patternType="solid">
        <fgColor rgb="FF404215"/>
        <bgColor indexed="64"/>
      </patternFill>
    </fill>
    <fill>
      <patternFill patternType="solid">
        <fgColor rgb="FF608851"/>
        <bgColor indexed="64"/>
      </patternFill>
    </fill>
    <fill>
      <patternFill patternType="solid">
        <fgColor rgb="FF588C5D"/>
        <bgColor indexed="64"/>
      </patternFill>
    </fill>
    <fill>
      <patternFill patternType="solid">
        <fgColor rgb="FF3C7765"/>
        <bgColor indexed="64"/>
      </patternFill>
    </fill>
    <fill>
      <patternFill patternType="solid">
        <fgColor rgb="FF216C79"/>
        <bgColor indexed="64"/>
      </patternFill>
    </fill>
    <fill>
      <patternFill patternType="solid">
        <fgColor rgb="FF155B77"/>
        <bgColor indexed="64"/>
      </patternFill>
    </fill>
    <fill>
      <patternFill patternType="solid">
        <fgColor rgb="FF0D557D"/>
        <bgColor indexed="64"/>
      </patternFill>
    </fill>
    <fill>
      <patternFill patternType="solid">
        <fgColor rgb="FF1078A8"/>
        <bgColor indexed="64"/>
      </patternFill>
    </fill>
    <fill>
      <patternFill patternType="solid">
        <fgColor rgb="FF1581A9"/>
        <bgColor indexed="64"/>
      </patternFill>
    </fill>
    <fill>
      <patternFill patternType="solid">
        <fgColor rgb="FF1683A9"/>
        <bgColor indexed="64"/>
      </patternFill>
    </fill>
    <fill>
      <patternFill patternType="solid">
        <fgColor rgb="FF046A9C"/>
        <bgColor indexed="64"/>
      </patternFill>
    </fill>
    <fill>
      <patternFill patternType="solid">
        <fgColor rgb="FF6D7B36"/>
        <bgColor indexed="64"/>
      </patternFill>
    </fill>
    <fill>
      <patternFill patternType="solid">
        <fgColor rgb="FFA6A72F"/>
        <bgColor indexed="64"/>
      </patternFill>
    </fill>
    <fill>
      <patternFill patternType="solid">
        <fgColor rgb="FF076588"/>
        <bgColor indexed="64"/>
      </patternFill>
    </fill>
    <fill>
      <patternFill patternType="solid">
        <fgColor rgb="FF147597"/>
        <bgColor indexed="64"/>
      </patternFill>
    </fill>
    <fill>
      <patternFill patternType="solid">
        <fgColor rgb="FF13799B"/>
        <bgColor indexed="64"/>
      </patternFill>
    </fill>
    <fill>
      <patternFill patternType="solid">
        <fgColor rgb="FF1582A7"/>
        <bgColor indexed="64"/>
      </patternFill>
    </fill>
    <fill>
      <patternFill patternType="solid">
        <fgColor rgb="FF1583AB"/>
        <bgColor indexed="64"/>
      </patternFill>
    </fill>
    <fill>
      <patternFill patternType="solid">
        <fgColor rgb="FF1682A9"/>
        <bgColor indexed="64"/>
      </patternFill>
    </fill>
    <fill>
      <patternFill patternType="solid">
        <fgColor rgb="FF1B393A"/>
        <bgColor indexed="64"/>
      </patternFill>
    </fill>
    <fill>
      <patternFill patternType="solid">
        <fgColor rgb="FF2C2301"/>
        <bgColor indexed="64"/>
      </patternFill>
    </fill>
    <fill>
      <patternFill patternType="solid">
        <fgColor rgb="FF256B70"/>
        <bgColor indexed="64"/>
      </patternFill>
    </fill>
    <fill>
      <patternFill patternType="solid">
        <fgColor rgb="FF1283B1"/>
        <bgColor indexed="64"/>
      </patternFill>
    </fill>
    <fill>
      <patternFill patternType="solid">
        <fgColor rgb="FF137DA6"/>
        <bgColor indexed="64"/>
      </patternFill>
    </fill>
    <fill>
      <patternFill patternType="solid">
        <fgColor rgb="FF13779B"/>
        <bgColor indexed="64"/>
      </patternFill>
    </fill>
    <fill>
      <patternFill patternType="solid">
        <fgColor rgb="FF126F92"/>
        <bgColor indexed="64"/>
      </patternFill>
    </fill>
    <fill>
      <patternFill patternType="solid">
        <fgColor rgb="FF116887"/>
        <bgColor indexed="64"/>
      </patternFill>
    </fill>
    <fill>
      <patternFill patternType="solid">
        <fgColor rgb="FF0F688C"/>
        <bgColor indexed="64"/>
      </patternFill>
    </fill>
    <fill>
      <patternFill patternType="solid">
        <fgColor rgb="FF20555B"/>
        <bgColor indexed="64"/>
      </patternFill>
    </fill>
    <fill>
      <patternFill patternType="solid">
        <fgColor rgb="FF443B0D"/>
        <bgColor indexed="64"/>
      </patternFill>
    </fill>
    <fill>
      <patternFill patternType="solid">
        <fgColor rgb="FF686B23"/>
        <bgColor indexed="64"/>
      </patternFill>
    </fill>
    <fill>
      <patternFill patternType="solid">
        <fgColor rgb="FF146175"/>
        <bgColor indexed="64"/>
      </patternFill>
    </fill>
    <fill>
      <patternFill patternType="solid">
        <fgColor rgb="FF1379A3"/>
        <bgColor indexed="64"/>
      </patternFill>
    </fill>
    <fill>
      <patternFill patternType="solid">
        <fgColor rgb="FF127AA9"/>
        <bgColor indexed="64"/>
      </patternFill>
    </fill>
    <fill>
      <patternFill patternType="solid">
        <fgColor rgb="FF0A6390"/>
        <bgColor indexed="64"/>
      </patternFill>
    </fill>
    <fill>
      <patternFill patternType="solid">
        <fgColor rgb="FF52314D"/>
        <bgColor indexed="64"/>
      </patternFill>
    </fill>
    <fill>
      <patternFill patternType="solid">
        <fgColor rgb="FFDB3F5D"/>
        <bgColor indexed="64"/>
      </patternFill>
    </fill>
    <fill>
      <patternFill patternType="solid">
        <fgColor rgb="FFF44A6C"/>
        <bgColor indexed="64"/>
      </patternFill>
    </fill>
    <fill>
      <patternFill patternType="solid">
        <fgColor rgb="FFF64867"/>
        <bgColor indexed="64"/>
      </patternFill>
    </fill>
    <fill>
      <patternFill patternType="solid">
        <fgColor rgb="FFF44967"/>
        <bgColor indexed="64"/>
      </patternFill>
    </fill>
    <fill>
      <patternFill patternType="solid">
        <fgColor rgb="FFF84865"/>
        <bgColor indexed="64"/>
      </patternFill>
    </fill>
    <fill>
      <patternFill patternType="solid">
        <fgColor rgb="FFEA4463"/>
        <bgColor indexed="64"/>
      </patternFill>
    </fill>
    <fill>
      <patternFill patternType="solid">
        <fgColor rgb="FF932540"/>
        <bgColor indexed="64"/>
      </patternFill>
    </fill>
    <fill>
      <patternFill patternType="solid">
        <fgColor rgb="FF781F2B"/>
        <bgColor indexed="64"/>
      </patternFill>
    </fill>
    <fill>
      <patternFill patternType="solid">
        <fgColor rgb="FFE4405A"/>
        <bgColor indexed="64"/>
      </patternFill>
    </fill>
    <fill>
      <patternFill patternType="solid">
        <fgColor rgb="FF8C273E"/>
        <bgColor indexed="64"/>
      </patternFill>
    </fill>
    <fill>
      <patternFill patternType="solid">
        <fgColor rgb="FF0B5F85"/>
        <bgColor indexed="64"/>
      </patternFill>
    </fill>
    <fill>
      <patternFill patternType="solid">
        <fgColor rgb="FF49527C"/>
        <bgColor indexed="64"/>
      </patternFill>
    </fill>
    <fill>
      <patternFill patternType="solid">
        <fgColor rgb="FF823852"/>
        <bgColor indexed="64"/>
      </patternFill>
    </fill>
    <fill>
      <patternFill patternType="solid">
        <fgColor rgb="FF086889"/>
        <bgColor indexed="64"/>
      </patternFill>
    </fill>
    <fill>
      <patternFill patternType="solid">
        <fgColor rgb="FF12729C"/>
        <bgColor indexed="64"/>
      </patternFill>
    </fill>
    <fill>
      <patternFill patternType="solid">
        <fgColor rgb="FF10709C"/>
        <bgColor indexed="64"/>
      </patternFill>
    </fill>
    <fill>
      <patternFill patternType="solid">
        <fgColor rgb="FF11709E"/>
        <bgColor indexed="64"/>
      </patternFill>
    </fill>
    <fill>
      <patternFill patternType="solid">
        <fgColor rgb="FF106E9A"/>
        <bgColor indexed="64"/>
      </patternFill>
    </fill>
    <fill>
      <patternFill patternType="solid">
        <fgColor rgb="FF106D9C"/>
        <bgColor indexed="64"/>
      </patternFill>
    </fill>
    <fill>
      <patternFill patternType="solid">
        <fgColor rgb="FF0E6A9A"/>
        <bgColor indexed="64"/>
      </patternFill>
    </fill>
    <fill>
      <patternFill patternType="solid">
        <fgColor rgb="FF6C9D35"/>
        <bgColor indexed="64"/>
      </patternFill>
    </fill>
    <fill>
      <patternFill patternType="solid">
        <fgColor rgb="FF6A9836"/>
        <bgColor indexed="64"/>
      </patternFill>
    </fill>
    <fill>
      <patternFill patternType="solid">
        <fgColor rgb="FF699A30"/>
        <bgColor indexed="64"/>
      </patternFill>
    </fill>
    <fill>
      <patternFill patternType="solid">
        <fgColor rgb="FF70A336"/>
        <bgColor indexed="64"/>
      </patternFill>
    </fill>
    <fill>
      <patternFill patternType="solid">
        <fgColor rgb="FF2A3B11"/>
        <bgColor indexed="64"/>
      </patternFill>
    </fill>
    <fill>
      <patternFill patternType="solid">
        <fgColor rgb="FF547026"/>
        <bgColor indexed="64"/>
      </patternFill>
    </fill>
    <fill>
      <patternFill patternType="solid">
        <fgColor rgb="FF71A535"/>
        <bgColor indexed="64"/>
      </patternFill>
    </fill>
    <fill>
      <patternFill patternType="solid">
        <fgColor rgb="FF6C9B33"/>
        <bgColor indexed="64"/>
      </patternFill>
    </fill>
    <fill>
      <patternFill patternType="solid">
        <fgColor rgb="FF6E9C34"/>
        <bgColor indexed="64"/>
      </patternFill>
    </fill>
    <fill>
      <patternFill patternType="solid">
        <fgColor rgb="FF719F37"/>
        <bgColor indexed="64"/>
      </patternFill>
    </fill>
    <fill>
      <patternFill patternType="solid">
        <fgColor rgb="FF709D37"/>
        <bgColor indexed="64"/>
      </patternFill>
    </fill>
    <fill>
      <patternFill patternType="solid">
        <fgColor rgb="FF709E37"/>
        <bgColor indexed="64"/>
      </patternFill>
    </fill>
    <fill>
      <patternFill patternType="solid">
        <fgColor rgb="FF6D8E30"/>
        <bgColor indexed="64"/>
      </patternFill>
    </fill>
    <fill>
      <patternFill patternType="solid">
        <fgColor rgb="FF8C822C"/>
        <bgColor indexed="64"/>
      </patternFill>
    </fill>
    <fill>
      <patternFill patternType="solid">
        <fgColor rgb="FFE0D236"/>
        <bgColor indexed="64"/>
      </patternFill>
    </fill>
    <fill>
      <patternFill patternType="solid">
        <fgColor rgb="FFC0BF31"/>
        <bgColor indexed="64"/>
      </patternFill>
    </fill>
    <fill>
      <patternFill patternType="solid">
        <fgColor rgb="FF5D8337"/>
        <bgColor indexed="64"/>
      </patternFill>
    </fill>
    <fill>
      <patternFill patternType="solid">
        <fgColor rgb="FF75A63C"/>
        <bgColor indexed="64"/>
      </patternFill>
    </fill>
    <fill>
      <patternFill patternType="solid">
        <fgColor rgb="FF77A640"/>
        <bgColor indexed="64"/>
      </patternFill>
    </fill>
    <fill>
      <patternFill patternType="solid">
        <fgColor rgb="FF79A644"/>
        <bgColor indexed="64"/>
      </patternFill>
    </fill>
    <fill>
      <patternFill patternType="solid">
        <fgColor rgb="FF7AA744"/>
        <bgColor indexed="64"/>
      </patternFill>
    </fill>
    <fill>
      <patternFill patternType="solid">
        <fgColor rgb="FF7CAC48"/>
        <bgColor indexed="64"/>
      </patternFill>
    </fill>
    <fill>
      <patternFill patternType="solid">
        <fgColor rgb="FF799B39"/>
        <bgColor indexed="64"/>
      </patternFill>
    </fill>
    <fill>
      <patternFill patternType="solid">
        <fgColor rgb="FF9A982F"/>
        <bgColor indexed="64"/>
      </patternFill>
    </fill>
    <fill>
      <patternFill patternType="solid">
        <fgColor rgb="FF84A74D"/>
        <bgColor indexed="64"/>
      </patternFill>
    </fill>
    <fill>
      <patternFill patternType="solid">
        <fgColor rgb="FF92BB57"/>
        <bgColor indexed="64"/>
      </patternFill>
    </fill>
    <fill>
      <patternFill patternType="solid">
        <fgColor rgb="FF89B04F"/>
        <bgColor indexed="64"/>
      </patternFill>
    </fill>
    <fill>
      <patternFill patternType="solid">
        <fgColor rgb="FF79A142"/>
        <bgColor indexed="64"/>
      </patternFill>
    </fill>
    <fill>
      <patternFill patternType="solid">
        <fgColor rgb="FF6E933D"/>
        <bgColor indexed="64"/>
      </patternFill>
    </fill>
    <fill>
      <patternFill patternType="solid">
        <fgColor rgb="FF4F7037"/>
        <bgColor indexed="64"/>
      </patternFill>
    </fill>
    <fill>
      <patternFill patternType="solid">
        <fgColor rgb="FF2A5C51"/>
        <bgColor indexed="64"/>
      </patternFill>
    </fill>
    <fill>
      <patternFill patternType="solid">
        <fgColor rgb="FF165D75"/>
        <bgColor indexed="64"/>
      </patternFill>
    </fill>
    <fill>
      <patternFill patternType="solid">
        <fgColor rgb="FF11749D"/>
        <bgColor indexed="64"/>
      </patternFill>
    </fill>
    <fill>
      <patternFill patternType="solid">
        <fgColor rgb="FF0C1212"/>
        <bgColor indexed="64"/>
      </patternFill>
    </fill>
    <fill>
      <patternFill patternType="solid">
        <fgColor rgb="FF2C3C24"/>
        <bgColor indexed="64"/>
      </patternFill>
    </fill>
    <fill>
      <patternFill patternType="solid">
        <fgColor rgb="FF12779A"/>
        <bgColor indexed="64"/>
      </patternFill>
    </fill>
    <fill>
      <patternFill patternType="solid">
        <fgColor rgb="FF1480A7"/>
        <bgColor indexed="64"/>
      </patternFill>
    </fill>
    <fill>
      <patternFill patternType="solid">
        <fgColor rgb="FF137FA6"/>
        <bgColor indexed="64"/>
      </patternFill>
    </fill>
    <fill>
      <patternFill patternType="solid">
        <fgColor rgb="FF1483AB"/>
        <bgColor indexed="64"/>
      </patternFill>
    </fill>
    <fill>
      <patternFill patternType="solid">
        <fgColor rgb="FF1483A9"/>
        <bgColor indexed="64"/>
      </patternFill>
    </fill>
    <fill>
      <patternFill patternType="solid">
        <fgColor rgb="FF1482A8"/>
        <bgColor indexed="64"/>
      </patternFill>
    </fill>
    <fill>
      <patternFill patternType="solid">
        <fgColor rgb="FF11789E"/>
        <bgColor indexed="64"/>
      </patternFill>
    </fill>
    <fill>
      <patternFill patternType="solid">
        <fgColor rgb="FF3E5036"/>
        <bgColor indexed="64"/>
      </patternFill>
    </fill>
    <fill>
      <patternFill patternType="solid">
        <fgColor rgb="FF7F751B"/>
        <bgColor indexed="64"/>
      </patternFill>
    </fill>
    <fill>
      <patternFill patternType="solid">
        <fgColor rgb="FF267170"/>
        <bgColor indexed="64"/>
      </patternFill>
    </fill>
    <fill>
      <patternFill patternType="solid">
        <fgColor rgb="FF1182AF"/>
        <bgColor indexed="64"/>
      </patternFill>
    </fill>
    <fill>
      <patternFill patternType="solid">
        <fgColor rgb="FF157DA4"/>
        <bgColor indexed="64"/>
      </patternFill>
    </fill>
    <fill>
      <patternFill patternType="solid">
        <fgColor rgb="FF1383AA"/>
        <bgColor indexed="64"/>
      </patternFill>
    </fill>
    <fill>
      <patternFill patternType="solid">
        <fgColor rgb="FF137CA5"/>
        <bgColor indexed="64"/>
      </patternFill>
    </fill>
    <fill>
      <patternFill patternType="solid">
        <fgColor rgb="FF127198"/>
        <bgColor indexed="64"/>
      </patternFill>
    </fill>
    <fill>
      <patternFill patternType="solid">
        <fgColor rgb="FF10759E"/>
        <bgColor indexed="64"/>
      </patternFill>
    </fill>
    <fill>
      <patternFill patternType="solid">
        <fgColor rgb="FF1A5869"/>
        <bgColor indexed="64"/>
      </patternFill>
    </fill>
    <fill>
      <patternFill patternType="solid">
        <fgColor rgb="FF3C320A"/>
        <bgColor indexed="64"/>
      </patternFill>
    </fill>
    <fill>
      <patternFill patternType="solid">
        <fgColor rgb="FF565922"/>
        <bgColor indexed="64"/>
      </patternFill>
    </fill>
    <fill>
      <patternFill patternType="solid">
        <fgColor rgb="FF19748A"/>
        <bgColor indexed="64"/>
      </patternFill>
    </fill>
    <fill>
      <patternFill patternType="solid">
        <fgColor rgb="FF1382AF"/>
        <bgColor indexed="64"/>
      </patternFill>
    </fill>
    <fill>
      <patternFill patternType="solid">
        <fgColor rgb="FF0F79A6"/>
        <bgColor indexed="64"/>
      </patternFill>
    </fill>
    <fill>
      <patternFill patternType="solid">
        <fgColor rgb="FF2B5378"/>
        <bgColor indexed="64"/>
      </patternFill>
    </fill>
    <fill>
      <patternFill patternType="solid">
        <fgColor rgb="FF99354C"/>
        <bgColor indexed="64"/>
      </patternFill>
    </fill>
    <fill>
      <patternFill patternType="solid">
        <fgColor rgb="FFDA3750"/>
        <bgColor indexed="64"/>
      </patternFill>
    </fill>
    <fill>
      <patternFill patternType="solid">
        <fgColor rgb="FFFD4564"/>
        <bgColor indexed="64"/>
      </patternFill>
    </fill>
    <fill>
      <patternFill patternType="solid">
        <fgColor rgb="FFF3476A"/>
        <bgColor indexed="64"/>
      </patternFill>
    </fill>
    <fill>
      <patternFill patternType="solid">
        <fgColor rgb="FFC83856"/>
        <bgColor indexed="64"/>
      </patternFill>
    </fill>
    <fill>
      <patternFill patternType="solid">
        <fgColor rgb="FFF0435E"/>
        <bgColor indexed="64"/>
      </patternFill>
    </fill>
    <fill>
      <patternFill patternType="solid">
        <fgColor rgb="FFDB3C5A"/>
        <bgColor indexed="64"/>
      </patternFill>
    </fill>
    <fill>
      <patternFill patternType="solid">
        <fgColor rgb="FFB43148"/>
        <bgColor indexed="64"/>
      </patternFill>
    </fill>
    <fill>
      <patternFill patternType="solid">
        <fgColor rgb="FF401D2C"/>
        <bgColor indexed="64"/>
      </patternFill>
    </fill>
    <fill>
      <patternFill patternType="solid">
        <fgColor rgb="FF862D36"/>
        <bgColor indexed="64"/>
      </patternFill>
    </fill>
    <fill>
      <patternFill patternType="solid">
        <fgColor rgb="FFEB405E"/>
        <bgColor indexed="64"/>
      </patternFill>
    </fill>
    <fill>
      <patternFill patternType="solid">
        <fgColor rgb="FF4C1A29"/>
        <bgColor indexed="64"/>
      </patternFill>
    </fill>
    <fill>
      <patternFill patternType="solid">
        <fgColor rgb="FF085F80"/>
        <bgColor indexed="64"/>
      </patternFill>
    </fill>
    <fill>
      <patternFill patternType="solid">
        <fgColor rgb="FF184B77"/>
        <bgColor indexed="64"/>
      </patternFill>
    </fill>
    <fill>
      <patternFill patternType="solid">
        <fgColor rgb="FF1D3C53"/>
        <bgColor indexed="64"/>
      </patternFill>
    </fill>
    <fill>
      <patternFill patternType="solid">
        <fgColor rgb="FF0F74A1"/>
        <bgColor indexed="64"/>
      </patternFill>
    </fill>
    <fill>
      <patternFill patternType="solid">
        <fgColor rgb="FF0F6D9A"/>
        <bgColor indexed="64"/>
      </patternFill>
    </fill>
    <fill>
      <patternFill patternType="solid">
        <fgColor rgb="FF11739E"/>
        <bgColor indexed="64"/>
      </patternFill>
    </fill>
    <fill>
      <patternFill patternType="solid">
        <fgColor rgb="FF106D99"/>
        <bgColor indexed="64"/>
      </patternFill>
    </fill>
    <fill>
      <patternFill patternType="solid">
        <fgColor rgb="FF0E6C9A"/>
        <bgColor indexed="64"/>
      </patternFill>
    </fill>
    <fill>
      <patternFill patternType="solid">
        <fgColor rgb="FF0F6F9B"/>
        <bgColor indexed="64"/>
      </patternFill>
    </fill>
    <fill>
      <patternFill patternType="solid">
        <fgColor rgb="FF116E9C"/>
        <bgColor indexed="64"/>
      </patternFill>
    </fill>
    <fill>
      <patternFill patternType="solid">
        <fgColor rgb="FF0E6A9B"/>
        <bgColor indexed="64"/>
      </patternFill>
    </fill>
    <fill>
      <patternFill patternType="solid">
        <fgColor rgb="FF6C9D36"/>
        <bgColor indexed="64"/>
      </patternFill>
    </fill>
    <fill>
      <patternFill patternType="solid">
        <fgColor rgb="FF699834"/>
        <bgColor indexed="64"/>
      </patternFill>
    </fill>
    <fill>
      <patternFill patternType="solid">
        <fgColor rgb="FF699935"/>
        <bgColor indexed="64"/>
      </patternFill>
    </fill>
    <fill>
      <patternFill patternType="solid">
        <fgColor rgb="FF6A9C31"/>
        <bgColor indexed="64"/>
      </patternFill>
    </fill>
    <fill>
      <patternFill patternType="solid">
        <fgColor rgb="FF4C5B21"/>
        <bgColor indexed="64"/>
      </patternFill>
    </fill>
    <fill>
      <patternFill patternType="solid">
        <fgColor rgb="FF608329"/>
        <bgColor indexed="64"/>
      </patternFill>
    </fill>
    <fill>
      <patternFill patternType="solid">
        <fgColor rgb="FF6EA132"/>
        <bgColor indexed="64"/>
      </patternFill>
    </fill>
    <fill>
      <patternFill patternType="solid">
        <fgColor rgb="FF6B9B34"/>
        <bgColor indexed="64"/>
      </patternFill>
    </fill>
    <fill>
      <patternFill patternType="solid">
        <fgColor rgb="FF6E9D34"/>
        <bgColor indexed="64"/>
      </patternFill>
    </fill>
    <fill>
      <patternFill patternType="solid">
        <fgColor rgb="FF6E9D35"/>
        <bgColor indexed="64"/>
      </patternFill>
    </fill>
    <fill>
      <patternFill patternType="solid">
        <fgColor rgb="FF6F9F36"/>
        <bgColor indexed="64"/>
      </patternFill>
    </fill>
    <fill>
      <patternFill patternType="solid">
        <fgColor rgb="FF72A33B"/>
        <bgColor indexed="64"/>
      </patternFill>
    </fill>
    <fill>
      <patternFill patternType="solid">
        <fgColor rgb="FF5C7429"/>
        <bgColor indexed="64"/>
      </patternFill>
    </fill>
    <fill>
      <patternFill patternType="solid">
        <fgColor rgb="FF564D19"/>
        <bgColor indexed="64"/>
      </patternFill>
    </fill>
    <fill>
      <patternFill patternType="solid">
        <fgColor rgb="FFF2E537"/>
        <bgColor indexed="64"/>
      </patternFill>
    </fill>
    <fill>
      <patternFill patternType="solid">
        <fgColor rgb="FFBEBD32"/>
        <bgColor indexed="64"/>
      </patternFill>
    </fill>
    <fill>
      <patternFill patternType="solid">
        <fgColor rgb="FF638A39"/>
        <bgColor indexed="64"/>
      </patternFill>
    </fill>
    <fill>
      <patternFill patternType="solid">
        <fgColor rgb="FF77A43E"/>
        <bgColor indexed="64"/>
      </patternFill>
    </fill>
    <fill>
      <patternFill patternType="solid">
        <fgColor rgb="FF71A13B"/>
        <bgColor indexed="64"/>
      </patternFill>
    </fill>
    <fill>
      <patternFill patternType="solid">
        <fgColor rgb="FF73A53D"/>
        <bgColor indexed="64"/>
      </patternFill>
    </fill>
    <fill>
      <patternFill patternType="solid">
        <fgColor rgb="FF75A341"/>
        <bgColor indexed="64"/>
      </patternFill>
    </fill>
    <fill>
      <patternFill patternType="solid">
        <fgColor rgb="FF7AA947"/>
        <bgColor indexed="64"/>
      </patternFill>
    </fill>
    <fill>
      <patternFill patternType="solid">
        <fgColor rgb="FF79A744"/>
        <bgColor indexed="64"/>
      </patternFill>
    </fill>
    <fill>
      <patternFill patternType="solid">
        <fgColor rgb="FF78A942"/>
        <bgColor indexed="64"/>
      </patternFill>
    </fill>
    <fill>
      <patternFill patternType="solid">
        <fgColor rgb="FF729338"/>
        <bgColor indexed="64"/>
      </patternFill>
    </fill>
    <fill>
      <patternFill patternType="solid">
        <fgColor rgb="FF949130"/>
        <bgColor indexed="64"/>
      </patternFill>
    </fill>
    <fill>
      <patternFill patternType="solid">
        <fgColor rgb="FF779D43"/>
        <bgColor indexed="64"/>
      </patternFill>
    </fill>
    <fill>
      <patternFill patternType="solid">
        <fgColor rgb="FF7EAD4E"/>
        <bgColor indexed="64"/>
      </patternFill>
    </fill>
    <fill>
      <patternFill patternType="solid">
        <fgColor rgb="FF79A849"/>
        <bgColor indexed="64"/>
      </patternFill>
    </fill>
    <fill>
      <patternFill patternType="solid">
        <fgColor rgb="FF7FAE4D"/>
        <bgColor indexed="64"/>
      </patternFill>
    </fill>
    <fill>
      <patternFill patternType="solid">
        <fgColor rgb="FF7FAD4D"/>
        <bgColor indexed="64"/>
      </patternFill>
    </fill>
    <fill>
      <patternFill patternType="solid">
        <fgColor rgb="FF7FAF4B"/>
        <bgColor indexed="64"/>
      </patternFill>
    </fill>
    <fill>
      <patternFill patternType="solid">
        <fgColor rgb="FF7CA73C"/>
        <bgColor indexed="64"/>
      </patternFill>
    </fill>
    <fill>
      <patternFill patternType="solid">
        <fgColor rgb="FF749A43"/>
        <bgColor indexed="64"/>
      </patternFill>
    </fill>
    <fill>
      <patternFill patternType="solid">
        <fgColor rgb="FF296D70"/>
        <bgColor indexed="64"/>
      </patternFill>
    </fill>
    <fill>
      <patternFill patternType="solid">
        <fgColor rgb="FF117CA6"/>
        <bgColor indexed="64"/>
      </patternFill>
    </fill>
    <fill>
      <patternFill patternType="solid">
        <fgColor rgb="FF1382AC"/>
        <bgColor indexed="64"/>
      </patternFill>
    </fill>
    <fill>
      <patternFill patternType="solid">
        <fgColor rgb="FF1A6374"/>
        <bgColor indexed="64"/>
      </patternFill>
    </fill>
    <fill>
      <patternFill patternType="solid">
        <fgColor rgb="FF867B1D"/>
        <bgColor indexed="64"/>
      </patternFill>
    </fill>
    <fill>
      <patternFill patternType="solid">
        <fgColor rgb="FF3C5A39"/>
        <bgColor indexed="64"/>
      </patternFill>
    </fill>
    <fill>
      <patternFill patternType="solid">
        <fgColor rgb="FF107DA2"/>
        <bgColor indexed="64"/>
      </patternFill>
    </fill>
    <fill>
      <patternFill patternType="solid">
        <fgColor rgb="FF1582A6"/>
        <bgColor indexed="64"/>
      </patternFill>
    </fill>
    <fill>
      <patternFill patternType="solid">
        <fgColor rgb="FF1482A6"/>
        <bgColor indexed="64"/>
      </patternFill>
    </fill>
    <fill>
      <patternFill patternType="solid">
        <fgColor rgb="FF1583A8"/>
        <bgColor indexed="64"/>
      </patternFill>
    </fill>
    <fill>
      <patternFill patternType="solid">
        <fgColor rgb="FF1480A5"/>
        <bgColor indexed="64"/>
      </patternFill>
    </fill>
    <fill>
      <patternFill patternType="solid">
        <fgColor rgb="FF137C9F"/>
        <bgColor indexed="64"/>
      </patternFill>
    </fill>
    <fill>
      <patternFill patternType="solid">
        <fgColor rgb="FF0A6B8D"/>
        <bgColor indexed="64"/>
      </patternFill>
    </fill>
    <fill>
      <patternFill patternType="solid">
        <fgColor rgb="FF707E3A"/>
        <bgColor indexed="64"/>
      </patternFill>
    </fill>
    <fill>
      <patternFill patternType="solid">
        <fgColor rgb="FF267371"/>
        <bgColor indexed="64"/>
      </patternFill>
    </fill>
    <fill>
      <patternFill patternType="solid">
        <fgColor rgb="FF107FAE"/>
        <bgColor indexed="64"/>
      </patternFill>
    </fill>
    <fill>
      <patternFill patternType="solid">
        <fgColor rgb="FF1480A8"/>
        <bgColor indexed="64"/>
      </patternFill>
    </fill>
    <fill>
      <patternFill patternType="solid">
        <fgColor rgb="FF165162"/>
        <bgColor indexed="64"/>
      </patternFill>
    </fill>
    <fill>
      <patternFill patternType="solid">
        <fgColor rgb="FF695C13"/>
        <bgColor indexed="64"/>
      </patternFill>
    </fill>
    <fill>
      <patternFill patternType="solid">
        <fgColor rgb="FF6F6E21"/>
        <bgColor indexed="64"/>
      </patternFill>
    </fill>
    <fill>
      <patternFill patternType="solid">
        <fgColor rgb="FF196D80"/>
        <bgColor indexed="64"/>
      </patternFill>
    </fill>
    <fill>
      <patternFill patternType="solid">
        <fgColor rgb="FF117EAD"/>
        <bgColor indexed="64"/>
      </patternFill>
    </fill>
    <fill>
      <patternFill patternType="solid">
        <fgColor rgb="FF137DA7"/>
        <bgColor indexed="64"/>
      </patternFill>
    </fill>
    <fill>
      <patternFill patternType="solid">
        <fgColor rgb="FF137CA9"/>
        <bgColor indexed="64"/>
      </patternFill>
    </fill>
    <fill>
      <patternFill patternType="solid">
        <fgColor rgb="FF1178A3"/>
        <bgColor indexed="64"/>
      </patternFill>
    </fill>
    <fill>
      <patternFill patternType="solid">
        <fgColor rgb="FF1B638A"/>
        <bgColor indexed="64"/>
      </patternFill>
    </fill>
    <fill>
      <patternFill patternType="solid">
        <fgColor rgb="FF405579"/>
        <bgColor indexed="64"/>
      </patternFill>
    </fill>
    <fill>
      <patternFill patternType="solid">
        <fgColor rgb="FF484769"/>
        <bgColor indexed="64"/>
      </patternFill>
    </fill>
    <fill>
      <patternFill patternType="solid">
        <fgColor rgb="FF61334E"/>
        <bgColor indexed="64"/>
      </patternFill>
    </fill>
    <fill>
      <patternFill patternType="solid">
        <fgColor rgb="FFD73D52"/>
        <bgColor indexed="64"/>
      </patternFill>
    </fill>
    <fill>
      <patternFill patternType="solid">
        <fgColor rgb="FFCC3C57"/>
        <bgColor indexed="64"/>
      </patternFill>
    </fill>
    <fill>
      <patternFill patternType="solid">
        <fgColor rgb="FF972636"/>
        <bgColor indexed="64"/>
      </patternFill>
    </fill>
    <fill>
      <patternFill patternType="solid">
        <fgColor rgb="FFA83B51"/>
        <bgColor indexed="64"/>
      </patternFill>
    </fill>
    <fill>
      <patternFill patternType="solid">
        <fgColor rgb="FF32334F"/>
        <bgColor indexed="64"/>
      </patternFill>
    </fill>
    <fill>
      <patternFill patternType="solid">
        <fgColor rgb="FFBB3549"/>
        <bgColor indexed="64"/>
      </patternFill>
    </fill>
    <fill>
      <patternFill patternType="solid">
        <fgColor rgb="FF852940"/>
        <bgColor indexed="64"/>
      </patternFill>
    </fill>
    <fill>
      <patternFill patternType="solid">
        <fgColor rgb="FF0F120B"/>
        <bgColor indexed="64"/>
      </patternFill>
    </fill>
    <fill>
      <patternFill patternType="solid">
        <fgColor rgb="FF115C79"/>
        <bgColor indexed="64"/>
      </patternFill>
    </fill>
    <fill>
      <patternFill patternType="solid">
        <fgColor rgb="FF0C6589"/>
        <bgColor indexed="64"/>
      </patternFill>
    </fill>
    <fill>
      <patternFill patternType="solid">
        <fgColor rgb="FF11709B"/>
        <bgColor indexed="64"/>
      </patternFill>
    </fill>
    <fill>
      <patternFill patternType="solid">
        <fgColor rgb="FF0F6D9B"/>
        <bgColor indexed="64"/>
      </patternFill>
    </fill>
    <fill>
      <patternFill patternType="solid">
        <fgColor rgb="FF0F6A97"/>
        <bgColor indexed="64"/>
      </patternFill>
    </fill>
    <fill>
      <patternFill patternType="solid">
        <fgColor rgb="FF0F6B99"/>
        <bgColor indexed="64"/>
      </patternFill>
    </fill>
    <fill>
      <patternFill patternType="solid">
        <fgColor rgb="FF106C9B"/>
        <bgColor indexed="64"/>
      </patternFill>
    </fill>
    <fill>
      <patternFill patternType="solid">
        <fgColor rgb="FF6B9E37"/>
        <bgColor indexed="64"/>
      </patternFill>
    </fill>
    <fill>
      <patternFill patternType="solid">
        <fgColor rgb="FF669933"/>
        <bgColor indexed="64"/>
      </patternFill>
    </fill>
    <fill>
      <patternFill patternType="solid">
        <fgColor rgb="FF689933"/>
        <bgColor indexed="64"/>
      </patternFill>
    </fill>
    <fill>
      <patternFill patternType="solid">
        <fgColor rgb="FF6B9D30"/>
        <bgColor indexed="64"/>
      </patternFill>
    </fill>
    <fill>
      <patternFill patternType="solid">
        <fgColor rgb="FF63932F"/>
        <bgColor indexed="64"/>
      </patternFill>
    </fill>
    <fill>
      <patternFill patternType="solid">
        <fgColor rgb="FF8B9536"/>
        <bgColor indexed="64"/>
      </patternFill>
    </fill>
    <fill>
      <patternFill patternType="solid">
        <fgColor rgb="FF759731"/>
        <bgColor indexed="64"/>
      </patternFill>
    </fill>
    <fill>
      <patternFill patternType="solid">
        <fgColor rgb="FF689C2F"/>
        <bgColor indexed="64"/>
      </patternFill>
    </fill>
    <fill>
      <patternFill patternType="solid">
        <fgColor rgb="FF6A9C30"/>
        <bgColor indexed="64"/>
      </patternFill>
    </fill>
    <fill>
      <patternFill patternType="solid">
        <fgColor rgb="FF6C9C35"/>
        <bgColor indexed="64"/>
      </patternFill>
    </fill>
    <fill>
      <patternFill patternType="solid">
        <fgColor rgb="FF6E9F36"/>
        <bgColor indexed="64"/>
      </patternFill>
    </fill>
    <fill>
      <patternFill patternType="solid">
        <fgColor rgb="FF6E9E36"/>
        <bgColor indexed="64"/>
      </patternFill>
    </fill>
    <fill>
      <patternFill patternType="solid">
        <fgColor rgb="FF6E9D36"/>
        <bgColor indexed="64"/>
      </patternFill>
    </fill>
    <fill>
      <patternFill patternType="solid">
        <fgColor rgb="FF72A437"/>
        <bgColor indexed="64"/>
      </patternFill>
    </fill>
    <fill>
      <patternFill patternType="solid">
        <fgColor rgb="FF47591F"/>
        <bgColor indexed="64"/>
      </patternFill>
    </fill>
    <fill>
      <patternFill patternType="solid">
        <fgColor rgb="FF443C19"/>
        <bgColor indexed="64"/>
      </patternFill>
    </fill>
    <fill>
      <patternFill patternType="solid">
        <fgColor rgb="FFD4C434"/>
        <bgColor indexed="64"/>
      </patternFill>
    </fill>
    <fill>
      <patternFill patternType="solid">
        <fgColor rgb="FFB7B632"/>
        <bgColor indexed="64"/>
      </patternFill>
    </fill>
    <fill>
      <patternFill patternType="solid">
        <fgColor rgb="FF5E8839"/>
        <bgColor indexed="64"/>
      </patternFill>
    </fill>
    <fill>
      <patternFill patternType="solid">
        <fgColor rgb="FF75A43E"/>
        <bgColor indexed="64"/>
      </patternFill>
    </fill>
    <fill>
      <patternFill patternType="solid">
        <fgColor rgb="FF71A03E"/>
        <bgColor indexed="64"/>
      </patternFill>
    </fill>
    <fill>
      <patternFill patternType="solid">
        <fgColor rgb="FF72A33E"/>
        <bgColor indexed="64"/>
      </patternFill>
    </fill>
    <fill>
      <patternFill patternType="solid">
        <fgColor rgb="FF74A240"/>
        <bgColor indexed="64"/>
      </patternFill>
    </fill>
    <fill>
      <patternFill patternType="solid">
        <fgColor rgb="FF78A546"/>
        <bgColor indexed="64"/>
      </patternFill>
    </fill>
    <fill>
      <patternFill patternType="solid">
        <fgColor rgb="FF7CAD47"/>
        <bgColor indexed="64"/>
      </patternFill>
    </fill>
    <fill>
      <patternFill patternType="solid">
        <fgColor rgb="FF5E8032"/>
        <bgColor indexed="64"/>
      </patternFill>
    </fill>
    <fill>
      <patternFill patternType="solid">
        <fgColor rgb="FF3C3E12"/>
        <bgColor indexed="64"/>
      </patternFill>
    </fill>
    <fill>
      <patternFill patternType="solid">
        <fgColor rgb="FF7BA148"/>
        <bgColor indexed="64"/>
      </patternFill>
    </fill>
    <fill>
      <patternFill patternType="solid">
        <fgColor rgb="FF7FAE4C"/>
        <bgColor indexed="64"/>
      </patternFill>
    </fill>
    <fill>
      <patternFill patternType="solid">
        <fgColor rgb="FF7AA846"/>
        <bgColor indexed="64"/>
      </patternFill>
    </fill>
    <fill>
      <patternFill patternType="solid">
        <fgColor rgb="FF7DAB47"/>
        <bgColor indexed="64"/>
      </patternFill>
    </fill>
    <fill>
      <patternFill patternType="solid">
        <fgColor rgb="FF7DAD48"/>
        <bgColor indexed="64"/>
      </patternFill>
    </fill>
    <fill>
      <patternFill patternType="solid">
        <fgColor rgb="FF78A746"/>
        <bgColor indexed="64"/>
      </patternFill>
    </fill>
    <fill>
      <patternFill patternType="solid">
        <fgColor rgb="FF78A946"/>
        <bgColor indexed="64"/>
      </patternFill>
    </fill>
    <fill>
      <patternFill patternType="solid">
        <fgColor rgb="FF709940"/>
        <bgColor indexed="64"/>
      </patternFill>
    </fill>
    <fill>
      <patternFill patternType="solid">
        <fgColor rgb="FF4E7A4B"/>
        <bgColor indexed="64"/>
      </patternFill>
    </fill>
    <fill>
      <patternFill patternType="solid">
        <fgColor rgb="FF127395"/>
        <bgColor indexed="64"/>
      </patternFill>
    </fill>
    <fill>
      <patternFill patternType="solid">
        <fgColor rgb="FF1487B0"/>
        <bgColor indexed="64"/>
      </patternFill>
    </fill>
    <fill>
      <patternFill patternType="solid">
        <fgColor rgb="FF1E666C"/>
        <bgColor indexed="64"/>
      </patternFill>
    </fill>
    <fill>
      <patternFill patternType="solid">
        <fgColor rgb="FFEFDD2C"/>
        <bgColor indexed="64"/>
      </patternFill>
    </fill>
    <fill>
      <patternFill patternType="solid">
        <fgColor rgb="FF58814A"/>
        <bgColor indexed="64"/>
      </patternFill>
    </fill>
    <fill>
      <patternFill patternType="solid">
        <fgColor rgb="FF0B82AA"/>
        <bgColor indexed="64"/>
      </patternFill>
    </fill>
    <fill>
      <patternFill patternType="solid">
        <fgColor rgb="FF1889AB"/>
        <bgColor indexed="64"/>
      </patternFill>
    </fill>
    <fill>
      <patternFill patternType="solid">
        <fgColor rgb="FF1687AA"/>
        <bgColor indexed="64"/>
      </patternFill>
    </fill>
    <fill>
      <patternFill patternType="solid">
        <fgColor rgb="FF1788A8"/>
        <bgColor indexed="64"/>
      </patternFill>
    </fill>
    <fill>
      <patternFill patternType="solid">
        <fgColor rgb="FF1581A2"/>
        <bgColor indexed="64"/>
      </patternFill>
    </fill>
    <fill>
      <patternFill patternType="solid">
        <fgColor rgb="FF1781A3"/>
        <bgColor indexed="64"/>
      </patternFill>
    </fill>
    <fill>
      <patternFill patternType="solid">
        <fgColor rgb="FF056690"/>
        <bgColor indexed="64"/>
      </patternFill>
    </fill>
    <fill>
      <patternFill patternType="solid">
        <fgColor rgb="FF97A03C"/>
        <bgColor indexed="64"/>
      </patternFill>
    </fill>
    <fill>
      <patternFill patternType="solid">
        <fgColor rgb="FFEDE02F"/>
        <bgColor indexed="64"/>
      </patternFill>
    </fill>
    <fill>
      <patternFill patternType="solid">
        <fgColor rgb="FF1E6F71"/>
        <bgColor indexed="64"/>
      </patternFill>
    </fill>
    <fill>
      <patternFill patternType="solid">
        <fgColor rgb="FF107FAA"/>
        <bgColor indexed="64"/>
      </patternFill>
    </fill>
    <fill>
      <patternFill patternType="solid">
        <fgColor rgb="FF147DA2"/>
        <bgColor indexed="64"/>
      </patternFill>
    </fill>
    <fill>
      <patternFill patternType="solid">
        <fgColor rgb="FF147EA7"/>
        <bgColor indexed="64"/>
      </patternFill>
    </fill>
    <fill>
      <patternFill patternType="solid">
        <fgColor rgb="FF1180AC"/>
        <bgColor indexed="64"/>
      </patternFill>
    </fill>
    <fill>
      <patternFill patternType="solid">
        <fgColor rgb="FF205F64"/>
        <bgColor indexed="64"/>
      </patternFill>
    </fill>
    <fill>
      <patternFill patternType="solid">
        <fgColor rgb="FFB1A425"/>
        <bgColor indexed="64"/>
      </patternFill>
    </fill>
    <fill>
      <patternFill patternType="solid">
        <fgColor rgb="FFB0AC2A"/>
        <bgColor indexed="64"/>
      </patternFill>
    </fill>
    <fill>
      <patternFill patternType="solid">
        <fgColor rgb="FF1B6771"/>
        <bgColor indexed="64"/>
      </patternFill>
    </fill>
    <fill>
      <patternFill patternType="solid">
        <fgColor rgb="FF1279A4"/>
        <bgColor indexed="64"/>
      </patternFill>
    </fill>
    <fill>
      <patternFill patternType="solid">
        <fgColor rgb="FF127CA6"/>
        <bgColor indexed="64"/>
      </patternFill>
    </fill>
    <fill>
      <patternFill patternType="solid">
        <fgColor rgb="FF1279A5"/>
        <bgColor indexed="64"/>
      </patternFill>
    </fill>
    <fill>
      <patternFill patternType="solid">
        <fgColor rgb="FF0F79AB"/>
        <bgColor indexed="64"/>
      </patternFill>
    </fill>
    <fill>
      <patternFill patternType="solid">
        <fgColor rgb="FF066EA2"/>
        <bgColor indexed="64"/>
      </patternFill>
    </fill>
    <fill>
      <patternFill patternType="solid">
        <fgColor rgb="FF3B476B"/>
        <bgColor indexed="64"/>
      </patternFill>
    </fill>
    <fill>
      <patternFill patternType="solid">
        <fgColor rgb="FFB1384F"/>
        <bgColor indexed="64"/>
      </patternFill>
    </fill>
    <fill>
      <patternFill patternType="solid">
        <fgColor rgb="FF9F2D4A"/>
        <bgColor indexed="64"/>
      </patternFill>
    </fill>
    <fill>
      <patternFill patternType="solid">
        <fgColor rgb="FF3A1C19"/>
        <bgColor indexed="64"/>
      </patternFill>
    </fill>
    <fill>
      <patternFill patternType="solid">
        <fgColor rgb="FF6A322F"/>
        <bgColor indexed="64"/>
      </patternFill>
    </fill>
    <fill>
      <patternFill patternType="solid">
        <fgColor rgb="FF3D5D82"/>
        <bgColor indexed="64"/>
      </patternFill>
    </fill>
    <fill>
      <patternFill patternType="solid">
        <fgColor rgb="FF194868"/>
        <bgColor indexed="64"/>
      </patternFill>
    </fill>
    <fill>
      <patternFill patternType="solid">
        <fgColor rgb="FF34435F"/>
        <bgColor indexed="64"/>
      </patternFill>
    </fill>
    <fill>
      <patternFill patternType="solid">
        <fgColor rgb="FF0C1F22"/>
        <bgColor indexed="64"/>
      </patternFill>
    </fill>
    <fill>
      <patternFill patternType="solid">
        <fgColor rgb="FF31340D"/>
        <bgColor indexed="64"/>
      </patternFill>
    </fill>
    <fill>
      <patternFill patternType="solid">
        <fgColor rgb="FF105E79"/>
        <bgColor indexed="64"/>
      </patternFill>
    </fill>
    <fill>
      <patternFill patternType="solid">
        <fgColor rgb="FF1177A3"/>
        <bgColor indexed="64"/>
      </patternFill>
    </fill>
    <fill>
      <patternFill patternType="solid">
        <fgColor rgb="FF11719D"/>
        <bgColor indexed="64"/>
      </patternFill>
    </fill>
    <fill>
      <patternFill patternType="solid">
        <fgColor rgb="FF0F6E9A"/>
        <bgColor indexed="64"/>
      </patternFill>
    </fill>
    <fill>
      <patternFill patternType="solid">
        <fgColor rgb="FF0F6B97"/>
        <bgColor indexed="64"/>
      </patternFill>
    </fill>
    <fill>
      <patternFill patternType="solid">
        <fgColor rgb="FF0F6A98"/>
        <bgColor indexed="64"/>
      </patternFill>
    </fill>
    <fill>
      <patternFill patternType="solid">
        <fgColor rgb="FF0F6998"/>
        <bgColor indexed="64"/>
      </patternFill>
    </fill>
    <fill>
      <patternFill patternType="solid">
        <fgColor rgb="FF0E6A98"/>
        <bgColor indexed="64"/>
      </patternFill>
    </fill>
    <fill>
      <patternFill patternType="solid">
        <fgColor rgb="FF106C9A"/>
        <bgColor indexed="64"/>
      </patternFill>
    </fill>
    <fill>
      <patternFill patternType="solid">
        <fgColor rgb="FF0E6C9E"/>
        <bgColor indexed="64"/>
      </patternFill>
    </fill>
    <fill>
      <patternFill patternType="solid">
        <fgColor rgb="FF6B9E35"/>
        <bgColor indexed="64"/>
      </patternFill>
    </fill>
    <fill>
      <patternFill patternType="solid">
        <fgColor rgb="FF679834"/>
        <bgColor indexed="64"/>
      </patternFill>
    </fill>
    <fill>
      <patternFill patternType="solid">
        <fgColor rgb="FF689932"/>
        <bgColor indexed="64"/>
      </patternFill>
    </fill>
    <fill>
      <patternFill patternType="solid">
        <fgColor rgb="FF6A9B31"/>
        <bgColor indexed="64"/>
      </patternFill>
    </fill>
    <fill>
      <patternFill patternType="solid">
        <fgColor rgb="FF66992F"/>
        <bgColor indexed="64"/>
      </patternFill>
    </fill>
    <fill>
      <patternFill patternType="solid">
        <fgColor rgb="FF64722B"/>
        <bgColor indexed="64"/>
      </patternFill>
    </fill>
    <fill>
      <patternFill patternType="solid">
        <fgColor rgb="FF66882C"/>
        <bgColor indexed="64"/>
      </patternFill>
    </fill>
    <fill>
      <patternFill patternType="solid">
        <fgColor rgb="FF6A9E30"/>
        <bgColor indexed="64"/>
      </patternFill>
    </fill>
    <fill>
      <patternFill patternType="solid">
        <fgColor rgb="FF6A9B30"/>
        <bgColor indexed="64"/>
      </patternFill>
    </fill>
    <fill>
      <patternFill patternType="solid">
        <fgColor rgb="FF6C9C33"/>
        <bgColor indexed="64"/>
      </patternFill>
    </fill>
    <fill>
      <patternFill patternType="solid">
        <fgColor rgb="FF71A134"/>
        <bgColor indexed="64"/>
      </patternFill>
    </fill>
    <fill>
      <patternFill patternType="solid">
        <fgColor rgb="FF699C35"/>
        <bgColor indexed="64"/>
      </patternFill>
    </fill>
    <fill>
      <patternFill patternType="solid">
        <fgColor rgb="FF6E9E35"/>
        <bgColor indexed="64"/>
      </patternFill>
    </fill>
    <fill>
      <patternFill patternType="solid">
        <fgColor rgb="FF709C36"/>
        <bgColor indexed="64"/>
      </patternFill>
    </fill>
    <fill>
      <patternFill patternType="solid">
        <fgColor rgb="FF26320C"/>
        <bgColor indexed="64"/>
      </patternFill>
    </fill>
    <fill>
      <patternFill patternType="solid">
        <fgColor rgb="FF1E1B0A"/>
        <bgColor indexed="64"/>
      </patternFill>
    </fill>
    <fill>
      <patternFill patternType="solid">
        <fgColor rgb="FF897D23"/>
        <bgColor indexed="64"/>
      </patternFill>
    </fill>
    <fill>
      <patternFill patternType="solid">
        <fgColor rgb="FF9FA135"/>
        <bgColor indexed="64"/>
      </patternFill>
    </fill>
    <fill>
      <patternFill patternType="solid">
        <fgColor rgb="FF608B3B"/>
        <bgColor indexed="64"/>
      </patternFill>
    </fill>
    <fill>
      <patternFill patternType="solid">
        <fgColor rgb="FF74A33C"/>
        <bgColor indexed="64"/>
      </patternFill>
    </fill>
    <fill>
      <patternFill patternType="solid">
        <fgColor rgb="FF70A03D"/>
        <bgColor indexed="64"/>
      </patternFill>
    </fill>
    <fill>
      <patternFill patternType="solid">
        <fgColor rgb="FF70A23D"/>
        <bgColor indexed="64"/>
      </patternFill>
    </fill>
    <fill>
      <patternFill patternType="solid">
        <fgColor rgb="FF74A341"/>
        <bgColor indexed="64"/>
      </patternFill>
    </fill>
    <fill>
      <patternFill patternType="solid">
        <fgColor rgb="FF78A443"/>
        <bgColor indexed="64"/>
      </patternFill>
    </fill>
    <fill>
      <patternFill patternType="solid">
        <fgColor rgb="FF77A545"/>
        <bgColor indexed="64"/>
      </patternFill>
    </fill>
    <fill>
      <patternFill patternType="solid">
        <fgColor rgb="FF75A745"/>
        <bgColor indexed="64"/>
      </patternFill>
    </fill>
    <fill>
      <patternFill patternType="solid">
        <fgColor rgb="FF71892F"/>
        <bgColor indexed="64"/>
      </patternFill>
    </fill>
    <fill>
      <patternFill patternType="solid">
        <fgColor rgb="FF83852A"/>
        <bgColor indexed="64"/>
      </patternFill>
    </fill>
    <fill>
      <patternFill patternType="solid">
        <fgColor rgb="FF74A244"/>
        <bgColor indexed="64"/>
      </patternFill>
    </fill>
    <fill>
      <patternFill patternType="solid">
        <fgColor rgb="FF7CAC47"/>
        <bgColor indexed="64"/>
      </patternFill>
    </fill>
    <fill>
      <patternFill patternType="solid">
        <fgColor rgb="FF7BAA48"/>
        <bgColor indexed="64"/>
      </patternFill>
    </fill>
    <fill>
      <patternFill patternType="solid">
        <fgColor rgb="FF7BAB48"/>
        <bgColor indexed="64"/>
      </patternFill>
    </fill>
    <fill>
      <patternFill patternType="solid">
        <fgColor rgb="FF64923B"/>
        <bgColor indexed="64"/>
      </patternFill>
    </fill>
    <fill>
      <patternFill patternType="solid">
        <fgColor rgb="FF385521"/>
        <bgColor indexed="64"/>
      </patternFill>
    </fill>
    <fill>
      <patternFill patternType="solid">
        <fgColor rgb="FF344924"/>
        <bgColor indexed="64"/>
      </patternFill>
    </fill>
    <fill>
      <patternFill patternType="solid">
        <fgColor rgb="FF146177"/>
        <bgColor indexed="64"/>
      </patternFill>
    </fill>
    <fill>
      <patternFill patternType="solid">
        <fgColor rgb="FF0B7DB7"/>
        <bgColor indexed="64"/>
      </patternFill>
    </fill>
    <fill>
      <patternFill patternType="solid">
        <fgColor rgb="FF17586B"/>
        <bgColor indexed="64"/>
      </patternFill>
    </fill>
    <fill>
      <patternFill patternType="solid">
        <fgColor rgb="FFD4C427"/>
        <bgColor indexed="64"/>
      </patternFill>
    </fill>
    <fill>
      <patternFill patternType="solid">
        <fgColor rgb="FF3B6A56"/>
        <bgColor indexed="64"/>
      </patternFill>
    </fill>
    <fill>
      <patternFill patternType="solid">
        <fgColor rgb="FF066BA4"/>
        <bgColor indexed="64"/>
      </patternFill>
    </fill>
    <fill>
      <patternFill patternType="solid">
        <fgColor rgb="FF1182AE"/>
        <bgColor indexed="64"/>
      </patternFill>
    </fill>
    <fill>
      <patternFill patternType="solid">
        <fgColor rgb="FF1487B3"/>
        <bgColor indexed="64"/>
      </patternFill>
    </fill>
    <fill>
      <patternFill patternType="solid">
        <fgColor rgb="FF056D99"/>
        <bgColor indexed="64"/>
      </patternFill>
    </fill>
    <fill>
      <patternFill patternType="solid">
        <fgColor rgb="FF949B35"/>
        <bgColor indexed="64"/>
      </patternFill>
    </fill>
    <fill>
      <patternFill patternType="solid">
        <fgColor rgb="FFF0E22F"/>
        <bgColor indexed="64"/>
      </patternFill>
    </fill>
    <fill>
      <patternFill patternType="solid">
        <fgColor rgb="FF226E6B"/>
        <bgColor indexed="64"/>
      </patternFill>
    </fill>
    <fill>
      <patternFill patternType="solid">
        <fgColor rgb="FF1180A8"/>
        <bgColor indexed="64"/>
      </patternFill>
    </fill>
    <fill>
      <patternFill patternType="solid">
        <fgColor rgb="FF137EA3"/>
        <bgColor indexed="64"/>
      </patternFill>
    </fill>
    <fill>
      <patternFill patternType="solid">
        <fgColor rgb="FF147EA2"/>
        <bgColor indexed="64"/>
      </patternFill>
    </fill>
    <fill>
      <patternFill patternType="solid">
        <fgColor rgb="FF1181AF"/>
        <bgColor indexed="64"/>
      </patternFill>
    </fill>
    <fill>
      <patternFill patternType="solid">
        <fgColor rgb="FF246264"/>
        <bgColor indexed="64"/>
      </patternFill>
    </fill>
    <fill>
      <patternFill patternType="solid">
        <fgColor rgb="FFE1D42F"/>
        <bgColor indexed="64"/>
      </patternFill>
    </fill>
    <fill>
      <patternFill patternType="solid">
        <fgColor rgb="FFEEE331"/>
        <bgColor indexed="64"/>
      </patternFill>
    </fill>
    <fill>
      <patternFill patternType="solid">
        <fgColor rgb="FF2D685A"/>
        <bgColor indexed="64"/>
      </patternFill>
    </fill>
    <fill>
      <patternFill patternType="solid">
        <fgColor rgb="FF0F7DB1"/>
        <bgColor indexed="64"/>
      </patternFill>
    </fill>
    <fill>
      <patternFill patternType="solid">
        <fgColor rgb="FF1277A5"/>
        <bgColor indexed="64"/>
      </patternFill>
    </fill>
    <fill>
      <patternFill patternType="solid">
        <fgColor rgb="FF13537A"/>
        <bgColor indexed="64"/>
      </patternFill>
    </fill>
    <fill>
      <patternFill patternType="solid">
        <fgColor rgb="FF4E364C"/>
        <bgColor indexed="64"/>
      </patternFill>
    </fill>
    <fill>
      <patternFill patternType="solid">
        <fgColor rgb="FF3A4F6B"/>
        <bgColor indexed="64"/>
      </patternFill>
    </fill>
    <fill>
      <patternFill patternType="solid">
        <fgColor rgb="FF0E4453"/>
        <bgColor indexed="64"/>
      </patternFill>
    </fill>
    <fill>
      <patternFill patternType="solid">
        <fgColor rgb="FF252201"/>
        <bgColor indexed="64"/>
      </patternFill>
    </fill>
    <fill>
      <patternFill patternType="solid">
        <fgColor rgb="FF1B5A64"/>
        <bgColor indexed="64"/>
      </patternFill>
    </fill>
    <fill>
      <patternFill patternType="solid">
        <fgColor rgb="FF0B7AA9"/>
        <bgColor indexed="64"/>
      </patternFill>
    </fill>
    <fill>
      <patternFill patternType="solid">
        <fgColor rgb="FF10779F"/>
        <bgColor indexed="64"/>
      </patternFill>
    </fill>
    <fill>
      <patternFill patternType="solid">
        <fgColor rgb="FF036DA0"/>
        <bgColor indexed="64"/>
      </patternFill>
    </fill>
    <fill>
      <patternFill patternType="solid">
        <fgColor rgb="FF3B523B"/>
        <bgColor indexed="64"/>
      </patternFill>
    </fill>
    <fill>
      <patternFill patternType="solid">
        <fgColor rgb="FF716E1A"/>
        <bgColor indexed="64"/>
      </patternFill>
    </fill>
    <fill>
      <patternFill patternType="solid">
        <fgColor rgb="FF0D5D76"/>
        <bgColor indexed="64"/>
      </patternFill>
    </fill>
    <fill>
      <patternFill patternType="solid">
        <fgColor rgb="FF1174A3"/>
        <bgColor indexed="64"/>
      </patternFill>
    </fill>
    <fill>
      <patternFill patternType="solid">
        <fgColor rgb="FF0F6C97"/>
        <bgColor indexed="64"/>
      </patternFill>
    </fill>
    <fill>
      <patternFill patternType="solid">
        <fgColor rgb="FF0F6C99"/>
        <bgColor indexed="64"/>
      </patternFill>
    </fill>
    <fill>
      <patternFill patternType="solid">
        <fgColor rgb="FF0F6A96"/>
        <bgColor indexed="64"/>
      </patternFill>
    </fill>
    <fill>
      <patternFill patternType="solid">
        <fgColor rgb="FF106A97"/>
        <bgColor indexed="64"/>
      </patternFill>
    </fill>
    <fill>
      <patternFill patternType="solid">
        <fgColor rgb="FF0F6C98"/>
        <bgColor indexed="64"/>
      </patternFill>
    </fill>
    <fill>
      <patternFill patternType="solid">
        <fgColor rgb="FF0E6B9C"/>
        <bgColor indexed="64"/>
      </patternFill>
    </fill>
    <fill>
      <patternFill patternType="solid">
        <fgColor rgb="FF6C9B37"/>
        <bgColor indexed="64"/>
      </patternFill>
    </fill>
    <fill>
      <patternFill patternType="solid">
        <fgColor rgb="FF699734"/>
        <bgColor indexed="64"/>
      </patternFill>
    </fill>
    <fill>
      <patternFill patternType="solid">
        <fgColor rgb="FF699A32"/>
        <bgColor indexed="64"/>
      </patternFill>
    </fill>
    <fill>
      <patternFill patternType="solid">
        <fgColor rgb="FF699E33"/>
        <bgColor indexed="64"/>
      </patternFill>
    </fill>
    <fill>
      <patternFill patternType="solid">
        <fgColor rgb="FF40571E"/>
        <bgColor indexed="64"/>
      </patternFill>
    </fill>
    <fill>
      <patternFill patternType="solid">
        <fgColor rgb="FF5A7925"/>
        <bgColor indexed="64"/>
      </patternFill>
    </fill>
    <fill>
      <patternFill patternType="solid">
        <fgColor rgb="FF6CA232"/>
        <bgColor indexed="64"/>
      </patternFill>
    </fill>
    <fill>
      <patternFill patternType="solid">
        <fgColor rgb="FF6D9C33"/>
        <bgColor indexed="64"/>
      </patternFill>
    </fill>
    <fill>
      <patternFill patternType="solid">
        <fgColor rgb="FF74A232"/>
        <bgColor indexed="64"/>
      </patternFill>
    </fill>
    <fill>
      <patternFill patternType="solid">
        <fgColor rgb="FF6B9B31"/>
        <bgColor indexed="64"/>
      </patternFill>
    </fill>
    <fill>
      <patternFill patternType="solid">
        <fgColor rgb="FF689A34"/>
        <bgColor indexed="64"/>
      </patternFill>
    </fill>
    <fill>
      <patternFill patternType="solid">
        <fgColor rgb="FF72A338"/>
        <bgColor indexed="64"/>
      </patternFill>
    </fill>
    <fill>
      <patternFill patternType="solid">
        <fgColor rgb="FF5C8531"/>
        <bgColor indexed="64"/>
      </patternFill>
    </fill>
    <fill>
      <patternFill patternType="solid">
        <fgColor rgb="FF2F331A"/>
        <bgColor indexed="64"/>
      </patternFill>
    </fill>
    <fill>
      <patternFill patternType="solid">
        <fgColor rgb="FF28270F"/>
        <bgColor indexed="64"/>
      </patternFill>
    </fill>
    <fill>
      <patternFill patternType="solid">
        <fgColor rgb="FF312A09"/>
        <bgColor indexed="64"/>
      </patternFill>
    </fill>
    <fill>
      <patternFill patternType="solid">
        <fgColor rgb="FF353E17"/>
        <bgColor indexed="64"/>
      </patternFill>
    </fill>
    <fill>
      <patternFill patternType="solid">
        <fgColor rgb="FF6C9A3B"/>
        <bgColor indexed="64"/>
      </patternFill>
    </fill>
    <fill>
      <patternFill patternType="solid">
        <fgColor rgb="FF709F3A"/>
        <bgColor indexed="64"/>
      </patternFill>
    </fill>
    <fill>
      <patternFill patternType="solid">
        <fgColor rgb="FF709F3E"/>
        <bgColor indexed="64"/>
      </patternFill>
    </fill>
    <fill>
      <patternFill patternType="solid">
        <fgColor rgb="FF72A243"/>
        <bgColor indexed="64"/>
      </patternFill>
    </fill>
    <fill>
      <patternFill patternType="solid">
        <fgColor rgb="FF78A544"/>
        <bgColor indexed="64"/>
      </patternFill>
    </fill>
    <fill>
      <patternFill patternType="solid">
        <fgColor rgb="FF6DA03E"/>
        <bgColor indexed="64"/>
      </patternFill>
    </fill>
    <fill>
      <patternFill patternType="solid">
        <fgColor rgb="FF8B9C31"/>
        <bgColor indexed="64"/>
      </patternFill>
    </fill>
    <fill>
      <patternFill patternType="solid">
        <fgColor rgb="FFA2AD36"/>
        <bgColor indexed="64"/>
      </patternFill>
    </fill>
    <fill>
      <patternFill patternType="solid">
        <fgColor rgb="FF72A343"/>
        <bgColor indexed="64"/>
      </patternFill>
    </fill>
    <fill>
      <patternFill patternType="solid">
        <fgColor rgb="FF7CAB48"/>
        <bgColor indexed="64"/>
      </patternFill>
    </fill>
    <fill>
      <patternFill patternType="solid">
        <fgColor rgb="FF78A947"/>
        <bgColor indexed="64"/>
      </patternFill>
    </fill>
    <fill>
      <patternFill patternType="solid">
        <fgColor rgb="FF76A543"/>
        <bgColor indexed="64"/>
      </patternFill>
    </fill>
    <fill>
      <patternFill patternType="solid">
        <fgColor rgb="FF73A540"/>
        <bgColor indexed="64"/>
      </patternFill>
    </fill>
    <fill>
      <patternFill patternType="solid">
        <fgColor rgb="FF79A945"/>
        <bgColor indexed="64"/>
      </patternFill>
    </fill>
    <fill>
      <patternFill patternType="solid">
        <fgColor rgb="FF649034"/>
        <bgColor indexed="64"/>
      </patternFill>
    </fill>
    <fill>
      <patternFill patternType="solid">
        <fgColor rgb="FF597D2D"/>
        <bgColor indexed="64"/>
      </patternFill>
    </fill>
    <fill>
      <patternFill patternType="solid">
        <fgColor rgb="FF487540"/>
        <bgColor indexed="64"/>
      </patternFill>
    </fill>
    <fill>
      <patternFill patternType="solid">
        <fgColor rgb="FF3D7152"/>
        <bgColor indexed="64"/>
      </patternFill>
    </fill>
    <fill>
      <patternFill patternType="solid">
        <fgColor rgb="FF3F6037"/>
        <bgColor indexed="64"/>
      </patternFill>
    </fill>
    <fill>
      <patternFill patternType="solid">
        <fgColor rgb="FFBBB030"/>
        <bgColor indexed="64"/>
      </patternFill>
    </fill>
    <fill>
      <patternFill patternType="solid">
        <fgColor rgb="FF435F33"/>
        <bgColor indexed="64"/>
      </patternFill>
    </fill>
    <fill>
      <patternFill patternType="solid">
        <fgColor rgb="FF305A39"/>
        <bgColor indexed="64"/>
      </patternFill>
    </fill>
    <fill>
      <patternFill patternType="solid">
        <fgColor rgb="FF2B5437"/>
        <bgColor indexed="64"/>
      </patternFill>
    </fill>
    <fill>
      <patternFill patternType="solid">
        <fgColor rgb="FF26685D"/>
        <bgColor indexed="64"/>
      </patternFill>
    </fill>
    <fill>
      <patternFill patternType="solid">
        <fgColor rgb="FF1D5C60"/>
        <bgColor indexed="64"/>
      </patternFill>
    </fill>
    <fill>
      <patternFill patternType="solid">
        <fgColor rgb="FF175F72"/>
        <bgColor indexed="64"/>
      </patternFill>
    </fill>
    <fill>
      <patternFill patternType="solid">
        <fgColor rgb="FF1B687B"/>
        <bgColor indexed="64"/>
      </patternFill>
    </fill>
    <fill>
      <patternFill patternType="solid">
        <fgColor rgb="FF06547B"/>
        <bgColor indexed="64"/>
      </patternFill>
    </fill>
    <fill>
      <patternFill patternType="solid">
        <fgColor rgb="FF929937"/>
        <bgColor indexed="64"/>
      </patternFill>
    </fill>
    <fill>
      <patternFill patternType="solid">
        <fgColor rgb="FFE8DA2C"/>
        <bgColor indexed="64"/>
      </patternFill>
    </fill>
    <fill>
      <patternFill patternType="solid">
        <fgColor rgb="FF145E68"/>
        <bgColor indexed="64"/>
      </patternFill>
    </fill>
    <fill>
      <patternFill patternType="solid">
        <fgColor rgb="FF0E7EAE"/>
        <bgColor indexed="64"/>
      </patternFill>
    </fill>
    <fill>
      <patternFill patternType="solid">
        <fgColor rgb="FF117BA5"/>
        <bgColor indexed="64"/>
      </patternFill>
    </fill>
    <fill>
      <patternFill patternType="solid">
        <fgColor rgb="FF1078A4"/>
        <bgColor indexed="64"/>
      </patternFill>
    </fill>
    <fill>
      <patternFill patternType="solid">
        <fgColor rgb="FF1582A8"/>
        <bgColor indexed="64"/>
      </patternFill>
    </fill>
    <fill>
      <patternFill patternType="solid">
        <fgColor rgb="FF147DA1"/>
        <bgColor indexed="64"/>
      </patternFill>
    </fill>
    <fill>
      <patternFill patternType="solid">
        <fgColor rgb="FF107AA5"/>
        <bgColor indexed="64"/>
      </patternFill>
    </fill>
    <fill>
      <patternFill patternType="solid">
        <fgColor rgb="FF1A555B"/>
        <bgColor indexed="64"/>
      </patternFill>
    </fill>
    <fill>
      <patternFill patternType="solid">
        <fgColor rgb="FFDCCE2E"/>
        <bgColor indexed="64"/>
      </patternFill>
    </fill>
    <fill>
      <patternFill patternType="solid">
        <fgColor rgb="FFFFF334"/>
        <bgColor indexed="64"/>
      </patternFill>
    </fill>
    <fill>
      <patternFill patternType="solid">
        <fgColor rgb="FF44724B"/>
        <bgColor indexed="64"/>
      </patternFill>
    </fill>
    <fill>
      <patternFill patternType="solid">
        <fgColor rgb="FF0B7AAB"/>
        <bgColor indexed="64"/>
      </patternFill>
    </fill>
    <fill>
      <patternFill patternType="solid">
        <fgColor rgb="FF157DA9"/>
        <bgColor indexed="64"/>
      </patternFill>
    </fill>
    <fill>
      <patternFill patternType="solid">
        <fgColor rgb="FF127BA8"/>
        <bgColor indexed="64"/>
      </patternFill>
    </fill>
    <fill>
      <patternFill patternType="solid">
        <fgColor rgb="FF1279A7"/>
        <bgColor indexed="64"/>
      </patternFill>
    </fill>
    <fill>
      <patternFill patternType="solid">
        <fgColor rgb="FF1174A2"/>
        <bgColor indexed="64"/>
      </patternFill>
    </fill>
    <fill>
      <patternFill patternType="solid">
        <fgColor rgb="FF086A8F"/>
        <bgColor indexed="64"/>
      </patternFill>
    </fill>
    <fill>
      <patternFill patternType="solid">
        <fgColor rgb="FF0174A5"/>
        <bgColor indexed="64"/>
      </patternFill>
    </fill>
    <fill>
      <patternFill patternType="solid">
        <fgColor rgb="FF638C61"/>
        <bgColor indexed="64"/>
      </patternFill>
    </fill>
    <fill>
      <patternFill patternType="solid">
        <fgColor rgb="FF6F6919"/>
        <bgColor indexed="64"/>
      </patternFill>
    </fill>
    <fill>
      <patternFill patternType="solid">
        <fgColor rgb="FF166576"/>
        <bgColor indexed="64"/>
      </patternFill>
    </fill>
    <fill>
      <patternFill patternType="solid">
        <fgColor rgb="FF1579A2"/>
        <bgColor indexed="64"/>
      </patternFill>
    </fill>
    <fill>
      <patternFill patternType="solid">
        <fgColor rgb="FF04629A"/>
        <bgColor indexed="64"/>
      </patternFill>
    </fill>
    <fill>
      <patternFill patternType="solid">
        <fgColor rgb="FF647B3C"/>
        <bgColor indexed="64"/>
      </patternFill>
    </fill>
    <fill>
      <patternFill patternType="solid">
        <fgColor rgb="FFADAF26"/>
        <bgColor indexed="64"/>
      </patternFill>
    </fill>
    <fill>
      <patternFill patternType="solid">
        <fgColor rgb="FF095976"/>
        <bgColor indexed="64"/>
      </patternFill>
    </fill>
    <fill>
      <patternFill patternType="solid">
        <fgColor rgb="FF116F9B"/>
        <bgColor indexed="64"/>
      </patternFill>
    </fill>
    <fill>
      <patternFill patternType="solid">
        <fgColor rgb="FF0F6D99"/>
        <bgColor indexed="64"/>
      </patternFill>
    </fill>
    <fill>
      <patternFill patternType="solid">
        <fgColor rgb="FF0F6E99"/>
        <bgColor indexed="64"/>
      </patternFill>
    </fill>
    <fill>
      <patternFill patternType="solid">
        <fgColor rgb="FF0E6B96"/>
        <bgColor indexed="64"/>
      </patternFill>
    </fill>
    <fill>
      <patternFill patternType="solid">
        <fgColor rgb="FF107099"/>
        <bgColor indexed="64"/>
      </patternFill>
    </fill>
    <fill>
      <patternFill patternType="solid">
        <fgColor rgb="FF11709C"/>
        <bgColor indexed="64"/>
      </patternFill>
    </fill>
    <fill>
      <patternFill patternType="solid">
        <fgColor rgb="FF0E6A99"/>
        <bgColor indexed="64"/>
      </patternFill>
    </fill>
    <fill>
      <patternFill patternType="solid">
        <fgColor rgb="FF0F6A9A"/>
        <bgColor indexed="64"/>
      </patternFill>
    </fill>
    <fill>
      <patternFill patternType="solid">
        <fgColor rgb="FF0D689A"/>
        <bgColor indexed="64"/>
      </patternFill>
    </fill>
    <fill>
      <patternFill patternType="solid">
        <fgColor rgb="FF699A39"/>
        <bgColor indexed="64"/>
      </patternFill>
    </fill>
    <fill>
      <patternFill patternType="solid">
        <fgColor rgb="FF699638"/>
        <bgColor indexed="64"/>
      </patternFill>
    </fill>
    <fill>
      <patternFill patternType="solid">
        <fgColor rgb="FF679934"/>
        <bgColor indexed="64"/>
      </patternFill>
    </fill>
    <fill>
      <patternFill patternType="solid">
        <fgColor rgb="FF659834"/>
        <bgColor indexed="64"/>
      </patternFill>
    </fill>
    <fill>
      <patternFill patternType="solid">
        <fgColor rgb="FF70852B"/>
        <bgColor indexed="64"/>
      </patternFill>
    </fill>
    <fill>
      <patternFill patternType="solid">
        <fgColor rgb="FF7C912D"/>
        <bgColor indexed="64"/>
      </patternFill>
    </fill>
    <fill>
      <patternFill patternType="solid">
        <fgColor rgb="FF6C9F32"/>
        <bgColor indexed="64"/>
      </patternFill>
    </fill>
    <fill>
      <patternFill patternType="solid">
        <fgColor rgb="FF6A9C33"/>
        <bgColor indexed="64"/>
      </patternFill>
    </fill>
    <fill>
      <patternFill patternType="solid">
        <fgColor rgb="FF6B9C32"/>
        <bgColor indexed="64"/>
      </patternFill>
    </fill>
    <fill>
      <patternFill patternType="solid">
        <fgColor rgb="FF73A436"/>
        <bgColor indexed="64"/>
      </patternFill>
    </fill>
    <fill>
      <patternFill patternType="solid">
        <fgColor rgb="FF52732A"/>
        <bgColor indexed="64"/>
      </patternFill>
    </fill>
    <fill>
      <patternFill patternType="solid">
        <fgColor rgb="FF88832B"/>
        <bgColor indexed="64"/>
      </patternFill>
    </fill>
    <fill>
      <patternFill patternType="solid">
        <fgColor rgb="FF2D2C0B"/>
        <bgColor indexed="64"/>
      </patternFill>
    </fill>
    <fill>
      <patternFill patternType="solid">
        <fgColor rgb="FF1F1D06"/>
        <bgColor indexed="64"/>
      </patternFill>
    </fill>
    <fill>
      <patternFill patternType="solid">
        <fgColor rgb="FF2D3D13"/>
        <bgColor indexed="64"/>
      </patternFill>
    </fill>
    <fill>
      <patternFill patternType="solid">
        <fgColor rgb="FF6F9F39"/>
        <bgColor indexed="64"/>
      </patternFill>
    </fill>
    <fill>
      <patternFill patternType="solid">
        <fgColor rgb="FF6D9D39"/>
        <bgColor indexed="64"/>
      </patternFill>
    </fill>
    <fill>
      <patternFill patternType="solid">
        <fgColor rgb="FF6F9D3D"/>
        <bgColor indexed="64"/>
      </patternFill>
    </fill>
    <fill>
      <patternFill patternType="solid">
        <fgColor rgb="FF709E3B"/>
        <bgColor indexed="64"/>
      </patternFill>
    </fill>
    <fill>
      <patternFill patternType="solid">
        <fgColor rgb="FF75A342"/>
        <bgColor indexed="64"/>
      </patternFill>
    </fill>
    <fill>
      <patternFill patternType="solid">
        <fgColor rgb="FF75A343"/>
        <bgColor indexed="64"/>
      </patternFill>
    </fill>
    <fill>
      <patternFill patternType="solid">
        <fgColor rgb="FF70A440"/>
        <bgColor indexed="64"/>
      </patternFill>
    </fill>
    <fill>
      <patternFill patternType="solid">
        <fgColor rgb="FF7C8C2E"/>
        <bgColor indexed="64"/>
      </patternFill>
    </fill>
    <fill>
      <patternFill patternType="solid">
        <fgColor rgb="FF7B8930"/>
        <bgColor indexed="64"/>
      </patternFill>
    </fill>
    <fill>
      <patternFill patternType="solid">
        <fgColor rgb="FF78AA44"/>
        <bgColor indexed="64"/>
      </patternFill>
    </fill>
    <fill>
      <patternFill patternType="solid">
        <fgColor rgb="FF78AB44"/>
        <bgColor indexed="64"/>
      </patternFill>
    </fill>
    <fill>
      <patternFill patternType="solid">
        <fgColor rgb="FF75A641"/>
        <bgColor indexed="64"/>
      </patternFill>
    </fill>
    <fill>
      <patternFill patternType="solid">
        <fgColor rgb="FF72A23D"/>
        <bgColor indexed="64"/>
      </patternFill>
    </fill>
    <fill>
      <patternFill patternType="solid">
        <fgColor rgb="FF71A340"/>
        <bgColor indexed="64"/>
      </patternFill>
    </fill>
    <fill>
      <patternFill patternType="solid">
        <fgColor rgb="FF75A741"/>
        <bgColor indexed="64"/>
      </patternFill>
    </fill>
    <fill>
      <patternFill patternType="solid">
        <fgColor rgb="FF78AC43"/>
        <bgColor indexed="64"/>
      </patternFill>
    </fill>
    <fill>
      <patternFill patternType="solid">
        <fgColor rgb="FF7FB44B"/>
        <bgColor indexed="64"/>
      </patternFill>
    </fill>
    <fill>
      <patternFill patternType="solid">
        <fgColor rgb="FF7FAF43"/>
        <bgColor indexed="64"/>
      </patternFill>
    </fill>
    <fill>
      <patternFill patternType="solid">
        <fgColor rgb="FF89BA47"/>
        <bgColor indexed="64"/>
      </patternFill>
    </fill>
    <fill>
      <patternFill patternType="solid">
        <fgColor rgb="FF608437"/>
        <bgColor indexed="64"/>
      </patternFill>
    </fill>
    <fill>
      <patternFill patternType="solid">
        <fgColor rgb="FF363110"/>
        <bgColor indexed="64"/>
      </patternFill>
    </fill>
    <fill>
      <patternFill patternType="solid">
        <fgColor rgb="FF547027"/>
        <bgColor indexed="64"/>
      </patternFill>
    </fill>
    <fill>
      <patternFill patternType="solid">
        <fgColor rgb="FF75AB37"/>
        <bgColor indexed="64"/>
      </patternFill>
    </fill>
    <fill>
      <patternFill patternType="solid">
        <fgColor rgb="FF6DA130"/>
        <bgColor indexed="64"/>
      </patternFill>
    </fill>
    <fill>
      <patternFill patternType="solid">
        <fgColor rgb="FF6A9B29"/>
        <bgColor indexed="64"/>
      </patternFill>
    </fill>
    <fill>
      <patternFill patternType="solid">
        <fgColor rgb="FF66952A"/>
        <bgColor indexed="64"/>
      </patternFill>
    </fill>
    <fill>
      <patternFill patternType="solid">
        <fgColor rgb="FF5D8B29"/>
        <bgColor indexed="64"/>
      </patternFill>
    </fill>
    <fill>
      <patternFill patternType="solid">
        <fgColor rgb="FF659632"/>
        <bgColor indexed="64"/>
      </patternFill>
    </fill>
    <fill>
      <patternFill patternType="solid">
        <fgColor rgb="FF44722E"/>
        <bgColor indexed="64"/>
      </patternFill>
    </fill>
    <fill>
      <patternFill patternType="solid">
        <fgColor rgb="FF909828"/>
        <bgColor indexed="64"/>
      </patternFill>
    </fill>
    <fill>
      <patternFill patternType="solid">
        <fgColor rgb="FFE4DB31"/>
        <bgColor indexed="64"/>
      </patternFill>
    </fill>
    <fill>
      <patternFill patternType="solid">
        <fgColor rgb="FF325634"/>
        <bgColor indexed="64"/>
      </patternFill>
    </fill>
    <fill>
      <patternFill patternType="solid">
        <fgColor rgb="FF1E524C"/>
        <bgColor indexed="64"/>
      </patternFill>
    </fill>
    <fill>
      <patternFill patternType="solid">
        <fgColor rgb="FF1D6266"/>
        <bgColor indexed="64"/>
      </patternFill>
    </fill>
    <fill>
      <patternFill patternType="solid">
        <fgColor rgb="FF1C5B5B"/>
        <bgColor indexed="64"/>
      </patternFill>
    </fill>
    <fill>
      <patternFill patternType="solid">
        <fgColor rgb="FF10637A"/>
        <bgColor indexed="64"/>
      </patternFill>
    </fill>
    <fill>
      <patternFill patternType="solid">
        <fgColor rgb="FF10769E"/>
        <bgColor indexed="64"/>
      </patternFill>
    </fill>
    <fill>
      <patternFill patternType="solid">
        <fgColor rgb="FF1076A0"/>
        <bgColor indexed="64"/>
      </patternFill>
    </fill>
    <fill>
      <patternFill patternType="solid">
        <fgColor rgb="FF0F7199"/>
        <bgColor indexed="64"/>
      </patternFill>
    </fill>
    <fill>
      <patternFill patternType="solid">
        <fgColor rgb="FF0E4E60"/>
        <bgColor indexed="64"/>
      </patternFill>
    </fill>
    <fill>
      <patternFill patternType="solid">
        <fgColor rgb="FFBFB42B"/>
        <bgColor indexed="64"/>
      </patternFill>
    </fill>
    <fill>
      <patternFill patternType="solid">
        <fgColor rgb="FFFEF735"/>
        <bgColor indexed="64"/>
      </patternFill>
    </fill>
    <fill>
      <patternFill patternType="solid">
        <fgColor rgb="FF507542"/>
        <bgColor indexed="64"/>
      </patternFill>
    </fill>
    <fill>
      <patternFill patternType="solid">
        <fgColor rgb="FF0B79AC"/>
        <bgColor indexed="64"/>
      </patternFill>
    </fill>
    <fill>
      <patternFill patternType="solid">
        <fgColor rgb="FF167FAB"/>
        <bgColor indexed="64"/>
      </patternFill>
    </fill>
    <fill>
      <patternFill patternType="solid">
        <fgColor rgb="FF147DAA"/>
        <bgColor indexed="64"/>
      </patternFill>
    </fill>
    <fill>
      <patternFill patternType="solid">
        <fgColor rgb="FF137BAB"/>
        <bgColor indexed="64"/>
      </patternFill>
    </fill>
    <fill>
      <patternFill patternType="solid">
        <fgColor rgb="FF1073A2"/>
        <bgColor indexed="64"/>
      </patternFill>
    </fill>
    <fill>
      <patternFill patternType="solid">
        <fgColor rgb="FF10749F"/>
        <bgColor indexed="64"/>
      </patternFill>
    </fill>
    <fill>
      <patternFill patternType="solid">
        <fgColor rgb="FF086A96"/>
        <bgColor indexed="64"/>
      </patternFill>
    </fill>
    <fill>
      <patternFill patternType="solid">
        <fgColor rgb="FF919E3C"/>
        <bgColor indexed="64"/>
      </patternFill>
    </fill>
    <fill>
      <patternFill patternType="solid">
        <fgColor rgb="FF999B2E"/>
        <bgColor indexed="64"/>
      </patternFill>
    </fill>
    <fill>
      <patternFill patternType="solid">
        <fgColor rgb="FF0D6987"/>
        <bgColor indexed="64"/>
      </patternFill>
    </fill>
    <fill>
      <patternFill patternType="solid">
        <fgColor rgb="FF1074A2"/>
        <bgColor indexed="64"/>
      </patternFill>
    </fill>
    <fill>
      <patternFill patternType="solid">
        <fgColor rgb="FF14759E"/>
        <bgColor indexed="64"/>
      </patternFill>
    </fill>
    <fill>
      <patternFill patternType="solid">
        <fgColor rgb="FF015E95"/>
        <bgColor indexed="64"/>
      </patternFill>
    </fill>
    <fill>
      <patternFill patternType="solid">
        <fgColor rgb="FF6C7F36"/>
        <bgColor indexed="64"/>
      </patternFill>
    </fill>
    <fill>
      <patternFill patternType="solid">
        <fgColor rgb="FFD2CC29"/>
        <bgColor indexed="64"/>
      </patternFill>
    </fill>
    <fill>
      <patternFill patternType="solid">
        <fgColor rgb="FF11606F"/>
        <bgColor indexed="64"/>
      </patternFill>
    </fill>
    <fill>
      <patternFill patternType="solid">
        <fgColor rgb="FF0F72A1"/>
        <bgColor indexed="64"/>
      </patternFill>
    </fill>
    <fill>
      <patternFill patternType="solid">
        <fgColor rgb="FF106F99"/>
        <bgColor indexed="64"/>
      </patternFill>
    </fill>
    <fill>
      <patternFill patternType="solid">
        <fgColor rgb="FF0F6E9B"/>
        <bgColor indexed="64"/>
      </patternFill>
    </fill>
    <fill>
      <patternFill patternType="solid">
        <fgColor rgb="FF10709A"/>
        <bgColor indexed="64"/>
      </patternFill>
    </fill>
    <fill>
      <patternFill patternType="solid">
        <fgColor rgb="FF0F709C"/>
        <bgColor indexed="64"/>
      </patternFill>
    </fill>
    <fill>
      <patternFill patternType="solid">
        <fgColor rgb="FF0F6C9A"/>
        <bgColor indexed="64"/>
      </patternFill>
    </fill>
    <fill>
      <patternFill patternType="solid">
        <fgColor rgb="FF0E6997"/>
        <bgColor indexed="64"/>
      </patternFill>
    </fill>
    <fill>
      <patternFill patternType="solid">
        <fgColor rgb="FF0F6A99"/>
        <bgColor indexed="64"/>
      </patternFill>
    </fill>
    <fill>
      <patternFill patternType="solid">
        <fgColor rgb="FF0E689A"/>
        <bgColor indexed="64"/>
      </patternFill>
    </fill>
    <fill>
      <patternFill patternType="solid">
        <fgColor rgb="FF679A3A"/>
        <bgColor indexed="64"/>
      </patternFill>
    </fill>
    <fill>
      <patternFill patternType="solid">
        <fgColor rgb="FF689737"/>
        <bgColor indexed="64"/>
      </patternFill>
    </fill>
    <fill>
      <patternFill patternType="solid">
        <fgColor rgb="FF6B9734"/>
        <bgColor indexed="64"/>
      </patternFill>
    </fill>
    <fill>
      <patternFill patternType="solid">
        <fgColor rgb="FF649933"/>
        <bgColor indexed="64"/>
      </patternFill>
    </fill>
    <fill>
      <patternFill patternType="solid">
        <fgColor rgb="FF738C2C"/>
        <bgColor indexed="64"/>
      </patternFill>
    </fill>
    <fill>
      <patternFill patternType="solid">
        <fgColor rgb="FF8A9731"/>
        <bgColor indexed="64"/>
      </patternFill>
    </fill>
    <fill>
      <patternFill patternType="solid">
        <fgColor rgb="FF669A30"/>
        <bgColor indexed="64"/>
      </patternFill>
    </fill>
    <fill>
      <patternFill patternType="solid">
        <fgColor rgb="FF6B9C2F"/>
        <bgColor indexed="64"/>
      </patternFill>
    </fill>
    <fill>
      <patternFill patternType="solid">
        <fgColor rgb="FF689B31"/>
        <bgColor indexed="64"/>
      </patternFill>
    </fill>
    <fill>
      <patternFill patternType="solid">
        <fgColor rgb="FF689B30"/>
        <bgColor indexed="64"/>
      </patternFill>
    </fill>
    <fill>
      <patternFill patternType="solid">
        <fgColor rgb="FF6A9B32"/>
        <bgColor indexed="64"/>
      </patternFill>
    </fill>
    <fill>
      <patternFill patternType="solid">
        <fgColor rgb="FF6B9C33"/>
        <bgColor indexed="64"/>
      </patternFill>
    </fill>
    <fill>
      <patternFill patternType="solid">
        <fgColor rgb="FF72A439"/>
        <bgColor indexed="64"/>
      </patternFill>
    </fill>
    <fill>
      <patternFill patternType="solid">
        <fgColor rgb="FF4C6623"/>
        <bgColor indexed="64"/>
      </patternFill>
    </fill>
    <fill>
      <patternFill patternType="solid">
        <fgColor rgb="FF938725"/>
        <bgColor indexed="64"/>
      </patternFill>
    </fill>
    <fill>
      <patternFill patternType="solid">
        <fgColor rgb="FF7F7721"/>
        <bgColor indexed="64"/>
      </patternFill>
    </fill>
    <fill>
      <patternFill patternType="solid">
        <fgColor rgb="FF756C1C"/>
        <bgColor indexed="64"/>
      </patternFill>
    </fill>
    <fill>
      <patternFill patternType="solid">
        <fgColor rgb="FF384D1B"/>
        <bgColor indexed="64"/>
      </patternFill>
    </fill>
    <fill>
      <patternFill patternType="solid">
        <fgColor rgb="FF70A239"/>
        <bgColor indexed="64"/>
      </patternFill>
    </fill>
    <fill>
      <patternFill patternType="solid">
        <fgColor rgb="FF6D9D36"/>
        <bgColor indexed="64"/>
      </patternFill>
    </fill>
    <fill>
      <patternFill patternType="solid">
        <fgColor rgb="FF6F9D39"/>
        <bgColor indexed="64"/>
      </patternFill>
    </fill>
    <fill>
      <patternFill patternType="solid">
        <fgColor rgb="FF6F9E3B"/>
        <bgColor indexed="64"/>
      </patternFill>
    </fill>
    <fill>
      <patternFill patternType="solid">
        <fgColor rgb="FF74A242"/>
        <bgColor indexed="64"/>
      </patternFill>
    </fill>
    <fill>
      <patternFill patternType="solid">
        <fgColor rgb="FF74A53F"/>
        <bgColor indexed="64"/>
      </patternFill>
    </fill>
    <fill>
      <patternFill patternType="solid">
        <fgColor rgb="FF78A943"/>
        <bgColor indexed="64"/>
      </patternFill>
    </fill>
    <fill>
      <patternFill patternType="solid">
        <fgColor rgb="FF384A18"/>
        <bgColor indexed="64"/>
      </patternFill>
    </fill>
    <fill>
      <patternFill patternType="solid">
        <fgColor rgb="FF4C6121"/>
        <bgColor indexed="64"/>
      </patternFill>
    </fill>
    <fill>
      <patternFill patternType="solid">
        <fgColor rgb="FF76A842"/>
        <bgColor indexed="64"/>
      </patternFill>
    </fill>
    <fill>
      <patternFill patternType="solid">
        <fgColor rgb="FF75A740"/>
        <bgColor indexed="64"/>
      </patternFill>
    </fill>
    <fill>
      <patternFill patternType="solid">
        <fgColor rgb="FF70A33C"/>
        <bgColor indexed="64"/>
      </patternFill>
    </fill>
    <fill>
      <patternFill patternType="solid">
        <fgColor rgb="FF6FA13E"/>
        <bgColor indexed="64"/>
      </patternFill>
    </fill>
    <fill>
      <patternFill patternType="solid">
        <fgColor rgb="FF71A341"/>
        <bgColor indexed="64"/>
      </patternFill>
    </fill>
    <fill>
      <patternFill patternType="solid">
        <fgColor rgb="FF72A342"/>
        <bgColor indexed="64"/>
      </patternFill>
    </fill>
    <fill>
      <patternFill patternType="solid">
        <fgColor rgb="FF76A840"/>
        <bgColor indexed="64"/>
      </patternFill>
    </fill>
    <fill>
      <patternFill patternType="solid">
        <fgColor rgb="FF79AB42"/>
        <bgColor indexed="64"/>
      </patternFill>
    </fill>
    <fill>
      <patternFill patternType="solid">
        <fgColor rgb="FF78A842"/>
        <bgColor indexed="64"/>
      </patternFill>
    </fill>
    <fill>
      <patternFill patternType="solid">
        <fgColor rgb="FF7FB348"/>
        <bgColor indexed="64"/>
      </patternFill>
    </fill>
    <fill>
      <patternFill patternType="solid">
        <fgColor rgb="FF658940"/>
        <bgColor indexed="64"/>
      </patternFill>
    </fill>
    <fill>
      <patternFill patternType="solid">
        <fgColor rgb="FF4B471A"/>
        <bgColor indexed="64"/>
      </patternFill>
    </fill>
    <fill>
      <patternFill patternType="solid">
        <fgColor rgb="FF536F29"/>
        <bgColor indexed="64"/>
      </patternFill>
    </fill>
    <fill>
      <patternFill patternType="solid">
        <fgColor rgb="FF6CA23C"/>
        <bgColor indexed="64"/>
      </patternFill>
    </fill>
    <fill>
      <patternFill patternType="solid">
        <fgColor rgb="FF6EA23C"/>
        <bgColor indexed="64"/>
      </patternFill>
    </fill>
    <fill>
      <patternFill patternType="solid">
        <fgColor rgb="FF6DA23C"/>
        <bgColor indexed="64"/>
      </patternFill>
    </fill>
    <fill>
      <patternFill patternType="solid">
        <fgColor rgb="FF6DA13B"/>
        <bgColor indexed="64"/>
      </patternFill>
    </fill>
    <fill>
      <patternFill patternType="solid">
        <fgColor rgb="FF6EA43B"/>
        <bgColor indexed="64"/>
      </patternFill>
    </fill>
    <fill>
      <patternFill patternType="solid">
        <fgColor rgb="FF6EA539"/>
        <bgColor indexed="64"/>
      </patternFill>
    </fill>
    <fill>
      <patternFill patternType="solid">
        <fgColor rgb="FF588D33"/>
        <bgColor indexed="64"/>
      </patternFill>
    </fill>
    <fill>
      <patternFill patternType="solid">
        <fgColor rgb="FF959A2F"/>
        <bgColor indexed="64"/>
      </patternFill>
    </fill>
    <fill>
      <patternFill patternType="solid">
        <fgColor rgb="FFDACE31"/>
        <bgColor indexed="64"/>
      </patternFill>
    </fill>
    <fill>
      <patternFill patternType="solid">
        <fgColor rgb="FF61812A"/>
        <bgColor indexed="64"/>
      </patternFill>
    </fill>
    <fill>
      <patternFill patternType="solid">
        <fgColor rgb="FF6C9A2F"/>
        <bgColor indexed="64"/>
      </patternFill>
    </fill>
    <fill>
      <patternFill patternType="solid">
        <fgColor rgb="FF649230"/>
        <bgColor indexed="64"/>
      </patternFill>
    </fill>
    <fill>
      <patternFill patternType="solid">
        <fgColor rgb="FF679836"/>
        <bgColor indexed="64"/>
      </patternFill>
    </fill>
    <fill>
      <patternFill patternType="solid">
        <fgColor rgb="FF568534"/>
        <bgColor indexed="64"/>
      </patternFill>
    </fill>
    <fill>
      <patternFill patternType="solid">
        <fgColor rgb="FF417641"/>
        <bgColor indexed="64"/>
      </patternFill>
    </fill>
    <fill>
      <patternFill patternType="solid">
        <fgColor rgb="FF266452"/>
        <bgColor indexed="64"/>
      </patternFill>
    </fill>
    <fill>
      <patternFill patternType="solid">
        <fgColor rgb="FF146275"/>
        <bgColor indexed="64"/>
      </patternFill>
    </fill>
    <fill>
      <patternFill patternType="solid">
        <fgColor rgb="FF03526F"/>
        <bgColor indexed="64"/>
      </patternFill>
    </fill>
    <fill>
      <patternFill patternType="solid">
        <fgColor rgb="FF979B2B"/>
        <bgColor indexed="64"/>
      </patternFill>
    </fill>
    <fill>
      <patternFill patternType="solid">
        <fgColor rgb="FFFFFE34"/>
        <bgColor indexed="64"/>
      </patternFill>
    </fill>
    <fill>
      <patternFill patternType="solid">
        <fgColor rgb="FF648239"/>
        <bgColor indexed="64"/>
      </patternFill>
    </fill>
    <fill>
      <patternFill patternType="solid">
        <fgColor rgb="FF0874A3"/>
        <bgColor indexed="64"/>
      </patternFill>
    </fill>
    <fill>
      <patternFill patternType="solid">
        <fgColor rgb="FF167FAD"/>
        <bgColor indexed="64"/>
      </patternFill>
    </fill>
    <fill>
      <patternFill patternType="solid">
        <fgColor rgb="FF137AA8"/>
        <bgColor indexed="64"/>
      </patternFill>
    </fill>
    <fill>
      <patternFill patternType="solid">
        <fgColor rgb="FF1584AF"/>
        <bgColor indexed="64"/>
      </patternFill>
    </fill>
    <fill>
      <patternFill patternType="solid">
        <fgColor rgb="FF1277A1"/>
        <bgColor indexed="64"/>
      </patternFill>
    </fill>
    <fill>
      <patternFill patternType="solid">
        <fgColor rgb="FF137BA7"/>
        <bgColor indexed="64"/>
      </patternFill>
    </fill>
    <fill>
      <patternFill patternType="solid">
        <fgColor rgb="FF096589"/>
        <bgColor indexed="64"/>
      </patternFill>
    </fill>
    <fill>
      <patternFill patternType="solid">
        <fgColor rgb="FFBEBE34"/>
        <bgColor indexed="64"/>
      </patternFill>
    </fill>
    <fill>
      <patternFill patternType="solid">
        <fgColor rgb="FF79812A"/>
        <bgColor indexed="64"/>
      </patternFill>
    </fill>
    <fill>
      <patternFill patternType="solid">
        <fgColor rgb="FF02608C"/>
        <bgColor indexed="64"/>
      </patternFill>
    </fill>
    <fill>
      <patternFill patternType="solid">
        <fgColor rgb="FF12769F"/>
        <bgColor indexed="64"/>
      </patternFill>
    </fill>
    <fill>
      <patternFill patternType="solid">
        <fgColor rgb="FF11729B"/>
        <bgColor indexed="64"/>
      </patternFill>
    </fill>
    <fill>
      <patternFill patternType="solid">
        <fgColor rgb="FF096696"/>
        <bgColor indexed="64"/>
      </patternFill>
    </fill>
    <fill>
      <patternFill patternType="solid">
        <fgColor rgb="FF435736"/>
        <bgColor indexed="64"/>
      </patternFill>
    </fill>
    <fill>
      <patternFill patternType="solid">
        <fgColor rgb="FF998F1F"/>
        <bgColor indexed="64"/>
      </patternFill>
    </fill>
    <fill>
      <patternFill patternType="solid">
        <fgColor rgb="FF20686A"/>
        <bgColor indexed="64"/>
      </patternFill>
    </fill>
    <fill>
      <patternFill patternType="solid">
        <fgColor rgb="FF0D6FA2"/>
        <bgColor indexed="64"/>
      </patternFill>
    </fill>
    <fill>
      <patternFill patternType="solid">
        <fgColor rgb="FF106E98"/>
        <bgColor indexed="64"/>
      </patternFill>
    </fill>
    <fill>
      <patternFill patternType="solid">
        <fgColor rgb="FF106C98"/>
        <bgColor indexed="64"/>
      </patternFill>
    </fill>
    <fill>
      <patternFill patternType="solid">
        <fgColor rgb="FF0E6998"/>
        <bgColor indexed="64"/>
      </patternFill>
    </fill>
    <fill>
      <patternFill patternType="solid">
        <fgColor rgb="FF0E6896"/>
        <bgColor indexed="64"/>
      </patternFill>
    </fill>
    <fill>
      <patternFill patternType="solid">
        <fgColor rgb="FF0D6896"/>
        <bgColor indexed="64"/>
      </patternFill>
    </fill>
    <fill>
      <patternFill patternType="solid">
        <fgColor rgb="FF0F6999"/>
        <bgColor indexed="64"/>
      </patternFill>
    </fill>
    <fill>
      <patternFill patternType="solid">
        <fgColor rgb="FF0D6799"/>
        <bgColor indexed="64"/>
      </patternFill>
    </fill>
    <fill>
      <patternFill patternType="solid">
        <fgColor rgb="FF679937"/>
        <bgColor indexed="64"/>
      </patternFill>
    </fill>
    <fill>
      <patternFill patternType="solid">
        <fgColor rgb="FF689835"/>
        <bgColor indexed="64"/>
      </patternFill>
    </fill>
    <fill>
      <patternFill patternType="solid">
        <fgColor rgb="FF6A9A35"/>
        <bgColor indexed="64"/>
      </patternFill>
    </fill>
    <fill>
      <patternFill patternType="solid">
        <fgColor rgb="FF689734"/>
        <bgColor indexed="64"/>
      </patternFill>
    </fill>
    <fill>
      <patternFill patternType="solid">
        <fgColor rgb="FF699C34"/>
        <bgColor indexed="64"/>
      </patternFill>
    </fill>
    <fill>
      <patternFill patternType="solid">
        <fgColor rgb="FF61852A"/>
        <bgColor indexed="64"/>
      </patternFill>
    </fill>
    <fill>
      <patternFill patternType="solid">
        <fgColor rgb="FF5D6221"/>
        <bgColor indexed="64"/>
      </patternFill>
    </fill>
    <fill>
      <patternFill patternType="solid">
        <fgColor rgb="FF689531"/>
        <bgColor indexed="64"/>
      </patternFill>
    </fill>
    <fill>
      <patternFill patternType="solid">
        <fgColor rgb="FF6B9D31"/>
        <bgColor indexed="64"/>
      </patternFill>
    </fill>
    <fill>
      <patternFill patternType="solid">
        <fgColor rgb="FF679C30"/>
        <bgColor indexed="64"/>
      </patternFill>
    </fill>
    <fill>
      <patternFill patternType="solid">
        <fgColor rgb="FF6C9D34"/>
        <bgColor indexed="64"/>
      </patternFill>
    </fill>
    <fill>
      <patternFill patternType="solid">
        <fgColor rgb="FF6BA035"/>
        <bgColor indexed="64"/>
      </patternFill>
    </fill>
    <fill>
      <patternFill patternType="solid">
        <fgColor rgb="FF4E6422"/>
        <bgColor indexed="64"/>
      </patternFill>
    </fill>
    <fill>
      <patternFill patternType="solid">
        <fgColor rgb="FF998A27"/>
        <bgColor indexed="64"/>
      </patternFill>
    </fill>
    <fill>
      <patternFill patternType="solid">
        <fgColor rgb="FFDDCD32"/>
        <bgColor indexed="64"/>
      </patternFill>
    </fill>
    <fill>
      <patternFill patternType="solid">
        <fgColor rgb="FF436020"/>
        <bgColor indexed="64"/>
      </patternFill>
    </fill>
    <fill>
      <patternFill patternType="solid">
        <fgColor rgb="FF70A338"/>
        <bgColor indexed="64"/>
      </patternFill>
    </fill>
    <fill>
      <patternFill patternType="solid">
        <fgColor rgb="FF6D9B38"/>
        <bgColor indexed="64"/>
      </patternFill>
    </fill>
    <fill>
      <patternFill patternType="solid">
        <fgColor rgb="FF6E9F3B"/>
        <bgColor indexed="64"/>
      </patternFill>
    </fill>
    <fill>
      <patternFill patternType="solid">
        <fgColor rgb="FF76A442"/>
        <bgColor indexed="64"/>
      </patternFill>
    </fill>
    <fill>
      <patternFill patternType="solid">
        <fgColor rgb="FF5D8833"/>
        <bgColor indexed="64"/>
      </patternFill>
    </fill>
    <fill>
      <patternFill patternType="solid">
        <fgColor rgb="FF608930"/>
        <bgColor indexed="64"/>
      </patternFill>
    </fill>
    <fill>
      <patternFill patternType="solid">
        <fgColor rgb="FF679635"/>
        <bgColor indexed="64"/>
      </patternFill>
    </fill>
    <fill>
      <patternFill patternType="solid">
        <fgColor rgb="FF689838"/>
        <bgColor indexed="64"/>
      </patternFill>
    </fill>
    <fill>
      <patternFill patternType="solid">
        <fgColor rgb="FF6B993C"/>
        <bgColor indexed="64"/>
      </patternFill>
    </fill>
    <fill>
      <patternFill patternType="solid">
        <fgColor rgb="FF6A983C"/>
        <bgColor indexed="64"/>
      </patternFill>
    </fill>
    <fill>
      <patternFill patternType="solid">
        <fgColor rgb="FF70A23F"/>
        <bgColor indexed="64"/>
      </patternFill>
    </fill>
    <fill>
      <patternFill patternType="solid">
        <fgColor rgb="FF70A340"/>
        <bgColor indexed="64"/>
      </patternFill>
    </fill>
    <fill>
      <patternFill patternType="solid">
        <fgColor rgb="FF73A442"/>
        <bgColor indexed="64"/>
      </patternFill>
    </fill>
    <fill>
      <patternFill patternType="solid">
        <fgColor rgb="FF75A541"/>
        <bgColor indexed="64"/>
      </patternFill>
    </fill>
    <fill>
      <patternFill patternType="solid">
        <fgColor rgb="FF73A43F"/>
        <bgColor indexed="64"/>
      </patternFill>
    </fill>
    <fill>
      <patternFill patternType="solid">
        <fgColor rgb="FF7CAE46"/>
        <bgColor indexed="64"/>
      </patternFill>
    </fill>
    <fill>
      <patternFill patternType="solid">
        <fgColor rgb="FF6B9444"/>
        <bgColor indexed="64"/>
      </patternFill>
    </fill>
    <fill>
      <patternFill patternType="solid">
        <fgColor rgb="FFBFBA39"/>
        <bgColor indexed="64"/>
      </patternFill>
    </fill>
    <fill>
      <patternFill patternType="solid">
        <fgColor rgb="FF748528"/>
        <bgColor indexed="64"/>
      </patternFill>
    </fill>
    <fill>
      <patternFill patternType="solid">
        <fgColor rgb="FF609635"/>
        <bgColor indexed="64"/>
      </patternFill>
    </fill>
    <fill>
      <patternFill patternType="solid">
        <fgColor rgb="FF6CA237"/>
        <bgColor indexed="64"/>
      </patternFill>
    </fill>
    <fill>
      <patternFill patternType="solid">
        <fgColor rgb="FF6B9E39"/>
        <bgColor indexed="64"/>
      </patternFill>
    </fill>
    <fill>
      <patternFill patternType="solid">
        <fgColor rgb="FF6DA03B"/>
        <bgColor indexed="64"/>
      </patternFill>
    </fill>
    <fill>
      <patternFill patternType="solid">
        <fgColor rgb="FF6A9F37"/>
        <bgColor indexed="64"/>
      </patternFill>
    </fill>
    <fill>
      <patternFill patternType="solid">
        <fgColor rgb="FF6BA236"/>
        <bgColor indexed="64"/>
      </patternFill>
    </fill>
    <fill>
      <patternFill patternType="solid">
        <fgColor rgb="FF609234"/>
        <bgColor indexed="64"/>
      </patternFill>
    </fill>
    <fill>
      <patternFill patternType="solid">
        <fgColor rgb="FF6C7133"/>
        <bgColor indexed="64"/>
      </patternFill>
    </fill>
    <fill>
      <patternFill patternType="solid">
        <fgColor rgb="FFA59C2C"/>
        <bgColor indexed="64"/>
      </patternFill>
    </fill>
    <fill>
      <patternFill patternType="solid">
        <fgColor rgb="FF567C2C"/>
        <bgColor indexed="64"/>
      </patternFill>
    </fill>
    <fill>
      <patternFill patternType="solid">
        <fgColor rgb="FF6DA041"/>
        <bgColor indexed="64"/>
      </patternFill>
    </fill>
    <fill>
      <patternFill patternType="solid">
        <fgColor rgb="FF6AA043"/>
        <bgColor indexed="64"/>
      </patternFill>
    </fill>
    <fill>
      <patternFill patternType="solid">
        <fgColor rgb="FF6FA441"/>
        <bgColor indexed="64"/>
      </patternFill>
    </fill>
    <fill>
      <patternFill patternType="solid">
        <fgColor rgb="FF6D9F3C"/>
        <bgColor indexed="64"/>
      </patternFill>
    </fill>
    <fill>
      <patternFill patternType="solid">
        <fgColor rgb="FF3A6C34"/>
        <bgColor indexed="64"/>
      </patternFill>
    </fill>
    <fill>
      <patternFill patternType="solid">
        <fgColor rgb="FF035975"/>
        <bgColor indexed="64"/>
      </patternFill>
    </fill>
    <fill>
      <patternFill patternType="solid">
        <fgColor rgb="FF6C7F38"/>
        <bgColor indexed="64"/>
      </patternFill>
    </fill>
    <fill>
      <patternFill patternType="solid">
        <fgColor rgb="FFFBED31"/>
        <bgColor indexed="64"/>
      </patternFill>
    </fill>
    <fill>
      <patternFill patternType="solid">
        <fgColor rgb="FF6B8330"/>
        <bgColor indexed="64"/>
      </patternFill>
    </fill>
    <fill>
      <patternFill patternType="solid">
        <fgColor rgb="FF076F9E"/>
        <bgColor indexed="64"/>
      </patternFill>
    </fill>
    <fill>
      <patternFill patternType="solid">
        <fgColor rgb="FF1680AE"/>
        <bgColor indexed="64"/>
      </patternFill>
    </fill>
    <fill>
      <patternFill patternType="solid">
        <fgColor rgb="FF127AA7"/>
        <bgColor indexed="64"/>
      </patternFill>
    </fill>
    <fill>
      <patternFill patternType="solid">
        <fgColor rgb="FF137EAA"/>
        <bgColor indexed="64"/>
      </patternFill>
    </fill>
    <fill>
      <patternFill patternType="solid">
        <fgColor rgb="FF1276A1"/>
        <bgColor indexed="64"/>
      </patternFill>
    </fill>
    <fill>
      <patternFill patternType="solid">
        <fgColor rgb="FF0D76A7"/>
        <bgColor indexed="64"/>
      </patternFill>
    </fill>
    <fill>
      <patternFill patternType="solid">
        <fgColor rgb="FF1E6C77"/>
        <bgColor indexed="64"/>
      </patternFill>
    </fill>
    <fill>
      <patternFill patternType="solid">
        <fgColor rgb="FFD8CF2C"/>
        <bgColor indexed="64"/>
      </patternFill>
    </fill>
    <fill>
      <patternFill patternType="solid">
        <fgColor rgb="FF56763B"/>
        <bgColor indexed="64"/>
      </patternFill>
    </fill>
    <fill>
      <patternFill patternType="solid">
        <fgColor rgb="FF056999"/>
        <bgColor indexed="64"/>
      </patternFill>
    </fill>
    <fill>
      <patternFill patternType="solid">
        <fgColor rgb="FF12739D"/>
        <bgColor indexed="64"/>
      </patternFill>
    </fill>
    <fill>
      <patternFill patternType="solid">
        <fgColor rgb="FF11739C"/>
        <bgColor indexed="64"/>
      </patternFill>
    </fill>
    <fill>
      <patternFill patternType="solid">
        <fgColor rgb="FF136E9A"/>
        <bgColor indexed="64"/>
      </patternFill>
    </fill>
    <fill>
      <patternFill patternType="solid">
        <fgColor rgb="FF01192C"/>
        <bgColor indexed="64"/>
      </patternFill>
    </fill>
    <fill>
      <patternFill patternType="solid">
        <fgColor rgb="FF1F1C04"/>
        <bgColor indexed="64"/>
      </patternFill>
    </fill>
    <fill>
      <patternFill patternType="solid">
        <fgColor rgb="FF1E5F64"/>
        <bgColor indexed="64"/>
      </patternFill>
    </fill>
    <fill>
      <patternFill patternType="solid">
        <fgColor rgb="FF0D71A0"/>
        <bgColor indexed="64"/>
      </patternFill>
    </fill>
    <fill>
      <patternFill patternType="solid">
        <fgColor rgb="FF0E6995"/>
        <bgColor indexed="64"/>
      </patternFill>
    </fill>
    <fill>
      <patternFill patternType="solid">
        <fgColor rgb="FF0E6993"/>
        <bgColor indexed="64"/>
      </patternFill>
    </fill>
    <fill>
      <patternFill patternType="solid">
        <fgColor rgb="FF0F6997"/>
        <bgColor indexed="64"/>
      </patternFill>
    </fill>
    <fill>
      <patternFill patternType="solid">
        <fgColor rgb="FF0F6896"/>
        <bgColor indexed="64"/>
      </patternFill>
    </fill>
    <fill>
      <patternFill patternType="solid">
        <fgColor rgb="FF0F699B"/>
        <bgColor indexed="64"/>
      </patternFill>
    </fill>
    <fill>
      <patternFill patternType="solid">
        <fgColor rgb="FF679735"/>
        <bgColor indexed="64"/>
      </patternFill>
    </fill>
    <fill>
      <patternFill patternType="solid">
        <fgColor rgb="FF699933"/>
        <bgColor indexed="64"/>
      </patternFill>
    </fill>
    <fill>
      <patternFill patternType="solid">
        <fgColor rgb="FF669733"/>
        <bgColor indexed="64"/>
      </patternFill>
    </fill>
    <fill>
      <patternFill patternType="solid">
        <fgColor rgb="FF5C8A2A"/>
        <bgColor indexed="64"/>
      </patternFill>
    </fill>
    <fill>
      <patternFill patternType="solid">
        <fgColor rgb="FF444C14"/>
        <bgColor indexed="64"/>
      </patternFill>
    </fill>
    <fill>
      <patternFill patternType="solid">
        <fgColor rgb="FF72912A"/>
        <bgColor indexed="64"/>
      </patternFill>
    </fill>
    <fill>
      <patternFill patternType="solid">
        <fgColor rgb="FF6A9C32"/>
        <bgColor indexed="64"/>
      </patternFill>
    </fill>
    <fill>
      <patternFill patternType="solid">
        <fgColor rgb="FF699D30"/>
        <bgColor indexed="64"/>
      </patternFill>
    </fill>
    <fill>
      <patternFill patternType="solid">
        <fgColor rgb="FF699B32"/>
        <bgColor indexed="64"/>
      </patternFill>
    </fill>
    <fill>
      <patternFill patternType="solid">
        <fgColor rgb="FF6A9E34"/>
        <bgColor indexed="64"/>
      </patternFill>
    </fill>
    <fill>
      <patternFill patternType="solid">
        <fgColor rgb="FF6DA131"/>
        <bgColor indexed="64"/>
      </patternFill>
    </fill>
    <fill>
      <patternFill patternType="solid">
        <fgColor rgb="FF5D8E2E"/>
        <bgColor indexed="64"/>
      </patternFill>
    </fill>
    <fill>
      <patternFill patternType="solid">
        <fgColor rgb="FF646B21"/>
        <bgColor indexed="64"/>
      </patternFill>
    </fill>
    <fill>
      <patternFill patternType="solid">
        <fgColor rgb="FFC4B431"/>
        <bgColor indexed="64"/>
      </patternFill>
    </fill>
    <fill>
      <patternFill patternType="solid">
        <fgColor rgb="FFECDC34"/>
        <bgColor indexed="64"/>
      </patternFill>
    </fill>
    <fill>
      <patternFill patternType="solid">
        <fgColor rgb="FFA4A028"/>
        <bgColor indexed="64"/>
      </patternFill>
    </fill>
    <fill>
      <patternFill patternType="solid">
        <fgColor rgb="FF496D26"/>
        <bgColor indexed="64"/>
      </patternFill>
    </fill>
    <fill>
      <patternFill patternType="solid">
        <fgColor rgb="FF72A438"/>
        <bgColor indexed="64"/>
      </patternFill>
    </fill>
    <fill>
      <patternFill patternType="solid">
        <fgColor rgb="FF6B9A37"/>
        <bgColor indexed="64"/>
      </patternFill>
    </fill>
    <fill>
      <patternFill patternType="solid">
        <fgColor rgb="FF6C9C38"/>
        <bgColor indexed="64"/>
      </patternFill>
    </fill>
    <fill>
      <patternFill patternType="solid">
        <fgColor rgb="FF6E9E39"/>
        <bgColor indexed="64"/>
      </patternFill>
    </fill>
    <fill>
      <patternFill patternType="solid">
        <fgColor rgb="FF74A33D"/>
        <bgColor indexed="64"/>
      </patternFill>
    </fill>
    <fill>
      <patternFill patternType="solid">
        <fgColor rgb="FF74A43E"/>
        <bgColor indexed="64"/>
      </patternFill>
    </fill>
    <fill>
      <patternFill patternType="solid">
        <fgColor rgb="FF638E33"/>
        <bgColor indexed="64"/>
      </patternFill>
    </fill>
    <fill>
      <patternFill patternType="solid">
        <fgColor rgb="FF699837"/>
        <bgColor indexed="64"/>
      </patternFill>
    </fill>
    <fill>
      <patternFill patternType="solid">
        <fgColor rgb="FF79AB40"/>
        <bgColor indexed="64"/>
      </patternFill>
    </fill>
    <fill>
      <patternFill patternType="solid">
        <fgColor rgb="FF70A13B"/>
        <bgColor indexed="64"/>
      </patternFill>
    </fill>
    <fill>
      <patternFill patternType="solid">
        <fgColor rgb="FF71A33C"/>
        <bgColor indexed="64"/>
      </patternFill>
    </fill>
    <fill>
      <patternFill patternType="solid">
        <fgColor rgb="FF73A23D"/>
        <bgColor indexed="64"/>
      </patternFill>
    </fill>
    <fill>
      <patternFill patternType="solid">
        <fgColor rgb="FF639136"/>
        <bgColor indexed="64"/>
      </patternFill>
    </fill>
    <fill>
      <patternFill patternType="solid">
        <fgColor rgb="FF5E8A31"/>
        <bgColor indexed="64"/>
      </patternFill>
    </fill>
    <fill>
      <patternFill patternType="solid">
        <fgColor rgb="FF6C9E3C"/>
        <bgColor indexed="64"/>
      </patternFill>
    </fill>
    <fill>
      <patternFill patternType="solid">
        <fgColor rgb="FF70A240"/>
        <bgColor indexed="64"/>
      </patternFill>
    </fill>
    <fill>
      <patternFill patternType="solid">
        <fgColor rgb="FF71A141"/>
        <bgColor indexed="64"/>
      </patternFill>
    </fill>
    <fill>
      <patternFill patternType="solid">
        <fgColor rgb="FF70A03F"/>
        <bgColor indexed="64"/>
      </patternFill>
    </fill>
    <fill>
      <patternFill patternType="solid">
        <fgColor rgb="FF72A240"/>
        <bgColor indexed="64"/>
      </patternFill>
    </fill>
    <fill>
      <patternFill patternType="solid">
        <fgColor rgb="FF78A844"/>
        <bgColor indexed="64"/>
      </patternFill>
    </fill>
    <fill>
      <patternFill patternType="solid">
        <fgColor rgb="FF6C9B45"/>
        <bgColor indexed="64"/>
      </patternFill>
    </fill>
    <fill>
      <patternFill patternType="solid">
        <fgColor rgb="FFC6C233"/>
        <bgColor indexed="64"/>
      </patternFill>
    </fill>
    <fill>
      <patternFill patternType="solid">
        <fgColor rgb="FF8A9529"/>
        <bgColor indexed="64"/>
      </patternFill>
    </fill>
    <fill>
      <patternFill patternType="solid">
        <fgColor rgb="FF598D32"/>
        <bgColor indexed="64"/>
      </patternFill>
    </fill>
    <fill>
      <patternFill patternType="solid">
        <fgColor rgb="FF6FA337"/>
        <bgColor indexed="64"/>
      </patternFill>
    </fill>
    <fill>
      <patternFill patternType="solid">
        <fgColor rgb="FF6AA039"/>
        <bgColor indexed="64"/>
      </patternFill>
    </fill>
    <fill>
      <patternFill patternType="solid">
        <fgColor rgb="FF6B9D39"/>
        <bgColor indexed="64"/>
      </patternFill>
    </fill>
    <fill>
      <patternFill patternType="solid">
        <fgColor rgb="FF699D38"/>
        <bgColor indexed="64"/>
      </patternFill>
    </fill>
    <fill>
      <patternFill patternType="solid">
        <fgColor rgb="FF6AA038"/>
        <bgColor indexed="64"/>
      </patternFill>
    </fill>
    <fill>
      <patternFill patternType="solid">
        <fgColor rgb="FF659938"/>
        <bgColor indexed="64"/>
      </patternFill>
    </fill>
    <fill>
      <patternFill patternType="solid">
        <fgColor rgb="FF3A421A"/>
        <bgColor indexed="64"/>
      </patternFill>
    </fill>
    <fill>
      <patternFill patternType="solid">
        <fgColor rgb="FF5A5819"/>
        <bgColor indexed="64"/>
      </patternFill>
    </fill>
    <fill>
      <patternFill patternType="solid">
        <fgColor rgb="FF58802D"/>
        <bgColor indexed="64"/>
      </patternFill>
    </fill>
    <fill>
      <patternFill patternType="solid">
        <fgColor rgb="FF72A741"/>
        <bgColor indexed="64"/>
      </patternFill>
    </fill>
    <fill>
      <patternFill patternType="solid">
        <fgColor rgb="FF6B9E3D"/>
        <bgColor indexed="64"/>
      </patternFill>
    </fill>
    <fill>
      <patternFill patternType="solid">
        <fgColor rgb="FF6BA13C"/>
        <bgColor indexed="64"/>
      </patternFill>
    </fill>
    <fill>
      <patternFill patternType="solid">
        <fgColor rgb="FF70A43E"/>
        <bgColor indexed="64"/>
      </patternFill>
    </fill>
    <fill>
      <patternFill patternType="solid">
        <fgColor rgb="FF64943A"/>
        <bgColor indexed="64"/>
      </patternFill>
    </fill>
    <fill>
      <patternFill patternType="solid">
        <fgColor rgb="FF507A36"/>
        <bgColor indexed="64"/>
      </patternFill>
    </fill>
    <fill>
      <patternFill patternType="solid">
        <fgColor rgb="FF486727"/>
        <bgColor indexed="64"/>
      </patternFill>
    </fill>
    <fill>
      <patternFill patternType="solid">
        <fgColor rgb="FF114445"/>
        <bgColor indexed="64"/>
      </patternFill>
    </fill>
    <fill>
      <patternFill patternType="solid">
        <fgColor rgb="FF375A46"/>
        <bgColor indexed="64"/>
      </patternFill>
    </fill>
    <fill>
      <patternFill patternType="solid">
        <fgColor rgb="FFCFBA2D"/>
        <bgColor indexed="64"/>
      </patternFill>
    </fill>
    <fill>
      <patternFill patternType="solid">
        <fgColor rgb="FF59601E"/>
        <bgColor indexed="64"/>
      </patternFill>
    </fill>
    <fill>
      <patternFill patternType="solid">
        <fgColor rgb="FF096991"/>
        <bgColor indexed="64"/>
      </patternFill>
    </fill>
    <fill>
      <patternFill patternType="solid">
        <fgColor rgb="FF1785AF"/>
        <bgColor indexed="64"/>
      </patternFill>
    </fill>
    <fill>
      <patternFill patternType="solid">
        <fgColor rgb="FF137AA5"/>
        <bgColor indexed="64"/>
      </patternFill>
    </fill>
    <fill>
      <patternFill patternType="solid">
        <fgColor rgb="FF137BA6"/>
        <bgColor indexed="64"/>
      </patternFill>
    </fill>
    <fill>
      <patternFill patternType="solid">
        <fgColor rgb="FF0974A7"/>
        <bgColor indexed="64"/>
      </patternFill>
    </fill>
    <fill>
      <patternFill patternType="solid">
        <fgColor rgb="FF467B60"/>
        <bgColor indexed="64"/>
      </patternFill>
    </fill>
    <fill>
      <patternFill patternType="solid">
        <fgColor rgb="FFBDAD20"/>
        <bgColor indexed="64"/>
      </patternFill>
    </fill>
    <fill>
      <patternFill patternType="solid">
        <fgColor rgb="FF2C6A57"/>
        <bgColor indexed="64"/>
      </patternFill>
    </fill>
    <fill>
      <patternFill patternType="solid">
        <fgColor rgb="FF0B72A2"/>
        <bgColor indexed="64"/>
      </patternFill>
    </fill>
    <fill>
      <patternFill patternType="solid">
        <fgColor rgb="FF117297"/>
        <bgColor indexed="64"/>
      </patternFill>
    </fill>
    <fill>
      <patternFill patternType="solid">
        <fgColor rgb="FF0F6995"/>
        <bgColor indexed="64"/>
      </patternFill>
    </fill>
    <fill>
      <patternFill patternType="solid">
        <fgColor rgb="FF223E37"/>
        <bgColor indexed="64"/>
      </patternFill>
    </fill>
    <fill>
      <patternFill patternType="solid">
        <fgColor rgb="FF413D0A"/>
        <bgColor indexed="64"/>
      </patternFill>
    </fill>
    <fill>
      <patternFill patternType="solid">
        <fgColor rgb="FF205451"/>
        <bgColor indexed="64"/>
      </patternFill>
    </fill>
    <fill>
      <patternFill patternType="solid">
        <fgColor rgb="FF0C709C"/>
        <bgColor indexed="64"/>
      </patternFill>
    </fill>
    <fill>
      <patternFill patternType="solid">
        <fgColor rgb="FF0F6D97"/>
        <bgColor indexed="64"/>
      </patternFill>
    </fill>
    <fill>
      <patternFill patternType="solid">
        <fgColor rgb="FF0F6E98"/>
        <bgColor indexed="64"/>
      </patternFill>
    </fill>
    <fill>
      <patternFill patternType="solid">
        <fgColor rgb="FF0E6895"/>
        <bgColor indexed="64"/>
      </patternFill>
    </fill>
    <fill>
      <patternFill patternType="solid">
        <fgColor rgb="FF0E6695"/>
        <bgColor indexed="64"/>
      </patternFill>
    </fill>
    <fill>
      <patternFill patternType="solid">
        <fgColor rgb="FF0E6696"/>
        <bgColor indexed="64"/>
      </patternFill>
    </fill>
    <fill>
      <patternFill patternType="solid">
        <fgColor rgb="FF0F6899"/>
        <bgColor indexed="64"/>
      </patternFill>
    </fill>
    <fill>
      <patternFill patternType="solid">
        <fgColor rgb="FF0F689B"/>
        <bgColor indexed="64"/>
      </patternFill>
    </fill>
    <fill>
      <patternFill patternType="solid">
        <fgColor rgb="FF0E6898"/>
        <bgColor indexed="64"/>
      </patternFill>
    </fill>
    <fill>
      <patternFill patternType="solid">
        <fgColor rgb="FF659935"/>
        <bgColor indexed="64"/>
      </patternFill>
    </fill>
    <fill>
      <patternFill patternType="solid">
        <fgColor rgb="FF659532"/>
        <bgColor indexed="64"/>
      </patternFill>
    </fill>
    <fill>
      <patternFill patternType="solid">
        <fgColor rgb="FF679832"/>
        <bgColor indexed="64"/>
      </patternFill>
    </fill>
    <fill>
      <patternFill patternType="solid">
        <fgColor rgb="FF699B31"/>
        <bgColor indexed="64"/>
      </patternFill>
    </fill>
    <fill>
      <patternFill patternType="solid">
        <fgColor rgb="FF699A31"/>
        <bgColor indexed="64"/>
      </patternFill>
    </fill>
    <fill>
      <patternFill patternType="solid">
        <fgColor rgb="FF62972E"/>
        <bgColor indexed="64"/>
      </patternFill>
    </fill>
    <fill>
      <patternFill patternType="solid">
        <fgColor rgb="FF7B8829"/>
        <bgColor indexed="64"/>
      </patternFill>
    </fill>
    <fill>
      <patternFill patternType="solid">
        <fgColor rgb="FF798725"/>
        <bgColor indexed="64"/>
      </patternFill>
    </fill>
    <fill>
      <patternFill patternType="solid">
        <fgColor rgb="FF699C2F"/>
        <bgColor indexed="64"/>
      </patternFill>
    </fill>
    <fill>
      <patternFill patternType="solid">
        <fgColor rgb="FF6B9D32"/>
        <bgColor indexed="64"/>
      </patternFill>
    </fill>
    <fill>
      <patternFill patternType="solid">
        <fgColor rgb="FF6FA435"/>
        <bgColor indexed="64"/>
      </patternFill>
    </fill>
    <fill>
      <patternFill patternType="solid">
        <fgColor rgb="FF507B2B"/>
        <bgColor indexed="64"/>
      </patternFill>
    </fill>
    <fill>
      <patternFill patternType="solid">
        <fgColor rgb="FF807A21"/>
        <bgColor indexed="64"/>
      </patternFill>
    </fill>
    <fill>
      <patternFill patternType="solid">
        <fgColor rgb="FFF5E535"/>
        <bgColor indexed="64"/>
      </patternFill>
    </fill>
    <fill>
      <patternFill patternType="solid">
        <fgColor rgb="FFF9EB37"/>
        <bgColor indexed="64"/>
      </patternFill>
    </fill>
    <fill>
      <patternFill patternType="solid">
        <fgColor rgb="FF63681D"/>
        <bgColor indexed="64"/>
      </patternFill>
    </fill>
    <fill>
      <patternFill patternType="solid">
        <fgColor rgb="FF517E29"/>
        <bgColor indexed="64"/>
      </patternFill>
    </fill>
    <fill>
      <patternFill patternType="solid">
        <fgColor rgb="FF6EA034"/>
        <bgColor indexed="64"/>
      </patternFill>
    </fill>
    <fill>
      <patternFill patternType="solid">
        <fgColor rgb="FF6A9A36"/>
        <bgColor indexed="64"/>
      </patternFill>
    </fill>
    <fill>
      <patternFill patternType="solid">
        <fgColor rgb="FF6B9D35"/>
        <bgColor indexed="64"/>
      </patternFill>
    </fill>
    <fill>
      <patternFill patternType="solid">
        <fgColor rgb="FF6D9F37"/>
        <bgColor indexed="64"/>
      </patternFill>
    </fill>
    <fill>
      <patternFill patternType="solid">
        <fgColor rgb="FF72A13C"/>
        <bgColor indexed="64"/>
      </patternFill>
    </fill>
    <fill>
      <patternFill patternType="solid">
        <fgColor rgb="FF70A23C"/>
        <bgColor indexed="64"/>
      </patternFill>
    </fill>
    <fill>
      <patternFill patternType="solid">
        <fgColor rgb="FF72A43E"/>
        <bgColor indexed="64"/>
      </patternFill>
    </fill>
    <fill>
      <patternFill patternType="solid">
        <fgColor rgb="FF6E9E3D"/>
        <bgColor indexed="64"/>
      </patternFill>
    </fill>
    <fill>
      <patternFill patternType="solid">
        <fgColor rgb="FF6E9F3C"/>
        <bgColor indexed="64"/>
      </patternFill>
    </fill>
    <fill>
      <patternFill patternType="solid">
        <fgColor rgb="FF72A23C"/>
        <bgColor indexed="64"/>
      </patternFill>
    </fill>
    <fill>
      <patternFill patternType="solid">
        <fgColor rgb="FF70A33B"/>
        <bgColor indexed="64"/>
      </patternFill>
    </fill>
    <fill>
      <patternFill patternType="solid">
        <fgColor rgb="FF6EA03B"/>
        <bgColor indexed="64"/>
      </patternFill>
    </fill>
    <fill>
      <patternFill patternType="solid">
        <fgColor rgb="FF6FA040"/>
        <bgColor indexed="64"/>
      </patternFill>
    </fill>
    <fill>
      <patternFill patternType="solid">
        <fgColor rgb="FF6FA23F"/>
        <bgColor indexed="64"/>
      </patternFill>
    </fill>
    <fill>
      <patternFill patternType="solid">
        <fgColor rgb="FF6FA03E"/>
        <bgColor indexed="64"/>
      </patternFill>
    </fill>
    <fill>
      <patternFill patternType="solid">
        <fgColor rgb="FF71A240"/>
        <bgColor indexed="64"/>
      </patternFill>
    </fill>
    <fill>
      <patternFill patternType="solid">
        <fgColor rgb="FF73A149"/>
        <bgColor indexed="64"/>
      </patternFill>
    </fill>
    <fill>
      <patternFill patternType="solid">
        <fgColor rgb="FFA4A634"/>
        <bgColor indexed="64"/>
      </patternFill>
    </fill>
    <fill>
      <patternFill patternType="solid">
        <fgColor rgb="FFB2B52F"/>
        <bgColor indexed="64"/>
      </patternFill>
    </fill>
    <fill>
      <patternFill patternType="solid">
        <fgColor rgb="FF56892C"/>
        <bgColor indexed="64"/>
      </patternFill>
    </fill>
    <fill>
      <patternFill patternType="solid">
        <fgColor rgb="FF6DA237"/>
        <bgColor indexed="64"/>
      </patternFill>
    </fill>
    <fill>
      <patternFill patternType="solid">
        <fgColor rgb="FF689E38"/>
        <bgColor indexed="64"/>
      </patternFill>
    </fill>
    <fill>
      <patternFill patternType="solid">
        <fgColor rgb="FF679D38"/>
        <bgColor indexed="64"/>
      </patternFill>
    </fill>
    <fill>
      <patternFill patternType="solid">
        <fgColor rgb="FF6A9E37"/>
        <bgColor indexed="64"/>
      </patternFill>
    </fill>
    <fill>
      <patternFill patternType="solid">
        <fgColor rgb="FF68963B"/>
        <bgColor indexed="64"/>
      </patternFill>
    </fill>
    <fill>
      <patternFill patternType="solid">
        <fgColor rgb="FF1E280D"/>
        <bgColor indexed="64"/>
      </patternFill>
    </fill>
    <fill>
      <patternFill patternType="solid">
        <fgColor rgb="FF111502"/>
        <bgColor indexed="64"/>
      </patternFill>
    </fill>
    <fill>
      <patternFill patternType="solid">
        <fgColor rgb="FF618B34"/>
        <bgColor indexed="64"/>
      </patternFill>
    </fill>
    <fill>
      <patternFill patternType="solid">
        <fgColor rgb="FF6DA33E"/>
        <bgColor indexed="64"/>
      </patternFill>
    </fill>
    <fill>
      <patternFill patternType="solid">
        <fgColor rgb="FF699D3A"/>
        <bgColor indexed="64"/>
      </patternFill>
    </fill>
    <fill>
      <patternFill patternType="solid">
        <fgColor rgb="FF6B9F3A"/>
        <bgColor indexed="64"/>
      </patternFill>
    </fill>
    <fill>
      <patternFill patternType="solid">
        <fgColor rgb="FF6FA33C"/>
        <bgColor indexed="64"/>
      </patternFill>
    </fill>
    <fill>
      <patternFill patternType="solid">
        <fgColor rgb="FF6A9D39"/>
        <bgColor indexed="64"/>
      </patternFill>
    </fill>
    <fill>
      <patternFill patternType="solid">
        <fgColor rgb="FF477027"/>
        <bgColor indexed="64"/>
      </patternFill>
    </fill>
    <fill>
      <patternFill patternType="solid">
        <fgColor rgb="FF3C5C20"/>
        <bgColor indexed="64"/>
      </patternFill>
    </fill>
    <fill>
      <patternFill patternType="solid">
        <fgColor rgb="FF385D25"/>
        <bgColor indexed="64"/>
      </patternFill>
    </fill>
    <fill>
      <patternFill patternType="solid">
        <fgColor rgb="FF2C3D1D"/>
        <bgColor indexed="64"/>
      </patternFill>
    </fill>
    <fill>
      <patternFill patternType="solid">
        <fgColor rgb="FF685C1A"/>
        <bgColor indexed="64"/>
      </patternFill>
    </fill>
    <fill>
      <patternFill patternType="solid">
        <fgColor rgb="FF333C14"/>
        <bgColor indexed="64"/>
      </patternFill>
    </fill>
    <fill>
      <patternFill patternType="solid">
        <fgColor rgb="FF0A6185"/>
        <bgColor indexed="64"/>
      </patternFill>
    </fill>
    <fill>
      <patternFill patternType="solid">
        <fgColor rgb="FF0E77AC"/>
        <bgColor indexed="64"/>
      </patternFill>
    </fill>
    <fill>
      <patternFill patternType="solid">
        <fgColor rgb="FF0F76AA"/>
        <bgColor indexed="64"/>
      </patternFill>
    </fill>
    <fill>
      <patternFill patternType="solid">
        <fgColor rgb="FF137EAB"/>
        <bgColor indexed="64"/>
      </patternFill>
    </fill>
    <fill>
      <patternFill patternType="solid">
        <fgColor rgb="FF1380AD"/>
        <bgColor indexed="64"/>
      </patternFill>
    </fill>
    <fill>
      <patternFill patternType="solid">
        <fgColor rgb="FF137BA2"/>
        <bgColor indexed="64"/>
      </patternFill>
    </fill>
    <fill>
      <patternFill patternType="solid">
        <fgColor rgb="FF1077A5"/>
        <bgColor indexed="64"/>
      </patternFill>
    </fill>
    <fill>
      <patternFill patternType="solid">
        <fgColor rgb="FF17363F"/>
        <bgColor indexed="64"/>
      </patternFill>
    </fill>
    <fill>
      <patternFill patternType="solid">
        <fgColor rgb="FF656019"/>
        <bgColor indexed="64"/>
      </patternFill>
    </fill>
    <fill>
      <patternFill patternType="solid">
        <fgColor rgb="FF176774"/>
        <bgColor indexed="64"/>
      </patternFill>
    </fill>
    <fill>
      <patternFill patternType="solid">
        <fgColor rgb="FF0E75A3"/>
        <bgColor indexed="64"/>
      </patternFill>
    </fill>
    <fill>
      <patternFill patternType="solid">
        <fgColor rgb="FF107298"/>
        <bgColor indexed="64"/>
      </patternFill>
    </fill>
    <fill>
      <patternFill patternType="solid">
        <fgColor rgb="FF137499"/>
        <bgColor indexed="64"/>
      </patternFill>
    </fill>
    <fill>
      <patternFill patternType="solid">
        <fgColor rgb="FF416440"/>
        <bgColor indexed="64"/>
      </patternFill>
    </fill>
    <fill>
      <patternFill patternType="solid">
        <fgColor rgb="FFCFC126"/>
        <bgColor indexed="64"/>
      </patternFill>
    </fill>
    <fill>
      <patternFill patternType="solid">
        <fgColor rgb="FF3A5C41"/>
        <bgColor indexed="64"/>
      </patternFill>
    </fill>
    <fill>
      <patternFill patternType="solid">
        <fgColor rgb="FF066698"/>
        <bgColor indexed="64"/>
      </patternFill>
    </fill>
    <fill>
      <patternFill patternType="solid">
        <fgColor rgb="FF116D96"/>
        <bgColor indexed="64"/>
      </patternFill>
    </fill>
    <fill>
      <patternFill patternType="solid">
        <fgColor rgb="FF106D98"/>
        <bgColor indexed="64"/>
      </patternFill>
    </fill>
    <fill>
      <patternFill patternType="solid">
        <fgColor rgb="FF0E6A97"/>
        <bgColor indexed="64"/>
      </patternFill>
    </fill>
    <fill>
      <patternFill patternType="solid">
        <fgColor rgb="FF0E6994"/>
        <bgColor indexed="64"/>
      </patternFill>
    </fill>
    <fill>
      <patternFill patternType="solid">
        <fgColor rgb="FF0D6694"/>
        <bgColor indexed="64"/>
      </patternFill>
    </fill>
    <fill>
      <patternFill patternType="solid">
        <fgColor rgb="FF0D6595"/>
        <bgColor indexed="64"/>
      </patternFill>
    </fill>
    <fill>
      <patternFill patternType="solid">
        <fgColor rgb="FF0E6797"/>
        <bgColor indexed="64"/>
      </patternFill>
    </fill>
    <fill>
      <patternFill patternType="solid">
        <fgColor rgb="FF669834"/>
        <bgColor indexed="64"/>
      </patternFill>
    </fill>
    <fill>
      <patternFill patternType="solid">
        <fgColor rgb="FF649533"/>
        <bgColor indexed="64"/>
      </patternFill>
    </fill>
    <fill>
      <patternFill patternType="solid">
        <fgColor rgb="FF669833"/>
        <bgColor indexed="64"/>
      </patternFill>
    </fill>
    <fill>
      <patternFill patternType="solid">
        <fgColor rgb="FF679B30"/>
        <bgColor indexed="64"/>
      </patternFill>
    </fill>
    <fill>
      <patternFill patternType="solid">
        <fgColor rgb="FF6AA132"/>
        <bgColor indexed="64"/>
      </patternFill>
    </fill>
    <fill>
      <patternFill patternType="solid">
        <fgColor rgb="FF597828"/>
        <bgColor indexed="64"/>
      </patternFill>
    </fill>
    <fill>
      <patternFill patternType="solid">
        <fgColor rgb="FF686D24"/>
        <bgColor indexed="64"/>
      </patternFill>
    </fill>
    <fill>
      <patternFill patternType="solid">
        <fgColor rgb="FF6E9B2F"/>
        <bgColor indexed="64"/>
      </patternFill>
    </fill>
    <fill>
      <patternFill patternType="solid">
        <fgColor rgb="FF699932"/>
        <bgColor indexed="64"/>
      </patternFill>
    </fill>
    <fill>
      <patternFill patternType="solid">
        <fgColor rgb="FF71A436"/>
        <bgColor indexed="64"/>
      </patternFill>
    </fill>
    <fill>
      <patternFill patternType="solid">
        <fgColor rgb="FF476B24"/>
        <bgColor indexed="64"/>
      </patternFill>
    </fill>
    <fill>
      <patternFill patternType="solid">
        <fgColor rgb="FFAEA228"/>
        <bgColor indexed="64"/>
      </patternFill>
    </fill>
    <fill>
      <patternFill patternType="solid">
        <fgColor rgb="FFFFEF35"/>
        <bgColor indexed="64"/>
      </patternFill>
    </fill>
    <fill>
      <patternFill patternType="solid">
        <fgColor rgb="FFEEE036"/>
        <bgColor indexed="64"/>
      </patternFill>
    </fill>
    <fill>
      <patternFill patternType="solid">
        <fgColor rgb="FF505D1B"/>
        <bgColor indexed="64"/>
      </patternFill>
    </fill>
    <fill>
      <patternFill patternType="solid">
        <fgColor rgb="FF5D912C"/>
        <bgColor indexed="64"/>
      </patternFill>
    </fill>
    <fill>
      <patternFill patternType="solid">
        <fgColor rgb="FF689D30"/>
        <bgColor indexed="64"/>
      </patternFill>
    </fill>
    <fill>
      <patternFill patternType="solid">
        <fgColor rgb="FF679B32"/>
        <bgColor indexed="64"/>
      </patternFill>
    </fill>
    <fill>
      <patternFill patternType="solid">
        <fgColor rgb="FF6A9D35"/>
        <bgColor indexed="64"/>
      </patternFill>
    </fill>
    <fill>
      <patternFill patternType="solid">
        <fgColor rgb="FF6C9F37"/>
        <bgColor indexed="64"/>
      </patternFill>
    </fill>
    <fill>
      <patternFill patternType="solid">
        <fgColor rgb="FF6C9F39"/>
        <bgColor indexed="64"/>
      </patternFill>
    </fill>
    <fill>
      <patternFill patternType="solid">
        <fgColor rgb="FF6D9E39"/>
        <bgColor indexed="64"/>
      </patternFill>
    </fill>
    <fill>
      <patternFill patternType="solid">
        <fgColor rgb="FF719F3D"/>
        <bgColor indexed="64"/>
      </patternFill>
    </fill>
    <fill>
      <patternFill patternType="solid">
        <fgColor rgb="FF6E9E3B"/>
        <bgColor indexed="64"/>
      </patternFill>
    </fill>
    <fill>
      <patternFill patternType="solid">
        <fgColor rgb="FF6E9C3C"/>
        <bgColor indexed="64"/>
      </patternFill>
    </fill>
    <fill>
      <patternFill patternType="solid">
        <fgColor rgb="FF6D9D3B"/>
        <bgColor indexed="64"/>
      </patternFill>
    </fill>
    <fill>
      <patternFill patternType="solid">
        <fgColor rgb="FF6C9D3C"/>
        <bgColor indexed="64"/>
      </patternFill>
    </fill>
    <fill>
      <patternFill patternType="solid">
        <fgColor rgb="FF71A33E"/>
        <bgColor indexed="64"/>
      </patternFill>
    </fill>
    <fill>
      <patternFill patternType="solid">
        <fgColor rgb="FF6FA23D"/>
        <bgColor indexed="64"/>
      </patternFill>
    </fill>
    <fill>
      <patternFill patternType="solid">
        <fgColor rgb="FF70A13D"/>
        <bgColor indexed="64"/>
      </patternFill>
    </fill>
    <fill>
      <patternFill patternType="solid">
        <fgColor rgb="FF7EAC52"/>
        <bgColor indexed="64"/>
      </patternFill>
    </fill>
    <fill>
      <patternFill patternType="solid">
        <fgColor rgb="FF5B642B"/>
        <bgColor indexed="64"/>
      </patternFill>
    </fill>
    <fill>
      <patternFill patternType="solid">
        <fgColor rgb="FF7F7826"/>
        <bgColor indexed="64"/>
      </patternFill>
    </fill>
    <fill>
      <patternFill patternType="solid">
        <fgColor rgb="FF537C2B"/>
        <bgColor indexed="64"/>
      </patternFill>
    </fill>
    <fill>
      <patternFill patternType="solid">
        <fgColor rgb="FF6EA43A"/>
        <bgColor indexed="64"/>
      </patternFill>
    </fill>
    <fill>
      <patternFill patternType="solid">
        <fgColor rgb="FF689B39"/>
        <bgColor indexed="64"/>
      </patternFill>
    </fill>
    <fill>
      <patternFill patternType="solid">
        <fgColor rgb="FF689D35"/>
        <bgColor indexed="64"/>
      </patternFill>
    </fill>
    <fill>
      <patternFill patternType="solid">
        <fgColor rgb="FF679C35"/>
        <bgColor indexed="64"/>
      </patternFill>
    </fill>
    <fill>
      <patternFill patternType="solid">
        <fgColor rgb="FF699C38"/>
        <bgColor indexed="64"/>
      </patternFill>
    </fill>
    <fill>
      <patternFill patternType="solid">
        <fgColor rgb="FF6A9939"/>
        <bgColor indexed="64"/>
      </patternFill>
    </fill>
    <fill>
      <patternFill patternType="solid">
        <fgColor rgb="FF565C20"/>
        <bgColor indexed="64"/>
      </patternFill>
    </fill>
    <fill>
      <patternFill patternType="solid">
        <fgColor rgb="FF383C17"/>
        <bgColor indexed="64"/>
      </patternFill>
    </fill>
    <fill>
      <patternFill patternType="solid">
        <fgColor rgb="FF608B37"/>
        <bgColor indexed="64"/>
      </patternFill>
    </fill>
    <fill>
      <patternFill patternType="solid">
        <fgColor rgb="FF6EA23D"/>
        <bgColor indexed="64"/>
      </patternFill>
    </fill>
    <fill>
      <patternFill patternType="solid">
        <fgColor rgb="FF699E3A"/>
        <bgColor indexed="64"/>
      </patternFill>
    </fill>
    <fill>
      <patternFill patternType="solid">
        <fgColor rgb="FF689D3A"/>
        <bgColor indexed="64"/>
      </patternFill>
    </fill>
    <fill>
      <patternFill patternType="solid">
        <fgColor rgb="FF699D3C"/>
        <bgColor indexed="64"/>
      </patternFill>
    </fill>
    <fill>
      <patternFill patternType="solid">
        <fgColor rgb="FF699F38"/>
        <bgColor indexed="64"/>
      </patternFill>
    </fill>
    <fill>
      <patternFill patternType="solid">
        <fgColor rgb="FF6BA23C"/>
        <bgColor indexed="64"/>
      </patternFill>
    </fill>
    <fill>
      <patternFill patternType="solid">
        <fgColor rgb="FF6BA039"/>
        <bgColor indexed="64"/>
      </patternFill>
    </fill>
    <fill>
      <patternFill patternType="solid">
        <fgColor rgb="FF639D33"/>
        <bgColor indexed="64"/>
      </patternFill>
    </fill>
    <fill>
      <patternFill patternType="solid">
        <fgColor rgb="FF425B22"/>
        <bgColor indexed="64"/>
      </patternFill>
    </fill>
    <fill>
      <patternFill patternType="solid">
        <fgColor rgb="FF1F1C07"/>
        <bgColor indexed="64"/>
      </patternFill>
    </fill>
    <fill>
      <patternFill patternType="solid">
        <fgColor rgb="FF2B330F"/>
        <bgColor indexed="64"/>
      </patternFill>
    </fill>
    <fill>
      <patternFill patternType="solid">
        <fgColor rgb="FF447242"/>
        <bgColor indexed="64"/>
      </patternFill>
    </fill>
    <fill>
      <patternFill patternType="solid">
        <fgColor rgb="FF316A4C"/>
        <bgColor indexed="64"/>
      </patternFill>
    </fill>
    <fill>
      <patternFill patternType="solid">
        <fgColor rgb="FF19484B"/>
        <bgColor indexed="64"/>
      </patternFill>
    </fill>
    <fill>
      <patternFill patternType="solid">
        <fgColor rgb="FF093C58"/>
        <bgColor indexed="64"/>
      </patternFill>
    </fill>
    <fill>
      <patternFill patternType="solid">
        <fgColor rgb="FF094C77"/>
        <bgColor indexed="64"/>
      </patternFill>
    </fill>
    <fill>
      <patternFill patternType="solid">
        <fgColor rgb="FF0C5F8B"/>
        <bgColor indexed="64"/>
      </patternFill>
    </fill>
    <fill>
      <patternFill patternType="solid">
        <fgColor rgb="FF3F522D"/>
        <bgColor indexed="64"/>
      </patternFill>
    </fill>
    <fill>
      <patternFill patternType="solid">
        <fgColor rgb="FF2B3718"/>
        <bgColor indexed="64"/>
      </patternFill>
    </fill>
    <fill>
      <patternFill patternType="solid">
        <fgColor rgb="FF106D8C"/>
        <bgColor indexed="64"/>
      </patternFill>
    </fill>
    <fill>
      <patternFill patternType="solid">
        <fgColor rgb="FF10749E"/>
        <bgColor indexed="64"/>
      </patternFill>
    </fill>
    <fill>
      <patternFill patternType="solid">
        <fgColor rgb="FF10719A"/>
        <bgColor indexed="64"/>
      </patternFill>
    </fill>
    <fill>
      <patternFill patternType="solid">
        <fgColor rgb="FF12719A"/>
        <bgColor indexed="64"/>
      </patternFill>
    </fill>
    <fill>
      <patternFill patternType="solid">
        <fgColor rgb="FF07689C"/>
        <bgColor indexed="64"/>
      </patternFill>
    </fill>
    <fill>
      <patternFill patternType="solid">
        <fgColor rgb="FF396246"/>
        <bgColor indexed="64"/>
      </patternFill>
    </fill>
    <fill>
      <patternFill patternType="solid">
        <fgColor rgb="FFE7D727"/>
        <bgColor indexed="64"/>
      </patternFill>
    </fill>
    <fill>
      <patternFill patternType="solid">
        <fgColor rgb="FF476034"/>
        <bgColor indexed="64"/>
      </patternFill>
    </fill>
    <fill>
      <patternFill patternType="solid">
        <fgColor rgb="FF056393"/>
        <bgColor indexed="64"/>
      </patternFill>
    </fill>
    <fill>
      <patternFill patternType="solid">
        <fgColor rgb="FF126F99"/>
        <bgColor indexed="64"/>
      </patternFill>
    </fill>
    <fill>
      <patternFill patternType="solid">
        <fgColor rgb="FF116E97"/>
        <bgColor indexed="64"/>
      </patternFill>
    </fill>
    <fill>
      <patternFill patternType="solid">
        <fgColor rgb="FF0E6992"/>
        <bgColor indexed="64"/>
      </patternFill>
    </fill>
    <fill>
      <patternFill patternType="solid">
        <fgColor rgb="FF0E6692"/>
        <bgColor indexed="64"/>
      </patternFill>
    </fill>
    <fill>
      <patternFill patternType="solid">
        <fgColor rgb="FF0E6795"/>
        <bgColor indexed="64"/>
      </patternFill>
    </fill>
    <fill>
      <patternFill patternType="solid">
        <fgColor rgb="FF0E6495"/>
        <bgColor indexed="64"/>
      </patternFill>
    </fill>
    <fill>
      <patternFill patternType="solid">
        <fgColor rgb="FF679A36"/>
        <bgColor indexed="64"/>
      </patternFill>
    </fill>
    <fill>
      <patternFill patternType="solid">
        <fgColor rgb="FF649434"/>
        <bgColor indexed="64"/>
      </patternFill>
    </fill>
    <fill>
      <patternFill patternType="solid">
        <fgColor rgb="FF639631"/>
        <bgColor indexed="64"/>
      </patternFill>
    </fill>
    <fill>
      <patternFill patternType="solid">
        <fgColor rgb="FF689B32"/>
        <bgColor indexed="64"/>
      </patternFill>
    </fill>
    <fill>
      <patternFill patternType="solid">
        <fgColor rgb="FF6D9F35"/>
        <bgColor indexed="64"/>
      </patternFill>
    </fill>
    <fill>
      <patternFill patternType="solid">
        <fgColor rgb="FF527C28"/>
        <bgColor indexed="64"/>
      </patternFill>
    </fill>
    <fill>
      <patternFill patternType="solid">
        <fgColor rgb="FF787B25"/>
        <bgColor indexed="64"/>
      </patternFill>
    </fill>
    <fill>
      <patternFill patternType="solid">
        <fgColor rgb="FF769E32"/>
        <bgColor indexed="64"/>
      </patternFill>
    </fill>
    <fill>
      <patternFill patternType="solid">
        <fgColor rgb="FF649A32"/>
        <bgColor indexed="64"/>
      </patternFill>
    </fill>
    <fill>
      <patternFill patternType="solid">
        <fgColor rgb="FF689A32"/>
        <bgColor indexed="64"/>
      </patternFill>
    </fill>
    <fill>
      <patternFill patternType="solid">
        <fgColor rgb="FF6CA234"/>
        <bgColor indexed="64"/>
      </patternFill>
    </fill>
    <fill>
      <patternFill patternType="solid">
        <fgColor rgb="FF3D531B"/>
        <bgColor indexed="64"/>
      </patternFill>
    </fill>
    <fill>
      <patternFill patternType="solid">
        <fgColor rgb="FFCEBF2F"/>
        <bgColor indexed="64"/>
      </patternFill>
    </fill>
    <fill>
      <patternFill patternType="solid">
        <fgColor rgb="FFFFF836"/>
        <bgColor indexed="64"/>
      </patternFill>
    </fill>
    <fill>
      <patternFill patternType="solid">
        <fgColor rgb="FFD7CC31"/>
        <bgColor indexed="64"/>
      </patternFill>
    </fill>
    <fill>
      <patternFill patternType="solid">
        <fgColor rgb="FF4B671C"/>
        <bgColor indexed="64"/>
      </patternFill>
    </fill>
    <fill>
      <patternFill patternType="solid">
        <fgColor rgb="FF649D2E"/>
        <bgColor indexed="64"/>
      </patternFill>
    </fill>
    <fill>
      <patternFill patternType="solid">
        <fgColor rgb="FF669930"/>
        <bgColor indexed="64"/>
      </patternFill>
    </fill>
    <fill>
      <patternFill patternType="solid">
        <fgColor rgb="FF689B36"/>
        <bgColor indexed="64"/>
      </patternFill>
    </fill>
    <fill>
      <patternFill patternType="solid">
        <fgColor rgb="FF699B38"/>
        <bgColor indexed="64"/>
      </patternFill>
    </fill>
    <fill>
      <patternFill patternType="solid">
        <fgColor rgb="FF689B34"/>
        <bgColor indexed="64"/>
      </patternFill>
    </fill>
    <fill>
      <patternFill patternType="solid">
        <fgColor rgb="FF6A9C38"/>
        <bgColor indexed="64"/>
      </patternFill>
    </fill>
    <fill>
      <patternFill patternType="solid">
        <fgColor rgb="FF709E3E"/>
        <bgColor indexed="64"/>
      </patternFill>
    </fill>
    <fill>
      <patternFill patternType="solid">
        <fgColor rgb="FF6E9F3D"/>
        <bgColor indexed="64"/>
      </patternFill>
    </fill>
    <fill>
      <patternFill patternType="solid">
        <fgColor rgb="FF6D9C3C"/>
        <bgColor indexed="64"/>
      </patternFill>
    </fill>
    <fill>
      <patternFill patternType="solid">
        <fgColor rgb="FF6C9D3D"/>
        <bgColor indexed="64"/>
      </patternFill>
    </fill>
    <fill>
      <patternFill patternType="solid">
        <fgColor rgb="FF6A9D3A"/>
        <bgColor indexed="64"/>
      </patternFill>
    </fill>
    <fill>
      <patternFill patternType="solid">
        <fgColor rgb="FF6EA239"/>
        <bgColor indexed="64"/>
      </patternFill>
    </fill>
    <fill>
      <patternFill patternType="solid">
        <fgColor rgb="FF6FA13B"/>
        <bgColor indexed="64"/>
      </patternFill>
    </fill>
    <fill>
      <patternFill patternType="solid">
        <fgColor rgb="FF6EA03D"/>
        <bgColor indexed="64"/>
      </patternFill>
    </fill>
    <fill>
      <patternFill patternType="solid">
        <fgColor rgb="FF72A33F"/>
        <bgColor indexed="64"/>
      </patternFill>
    </fill>
    <fill>
      <patternFill patternType="solid">
        <fgColor rgb="FF79A94F"/>
        <bgColor indexed="64"/>
      </patternFill>
    </fill>
    <fill>
      <patternFill patternType="solid">
        <fgColor rgb="FF646F29"/>
        <bgColor indexed="64"/>
      </patternFill>
    </fill>
    <fill>
      <patternFill patternType="solid">
        <fgColor rgb="FF5E5616"/>
        <bgColor indexed="64"/>
      </patternFill>
    </fill>
    <fill>
      <patternFill patternType="solid">
        <fgColor rgb="FF4E742B"/>
        <bgColor indexed="64"/>
      </patternFill>
    </fill>
    <fill>
      <patternFill patternType="solid">
        <fgColor rgb="FF6FA43B"/>
        <bgColor indexed="64"/>
      </patternFill>
    </fill>
    <fill>
      <patternFill patternType="solid">
        <fgColor rgb="FF689C36"/>
        <bgColor indexed="64"/>
      </patternFill>
    </fill>
    <fill>
      <patternFill patternType="solid">
        <fgColor rgb="FF6C9F36"/>
        <bgColor indexed="64"/>
      </patternFill>
    </fill>
    <fill>
      <patternFill patternType="solid">
        <fgColor rgb="FF6C9F38"/>
        <bgColor indexed="64"/>
      </patternFill>
    </fill>
    <fill>
      <patternFill patternType="solid">
        <fgColor rgb="FF649335"/>
        <bgColor indexed="64"/>
      </patternFill>
    </fill>
    <fill>
      <patternFill patternType="solid">
        <fgColor rgb="FF96952B"/>
        <bgColor indexed="64"/>
      </patternFill>
    </fill>
    <fill>
      <patternFill patternType="solid">
        <fgColor rgb="FF86882B"/>
        <bgColor indexed="64"/>
      </patternFill>
    </fill>
    <fill>
      <patternFill patternType="solid">
        <fgColor rgb="FF5B8A35"/>
        <bgColor indexed="64"/>
      </patternFill>
    </fill>
    <fill>
      <patternFill patternType="solid">
        <fgColor rgb="FF70A43B"/>
        <bgColor indexed="64"/>
      </patternFill>
    </fill>
    <fill>
      <patternFill patternType="solid">
        <fgColor rgb="FF6B9F39"/>
        <bgColor indexed="64"/>
      </patternFill>
    </fill>
    <fill>
      <patternFill patternType="solid">
        <fgColor rgb="FF679C39"/>
        <bgColor indexed="64"/>
      </patternFill>
    </fill>
    <fill>
      <patternFill patternType="solid">
        <fgColor rgb="FF669E37"/>
        <bgColor indexed="64"/>
      </patternFill>
    </fill>
    <fill>
      <patternFill patternType="solid">
        <fgColor rgb="FF679D39"/>
        <bgColor indexed="64"/>
      </patternFill>
    </fill>
    <fill>
      <patternFill patternType="solid">
        <fgColor rgb="FF679B3A"/>
        <bgColor indexed="64"/>
      </patternFill>
    </fill>
    <fill>
      <patternFill patternType="solid">
        <fgColor rgb="FF639B36"/>
        <bgColor indexed="64"/>
      </patternFill>
    </fill>
    <fill>
      <patternFill patternType="solid">
        <fgColor rgb="FF203A16"/>
        <bgColor indexed="64"/>
      </patternFill>
    </fill>
    <fill>
      <patternFill patternType="solid">
        <fgColor rgb="FF262308"/>
        <bgColor indexed="64"/>
      </patternFill>
    </fill>
    <fill>
      <patternFill patternType="solid">
        <fgColor rgb="FF54571D"/>
        <bgColor indexed="64"/>
      </patternFill>
    </fill>
    <fill>
      <patternFill patternType="solid">
        <fgColor rgb="FF619039"/>
        <bgColor indexed="64"/>
      </patternFill>
    </fill>
    <fill>
      <patternFill patternType="solid">
        <fgColor rgb="FF6EA33F"/>
        <bgColor indexed="64"/>
      </patternFill>
    </fill>
    <fill>
      <patternFill patternType="solid">
        <fgColor rgb="FF659639"/>
        <bgColor indexed="64"/>
      </patternFill>
    </fill>
    <fill>
      <patternFill patternType="solid">
        <fgColor rgb="FF466E27"/>
        <bgColor indexed="64"/>
      </patternFill>
    </fill>
    <fill>
      <patternFill patternType="solid">
        <fgColor rgb="FF2B4719"/>
        <bgColor indexed="64"/>
      </patternFill>
    </fill>
    <fill>
      <patternFill patternType="solid">
        <fgColor rgb="FF254C33"/>
        <bgColor indexed="64"/>
      </patternFill>
    </fill>
    <fill>
      <patternFill patternType="solid">
        <fgColor rgb="FF204E42"/>
        <bgColor indexed="64"/>
      </patternFill>
    </fill>
    <fill>
      <patternFill patternType="solid">
        <fgColor rgb="FFA5A32C"/>
        <bgColor indexed="64"/>
      </patternFill>
    </fill>
    <fill>
      <patternFill patternType="solid">
        <fgColor rgb="FF53672C"/>
        <bgColor indexed="64"/>
      </patternFill>
    </fill>
    <fill>
      <patternFill patternType="solid">
        <fgColor rgb="FF086B99"/>
        <bgColor indexed="64"/>
      </patternFill>
    </fill>
    <fill>
      <patternFill patternType="solid">
        <fgColor rgb="FF137AA3"/>
        <bgColor indexed="64"/>
      </patternFill>
    </fill>
    <fill>
      <patternFill patternType="solid">
        <fgColor rgb="FF117298"/>
        <bgColor indexed="64"/>
      </patternFill>
    </fill>
    <fill>
      <patternFill patternType="solid">
        <fgColor rgb="FF116F95"/>
        <bgColor indexed="64"/>
      </patternFill>
    </fill>
    <fill>
      <patternFill patternType="solid">
        <fgColor rgb="FF0C6E9E"/>
        <bgColor indexed="64"/>
      </patternFill>
    </fill>
    <fill>
      <patternFill patternType="solid">
        <fgColor rgb="FF205052"/>
        <bgColor indexed="64"/>
      </patternFill>
    </fill>
    <fill>
      <patternFill patternType="solid">
        <fgColor rgb="FF82751A"/>
        <bgColor indexed="64"/>
      </patternFill>
    </fill>
    <fill>
      <patternFill patternType="solid">
        <fgColor rgb="FF2B4026"/>
        <bgColor indexed="64"/>
      </patternFill>
    </fill>
    <fill>
      <patternFill patternType="solid">
        <fgColor rgb="FF096289"/>
        <bgColor indexed="64"/>
      </patternFill>
    </fill>
    <fill>
      <patternFill patternType="solid">
        <fgColor rgb="FF106B98"/>
        <bgColor indexed="64"/>
      </patternFill>
    </fill>
    <fill>
      <patternFill patternType="solid">
        <fgColor rgb="FF0E6A93"/>
        <bgColor indexed="64"/>
      </patternFill>
    </fill>
    <fill>
      <patternFill patternType="solid">
        <fgColor rgb="FF0E6897"/>
        <bgColor indexed="64"/>
      </patternFill>
    </fill>
    <fill>
      <patternFill patternType="solid">
        <fgColor rgb="FF0D6495"/>
        <bgColor indexed="64"/>
      </patternFill>
    </fill>
    <fill>
      <patternFill patternType="solid">
        <fgColor rgb="FF0D6494"/>
        <bgColor indexed="64"/>
      </patternFill>
    </fill>
    <fill>
      <patternFill patternType="solid">
        <fgColor rgb="FF689C32"/>
        <bgColor indexed="64"/>
      </patternFill>
    </fill>
    <fill>
      <patternFill patternType="solid">
        <fgColor rgb="FF659732"/>
        <bgColor indexed="64"/>
      </patternFill>
    </fill>
    <fill>
      <patternFill patternType="solid">
        <fgColor rgb="FF699C32"/>
        <bgColor indexed="64"/>
      </patternFill>
    </fill>
    <fill>
      <patternFill patternType="solid">
        <fgColor rgb="FF679B31"/>
        <bgColor indexed="64"/>
      </patternFill>
    </fill>
    <fill>
      <patternFill patternType="solid">
        <fgColor rgb="FF609030"/>
        <bgColor indexed="64"/>
      </patternFill>
    </fill>
    <fill>
      <patternFill patternType="solid">
        <fgColor rgb="FF5B5E21"/>
        <bgColor indexed="64"/>
      </patternFill>
    </fill>
    <fill>
      <patternFill patternType="solid">
        <fgColor rgb="FF658427"/>
        <bgColor indexed="64"/>
      </patternFill>
    </fill>
    <fill>
      <patternFill patternType="solid">
        <fgColor rgb="FF689F34"/>
        <bgColor indexed="64"/>
      </patternFill>
    </fill>
    <fill>
      <patternFill patternType="solid">
        <fgColor rgb="FF659832"/>
        <bgColor indexed="64"/>
      </patternFill>
    </fill>
    <fill>
      <patternFill patternType="solid">
        <fgColor rgb="FF689934"/>
        <bgColor indexed="64"/>
      </patternFill>
    </fill>
    <fill>
      <patternFill patternType="solid">
        <fgColor rgb="FF6C9C34"/>
        <bgColor indexed="64"/>
      </patternFill>
    </fill>
    <fill>
      <patternFill patternType="solid">
        <fgColor rgb="FF619133"/>
        <bgColor indexed="64"/>
      </patternFill>
    </fill>
    <fill>
      <patternFill patternType="solid">
        <fgColor rgb="FF4B5419"/>
        <bgColor indexed="64"/>
      </patternFill>
    </fill>
    <fill>
      <patternFill patternType="solid">
        <fgColor rgb="FFE4D434"/>
        <bgColor indexed="64"/>
      </patternFill>
    </fill>
    <fill>
      <patternFill patternType="solid">
        <fgColor rgb="FFFEF637"/>
        <bgColor indexed="64"/>
      </patternFill>
    </fill>
    <fill>
      <patternFill patternType="solid">
        <fgColor rgb="FFB4AF2D"/>
        <bgColor indexed="64"/>
      </patternFill>
    </fill>
    <fill>
      <patternFill patternType="solid">
        <fgColor rgb="FF486F22"/>
        <bgColor indexed="64"/>
      </patternFill>
    </fill>
    <fill>
      <patternFill patternType="solid">
        <fgColor rgb="FF689E2E"/>
        <bgColor indexed="64"/>
      </patternFill>
    </fill>
    <fill>
      <patternFill patternType="solid">
        <fgColor rgb="FF64982F"/>
        <bgColor indexed="64"/>
      </patternFill>
    </fill>
    <fill>
      <patternFill patternType="solid">
        <fgColor rgb="FF679A33"/>
        <bgColor indexed="64"/>
      </patternFill>
    </fill>
    <fill>
      <patternFill patternType="solid">
        <fgColor rgb="FF659A32"/>
        <bgColor indexed="64"/>
      </patternFill>
    </fill>
    <fill>
      <patternFill patternType="solid">
        <fgColor rgb="FF659B31"/>
        <bgColor indexed="64"/>
      </patternFill>
    </fill>
    <fill>
      <patternFill patternType="solid">
        <fgColor rgb="FF6A9C35"/>
        <bgColor indexed="64"/>
      </patternFill>
    </fill>
    <fill>
      <patternFill patternType="solid">
        <fgColor rgb="FF6B9E38"/>
        <bgColor indexed="64"/>
      </patternFill>
    </fill>
    <fill>
      <patternFill patternType="solid">
        <fgColor rgb="FF6C9F3A"/>
        <bgColor indexed="64"/>
      </patternFill>
    </fill>
    <fill>
      <patternFill patternType="solid">
        <fgColor rgb="FF6C9E3B"/>
        <bgColor indexed="64"/>
      </patternFill>
    </fill>
    <fill>
      <patternFill patternType="solid">
        <fgColor rgb="FF6C9D3B"/>
        <bgColor indexed="64"/>
      </patternFill>
    </fill>
    <fill>
      <patternFill patternType="solid">
        <fgColor rgb="FF699D37"/>
        <bgColor indexed="64"/>
      </patternFill>
    </fill>
    <fill>
      <patternFill patternType="solid">
        <fgColor rgb="FF6D9F3B"/>
        <bgColor indexed="64"/>
      </patternFill>
    </fill>
    <fill>
      <patternFill patternType="solid">
        <fgColor rgb="FF6DA03A"/>
        <bgColor indexed="64"/>
      </patternFill>
    </fill>
    <fill>
      <patternFill patternType="solid">
        <fgColor rgb="FF6D9F3A"/>
        <bgColor indexed="64"/>
      </patternFill>
    </fill>
    <fill>
      <patternFill patternType="solid">
        <fgColor rgb="FF71A53A"/>
        <bgColor indexed="64"/>
      </patternFill>
    </fill>
    <fill>
      <patternFill patternType="solid">
        <fgColor rgb="FF71A347"/>
        <bgColor indexed="64"/>
      </patternFill>
    </fill>
    <fill>
      <patternFill patternType="solid">
        <fgColor rgb="FF8A9B33"/>
        <bgColor indexed="64"/>
      </patternFill>
    </fill>
    <fill>
      <patternFill patternType="solid">
        <fgColor rgb="FFD4CB33"/>
        <bgColor indexed="64"/>
      </patternFill>
    </fill>
    <fill>
      <patternFill patternType="solid">
        <fgColor rgb="FF4E7328"/>
        <bgColor indexed="64"/>
      </patternFill>
    </fill>
    <fill>
      <patternFill patternType="solid">
        <fgColor rgb="FF6DA339"/>
        <bgColor indexed="64"/>
      </patternFill>
    </fill>
    <fill>
      <patternFill patternType="solid">
        <fgColor rgb="FF689B37"/>
        <bgColor indexed="64"/>
      </patternFill>
    </fill>
    <fill>
      <patternFill patternType="solid">
        <fgColor rgb="FF6CA135"/>
        <bgColor indexed="64"/>
      </patternFill>
    </fill>
    <fill>
      <patternFill patternType="solid">
        <fgColor rgb="FF5C8A34"/>
        <bgColor indexed="64"/>
      </patternFill>
    </fill>
    <fill>
      <patternFill patternType="solid">
        <fgColor rgb="FFCBCA32"/>
        <bgColor indexed="64"/>
      </patternFill>
    </fill>
    <fill>
      <patternFill patternType="solid">
        <fgColor rgb="FFA09F29"/>
        <bgColor indexed="64"/>
      </patternFill>
    </fill>
    <fill>
      <patternFill patternType="solid">
        <fgColor rgb="FF4D7B2E"/>
        <bgColor indexed="64"/>
      </patternFill>
    </fill>
    <fill>
      <patternFill patternType="solid">
        <fgColor rgb="FF73A93B"/>
        <bgColor indexed="64"/>
      </patternFill>
    </fill>
    <fill>
      <patternFill patternType="solid">
        <fgColor rgb="FF699F3A"/>
        <bgColor indexed="64"/>
      </patternFill>
    </fill>
    <fill>
      <patternFill patternType="solid">
        <fgColor rgb="FF689E37"/>
        <bgColor indexed="64"/>
      </patternFill>
    </fill>
    <fill>
      <patternFill patternType="solid">
        <fgColor rgb="FF669C36"/>
        <bgColor indexed="64"/>
      </patternFill>
    </fill>
    <fill>
      <patternFill patternType="solid">
        <fgColor rgb="FF659B37"/>
        <bgColor indexed="64"/>
      </patternFill>
    </fill>
    <fill>
      <patternFill patternType="solid">
        <fgColor rgb="FF679D3A"/>
        <bgColor indexed="64"/>
      </patternFill>
    </fill>
    <fill>
      <patternFill patternType="solid">
        <fgColor rgb="FF6BA03A"/>
        <bgColor indexed="64"/>
      </patternFill>
    </fill>
    <fill>
      <patternFill patternType="solid">
        <fgColor rgb="FF619937"/>
        <bgColor indexed="64"/>
      </patternFill>
    </fill>
    <fill>
      <patternFill patternType="solid">
        <fgColor rgb="FF4B601F"/>
        <bgColor indexed="64"/>
      </patternFill>
    </fill>
    <fill>
      <patternFill patternType="solid">
        <fgColor rgb="FF635B1C"/>
        <bgColor indexed="64"/>
      </patternFill>
    </fill>
    <fill>
      <patternFill patternType="solid">
        <fgColor rgb="FF353C13"/>
        <bgColor indexed="64"/>
      </patternFill>
    </fill>
    <fill>
      <patternFill patternType="solid">
        <fgColor rgb="FF568635"/>
        <bgColor indexed="64"/>
      </patternFill>
    </fill>
    <fill>
      <patternFill patternType="solid">
        <fgColor rgb="FF689F44"/>
        <bgColor indexed="64"/>
      </patternFill>
    </fill>
    <fill>
      <patternFill patternType="solid">
        <fgColor rgb="FF669C44"/>
        <bgColor indexed="64"/>
      </patternFill>
    </fill>
    <fill>
      <patternFill patternType="solid">
        <fgColor rgb="FF6BA247"/>
        <bgColor indexed="64"/>
      </patternFill>
    </fill>
    <fill>
      <patternFill patternType="solid">
        <fgColor rgb="FF69A143"/>
        <bgColor indexed="64"/>
      </patternFill>
    </fill>
    <fill>
      <patternFill patternType="solid">
        <fgColor rgb="FF68A03E"/>
        <bgColor indexed="64"/>
      </patternFill>
    </fill>
    <fill>
      <patternFill patternType="solid">
        <fgColor rgb="FF507224"/>
        <bgColor indexed="64"/>
      </patternFill>
    </fill>
    <fill>
      <patternFill patternType="solid">
        <fgColor rgb="FFCCC42D"/>
        <bgColor indexed="64"/>
      </patternFill>
    </fill>
    <fill>
      <patternFill patternType="solid">
        <fgColor rgb="FF7B8425"/>
        <bgColor indexed="64"/>
      </patternFill>
    </fill>
    <fill>
      <patternFill patternType="solid">
        <fgColor rgb="FF084859"/>
        <bgColor indexed="64"/>
      </patternFill>
    </fill>
    <fill>
      <patternFill patternType="solid">
        <fgColor rgb="FF0A5C87"/>
        <bgColor indexed="64"/>
      </patternFill>
    </fill>
    <fill>
      <patternFill patternType="solid">
        <fgColor rgb="FF0D6C97"/>
        <bgColor indexed="64"/>
      </patternFill>
    </fill>
    <fill>
      <patternFill patternType="solid">
        <fgColor rgb="FF0E6A94"/>
        <bgColor indexed="64"/>
      </patternFill>
    </fill>
    <fill>
      <patternFill patternType="solid">
        <fgColor rgb="FF0F75A4"/>
        <bgColor indexed="64"/>
      </patternFill>
    </fill>
    <fill>
      <patternFill patternType="solid">
        <fgColor rgb="FF0C4768"/>
        <bgColor indexed="64"/>
      </patternFill>
    </fill>
    <fill>
      <patternFill patternType="solid">
        <fgColor rgb="FF111005"/>
        <bgColor indexed="64"/>
      </patternFill>
    </fill>
    <fill>
      <patternFill patternType="solid">
        <fgColor rgb="FF182816"/>
        <bgColor indexed="64"/>
      </patternFill>
    </fill>
    <fill>
      <patternFill patternType="solid">
        <fgColor rgb="FF126683"/>
        <bgColor indexed="64"/>
      </patternFill>
    </fill>
    <fill>
      <patternFill patternType="solid">
        <fgColor rgb="FF0E6F9E"/>
        <bgColor indexed="64"/>
      </patternFill>
    </fill>
    <fill>
      <patternFill patternType="solid">
        <fgColor rgb="FF0F6F9D"/>
        <bgColor indexed="64"/>
      </patternFill>
    </fill>
    <fill>
      <patternFill patternType="solid">
        <fgColor rgb="FF10709E"/>
        <bgColor indexed="64"/>
      </patternFill>
    </fill>
    <fill>
      <patternFill patternType="solid">
        <fgColor rgb="FF0E6794"/>
        <bgColor indexed="64"/>
      </patternFill>
    </fill>
    <fill>
      <patternFill patternType="solid">
        <fgColor rgb="FF659630"/>
        <bgColor indexed="64"/>
      </patternFill>
    </fill>
    <fill>
      <patternFill patternType="solid">
        <fgColor rgb="FF669931"/>
        <bgColor indexed="64"/>
      </patternFill>
    </fill>
    <fill>
      <patternFill patternType="solid">
        <fgColor rgb="FF65982F"/>
        <bgColor indexed="64"/>
      </patternFill>
    </fill>
    <fill>
      <patternFill patternType="solid">
        <fgColor rgb="FF636A1E"/>
        <bgColor indexed="64"/>
      </patternFill>
    </fill>
    <fill>
      <patternFill patternType="solid">
        <fgColor rgb="FF5D7A26"/>
        <bgColor indexed="64"/>
      </patternFill>
    </fill>
    <fill>
      <patternFill patternType="solid">
        <fgColor rgb="FF659734"/>
        <bgColor indexed="64"/>
      </patternFill>
    </fill>
    <fill>
      <patternFill patternType="solid">
        <fgColor rgb="FF55802C"/>
        <bgColor indexed="64"/>
      </patternFill>
    </fill>
    <fill>
      <patternFill patternType="solid">
        <fgColor rgb="FF7C7B24"/>
        <bgColor indexed="64"/>
      </patternFill>
    </fill>
    <fill>
      <patternFill patternType="solid">
        <fgColor rgb="FFB6AA32"/>
        <bgColor indexed="64"/>
      </patternFill>
    </fill>
    <fill>
      <patternFill patternType="solid">
        <fgColor rgb="FF909128"/>
        <bgColor indexed="64"/>
      </patternFill>
    </fill>
    <fill>
      <patternFill patternType="solid">
        <fgColor rgb="FF477624"/>
        <bgColor indexed="64"/>
      </patternFill>
    </fill>
    <fill>
      <patternFill patternType="solid">
        <fgColor rgb="FF669D2B"/>
        <bgColor indexed="64"/>
      </patternFill>
    </fill>
    <fill>
      <patternFill patternType="solid">
        <fgColor rgb="FF649830"/>
        <bgColor indexed="64"/>
      </patternFill>
    </fill>
    <fill>
      <patternFill patternType="solid">
        <fgColor rgb="FF669932"/>
        <bgColor indexed="64"/>
      </patternFill>
    </fill>
    <fill>
      <patternFill patternType="solid">
        <fgColor rgb="FF649831"/>
        <bgColor indexed="64"/>
      </patternFill>
    </fill>
    <fill>
      <patternFill patternType="solid">
        <fgColor rgb="FF659A33"/>
        <bgColor indexed="64"/>
      </patternFill>
    </fill>
    <fill>
      <patternFill patternType="solid">
        <fgColor rgb="FF699C37"/>
        <bgColor indexed="64"/>
      </patternFill>
    </fill>
    <fill>
      <patternFill patternType="solid">
        <fgColor rgb="FF699C36"/>
        <bgColor indexed="64"/>
      </patternFill>
    </fill>
    <fill>
      <patternFill patternType="solid">
        <fgColor rgb="FF6A9D34"/>
        <bgColor indexed="64"/>
      </patternFill>
    </fill>
    <fill>
      <patternFill patternType="solid">
        <fgColor rgb="FF6B9D3A"/>
        <bgColor indexed="64"/>
      </patternFill>
    </fill>
    <fill>
      <patternFill patternType="solid">
        <fgColor rgb="FF6C9E3A"/>
        <bgColor indexed="64"/>
      </patternFill>
    </fill>
    <fill>
      <patternFill patternType="solid">
        <fgColor rgb="FF689D37"/>
        <bgColor indexed="64"/>
      </patternFill>
    </fill>
    <fill>
      <patternFill patternType="solid">
        <fgColor rgb="FF699D39"/>
        <bgColor indexed="64"/>
      </patternFill>
    </fill>
    <fill>
      <patternFill patternType="solid">
        <fgColor rgb="FF6F9F3B"/>
        <bgColor indexed="64"/>
      </patternFill>
    </fill>
    <fill>
      <patternFill patternType="solid">
        <fgColor rgb="FF6D9F39"/>
        <bgColor indexed="64"/>
      </patternFill>
    </fill>
    <fill>
      <patternFill patternType="solid">
        <fgColor rgb="FF70A43A"/>
        <bgColor indexed="64"/>
      </patternFill>
    </fill>
    <fill>
      <patternFill patternType="solid">
        <fgColor rgb="FF6FA23C"/>
        <bgColor indexed="64"/>
      </patternFill>
    </fill>
    <fill>
      <patternFill patternType="solid">
        <fgColor rgb="FF7AAB4D"/>
        <bgColor indexed="64"/>
      </patternFill>
    </fill>
    <fill>
      <patternFill patternType="solid">
        <fgColor rgb="FF6A7C33"/>
        <bgColor indexed="64"/>
      </patternFill>
    </fill>
    <fill>
      <patternFill patternType="solid">
        <fgColor rgb="FFBFB333"/>
        <bgColor indexed="64"/>
      </patternFill>
    </fill>
    <fill>
      <patternFill patternType="solid">
        <fgColor rgb="FF62842F"/>
        <bgColor indexed="64"/>
      </patternFill>
    </fill>
    <fill>
      <patternFill patternType="solid">
        <fgColor rgb="FF6A9C37"/>
        <bgColor indexed="64"/>
      </patternFill>
    </fill>
    <fill>
      <patternFill patternType="solid">
        <fgColor rgb="FF6A9E36"/>
        <bgColor indexed="64"/>
      </patternFill>
    </fill>
    <fill>
      <patternFill patternType="solid">
        <fgColor rgb="FF679D35"/>
        <bgColor indexed="64"/>
      </patternFill>
    </fill>
    <fill>
      <patternFill patternType="solid">
        <fgColor rgb="FF6A9F35"/>
        <bgColor indexed="64"/>
      </patternFill>
    </fill>
    <fill>
      <patternFill patternType="solid">
        <fgColor rgb="FF5E8E33"/>
        <bgColor indexed="64"/>
      </patternFill>
    </fill>
    <fill>
      <patternFill patternType="solid">
        <fgColor rgb="FFC5C731"/>
        <bgColor indexed="64"/>
      </patternFill>
    </fill>
    <fill>
      <patternFill patternType="solid">
        <fgColor rgb="FFB6B630"/>
        <bgColor indexed="64"/>
      </patternFill>
    </fill>
    <fill>
      <patternFill patternType="solid">
        <fgColor rgb="FF53822F"/>
        <bgColor indexed="64"/>
      </patternFill>
    </fill>
    <fill>
      <patternFill patternType="solid">
        <fgColor rgb="FF6EA538"/>
        <bgColor indexed="64"/>
      </patternFill>
    </fill>
    <fill>
      <patternFill patternType="solid">
        <fgColor rgb="FF679C36"/>
        <bgColor indexed="64"/>
      </patternFill>
    </fill>
    <fill>
      <patternFill patternType="solid">
        <fgColor rgb="FF659A36"/>
        <bgColor indexed="64"/>
      </patternFill>
    </fill>
    <fill>
      <patternFill patternType="solid">
        <fgColor rgb="FF649A36"/>
        <bgColor indexed="64"/>
      </patternFill>
    </fill>
    <fill>
      <patternFill patternType="solid">
        <fgColor rgb="FF659C36"/>
        <bgColor indexed="64"/>
      </patternFill>
    </fill>
    <fill>
      <patternFill patternType="solid">
        <fgColor rgb="FF699F37"/>
        <bgColor indexed="64"/>
      </patternFill>
    </fill>
    <fill>
      <patternFill patternType="solid">
        <fgColor rgb="FF578E33"/>
        <bgColor indexed="64"/>
      </patternFill>
    </fill>
    <fill>
      <patternFill patternType="solid">
        <fgColor rgb="FF657724"/>
        <bgColor indexed="64"/>
      </patternFill>
    </fill>
    <fill>
      <patternFill patternType="solid">
        <fgColor rgb="FF9E932A"/>
        <bgColor indexed="64"/>
      </patternFill>
    </fill>
    <fill>
      <patternFill patternType="solid">
        <fgColor rgb="FF586019"/>
        <bgColor indexed="64"/>
      </patternFill>
    </fill>
    <fill>
      <patternFill patternType="solid">
        <fgColor rgb="FF558333"/>
        <bgColor indexed="64"/>
      </patternFill>
    </fill>
    <fill>
      <patternFill patternType="solid">
        <fgColor rgb="FF6CA144"/>
        <bgColor indexed="64"/>
      </patternFill>
    </fill>
    <fill>
      <patternFill patternType="solid">
        <fgColor rgb="FF659A41"/>
        <bgColor indexed="64"/>
      </patternFill>
    </fill>
    <fill>
      <patternFill patternType="solid">
        <fgColor rgb="FF659A42"/>
        <bgColor indexed="64"/>
      </patternFill>
    </fill>
    <fill>
      <patternFill patternType="solid">
        <fgColor rgb="FF659A40"/>
        <bgColor indexed="64"/>
      </patternFill>
    </fill>
    <fill>
      <patternFill patternType="solid">
        <fgColor rgb="FF679F45"/>
        <bgColor indexed="64"/>
      </patternFill>
    </fill>
    <fill>
      <patternFill patternType="solid">
        <fgColor rgb="FF597E33"/>
        <bgColor indexed="64"/>
      </patternFill>
    </fill>
    <fill>
      <patternFill patternType="solid">
        <fgColor rgb="FFCCC32D"/>
        <bgColor indexed="64"/>
      </patternFill>
    </fill>
    <fill>
      <patternFill patternType="solid">
        <fgColor rgb="FF6E7F1F"/>
        <bgColor indexed="64"/>
      </patternFill>
    </fill>
    <fill>
      <patternFill patternType="solid">
        <fgColor rgb="FF447829"/>
        <bgColor indexed="64"/>
      </patternFill>
    </fill>
    <fill>
      <patternFill patternType="solid">
        <fgColor rgb="FF2A542B"/>
        <bgColor indexed="64"/>
      </patternFill>
    </fill>
    <fill>
      <patternFill patternType="solid">
        <fgColor rgb="FF21625C"/>
        <bgColor indexed="64"/>
      </patternFill>
    </fill>
    <fill>
      <patternFill patternType="solid">
        <fgColor rgb="FF144F5A"/>
        <bgColor indexed="64"/>
      </patternFill>
    </fill>
    <fill>
      <patternFill patternType="solid">
        <fgColor rgb="FF125465"/>
        <bgColor indexed="64"/>
      </patternFill>
    </fill>
    <fill>
      <patternFill patternType="solid">
        <fgColor rgb="FF103944"/>
        <bgColor indexed="64"/>
      </patternFill>
    </fill>
    <fill>
      <patternFill patternType="solid">
        <fgColor rgb="FF2E3616"/>
        <bgColor indexed="64"/>
      </patternFill>
    </fill>
    <fill>
      <patternFill patternType="solid">
        <fgColor rgb="FF46511A"/>
        <bgColor indexed="64"/>
      </patternFill>
    </fill>
    <fill>
      <patternFill patternType="solid">
        <fgColor rgb="FF1C5356"/>
        <bgColor indexed="64"/>
      </patternFill>
    </fill>
    <fill>
      <patternFill patternType="solid">
        <fgColor rgb="FF06466A"/>
        <bgColor indexed="64"/>
      </patternFill>
    </fill>
    <fill>
      <patternFill patternType="solid">
        <fgColor rgb="FF0D5A7D"/>
        <bgColor indexed="64"/>
      </patternFill>
    </fill>
    <fill>
      <patternFill patternType="solid">
        <fgColor rgb="FF0A4A6F"/>
        <bgColor indexed="64"/>
      </patternFill>
    </fill>
    <fill>
      <patternFill patternType="solid">
        <fgColor rgb="FF09496B"/>
        <bgColor indexed="64"/>
      </patternFill>
    </fill>
    <fill>
      <patternFill patternType="solid">
        <fgColor rgb="FF0C5F8F"/>
        <bgColor indexed="64"/>
      </patternFill>
    </fill>
    <fill>
      <patternFill patternType="solid">
        <fgColor rgb="FF084D79"/>
        <bgColor indexed="64"/>
      </patternFill>
    </fill>
    <fill>
      <patternFill patternType="solid">
        <fgColor rgb="FF0A5A8B"/>
        <bgColor indexed="64"/>
      </patternFill>
    </fill>
    <fill>
      <patternFill patternType="solid">
        <fgColor rgb="FF0B5F95"/>
        <bgColor indexed="64"/>
      </patternFill>
    </fill>
    <fill>
      <patternFill patternType="solid">
        <fgColor rgb="FF0A5A8D"/>
        <bgColor indexed="64"/>
      </patternFill>
    </fill>
    <fill>
      <patternFill patternType="solid">
        <fgColor rgb="FF0B6197"/>
        <bgColor indexed="64"/>
      </patternFill>
    </fill>
    <fill>
      <patternFill patternType="solid">
        <fgColor rgb="FF0A5F97"/>
        <bgColor indexed="64"/>
      </patternFill>
    </fill>
    <fill>
      <patternFill patternType="solid">
        <fgColor rgb="FF689A2F"/>
        <bgColor indexed="64"/>
      </patternFill>
    </fill>
    <fill>
      <patternFill patternType="solid">
        <fgColor rgb="FF699B2F"/>
        <bgColor indexed="64"/>
      </patternFill>
    </fill>
    <fill>
      <patternFill patternType="solid">
        <fgColor rgb="FF5E902C"/>
        <bgColor indexed="64"/>
      </patternFill>
    </fill>
    <fill>
      <patternFill patternType="solid">
        <fgColor rgb="FF639630"/>
        <bgColor indexed="64"/>
      </patternFill>
    </fill>
    <fill>
      <patternFill patternType="solid">
        <fgColor rgb="FF62932F"/>
        <bgColor indexed="64"/>
      </patternFill>
    </fill>
    <fill>
      <patternFill patternType="solid">
        <fgColor rgb="FF878B2E"/>
        <bgColor indexed="64"/>
      </patternFill>
    </fill>
    <fill>
      <patternFill patternType="solid">
        <fgColor rgb="FF6D882D"/>
        <bgColor indexed="64"/>
      </patternFill>
    </fill>
    <fill>
      <patternFill patternType="solid">
        <fgColor rgb="FF659A30"/>
        <bgColor indexed="64"/>
      </patternFill>
    </fill>
    <fill>
      <patternFill patternType="solid">
        <fgColor rgb="FF669732"/>
        <bgColor indexed="64"/>
      </patternFill>
    </fill>
    <fill>
      <patternFill patternType="solid">
        <fgColor rgb="FF679831"/>
        <bgColor indexed="64"/>
      </patternFill>
    </fill>
    <fill>
      <patternFill patternType="solid">
        <fgColor rgb="FF6B9E33"/>
        <bgColor indexed="64"/>
      </patternFill>
    </fill>
    <fill>
      <patternFill patternType="solid">
        <fgColor rgb="FF58812C"/>
        <bgColor indexed="64"/>
      </patternFill>
    </fill>
    <fill>
      <patternFill patternType="solid">
        <fgColor rgb="FF696525"/>
        <bgColor indexed="64"/>
      </patternFill>
    </fill>
    <fill>
      <patternFill patternType="solid">
        <fgColor rgb="FFA39A2A"/>
        <bgColor indexed="64"/>
      </patternFill>
    </fill>
    <fill>
      <patternFill patternType="solid">
        <fgColor rgb="FFE5DD34"/>
        <bgColor indexed="64"/>
      </patternFill>
    </fill>
    <fill>
      <patternFill patternType="solid">
        <fgColor rgb="FF6E7323"/>
        <bgColor indexed="64"/>
      </patternFill>
    </fill>
    <fill>
      <patternFill patternType="solid">
        <fgColor rgb="FF4C8125"/>
        <bgColor indexed="64"/>
      </patternFill>
    </fill>
    <fill>
      <patternFill patternType="solid">
        <fgColor rgb="FF649C2B"/>
        <bgColor indexed="64"/>
      </patternFill>
    </fill>
    <fill>
      <patternFill patternType="solid">
        <fgColor rgb="FF63992E"/>
        <bgColor indexed="64"/>
      </patternFill>
    </fill>
    <fill>
      <patternFill patternType="solid">
        <fgColor rgb="FF62982E"/>
        <bgColor indexed="64"/>
      </patternFill>
    </fill>
    <fill>
      <patternFill patternType="solid">
        <fgColor rgb="FF60982F"/>
        <bgColor indexed="64"/>
      </patternFill>
    </fill>
    <fill>
      <patternFill patternType="solid">
        <fgColor rgb="FF639A2E"/>
        <bgColor indexed="64"/>
      </patternFill>
    </fill>
    <fill>
      <patternFill patternType="solid">
        <fgColor rgb="FF689C34"/>
        <bgColor indexed="64"/>
      </patternFill>
    </fill>
    <fill>
      <patternFill patternType="solid">
        <fgColor rgb="FF679B35"/>
        <bgColor indexed="64"/>
      </patternFill>
    </fill>
    <fill>
      <patternFill patternType="solid">
        <fgColor rgb="FF699C33"/>
        <bgColor indexed="64"/>
      </patternFill>
    </fill>
    <fill>
      <patternFill patternType="solid">
        <fgColor rgb="FF6B9C39"/>
        <bgColor indexed="64"/>
      </patternFill>
    </fill>
    <fill>
      <patternFill patternType="solid">
        <fgColor rgb="FF6B9C3C"/>
        <bgColor indexed="64"/>
      </patternFill>
    </fill>
    <fill>
      <patternFill patternType="solid">
        <fgColor rgb="FF6B9E3B"/>
        <bgColor indexed="64"/>
      </patternFill>
    </fill>
    <fill>
      <patternFill patternType="solid">
        <fgColor rgb="FF6A9C39"/>
        <bgColor indexed="64"/>
      </patternFill>
    </fill>
    <fill>
      <patternFill patternType="solid">
        <fgColor rgb="FF6F9F3A"/>
        <bgColor indexed="64"/>
      </patternFill>
    </fill>
    <fill>
      <patternFill patternType="solid">
        <fgColor rgb="FF6EA03A"/>
        <bgColor indexed="64"/>
      </patternFill>
    </fill>
    <fill>
      <patternFill patternType="solid">
        <fgColor rgb="FF6A9D36"/>
        <bgColor indexed="64"/>
      </patternFill>
    </fill>
    <fill>
      <patternFill patternType="solid">
        <fgColor rgb="FF71A33A"/>
        <bgColor indexed="64"/>
      </patternFill>
    </fill>
    <fill>
      <patternFill patternType="solid">
        <fgColor rgb="FF6D9F38"/>
        <bgColor indexed="64"/>
      </patternFill>
    </fill>
    <fill>
      <patternFill patternType="solid">
        <fgColor rgb="FF81B14F"/>
        <bgColor indexed="64"/>
      </patternFill>
    </fill>
    <fill>
      <patternFill patternType="solid">
        <fgColor rgb="FF48602D"/>
        <bgColor indexed="64"/>
      </patternFill>
    </fill>
    <fill>
      <patternFill patternType="solid">
        <fgColor rgb="FF342C0B"/>
        <bgColor indexed="64"/>
      </patternFill>
    </fill>
    <fill>
      <patternFill patternType="solid">
        <fgColor rgb="FF577125"/>
        <bgColor indexed="64"/>
      </patternFill>
    </fill>
    <fill>
      <patternFill patternType="solid">
        <fgColor rgb="FF689F36"/>
        <bgColor indexed="64"/>
      </patternFill>
    </fill>
    <fill>
      <patternFill patternType="solid">
        <fgColor rgb="FF699B35"/>
        <bgColor indexed="64"/>
      </patternFill>
    </fill>
    <fill>
      <patternFill patternType="solid">
        <fgColor rgb="FF6BA037"/>
        <bgColor indexed="64"/>
      </patternFill>
    </fill>
    <fill>
      <patternFill patternType="solid">
        <fgColor rgb="FF588932"/>
        <bgColor indexed="64"/>
      </patternFill>
    </fill>
    <fill>
      <patternFill patternType="solid">
        <fgColor rgb="FFBEC030"/>
        <bgColor indexed="64"/>
      </patternFill>
    </fill>
    <fill>
      <patternFill patternType="solid">
        <fgColor rgb="FFBAB930"/>
        <bgColor indexed="64"/>
      </patternFill>
    </fill>
    <fill>
      <patternFill patternType="solid">
        <fgColor rgb="FF578431"/>
        <bgColor indexed="64"/>
      </patternFill>
    </fill>
    <fill>
      <patternFill patternType="solid">
        <fgColor rgb="FF6CA239"/>
        <bgColor indexed="64"/>
      </patternFill>
    </fill>
    <fill>
      <patternFill patternType="solid">
        <fgColor rgb="FF679B36"/>
        <bgColor indexed="64"/>
      </patternFill>
    </fill>
    <fill>
      <patternFill patternType="solid">
        <fgColor rgb="FF659A38"/>
        <bgColor indexed="64"/>
      </patternFill>
    </fill>
    <fill>
      <patternFill patternType="solid">
        <fgColor rgb="FF639A38"/>
        <bgColor indexed="64"/>
      </patternFill>
    </fill>
    <fill>
      <patternFill patternType="solid">
        <fgColor rgb="FF548C32"/>
        <bgColor indexed="64"/>
      </patternFill>
    </fill>
    <fill>
      <patternFill patternType="solid">
        <fgColor rgb="FF677420"/>
        <bgColor indexed="64"/>
      </patternFill>
    </fill>
    <fill>
      <patternFill patternType="solid">
        <fgColor rgb="FFE4D530"/>
        <bgColor indexed="64"/>
      </patternFill>
    </fill>
    <fill>
      <patternFill patternType="solid">
        <fgColor rgb="FF929C26"/>
        <bgColor indexed="64"/>
      </patternFill>
    </fill>
    <fill>
      <patternFill patternType="solid">
        <fgColor rgb="FF558736"/>
        <bgColor indexed="64"/>
      </patternFill>
    </fill>
    <fill>
      <patternFill patternType="solid">
        <fgColor rgb="FF6CA142"/>
        <bgColor indexed="64"/>
      </patternFill>
    </fill>
    <fill>
      <patternFill patternType="solid">
        <fgColor rgb="FF659941"/>
        <bgColor indexed="64"/>
      </patternFill>
    </fill>
    <fill>
      <patternFill patternType="solid">
        <fgColor rgb="FF689C41"/>
        <bgColor indexed="64"/>
      </patternFill>
    </fill>
    <fill>
      <patternFill patternType="solid">
        <fgColor rgb="FF699D40"/>
        <bgColor indexed="64"/>
      </patternFill>
    </fill>
    <fill>
      <patternFill patternType="solid">
        <fgColor rgb="FF5E963F"/>
        <bgColor indexed="64"/>
      </patternFill>
    </fill>
    <fill>
      <patternFill patternType="solid">
        <fgColor rgb="FF6F892B"/>
        <bgColor indexed="64"/>
      </patternFill>
    </fill>
    <fill>
      <patternFill patternType="solid">
        <fgColor rgb="FFE2D630"/>
        <bgColor indexed="64"/>
      </patternFill>
    </fill>
    <fill>
      <patternFill patternType="solid">
        <fgColor rgb="FF607520"/>
        <bgColor indexed="64"/>
      </patternFill>
    </fill>
    <fill>
      <patternFill patternType="solid">
        <fgColor rgb="FF58923A"/>
        <bgColor indexed="64"/>
      </patternFill>
    </fill>
    <fill>
      <patternFill patternType="solid">
        <fgColor rgb="FF5F9835"/>
        <bgColor indexed="64"/>
      </patternFill>
    </fill>
    <fill>
      <patternFill patternType="solid">
        <fgColor rgb="FF588D30"/>
        <bgColor indexed="64"/>
      </patternFill>
    </fill>
    <fill>
      <patternFill patternType="solid">
        <fgColor rgb="FF4F852C"/>
        <bgColor indexed="64"/>
      </patternFill>
    </fill>
    <fill>
      <patternFill patternType="solid">
        <fgColor rgb="FF4F8629"/>
        <bgColor indexed="64"/>
      </patternFill>
    </fill>
    <fill>
      <patternFill patternType="solid">
        <fgColor rgb="FF3C6E24"/>
        <bgColor indexed="64"/>
      </patternFill>
    </fill>
    <fill>
      <patternFill patternType="solid">
        <fgColor rgb="FF6A7925"/>
        <bgColor indexed="64"/>
      </patternFill>
    </fill>
    <fill>
      <patternFill patternType="solid">
        <fgColor rgb="FF94952B"/>
        <bgColor indexed="64"/>
      </patternFill>
    </fill>
    <fill>
      <patternFill patternType="solid">
        <fgColor rgb="FF45611F"/>
        <bgColor indexed="64"/>
      </patternFill>
    </fill>
    <fill>
      <patternFill patternType="solid">
        <fgColor rgb="FF386A22"/>
        <bgColor indexed="64"/>
      </patternFill>
    </fill>
    <fill>
      <patternFill patternType="solid">
        <fgColor rgb="FF366D29"/>
        <bgColor indexed="64"/>
      </patternFill>
    </fill>
    <fill>
      <patternFill patternType="solid">
        <fgColor rgb="FF326622"/>
        <bgColor indexed="64"/>
      </patternFill>
    </fill>
    <fill>
      <patternFill patternType="solid">
        <fgColor rgb="FF316726"/>
        <bgColor indexed="64"/>
      </patternFill>
    </fill>
    <fill>
      <patternFill patternType="solid">
        <fgColor rgb="FF2D6434"/>
        <bgColor indexed="64"/>
      </patternFill>
    </fill>
    <fill>
      <patternFill patternType="solid">
        <fgColor rgb="FF265423"/>
        <bgColor indexed="64"/>
      </patternFill>
    </fill>
    <fill>
      <patternFill patternType="solid">
        <fgColor rgb="FF22592E"/>
        <bgColor indexed="64"/>
      </patternFill>
    </fill>
    <fill>
      <patternFill patternType="solid">
        <fgColor rgb="FF205C3E"/>
        <bgColor indexed="64"/>
      </patternFill>
    </fill>
    <fill>
      <patternFill patternType="solid">
        <fgColor rgb="FF1B4E33"/>
        <bgColor indexed="64"/>
      </patternFill>
    </fill>
    <fill>
      <patternFill patternType="solid">
        <fgColor rgb="FF1A594A"/>
        <bgColor indexed="64"/>
      </patternFill>
    </fill>
    <fill>
      <patternFill patternType="solid">
        <fgColor rgb="FF1A5A49"/>
        <bgColor indexed="64"/>
      </patternFill>
    </fill>
    <fill>
      <patternFill patternType="solid">
        <fgColor rgb="FF6C9D31"/>
        <bgColor indexed="64"/>
      </patternFill>
    </fill>
    <fill>
      <patternFill patternType="solid">
        <fgColor rgb="FF5E9130"/>
        <bgColor indexed="64"/>
      </patternFill>
    </fill>
    <fill>
      <patternFill patternType="solid">
        <fgColor rgb="FF5A8429"/>
        <bgColor indexed="64"/>
      </patternFill>
    </fill>
    <fill>
      <patternFill patternType="solid">
        <fgColor rgb="FF669A2E"/>
        <bgColor indexed="64"/>
      </patternFill>
    </fill>
    <fill>
      <patternFill patternType="solid">
        <fgColor rgb="FF5E8C2F"/>
        <bgColor indexed="64"/>
      </patternFill>
    </fill>
    <fill>
      <patternFill patternType="solid">
        <fgColor rgb="FF4B4D21"/>
        <bgColor indexed="64"/>
      </patternFill>
    </fill>
    <fill>
      <patternFill patternType="solid">
        <fgColor rgb="FF68862A"/>
        <bgColor indexed="64"/>
      </patternFill>
    </fill>
    <fill>
      <patternFill patternType="solid">
        <fgColor rgb="FF6A9E2D"/>
        <bgColor indexed="64"/>
      </patternFill>
    </fill>
    <fill>
      <patternFill patternType="solid">
        <fgColor rgb="FF629831"/>
        <bgColor indexed="64"/>
      </patternFill>
    </fill>
    <fill>
      <patternFill patternType="solid">
        <fgColor rgb="FF649731"/>
        <bgColor indexed="64"/>
      </patternFill>
    </fill>
    <fill>
      <patternFill patternType="solid">
        <fgColor rgb="FF6C9F34"/>
        <bgColor indexed="64"/>
      </patternFill>
    </fill>
    <fill>
      <patternFill patternType="solid">
        <fgColor rgb="FF4A7129"/>
        <bgColor indexed="64"/>
      </patternFill>
    </fill>
    <fill>
      <patternFill patternType="solid">
        <fgColor rgb="FF1C1A0A"/>
        <bgColor indexed="64"/>
      </patternFill>
    </fill>
    <fill>
      <patternFill patternType="solid">
        <fgColor rgb="FFA19829"/>
        <bgColor indexed="64"/>
      </patternFill>
    </fill>
    <fill>
      <patternFill patternType="solid">
        <fgColor rgb="FFA49A2B"/>
        <bgColor indexed="64"/>
      </patternFill>
    </fill>
    <fill>
      <patternFill patternType="solid">
        <fgColor rgb="FF596123"/>
        <bgColor indexed="64"/>
      </patternFill>
    </fill>
    <fill>
      <patternFill patternType="solid">
        <fgColor rgb="FF568A29"/>
        <bgColor indexed="64"/>
      </patternFill>
    </fill>
    <fill>
      <patternFill patternType="solid">
        <fgColor rgb="FF63992D"/>
        <bgColor indexed="64"/>
      </patternFill>
    </fill>
    <fill>
      <patternFill patternType="solid">
        <fgColor rgb="FF62982F"/>
        <bgColor indexed="64"/>
      </patternFill>
    </fill>
    <fill>
      <patternFill patternType="solid">
        <fgColor rgb="FF5F952F"/>
        <bgColor indexed="64"/>
      </patternFill>
    </fill>
    <fill>
      <patternFill patternType="solid">
        <fgColor rgb="FF60962C"/>
        <bgColor indexed="64"/>
      </patternFill>
    </fill>
    <fill>
      <patternFill patternType="solid">
        <fgColor rgb="FF649C30"/>
        <bgColor indexed="64"/>
      </patternFill>
    </fill>
    <fill>
      <patternFill patternType="solid">
        <fgColor rgb="FF669C35"/>
        <bgColor indexed="64"/>
      </patternFill>
    </fill>
    <fill>
      <patternFill patternType="solid">
        <fgColor rgb="FF679C34"/>
        <bgColor indexed="64"/>
      </patternFill>
    </fill>
    <fill>
      <patternFill patternType="solid">
        <fgColor rgb="FF689E33"/>
        <bgColor indexed="64"/>
      </patternFill>
    </fill>
    <fill>
      <patternFill patternType="solid">
        <fgColor rgb="FF6A9D38"/>
        <bgColor indexed="64"/>
      </patternFill>
    </fill>
    <fill>
      <patternFill patternType="solid">
        <fgColor rgb="FF6A9E38"/>
        <bgColor indexed="64"/>
      </patternFill>
    </fill>
    <fill>
      <patternFill patternType="solid">
        <fgColor rgb="FF6B9D36"/>
        <bgColor indexed="64"/>
      </patternFill>
    </fill>
    <fill>
      <patternFill patternType="solid">
        <fgColor rgb="FF70A03B"/>
        <bgColor indexed="64"/>
      </patternFill>
    </fill>
    <fill>
      <patternFill patternType="solid">
        <fgColor rgb="FF567234"/>
        <bgColor indexed="64"/>
      </patternFill>
    </fill>
    <fill>
      <patternFill patternType="solid">
        <fgColor rgb="FF3E3912"/>
        <bgColor indexed="64"/>
      </patternFill>
    </fill>
    <fill>
      <patternFill patternType="solid">
        <fgColor rgb="FF4F6520"/>
        <bgColor indexed="64"/>
      </patternFill>
    </fill>
    <fill>
      <patternFill patternType="solid">
        <fgColor rgb="FF679F35"/>
        <bgColor indexed="64"/>
      </patternFill>
    </fill>
    <fill>
      <patternFill patternType="solid">
        <fgColor rgb="FF669B33"/>
        <bgColor indexed="64"/>
      </patternFill>
    </fill>
    <fill>
      <patternFill patternType="solid">
        <fgColor rgb="FF669C33"/>
        <bgColor indexed="64"/>
      </patternFill>
    </fill>
    <fill>
      <patternFill patternType="solid">
        <fgColor rgb="FF6CA136"/>
        <bgColor indexed="64"/>
      </patternFill>
    </fill>
    <fill>
      <patternFill patternType="solid">
        <fgColor rgb="FF54822F"/>
        <bgColor indexed="64"/>
      </patternFill>
    </fill>
    <fill>
      <patternFill patternType="solid">
        <fgColor rgb="FFBDBC2F"/>
        <bgColor indexed="64"/>
      </patternFill>
    </fill>
    <fill>
      <patternFill patternType="solid">
        <fgColor rgb="FFBBBC30"/>
        <bgColor indexed="64"/>
      </patternFill>
    </fill>
    <fill>
      <patternFill patternType="solid">
        <fgColor rgb="FF558431"/>
        <bgColor indexed="64"/>
      </patternFill>
    </fill>
    <fill>
      <patternFill patternType="solid">
        <fgColor rgb="FF6EA537"/>
        <bgColor indexed="64"/>
      </patternFill>
    </fill>
    <fill>
      <patternFill patternType="solid">
        <fgColor rgb="FF679D34"/>
        <bgColor indexed="64"/>
      </patternFill>
    </fill>
    <fill>
      <patternFill patternType="solid">
        <fgColor rgb="FF669B35"/>
        <bgColor indexed="64"/>
      </patternFill>
    </fill>
    <fill>
      <patternFill patternType="solid">
        <fgColor rgb="FF649A33"/>
        <bgColor indexed="64"/>
      </patternFill>
    </fill>
    <fill>
      <patternFill patternType="solid">
        <fgColor rgb="FF649B36"/>
        <bgColor indexed="64"/>
      </patternFill>
    </fill>
    <fill>
      <patternFill patternType="solid">
        <fgColor rgb="FF649A37"/>
        <bgColor indexed="64"/>
      </patternFill>
    </fill>
    <fill>
      <patternFill patternType="solid">
        <fgColor rgb="FF669D37"/>
        <bgColor indexed="64"/>
      </patternFill>
    </fill>
    <fill>
      <patternFill patternType="solid">
        <fgColor rgb="FF528832"/>
        <bgColor indexed="64"/>
      </patternFill>
    </fill>
    <fill>
      <patternFill patternType="solid">
        <fgColor rgb="FF767F23"/>
        <bgColor indexed="64"/>
      </patternFill>
    </fill>
    <fill>
      <patternFill patternType="solid">
        <fgColor rgb="FFFFEF36"/>
        <bgColor indexed="64"/>
      </patternFill>
    </fill>
    <fill>
      <patternFill patternType="solid">
        <fgColor rgb="FF95A029"/>
        <bgColor indexed="64"/>
      </patternFill>
    </fill>
    <fill>
      <patternFill patternType="solid">
        <fgColor rgb="FF5C8F39"/>
        <bgColor indexed="64"/>
      </patternFill>
    </fill>
    <fill>
      <patternFill patternType="solid">
        <fgColor rgb="FF6BA140"/>
        <bgColor indexed="64"/>
      </patternFill>
    </fill>
    <fill>
      <patternFill patternType="solid">
        <fgColor rgb="FF63983F"/>
        <bgColor indexed="64"/>
      </patternFill>
    </fill>
    <fill>
      <patternFill patternType="solid">
        <fgColor rgb="FF659A3E"/>
        <bgColor indexed="64"/>
      </patternFill>
    </fill>
    <fill>
      <patternFill patternType="solid">
        <fgColor rgb="FF679C3E"/>
        <bgColor indexed="64"/>
      </patternFill>
    </fill>
    <fill>
      <patternFill patternType="solid">
        <fgColor rgb="FF5C9039"/>
        <bgColor indexed="64"/>
      </patternFill>
    </fill>
    <fill>
      <patternFill patternType="solid">
        <fgColor rgb="FF7F8B29"/>
        <bgColor indexed="64"/>
      </patternFill>
    </fill>
    <fill>
      <patternFill patternType="solid">
        <fgColor rgb="FFCEC130"/>
        <bgColor indexed="64"/>
      </patternFill>
    </fill>
    <fill>
      <patternFill patternType="solid">
        <fgColor rgb="FF5B7824"/>
        <bgColor indexed="64"/>
      </patternFill>
    </fill>
    <fill>
      <patternFill patternType="solid">
        <fgColor rgb="FF589036"/>
        <bgColor indexed="64"/>
      </patternFill>
    </fill>
    <fill>
      <patternFill patternType="solid">
        <fgColor rgb="FF558E33"/>
        <bgColor indexed="64"/>
      </patternFill>
    </fill>
    <fill>
      <patternFill patternType="solid">
        <fgColor rgb="FF538E34"/>
        <bgColor indexed="64"/>
      </patternFill>
    </fill>
    <fill>
      <patternFill patternType="solid">
        <fgColor rgb="FF558F34"/>
        <bgColor indexed="64"/>
      </patternFill>
    </fill>
    <fill>
      <patternFill patternType="solid">
        <fgColor rgb="FF559032"/>
        <bgColor indexed="64"/>
      </patternFill>
    </fill>
    <fill>
      <patternFill patternType="solid">
        <fgColor rgb="FF4F8E31"/>
        <bgColor indexed="64"/>
      </patternFill>
    </fill>
    <fill>
      <patternFill patternType="solid">
        <fgColor rgb="FF4F6C20"/>
        <bgColor indexed="64"/>
      </patternFill>
    </fill>
    <fill>
      <patternFill patternType="solid">
        <fgColor rgb="FFC6C52E"/>
        <bgColor indexed="64"/>
      </patternFill>
    </fill>
    <fill>
      <patternFill patternType="solid">
        <fgColor rgb="FF6F8224"/>
        <bgColor indexed="64"/>
      </patternFill>
    </fill>
    <fill>
      <patternFill patternType="solid">
        <fgColor rgb="FF428130"/>
        <bgColor indexed="64"/>
      </patternFill>
    </fill>
    <fill>
      <patternFill patternType="solid">
        <fgColor rgb="FF4C8A2D"/>
        <bgColor indexed="64"/>
      </patternFill>
    </fill>
    <fill>
      <patternFill patternType="solid">
        <fgColor rgb="FF48882F"/>
        <bgColor indexed="64"/>
      </patternFill>
    </fill>
    <fill>
      <patternFill patternType="solid">
        <fgColor rgb="FF47872F"/>
        <bgColor indexed="64"/>
      </patternFill>
    </fill>
    <fill>
      <patternFill patternType="solid">
        <fgColor rgb="FF47862A"/>
        <bgColor indexed="64"/>
      </patternFill>
    </fill>
    <fill>
      <patternFill patternType="solid">
        <fgColor rgb="FF44882D"/>
        <bgColor indexed="64"/>
      </patternFill>
    </fill>
    <fill>
      <patternFill patternType="solid">
        <fgColor rgb="FF438429"/>
        <bgColor indexed="64"/>
      </patternFill>
    </fill>
    <fill>
      <patternFill patternType="solid">
        <fgColor rgb="FF448329"/>
        <bgColor indexed="64"/>
      </patternFill>
    </fill>
    <fill>
      <patternFill patternType="solid">
        <fgColor rgb="FF458429"/>
        <bgColor indexed="64"/>
      </patternFill>
    </fill>
    <fill>
      <patternFill patternType="solid">
        <fgColor rgb="FF448128"/>
        <bgColor indexed="64"/>
      </patternFill>
    </fill>
    <fill>
      <patternFill patternType="solid">
        <fgColor rgb="FF418025"/>
        <bgColor indexed="64"/>
      </patternFill>
    </fill>
    <fill>
      <patternFill patternType="solid">
        <fgColor rgb="FF69A334"/>
        <bgColor indexed="64"/>
      </patternFill>
    </fill>
    <fill>
      <patternFill patternType="solid">
        <fgColor rgb="FF4D822A"/>
        <bgColor indexed="64"/>
      </patternFill>
    </fill>
    <fill>
      <patternFill patternType="solid">
        <fgColor rgb="FF686327"/>
        <bgColor indexed="64"/>
      </patternFill>
    </fill>
    <fill>
      <patternFill patternType="solid">
        <fgColor rgb="FF79782B"/>
        <bgColor indexed="64"/>
      </patternFill>
    </fill>
    <fill>
      <patternFill patternType="solid">
        <fgColor rgb="FF679A31"/>
        <bgColor indexed="64"/>
      </patternFill>
    </fill>
    <fill>
      <patternFill patternType="solid">
        <fgColor rgb="FF567F2B"/>
        <bgColor indexed="64"/>
      </patternFill>
    </fill>
    <fill>
      <patternFill patternType="solid">
        <fgColor rgb="FF2F310C"/>
        <bgColor indexed="64"/>
      </patternFill>
    </fill>
    <fill>
      <patternFill patternType="solid">
        <fgColor rgb="FF668C29"/>
        <bgColor indexed="64"/>
      </patternFill>
    </fill>
    <fill>
      <patternFill patternType="solid">
        <fgColor rgb="FF669C2F"/>
        <bgColor indexed="64"/>
      </patternFill>
    </fill>
    <fill>
      <patternFill patternType="solid">
        <fgColor rgb="FF649634"/>
        <bgColor indexed="64"/>
      </patternFill>
    </fill>
    <fill>
      <patternFill patternType="solid">
        <fgColor rgb="FF3B5D21"/>
        <bgColor indexed="64"/>
      </patternFill>
    </fill>
    <fill>
      <patternFill patternType="solid">
        <fgColor rgb="FF2C280C"/>
        <bgColor indexed="64"/>
      </patternFill>
    </fill>
    <fill>
      <patternFill patternType="solid">
        <fgColor rgb="FF595220"/>
        <bgColor indexed="64"/>
      </patternFill>
    </fill>
    <fill>
      <patternFill patternType="solid">
        <fgColor rgb="FF5F551C"/>
        <bgColor indexed="64"/>
      </patternFill>
    </fill>
    <fill>
      <patternFill patternType="solid">
        <fgColor rgb="FF526221"/>
        <bgColor indexed="64"/>
      </patternFill>
    </fill>
    <fill>
      <patternFill patternType="solid">
        <fgColor rgb="FF588E2B"/>
        <bgColor indexed="64"/>
      </patternFill>
    </fill>
    <fill>
      <patternFill patternType="solid">
        <fgColor rgb="FF64992E"/>
        <bgColor indexed="64"/>
      </patternFill>
    </fill>
    <fill>
      <patternFill patternType="solid">
        <fgColor rgb="FF629830"/>
        <bgColor indexed="64"/>
      </patternFill>
    </fill>
    <fill>
      <patternFill patternType="solid">
        <fgColor rgb="FF5C942B"/>
        <bgColor indexed="64"/>
      </patternFill>
    </fill>
    <fill>
      <patternFill patternType="solid">
        <fgColor rgb="FF5D952D"/>
        <bgColor indexed="64"/>
      </patternFill>
    </fill>
    <fill>
      <patternFill patternType="solid">
        <fgColor rgb="FF649B32"/>
        <bgColor indexed="64"/>
      </patternFill>
    </fill>
    <fill>
      <patternFill patternType="solid">
        <fgColor rgb="FF659B34"/>
        <bgColor indexed="64"/>
      </patternFill>
    </fill>
    <fill>
      <patternFill patternType="solid">
        <fgColor rgb="FF669B34"/>
        <bgColor indexed="64"/>
      </patternFill>
    </fill>
    <fill>
      <patternFill patternType="solid">
        <fgColor rgb="FF689C35"/>
        <bgColor indexed="64"/>
      </patternFill>
    </fill>
    <fill>
      <patternFill patternType="solid">
        <fgColor rgb="FF6B9F38"/>
        <bgColor indexed="64"/>
      </patternFill>
    </fill>
    <fill>
      <patternFill patternType="solid">
        <fgColor rgb="FF689D38"/>
        <bgColor indexed="64"/>
      </patternFill>
    </fill>
    <fill>
      <patternFill patternType="solid">
        <fgColor rgb="FF6A9F36"/>
        <bgColor indexed="64"/>
      </patternFill>
    </fill>
    <fill>
      <patternFill patternType="solid">
        <fgColor rgb="FF689D36"/>
        <bgColor indexed="64"/>
      </patternFill>
    </fill>
    <fill>
      <patternFill patternType="solid">
        <fgColor rgb="FF699C39"/>
        <bgColor indexed="64"/>
      </patternFill>
    </fill>
    <fill>
      <patternFill patternType="solid">
        <fgColor rgb="FF6A9E39"/>
        <bgColor indexed="64"/>
      </patternFill>
    </fill>
    <fill>
      <patternFill patternType="solid">
        <fgColor rgb="FF6B9C38"/>
        <bgColor indexed="64"/>
      </patternFill>
    </fill>
    <fill>
      <patternFill patternType="solid">
        <fgColor rgb="FF6F9F3D"/>
        <bgColor indexed="64"/>
      </patternFill>
    </fill>
    <fill>
      <patternFill patternType="solid">
        <fgColor rgb="FF73A542"/>
        <bgColor indexed="64"/>
      </patternFill>
    </fill>
    <fill>
      <patternFill patternType="solid">
        <fgColor rgb="FF597533"/>
        <bgColor indexed="64"/>
      </patternFill>
    </fill>
    <fill>
      <patternFill patternType="solid">
        <fgColor rgb="FFCABE35"/>
        <bgColor indexed="64"/>
      </patternFill>
    </fill>
    <fill>
      <patternFill patternType="solid">
        <fgColor rgb="FF8F9D2C"/>
        <bgColor indexed="64"/>
      </patternFill>
    </fill>
    <fill>
      <patternFill patternType="solid">
        <fgColor rgb="FF598D30"/>
        <bgColor indexed="64"/>
      </patternFill>
    </fill>
    <fill>
      <patternFill patternType="solid">
        <fgColor rgb="FF669C31"/>
        <bgColor indexed="64"/>
      </patternFill>
    </fill>
    <fill>
      <patternFill patternType="solid">
        <fgColor rgb="FF6CA139"/>
        <bgColor indexed="64"/>
      </patternFill>
    </fill>
    <fill>
      <patternFill patternType="solid">
        <fgColor rgb="FF54802E"/>
        <bgColor indexed="64"/>
      </patternFill>
    </fill>
    <fill>
      <patternFill patternType="solid">
        <fgColor rgb="FFC5C22E"/>
        <bgColor indexed="64"/>
      </patternFill>
    </fill>
    <fill>
      <patternFill patternType="solid">
        <fgColor rgb="FFBEBF30"/>
        <bgColor indexed="64"/>
      </patternFill>
    </fill>
    <fill>
      <patternFill patternType="solid">
        <fgColor rgb="FF568431"/>
        <bgColor indexed="64"/>
      </patternFill>
    </fill>
    <fill>
      <patternFill patternType="solid">
        <fgColor rgb="FF669C34"/>
        <bgColor indexed="64"/>
      </patternFill>
    </fill>
    <fill>
      <patternFill patternType="solid">
        <fgColor rgb="FF659B35"/>
        <bgColor indexed="64"/>
      </patternFill>
    </fill>
    <fill>
      <patternFill patternType="solid">
        <fgColor rgb="FF639936"/>
        <bgColor indexed="64"/>
      </patternFill>
    </fill>
    <fill>
      <patternFill patternType="solid">
        <fgColor rgb="FF64983A"/>
        <bgColor indexed="64"/>
      </patternFill>
    </fill>
    <fill>
      <patternFill patternType="solid">
        <fgColor rgb="FF528930"/>
        <bgColor indexed="64"/>
      </patternFill>
    </fill>
    <fill>
      <patternFill patternType="solid">
        <fgColor rgb="FF6D7525"/>
        <bgColor indexed="64"/>
      </patternFill>
    </fill>
    <fill>
      <patternFill patternType="solid">
        <fgColor rgb="FFEADD33"/>
        <bgColor indexed="64"/>
      </patternFill>
    </fill>
    <fill>
      <patternFill patternType="solid">
        <fgColor rgb="FF899527"/>
        <bgColor indexed="64"/>
      </patternFill>
    </fill>
    <fill>
      <patternFill patternType="solid">
        <fgColor rgb="FF699E3F"/>
        <bgColor indexed="64"/>
      </patternFill>
    </fill>
    <fill>
      <patternFill patternType="solid">
        <fgColor rgb="FF62973D"/>
        <bgColor indexed="64"/>
      </patternFill>
    </fill>
    <fill>
      <patternFill patternType="solid">
        <fgColor rgb="FF64993E"/>
        <bgColor indexed="64"/>
      </patternFill>
    </fill>
    <fill>
      <patternFill patternType="solid">
        <fgColor rgb="FF639A3D"/>
        <bgColor indexed="64"/>
      </patternFill>
    </fill>
    <fill>
      <patternFill patternType="solid">
        <fgColor rgb="FF5D903A"/>
        <bgColor indexed="64"/>
      </patternFill>
    </fill>
    <fill>
      <patternFill patternType="solid">
        <fgColor rgb="FF4A501D"/>
        <bgColor indexed="64"/>
      </patternFill>
    </fill>
    <fill>
      <patternFill patternType="solid">
        <fgColor rgb="FF635F1C"/>
        <bgColor indexed="64"/>
      </patternFill>
    </fill>
    <fill>
      <patternFill patternType="solid">
        <fgColor rgb="FF598327"/>
        <bgColor indexed="64"/>
      </patternFill>
    </fill>
    <fill>
      <patternFill patternType="solid">
        <fgColor rgb="FF579135"/>
        <bgColor indexed="64"/>
      </patternFill>
    </fill>
    <fill>
      <patternFill patternType="solid">
        <fgColor rgb="FF558D32"/>
        <bgColor indexed="64"/>
      </patternFill>
    </fill>
    <fill>
      <patternFill patternType="solid">
        <fgColor rgb="FF528C30"/>
        <bgColor indexed="64"/>
      </patternFill>
    </fill>
    <fill>
      <patternFill patternType="solid">
        <fgColor rgb="FF518B32"/>
        <bgColor indexed="64"/>
      </patternFill>
    </fill>
    <fill>
      <patternFill patternType="solid">
        <fgColor rgb="FF518A31"/>
        <bgColor indexed="64"/>
      </patternFill>
    </fill>
    <fill>
      <patternFill patternType="solid">
        <fgColor rgb="FF508F30"/>
        <bgColor indexed="64"/>
      </patternFill>
    </fill>
    <fill>
      <patternFill patternType="solid">
        <fgColor rgb="FF406A22"/>
        <bgColor indexed="64"/>
      </patternFill>
    </fill>
    <fill>
      <patternFill patternType="solid">
        <fgColor rgb="FFC9CC2F"/>
        <bgColor indexed="64"/>
      </patternFill>
    </fill>
    <fill>
      <patternFill patternType="solid">
        <fgColor rgb="FF7E8721"/>
        <bgColor indexed="64"/>
      </patternFill>
    </fill>
    <fill>
      <patternFill patternType="solid">
        <fgColor rgb="FF326A25"/>
        <bgColor indexed="64"/>
      </patternFill>
    </fill>
    <fill>
      <patternFill patternType="solid">
        <fgColor rgb="FF49862B"/>
        <bgColor indexed="64"/>
      </patternFill>
    </fill>
    <fill>
      <patternFill patternType="solid">
        <fgColor rgb="FF437F2A"/>
        <bgColor indexed="64"/>
      </patternFill>
    </fill>
    <fill>
      <patternFill patternType="solid">
        <fgColor rgb="FF44832B"/>
        <bgColor indexed="64"/>
      </patternFill>
    </fill>
    <fill>
      <patternFill patternType="solid">
        <fgColor rgb="FF42822C"/>
        <bgColor indexed="64"/>
      </patternFill>
    </fill>
    <fill>
      <patternFill patternType="solid">
        <fgColor rgb="FF42812C"/>
        <bgColor indexed="64"/>
      </patternFill>
    </fill>
    <fill>
      <patternFill patternType="solid">
        <fgColor rgb="FF43812D"/>
        <bgColor indexed="64"/>
      </patternFill>
    </fill>
    <fill>
      <patternFill patternType="solid">
        <fgColor rgb="FF438031"/>
        <bgColor indexed="64"/>
      </patternFill>
    </fill>
    <fill>
      <patternFill patternType="solid">
        <fgColor rgb="FF417F2D"/>
        <bgColor indexed="64"/>
      </patternFill>
    </fill>
    <fill>
      <patternFill patternType="solid">
        <fgColor rgb="FF427F2E"/>
        <bgColor indexed="64"/>
      </patternFill>
    </fill>
    <fill>
      <patternFill patternType="solid">
        <fgColor rgb="FF407E2F"/>
        <bgColor indexed="64"/>
      </patternFill>
    </fill>
    <fill>
      <patternFill patternType="solid">
        <fgColor rgb="FF546923"/>
        <bgColor indexed="64"/>
      </patternFill>
    </fill>
    <fill>
      <patternFill patternType="solid">
        <fgColor rgb="FF9A6124"/>
        <bgColor indexed="64"/>
      </patternFill>
    </fill>
    <fill>
      <patternFill patternType="solid">
        <fgColor rgb="FF975922"/>
        <bgColor indexed="64"/>
      </patternFill>
    </fill>
    <fill>
      <patternFill patternType="solid">
        <fgColor rgb="FF67882D"/>
        <bgColor indexed="64"/>
      </patternFill>
    </fill>
    <fill>
      <patternFill patternType="solid">
        <fgColor rgb="FF669730"/>
        <bgColor indexed="64"/>
      </patternFill>
    </fill>
    <fill>
      <patternFill patternType="solid">
        <fgColor rgb="FF5E7F28"/>
        <bgColor indexed="64"/>
      </patternFill>
    </fill>
    <fill>
      <patternFill patternType="solid">
        <fgColor rgb="FF646820"/>
        <bgColor indexed="64"/>
      </patternFill>
    </fill>
    <fill>
      <patternFill patternType="solid">
        <fgColor rgb="FF648E2E"/>
        <bgColor indexed="64"/>
      </patternFill>
    </fill>
    <fill>
      <patternFill patternType="solid">
        <fgColor rgb="FF689C30"/>
        <bgColor indexed="64"/>
      </patternFill>
    </fill>
    <fill>
      <patternFill patternType="solid">
        <fgColor rgb="FF639632"/>
        <bgColor indexed="64"/>
      </patternFill>
    </fill>
    <fill>
      <patternFill patternType="solid">
        <fgColor rgb="FF629632"/>
        <bgColor indexed="64"/>
      </patternFill>
    </fill>
    <fill>
      <patternFill patternType="solid">
        <fgColor rgb="FF486A25"/>
        <bgColor indexed="64"/>
      </patternFill>
    </fill>
    <fill>
      <patternFill patternType="solid">
        <fgColor rgb="FF5E5822"/>
        <bgColor indexed="64"/>
      </patternFill>
    </fill>
    <fill>
      <patternFill patternType="solid">
        <fgColor rgb="FF25240A"/>
        <bgColor indexed="64"/>
      </patternFill>
    </fill>
    <fill>
      <patternFill patternType="solid">
        <fgColor rgb="FF1B1705"/>
        <bgColor indexed="64"/>
      </patternFill>
    </fill>
    <fill>
      <patternFill patternType="solid">
        <fgColor rgb="FF354819"/>
        <bgColor indexed="64"/>
      </patternFill>
    </fill>
    <fill>
      <patternFill patternType="solid">
        <fgColor rgb="FF649832"/>
        <bgColor indexed="64"/>
      </patternFill>
    </fill>
    <fill>
      <patternFill patternType="solid">
        <fgColor rgb="FF63972E"/>
        <bgColor indexed="64"/>
      </patternFill>
    </fill>
    <fill>
      <patternFill patternType="solid">
        <fgColor rgb="FF62992C"/>
        <bgColor indexed="64"/>
      </patternFill>
    </fill>
    <fill>
      <patternFill patternType="solid">
        <fgColor rgb="FF5C9428"/>
        <bgColor indexed="64"/>
      </patternFill>
    </fill>
    <fill>
      <patternFill patternType="solid">
        <fgColor rgb="FF5C932B"/>
        <bgColor indexed="64"/>
      </patternFill>
    </fill>
    <fill>
      <patternFill patternType="solid">
        <fgColor rgb="FF619731"/>
        <bgColor indexed="64"/>
      </patternFill>
    </fill>
    <fill>
      <patternFill patternType="solid">
        <fgColor rgb="FF659A34"/>
        <bgColor indexed="64"/>
      </patternFill>
    </fill>
    <fill>
      <patternFill patternType="solid">
        <fgColor rgb="FF679B37"/>
        <bgColor indexed="64"/>
      </patternFill>
    </fill>
    <fill>
      <patternFill patternType="solid">
        <fgColor rgb="FF689C39"/>
        <bgColor indexed="64"/>
      </patternFill>
    </fill>
    <fill>
      <patternFill patternType="solid">
        <fgColor rgb="FF6A9D37"/>
        <bgColor indexed="64"/>
      </patternFill>
    </fill>
    <fill>
      <patternFill patternType="solid">
        <fgColor rgb="FF5F9033"/>
        <bgColor indexed="64"/>
      </patternFill>
    </fill>
    <fill>
      <patternFill patternType="solid">
        <fgColor rgb="FF699C3A"/>
        <bgColor indexed="64"/>
      </patternFill>
    </fill>
    <fill>
      <patternFill patternType="solid">
        <fgColor rgb="FF6CA038"/>
        <bgColor indexed="64"/>
      </patternFill>
    </fill>
    <fill>
      <patternFill patternType="solid">
        <fgColor rgb="FF6B9E3A"/>
        <bgColor indexed="64"/>
      </patternFill>
    </fill>
    <fill>
      <patternFill patternType="solid">
        <fgColor rgb="FF6CA039"/>
        <bgColor indexed="64"/>
      </patternFill>
    </fill>
    <fill>
      <patternFill patternType="solid">
        <fgColor rgb="FF5A7735"/>
        <bgColor indexed="64"/>
      </patternFill>
    </fill>
    <fill>
      <patternFill patternType="solid">
        <fgColor rgb="FFA69827"/>
        <bgColor indexed="64"/>
      </patternFill>
    </fill>
    <fill>
      <patternFill patternType="solid">
        <fgColor rgb="FF989A2C"/>
        <bgColor indexed="64"/>
      </patternFill>
    </fill>
    <fill>
      <patternFill patternType="solid">
        <fgColor rgb="FF609232"/>
        <bgColor indexed="64"/>
      </patternFill>
    </fill>
    <fill>
      <patternFill patternType="solid">
        <fgColor rgb="FF69A035"/>
        <bgColor indexed="64"/>
      </patternFill>
    </fill>
    <fill>
      <patternFill patternType="solid">
        <fgColor rgb="FF689D34"/>
        <bgColor indexed="64"/>
      </patternFill>
    </fill>
    <fill>
      <patternFill patternType="solid">
        <fgColor rgb="FF6CA033"/>
        <bgColor indexed="64"/>
      </patternFill>
    </fill>
    <fill>
      <patternFill patternType="solid">
        <fgColor rgb="FF6AA135"/>
        <bgColor indexed="64"/>
      </patternFill>
    </fill>
    <fill>
      <patternFill patternType="solid">
        <fgColor rgb="FF5D852B"/>
        <bgColor indexed="64"/>
      </patternFill>
    </fill>
    <fill>
      <patternFill patternType="solid">
        <fgColor rgb="FFDDD734"/>
        <bgColor indexed="64"/>
      </patternFill>
    </fill>
    <fill>
      <patternFill patternType="solid">
        <fgColor rgb="FFBDBD2E"/>
        <bgColor indexed="64"/>
      </patternFill>
    </fill>
    <fill>
      <patternFill patternType="solid">
        <fgColor rgb="FF56842F"/>
        <bgColor indexed="64"/>
      </patternFill>
    </fill>
    <fill>
      <patternFill patternType="solid">
        <fgColor rgb="FF6DA239"/>
        <bgColor indexed="64"/>
      </patternFill>
    </fill>
    <fill>
      <patternFill patternType="solid">
        <fgColor rgb="FF659B39"/>
        <bgColor indexed="64"/>
      </patternFill>
    </fill>
    <fill>
      <patternFill patternType="solid">
        <fgColor rgb="FF629737"/>
        <bgColor indexed="64"/>
      </patternFill>
    </fill>
    <fill>
      <patternFill patternType="solid">
        <fgColor rgb="FF619739"/>
        <bgColor indexed="64"/>
      </patternFill>
    </fill>
    <fill>
      <patternFill patternType="solid">
        <fgColor rgb="FF679C37"/>
        <bgColor indexed="64"/>
      </patternFill>
    </fill>
    <fill>
      <patternFill patternType="solid">
        <fgColor rgb="FF548A31"/>
        <bgColor indexed="64"/>
      </patternFill>
    </fill>
    <fill>
      <patternFill patternType="solid">
        <fgColor rgb="FF48541B"/>
        <bgColor indexed="64"/>
      </patternFill>
    </fill>
    <fill>
      <patternFill patternType="solid">
        <fgColor rgb="FFD4CB31"/>
        <bgColor indexed="64"/>
      </patternFill>
    </fill>
    <fill>
      <patternFill patternType="solid">
        <fgColor rgb="FF798B23"/>
        <bgColor indexed="64"/>
      </patternFill>
    </fill>
    <fill>
      <patternFill patternType="solid">
        <fgColor rgb="FF59913B"/>
        <bgColor indexed="64"/>
      </patternFill>
    </fill>
    <fill>
      <patternFill patternType="solid">
        <fgColor rgb="FF659C3C"/>
        <bgColor indexed="64"/>
      </patternFill>
    </fill>
    <fill>
      <patternFill patternType="solid">
        <fgColor rgb="FF63983D"/>
        <bgColor indexed="64"/>
      </patternFill>
    </fill>
    <fill>
      <patternFill patternType="solid">
        <fgColor rgb="FF659F40"/>
        <bgColor indexed="64"/>
      </patternFill>
    </fill>
    <fill>
      <patternFill patternType="solid">
        <fgColor rgb="FF537E37"/>
        <bgColor indexed="64"/>
      </patternFill>
    </fill>
    <fill>
      <patternFill patternType="solid">
        <fgColor rgb="FF121608"/>
        <bgColor indexed="64"/>
      </patternFill>
    </fill>
    <fill>
      <patternFill patternType="solid">
        <fgColor rgb="FF202C09"/>
        <bgColor indexed="64"/>
      </patternFill>
    </fill>
    <fill>
      <patternFill patternType="solid">
        <fgColor rgb="FF568B2E"/>
        <bgColor indexed="64"/>
      </patternFill>
    </fill>
    <fill>
      <patternFill patternType="solid">
        <fgColor rgb="FF578F35"/>
        <bgColor indexed="64"/>
      </patternFill>
    </fill>
    <fill>
      <patternFill patternType="solid">
        <fgColor rgb="FF578D33"/>
        <bgColor indexed="64"/>
      </patternFill>
    </fill>
    <fill>
      <patternFill patternType="solid">
        <fgColor rgb="FF538C32"/>
        <bgColor indexed="64"/>
      </patternFill>
    </fill>
    <fill>
      <patternFill patternType="solid">
        <fgColor rgb="FF528C31"/>
        <bgColor indexed="64"/>
      </patternFill>
    </fill>
    <fill>
      <patternFill patternType="solid">
        <fgColor rgb="FF518B31"/>
        <bgColor indexed="64"/>
      </patternFill>
    </fill>
    <fill>
      <patternFill patternType="solid">
        <fgColor rgb="FF549132"/>
        <bgColor indexed="64"/>
      </patternFill>
    </fill>
    <fill>
      <patternFill patternType="solid">
        <fgColor rgb="FF3F6C24"/>
        <bgColor indexed="64"/>
      </patternFill>
    </fill>
    <fill>
      <patternFill patternType="solid">
        <fgColor rgb="FF979D2B"/>
        <bgColor indexed="64"/>
      </patternFill>
    </fill>
    <fill>
      <patternFill patternType="solid">
        <fgColor rgb="FF777C1E"/>
        <bgColor indexed="64"/>
      </patternFill>
    </fill>
    <fill>
      <patternFill patternType="solid">
        <fgColor rgb="FF316620"/>
        <bgColor indexed="64"/>
      </patternFill>
    </fill>
    <fill>
      <patternFill patternType="solid">
        <fgColor rgb="FF49892C"/>
        <bgColor indexed="64"/>
      </patternFill>
    </fill>
    <fill>
      <patternFill patternType="solid">
        <fgColor rgb="FF3F7D29"/>
        <bgColor indexed="64"/>
      </patternFill>
    </fill>
    <fill>
      <patternFill patternType="solid">
        <fgColor rgb="FF418029"/>
        <bgColor indexed="64"/>
      </patternFill>
    </fill>
    <fill>
      <patternFill patternType="solid">
        <fgColor rgb="FF43812B"/>
        <bgColor indexed="64"/>
      </patternFill>
    </fill>
    <fill>
      <patternFill patternType="solid">
        <fgColor rgb="FF45822C"/>
        <bgColor indexed="64"/>
      </patternFill>
    </fill>
    <fill>
      <patternFill patternType="solid">
        <fgColor rgb="FF43832D"/>
        <bgColor indexed="64"/>
      </patternFill>
    </fill>
    <fill>
      <patternFill patternType="solid">
        <fgColor rgb="FF41822E"/>
        <bgColor indexed="64"/>
      </patternFill>
    </fill>
    <fill>
      <patternFill patternType="solid">
        <fgColor rgb="FF41822B"/>
        <bgColor indexed="64"/>
      </patternFill>
    </fill>
    <fill>
      <patternFill patternType="solid">
        <fgColor rgb="FF40812D"/>
        <bgColor indexed="64"/>
      </patternFill>
    </fill>
    <fill>
      <patternFill patternType="solid">
        <fgColor rgb="FF3E7F2D"/>
        <bgColor indexed="64"/>
      </patternFill>
    </fill>
    <fill>
      <patternFill patternType="solid">
        <fgColor rgb="FFCB6529"/>
        <bgColor indexed="64"/>
      </patternFill>
    </fill>
    <fill>
      <patternFill patternType="solid">
        <fgColor rgb="FFA96A2B"/>
        <bgColor indexed="64"/>
      </patternFill>
    </fill>
    <fill>
      <patternFill patternType="solid">
        <fgColor rgb="FF577E28"/>
        <bgColor indexed="64"/>
      </patternFill>
    </fill>
    <fill>
      <patternFill patternType="solid">
        <fgColor rgb="FF629C33"/>
        <bgColor indexed="64"/>
      </patternFill>
    </fill>
    <fill>
      <patternFill patternType="solid">
        <fgColor rgb="FF679A30"/>
        <bgColor indexed="64"/>
      </patternFill>
    </fill>
    <fill>
      <patternFill patternType="solid">
        <fgColor rgb="FF758629"/>
        <bgColor indexed="64"/>
      </patternFill>
    </fill>
    <fill>
      <patternFill patternType="solid">
        <fgColor rgb="FF8D922F"/>
        <bgColor indexed="64"/>
      </patternFill>
    </fill>
    <fill>
      <patternFill patternType="solid">
        <fgColor rgb="FF62922E"/>
        <bgColor indexed="64"/>
      </patternFill>
    </fill>
    <fill>
      <patternFill patternType="solid">
        <fgColor rgb="FF639532"/>
        <bgColor indexed="64"/>
      </patternFill>
    </fill>
    <fill>
      <patternFill patternType="solid">
        <fgColor rgb="FF639633"/>
        <bgColor indexed="64"/>
      </patternFill>
    </fill>
    <fill>
      <patternFill patternType="solid">
        <fgColor rgb="FF587A29"/>
        <bgColor indexed="64"/>
      </patternFill>
    </fill>
    <fill>
      <patternFill patternType="solid">
        <fgColor rgb="FF7B742D"/>
        <bgColor indexed="64"/>
      </patternFill>
    </fill>
    <fill>
      <patternFill patternType="solid">
        <fgColor rgb="FF424018"/>
        <bgColor indexed="64"/>
      </patternFill>
    </fill>
    <fill>
      <patternFill patternType="solid">
        <fgColor rgb="FF38370F"/>
        <bgColor indexed="64"/>
      </patternFill>
    </fill>
    <fill>
      <patternFill patternType="solid">
        <fgColor rgb="FF304818"/>
        <bgColor indexed="64"/>
      </patternFill>
    </fill>
    <fill>
      <patternFill patternType="solid">
        <fgColor rgb="FF60962F"/>
        <bgColor indexed="64"/>
      </patternFill>
    </fill>
    <fill>
      <patternFill patternType="solid">
        <fgColor rgb="FF5E932F"/>
        <bgColor indexed="64"/>
      </patternFill>
    </fill>
    <fill>
      <patternFill patternType="solid">
        <fgColor rgb="FF639533"/>
        <bgColor indexed="64"/>
      </patternFill>
    </fill>
    <fill>
      <patternFill patternType="solid">
        <fgColor rgb="FF629535"/>
        <bgColor indexed="64"/>
      </patternFill>
    </fill>
    <fill>
      <patternFill patternType="solid">
        <fgColor rgb="FF629732"/>
        <bgColor indexed="64"/>
      </patternFill>
    </fill>
    <fill>
      <patternFill patternType="solid">
        <fgColor rgb="FF649834"/>
        <bgColor indexed="64"/>
      </patternFill>
    </fill>
    <fill>
      <patternFill patternType="solid">
        <fgColor rgb="FF649936"/>
        <bgColor indexed="64"/>
      </patternFill>
    </fill>
    <fill>
      <patternFill patternType="solid">
        <fgColor rgb="FF669A37"/>
        <bgColor indexed="64"/>
      </patternFill>
    </fill>
    <fill>
      <patternFill patternType="solid">
        <fgColor rgb="FF669A36"/>
        <bgColor indexed="64"/>
      </patternFill>
    </fill>
    <fill>
      <patternFill patternType="solid">
        <fgColor rgb="FF6B9E36"/>
        <bgColor indexed="64"/>
      </patternFill>
    </fill>
    <fill>
      <patternFill patternType="solid">
        <fgColor rgb="FF669736"/>
        <bgColor indexed="64"/>
      </patternFill>
    </fill>
    <fill>
      <patternFill patternType="solid">
        <fgColor rgb="FF6B9F3C"/>
        <bgColor indexed="64"/>
      </patternFill>
    </fill>
    <fill>
      <patternFill patternType="solid">
        <fgColor rgb="FF6EA13A"/>
        <bgColor indexed="64"/>
      </patternFill>
    </fill>
    <fill>
      <patternFill patternType="solid">
        <fgColor rgb="FF6FA23A"/>
        <bgColor indexed="64"/>
      </patternFill>
    </fill>
    <fill>
      <patternFill patternType="solid">
        <fgColor rgb="FF7BAD44"/>
        <bgColor indexed="64"/>
      </patternFill>
    </fill>
    <fill>
      <patternFill patternType="solid">
        <fgColor rgb="FF598337"/>
        <bgColor indexed="64"/>
      </patternFill>
    </fill>
    <fill>
      <patternFill patternType="solid">
        <fgColor rgb="FF0F0F00"/>
        <bgColor indexed="64"/>
      </patternFill>
    </fill>
    <fill>
      <patternFill patternType="solid">
        <fgColor rgb="FF414414"/>
        <bgColor indexed="64"/>
      </patternFill>
    </fill>
    <fill>
      <patternFill patternType="solid">
        <fgColor rgb="FF5E8932"/>
        <bgColor indexed="64"/>
      </patternFill>
    </fill>
    <fill>
      <patternFill patternType="solid">
        <fgColor rgb="FF5F9133"/>
        <bgColor indexed="64"/>
      </patternFill>
    </fill>
    <fill>
      <patternFill patternType="solid">
        <fgColor rgb="FF5E9132"/>
        <bgColor indexed="64"/>
      </patternFill>
    </fill>
    <fill>
      <patternFill patternType="solid">
        <fgColor rgb="FF6EA135"/>
        <bgColor indexed="64"/>
      </patternFill>
    </fill>
    <fill>
      <patternFill patternType="solid">
        <fgColor rgb="FF6BA138"/>
        <bgColor indexed="64"/>
      </patternFill>
    </fill>
    <fill>
      <patternFill patternType="solid">
        <fgColor rgb="FF61822E"/>
        <bgColor indexed="64"/>
      </patternFill>
    </fill>
    <fill>
      <patternFill patternType="solid">
        <fgColor rgb="FFE5DA33"/>
        <bgColor indexed="64"/>
      </patternFill>
    </fill>
    <fill>
      <patternFill patternType="solid">
        <fgColor rgb="FFB0B12C"/>
        <bgColor indexed="64"/>
      </patternFill>
    </fill>
    <fill>
      <patternFill patternType="solid">
        <fgColor rgb="FF54812F"/>
        <bgColor indexed="64"/>
      </patternFill>
    </fill>
    <fill>
      <patternFill patternType="solid">
        <fgColor rgb="FF659937"/>
        <bgColor indexed="64"/>
      </patternFill>
    </fill>
    <fill>
      <patternFill patternType="solid">
        <fgColor rgb="FF629836"/>
        <bgColor indexed="64"/>
      </patternFill>
    </fill>
    <fill>
      <patternFill patternType="solid">
        <fgColor rgb="FF639839"/>
        <bgColor indexed="64"/>
      </patternFill>
    </fill>
    <fill>
      <patternFill patternType="solid">
        <fgColor rgb="FF619738"/>
        <bgColor indexed="64"/>
      </patternFill>
    </fill>
    <fill>
      <patternFill patternType="solid">
        <fgColor rgb="FF649A39"/>
        <bgColor indexed="64"/>
      </patternFill>
    </fill>
    <fill>
      <patternFill patternType="solid">
        <fgColor rgb="FF588A33"/>
        <bgColor indexed="64"/>
      </patternFill>
    </fill>
    <fill>
      <patternFill patternType="solid">
        <fgColor rgb="FF354015"/>
        <bgColor indexed="64"/>
      </patternFill>
    </fill>
    <fill>
      <patternFill patternType="solid">
        <fgColor rgb="FFB2AA2C"/>
        <bgColor indexed="64"/>
      </patternFill>
    </fill>
    <fill>
      <patternFill patternType="solid">
        <fgColor rgb="FF687F25"/>
        <bgColor indexed="64"/>
      </patternFill>
    </fill>
    <fill>
      <patternFill patternType="solid">
        <fgColor rgb="FF5F963C"/>
        <bgColor indexed="64"/>
      </patternFill>
    </fill>
    <fill>
      <patternFill patternType="solid">
        <fgColor rgb="FF649A3C"/>
        <bgColor indexed="64"/>
      </patternFill>
    </fill>
    <fill>
      <patternFill patternType="solid">
        <fgColor rgb="FF62993C"/>
        <bgColor indexed="64"/>
      </patternFill>
    </fill>
    <fill>
      <patternFill patternType="solid">
        <fgColor rgb="FF60973D"/>
        <bgColor indexed="64"/>
      </patternFill>
    </fill>
    <fill>
      <patternFill patternType="solid">
        <fgColor rgb="FF629B40"/>
        <bgColor indexed="64"/>
      </patternFill>
    </fill>
    <fill>
      <patternFill patternType="solid">
        <fgColor rgb="FF577A33"/>
        <bgColor indexed="64"/>
      </patternFill>
    </fill>
    <fill>
      <patternFill patternType="solid">
        <fgColor rgb="FF595B1E"/>
        <bgColor indexed="64"/>
      </patternFill>
    </fill>
    <fill>
      <patternFill patternType="solid">
        <fgColor rgb="FF617422"/>
        <bgColor indexed="64"/>
      </patternFill>
    </fill>
    <fill>
      <patternFill patternType="solid">
        <fgColor rgb="FF4D852A"/>
        <bgColor indexed="64"/>
      </patternFill>
    </fill>
    <fill>
      <patternFill patternType="solid">
        <fgColor rgb="FF588F34"/>
        <bgColor indexed="64"/>
      </patternFill>
    </fill>
    <fill>
      <patternFill patternType="solid">
        <fgColor rgb="FF508C32"/>
        <bgColor indexed="64"/>
      </patternFill>
    </fill>
    <fill>
      <patternFill patternType="solid">
        <fgColor rgb="FF528B32"/>
        <bgColor indexed="64"/>
      </patternFill>
    </fill>
    <fill>
      <patternFill patternType="solid">
        <fgColor rgb="FF4F8A31"/>
        <bgColor indexed="64"/>
      </patternFill>
    </fill>
    <fill>
      <patternFill patternType="solid">
        <fgColor rgb="FF518E31"/>
        <bgColor indexed="64"/>
      </patternFill>
    </fill>
    <fill>
      <patternFill patternType="solid">
        <fgColor rgb="FF407226"/>
        <bgColor indexed="64"/>
      </patternFill>
    </fill>
    <fill>
      <patternFill patternType="solid">
        <fgColor rgb="FF585F20"/>
        <bgColor indexed="64"/>
      </patternFill>
    </fill>
    <fill>
      <patternFill patternType="solid">
        <fgColor rgb="FF575C1C"/>
        <bgColor indexed="64"/>
      </patternFill>
    </fill>
    <fill>
      <patternFill patternType="solid">
        <fgColor rgb="FF2F611E"/>
        <bgColor indexed="64"/>
      </patternFill>
    </fill>
    <fill>
      <patternFill patternType="solid">
        <fgColor rgb="FF48852A"/>
        <bgColor indexed="64"/>
      </patternFill>
    </fill>
    <fill>
      <patternFill patternType="solid">
        <fgColor rgb="FF427E26"/>
        <bgColor indexed="64"/>
      </patternFill>
    </fill>
    <fill>
      <patternFill patternType="solid">
        <fgColor rgb="FF437F29"/>
        <bgColor indexed="64"/>
      </patternFill>
    </fill>
    <fill>
      <patternFill patternType="solid">
        <fgColor rgb="FF45802D"/>
        <bgColor indexed="64"/>
      </patternFill>
    </fill>
    <fill>
      <patternFill patternType="solid">
        <fgColor rgb="FF44812D"/>
        <bgColor indexed="64"/>
      </patternFill>
    </fill>
    <fill>
      <patternFill patternType="solid">
        <fgColor rgb="FF448029"/>
        <bgColor indexed="64"/>
      </patternFill>
    </fill>
    <fill>
      <patternFill patternType="solid">
        <fgColor rgb="FF428029"/>
        <bgColor indexed="64"/>
      </patternFill>
    </fill>
    <fill>
      <patternFill patternType="solid">
        <fgColor rgb="FF417F2C"/>
        <bgColor indexed="64"/>
      </patternFill>
    </fill>
    <fill>
      <patternFill patternType="solid">
        <fgColor rgb="FF3F7D2C"/>
        <bgColor indexed="64"/>
      </patternFill>
    </fill>
    <fill>
      <patternFill patternType="solid">
        <fgColor rgb="FFA5611F"/>
        <bgColor indexed="64"/>
      </patternFill>
    </fill>
    <fill>
      <patternFill patternType="solid">
        <fgColor rgb="FF756A21"/>
        <bgColor indexed="64"/>
      </patternFill>
    </fill>
    <fill>
      <patternFill patternType="solid">
        <fgColor rgb="FF867B26"/>
        <bgColor indexed="64"/>
      </patternFill>
    </fill>
    <fill>
      <patternFill patternType="solid">
        <fgColor rgb="FF6C7021"/>
        <bgColor indexed="64"/>
      </patternFill>
    </fill>
    <fill>
      <patternFill patternType="solid">
        <fgColor rgb="FF557D26"/>
        <bgColor indexed="64"/>
      </patternFill>
    </fill>
    <fill>
      <patternFill patternType="solid">
        <fgColor rgb="FF599531"/>
        <bgColor indexed="64"/>
      </patternFill>
    </fill>
    <fill>
      <patternFill patternType="solid">
        <fgColor rgb="FF505E1F"/>
        <bgColor indexed="64"/>
      </patternFill>
    </fill>
    <fill>
      <patternFill patternType="solid">
        <fgColor rgb="FF6D772A"/>
        <bgColor indexed="64"/>
      </patternFill>
    </fill>
    <fill>
      <patternFill patternType="solid">
        <fgColor rgb="FF679A2F"/>
        <bgColor indexed="64"/>
      </patternFill>
    </fill>
    <fill>
      <patternFill patternType="solid">
        <fgColor rgb="FF6A9D30"/>
        <bgColor indexed="64"/>
      </patternFill>
    </fill>
    <fill>
      <patternFill patternType="solid">
        <fgColor rgb="FF649A2E"/>
        <bgColor indexed="64"/>
      </patternFill>
    </fill>
    <fill>
      <patternFill patternType="solid">
        <fgColor rgb="FF669B31"/>
        <bgColor indexed="64"/>
      </patternFill>
    </fill>
    <fill>
      <patternFill patternType="solid">
        <fgColor rgb="FF557929"/>
        <bgColor indexed="64"/>
      </patternFill>
    </fill>
    <fill>
      <patternFill patternType="solid">
        <fgColor rgb="FF887F2C"/>
        <bgColor indexed="64"/>
      </patternFill>
    </fill>
    <fill>
      <patternFill patternType="solid">
        <fgColor rgb="FF9B9727"/>
        <bgColor indexed="64"/>
      </patternFill>
    </fill>
    <fill>
      <patternFill patternType="solid">
        <fgColor rgb="FFB2AE2C"/>
        <bgColor indexed="64"/>
      </patternFill>
    </fill>
    <fill>
      <patternFill patternType="solid">
        <fgColor rgb="FF425A1E"/>
        <bgColor indexed="64"/>
      </patternFill>
    </fill>
    <fill>
      <patternFill patternType="solid">
        <fgColor rgb="FF669A35"/>
        <bgColor indexed="64"/>
      </patternFill>
    </fill>
    <fill>
      <patternFill patternType="solid">
        <fgColor rgb="FF629730"/>
        <bgColor indexed="64"/>
      </patternFill>
    </fill>
    <fill>
      <patternFill patternType="solid">
        <fgColor rgb="FF609532"/>
        <bgColor indexed="64"/>
      </patternFill>
    </fill>
    <fill>
      <patternFill patternType="solid">
        <fgColor rgb="FF639733"/>
        <bgColor indexed="64"/>
      </patternFill>
    </fill>
    <fill>
      <patternFill patternType="solid">
        <fgColor rgb="FF639634"/>
        <bgColor indexed="64"/>
      </patternFill>
    </fill>
    <fill>
      <patternFill patternType="solid">
        <fgColor rgb="FF639731"/>
        <bgColor indexed="64"/>
      </patternFill>
    </fill>
    <fill>
      <patternFill patternType="solid">
        <fgColor rgb="FF669836"/>
        <bgColor indexed="64"/>
      </patternFill>
    </fill>
    <fill>
      <patternFill patternType="solid">
        <fgColor rgb="FF679A39"/>
        <bgColor indexed="64"/>
      </patternFill>
    </fill>
    <fill>
      <patternFill patternType="solid">
        <fgColor rgb="FF679939"/>
        <bgColor indexed="64"/>
      </patternFill>
    </fill>
    <fill>
      <patternFill patternType="solid">
        <fgColor rgb="FF6A9A3B"/>
        <bgColor indexed="64"/>
      </patternFill>
    </fill>
    <fill>
      <patternFill patternType="solid">
        <fgColor rgb="FF4F672F"/>
        <bgColor indexed="64"/>
      </patternFill>
    </fill>
    <fill>
      <patternFill patternType="solid">
        <fgColor rgb="FF6A963F"/>
        <bgColor indexed="64"/>
      </patternFill>
    </fill>
    <fill>
      <patternFill patternType="solid">
        <fgColor rgb="FF6A9D3C"/>
        <bgColor indexed="64"/>
      </patternFill>
    </fill>
    <fill>
      <patternFill patternType="solid">
        <fgColor rgb="FF6B9D3C"/>
        <bgColor indexed="64"/>
      </patternFill>
    </fill>
    <fill>
      <patternFill patternType="solid">
        <fgColor rgb="FF719F3C"/>
        <bgColor indexed="64"/>
      </patternFill>
    </fill>
    <fill>
      <patternFill patternType="solid">
        <fgColor rgb="FF5D8C35"/>
        <bgColor indexed="64"/>
      </patternFill>
    </fill>
    <fill>
      <patternFill patternType="solid">
        <fgColor rgb="FF5E633E"/>
        <bgColor indexed="64"/>
      </patternFill>
    </fill>
    <fill>
      <patternFill patternType="solid">
        <fgColor rgb="FF563A44"/>
        <bgColor indexed="64"/>
      </patternFill>
    </fill>
    <fill>
      <patternFill patternType="solid">
        <fgColor rgb="FF3E273B"/>
        <bgColor indexed="64"/>
      </patternFill>
    </fill>
    <fill>
      <patternFill patternType="solid">
        <fgColor rgb="FF353B22"/>
        <bgColor indexed="64"/>
      </patternFill>
    </fill>
    <fill>
      <patternFill patternType="solid">
        <fgColor rgb="FF3B631B"/>
        <bgColor indexed="64"/>
      </patternFill>
    </fill>
    <fill>
      <patternFill patternType="solid">
        <fgColor rgb="FF58892D"/>
        <bgColor indexed="64"/>
      </patternFill>
    </fill>
    <fill>
      <patternFill patternType="solid">
        <fgColor rgb="FF6CA43C"/>
        <bgColor indexed="64"/>
      </patternFill>
    </fill>
    <fill>
      <patternFill patternType="solid">
        <fgColor rgb="FF4A6C29"/>
        <bgColor indexed="64"/>
      </patternFill>
    </fill>
    <fill>
      <patternFill patternType="solid">
        <fgColor rgb="FF847C1F"/>
        <bgColor indexed="64"/>
      </patternFill>
    </fill>
    <fill>
      <patternFill patternType="solid">
        <fgColor rgb="FFA5A82D"/>
        <bgColor indexed="64"/>
      </patternFill>
    </fill>
    <fill>
      <patternFill patternType="solid">
        <fgColor rgb="FF527F31"/>
        <bgColor indexed="64"/>
      </patternFill>
    </fill>
    <fill>
      <patternFill patternType="solid">
        <fgColor rgb="FF6A9F39"/>
        <bgColor indexed="64"/>
      </patternFill>
    </fill>
    <fill>
      <patternFill patternType="solid">
        <fgColor rgb="FF639A36"/>
        <bgColor indexed="64"/>
      </patternFill>
    </fill>
    <fill>
      <patternFill patternType="solid">
        <fgColor rgb="FF639739"/>
        <bgColor indexed="64"/>
      </patternFill>
    </fill>
    <fill>
      <patternFill patternType="solid">
        <fgColor rgb="FF619837"/>
        <bgColor indexed="64"/>
      </patternFill>
    </fill>
    <fill>
      <patternFill patternType="solid">
        <fgColor rgb="FF629739"/>
        <bgColor indexed="64"/>
      </patternFill>
    </fill>
    <fill>
      <patternFill patternType="solid">
        <fgColor rgb="FF588B32"/>
        <bgColor indexed="64"/>
      </patternFill>
    </fill>
    <fill>
      <patternFill patternType="solid">
        <fgColor rgb="FF202D0D"/>
        <bgColor indexed="64"/>
      </patternFill>
    </fill>
    <fill>
      <patternFill patternType="solid">
        <fgColor rgb="FF72701F"/>
        <bgColor indexed="64"/>
      </patternFill>
    </fill>
    <fill>
      <patternFill patternType="solid">
        <fgColor rgb="FF69842C"/>
        <bgColor indexed="64"/>
      </patternFill>
    </fill>
    <fill>
      <patternFill patternType="solid">
        <fgColor rgb="FF5E973A"/>
        <bgColor indexed="64"/>
      </patternFill>
    </fill>
    <fill>
      <patternFill patternType="solid">
        <fgColor rgb="FF63993C"/>
        <bgColor indexed="64"/>
      </patternFill>
    </fill>
    <fill>
      <patternFill patternType="solid">
        <fgColor rgb="FF61983D"/>
        <bgColor indexed="64"/>
      </patternFill>
    </fill>
    <fill>
      <patternFill patternType="solid">
        <fgColor rgb="FF60973E"/>
        <bgColor indexed="64"/>
      </patternFill>
    </fill>
    <fill>
      <patternFill patternType="solid">
        <fgColor rgb="FF66842E"/>
        <bgColor indexed="64"/>
      </patternFill>
    </fill>
    <fill>
      <patternFill patternType="solid">
        <fgColor rgb="FFC5C330"/>
        <bgColor indexed="64"/>
      </patternFill>
    </fill>
    <fill>
      <patternFill patternType="solid">
        <fgColor rgb="FF7D9126"/>
        <bgColor indexed="64"/>
      </patternFill>
    </fill>
    <fill>
      <patternFill patternType="solid">
        <fgColor rgb="FF48842C"/>
        <bgColor indexed="64"/>
      </patternFill>
    </fill>
    <fill>
      <patternFill patternType="solid">
        <fgColor rgb="FF568F34"/>
        <bgColor indexed="64"/>
      </patternFill>
    </fill>
    <fill>
      <patternFill patternType="solid">
        <fgColor rgb="FF538D32"/>
        <bgColor indexed="64"/>
      </patternFill>
    </fill>
    <fill>
      <patternFill patternType="solid">
        <fgColor rgb="FF518930"/>
        <bgColor indexed="64"/>
      </patternFill>
    </fill>
    <fill>
      <patternFill patternType="solid">
        <fgColor rgb="FF4F892E"/>
        <bgColor indexed="64"/>
      </patternFill>
    </fill>
    <fill>
      <patternFill patternType="solid">
        <fgColor rgb="FF508E2C"/>
        <bgColor indexed="64"/>
      </patternFill>
    </fill>
    <fill>
      <patternFill patternType="solid">
        <fgColor rgb="FF3E7126"/>
        <bgColor indexed="64"/>
      </patternFill>
    </fill>
    <fill>
      <patternFill patternType="solid">
        <fgColor rgb="FF232A0E"/>
        <bgColor indexed="64"/>
      </patternFill>
    </fill>
    <fill>
      <patternFill patternType="solid">
        <fgColor rgb="FF3A3B12"/>
        <bgColor indexed="64"/>
      </patternFill>
    </fill>
    <fill>
      <patternFill patternType="solid">
        <fgColor rgb="FF30601D"/>
        <bgColor indexed="64"/>
      </patternFill>
    </fill>
    <fill>
      <patternFill patternType="solid">
        <fgColor rgb="FF468227"/>
        <bgColor indexed="64"/>
      </patternFill>
    </fill>
    <fill>
      <patternFill patternType="solid">
        <fgColor rgb="FF437E26"/>
        <bgColor indexed="64"/>
      </patternFill>
    </fill>
    <fill>
      <patternFill patternType="solid">
        <fgColor rgb="FF437D26"/>
        <bgColor indexed="64"/>
      </patternFill>
    </fill>
    <fill>
      <patternFill patternType="solid">
        <fgColor rgb="FF417E26"/>
        <bgColor indexed="64"/>
      </patternFill>
    </fill>
    <fill>
      <patternFill patternType="solid">
        <fgColor rgb="FF437E2A"/>
        <bgColor indexed="64"/>
      </patternFill>
    </fill>
    <fill>
      <patternFill patternType="solid">
        <fgColor rgb="FF427D28"/>
        <bgColor indexed="64"/>
      </patternFill>
    </fill>
    <fill>
      <patternFill patternType="solid">
        <fgColor rgb="FF407D27"/>
        <bgColor indexed="64"/>
      </patternFill>
    </fill>
    <fill>
      <patternFill patternType="solid">
        <fgColor rgb="FF407D29"/>
        <bgColor indexed="64"/>
      </patternFill>
    </fill>
    <fill>
      <patternFill patternType="solid">
        <fgColor rgb="FF3D7B28"/>
        <bgColor indexed="64"/>
      </patternFill>
    </fill>
    <fill>
      <patternFill patternType="solid">
        <fgColor rgb="FFF7842B"/>
        <bgColor indexed="64"/>
      </patternFill>
    </fill>
    <fill>
      <patternFill patternType="solid">
        <fgColor rgb="FFFC802C"/>
        <bgColor indexed="64"/>
      </patternFill>
    </fill>
    <fill>
      <patternFill patternType="solid">
        <fgColor rgb="FFFD7C2B"/>
        <bgColor indexed="64"/>
      </patternFill>
    </fill>
    <fill>
      <patternFill patternType="solid">
        <fgColor rgb="FFF07828"/>
        <bgColor indexed="64"/>
      </patternFill>
    </fill>
    <fill>
      <patternFill patternType="solid">
        <fgColor rgb="FFC46C23"/>
        <bgColor indexed="64"/>
      </patternFill>
    </fill>
    <fill>
      <patternFill patternType="solid">
        <fgColor rgb="FF896821"/>
        <bgColor indexed="64"/>
      </patternFill>
    </fill>
    <fill>
      <patternFill patternType="solid">
        <fgColor rgb="FF745C20"/>
        <bgColor indexed="64"/>
      </patternFill>
    </fill>
    <fill>
      <patternFill patternType="solid">
        <fgColor rgb="FF54581C"/>
        <bgColor indexed="64"/>
      </patternFill>
    </fill>
    <fill>
      <patternFill patternType="solid">
        <fgColor rgb="FF5B8E2C"/>
        <bgColor indexed="64"/>
      </patternFill>
    </fill>
    <fill>
      <patternFill patternType="solid">
        <fgColor rgb="FF5C932C"/>
        <bgColor indexed="64"/>
      </patternFill>
    </fill>
    <fill>
      <patternFill patternType="solid">
        <fgColor rgb="FF5E8D2C"/>
        <bgColor indexed="64"/>
      </patternFill>
    </fill>
    <fill>
      <patternFill patternType="solid">
        <fgColor rgb="FF5C8B2A"/>
        <bgColor indexed="64"/>
      </patternFill>
    </fill>
    <fill>
      <patternFill patternType="solid">
        <fgColor rgb="FF6B9E34"/>
        <bgColor indexed="64"/>
      </patternFill>
    </fill>
    <fill>
      <patternFill patternType="solid">
        <fgColor rgb="FFA29828"/>
        <bgColor indexed="64"/>
      </patternFill>
    </fill>
    <fill>
      <patternFill patternType="solid">
        <fgColor rgb="FFFCF536"/>
        <bgColor indexed="64"/>
      </patternFill>
    </fill>
    <fill>
      <patternFill patternType="solid">
        <fgColor rgb="FFD9D130"/>
        <bgColor indexed="64"/>
      </patternFill>
    </fill>
    <fill>
      <patternFill patternType="solid">
        <fgColor rgb="FF475D20"/>
        <bgColor indexed="64"/>
      </patternFill>
    </fill>
    <fill>
      <patternFill patternType="solid">
        <fgColor rgb="FF649733"/>
        <bgColor indexed="64"/>
      </patternFill>
    </fill>
    <fill>
      <patternFill patternType="solid">
        <fgColor rgb="FF619533"/>
        <bgColor indexed="64"/>
      </patternFill>
    </fill>
    <fill>
      <patternFill patternType="solid">
        <fgColor rgb="FF629634"/>
        <bgColor indexed="64"/>
      </patternFill>
    </fill>
    <fill>
      <patternFill patternType="solid">
        <fgColor rgb="FF629533"/>
        <bgColor indexed="64"/>
      </patternFill>
    </fill>
    <fill>
      <patternFill patternType="solid">
        <fgColor rgb="FF619534"/>
        <bgColor indexed="64"/>
      </patternFill>
    </fill>
    <fill>
      <patternFill patternType="solid">
        <fgColor rgb="FF629736"/>
        <bgColor indexed="64"/>
      </patternFill>
    </fill>
    <fill>
      <patternFill patternType="solid">
        <fgColor rgb="FF659839"/>
        <bgColor indexed="64"/>
      </patternFill>
    </fill>
    <fill>
      <patternFill patternType="solid">
        <fgColor rgb="FF659838"/>
        <bgColor indexed="64"/>
      </patternFill>
    </fill>
    <fill>
      <patternFill patternType="solid">
        <fgColor rgb="FF649838"/>
        <bgColor indexed="64"/>
      </patternFill>
    </fill>
    <fill>
      <patternFill patternType="solid">
        <fgColor rgb="FF659A37"/>
        <bgColor indexed="64"/>
      </patternFill>
    </fill>
    <fill>
      <patternFill patternType="solid">
        <fgColor rgb="FF639637"/>
        <bgColor indexed="64"/>
      </patternFill>
    </fill>
    <fill>
      <patternFill patternType="solid">
        <fgColor rgb="FF689E3A"/>
        <bgColor indexed="64"/>
      </patternFill>
    </fill>
    <fill>
      <patternFill patternType="solid">
        <fgColor rgb="FF668D40"/>
        <bgColor indexed="64"/>
      </patternFill>
    </fill>
    <fill>
      <patternFill patternType="solid">
        <fgColor rgb="FF3E362E"/>
        <bgColor indexed="64"/>
      </patternFill>
    </fill>
    <fill>
      <patternFill patternType="solid">
        <fgColor rgb="FF64873B"/>
        <bgColor indexed="64"/>
      </patternFill>
    </fill>
    <fill>
      <patternFill patternType="solid">
        <fgColor rgb="FF6DA33B"/>
        <bgColor indexed="64"/>
      </patternFill>
    </fill>
    <fill>
      <patternFill patternType="solid">
        <fgColor rgb="FF6C9F3F"/>
        <bgColor indexed="64"/>
      </patternFill>
    </fill>
    <fill>
      <patternFill patternType="solid">
        <fgColor rgb="FF699F3E"/>
        <bgColor indexed="64"/>
      </patternFill>
    </fill>
    <fill>
      <patternFill patternType="solid">
        <fgColor rgb="FF5F743E"/>
        <bgColor indexed="64"/>
      </patternFill>
    </fill>
    <fill>
      <patternFill patternType="solid">
        <fgColor rgb="FF725261"/>
        <bgColor indexed="64"/>
      </patternFill>
    </fill>
    <fill>
      <patternFill patternType="solid">
        <fgColor rgb="FF996093"/>
        <bgColor indexed="64"/>
      </patternFill>
    </fill>
    <fill>
      <patternFill patternType="solid">
        <fgColor rgb="FF714C78"/>
        <bgColor indexed="64"/>
      </patternFill>
    </fill>
    <fill>
      <patternFill patternType="solid">
        <fgColor rgb="FF2B2023"/>
        <bgColor indexed="64"/>
      </patternFill>
    </fill>
    <fill>
      <patternFill patternType="solid">
        <fgColor rgb="FF4B5026"/>
        <bgColor indexed="64"/>
      </patternFill>
    </fill>
    <fill>
      <patternFill patternType="solid">
        <fgColor rgb="FF4D5934"/>
        <bgColor indexed="64"/>
      </patternFill>
    </fill>
    <fill>
      <patternFill patternType="solid">
        <fgColor rgb="FF405F24"/>
        <bgColor indexed="64"/>
      </patternFill>
    </fill>
    <fill>
      <patternFill patternType="solid">
        <fgColor rgb="FF588A2E"/>
        <bgColor indexed="64"/>
      </patternFill>
    </fill>
    <fill>
      <patternFill patternType="solid">
        <fgColor rgb="FF6BA23B"/>
        <bgColor indexed="64"/>
      </patternFill>
    </fill>
    <fill>
      <patternFill patternType="solid">
        <fgColor rgb="FF416224"/>
        <bgColor indexed="64"/>
      </patternFill>
    </fill>
    <fill>
      <patternFill patternType="solid">
        <fgColor rgb="FF5E5715"/>
        <bgColor indexed="64"/>
      </patternFill>
    </fill>
    <fill>
      <patternFill patternType="solid">
        <fgColor rgb="FF929428"/>
        <bgColor indexed="64"/>
      </patternFill>
    </fill>
    <fill>
      <patternFill patternType="solid">
        <fgColor rgb="FF53812F"/>
        <bgColor indexed="64"/>
      </patternFill>
    </fill>
    <fill>
      <patternFill patternType="solid">
        <fgColor rgb="FF629838"/>
        <bgColor indexed="64"/>
      </patternFill>
    </fill>
    <fill>
      <patternFill patternType="solid">
        <fgColor rgb="FF619638"/>
        <bgColor indexed="64"/>
      </patternFill>
    </fill>
    <fill>
      <patternFill patternType="solid">
        <fgColor rgb="FF5F9537"/>
        <bgColor indexed="64"/>
      </patternFill>
    </fill>
    <fill>
      <patternFill patternType="solid">
        <fgColor rgb="FF61993A"/>
        <bgColor indexed="64"/>
      </patternFill>
    </fill>
    <fill>
      <patternFill patternType="solid">
        <fgColor rgb="FF50802E"/>
        <bgColor indexed="64"/>
      </patternFill>
    </fill>
    <fill>
      <patternFill patternType="solid">
        <fgColor rgb="FF071001"/>
        <bgColor indexed="64"/>
      </patternFill>
    </fill>
    <fill>
      <patternFill patternType="solid">
        <fgColor rgb="FF777420"/>
        <bgColor indexed="64"/>
      </patternFill>
    </fill>
    <fill>
      <patternFill patternType="solid">
        <fgColor rgb="FF6E892C"/>
        <bgColor indexed="64"/>
      </patternFill>
    </fill>
    <fill>
      <patternFill patternType="solid">
        <fgColor rgb="FF5F983B"/>
        <bgColor indexed="64"/>
      </patternFill>
    </fill>
    <fill>
      <patternFill patternType="solid">
        <fgColor rgb="FF5F973C"/>
        <bgColor indexed="64"/>
      </patternFill>
    </fill>
    <fill>
      <patternFill patternType="solid">
        <fgColor rgb="FF62983A"/>
        <bgColor indexed="64"/>
      </patternFill>
    </fill>
    <fill>
      <patternFill patternType="solid">
        <fgColor rgb="FF5C923B"/>
        <bgColor indexed="64"/>
      </patternFill>
    </fill>
    <fill>
      <patternFill patternType="solid">
        <fgColor rgb="FF708927"/>
        <bgColor indexed="64"/>
      </patternFill>
    </fill>
    <fill>
      <patternFill patternType="solid">
        <fgColor rgb="FFECE634"/>
        <bgColor indexed="64"/>
      </patternFill>
    </fill>
    <fill>
      <patternFill patternType="solid">
        <fgColor rgb="FF627921"/>
        <bgColor indexed="64"/>
      </patternFill>
    </fill>
    <fill>
      <patternFill patternType="solid">
        <fgColor rgb="FF49872E"/>
        <bgColor indexed="64"/>
      </patternFill>
    </fill>
    <fill>
      <patternFill patternType="solid">
        <fgColor rgb="FF558D33"/>
        <bgColor indexed="64"/>
      </patternFill>
    </fill>
    <fill>
      <patternFill patternType="solid">
        <fgColor rgb="FF548A33"/>
        <bgColor indexed="64"/>
      </patternFill>
    </fill>
    <fill>
      <patternFill patternType="solid">
        <fgColor rgb="FF508A31"/>
        <bgColor indexed="64"/>
      </patternFill>
    </fill>
    <fill>
      <patternFill patternType="solid">
        <fgColor rgb="FF4F8B2F"/>
        <bgColor indexed="64"/>
      </patternFill>
    </fill>
    <fill>
      <patternFill patternType="solid">
        <fgColor rgb="FF4E8A2F"/>
        <bgColor indexed="64"/>
      </patternFill>
    </fill>
    <fill>
      <patternFill patternType="solid">
        <fgColor rgb="FF4D8C2B"/>
        <bgColor indexed="64"/>
      </patternFill>
    </fill>
    <fill>
      <patternFill patternType="solid">
        <fgColor rgb="FF457B28"/>
        <bgColor indexed="64"/>
      </patternFill>
    </fill>
    <fill>
      <patternFill patternType="solid">
        <fgColor rgb="FF18240E"/>
        <bgColor indexed="64"/>
      </patternFill>
    </fill>
    <fill>
      <patternFill patternType="solid">
        <fgColor rgb="FF0D1204"/>
        <bgColor indexed="64"/>
      </patternFill>
    </fill>
    <fill>
      <patternFill patternType="solid">
        <fgColor rgb="FF2E591C"/>
        <bgColor indexed="64"/>
      </patternFill>
    </fill>
    <fill>
      <patternFill patternType="solid">
        <fgColor rgb="FF458225"/>
        <bgColor indexed="64"/>
      </patternFill>
    </fill>
    <fill>
      <patternFill patternType="solid">
        <fgColor rgb="FF417C25"/>
        <bgColor indexed="64"/>
      </patternFill>
    </fill>
    <fill>
      <patternFill patternType="solid">
        <fgColor rgb="FF437D27"/>
        <bgColor indexed="64"/>
      </patternFill>
    </fill>
    <fill>
      <patternFill patternType="solid">
        <fgColor rgb="FF437E27"/>
        <bgColor indexed="64"/>
      </patternFill>
    </fill>
    <fill>
      <patternFill patternType="solid">
        <fgColor rgb="FF417E28"/>
        <bgColor indexed="64"/>
      </patternFill>
    </fill>
    <fill>
      <patternFill patternType="solid">
        <fgColor rgb="FF417C27"/>
        <bgColor indexed="64"/>
      </patternFill>
    </fill>
    <fill>
      <patternFill patternType="solid">
        <fgColor rgb="FF407C25"/>
        <bgColor indexed="64"/>
      </patternFill>
    </fill>
    <fill>
      <patternFill patternType="solid">
        <fgColor rgb="FF3F7B29"/>
        <bgColor indexed="64"/>
      </patternFill>
    </fill>
    <fill>
      <patternFill patternType="solid">
        <fgColor rgb="FF3C792A"/>
        <bgColor indexed="64"/>
      </patternFill>
    </fill>
    <fill>
      <patternFill patternType="solid">
        <fgColor rgb="FFFC852E"/>
        <bgColor indexed="64"/>
      </patternFill>
    </fill>
    <fill>
      <patternFill patternType="solid">
        <fgColor rgb="FFF4812D"/>
        <bgColor indexed="64"/>
      </patternFill>
    </fill>
    <fill>
      <patternFill patternType="solid">
        <fgColor rgb="FFF77F2E"/>
        <bgColor indexed="64"/>
      </patternFill>
    </fill>
    <fill>
      <patternFill patternType="solid">
        <fgColor rgb="FFF9812E"/>
        <bgColor indexed="64"/>
      </patternFill>
    </fill>
    <fill>
      <patternFill patternType="solid">
        <fgColor rgb="FFFF842D"/>
        <bgColor indexed="64"/>
      </patternFill>
    </fill>
    <fill>
      <patternFill patternType="solid">
        <fgColor rgb="FFFF832F"/>
        <bgColor indexed="64"/>
      </patternFill>
    </fill>
    <fill>
      <patternFill patternType="solid">
        <fgColor rgb="FFFF852F"/>
        <bgColor indexed="64"/>
      </patternFill>
    </fill>
    <fill>
      <patternFill patternType="solid">
        <fgColor rgb="FFD17125"/>
        <bgColor indexed="64"/>
      </patternFill>
    </fill>
    <fill>
      <patternFill patternType="solid">
        <fgColor rgb="FFA5601F"/>
        <bgColor indexed="64"/>
      </patternFill>
    </fill>
    <fill>
      <patternFill patternType="solid">
        <fgColor rgb="FF7E531A"/>
        <bgColor indexed="64"/>
      </patternFill>
    </fill>
    <fill>
      <patternFill patternType="solid">
        <fgColor rgb="FF576C22"/>
        <bgColor indexed="64"/>
      </patternFill>
    </fill>
    <fill>
      <patternFill patternType="solid">
        <fgColor rgb="FF5F9131"/>
        <bgColor indexed="64"/>
      </patternFill>
    </fill>
    <fill>
      <patternFill patternType="solid">
        <fgColor rgb="FF4B7929"/>
        <bgColor indexed="64"/>
      </patternFill>
    </fill>
    <fill>
      <patternFill patternType="solid">
        <fgColor rgb="FF928E27"/>
        <bgColor indexed="64"/>
      </patternFill>
    </fill>
    <fill>
      <patternFill patternType="solid">
        <fgColor rgb="FFFEF636"/>
        <bgColor indexed="64"/>
      </patternFill>
    </fill>
    <fill>
      <patternFill patternType="solid">
        <fgColor rgb="FFD8D330"/>
        <bgColor indexed="64"/>
      </patternFill>
    </fill>
    <fill>
      <patternFill patternType="solid">
        <fgColor rgb="FF46581D"/>
        <bgColor indexed="64"/>
      </patternFill>
    </fill>
    <fill>
      <patternFill patternType="solid">
        <fgColor rgb="FF609531"/>
        <bgColor indexed="64"/>
      </patternFill>
    </fill>
    <fill>
      <patternFill patternType="solid">
        <fgColor rgb="FF609432"/>
        <bgColor indexed="64"/>
      </patternFill>
    </fill>
    <fill>
      <patternFill patternType="solid">
        <fgColor rgb="FF629534"/>
        <bgColor indexed="64"/>
      </patternFill>
    </fill>
    <fill>
      <patternFill patternType="solid">
        <fgColor rgb="FF609434"/>
        <bgColor indexed="64"/>
      </patternFill>
    </fill>
    <fill>
      <patternFill patternType="solid">
        <fgColor rgb="FF609534"/>
        <bgColor indexed="64"/>
      </patternFill>
    </fill>
    <fill>
      <patternFill patternType="solid">
        <fgColor rgb="FF619536"/>
        <bgColor indexed="64"/>
      </patternFill>
    </fill>
    <fill>
      <patternFill patternType="solid">
        <fgColor rgb="FF659638"/>
        <bgColor indexed="64"/>
      </patternFill>
    </fill>
    <fill>
      <patternFill patternType="solid">
        <fgColor rgb="FF659837"/>
        <bgColor indexed="64"/>
      </patternFill>
    </fill>
    <fill>
      <patternFill patternType="solid">
        <fgColor rgb="FF679A37"/>
        <bgColor indexed="64"/>
      </patternFill>
    </fill>
    <fill>
      <patternFill patternType="solid">
        <fgColor rgb="FF629536"/>
        <bgColor indexed="64"/>
      </patternFill>
    </fill>
    <fill>
      <patternFill patternType="solid">
        <fgColor rgb="FF69A138"/>
        <bgColor indexed="64"/>
      </patternFill>
    </fill>
    <fill>
      <patternFill patternType="solid">
        <fgColor rgb="FF5C7738"/>
        <bgColor indexed="64"/>
      </patternFill>
    </fill>
    <fill>
      <patternFill patternType="solid">
        <fgColor rgb="FF693F62"/>
        <bgColor indexed="64"/>
      </patternFill>
    </fill>
    <fill>
      <patternFill patternType="solid">
        <fgColor rgb="FF6F7850"/>
        <bgColor indexed="64"/>
      </patternFill>
    </fill>
    <fill>
      <patternFill patternType="solid">
        <fgColor rgb="FF65983A"/>
        <bgColor indexed="64"/>
      </patternFill>
    </fill>
    <fill>
      <patternFill patternType="solid">
        <fgColor rgb="FF626447"/>
        <bgColor indexed="64"/>
      </patternFill>
    </fill>
    <fill>
      <patternFill patternType="solid">
        <fgColor rgb="FF8C5B84"/>
        <bgColor indexed="64"/>
      </patternFill>
    </fill>
    <fill>
      <patternFill patternType="solid">
        <fgColor rgb="FFA0679F"/>
        <bgColor indexed="64"/>
      </patternFill>
    </fill>
    <fill>
      <patternFill patternType="solid">
        <fgColor rgb="FF895B8B"/>
        <bgColor indexed="64"/>
      </patternFill>
    </fill>
    <fill>
      <patternFill patternType="solid">
        <fgColor rgb="FF603E59"/>
        <bgColor indexed="64"/>
      </patternFill>
    </fill>
    <fill>
      <patternFill patternType="solid">
        <fgColor rgb="FF855875"/>
        <bgColor indexed="64"/>
      </patternFill>
    </fill>
    <fill>
      <patternFill patternType="solid">
        <fgColor rgb="FF684367"/>
        <bgColor indexed="64"/>
      </patternFill>
    </fill>
    <fill>
      <patternFill patternType="solid">
        <fgColor rgb="FF313526"/>
        <bgColor indexed="64"/>
      </patternFill>
    </fill>
    <fill>
      <patternFill patternType="solid">
        <fgColor rgb="FF446F21"/>
        <bgColor indexed="64"/>
      </patternFill>
    </fill>
    <fill>
      <patternFill patternType="solid">
        <fgColor rgb="FF639933"/>
        <bgColor indexed="64"/>
      </patternFill>
    </fill>
    <fill>
      <patternFill patternType="solid">
        <fgColor rgb="FF6CA23B"/>
        <bgColor indexed="64"/>
      </patternFill>
    </fill>
    <fill>
      <patternFill patternType="solid">
        <fgColor rgb="FF59762A"/>
        <bgColor indexed="64"/>
      </patternFill>
    </fill>
    <fill>
      <patternFill patternType="solid">
        <fgColor rgb="FF5B5015"/>
        <bgColor indexed="64"/>
      </patternFill>
    </fill>
    <fill>
      <patternFill patternType="solid">
        <fgColor rgb="FF5A581C"/>
        <bgColor indexed="64"/>
      </patternFill>
    </fill>
    <fill>
      <patternFill patternType="solid">
        <fgColor rgb="FF58832E"/>
        <bgColor indexed="64"/>
      </patternFill>
    </fill>
    <fill>
      <patternFill patternType="solid">
        <fgColor rgb="FF609637"/>
        <bgColor indexed="64"/>
      </patternFill>
    </fill>
    <fill>
      <patternFill patternType="solid">
        <fgColor rgb="FF609538"/>
        <bgColor indexed="64"/>
      </patternFill>
    </fill>
    <fill>
      <patternFill patternType="solid">
        <fgColor rgb="FF5E9438"/>
        <bgColor indexed="64"/>
      </patternFill>
    </fill>
    <fill>
      <patternFill patternType="solid">
        <fgColor rgb="FF619839"/>
        <bgColor indexed="64"/>
      </patternFill>
    </fill>
    <fill>
      <patternFill patternType="solid">
        <fgColor rgb="FF4D7A2B"/>
        <bgColor indexed="64"/>
      </patternFill>
    </fill>
    <fill>
      <patternFill patternType="solid">
        <fgColor rgb="FF131A06"/>
        <bgColor indexed="64"/>
      </patternFill>
    </fill>
    <fill>
      <patternFill patternType="solid">
        <fgColor rgb="FF423F10"/>
        <bgColor indexed="64"/>
      </patternFill>
    </fill>
    <fill>
      <patternFill patternType="solid">
        <fgColor rgb="FF446020"/>
        <bgColor indexed="64"/>
      </patternFill>
    </fill>
    <fill>
      <patternFill patternType="solid">
        <fgColor rgb="FF659D3F"/>
        <bgColor indexed="64"/>
      </patternFill>
    </fill>
    <fill>
      <patternFill patternType="solid">
        <fgColor rgb="FF60953E"/>
        <bgColor indexed="64"/>
      </patternFill>
    </fill>
    <fill>
      <patternFill patternType="solid">
        <fgColor rgb="FF60963B"/>
        <bgColor indexed="64"/>
      </patternFill>
    </fill>
    <fill>
      <patternFill patternType="solid">
        <fgColor rgb="FF649C3A"/>
        <bgColor indexed="64"/>
      </patternFill>
    </fill>
    <fill>
      <patternFill patternType="solid">
        <fgColor rgb="FF558A3B"/>
        <bgColor indexed="64"/>
      </patternFill>
    </fill>
    <fill>
      <patternFill patternType="solid">
        <fgColor rgb="FF788727"/>
        <bgColor indexed="64"/>
      </patternFill>
    </fill>
    <fill>
      <patternFill patternType="solid">
        <fgColor rgb="FFCCC630"/>
        <bgColor indexed="64"/>
      </patternFill>
    </fill>
    <fill>
      <patternFill patternType="solid">
        <fgColor rgb="FF4D661F"/>
        <bgColor indexed="64"/>
      </patternFill>
    </fill>
    <fill>
      <patternFill patternType="solid">
        <fgColor rgb="FF4D892F"/>
        <bgColor indexed="64"/>
      </patternFill>
    </fill>
    <fill>
      <patternFill patternType="solid">
        <fgColor rgb="FF528A30"/>
        <bgColor indexed="64"/>
      </patternFill>
    </fill>
    <fill>
      <patternFill patternType="solid">
        <fgColor rgb="FF508930"/>
        <bgColor indexed="64"/>
      </patternFill>
    </fill>
    <fill>
      <patternFill patternType="solid">
        <fgColor rgb="FF4E8A31"/>
        <bgColor indexed="64"/>
      </patternFill>
    </fill>
    <fill>
      <patternFill patternType="solid">
        <fgColor rgb="FF4E8A32"/>
        <bgColor indexed="64"/>
      </patternFill>
    </fill>
    <fill>
      <patternFill patternType="solid">
        <fgColor rgb="FF4E8A30"/>
        <bgColor indexed="64"/>
      </patternFill>
    </fill>
    <fill>
      <patternFill patternType="solid">
        <fgColor rgb="FF4F8B2B"/>
        <bgColor indexed="64"/>
      </patternFill>
    </fill>
    <fill>
      <patternFill patternType="solid">
        <fgColor rgb="FF477D29"/>
        <bgColor indexed="64"/>
      </patternFill>
    </fill>
    <fill>
      <patternFill patternType="solid">
        <fgColor rgb="FF41531D"/>
        <bgColor indexed="64"/>
      </patternFill>
    </fill>
    <fill>
      <patternFill patternType="solid">
        <fgColor rgb="FF5F621F"/>
        <bgColor indexed="64"/>
      </patternFill>
    </fill>
    <fill>
      <patternFill patternType="solid">
        <fgColor rgb="FF264E16"/>
        <bgColor indexed="64"/>
      </patternFill>
    </fill>
    <fill>
      <patternFill patternType="solid">
        <fgColor rgb="FF448223"/>
        <bgColor indexed="64"/>
      </patternFill>
    </fill>
    <fill>
      <patternFill patternType="solid">
        <fgColor rgb="FF407A22"/>
        <bgColor indexed="64"/>
      </patternFill>
    </fill>
    <fill>
      <patternFill patternType="solid">
        <fgColor rgb="FF427C24"/>
        <bgColor indexed="64"/>
      </patternFill>
    </fill>
    <fill>
      <patternFill patternType="solid">
        <fgColor rgb="FF437B25"/>
        <bgColor indexed="64"/>
      </patternFill>
    </fill>
    <fill>
      <patternFill patternType="solid">
        <fgColor rgb="FF427D25"/>
        <bgColor indexed="64"/>
      </patternFill>
    </fill>
    <fill>
      <patternFill patternType="solid">
        <fgColor rgb="FF407A26"/>
        <bgColor indexed="64"/>
      </patternFill>
    </fill>
    <fill>
      <patternFill patternType="solid">
        <fgColor rgb="FF407B26"/>
        <bgColor indexed="64"/>
      </patternFill>
    </fill>
    <fill>
      <patternFill patternType="solid">
        <fgColor rgb="FF3E7829"/>
        <bgColor indexed="64"/>
      </patternFill>
    </fill>
    <fill>
      <patternFill patternType="solid">
        <fgColor rgb="FF3A7528"/>
        <bgColor indexed="64"/>
      </patternFill>
    </fill>
    <fill>
      <patternFill patternType="solid">
        <fgColor rgb="FFFB7F2E"/>
        <bgColor indexed="64"/>
      </patternFill>
    </fill>
    <fill>
      <patternFill patternType="solid">
        <fgColor rgb="FFF37D2D"/>
        <bgColor indexed="64"/>
      </patternFill>
    </fill>
    <fill>
      <patternFill patternType="solid">
        <fgColor rgb="FFF87E2F"/>
        <bgColor indexed="64"/>
      </patternFill>
    </fill>
    <fill>
      <patternFill patternType="solid">
        <fgColor rgb="FFEC782A"/>
        <bgColor indexed="64"/>
      </patternFill>
    </fill>
    <fill>
      <patternFill patternType="solid">
        <fgColor rgb="FFD96E25"/>
        <bgColor indexed="64"/>
      </patternFill>
    </fill>
    <fill>
      <patternFill patternType="solid">
        <fgColor rgb="FFCD6725"/>
        <bgColor indexed="64"/>
      </patternFill>
    </fill>
    <fill>
      <patternFill patternType="solid">
        <fgColor rgb="FFBF5F22"/>
        <bgColor indexed="64"/>
      </patternFill>
    </fill>
    <fill>
      <patternFill patternType="solid">
        <fgColor rgb="FF9D511B"/>
        <bgColor indexed="64"/>
      </patternFill>
    </fill>
    <fill>
      <patternFill patternType="solid">
        <fgColor rgb="FF966421"/>
        <bgColor indexed="64"/>
      </patternFill>
    </fill>
    <fill>
      <patternFill patternType="solid">
        <fgColor rgb="FF887F28"/>
        <bgColor indexed="64"/>
      </patternFill>
    </fill>
    <fill>
      <patternFill patternType="solid">
        <fgColor rgb="FF67952F"/>
        <bgColor indexed="64"/>
      </patternFill>
    </fill>
    <fill>
      <patternFill patternType="solid">
        <fgColor rgb="FF639732"/>
        <bgColor indexed="64"/>
      </patternFill>
    </fill>
    <fill>
      <patternFill patternType="solid">
        <fgColor rgb="FF57872C"/>
        <bgColor indexed="64"/>
      </patternFill>
    </fill>
    <fill>
      <patternFill patternType="solid">
        <fgColor rgb="FF7F8028"/>
        <bgColor indexed="64"/>
      </patternFill>
    </fill>
    <fill>
      <patternFill patternType="solid">
        <fgColor rgb="FFDDD132"/>
        <bgColor indexed="64"/>
      </patternFill>
    </fill>
    <fill>
      <patternFill patternType="solid">
        <fgColor rgb="FFEFE935"/>
        <bgColor indexed="64"/>
      </patternFill>
    </fill>
    <fill>
      <patternFill patternType="solid">
        <fgColor rgb="FF637123"/>
        <bgColor indexed="64"/>
      </patternFill>
    </fill>
    <fill>
      <patternFill patternType="solid">
        <fgColor rgb="FF578A2E"/>
        <bgColor indexed="64"/>
      </patternFill>
    </fill>
    <fill>
      <patternFill patternType="solid">
        <fgColor rgb="FF639830"/>
        <bgColor indexed="64"/>
      </patternFill>
    </fill>
    <fill>
      <patternFill patternType="solid">
        <fgColor rgb="FF5F9231"/>
        <bgColor indexed="64"/>
      </patternFill>
    </fill>
    <fill>
      <patternFill patternType="solid">
        <fgColor rgb="FF609431"/>
        <bgColor indexed="64"/>
      </patternFill>
    </fill>
    <fill>
      <patternFill patternType="solid">
        <fgColor rgb="FF619532"/>
        <bgColor indexed="64"/>
      </patternFill>
    </fill>
    <fill>
      <patternFill patternType="solid">
        <fgColor rgb="FF619433"/>
        <bgColor indexed="64"/>
      </patternFill>
    </fill>
    <fill>
      <patternFill patternType="solid">
        <fgColor rgb="FF639737"/>
        <bgColor indexed="64"/>
      </patternFill>
    </fill>
    <fill>
      <patternFill patternType="solid">
        <fgColor rgb="FF689B3A"/>
        <bgColor indexed="64"/>
      </patternFill>
    </fill>
    <fill>
      <patternFill patternType="solid">
        <fgColor rgb="FF598632"/>
        <bgColor indexed="64"/>
      </patternFill>
    </fill>
    <fill>
      <patternFill patternType="solid">
        <fgColor rgb="FF5C8A33"/>
        <bgColor indexed="64"/>
      </patternFill>
    </fill>
    <fill>
      <patternFill patternType="solid">
        <fgColor rgb="FF6AA238"/>
        <bgColor indexed="64"/>
      </patternFill>
    </fill>
    <fill>
      <patternFill patternType="solid">
        <fgColor rgb="FF61713F"/>
        <bgColor indexed="64"/>
      </patternFill>
    </fill>
    <fill>
      <patternFill patternType="solid">
        <fgColor rgb="FF764774"/>
        <bgColor indexed="64"/>
      </patternFill>
    </fill>
    <fill>
      <patternFill patternType="solid">
        <fgColor rgb="FF84657A"/>
        <bgColor indexed="64"/>
      </patternFill>
    </fill>
    <fill>
      <patternFill patternType="solid">
        <fgColor rgb="FF547333"/>
        <bgColor indexed="64"/>
      </patternFill>
    </fill>
    <fill>
      <patternFill patternType="solid">
        <fgColor rgb="FF5B8735"/>
        <bgColor indexed="64"/>
      </patternFill>
    </fill>
    <fill>
      <patternFill patternType="solid">
        <fgColor rgb="FF5D5947"/>
        <bgColor indexed="64"/>
      </patternFill>
    </fill>
    <fill>
      <patternFill patternType="solid">
        <fgColor rgb="FF955D90"/>
        <bgColor indexed="64"/>
      </patternFill>
    </fill>
    <fill>
      <patternFill patternType="solid">
        <fgColor rgb="FF9B649B"/>
        <bgColor indexed="64"/>
      </patternFill>
    </fill>
    <fill>
      <patternFill patternType="solid">
        <fgColor rgb="FF966295"/>
        <bgColor indexed="64"/>
      </patternFill>
    </fill>
    <fill>
      <patternFill patternType="solid">
        <fgColor rgb="FF926191"/>
        <bgColor indexed="64"/>
      </patternFill>
    </fill>
    <fill>
      <patternFill patternType="solid">
        <fgColor rgb="FFA26AA2"/>
        <bgColor indexed="64"/>
      </patternFill>
    </fill>
    <fill>
      <patternFill patternType="solid">
        <fgColor rgb="FF644272"/>
        <bgColor indexed="64"/>
      </patternFill>
    </fill>
    <fill>
      <patternFill patternType="solid">
        <fgColor rgb="FF192013"/>
        <bgColor indexed="64"/>
      </patternFill>
    </fill>
    <fill>
      <patternFill patternType="solid">
        <fgColor rgb="FF3B561A"/>
        <bgColor indexed="64"/>
      </patternFill>
    </fill>
    <fill>
      <patternFill patternType="solid">
        <fgColor rgb="FF486725"/>
        <bgColor indexed="64"/>
      </patternFill>
    </fill>
    <fill>
      <patternFill patternType="solid">
        <fgColor rgb="FF51702B"/>
        <bgColor indexed="64"/>
      </patternFill>
    </fill>
    <fill>
      <patternFill patternType="solid">
        <fgColor rgb="FF537E2D"/>
        <bgColor indexed="64"/>
      </patternFill>
    </fill>
    <fill>
      <patternFill patternType="solid">
        <fgColor rgb="FF516A22"/>
        <bgColor indexed="64"/>
      </patternFill>
    </fill>
    <fill>
      <patternFill patternType="solid">
        <fgColor rgb="FF726A1C"/>
        <bgColor indexed="64"/>
      </patternFill>
    </fill>
    <fill>
      <patternFill patternType="solid">
        <fgColor rgb="FF32350A"/>
        <bgColor indexed="64"/>
      </patternFill>
    </fill>
    <fill>
      <patternFill patternType="solid">
        <fgColor rgb="FF5E8D2E"/>
        <bgColor indexed="64"/>
      </patternFill>
    </fill>
    <fill>
      <patternFill patternType="solid">
        <fgColor rgb="FF6CA437"/>
        <bgColor indexed="64"/>
      </patternFill>
    </fill>
    <fill>
      <patternFill patternType="solid">
        <fgColor rgb="FF649737"/>
        <bgColor indexed="64"/>
      </patternFill>
    </fill>
    <fill>
      <patternFill patternType="solid">
        <fgColor rgb="FF619539"/>
        <bgColor indexed="64"/>
      </patternFill>
    </fill>
    <fill>
      <patternFill patternType="solid">
        <fgColor rgb="FF609736"/>
        <bgColor indexed="64"/>
      </patternFill>
    </fill>
    <fill>
      <patternFill patternType="solid">
        <fgColor rgb="FF5F9436"/>
        <bgColor indexed="64"/>
      </patternFill>
    </fill>
    <fill>
      <patternFill patternType="solid">
        <fgColor rgb="FF609636"/>
        <bgColor indexed="64"/>
      </patternFill>
    </fill>
    <fill>
      <patternFill patternType="solid">
        <fgColor rgb="FF5F9836"/>
        <bgColor indexed="64"/>
      </patternFill>
    </fill>
    <fill>
      <patternFill patternType="solid">
        <fgColor rgb="FF4B792C"/>
        <bgColor indexed="64"/>
      </patternFill>
    </fill>
    <fill>
      <patternFill patternType="solid">
        <fgColor rgb="FF5B611F"/>
        <bgColor indexed="64"/>
      </patternFill>
    </fill>
    <fill>
      <patternFill patternType="solid">
        <fgColor rgb="FF414011"/>
        <bgColor indexed="64"/>
      </patternFill>
    </fill>
    <fill>
      <patternFill patternType="solid">
        <fgColor rgb="FF365620"/>
        <bgColor indexed="64"/>
      </patternFill>
    </fill>
    <fill>
      <patternFill patternType="solid">
        <fgColor rgb="FF659F3F"/>
        <bgColor indexed="64"/>
      </patternFill>
    </fill>
    <fill>
      <patternFill patternType="solid">
        <fgColor rgb="FF60953D"/>
        <bgColor indexed="64"/>
      </patternFill>
    </fill>
    <fill>
      <patternFill patternType="solid">
        <fgColor rgb="FF61983B"/>
        <bgColor indexed="64"/>
      </patternFill>
    </fill>
    <fill>
      <patternFill patternType="solid">
        <fgColor rgb="FF629A39"/>
        <bgColor indexed="64"/>
      </patternFill>
    </fill>
    <fill>
      <patternFill patternType="solid">
        <fgColor rgb="FF578936"/>
        <bgColor indexed="64"/>
      </patternFill>
    </fill>
    <fill>
      <patternFill patternType="solid">
        <fgColor rgb="FF6E7422"/>
        <bgColor indexed="64"/>
      </patternFill>
    </fill>
    <fill>
      <patternFill patternType="solid">
        <fgColor rgb="FF6F671F"/>
        <bgColor indexed="64"/>
      </patternFill>
    </fill>
    <fill>
      <patternFill patternType="solid">
        <fgColor rgb="FF405E23"/>
        <bgColor indexed="64"/>
      </patternFill>
    </fill>
    <fill>
      <patternFill patternType="solid">
        <fgColor rgb="FF518830"/>
        <bgColor indexed="64"/>
      </patternFill>
    </fill>
    <fill>
      <patternFill patternType="solid">
        <fgColor rgb="FF508730"/>
        <bgColor indexed="64"/>
      </patternFill>
    </fill>
    <fill>
      <patternFill patternType="solid">
        <fgColor rgb="FF4D882E"/>
        <bgColor indexed="64"/>
      </patternFill>
    </fill>
    <fill>
      <patternFill patternType="solid">
        <fgColor rgb="FF4B872E"/>
        <bgColor indexed="64"/>
      </patternFill>
    </fill>
    <fill>
      <patternFill patternType="solid">
        <fgColor rgb="FF4E8C2F"/>
        <bgColor indexed="64"/>
      </patternFill>
    </fill>
    <fill>
      <patternFill patternType="solid">
        <fgColor rgb="FF528E2C"/>
        <bgColor indexed="64"/>
      </patternFill>
    </fill>
    <fill>
      <patternFill patternType="solid">
        <fgColor rgb="FF437827"/>
        <bgColor indexed="64"/>
      </patternFill>
    </fill>
    <fill>
      <patternFill patternType="solid">
        <fgColor rgb="FF5D711C"/>
        <bgColor indexed="64"/>
      </patternFill>
    </fill>
    <fill>
      <patternFill patternType="solid">
        <fgColor rgb="FFA9A928"/>
        <bgColor indexed="64"/>
      </patternFill>
    </fill>
    <fill>
      <patternFill patternType="solid">
        <fgColor rgb="FF2F5118"/>
        <bgColor indexed="64"/>
      </patternFill>
    </fill>
    <fill>
      <patternFill patternType="solid">
        <fgColor rgb="FF3F7723"/>
        <bgColor indexed="64"/>
      </patternFill>
    </fill>
    <fill>
      <patternFill patternType="solid">
        <fgColor rgb="FF3F7820"/>
        <bgColor indexed="64"/>
      </patternFill>
    </fill>
    <fill>
      <patternFill patternType="solid">
        <fgColor rgb="FF3F7C22"/>
        <bgColor indexed="64"/>
      </patternFill>
    </fill>
    <fill>
      <patternFill patternType="solid">
        <fgColor rgb="FF417B25"/>
        <bgColor indexed="64"/>
      </patternFill>
    </fill>
    <fill>
      <patternFill patternType="solid">
        <fgColor rgb="FF3F7826"/>
        <bgColor indexed="64"/>
      </patternFill>
    </fill>
    <fill>
      <patternFill patternType="solid">
        <fgColor rgb="FF3D7827"/>
        <bgColor indexed="64"/>
      </patternFill>
    </fill>
    <fill>
      <patternFill patternType="solid">
        <fgColor rgb="FF3C7927"/>
        <bgColor indexed="64"/>
      </patternFill>
    </fill>
    <fill>
      <patternFill patternType="solid">
        <fgColor rgb="FF3B7726"/>
        <bgColor indexed="64"/>
      </patternFill>
    </fill>
    <fill>
      <patternFill patternType="solid">
        <fgColor rgb="FF367224"/>
        <bgColor indexed="64"/>
      </patternFill>
    </fill>
    <fill>
      <patternFill patternType="solid">
        <fgColor rgb="FFF97D2C"/>
        <bgColor indexed="64"/>
      </patternFill>
    </fill>
    <fill>
      <patternFill patternType="solid">
        <fgColor rgb="FFF37B2B"/>
        <bgColor indexed="64"/>
      </patternFill>
    </fill>
    <fill>
      <patternFill patternType="solid">
        <fgColor rgb="FFF4792E"/>
        <bgColor indexed="64"/>
      </patternFill>
    </fill>
    <fill>
      <patternFill patternType="solid">
        <fgColor rgb="FFF67E2C"/>
        <bgColor indexed="64"/>
      </patternFill>
    </fill>
    <fill>
      <patternFill patternType="solid">
        <fgColor rgb="FFF77F2C"/>
        <bgColor indexed="64"/>
      </patternFill>
    </fill>
    <fill>
      <patternFill patternType="solid">
        <fgColor rgb="FFED7C29"/>
        <bgColor indexed="64"/>
      </patternFill>
    </fill>
    <fill>
      <patternFill patternType="solid">
        <fgColor rgb="FFDE7927"/>
        <bgColor indexed="64"/>
      </patternFill>
    </fill>
    <fill>
      <patternFill patternType="solid">
        <fgColor rgb="FFC16B22"/>
        <bgColor indexed="64"/>
      </patternFill>
    </fill>
    <fill>
      <patternFill patternType="solid">
        <fgColor rgb="FF6F6820"/>
        <bgColor indexed="64"/>
      </patternFill>
    </fill>
    <fill>
      <patternFill patternType="solid">
        <fgColor rgb="FF5B9833"/>
        <bgColor indexed="64"/>
      </patternFill>
    </fill>
    <fill>
      <patternFill patternType="solid">
        <fgColor rgb="FF669C32"/>
        <bgColor indexed="64"/>
      </patternFill>
    </fill>
    <fill>
      <patternFill patternType="solid">
        <fgColor rgb="FF66982E"/>
        <bgColor indexed="64"/>
      </patternFill>
    </fill>
    <fill>
      <patternFill patternType="solid">
        <fgColor rgb="FF669B30"/>
        <bgColor indexed="64"/>
      </patternFill>
    </fill>
    <fill>
      <patternFill patternType="solid">
        <fgColor rgb="FF5B8B2D"/>
        <bgColor indexed="64"/>
      </patternFill>
    </fill>
    <fill>
      <patternFill patternType="solid">
        <fgColor rgb="FF6F7228"/>
        <bgColor indexed="64"/>
      </patternFill>
    </fill>
    <fill>
      <patternFill patternType="solid">
        <fgColor rgb="FFB0A02C"/>
        <bgColor indexed="64"/>
      </patternFill>
    </fill>
    <fill>
      <patternFill patternType="solid">
        <fgColor rgb="FF848B26"/>
        <bgColor indexed="64"/>
      </patternFill>
    </fill>
    <fill>
      <patternFill patternType="solid">
        <fgColor rgb="FF497728"/>
        <bgColor indexed="64"/>
      </patternFill>
    </fill>
    <fill>
      <patternFill patternType="solid">
        <fgColor rgb="FF5D9131"/>
        <bgColor indexed="64"/>
      </patternFill>
    </fill>
    <fill>
      <patternFill patternType="solid">
        <fgColor rgb="FF5D9230"/>
        <bgColor indexed="64"/>
      </patternFill>
    </fill>
    <fill>
      <patternFill patternType="solid">
        <fgColor rgb="FF5E9431"/>
        <bgColor indexed="64"/>
      </patternFill>
    </fill>
    <fill>
      <patternFill patternType="solid">
        <fgColor rgb="FF5E9531"/>
        <bgColor indexed="64"/>
      </patternFill>
    </fill>
    <fill>
      <patternFill patternType="solid">
        <fgColor rgb="FF609433"/>
        <bgColor indexed="64"/>
      </patternFill>
    </fill>
    <fill>
      <patternFill patternType="solid">
        <fgColor rgb="FF609435"/>
        <bgColor indexed="64"/>
      </patternFill>
    </fill>
    <fill>
      <patternFill patternType="solid">
        <fgColor rgb="FF609734"/>
        <bgColor indexed="64"/>
      </patternFill>
    </fill>
    <fill>
      <patternFill patternType="solid">
        <fgColor rgb="FF629633"/>
        <bgColor indexed="64"/>
      </patternFill>
    </fill>
    <fill>
      <patternFill patternType="solid">
        <fgColor rgb="FF609536"/>
        <bgColor indexed="64"/>
      </patternFill>
    </fill>
    <fill>
      <patternFill patternType="solid">
        <fgColor rgb="FF649A38"/>
        <bgColor indexed="64"/>
      </patternFill>
    </fill>
    <fill>
      <patternFill patternType="solid">
        <fgColor rgb="FF598931"/>
        <bgColor indexed="64"/>
      </patternFill>
    </fill>
    <fill>
      <patternFill patternType="solid">
        <fgColor rgb="FF4C722C"/>
        <bgColor indexed="64"/>
      </patternFill>
    </fill>
    <fill>
      <patternFill patternType="solid">
        <fgColor rgb="FF6DA539"/>
        <bgColor indexed="64"/>
      </patternFill>
    </fill>
    <fill>
      <patternFill patternType="solid">
        <fgColor rgb="FF5F6A3F"/>
        <bgColor indexed="64"/>
      </patternFill>
    </fill>
    <fill>
      <patternFill patternType="solid">
        <fgColor rgb="FF8F5A8B"/>
        <bgColor indexed="64"/>
      </patternFill>
    </fill>
    <fill>
      <patternFill patternType="solid">
        <fgColor rgb="FF986496"/>
        <bgColor indexed="64"/>
      </patternFill>
    </fill>
    <fill>
      <patternFill patternType="solid">
        <fgColor rgb="FF58494F"/>
        <bgColor indexed="64"/>
      </patternFill>
    </fill>
    <fill>
      <patternFill patternType="solid">
        <fgColor rgb="FF403C2E"/>
        <bgColor indexed="64"/>
      </patternFill>
    </fill>
    <fill>
      <patternFill patternType="solid">
        <fgColor rgb="FF945C8B"/>
        <bgColor indexed="64"/>
      </patternFill>
    </fill>
    <fill>
      <patternFill patternType="solid">
        <fgColor rgb="FF986499"/>
        <bgColor indexed="64"/>
      </patternFill>
    </fill>
    <fill>
      <patternFill patternType="solid">
        <fgColor rgb="FF925F94"/>
        <bgColor indexed="64"/>
      </patternFill>
    </fill>
    <fill>
      <patternFill patternType="solid">
        <fgColor rgb="FF956097"/>
        <bgColor indexed="64"/>
      </patternFill>
    </fill>
    <fill>
      <patternFill patternType="solid">
        <fgColor rgb="FF946196"/>
        <bgColor indexed="64"/>
      </patternFill>
    </fill>
    <fill>
      <patternFill patternType="solid">
        <fgColor rgb="FF966297"/>
        <bgColor indexed="64"/>
      </patternFill>
    </fill>
    <fill>
      <patternFill patternType="solid">
        <fgColor rgb="FF6C4768"/>
        <bgColor indexed="64"/>
      </patternFill>
    </fill>
    <fill>
      <patternFill patternType="solid">
        <fgColor rgb="FF6D4B60"/>
        <bgColor indexed="64"/>
      </patternFill>
    </fill>
    <fill>
      <patternFill patternType="solid">
        <fgColor rgb="FF85597C"/>
        <bgColor indexed="64"/>
      </patternFill>
    </fill>
    <fill>
      <patternFill patternType="solid">
        <fgColor rgb="FF84577B"/>
        <bgColor indexed="64"/>
      </patternFill>
    </fill>
    <fill>
      <patternFill patternType="solid">
        <fgColor rgb="FF825676"/>
        <bgColor indexed="64"/>
      </patternFill>
    </fill>
    <fill>
      <patternFill patternType="solid">
        <fgColor rgb="FF7B5372"/>
        <bgColor indexed="64"/>
      </patternFill>
    </fill>
    <fill>
      <patternFill patternType="solid">
        <fgColor rgb="FF604C40"/>
        <bgColor indexed="64"/>
      </patternFill>
    </fill>
    <fill>
      <patternFill patternType="solid">
        <fgColor rgb="FF918D23"/>
        <bgColor indexed="64"/>
      </patternFill>
    </fill>
    <fill>
      <patternFill patternType="solid">
        <fgColor rgb="FF5D6018"/>
        <bgColor indexed="64"/>
      </patternFill>
    </fill>
    <fill>
      <patternFill patternType="solid">
        <fgColor rgb="FF52612D"/>
        <bgColor indexed="64"/>
      </patternFill>
    </fill>
    <fill>
      <patternFill patternType="solid">
        <fgColor rgb="FF689039"/>
        <bgColor indexed="64"/>
      </patternFill>
    </fill>
    <fill>
      <patternFill patternType="solid">
        <fgColor rgb="FF649D37"/>
        <bgColor indexed="64"/>
      </patternFill>
    </fill>
    <fill>
      <patternFill patternType="solid">
        <fgColor rgb="FF5F9634"/>
        <bgColor indexed="64"/>
      </patternFill>
    </fill>
    <fill>
      <patternFill patternType="solid">
        <fgColor rgb="FF5E9435"/>
        <bgColor indexed="64"/>
      </patternFill>
    </fill>
    <fill>
      <patternFill patternType="solid">
        <fgColor rgb="FF5E9436"/>
        <bgColor indexed="64"/>
      </patternFill>
    </fill>
    <fill>
      <patternFill patternType="solid">
        <fgColor rgb="FF497128"/>
        <bgColor indexed="64"/>
      </patternFill>
    </fill>
    <fill>
      <patternFill patternType="solid">
        <fgColor rgb="FF989A2B"/>
        <bgColor indexed="64"/>
      </patternFill>
    </fill>
    <fill>
      <patternFill patternType="solid">
        <fgColor rgb="FF929128"/>
        <bgColor indexed="64"/>
      </patternFill>
    </fill>
    <fill>
      <patternFill patternType="solid">
        <fgColor rgb="FF436124"/>
        <bgColor indexed="64"/>
      </patternFill>
    </fill>
    <fill>
      <patternFill patternType="solid">
        <fgColor rgb="FF629A3C"/>
        <bgColor indexed="64"/>
      </patternFill>
    </fill>
    <fill>
      <patternFill patternType="solid">
        <fgColor rgb="FF60953C"/>
        <bgColor indexed="64"/>
      </patternFill>
    </fill>
    <fill>
      <patternFill patternType="solid">
        <fgColor rgb="FF619639"/>
        <bgColor indexed="64"/>
      </patternFill>
    </fill>
    <fill>
      <patternFill patternType="solid">
        <fgColor rgb="FF60993A"/>
        <bgColor indexed="64"/>
      </patternFill>
    </fill>
    <fill>
      <patternFill patternType="solid">
        <fgColor rgb="FF578637"/>
        <bgColor indexed="64"/>
      </patternFill>
    </fill>
    <fill>
      <patternFill patternType="solid">
        <fgColor rgb="FF262E0D"/>
        <bgColor indexed="64"/>
      </patternFill>
    </fill>
    <fill>
      <patternFill patternType="solid">
        <fgColor rgb="FF111403"/>
        <bgColor indexed="64"/>
      </patternFill>
    </fill>
    <fill>
      <patternFill patternType="solid">
        <fgColor rgb="FF355A1F"/>
        <bgColor indexed="64"/>
      </patternFill>
    </fill>
    <fill>
      <patternFill patternType="solid">
        <fgColor rgb="FF548E33"/>
        <bgColor indexed="64"/>
      </patternFill>
    </fill>
    <fill>
      <patternFill patternType="solid">
        <fgColor rgb="FF4C872E"/>
        <bgColor indexed="64"/>
      </patternFill>
    </fill>
    <fill>
      <patternFill patternType="solid">
        <fgColor rgb="FF4D892E"/>
        <bgColor indexed="64"/>
      </patternFill>
    </fill>
    <fill>
      <patternFill patternType="solid">
        <fgColor rgb="FF4C8630"/>
        <bgColor indexed="64"/>
      </patternFill>
    </fill>
    <fill>
      <patternFill patternType="solid">
        <fgColor rgb="FF4C862F"/>
        <bgColor indexed="64"/>
      </patternFill>
    </fill>
    <fill>
      <patternFill patternType="solid">
        <fgColor rgb="FF4D8A2F"/>
        <bgColor indexed="64"/>
      </patternFill>
    </fill>
    <fill>
      <patternFill patternType="solid">
        <fgColor rgb="FF4D882D"/>
        <bgColor indexed="64"/>
      </patternFill>
    </fill>
    <fill>
      <patternFill patternType="solid">
        <fgColor rgb="FF437B28"/>
        <bgColor indexed="64"/>
      </patternFill>
    </fill>
    <fill>
      <patternFill patternType="solid">
        <fgColor rgb="FF4C6218"/>
        <bgColor indexed="64"/>
      </patternFill>
    </fill>
    <fill>
      <patternFill patternType="solid">
        <fgColor rgb="FFC1C02C"/>
        <bgColor indexed="64"/>
      </patternFill>
    </fill>
    <fill>
      <patternFill patternType="solid">
        <fgColor rgb="FF4E671B"/>
        <bgColor indexed="64"/>
      </patternFill>
    </fill>
    <fill>
      <patternFill patternType="solid">
        <fgColor rgb="FF377322"/>
        <bgColor indexed="64"/>
      </patternFill>
    </fill>
    <fill>
      <patternFill patternType="solid">
        <fgColor rgb="FF3A7320"/>
        <bgColor indexed="64"/>
      </patternFill>
    </fill>
    <fill>
      <patternFill patternType="solid">
        <fgColor rgb="FF31651B"/>
        <bgColor indexed="64"/>
      </patternFill>
    </fill>
    <fill>
      <patternFill patternType="solid">
        <fgColor rgb="FF3E7522"/>
        <bgColor indexed="64"/>
      </patternFill>
    </fill>
    <fill>
      <patternFill patternType="solid">
        <fgColor rgb="FF3E7926"/>
        <bgColor indexed="64"/>
      </patternFill>
    </fill>
    <fill>
      <patternFill patternType="solid">
        <fgColor rgb="FF387025"/>
        <bgColor indexed="64"/>
      </patternFill>
    </fill>
    <fill>
      <patternFill patternType="solid">
        <fgColor rgb="FF387227"/>
        <bgColor indexed="64"/>
      </patternFill>
    </fill>
    <fill>
      <patternFill patternType="solid">
        <fgColor rgb="FF356F27"/>
        <bgColor indexed="64"/>
      </patternFill>
    </fill>
    <fill>
      <patternFill patternType="solid">
        <fgColor rgb="FFF67E2A"/>
        <bgColor indexed="64"/>
      </patternFill>
    </fill>
    <fill>
      <patternFill patternType="solid">
        <fgColor rgb="FFEF7829"/>
        <bgColor indexed="64"/>
      </patternFill>
    </fill>
    <fill>
      <patternFill patternType="solid">
        <fgColor rgb="FFF2782D"/>
        <bgColor indexed="64"/>
      </patternFill>
    </fill>
    <fill>
      <patternFill patternType="solid">
        <fgColor rgb="FFF27B2B"/>
        <bgColor indexed="64"/>
      </patternFill>
    </fill>
    <fill>
      <patternFill patternType="solid">
        <fgColor rgb="FFF37C2B"/>
        <bgColor indexed="64"/>
      </patternFill>
    </fill>
    <fill>
      <patternFill patternType="solid">
        <fgColor rgb="FFF77D2B"/>
        <bgColor indexed="64"/>
      </patternFill>
    </fill>
    <fill>
      <patternFill patternType="solid">
        <fgColor rgb="FFF7802D"/>
        <bgColor indexed="64"/>
      </patternFill>
    </fill>
    <fill>
      <patternFill patternType="solid">
        <fgColor rgb="FFE8722B"/>
        <bgColor indexed="64"/>
      </patternFill>
    </fill>
    <fill>
      <patternFill patternType="solid">
        <fgColor rgb="FFEC782B"/>
        <bgColor indexed="64"/>
      </patternFill>
    </fill>
    <fill>
      <patternFill patternType="solid">
        <fgColor rgb="FF8A6C24"/>
        <bgColor indexed="64"/>
      </patternFill>
    </fill>
    <fill>
      <patternFill patternType="solid">
        <fgColor rgb="FF5D812B"/>
        <bgColor indexed="64"/>
      </patternFill>
    </fill>
    <fill>
      <patternFill patternType="solid">
        <fgColor rgb="FF699831"/>
        <bgColor indexed="64"/>
      </patternFill>
    </fill>
    <fill>
      <patternFill patternType="solid">
        <fgColor rgb="FF64962D"/>
        <bgColor indexed="64"/>
      </patternFill>
    </fill>
    <fill>
      <patternFill patternType="solid">
        <fgColor rgb="FF5E902F"/>
        <bgColor indexed="64"/>
      </patternFill>
    </fill>
    <fill>
      <patternFill patternType="solid">
        <fgColor rgb="FF45501A"/>
        <bgColor indexed="64"/>
      </patternFill>
    </fill>
    <fill>
      <patternFill patternType="solid">
        <fgColor rgb="FF42360D"/>
        <bgColor indexed="64"/>
      </patternFill>
    </fill>
    <fill>
      <patternFill patternType="solid">
        <fgColor rgb="FFD7C831"/>
        <bgColor indexed="64"/>
      </patternFill>
    </fill>
    <fill>
      <patternFill patternType="solid">
        <fgColor rgb="FF848121"/>
        <bgColor indexed="64"/>
      </patternFill>
    </fill>
    <fill>
      <patternFill patternType="solid">
        <fgColor rgb="FF416724"/>
        <bgColor indexed="64"/>
      </patternFill>
    </fill>
    <fill>
      <patternFill patternType="solid">
        <fgColor rgb="FF5E9031"/>
        <bgColor indexed="64"/>
      </patternFill>
    </fill>
    <fill>
      <patternFill patternType="solid">
        <fgColor rgb="FF5D9031"/>
        <bgColor indexed="64"/>
      </patternFill>
    </fill>
    <fill>
      <patternFill patternType="solid">
        <fgColor rgb="FF5F932F"/>
        <bgColor indexed="64"/>
      </patternFill>
    </fill>
    <fill>
      <patternFill patternType="solid">
        <fgColor rgb="FF5F9430"/>
        <bgColor indexed="64"/>
      </patternFill>
    </fill>
    <fill>
      <patternFill patternType="solid">
        <fgColor rgb="FF619535"/>
        <bgColor indexed="64"/>
      </patternFill>
    </fill>
    <fill>
      <patternFill patternType="solid">
        <fgColor rgb="FF639835"/>
        <bgColor indexed="64"/>
      </patternFill>
    </fill>
    <fill>
      <patternFill patternType="solid">
        <fgColor rgb="FF5E9035"/>
        <bgColor indexed="64"/>
      </patternFill>
    </fill>
    <fill>
      <patternFill patternType="solid">
        <fgColor rgb="FF2B321D"/>
        <bgColor indexed="64"/>
      </patternFill>
    </fill>
    <fill>
      <patternFill patternType="solid">
        <fgColor rgb="FF618239"/>
        <bgColor indexed="64"/>
      </patternFill>
    </fill>
    <fill>
      <patternFill patternType="solid">
        <fgColor rgb="FF5E6E40"/>
        <bgColor indexed="64"/>
      </patternFill>
    </fill>
    <fill>
      <patternFill patternType="solid">
        <fgColor rgb="FF905A8E"/>
        <bgColor indexed="64"/>
      </patternFill>
    </fill>
    <fill>
      <patternFill patternType="solid">
        <fgColor rgb="FF81557E"/>
        <bgColor indexed="64"/>
      </patternFill>
    </fill>
    <fill>
      <patternFill patternType="solid">
        <fgColor rgb="FF7C4E73"/>
        <bgColor indexed="64"/>
      </patternFill>
    </fill>
    <fill>
      <patternFill patternType="solid">
        <fgColor rgb="FF986398"/>
        <bgColor indexed="64"/>
      </patternFill>
    </fill>
    <fill>
      <patternFill patternType="solid">
        <fgColor rgb="FF8F6090"/>
        <bgColor indexed="64"/>
      </patternFill>
    </fill>
    <fill>
      <patternFill patternType="solid">
        <fgColor rgb="FF906092"/>
        <bgColor indexed="64"/>
      </patternFill>
    </fill>
    <fill>
      <patternFill patternType="solid">
        <fgColor rgb="FF916094"/>
        <bgColor indexed="64"/>
      </patternFill>
    </fill>
    <fill>
      <patternFill patternType="solid">
        <fgColor rgb="FF926092"/>
        <bgColor indexed="64"/>
      </patternFill>
    </fill>
    <fill>
      <patternFill patternType="solid">
        <fgColor rgb="FF97649A"/>
        <bgColor indexed="64"/>
      </patternFill>
    </fill>
    <fill>
      <patternFill patternType="solid">
        <fgColor rgb="FF9B669E"/>
        <bgColor indexed="64"/>
      </patternFill>
    </fill>
    <fill>
      <patternFill patternType="solid">
        <fgColor rgb="FF99649B"/>
        <bgColor indexed="64"/>
      </patternFill>
    </fill>
    <fill>
      <patternFill patternType="solid">
        <fgColor rgb="FF976598"/>
        <bgColor indexed="64"/>
      </patternFill>
    </fill>
    <fill>
      <patternFill patternType="solid">
        <fgColor rgb="FF986595"/>
        <bgColor indexed="64"/>
      </patternFill>
    </fill>
    <fill>
      <patternFill patternType="solid">
        <fgColor rgb="FFA46AA1"/>
        <bgColor indexed="64"/>
      </patternFill>
    </fill>
    <fill>
      <patternFill patternType="solid">
        <fgColor rgb="FF734E69"/>
        <bgColor indexed="64"/>
      </patternFill>
    </fill>
    <fill>
      <patternFill patternType="solid">
        <fgColor rgb="FFBCB528"/>
        <bgColor indexed="64"/>
      </patternFill>
    </fill>
    <fill>
      <patternFill patternType="solid">
        <fgColor rgb="FFB9B42B"/>
        <bgColor indexed="64"/>
      </patternFill>
    </fill>
    <fill>
      <patternFill patternType="solid">
        <fgColor rgb="FF734A64"/>
        <bgColor indexed="64"/>
      </patternFill>
    </fill>
    <fill>
      <patternFill patternType="solid">
        <fgColor rgb="FF8D6584"/>
        <bgColor indexed="64"/>
      </patternFill>
    </fill>
    <fill>
      <patternFill patternType="solid">
        <fgColor rgb="FF5E6642"/>
        <bgColor indexed="64"/>
      </patternFill>
    </fill>
    <fill>
      <patternFill patternType="solid">
        <fgColor rgb="FF5C8933"/>
        <bgColor indexed="64"/>
      </patternFill>
    </fill>
    <fill>
      <patternFill patternType="solid">
        <fgColor rgb="FF639A37"/>
        <bgColor indexed="64"/>
      </patternFill>
    </fill>
    <fill>
      <patternFill patternType="solid">
        <fgColor rgb="FF5D9334"/>
        <bgColor indexed="64"/>
      </patternFill>
    </fill>
    <fill>
      <patternFill patternType="solid">
        <fgColor rgb="FF5B9133"/>
        <bgColor indexed="64"/>
      </patternFill>
    </fill>
    <fill>
      <patternFill patternType="solid">
        <fgColor rgb="FF609836"/>
        <bgColor indexed="64"/>
      </patternFill>
    </fill>
    <fill>
      <patternFill patternType="solid">
        <fgColor rgb="FF3E6825"/>
        <bgColor indexed="64"/>
      </patternFill>
    </fill>
    <fill>
      <patternFill patternType="solid">
        <fgColor rgb="FFA4A527"/>
        <bgColor indexed="64"/>
      </patternFill>
    </fill>
    <fill>
      <patternFill patternType="solid">
        <fgColor rgb="FFD2CE2F"/>
        <bgColor indexed="64"/>
      </patternFill>
    </fill>
    <fill>
      <patternFill patternType="solid">
        <fgColor rgb="FF4B6823"/>
        <bgColor indexed="64"/>
      </patternFill>
    </fill>
    <fill>
      <patternFill patternType="solid">
        <fgColor rgb="FF60983A"/>
        <bgColor indexed="64"/>
      </patternFill>
    </fill>
    <fill>
      <patternFill patternType="solid">
        <fgColor rgb="FF5E9439"/>
        <bgColor indexed="64"/>
      </patternFill>
    </fill>
    <fill>
      <patternFill patternType="solid">
        <fgColor rgb="FF5F9636"/>
        <bgColor indexed="64"/>
      </patternFill>
    </fill>
    <fill>
      <patternFill patternType="solid">
        <fgColor rgb="FF5F9839"/>
        <bgColor indexed="64"/>
      </patternFill>
    </fill>
    <fill>
      <patternFill patternType="solid">
        <fgColor rgb="FF4B772F"/>
        <bgColor indexed="64"/>
      </patternFill>
    </fill>
    <fill>
      <patternFill patternType="solid">
        <fgColor rgb="FF6C7621"/>
        <bgColor indexed="64"/>
      </patternFill>
    </fill>
    <fill>
      <patternFill patternType="solid">
        <fgColor rgb="FF6B6F1B"/>
        <bgColor indexed="64"/>
      </patternFill>
    </fill>
    <fill>
      <patternFill patternType="solid">
        <fgColor rgb="FF355C1D"/>
        <bgColor indexed="64"/>
      </patternFill>
    </fill>
    <fill>
      <patternFill patternType="solid">
        <fgColor rgb="FF4F8C2D"/>
        <bgColor indexed="64"/>
      </patternFill>
    </fill>
    <fill>
      <patternFill patternType="solid">
        <fgColor rgb="FF4B872C"/>
        <bgColor indexed="64"/>
      </patternFill>
    </fill>
    <fill>
      <patternFill patternType="solid">
        <fgColor rgb="FF4D872E"/>
        <bgColor indexed="64"/>
      </patternFill>
    </fill>
    <fill>
      <patternFill patternType="solid">
        <fgColor rgb="FF4C852F"/>
        <bgColor indexed="64"/>
      </patternFill>
    </fill>
    <fill>
      <patternFill patternType="solid">
        <fgColor rgb="FF4B842D"/>
        <bgColor indexed="64"/>
      </patternFill>
    </fill>
    <fill>
      <patternFill patternType="solid">
        <fgColor rgb="FF49822E"/>
        <bgColor indexed="64"/>
      </patternFill>
    </fill>
    <fill>
      <patternFill patternType="solid">
        <fgColor rgb="FF46802A"/>
        <bgColor indexed="64"/>
      </patternFill>
    </fill>
    <fill>
      <patternFill patternType="solid">
        <fgColor rgb="FF45802A"/>
        <bgColor indexed="64"/>
      </patternFill>
    </fill>
    <fill>
      <patternFill patternType="solid">
        <fgColor rgb="FF3C5919"/>
        <bgColor indexed="64"/>
      </patternFill>
    </fill>
    <fill>
      <patternFill patternType="solid">
        <fgColor rgb="FFBBBB2B"/>
        <bgColor indexed="64"/>
      </patternFill>
    </fill>
    <fill>
      <patternFill patternType="solid">
        <fgColor rgb="FF606F1B"/>
        <bgColor indexed="64"/>
      </patternFill>
    </fill>
    <fill>
      <patternFill patternType="solid">
        <fgColor rgb="FF32671E"/>
        <bgColor indexed="64"/>
      </patternFill>
    </fill>
    <fill>
      <patternFill patternType="solid">
        <fgColor rgb="FF377020"/>
        <bgColor indexed="64"/>
      </patternFill>
    </fill>
    <fill>
      <patternFill patternType="solid">
        <fgColor rgb="FF416D19"/>
        <bgColor indexed="64"/>
      </patternFill>
    </fill>
    <fill>
      <patternFill patternType="solid">
        <fgColor rgb="FF5E7019"/>
        <bgColor indexed="64"/>
      </patternFill>
    </fill>
    <fill>
      <patternFill patternType="solid">
        <fgColor rgb="FF32631B"/>
        <bgColor indexed="64"/>
      </patternFill>
    </fill>
    <fill>
      <patternFill patternType="solid">
        <fgColor rgb="FF2E651C"/>
        <bgColor indexed="64"/>
      </patternFill>
    </fill>
    <fill>
      <patternFill patternType="solid">
        <fgColor rgb="FF234B14"/>
        <bgColor indexed="64"/>
      </patternFill>
    </fill>
    <fill>
      <patternFill patternType="solid">
        <fgColor rgb="FF27571B"/>
        <bgColor indexed="64"/>
      </patternFill>
    </fill>
    <fill>
      <patternFill patternType="solid">
        <fgColor rgb="FF326B23"/>
        <bgColor indexed="64"/>
      </patternFill>
    </fill>
    <fill>
      <patternFill patternType="solid">
        <fgColor rgb="FFF37A27"/>
        <bgColor indexed="64"/>
      </patternFill>
    </fill>
    <fill>
      <patternFill patternType="solid">
        <fgColor rgb="FFEE7429"/>
        <bgColor indexed="64"/>
      </patternFill>
    </fill>
    <fill>
      <patternFill patternType="solid">
        <fgColor rgb="FFF0762A"/>
        <bgColor indexed="64"/>
      </patternFill>
    </fill>
    <fill>
      <patternFill patternType="solid">
        <fgColor rgb="FFF1792A"/>
        <bgColor indexed="64"/>
      </patternFill>
    </fill>
    <fill>
      <patternFill patternType="solid">
        <fgColor rgb="FFF37D2B"/>
        <bgColor indexed="64"/>
      </patternFill>
    </fill>
    <fill>
      <patternFill patternType="solid">
        <fgColor rgb="FFEE7C2A"/>
        <bgColor indexed="64"/>
      </patternFill>
    </fill>
    <fill>
      <patternFill patternType="solid">
        <fgColor rgb="FFF47E2B"/>
        <bgColor indexed="64"/>
      </patternFill>
    </fill>
    <fill>
      <patternFill patternType="solid">
        <fgColor rgb="FFC46424"/>
        <bgColor indexed="64"/>
      </patternFill>
    </fill>
    <fill>
      <patternFill patternType="solid">
        <fgColor rgb="FFA6521E"/>
        <bgColor indexed="64"/>
      </patternFill>
    </fill>
    <fill>
      <patternFill patternType="solid">
        <fgColor rgb="FFB45F1F"/>
        <bgColor indexed="64"/>
      </patternFill>
    </fill>
    <fill>
      <patternFill patternType="solid">
        <fgColor rgb="FF784814"/>
        <bgColor indexed="64"/>
      </patternFill>
    </fill>
    <fill>
      <patternFill patternType="solid">
        <fgColor rgb="FF475217"/>
        <bgColor indexed="64"/>
      </patternFill>
    </fill>
    <fill>
      <patternFill patternType="solid">
        <fgColor rgb="FF487020"/>
        <bgColor indexed="64"/>
      </patternFill>
    </fill>
    <fill>
      <patternFill patternType="solid">
        <fgColor rgb="FF619330"/>
        <bgColor indexed="64"/>
      </patternFill>
    </fill>
    <fill>
      <patternFill patternType="solid">
        <fgColor rgb="FF243912"/>
        <bgColor indexed="64"/>
      </patternFill>
    </fill>
    <fill>
      <patternFill patternType="solid">
        <fgColor rgb="FF100D00"/>
        <bgColor indexed="64"/>
      </patternFill>
    </fill>
    <fill>
      <patternFill patternType="solid">
        <fgColor rgb="FF645A1D"/>
        <bgColor indexed="64"/>
      </patternFill>
    </fill>
    <fill>
      <patternFill patternType="solid">
        <fgColor rgb="FF35320B"/>
        <bgColor indexed="64"/>
      </patternFill>
    </fill>
    <fill>
      <patternFill patternType="solid">
        <fgColor rgb="FF3D5C1F"/>
        <bgColor indexed="64"/>
      </patternFill>
    </fill>
    <fill>
      <patternFill patternType="solid">
        <fgColor rgb="FF619733"/>
        <bgColor indexed="64"/>
      </patternFill>
    </fill>
    <fill>
      <patternFill patternType="solid">
        <fgColor rgb="FF5C8F2F"/>
        <bgColor indexed="64"/>
      </patternFill>
    </fill>
    <fill>
      <patternFill patternType="solid">
        <fgColor rgb="FF5C902F"/>
        <bgColor indexed="64"/>
      </patternFill>
    </fill>
    <fill>
      <patternFill patternType="solid">
        <fgColor rgb="FF5D932D"/>
        <bgColor indexed="64"/>
      </patternFill>
    </fill>
    <fill>
      <patternFill patternType="solid">
        <fgColor rgb="FF5F942F"/>
        <bgColor indexed="64"/>
      </patternFill>
    </fill>
    <fill>
      <patternFill patternType="solid">
        <fgColor rgb="FF609430"/>
        <bgColor indexed="64"/>
      </patternFill>
    </fill>
    <fill>
      <patternFill patternType="solid">
        <fgColor rgb="FF5F9432"/>
        <bgColor indexed="64"/>
      </patternFill>
    </fill>
    <fill>
      <patternFill patternType="solid">
        <fgColor rgb="FF609334"/>
        <bgColor indexed="64"/>
      </patternFill>
    </fill>
    <fill>
      <patternFill patternType="solid">
        <fgColor rgb="FF619434"/>
        <bgColor indexed="64"/>
      </patternFill>
    </fill>
    <fill>
      <patternFill patternType="solid">
        <fgColor rgb="FF5E9235"/>
        <bgColor indexed="64"/>
      </patternFill>
    </fill>
    <fill>
      <patternFill patternType="solid">
        <fgColor rgb="FF4D463F"/>
        <bgColor indexed="64"/>
      </patternFill>
    </fill>
    <fill>
      <patternFill patternType="solid">
        <fgColor rgb="FF644D54"/>
        <bgColor indexed="64"/>
      </patternFill>
    </fill>
    <fill>
      <patternFill patternType="solid">
        <fgColor rgb="FF4B5139"/>
        <bgColor indexed="64"/>
      </patternFill>
    </fill>
    <fill>
      <patternFill patternType="solid">
        <fgColor rgb="FF81547F"/>
        <bgColor indexed="64"/>
      </patternFill>
    </fill>
    <fill>
      <patternFill patternType="solid">
        <fgColor rgb="FF956296"/>
        <bgColor indexed="64"/>
      </patternFill>
    </fill>
    <fill>
      <patternFill patternType="solid">
        <fgColor rgb="FF916092"/>
        <bgColor indexed="64"/>
      </patternFill>
    </fill>
    <fill>
      <patternFill patternType="solid">
        <fgColor rgb="FF946194"/>
        <bgColor indexed="64"/>
      </patternFill>
    </fill>
    <fill>
      <patternFill patternType="solid">
        <fgColor rgb="FF925E92"/>
        <bgColor indexed="64"/>
      </patternFill>
    </fill>
    <fill>
      <patternFill patternType="solid">
        <fgColor rgb="FF8E5F92"/>
        <bgColor indexed="64"/>
      </patternFill>
    </fill>
    <fill>
      <patternFill patternType="solid">
        <fgColor rgb="FF8E6091"/>
        <bgColor indexed="64"/>
      </patternFill>
    </fill>
    <fill>
      <patternFill patternType="solid">
        <fgColor rgb="FF8F5E92"/>
        <bgColor indexed="64"/>
      </patternFill>
    </fill>
    <fill>
      <patternFill patternType="solid">
        <fgColor rgb="FF905E93"/>
        <bgColor indexed="64"/>
      </patternFill>
    </fill>
    <fill>
      <patternFill patternType="solid">
        <fgColor rgb="FF8E5E90"/>
        <bgColor indexed="64"/>
      </patternFill>
    </fill>
    <fill>
      <patternFill patternType="solid">
        <fgColor rgb="FF925F92"/>
        <bgColor indexed="64"/>
      </patternFill>
    </fill>
    <fill>
      <patternFill patternType="solid">
        <fgColor rgb="FF915F92"/>
        <bgColor indexed="64"/>
      </patternFill>
    </fill>
    <fill>
      <patternFill patternType="solid">
        <fgColor rgb="FF8D6092"/>
        <bgColor indexed="64"/>
      </patternFill>
    </fill>
    <fill>
      <patternFill patternType="solid">
        <fgColor rgb="FF91608F"/>
        <bgColor indexed="64"/>
      </patternFill>
    </fill>
    <fill>
      <patternFill patternType="solid">
        <fgColor rgb="FF996497"/>
        <bgColor indexed="64"/>
      </patternFill>
    </fill>
    <fill>
      <patternFill patternType="solid">
        <fgColor rgb="FF714D6A"/>
        <bgColor indexed="64"/>
      </patternFill>
    </fill>
    <fill>
      <patternFill patternType="solid">
        <fgColor rgb="FFBFB328"/>
        <bgColor indexed="64"/>
      </patternFill>
    </fill>
    <fill>
      <patternFill patternType="solid">
        <fgColor rgb="FFCBC82B"/>
        <bgColor indexed="64"/>
      </patternFill>
    </fill>
    <fill>
      <patternFill patternType="solid">
        <fgColor rgb="FF6D515D"/>
        <bgColor indexed="64"/>
      </patternFill>
    </fill>
    <fill>
      <patternFill patternType="solid">
        <fgColor rgb="FF906194"/>
        <bgColor indexed="64"/>
      </patternFill>
    </fill>
    <fill>
      <patternFill patternType="solid">
        <fgColor rgb="FF5C405C"/>
        <bgColor indexed="64"/>
      </patternFill>
    </fill>
    <fill>
      <patternFill patternType="solid">
        <fgColor rgb="FF2E3820"/>
        <bgColor indexed="64"/>
      </patternFill>
    </fill>
    <fill>
      <patternFill patternType="solid">
        <fgColor rgb="FF497427"/>
        <bgColor indexed="64"/>
      </patternFill>
    </fill>
    <fill>
      <patternFill patternType="solid">
        <fgColor rgb="FF5C9236"/>
        <bgColor indexed="64"/>
      </patternFill>
    </fill>
    <fill>
      <patternFill patternType="solid">
        <fgColor rgb="FF5A9033"/>
        <bgColor indexed="64"/>
      </patternFill>
    </fill>
    <fill>
      <patternFill patternType="solid">
        <fgColor rgb="FF436E27"/>
        <bgColor indexed="64"/>
      </patternFill>
    </fill>
    <fill>
      <patternFill patternType="solid">
        <fgColor rgb="FF9E9F26"/>
        <bgColor indexed="64"/>
      </patternFill>
    </fill>
    <fill>
      <patternFill patternType="solid">
        <fgColor rgb="FFDFDB32"/>
        <bgColor indexed="64"/>
      </patternFill>
    </fill>
    <fill>
      <patternFill patternType="solid">
        <fgColor rgb="FF5A7524"/>
        <bgColor indexed="64"/>
      </patternFill>
    </fill>
    <fill>
      <patternFill patternType="solid">
        <fgColor rgb="FF679B42"/>
        <bgColor indexed="64"/>
      </patternFill>
    </fill>
    <fill>
      <patternFill patternType="solid">
        <fgColor rgb="FF5D963A"/>
        <bgColor indexed="64"/>
      </patternFill>
    </fill>
    <fill>
      <patternFill patternType="solid">
        <fgColor rgb="FF446E2D"/>
        <bgColor indexed="64"/>
      </patternFill>
    </fill>
    <fill>
      <patternFill patternType="solid">
        <fgColor rgb="FFA2AB28"/>
        <bgColor indexed="64"/>
      </patternFill>
    </fill>
    <fill>
      <patternFill patternType="solid">
        <fgColor rgb="FFBCBC2D"/>
        <bgColor indexed="64"/>
      </patternFill>
    </fill>
    <fill>
      <patternFill patternType="solid">
        <fgColor rgb="FF3E6622"/>
        <bgColor indexed="64"/>
      </patternFill>
    </fill>
    <fill>
      <patternFill patternType="solid">
        <fgColor rgb="FF4A892D"/>
        <bgColor indexed="64"/>
      </patternFill>
    </fill>
    <fill>
      <patternFill patternType="solid">
        <fgColor rgb="FF4B852D"/>
        <bgColor indexed="64"/>
      </patternFill>
    </fill>
    <fill>
      <patternFill patternType="solid">
        <fgColor rgb="FF4C852D"/>
        <bgColor indexed="64"/>
      </patternFill>
    </fill>
    <fill>
      <patternFill patternType="solid">
        <fgColor rgb="FF49832C"/>
        <bgColor indexed="64"/>
      </patternFill>
    </fill>
    <fill>
      <patternFill patternType="solid">
        <fgColor rgb="FF47812C"/>
        <bgColor indexed="64"/>
      </patternFill>
    </fill>
    <fill>
      <patternFill patternType="solid">
        <fgColor rgb="FF447F2C"/>
        <bgColor indexed="64"/>
      </patternFill>
    </fill>
    <fill>
      <patternFill patternType="solid">
        <fgColor rgb="FF447E2A"/>
        <bgColor indexed="64"/>
      </patternFill>
    </fill>
    <fill>
      <patternFill patternType="solid">
        <fgColor rgb="FF46812B"/>
        <bgColor indexed="64"/>
      </patternFill>
    </fill>
    <fill>
      <patternFill patternType="solid">
        <fgColor rgb="FF32561A"/>
        <bgColor indexed="64"/>
      </patternFill>
    </fill>
    <fill>
      <patternFill patternType="solid">
        <fgColor rgb="FFA6A926"/>
        <bgColor indexed="64"/>
      </patternFill>
    </fill>
    <fill>
      <patternFill patternType="solid">
        <fgColor rgb="FF838F20"/>
        <bgColor indexed="64"/>
      </patternFill>
    </fill>
    <fill>
      <patternFill patternType="solid">
        <fgColor rgb="FF2B5C19"/>
        <bgColor indexed="64"/>
      </patternFill>
    </fill>
    <fill>
      <patternFill patternType="solid">
        <fgColor rgb="FF386516"/>
        <bgColor indexed="64"/>
      </patternFill>
    </fill>
    <fill>
      <patternFill patternType="solid">
        <fgColor rgb="FF949F22"/>
        <bgColor indexed="64"/>
      </patternFill>
    </fill>
    <fill>
      <patternFill patternType="solid">
        <fgColor rgb="FF68711B"/>
        <bgColor indexed="64"/>
      </patternFill>
    </fill>
    <fill>
      <patternFill patternType="solid">
        <fgColor rgb="FF244E14"/>
        <bgColor indexed="64"/>
      </patternFill>
    </fill>
    <fill>
      <patternFill patternType="solid">
        <fgColor rgb="FF536715"/>
        <bgColor indexed="64"/>
      </patternFill>
    </fill>
    <fill>
      <patternFill patternType="solid">
        <fgColor rgb="FF505915"/>
        <bgColor indexed="64"/>
      </patternFill>
    </fill>
    <fill>
      <patternFill patternType="solid">
        <fgColor rgb="FF295A1D"/>
        <bgColor indexed="64"/>
      </patternFill>
    </fill>
    <fill>
      <patternFill patternType="solid">
        <fgColor rgb="FF316B23"/>
        <bgColor indexed="64"/>
      </patternFill>
    </fill>
    <fill>
      <patternFill patternType="solid">
        <fgColor rgb="FFF07627"/>
        <bgColor indexed="64"/>
      </patternFill>
    </fill>
    <fill>
      <patternFill patternType="solid">
        <fgColor rgb="FFE9752A"/>
        <bgColor indexed="64"/>
      </patternFill>
    </fill>
    <fill>
      <patternFill patternType="solid">
        <fgColor rgb="FFEF762A"/>
        <bgColor indexed="64"/>
      </patternFill>
    </fill>
    <fill>
      <patternFill patternType="solid">
        <fgColor rgb="FFE47627"/>
        <bgColor indexed="64"/>
      </patternFill>
    </fill>
    <fill>
      <patternFill patternType="solid">
        <fgColor rgb="FFD96927"/>
        <bgColor indexed="64"/>
      </patternFill>
    </fill>
    <fill>
      <patternFill patternType="solid">
        <fgColor rgb="FFF67E2E"/>
        <bgColor indexed="64"/>
      </patternFill>
    </fill>
    <fill>
      <patternFill patternType="solid">
        <fgColor rgb="FFEC7C29"/>
        <bgColor indexed="64"/>
      </patternFill>
    </fill>
    <fill>
      <patternFill patternType="solid">
        <fgColor rgb="FFF6822D"/>
        <bgColor indexed="64"/>
      </patternFill>
    </fill>
    <fill>
      <patternFill patternType="solid">
        <fgColor rgb="FFAC5F20"/>
        <bgColor indexed="64"/>
      </patternFill>
    </fill>
    <fill>
      <patternFill patternType="solid">
        <fgColor rgb="FF52611E"/>
        <bgColor indexed="64"/>
      </patternFill>
    </fill>
    <fill>
      <patternFill patternType="solid">
        <fgColor rgb="FF62872A"/>
        <bgColor indexed="64"/>
      </patternFill>
    </fill>
    <fill>
      <patternFill patternType="solid">
        <fgColor rgb="FF5B8727"/>
        <bgColor indexed="64"/>
      </patternFill>
    </fill>
    <fill>
      <patternFill patternType="solid">
        <fgColor rgb="FF5C8E2A"/>
        <bgColor indexed="64"/>
      </patternFill>
    </fill>
    <fill>
      <patternFill patternType="solid">
        <fgColor rgb="FF61962E"/>
        <bgColor indexed="64"/>
      </patternFill>
    </fill>
    <fill>
      <patternFill patternType="solid">
        <fgColor rgb="FF314A1C"/>
        <bgColor indexed="64"/>
      </patternFill>
    </fill>
    <fill>
      <patternFill patternType="solid">
        <fgColor rgb="FF1B1905"/>
        <bgColor indexed="64"/>
      </patternFill>
    </fill>
    <fill>
      <patternFill patternType="solid">
        <fgColor rgb="FF222208"/>
        <bgColor indexed="64"/>
      </patternFill>
    </fill>
    <fill>
      <patternFill patternType="solid">
        <fgColor rgb="FF181804"/>
        <bgColor indexed="64"/>
      </patternFill>
    </fill>
    <fill>
      <patternFill patternType="solid">
        <fgColor rgb="FF324B18"/>
        <bgColor indexed="64"/>
      </patternFill>
    </fill>
    <fill>
      <patternFill patternType="solid">
        <fgColor rgb="FF5F9532"/>
        <bgColor indexed="64"/>
      </patternFill>
    </fill>
    <fill>
      <patternFill patternType="solid">
        <fgColor rgb="FF5A8E2C"/>
        <bgColor indexed="64"/>
      </patternFill>
    </fill>
    <fill>
      <patternFill patternType="solid">
        <fgColor rgb="FF5B8F2D"/>
        <bgColor indexed="64"/>
      </patternFill>
    </fill>
    <fill>
      <patternFill patternType="solid">
        <fgColor rgb="FF5D912E"/>
        <bgColor indexed="64"/>
      </patternFill>
    </fill>
    <fill>
      <patternFill patternType="solid">
        <fgColor rgb="FF609331"/>
        <bgColor indexed="64"/>
      </patternFill>
    </fill>
    <fill>
      <patternFill patternType="solid">
        <fgColor rgb="FF5F932E"/>
        <bgColor indexed="64"/>
      </patternFill>
    </fill>
    <fill>
      <patternFill patternType="solid">
        <fgColor rgb="FF609231"/>
        <bgColor indexed="64"/>
      </patternFill>
    </fill>
    <fill>
      <patternFill patternType="solid">
        <fgColor rgb="FF5F9132"/>
        <bgColor indexed="64"/>
      </patternFill>
    </fill>
    <fill>
      <patternFill patternType="solid">
        <fgColor rgb="FF609332"/>
        <bgColor indexed="64"/>
      </patternFill>
    </fill>
    <fill>
      <patternFill patternType="solid">
        <fgColor rgb="FF5C9430"/>
        <bgColor indexed="64"/>
      </patternFill>
    </fill>
    <fill>
      <patternFill patternType="solid">
        <fgColor rgb="FF555C44"/>
        <bgColor indexed="64"/>
      </patternFill>
    </fill>
    <fill>
      <patternFill patternType="solid">
        <fgColor rgb="FF885788"/>
        <bgColor indexed="64"/>
      </patternFill>
    </fill>
    <fill>
      <patternFill patternType="solid">
        <fgColor rgb="FF613F5B"/>
        <bgColor indexed="64"/>
      </patternFill>
    </fill>
    <fill>
      <patternFill patternType="solid">
        <fgColor rgb="FF7D537A"/>
        <bgColor indexed="64"/>
      </patternFill>
    </fill>
    <fill>
      <patternFill patternType="solid">
        <fgColor rgb="FF906093"/>
        <bgColor indexed="64"/>
      </patternFill>
    </fill>
    <fill>
      <patternFill patternType="solid">
        <fgColor rgb="FF8E5E8F"/>
        <bgColor indexed="64"/>
      </patternFill>
    </fill>
    <fill>
      <patternFill patternType="solid">
        <fgColor rgb="FF915E8F"/>
        <bgColor indexed="64"/>
      </patternFill>
    </fill>
    <fill>
      <patternFill patternType="solid">
        <fgColor rgb="FF8D5D8F"/>
        <bgColor indexed="64"/>
      </patternFill>
    </fill>
    <fill>
      <patternFill patternType="solid">
        <fgColor rgb="FF8B5F90"/>
        <bgColor indexed="64"/>
      </patternFill>
    </fill>
    <fill>
      <patternFill patternType="solid">
        <fgColor rgb="FF8F5F8F"/>
        <bgColor indexed="64"/>
      </patternFill>
    </fill>
    <fill>
      <patternFill patternType="solid">
        <fgColor rgb="FF976394"/>
        <bgColor indexed="64"/>
      </patternFill>
    </fill>
    <fill>
      <patternFill patternType="solid">
        <fgColor rgb="FF714D6C"/>
        <bgColor indexed="64"/>
      </patternFill>
    </fill>
    <fill>
      <patternFill patternType="solid">
        <fgColor rgb="FFB5AC27"/>
        <bgColor indexed="64"/>
      </patternFill>
    </fill>
    <fill>
      <patternFill patternType="solid">
        <fgColor rgb="FFD6D32C"/>
        <bgColor indexed="64"/>
      </patternFill>
    </fill>
    <fill>
      <patternFill patternType="solid">
        <fgColor rgb="FF5F4C42"/>
        <bgColor indexed="64"/>
      </patternFill>
    </fill>
    <fill>
      <patternFill patternType="solid">
        <fgColor rgb="FF533C55"/>
        <bgColor indexed="64"/>
      </patternFill>
    </fill>
    <fill>
      <patternFill patternType="solid">
        <fgColor rgb="FF2F471D"/>
        <bgColor indexed="64"/>
      </patternFill>
    </fill>
    <fill>
      <patternFill patternType="solid">
        <fgColor rgb="FF548B29"/>
        <bgColor indexed="64"/>
      </patternFill>
    </fill>
    <fill>
      <patternFill patternType="solid">
        <fgColor rgb="FF508526"/>
        <bgColor indexed="64"/>
      </patternFill>
    </fill>
    <fill>
      <patternFill patternType="solid">
        <fgColor rgb="FF56892F"/>
        <bgColor indexed="64"/>
      </patternFill>
    </fill>
    <fill>
      <patternFill patternType="solid">
        <fgColor rgb="FF598F32"/>
        <bgColor indexed="64"/>
      </patternFill>
    </fill>
    <fill>
      <patternFill patternType="solid">
        <fgColor rgb="FF5D9533"/>
        <bgColor indexed="64"/>
      </patternFill>
    </fill>
    <fill>
      <patternFill patternType="solid">
        <fgColor rgb="FF426D28"/>
        <bgColor indexed="64"/>
      </patternFill>
    </fill>
    <fill>
      <patternFill patternType="solid">
        <fgColor rgb="FF9B9F25"/>
        <bgColor indexed="64"/>
      </patternFill>
    </fill>
    <fill>
      <patternFill patternType="solid">
        <fgColor rgb="FFDFDF34"/>
        <bgColor indexed="64"/>
      </patternFill>
    </fill>
    <fill>
      <patternFill patternType="solid">
        <fgColor rgb="FF5C7324"/>
        <bgColor indexed="64"/>
      </patternFill>
    </fill>
    <fill>
      <patternFill patternType="solid">
        <fgColor rgb="FF5B9136"/>
        <bgColor indexed="64"/>
      </patternFill>
    </fill>
    <fill>
      <patternFill patternType="solid">
        <fgColor rgb="FF5C9233"/>
        <bgColor indexed="64"/>
      </patternFill>
    </fill>
    <fill>
      <patternFill patternType="solid">
        <fgColor rgb="FF5A9338"/>
        <bgColor indexed="64"/>
      </patternFill>
    </fill>
    <fill>
      <patternFill patternType="solid">
        <fgColor rgb="FF47702C"/>
        <bgColor indexed="64"/>
      </patternFill>
    </fill>
    <fill>
      <patternFill patternType="solid">
        <fgColor rgb="FF989B26"/>
        <bgColor indexed="64"/>
      </patternFill>
    </fill>
    <fill>
      <patternFill patternType="solid">
        <fgColor rgb="FFA9AB29"/>
        <bgColor indexed="64"/>
      </patternFill>
    </fill>
    <fill>
      <patternFill patternType="solid">
        <fgColor rgb="FF3F6D24"/>
        <bgColor indexed="64"/>
      </patternFill>
    </fill>
    <fill>
      <patternFill patternType="solid">
        <fgColor rgb="FF4B8830"/>
        <bgColor indexed="64"/>
      </patternFill>
    </fill>
    <fill>
      <patternFill patternType="solid">
        <fgColor rgb="FF4B832C"/>
        <bgColor indexed="64"/>
      </patternFill>
    </fill>
    <fill>
      <patternFill patternType="solid">
        <fgColor rgb="FF48832D"/>
        <bgColor indexed="64"/>
      </patternFill>
    </fill>
    <fill>
      <patternFill patternType="solid">
        <fgColor rgb="FF47832D"/>
        <bgColor indexed="64"/>
      </patternFill>
    </fill>
    <fill>
      <patternFill patternType="solid">
        <fgColor rgb="FF46822B"/>
        <bgColor indexed="64"/>
      </patternFill>
    </fill>
    <fill>
      <patternFill patternType="solid">
        <fgColor rgb="FF3B7126"/>
        <bgColor indexed="64"/>
      </patternFill>
    </fill>
    <fill>
      <patternFill patternType="solid">
        <fgColor rgb="FF437F27"/>
        <bgColor indexed="64"/>
      </patternFill>
    </fill>
    <fill>
      <patternFill patternType="solid">
        <fgColor rgb="FF32621E"/>
        <bgColor indexed="64"/>
      </patternFill>
    </fill>
    <fill>
      <patternFill patternType="solid">
        <fgColor rgb="FF6B6E1F"/>
        <bgColor indexed="64"/>
      </patternFill>
    </fill>
    <fill>
      <patternFill patternType="solid">
        <fgColor rgb="FF737223"/>
        <bgColor indexed="64"/>
      </patternFill>
    </fill>
    <fill>
      <patternFill patternType="solid">
        <fgColor rgb="FF284913"/>
        <bgColor indexed="64"/>
      </patternFill>
    </fill>
    <fill>
      <patternFill patternType="solid">
        <fgColor rgb="FF87961E"/>
        <bgColor indexed="64"/>
      </patternFill>
    </fill>
    <fill>
      <patternFill patternType="solid">
        <fgColor rgb="FF988E20"/>
        <bgColor indexed="64"/>
      </patternFill>
    </fill>
    <fill>
      <patternFill patternType="solid">
        <fgColor rgb="FF344B0E"/>
        <bgColor indexed="64"/>
      </patternFill>
    </fill>
    <fill>
      <patternFill patternType="solid">
        <fgColor rgb="FF849B1F"/>
        <bgColor indexed="64"/>
      </patternFill>
    </fill>
    <fill>
      <patternFill patternType="solid">
        <fgColor rgb="FFA6AB24"/>
        <bgColor indexed="64"/>
      </patternFill>
    </fill>
    <fill>
      <patternFill patternType="solid">
        <fgColor rgb="FF656D19"/>
        <bgColor indexed="64"/>
      </patternFill>
    </fill>
    <fill>
      <patternFill patternType="solid">
        <fgColor rgb="FF23551A"/>
        <bgColor indexed="64"/>
      </patternFill>
    </fill>
    <fill>
      <patternFill patternType="solid">
        <fgColor rgb="FF285A1E"/>
        <bgColor indexed="64"/>
      </patternFill>
    </fill>
    <fill>
      <patternFill patternType="solid">
        <fgColor rgb="FF1B4616"/>
        <bgColor indexed="64"/>
      </patternFill>
    </fill>
    <fill>
      <patternFill patternType="solid">
        <fgColor rgb="FFEB7228"/>
        <bgColor indexed="64"/>
      </patternFill>
    </fill>
    <fill>
      <patternFill patternType="solid">
        <fgColor rgb="FFE67326"/>
        <bgColor indexed="64"/>
      </patternFill>
    </fill>
    <fill>
      <patternFill patternType="solid">
        <fgColor rgb="FFE87427"/>
        <bgColor indexed="64"/>
      </patternFill>
    </fill>
    <fill>
      <patternFill patternType="solid">
        <fgColor rgb="FFE57828"/>
        <bgColor indexed="64"/>
      </patternFill>
    </fill>
    <fill>
      <patternFill patternType="solid">
        <fgColor rgb="FFC56A21"/>
        <bgColor indexed="64"/>
      </patternFill>
    </fill>
    <fill>
      <patternFill patternType="solid">
        <fgColor rgb="FFB7571F"/>
        <bgColor indexed="64"/>
      </patternFill>
    </fill>
    <fill>
      <patternFill patternType="solid">
        <fgColor rgb="FFEC742B"/>
        <bgColor indexed="64"/>
      </patternFill>
    </fill>
    <fill>
      <patternFill patternType="solid">
        <fgColor rgb="FFEC7A2B"/>
        <bgColor indexed="64"/>
      </patternFill>
    </fill>
    <fill>
      <patternFill patternType="solid">
        <fgColor rgb="FFD66A24"/>
        <bgColor indexed="64"/>
      </patternFill>
    </fill>
    <fill>
      <patternFill patternType="solid">
        <fgColor rgb="FF806823"/>
        <bgColor indexed="64"/>
      </patternFill>
    </fill>
    <fill>
      <patternFill patternType="solid">
        <fgColor rgb="FF588F2E"/>
        <bgColor indexed="64"/>
      </patternFill>
    </fill>
    <fill>
      <patternFill patternType="solid">
        <fgColor rgb="FF5F902D"/>
        <bgColor indexed="64"/>
      </patternFill>
    </fill>
    <fill>
      <patternFill patternType="solid">
        <fgColor rgb="FF598C29"/>
        <bgColor indexed="64"/>
      </patternFill>
    </fill>
    <fill>
      <patternFill patternType="solid">
        <fgColor rgb="FF5B922A"/>
        <bgColor indexed="64"/>
      </patternFill>
    </fill>
    <fill>
      <patternFill patternType="solid">
        <fgColor rgb="FF4A451A"/>
        <bgColor indexed="64"/>
      </patternFill>
    </fill>
    <fill>
      <patternFill patternType="solid">
        <fgColor rgb="FF292B08"/>
        <bgColor indexed="64"/>
      </patternFill>
    </fill>
    <fill>
      <patternFill patternType="solid">
        <fgColor rgb="FF141402"/>
        <bgColor indexed="64"/>
      </patternFill>
    </fill>
    <fill>
      <patternFill patternType="solid">
        <fgColor rgb="FF2A3C13"/>
        <bgColor indexed="64"/>
      </patternFill>
    </fill>
    <fill>
      <patternFill patternType="solid">
        <fgColor rgb="FF5D8F2F"/>
        <bgColor indexed="64"/>
      </patternFill>
    </fill>
    <fill>
      <patternFill patternType="solid">
        <fgColor rgb="FF578A2B"/>
        <bgColor indexed="64"/>
      </patternFill>
    </fill>
    <fill>
      <patternFill patternType="solid">
        <fgColor rgb="FF588C2D"/>
        <bgColor indexed="64"/>
      </patternFill>
    </fill>
    <fill>
      <patternFill patternType="solid">
        <fgColor rgb="FF5D912F"/>
        <bgColor indexed="64"/>
      </patternFill>
    </fill>
    <fill>
      <patternFill patternType="solid">
        <fgColor rgb="FF5B9030"/>
        <bgColor indexed="64"/>
      </patternFill>
    </fill>
    <fill>
      <patternFill patternType="solid">
        <fgColor rgb="FF5D8F30"/>
        <bgColor indexed="64"/>
      </patternFill>
    </fill>
    <fill>
      <patternFill patternType="solid">
        <fgColor rgb="FF5D8F32"/>
        <bgColor indexed="64"/>
      </patternFill>
    </fill>
    <fill>
      <patternFill patternType="solid">
        <fgColor rgb="FF619932"/>
        <bgColor indexed="64"/>
      </patternFill>
    </fill>
    <fill>
      <patternFill patternType="solid">
        <fgColor rgb="FF4A6631"/>
        <bgColor indexed="64"/>
      </patternFill>
    </fill>
    <fill>
      <patternFill patternType="solid">
        <fgColor rgb="FF7D507F"/>
        <bgColor indexed="64"/>
      </patternFill>
    </fill>
    <fill>
      <patternFill patternType="solid">
        <fgColor rgb="FF946394"/>
        <bgColor indexed="64"/>
      </patternFill>
    </fill>
    <fill>
      <patternFill patternType="solid">
        <fgColor rgb="FF855784"/>
        <bgColor indexed="64"/>
      </patternFill>
    </fill>
    <fill>
      <patternFill patternType="solid">
        <fgColor rgb="FF875886"/>
        <bgColor indexed="64"/>
      </patternFill>
    </fill>
    <fill>
      <patternFill patternType="solid">
        <fgColor rgb="FF8E5D8F"/>
        <bgColor indexed="64"/>
      </patternFill>
    </fill>
    <fill>
      <patternFill patternType="solid">
        <fgColor rgb="FF905C8D"/>
        <bgColor indexed="64"/>
      </patternFill>
    </fill>
    <fill>
      <patternFill patternType="solid">
        <fgColor rgb="FF8B5D8D"/>
        <bgColor indexed="64"/>
      </patternFill>
    </fill>
    <fill>
      <patternFill patternType="solid">
        <fgColor rgb="FF8A5C8C"/>
        <bgColor indexed="64"/>
      </patternFill>
    </fill>
    <fill>
      <patternFill patternType="solid">
        <fgColor rgb="FF906192"/>
        <bgColor indexed="64"/>
      </patternFill>
    </fill>
    <fill>
      <patternFill patternType="solid">
        <fgColor rgb="FF6D4968"/>
        <bgColor indexed="64"/>
      </patternFill>
    </fill>
    <fill>
      <patternFill patternType="solid">
        <fgColor rgb="FFACA125"/>
        <bgColor indexed="64"/>
      </patternFill>
    </fill>
    <fill>
      <patternFill patternType="solid">
        <fgColor rgb="FFE2E12F"/>
        <bgColor indexed="64"/>
      </patternFill>
    </fill>
    <fill>
      <patternFill patternType="solid">
        <fgColor rgb="FF706037"/>
        <bgColor indexed="64"/>
      </patternFill>
    </fill>
    <fill>
      <patternFill patternType="solid">
        <fgColor rgb="FF684A67"/>
        <bgColor indexed="64"/>
      </patternFill>
    </fill>
    <fill>
      <patternFill patternType="solid">
        <fgColor rgb="FF5D4854"/>
        <bgColor indexed="64"/>
      </patternFill>
    </fill>
    <fill>
      <patternFill patternType="solid">
        <fgColor rgb="FF526638"/>
        <bgColor indexed="64"/>
      </patternFill>
    </fill>
    <fill>
      <patternFill patternType="solid">
        <fgColor rgb="FF5A8E31"/>
        <bgColor indexed="64"/>
      </patternFill>
    </fill>
    <fill>
      <patternFill patternType="solid">
        <fgColor rgb="FF598E31"/>
        <bgColor indexed="64"/>
      </patternFill>
    </fill>
    <fill>
      <patternFill patternType="solid">
        <fgColor rgb="FF598E2F"/>
        <bgColor indexed="64"/>
      </patternFill>
    </fill>
    <fill>
      <patternFill patternType="solid">
        <fgColor rgb="FF406E26"/>
        <bgColor indexed="64"/>
      </patternFill>
    </fill>
    <fill>
      <patternFill patternType="solid">
        <fgColor rgb="FF8E9324"/>
        <bgColor indexed="64"/>
      </patternFill>
    </fill>
    <fill>
      <patternFill patternType="solid">
        <fgColor rgb="FFE9E633"/>
        <bgColor indexed="64"/>
      </patternFill>
    </fill>
    <fill>
      <patternFill patternType="solid">
        <fgColor rgb="FF5A6F21"/>
        <bgColor indexed="64"/>
      </patternFill>
    </fill>
    <fill>
      <patternFill patternType="solid">
        <fgColor rgb="FF518834"/>
        <bgColor indexed="64"/>
      </patternFill>
    </fill>
    <fill>
      <patternFill patternType="solid">
        <fgColor rgb="FF5C9136"/>
        <bgColor indexed="64"/>
      </patternFill>
    </fill>
    <fill>
      <patternFill patternType="solid">
        <fgColor rgb="FF568F35"/>
        <bgColor indexed="64"/>
      </patternFill>
    </fill>
    <fill>
      <patternFill patternType="solid">
        <fgColor rgb="FF476E2A"/>
        <bgColor indexed="64"/>
      </patternFill>
    </fill>
    <fill>
      <patternFill patternType="solid">
        <fgColor rgb="FF818324"/>
        <bgColor indexed="64"/>
      </patternFill>
    </fill>
    <fill>
      <patternFill patternType="solid">
        <fgColor rgb="FF99A128"/>
        <bgColor indexed="64"/>
      </patternFill>
    </fill>
    <fill>
      <patternFill patternType="solid">
        <fgColor rgb="FF3D6C21"/>
        <bgColor indexed="64"/>
      </patternFill>
    </fill>
    <fill>
      <patternFill patternType="solid">
        <fgColor rgb="FF498529"/>
        <bgColor indexed="64"/>
      </patternFill>
    </fill>
    <fill>
      <patternFill patternType="solid">
        <fgColor rgb="FF47812B"/>
        <bgColor indexed="64"/>
      </patternFill>
    </fill>
    <fill>
      <patternFill patternType="solid">
        <fgColor rgb="FF457F2A"/>
        <bgColor indexed="64"/>
      </patternFill>
    </fill>
    <fill>
      <patternFill patternType="solid">
        <fgColor rgb="FF43802A"/>
        <bgColor indexed="64"/>
      </patternFill>
    </fill>
    <fill>
      <patternFill patternType="solid">
        <fgColor rgb="FF43812A"/>
        <bgColor indexed="64"/>
      </patternFill>
    </fill>
    <fill>
      <patternFill patternType="solid">
        <fgColor rgb="FF46832A"/>
        <bgColor indexed="64"/>
      </patternFill>
    </fill>
    <fill>
      <patternFill patternType="solid">
        <fgColor rgb="FF34581B"/>
        <bgColor indexed="64"/>
      </patternFill>
    </fill>
    <fill>
      <patternFill patternType="solid">
        <fgColor rgb="FF3B5F1A"/>
        <bgColor indexed="64"/>
      </patternFill>
    </fill>
    <fill>
      <patternFill patternType="solid">
        <fgColor rgb="FF386D20"/>
        <bgColor indexed="64"/>
      </patternFill>
    </fill>
    <fill>
      <patternFill patternType="solid">
        <fgColor rgb="FF273511"/>
        <bgColor indexed="64"/>
      </patternFill>
    </fill>
    <fill>
      <patternFill patternType="solid">
        <fgColor rgb="FF24200E"/>
        <bgColor indexed="64"/>
      </patternFill>
    </fill>
    <fill>
      <patternFill patternType="solid">
        <fgColor rgb="FF5B661A"/>
        <bgColor indexed="64"/>
      </patternFill>
    </fill>
    <fill>
      <patternFill patternType="solid">
        <fgColor rgb="FFADA924"/>
        <bgColor indexed="64"/>
      </patternFill>
    </fill>
    <fill>
      <patternFill patternType="solid">
        <fgColor rgb="FF82821A"/>
        <bgColor indexed="64"/>
      </patternFill>
    </fill>
    <fill>
      <patternFill patternType="solid">
        <fgColor rgb="FF95A322"/>
        <bgColor indexed="64"/>
      </patternFill>
    </fill>
    <fill>
      <patternFill patternType="solid">
        <fgColor rgb="FFB4B725"/>
        <bgColor indexed="64"/>
      </patternFill>
    </fill>
    <fill>
      <patternFill patternType="solid">
        <fgColor rgb="FF938A1F"/>
        <bgColor indexed="64"/>
      </patternFill>
    </fill>
    <fill>
      <patternFill patternType="solid">
        <fgColor rgb="FF1A2709"/>
        <bgColor indexed="64"/>
      </patternFill>
    </fill>
    <fill>
      <patternFill patternType="solid">
        <fgColor rgb="FF244A10"/>
        <bgColor indexed="64"/>
      </patternFill>
    </fill>
    <fill>
      <patternFill patternType="solid">
        <fgColor rgb="FF4D6915"/>
        <bgColor indexed="64"/>
      </patternFill>
    </fill>
    <fill>
      <patternFill patternType="solid">
        <fgColor rgb="FF647917"/>
        <bgColor indexed="64"/>
      </patternFill>
    </fill>
    <fill>
      <patternFill patternType="solid">
        <fgColor rgb="FFF37628"/>
        <bgColor indexed="64"/>
      </patternFill>
    </fill>
    <fill>
      <patternFill patternType="solid">
        <fgColor rgb="FFED7527"/>
        <bgColor indexed="64"/>
      </patternFill>
    </fill>
    <fill>
      <patternFill patternType="solid">
        <fgColor rgb="FFEE7627"/>
        <bgColor indexed="64"/>
      </patternFill>
    </fill>
    <fill>
      <patternFill patternType="solid">
        <fgColor rgb="FFEE7728"/>
        <bgColor indexed="64"/>
      </patternFill>
    </fill>
    <fill>
      <patternFill patternType="solid">
        <fgColor rgb="FFF78229"/>
        <bgColor indexed="64"/>
      </patternFill>
    </fill>
    <fill>
      <patternFill patternType="solid">
        <fgColor rgb="FFB46620"/>
        <bgColor indexed="64"/>
      </patternFill>
    </fill>
    <fill>
      <patternFill patternType="solid">
        <fgColor rgb="FF6F4214"/>
        <bgColor indexed="64"/>
      </patternFill>
    </fill>
    <fill>
      <patternFill patternType="solid">
        <fgColor rgb="FFCD6F26"/>
        <bgColor indexed="64"/>
      </patternFill>
    </fill>
    <fill>
      <patternFill patternType="solid">
        <fgColor rgb="FFD87027"/>
        <bgColor indexed="64"/>
      </patternFill>
    </fill>
    <fill>
      <patternFill patternType="solid">
        <fgColor rgb="FF86551C"/>
        <bgColor indexed="64"/>
      </patternFill>
    </fill>
    <fill>
      <patternFill patternType="solid">
        <fgColor rgb="FF5A862A"/>
        <bgColor indexed="64"/>
      </patternFill>
    </fill>
    <fill>
      <patternFill patternType="solid">
        <fgColor rgb="FF5D912D"/>
        <bgColor indexed="64"/>
      </patternFill>
    </fill>
    <fill>
      <patternFill patternType="solid">
        <fgColor rgb="FF5B8F29"/>
        <bgColor indexed="64"/>
      </patternFill>
    </fill>
    <fill>
      <patternFill patternType="solid">
        <fgColor rgb="FF3F6924"/>
        <bgColor indexed="64"/>
      </patternFill>
    </fill>
    <fill>
      <patternFill patternType="solid">
        <fgColor rgb="FF807A27"/>
        <bgColor indexed="64"/>
      </patternFill>
    </fill>
    <fill>
      <patternFill patternType="solid">
        <fgColor rgb="FF3D3D0E"/>
        <bgColor indexed="64"/>
      </patternFill>
    </fill>
    <fill>
      <patternFill patternType="solid">
        <fgColor rgb="FF3C4F1A"/>
        <bgColor indexed="64"/>
      </patternFill>
    </fill>
    <fill>
      <patternFill patternType="solid">
        <fgColor rgb="FF5A8F2C"/>
        <bgColor indexed="64"/>
      </patternFill>
    </fill>
    <fill>
      <patternFill patternType="solid">
        <fgColor rgb="FF5A8E2D"/>
        <bgColor indexed="64"/>
      </patternFill>
    </fill>
    <fill>
      <patternFill patternType="solid">
        <fgColor rgb="FF5B902E"/>
        <bgColor indexed="64"/>
      </patternFill>
    </fill>
    <fill>
      <patternFill patternType="solid">
        <fgColor rgb="FF5D952C"/>
        <bgColor indexed="64"/>
      </patternFill>
    </fill>
    <fill>
      <patternFill patternType="solid">
        <fgColor rgb="FF5F962D"/>
        <bgColor indexed="64"/>
      </patternFill>
    </fill>
    <fill>
      <patternFill patternType="solid">
        <fgColor rgb="FF5E942D"/>
        <bgColor indexed="64"/>
      </patternFill>
    </fill>
    <fill>
      <patternFill patternType="solid">
        <fgColor rgb="FF5E942F"/>
        <bgColor indexed="64"/>
      </patternFill>
    </fill>
    <fill>
      <patternFill patternType="solid">
        <fgColor rgb="FF5C922E"/>
        <bgColor indexed="64"/>
      </patternFill>
    </fill>
    <fill>
      <patternFill patternType="solid">
        <fgColor rgb="FF5D922E"/>
        <bgColor indexed="64"/>
      </patternFill>
    </fill>
    <fill>
      <patternFill patternType="solid">
        <fgColor rgb="FF5C8F2E"/>
        <bgColor indexed="64"/>
      </patternFill>
    </fill>
    <fill>
      <patternFill patternType="solid">
        <fgColor rgb="FF5B8A2F"/>
        <bgColor indexed="64"/>
      </patternFill>
    </fill>
    <fill>
      <patternFill patternType="solid">
        <fgColor rgb="FF51812D"/>
        <bgColor indexed="64"/>
      </patternFill>
    </fill>
    <fill>
      <patternFill patternType="solid">
        <fgColor rgb="FF624D5C"/>
        <bgColor indexed="64"/>
      </patternFill>
    </fill>
    <fill>
      <patternFill patternType="solid">
        <fgColor rgb="FF905F94"/>
        <bgColor indexed="64"/>
      </patternFill>
    </fill>
    <fill>
      <patternFill patternType="solid">
        <fgColor rgb="FF8B5D8E"/>
        <bgColor indexed="64"/>
      </patternFill>
    </fill>
    <fill>
      <patternFill patternType="solid">
        <fgColor rgb="FF905E8F"/>
        <bgColor indexed="64"/>
      </patternFill>
    </fill>
    <fill>
      <patternFill patternType="solid">
        <fgColor rgb="FF915E91"/>
        <bgColor indexed="64"/>
      </patternFill>
    </fill>
    <fill>
      <patternFill patternType="solid">
        <fgColor rgb="FF8C5D8F"/>
        <bgColor indexed="64"/>
      </patternFill>
    </fill>
    <fill>
      <patternFill patternType="solid">
        <fgColor rgb="FF8C5C90"/>
        <bgColor indexed="64"/>
      </patternFill>
    </fill>
    <fill>
      <patternFill patternType="solid">
        <fgColor rgb="FF8B5D8F"/>
        <bgColor indexed="64"/>
      </patternFill>
    </fill>
    <fill>
      <patternFill patternType="solid">
        <fgColor rgb="FF8D5D91"/>
        <bgColor indexed="64"/>
      </patternFill>
    </fill>
    <fill>
      <patternFill patternType="solid">
        <fgColor rgb="FF8B5E8F"/>
        <bgColor indexed="64"/>
      </patternFill>
    </fill>
    <fill>
      <patternFill patternType="solid">
        <fgColor rgb="FF926496"/>
        <bgColor indexed="64"/>
      </patternFill>
    </fill>
    <fill>
      <patternFill patternType="solid">
        <fgColor rgb="FF6C486B"/>
        <bgColor indexed="64"/>
      </patternFill>
    </fill>
    <fill>
      <patternFill patternType="solid">
        <fgColor rgb="FFA29623"/>
        <bgColor indexed="64"/>
      </patternFill>
    </fill>
    <fill>
      <patternFill patternType="solid">
        <fgColor rgb="FF877045"/>
        <bgColor indexed="64"/>
      </patternFill>
    </fill>
    <fill>
      <patternFill patternType="solid">
        <fgColor rgb="FF916198"/>
        <bgColor indexed="64"/>
      </patternFill>
    </fill>
    <fill>
      <patternFill patternType="solid">
        <fgColor rgb="FF885D86"/>
        <bgColor indexed="64"/>
      </patternFill>
    </fill>
    <fill>
      <patternFill patternType="solid">
        <fgColor rgb="FF493649"/>
        <bgColor indexed="64"/>
      </patternFill>
    </fill>
    <fill>
      <patternFill patternType="solid">
        <fgColor rgb="FF324B1D"/>
        <bgColor indexed="64"/>
      </patternFill>
    </fill>
    <fill>
      <patternFill patternType="solid">
        <fgColor rgb="FF5D952F"/>
        <bgColor indexed="64"/>
      </patternFill>
    </fill>
    <fill>
      <patternFill patternType="solid">
        <fgColor rgb="FF4D842D"/>
        <bgColor indexed="64"/>
      </patternFill>
    </fill>
    <fill>
      <patternFill patternType="solid">
        <fgColor rgb="FF707C22"/>
        <bgColor indexed="64"/>
      </patternFill>
    </fill>
    <fill>
      <patternFill patternType="solid">
        <fgColor rgb="FFB4A528"/>
        <bgColor indexed="64"/>
      </patternFill>
    </fill>
    <fill>
      <patternFill patternType="solid">
        <fgColor rgb="FF657625"/>
        <bgColor indexed="64"/>
      </patternFill>
    </fill>
    <fill>
      <patternFill patternType="solid">
        <fgColor rgb="FF528B30"/>
        <bgColor indexed="64"/>
      </patternFill>
    </fill>
    <fill>
      <patternFill patternType="solid">
        <fgColor rgb="FF5C9434"/>
        <bgColor indexed="64"/>
      </patternFill>
    </fill>
    <fill>
      <patternFill patternType="solid">
        <fgColor rgb="FF599130"/>
        <bgColor indexed="64"/>
      </patternFill>
    </fill>
    <fill>
      <patternFill patternType="solid">
        <fgColor rgb="FF5B9534"/>
        <bgColor indexed="64"/>
      </patternFill>
    </fill>
    <fill>
      <patternFill patternType="solid">
        <fgColor rgb="FF385E26"/>
        <bgColor indexed="64"/>
      </patternFill>
    </fill>
    <fill>
      <patternFill patternType="solid">
        <fgColor rgb="FF5D5D14"/>
        <bgColor indexed="64"/>
      </patternFill>
    </fill>
    <fill>
      <patternFill patternType="solid">
        <fgColor rgb="FF9BA028"/>
        <bgColor indexed="64"/>
      </patternFill>
    </fill>
    <fill>
      <patternFill patternType="solid">
        <fgColor rgb="FF3A6D21"/>
        <bgColor indexed="64"/>
      </patternFill>
    </fill>
    <fill>
      <patternFill patternType="solid">
        <fgColor rgb="FF49862A"/>
        <bgColor indexed="64"/>
      </patternFill>
    </fill>
    <fill>
      <patternFill patternType="solid">
        <fgColor rgb="FF47822B"/>
        <bgColor indexed="64"/>
      </patternFill>
    </fill>
    <fill>
      <patternFill patternType="solid">
        <fgColor rgb="FF47832A"/>
        <bgColor indexed="64"/>
      </patternFill>
    </fill>
    <fill>
      <patternFill patternType="solid">
        <fgColor rgb="FF48842A"/>
        <bgColor indexed="64"/>
      </patternFill>
    </fill>
    <fill>
      <patternFill patternType="solid">
        <fgColor rgb="FF488629"/>
        <bgColor indexed="64"/>
      </patternFill>
    </fill>
    <fill>
      <patternFill patternType="solid">
        <fgColor rgb="FF438129"/>
        <bgColor indexed="64"/>
      </patternFill>
    </fill>
    <fill>
      <patternFill patternType="solid">
        <fgColor rgb="FF4B6A20"/>
        <bgColor indexed="64"/>
      </patternFill>
    </fill>
    <fill>
      <patternFill patternType="solid">
        <fgColor rgb="FFA1A725"/>
        <bgColor indexed="64"/>
      </patternFill>
    </fill>
    <fill>
      <patternFill patternType="solid">
        <fgColor rgb="FF6B7E1C"/>
        <bgColor indexed="64"/>
      </patternFill>
    </fill>
    <fill>
      <patternFill patternType="solid">
        <fgColor rgb="FF1E2E0D"/>
        <bgColor indexed="64"/>
      </patternFill>
    </fill>
    <fill>
      <patternFill patternType="solid">
        <fgColor rgb="FF070E02"/>
        <bgColor indexed="64"/>
      </patternFill>
    </fill>
    <fill>
      <patternFill patternType="solid">
        <fgColor rgb="FF445013"/>
        <bgColor indexed="64"/>
      </patternFill>
    </fill>
    <fill>
      <patternFill patternType="solid">
        <fgColor rgb="FFA2A523"/>
        <bgColor indexed="64"/>
      </patternFill>
    </fill>
    <fill>
      <patternFill patternType="solid">
        <fgColor rgb="FF949B1E"/>
        <bgColor indexed="64"/>
      </patternFill>
    </fill>
    <fill>
      <patternFill patternType="solid">
        <fgColor rgb="FFAEB223"/>
        <bgColor indexed="64"/>
      </patternFill>
    </fill>
    <fill>
      <patternFill patternType="solid">
        <fgColor rgb="FFABAC24"/>
        <bgColor indexed="64"/>
      </patternFill>
    </fill>
    <fill>
      <patternFill patternType="solid">
        <fgColor rgb="FF595B10"/>
        <bgColor indexed="64"/>
      </patternFill>
    </fill>
    <fill>
      <patternFill patternType="solid">
        <fgColor rgb="FF536E12"/>
        <bgColor indexed="64"/>
      </patternFill>
    </fill>
    <fill>
      <patternFill patternType="solid">
        <fgColor rgb="FF9BAA21"/>
        <bgColor indexed="64"/>
      </patternFill>
    </fill>
    <fill>
      <patternFill patternType="solid">
        <fgColor rgb="FFACB322"/>
        <bgColor indexed="64"/>
      </patternFill>
    </fill>
    <fill>
      <patternFill patternType="solid">
        <fgColor rgb="FF99961E"/>
        <bgColor indexed="64"/>
      </patternFill>
    </fill>
    <fill>
      <patternFill patternType="solid">
        <fgColor rgb="FFBF1F36"/>
        <bgColor indexed="64"/>
      </patternFill>
    </fill>
    <fill>
      <patternFill patternType="solid">
        <fgColor theme="0"/>
        <bgColor indexed="64"/>
      </patternFill>
    </fill>
  </fills>
  <borders count="3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theme="0" tint="-0.24994659260841701"/>
      </right>
      <top style="medium">
        <color indexed="64"/>
      </top>
      <bottom style="medium">
        <color indexed="64"/>
      </bottom>
      <diagonal/>
    </border>
    <border>
      <left style="thin">
        <color theme="0" tint="-0.24994659260841701"/>
      </left>
      <right style="thin">
        <color theme="0" tint="-0.24994659260841701"/>
      </right>
      <top style="medium">
        <color indexed="64"/>
      </top>
      <bottom style="medium">
        <color indexed="64"/>
      </bottom>
      <diagonal/>
    </border>
    <border>
      <left style="thin">
        <color theme="0" tint="-0.24994659260841701"/>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1">
    <xf numFmtId="0" fontId="0" fillId="0" borderId="0"/>
    <xf numFmtId="0" fontId="3" fillId="0" borderId="0" applyNumberFormat="0" applyFill="0" applyBorder="0" applyAlignment="0" applyProtection="0"/>
    <xf numFmtId="0" fontId="12" fillId="0" borderId="0"/>
    <xf numFmtId="0" fontId="15" fillId="0" borderId="0"/>
    <xf numFmtId="0" fontId="1" fillId="0" borderId="0"/>
    <xf numFmtId="0" fontId="23" fillId="0" borderId="0" applyNumberFormat="0" applyFill="0" applyBorder="0" applyAlignment="0" applyProtection="0"/>
    <xf numFmtId="0" fontId="15" fillId="0" borderId="0"/>
    <xf numFmtId="0" fontId="12" fillId="0" borderId="0"/>
    <xf numFmtId="0" fontId="12" fillId="0" borderId="0"/>
    <xf numFmtId="0" fontId="1" fillId="0" borderId="0"/>
    <xf numFmtId="0" fontId="15" fillId="0" borderId="0"/>
  </cellStyleXfs>
  <cellXfs count="10654">
    <xf numFmtId="0" fontId="0" fillId="0" borderId="0" xfId="0"/>
    <xf numFmtId="0" fontId="2" fillId="3" borderId="3" xfId="0" applyFont="1" applyFill="1" applyBorder="1" applyAlignment="1" applyProtection="1">
      <alignment horizontal="center"/>
      <protection locked="0"/>
    </xf>
    <xf numFmtId="0" fontId="0" fillId="0" borderId="0" xfId="0" applyAlignment="1" applyProtection="1">
      <alignment horizontal="center"/>
      <protection locked="0"/>
    </xf>
    <xf numFmtId="0" fontId="2" fillId="3" borderId="3" xfId="0" applyFont="1" applyFill="1" applyBorder="1"/>
    <xf numFmtId="0" fontId="2" fillId="3" borderId="3" xfId="0" applyFont="1" applyFill="1" applyBorder="1" applyAlignment="1">
      <alignment horizontal="center"/>
    </xf>
    <xf numFmtId="0" fontId="2" fillId="3" borderId="0" xfId="0" applyFont="1" applyFill="1" applyAlignment="1" applyProtection="1">
      <alignment horizontal="center"/>
      <protection locked="0"/>
    </xf>
    <xf numFmtId="0" fontId="2" fillId="0" borderId="0" xfId="0" applyFont="1" applyAlignment="1" applyProtection="1">
      <alignment horizontal="center"/>
      <protection locked="0"/>
    </xf>
    <xf numFmtId="22" fontId="0" fillId="0" borderId="0" xfId="0" applyNumberFormat="1" applyAlignment="1" applyProtection="1">
      <alignment horizontal="center"/>
      <protection locked="0"/>
    </xf>
    <xf numFmtId="22" fontId="0" fillId="0" borderId="3" xfId="0" applyNumberFormat="1" applyBorder="1" applyAlignment="1" applyProtection="1">
      <alignment horizontal="center"/>
      <protection locked="0"/>
    </xf>
    <xf numFmtId="0" fontId="0" fillId="0" borderId="3" xfId="0" applyBorder="1"/>
    <xf numFmtId="0" fontId="0" fillId="0" borderId="3" xfId="0" applyBorder="1" applyAlignment="1">
      <alignment horizontal="center"/>
    </xf>
    <xf numFmtId="0" fontId="0" fillId="0" borderId="0" xfId="0" applyAlignment="1" applyProtection="1">
      <alignment horizontal="left"/>
      <protection locked="0"/>
    </xf>
    <xf numFmtId="0" fontId="4" fillId="0" borderId="0" xfId="0" applyFont="1" applyAlignment="1" applyProtection="1">
      <alignment horizontal="center"/>
      <protection locked="0"/>
    </xf>
    <xf numFmtId="4" fontId="0" fillId="0" borderId="0" xfId="0" applyNumberFormat="1" applyAlignment="1" applyProtection="1">
      <alignment horizontal="center"/>
      <protection locked="0"/>
    </xf>
    <xf numFmtId="0" fontId="0" fillId="0" borderId="4" xfId="0" applyBorder="1"/>
    <xf numFmtId="0" fontId="0" fillId="0" borderId="0" xfId="0" applyProtection="1">
      <protection locked="0"/>
    </xf>
    <xf numFmtId="19" fontId="0" fillId="0" borderId="0" xfId="0" applyNumberFormat="1" applyAlignment="1" applyProtection="1">
      <alignment horizontal="center"/>
      <protection locked="0"/>
    </xf>
    <xf numFmtId="0" fontId="0" fillId="0" borderId="0" xfId="0" quotePrefix="1"/>
    <xf numFmtId="0" fontId="5" fillId="0" borderId="0" xfId="0" applyFont="1" applyAlignment="1">
      <alignment horizontal="left" vertical="center"/>
    </xf>
    <xf numFmtId="0" fontId="3" fillId="0" borderId="0" xfId="1" applyAlignment="1">
      <alignment horizontal="left" vertical="center"/>
    </xf>
    <xf numFmtId="0" fontId="3" fillId="0" borderId="0" xfId="1" applyAlignment="1" applyProtection="1">
      <alignment horizontal="left"/>
      <protection locked="0"/>
    </xf>
    <xf numFmtId="0" fontId="3" fillId="0" borderId="3" xfId="1" applyBorder="1"/>
    <xf numFmtId="0" fontId="0" fillId="4" borderId="0" xfId="0" applyFill="1" applyProtection="1">
      <protection locked="0"/>
    </xf>
    <xf numFmtId="0" fontId="0" fillId="3" borderId="0" xfId="0" applyFill="1" applyProtection="1">
      <protection hidden="1"/>
    </xf>
    <xf numFmtId="0" fontId="6" fillId="3" borderId="0" xfId="0" applyFont="1" applyFill="1" applyAlignment="1" applyProtection="1">
      <alignment horizontal="left"/>
      <protection hidden="1"/>
    </xf>
    <xf numFmtId="0" fontId="0" fillId="3" borderId="0" xfId="0" applyFill="1" applyAlignment="1" applyProtection="1">
      <alignment horizontal="left"/>
      <protection hidden="1"/>
    </xf>
    <xf numFmtId="0" fontId="7" fillId="3" borderId="0" xfId="0" applyFont="1" applyFill="1" applyProtection="1">
      <protection hidden="1"/>
    </xf>
    <xf numFmtId="0" fontId="2" fillId="5" borderId="5" xfId="0" applyFont="1" applyFill="1" applyBorder="1" applyAlignment="1" applyProtection="1">
      <alignment horizontal="centerContinuous" vertical="center" wrapText="1"/>
      <protection hidden="1"/>
    </xf>
    <xf numFmtId="0" fontId="0" fillId="5" borderId="6" xfId="0" applyFill="1" applyBorder="1" applyAlignment="1" applyProtection="1">
      <alignment horizontal="centerContinuous"/>
      <protection hidden="1"/>
    </xf>
    <xf numFmtId="0" fontId="0" fillId="5" borderId="7" xfId="0" applyFill="1" applyBorder="1" applyAlignment="1" applyProtection="1">
      <alignment horizontal="centerContinuous"/>
      <protection hidden="1"/>
    </xf>
    <xf numFmtId="0" fontId="2" fillId="3" borderId="0" xfId="0" applyFont="1" applyFill="1" applyAlignment="1" applyProtection="1">
      <alignment horizontal="left"/>
      <protection hidden="1"/>
    </xf>
    <xf numFmtId="0" fontId="0" fillId="3" borderId="10" xfId="0" applyFill="1" applyBorder="1" applyAlignment="1" applyProtection="1">
      <alignment horizontal="center"/>
      <protection hidden="1"/>
    </xf>
    <xf numFmtId="0" fontId="0" fillId="2" borderId="0" xfId="0" applyFill="1" applyProtection="1">
      <protection locked="0"/>
    </xf>
    <xf numFmtId="164" fontId="0" fillId="3" borderId="0" xfId="0" applyNumberFormat="1" applyFill="1" applyAlignment="1" applyProtection="1">
      <alignment horizontal="center"/>
      <protection hidden="1"/>
    </xf>
    <xf numFmtId="0" fontId="0" fillId="3" borderId="0" xfId="0" applyFill="1" applyAlignment="1" applyProtection="1">
      <alignment horizontal="center"/>
      <protection hidden="1"/>
    </xf>
    <xf numFmtId="3" fontId="0" fillId="3" borderId="0" xfId="0" applyNumberFormat="1" applyFill="1" applyAlignment="1" applyProtection="1">
      <alignment horizontal="center"/>
      <protection hidden="1"/>
    </xf>
    <xf numFmtId="4" fontId="0" fillId="2" borderId="0" xfId="0" applyNumberFormat="1" applyFill="1" applyProtection="1">
      <protection locked="0"/>
    </xf>
    <xf numFmtId="0" fontId="0" fillId="2" borderId="1" xfId="0" applyFill="1" applyBorder="1" applyProtection="1">
      <protection locked="0"/>
    </xf>
    <xf numFmtId="3" fontId="0" fillId="0" borderId="0" xfId="0" applyNumberFormat="1" applyAlignment="1" applyProtection="1">
      <alignment horizontal="center"/>
      <protection locked="0"/>
    </xf>
    <xf numFmtId="0" fontId="9" fillId="0" borderId="0" xfId="0" applyFont="1" applyProtection="1">
      <protection locked="0"/>
    </xf>
    <xf numFmtId="0" fontId="10" fillId="0" borderId="0" xfId="0" applyFont="1" applyProtection="1">
      <protection locked="0"/>
    </xf>
    <xf numFmtId="0" fontId="11" fillId="0" borderId="0" xfId="0" applyFont="1" applyProtection="1">
      <protection locked="0"/>
    </xf>
    <xf numFmtId="0" fontId="0" fillId="0" borderId="0" xfId="0" applyAlignment="1" applyProtection="1">
      <alignment horizontal="right"/>
      <protection locked="0"/>
    </xf>
    <xf numFmtId="0" fontId="0" fillId="0" borderId="0" xfId="0" applyAlignment="1">
      <alignment horizontal="center"/>
    </xf>
    <xf numFmtId="0" fontId="2" fillId="0" borderId="0" xfId="0" applyFont="1"/>
    <xf numFmtId="0" fontId="13" fillId="6" borderId="0" xfId="0" applyFont="1" applyFill="1" applyProtection="1">
      <protection hidden="1"/>
    </xf>
    <xf numFmtId="3" fontId="0" fillId="0" borderId="0" xfId="0" applyNumberFormat="1"/>
    <xf numFmtId="0" fontId="16" fillId="0" borderId="0" xfId="4" applyFont="1"/>
    <xf numFmtId="0" fontId="17" fillId="7" borderId="2" xfId="4" applyFont="1" applyFill="1" applyBorder="1" applyAlignment="1">
      <alignment horizontal="centerContinuous" vertical="center"/>
    </xf>
    <xf numFmtId="0" fontId="18" fillId="0" borderId="0" xfId="4" applyFont="1"/>
    <xf numFmtId="3" fontId="18" fillId="0" borderId="0" xfId="4" applyNumberFormat="1" applyFont="1"/>
    <xf numFmtId="0" fontId="19" fillId="8" borderId="0" xfId="4" applyFont="1" applyFill="1" applyAlignment="1">
      <alignment horizontal="centerContinuous" vertical="center" wrapText="1"/>
    </xf>
    <xf numFmtId="0" fontId="1" fillId="0" borderId="0" xfId="4"/>
    <xf numFmtId="0" fontId="20" fillId="9" borderId="2" xfId="4" applyFont="1" applyFill="1" applyBorder="1" applyAlignment="1">
      <alignment horizontal="centerContinuous" vertical="center"/>
    </xf>
    <xf numFmtId="0" fontId="20" fillId="9" borderId="2" xfId="4" applyFont="1" applyFill="1" applyBorder="1" applyAlignment="1">
      <alignment horizontal="centerContinuous" vertical="center" wrapText="1"/>
    </xf>
    <xf numFmtId="3" fontId="16" fillId="0" borderId="0" xfId="4" applyNumberFormat="1" applyFont="1"/>
    <xf numFmtId="0" fontId="21" fillId="0" borderId="2" xfId="4" applyFont="1" applyBorder="1" applyAlignment="1">
      <alignment horizontal="centerContinuous"/>
    </xf>
    <xf numFmtId="0" fontId="22" fillId="0" borderId="2" xfId="4" applyFont="1" applyBorder="1" applyAlignment="1">
      <alignment horizontal="centerContinuous" wrapText="1"/>
    </xf>
    <xf numFmtId="0" fontId="22" fillId="0" borderId="0" xfId="4" applyFont="1" applyAlignment="1">
      <alignment wrapText="1"/>
    </xf>
    <xf numFmtId="0" fontId="24" fillId="0" borderId="0" xfId="5" applyFont="1" applyFill="1" applyBorder="1" applyAlignment="1">
      <alignment vertical="top"/>
    </xf>
    <xf numFmtId="0" fontId="20" fillId="9" borderId="13" xfId="4" applyFont="1" applyFill="1" applyBorder="1" applyAlignment="1">
      <alignment horizontal="centerContinuous" vertical="center"/>
    </xf>
    <xf numFmtId="0" fontId="25" fillId="0" borderId="14" xfId="4" applyFont="1" applyBorder="1" applyAlignment="1">
      <alignment horizontal="left" vertical="top"/>
    </xf>
    <xf numFmtId="0" fontId="26" fillId="0" borderId="15" xfId="4" applyFont="1" applyBorder="1" applyAlignment="1">
      <alignment vertical="top" wrapText="1"/>
    </xf>
    <xf numFmtId="0" fontId="26" fillId="0" borderId="16" xfId="4" applyFont="1" applyBorder="1" applyAlignment="1">
      <alignment vertical="top" wrapText="1"/>
    </xf>
    <xf numFmtId="0" fontId="25" fillId="0" borderId="17" xfId="4" applyFont="1" applyBorder="1" applyAlignment="1">
      <alignment horizontal="left" vertical="top"/>
    </xf>
    <xf numFmtId="0" fontId="26" fillId="0" borderId="0" xfId="4" applyFont="1" applyAlignment="1">
      <alignment vertical="top" wrapText="1"/>
    </xf>
    <xf numFmtId="0" fontId="26" fillId="0" borderId="18" xfId="4" applyFont="1" applyBorder="1" applyAlignment="1">
      <alignment vertical="top" wrapText="1"/>
    </xf>
    <xf numFmtId="0" fontId="26" fillId="0" borderId="20" xfId="4" applyFont="1" applyBorder="1" applyAlignment="1">
      <alignment vertical="top" wrapText="1"/>
    </xf>
    <xf numFmtId="0" fontId="26" fillId="0" borderId="21" xfId="4" applyFont="1" applyBorder="1" applyAlignment="1">
      <alignment vertical="top" wrapText="1"/>
    </xf>
    <xf numFmtId="0" fontId="1" fillId="0" borderId="0" xfId="4" applyAlignment="1">
      <alignment horizontal="center"/>
    </xf>
    <xf numFmtId="0" fontId="1" fillId="0" borderId="22" xfId="4" applyBorder="1" applyAlignment="1">
      <alignment horizontal="center"/>
    </xf>
    <xf numFmtId="0" fontId="1" fillId="0" borderId="23" xfId="4" applyBorder="1" applyAlignment="1">
      <alignment horizontal="center"/>
    </xf>
    <xf numFmtId="0" fontId="1" fillId="0" borderId="24" xfId="4" applyBorder="1" applyAlignment="1">
      <alignment horizontal="center"/>
    </xf>
    <xf numFmtId="0" fontId="1" fillId="10" borderId="0" xfId="4" applyFill="1" applyAlignment="1">
      <alignment horizontal="center"/>
    </xf>
    <xf numFmtId="0" fontId="1" fillId="0" borderId="25" xfId="4" applyBorder="1" applyAlignment="1">
      <alignment horizontal="center"/>
    </xf>
    <xf numFmtId="0" fontId="1" fillId="0" borderId="26" xfId="4" applyBorder="1" applyAlignment="1">
      <alignment horizontal="center"/>
    </xf>
    <xf numFmtId="0" fontId="1" fillId="0" borderId="11" xfId="4" applyBorder="1" applyAlignment="1">
      <alignment horizontal="center"/>
    </xf>
    <xf numFmtId="0" fontId="1" fillId="0" borderId="10" xfId="4" applyBorder="1" applyAlignment="1">
      <alignment horizontal="center"/>
    </xf>
    <xf numFmtId="0" fontId="1" fillId="0" borderId="12" xfId="4" applyBorder="1" applyAlignment="1">
      <alignment horizontal="center"/>
    </xf>
    <xf numFmtId="0" fontId="1" fillId="11" borderId="0" xfId="4" applyFill="1"/>
    <xf numFmtId="0" fontId="1" fillId="12" borderId="0" xfId="4" applyFill="1"/>
    <xf numFmtId="0" fontId="1" fillId="13" borderId="0" xfId="4" applyFill="1"/>
    <xf numFmtId="0" fontId="1" fillId="14" borderId="0" xfId="4" applyFill="1"/>
    <xf numFmtId="0" fontId="1" fillId="15" borderId="0" xfId="4" applyFill="1"/>
    <xf numFmtId="0" fontId="1" fillId="16" borderId="0" xfId="4" applyFill="1"/>
    <xf numFmtId="0" fontId="1" fillId="17" borderId="0" xfId="4" applyFill="1"/>
    <xf numFmtId="0" fontId="1" fillId="18" borderId="0" xfId="4" applyFill="1"/>
    <xf numFmtId="0" fontId="1" fillId="19" borderId="0" xfId="4" applyFill="1"/>
    <xf numFmtId="0" fontId="1" fillId="20" borderId="0" xfId="4" applyFill="1"/>
    <xf numFmtId="0" fontId="1" fillId="21" borderId="0" xfId="4" applyFill="1"/>
    <xf numFmtId="0" fontId="1" fillId="22" borderId="0" xfId="4" applyFill="1"/>
    <xf numFmtId="0" fontId="1" fillId="23" borderId="0" xfId="4" applyFill="1"/>
    <xf numFmtId="0" fontId="1" fillId="24" borderId="0" xfId="4" applyFill="1"/>
    <xf numFmtId="0" fontId="1" fillId="25" borderId="0" xfId="4" applyFill="1"/>
    <xf numFmtId="0" fontId="1" fillId="26" borderId="0" xfId="4" applyFill="1"/>
    <xf numFmtId="0" fontId="1" fillId="27" borderId="0" xfId="4" applyFill="1"/>
    <xf numFmtId="0" fontId="1" fillId="28" borderId="0" xfId="4" applyFill="1"/>
    <xf numFmtId="0" fontId="1" fillId="29" borderId="0" xfId="4" applyFill="1"/>
    <xf numFmtId="0" fontId="1" fillId="30" borderId="0" xfId="4" applyFill="1"/>
    <xf numFmtId="0" fontId="1" fillId="31" borderId="0" xfId="4" applyFill="1"/>
    <xf numFmtId="0" fontId="1" fillId="32" borderId="0" xfId="4" applyFill="1"/>
    <xf numFmtId="0" fontId="1" fillId="33" borderId="0" xfId="4" applyFill="1"/>
    <xf numFmtId="0" fontId="1" fillId="34" borderId="0" xfId="4" applyFill="1"/>
    <xf numFmtId="0" fontId="1" fillId="35" borderId="0" xfId="4" applyFill="1"/>
    <xf numFmtId="0" fontId="1" fillId="36" borderId="0" xfId="4" applyFill="1"/>
    <xf numFmtId="0" fontId="1" fillId="37" borderId="0" xfId="4" applyFill="1"/>
    <xf numFmtId="0" fontId="1" fillId="38" borderId="0" xfId="4" applyFill="1"/>
    <xf numFmtId="0" fontId="1" fillId="39" borderId="0" xfId="4" applyFill="1"/>
    <xf numFmtId="0" fontId="1" fillId="40" borderId="0" xfId="4" applyFill="1"/>
    <xf numFmtId="0" fontId="1" fillId="41" borderId="0" xfId="4" applyFill="1"/>
    <xf numFmtId="0" fontId="1" fillId="42" borderId="0" xfId="4" applyFill="1"/>
    <xf numFmtId="0" fontId="1" fillId="43" borderId="0" xfId="4" applyFill="1"/>
    <xf numFmtId="0" fontId="1" fillId="44" borderId="0" xfId="4" applyFill="1"/>
    <xf numFmtId="0" fontId="1" fillId="10" borderId="0" xfId="4" applyFill="1" applyAlignment="1">
      <alignment horizontal="left" vertical="center"/>
    </xf>
    <xf numFmtId="0" fontId="1" fillId="45" borderId="0" xfId="4" applyFill="1"/>
    <xf numFmtId="0" fontId="1" fillId="46" borderId="0" xfId="4" applyFill="1"/>
    <xf numFmtId="0" fontId="1" fillId="47" borderId="0" xfId="4" applyFill="1"/>
    <xf numFmtId="0" fontId="1" fillId="48" borderId="0" xfId="4" applyFill="1"/>
    <xf numFmtId="0" fontId="1" fillId="49" borderId="0" xfId="4" applyFill="1"/>
    <xf numFmtId="0" fontId="1" fillId="50" borderId="0" xfId="4" applyFill="1"/>
    <xf numFmtId="0" fontId="1" fillId="51" borderId="0" xfId="4" applyFill="1"/>
    <xf numFmtId="0" fontId="1" fillId="52" borderId="0" xfId="4" applyFill="1"/>
    <xf numFmtId="0" fontId="1" fillId="53" borderId="0" xfId="4" applyFill="1"/>
    <xf numFmtId="0" fontId="1" fillId="54" borderId="0" xfId="4" applyFill="1"/>
    <xf numFmtId="0" fontId="1" fillId="55" borderId="0" xfId="4" applyFill="1"/>
    <xf numFmtId="0" fontId="1" fillId="56" borderId="0" xfId="4" applyFill="1"/>
    <xf numFmtId="0" fontId="1" fillId="57" borderId="0" xfId="4" applyFill="1"/>
    <xf numFmtId="0" fontId="1" fillId="58" borderId="0" xfId="4" applyFill="1"/>
    <xf numFmtId="0" fontId="1" fillId="59" borderId="0" xfId="4" applyFill="1"/>
    <xf numFmtId="0" fontId="1" fillId="60" borderId="0" xfId="4" applyFill="1"/>
    <xf numFmtId="0" fontId="1" fillId="61" borderId="0" xfId="4" applyFill="1"/>
    <xf numFmtId="0" fontId="1" fillId="62" borderId="0" xfId="4" applyFill="1"/>
    <xf numFmtId="0" fontId="1" fillId="63" borderId="0" xfId="4" applyFill="1"/>
    <xf numFmtId="0" fontId="1" fillId="64" borderId="0" xfId="4" applyFill="1"/>
    <xf numFmtId="0" fontId="1" fillId="65" borderId="0" xfId="4" applyFill="1"/>
    <xf numFmtId="0" fontId="1" fillId="66" borderId="0" xfId="4" applyFill="1"/>
    <xf numFmtId="0" fontId="1" fillId="67" borderId="0" xfId="4" applyFill="1"/>
    <xf numFmtId="0" fontId="1" fillId="68" borderId="0" xfId="4" applyFill="1"/>
    <xf numFmtId="0" fontId="1" fillId="69" borderId="0" xfId="4" applyFill="1"/>
    <xf numFmtId="0" fontId="1" fillId="70" borderId="0" xfId="4" applyFill="1"/>
    <xf numFmtId="0" fontId="1" fillId="71" borderId="0" xfId="4" applyFill="1"/>
    <xf numFmtId="0" fontId="1" fillId="72" borderId="0" xfId="4" applyFill="1"/>
    <xf numFmtId="0" fontId="1" fillId="73" borderId="0" xfId="4" applyFill="1"/>
    <xf numFmtId="0" fontId="1" fillId="74" borderId="0" xfId="4" applyFill="1"/>
    <xf numFmtId="0" fontId="1" fillId="75" borderId="0" xfId="4" applyFill="1"/>
    <xf numFmtId="0" fontId="1" fillId="76" borderId="0" xfId="4" applyFill="1"/>
    <xf numFmtId="0" fontId="1" fillId="77" borderId="0" xfId="4" applyFill="1" applyAlignment="1">
      <alignment horizontal="left" vertical="center"/>
    </xf>
    <xf numFmtId="0" fontId="1" fillId="78" borderId="0" xfId="4" applyFill="1"/>
    <xf numFmtId="0" fontId="1" fillId="79" borderId="0" xfId="4" applyFill="1"/>
    <xf numFmtId="0" fontId="1" fillId="80" borderId="0" xfId="4" applyFill="1"/>
    <xf numFmtId="0" fontId="1" fillId="81" borderId="0" xfId="4" applyFill="1"/>
    <xf numFmtId="0" fontId="1" fillId="82" borderId="0" xfId="4" applyFill="1"/>
    <xf numFmtId="0" fontId="1" fillId="84" borderId="0" xfId="4" applyFill="1"/>
    <xf numFmtId="0" fontId="1" fillId="85" borderId="0" xfId="4" applyFill="1"/>
    <xf numFmtId="0" fontId="1" fillId="86" borderId="0" xfId="4" applyFill="1"/>
    <xf numFmtId="0" fontId="1" fillId="87" borderId="0" xfId="4" applyFill="1"/>
    <xf numFmtId="0" fontId="1" fillId="88" borderId="0" xfId="4" applyFill="1"/>
    <xf numFmtId="0" fontId="1" fillId="89" borderId="0" xfId="4" applyFill="1"/>
    <xf numFmtId="0" fontId="1" fillId="90" borderId="0" xfId="4" applyFill="1"/>
    <xf numFmtId="0" fontId="1" fillId="91" borderId="0" xfId="4" applyFill="1"/>
    <xf numFmtId="0" fontId="1" fillId="92" borderId="0" xfId="4" applyFill="1"/>
    <xf numFmtId="0" fontId="1" fillId="93" borderId="0" xfId="4" applyFill="1"/>
    <xf numFmtId="0" fontId="1" fillId="94" borderId="0" xfId="4" applyFill="1"/>
    <xf numFmtId="0" fontId="1" fillId="95" borderId="0" xfId="4" applyFill="1"/>
    <xf numFmtId="0" fontId="1" fillId="96" borderId="0" xfId="4" applyFill="1"/>
    <xf numFmtId="0" fontId="1" fillId="97" borderId="0" xfId="4" applyFill="1"/>
    <xf numFmtId="0" fontId="1" fillId="98" borderId="0" xfId="4" applyFill="1"/>
    <xf numFmtId="0" fontId="1" fillId="99" borderId="0" xfId="4" applyFill="1"/>
    <xf numFmtId="0" fontId="1" fillId="100" borderId="0" xfId="4" applyFill="1"/>
    <xf numFmtId="0" fontId="1" fillId="101" borderId="0" xfId="4" applyFill="1"/>
    <xf numFmtId="0" fontId="1" fillId="102" borderId="0" xfId="4" applyFill="1"/>
    <xf numFmtId="0" fontId="1" fillId="103" borderId="0" xfId="4" applyFill="1"/>
    <xf numFmtId="0" fontId="1" fillId="104" borderId="0" xfId="4" applyFill="1"/>
    <xf numFmtId="0" fontId="1" fillId="105" borderId="0" xfId="4" applyFill="1"/>
    <xf numFmtId="0" fontId="1" fillId="106" borderId="0" xfId="4" applyFill="1"/>
    <xf numFmtId="0" fontId="1" fillId="107" borderId="0" xfId="4" applyFill="1"/>
    <xf numFmtId="0" fontId="1" fillId="108" borderId="0" xfId="4" applyFill="1"/>
    <xf numFmtId="0" fontId="1" fillId="109" borderId="0" xfId="4" applyFill="1"/>
    <xf numFmtId="0" fontId="1" fillId="110" borderId="0" xfId="4" applyFill="1"/>
    <xf numFmtId="0" fontId="1" fillId="111" borderId="0" xfId="4" applyFill="1"/>
    <xf numFmtId="0" fontId="1" fillId="112" borderId="0" xfId="4" applyFill="1"/>
    <xf numFmtId="0" fontId="1" fillId="113" borderId="0" xfId="4" applyFill="1"/>
    <xf numFmtId="0" fontId="1" fillId="114" borderId="0" xfId="4" applyFill="1"/>
    <xf numFmtId="0" fontId="1" fillId="115" borderId="0" xfId="4" applyFill="1"/>
    <xf numFmtId="0" fontId="1" fillId="116" borderId="0" xfId="4" applyFill="1"/>
    <xf numFmtId="0" fontId="1" fillId="117" borderId="0" xfId="4" applyFill="1"/>
    <xf numFmtId="0" fontId="1" fillId="118" borderId="0" xfId="4" applyFill="1"/>
    <xf numFmtId="0" fontId="1" fillId="119" borderId="0" xfId="4" applyFill="1"/>
    <xf numFmtId="0" fontId="1" fillId="120" borderId="0" xfId="4" applyFill="1"/>
    <xf numFmtId="0" fontId="1" fillId="121" borderId="0" xfId="4" applyFill="1"/>
    <xf numFmtId="0" fontId="1" fillId="122" borderId="0" xfId="4" applyFill="1"/>
    <xf numFmtId="0" fontId="1" fillId="123" borderId="0" xfId="4" applyFill="1"/>
    <xf numFmtId="0" fontId="1" fillId="124" borderId="0" xfId="4" applyFill="1"/>
    <xf numFmtId="0" fontId="1" fillId="125" borderId="0" xfId="4" applyFill="1"/>
    <xf numFmtId="0" fontId="1" fillId="126" borderId="0" xfId="4" applyFill="1"/>
    <xf numFmtId="0" fontId="1" fillId="127" borderId="0" xfId="4" applyFill="1"/>
    <xf numFmtId="0" fontId="1" fillId="128" borderId="0" xfId="4" applyFill="1"/>
    <xf numFmtId="0" fontId="1" fillId="129" borderId="0" xfId="4" applyFill="1"/>
    <xf numFmtId="0" fontId="1" fillId="130" borderId="0" xfId="4" applyFill="1"/>
    <xf numFmtId="0" fontId="1" fillId="131" borderId="0" xfId="4" applyFill="1"/>
    <xf numFmtId="0" fontId="1" fillId="132" borderId="0" xfId="4" applyFill="1"/>
    <xf numFmtId="0" fontId="1" fillId="133" borderId="0" xfId="4" applyFill="1"/>
    <xf numFmtId="0" fontId="1" fillId="134" borderId="0" xfId="4" applyFill="1"/>
    <xf numFmtId="0" fontId="1" fillId="135" borderId="0" xfId="4" applyFill="1"/>
    <xf numFmtId="0" fontId="1" fillId="136" borderId="0" xfId="4" applyFill="1"/>
    <xf numFmtId="0" fontId="1" fillId="137" borderId="0" xfId="4" applyFill="1"/>
    <xf numFmtId="0" fontId="1" fillId="138" borderId="0" xfId="4" applyFill="1"/>
    <xf numFmtId="0" fontId="1" fillId="139" borderId="0" xfId="4" applyFill="1"/>
    <xf numFmtId="0" fontId="1" fillId="140" borderId="0" xfId="4" applyFill="1"/>
    <xf numFmtId="0" fontId="1" fillId="141" borderId="0" xfId="4" applyFill="1"/>
    <xf numFmtId="0" fontId="1" fillId="142" borderId="0" xfId="4" applyFill="1"/>
    <xf numFmtId="0" fontId="1" fillId="143" borderId="0" xfId="4" applyFill="1"/>
    <xf numFmtId="0" fontId="1" fillId="144" borderId="0" xfId="4" applyFill="1"/>
    <xf numFmtId="0" fontId="1" fillId="145" borderId="0" xfId="4" applyFill="1"/>
    <xf numFmtId="0" fontId="1" fillId="146" borderId="0" xfId="4" applyFill="1"/>
    <xf numFmtId="0" fontId="1" fillId="147" borderId="0" xfId="4" applyFill="1"/>
    <xf numFmtId="0" fontId="1" fillId="148" borderId="0" xfId="4" applyFill="1"/>
    <xf numFmtId="0" fontId="1" fillId="149" borderId="0" xfId="4" applyFill="1"/>
    <xf numFmtId="0" fontId="1" fillId="150" borderId="0" xfId="4" applyFill="1"/>
    <xf numFmtId="0" fontId="1" fillId="151" borderId="0" xfId="4" applyFill="1"/>
    <xf numFmtId="0" fontId="1" fillId="152" borderId="0" xfId="4" applyFill="1"/>
    <xf numFmtId="0" fontId="1" fillId="153" borderId="0" xfId="4" applyFill="1"/>
    <xf numFmtId="0" fontId="1" fillId="154" borderId="0" xfId="4" applyFill="1"/>
    <xf numFmtId="0" fontId="1" fillId="155" borderId="0" xfId="4" applyFill="1"/>
    <xf numFmtId="0" fontId="1" fillId="156" borderId="0" xfId="4" applyFill="1"/>
    <xf numFmtId="0" fontId="1" fillId="157" borderId="0" xfId="4" applyFill="1"/>
    <xf numFmtId="0" fontId="1" fillId="158" borderId="0" xfId="4" applyFill="1"/>
    <xf numFmtId="0" fontId="1" fillId="159" borderId="0" xfId="4" applyFill="1"/>
    <xf numFmtId="0" fontId="1" fillId="160" borderId="0" xfId="4" applyFill="1"/>
    <xf numFmtId="0" fontId="1" fillId="161" borderId="0" xfId="4" applyFill="1"/>
    <xf numFmtId="0" fontId="1" fillId="162" borderId="0" xfId="4" applyFill="1"/>
    <xf numFmtId="0" fontId="1" fillId="163" borderId="0" xfId="4" applyFill="1"/>
    <xf numFmtId="0" fontId="1" fillId="164" borderId="0" xfId="4" applyFill="1"/>
    <xf numFmtId="0" fontId="1" fillId="165" borderId="0" xfId="4" applyFill="1"/>
    <xf numFmtId="0" fontId="1" fillId="166" borderId="0" xfId="4" applyFill="1"/>
    <xf numFmtId="0" fontId="1" fillId="167" borderId="0" xfId="4" applyFill="1"/>
    <xf numFmtId="0" fontId="1" fillId="168" borderId="0" xfId="4" applyFill="1"/>
    <xf numFmtId="0" fontId="1" fillId="169" borderId="0" xfId="4" applyFill="1"/>
    <xf numFmtId="0" fontId="1" fillId="170" borderId="0" xfId="4" applyFill="1"/>
    <xf numFmtId="0" fontId="1" fillId="171" borderId="0" xfId="4" applyFill="1"/>
    <xf numFmtId="0" fontId="1" fillId="172" borderId="0" xfId="4" applyFill="1"/>
    <xf numFmtId="0" fontId="1" fillId="173" borderId="0" xfId="4" applyFill="1"/>
    <xf numFmtId="0" fontId="1" fillId="174" borderId="0" xfId="4" applyFill="1"/>
    <xf numFmtId="0" fontId="1" fillId="175" borderId="0" xfId="4" applyFill="1"/>
    <xf numFmtId="0" fontId="1" fillId="176" borderId="0" xfId="4" applyFill="1"/>
    <xf numFmtId="0" fontId="1" fillId="177" borderId="0" xfId="4" applyFill="1"/>
    <xf numFmtId="0" fontId="1" fillId="178" borderId="0" xfId="4" applyFill="1"/>
    <xf numFmtId="0" fontId="1" fillId="179" borderId="0" xfId="4" applyFill="1"/>
    <xf numFmtId="0" fontId="1" fillId="180" borderId="0" xfId="4" applyFill="1"/>
    <xf numFmtId="0" fontId="1" fillId="181" borderId="0" xfId="4" applyFill="1"/>
    <xf numFmtId="0" fontId="1" fillId="182" borderId="0" xfId="4" applyFill="1"/>
    <xf numFmtId="0" fontId="1" fillId="183" borderId="0" xfId="4" applyFill="1"/>
    <xf numFmtId="0" fontId="1" fillId="184" borderId="0" xfId="4" applyFill="1"/>
    <xf numFmtId="0" fontId="1" fillId="185" borderId="0" xfId="4" applyFill="1"/>
    <xf numFmtId="0" fontId="1" fillId="186" borderId="0" xfId="4" applyFill="1"/>
    <xf numFmtId="0" fontId="1" fillId="187" borderId="0" xfId="4" applyFill="1"/>
    <xf numFmtId="0" fontId="1" fillId="188" borderId="0" xfId="4" applyFill="1"/>
    <xf numFmtId="0" fontId="1" fillId="189" borderId="0" xfId="4" applyFill="1"/>
    <xf numFmtId="0" fontId="1" fillId="190" borderId="0" xfId="4" applyFill="1"/>
    <xf numFmtId="0" fontId="1" fillId="191" borderId="0" xfId="4" applyFill="1"/>
    <xf numFmtId="0" fontId="1" fillId="192" borderId="0" xfId="4" applyFill="1"/>
    <xf numFmtId="0" fontId="1" fillId="193" borderId="0" xfId="4" applyFill="1"/>
    <xf numFmtId="0" fontId="1" fillId="194" borderId="0" xfId="4" applyFill="1"/>
    <xf numFmtId="0" fontId="1" fillId="195" borderId="0" xfId="4" applyFill="1"/>
    <xf numFmtId="0" fontId="1" fillId="196" borderId="0" xfId="4" applyFill="1"/>
    <xf numFmtId="0" fontId="1" fillId="197" borderId="0" xfId="4" applyFill="1"/>
    <xf numFmtId="0" fontId="1" fillId="198" borderId="0" xfId="4" applyFill="1"/>
    <xf numFmtId="0" fontId="1" fillId="199" borderId="0" xfId="4" applyFill="1"/>
    <xf numFmtId="0" fontId="1" fillId="77" borderId="0" xfId="4" applyFill="1" applyAlignment="1">
      <alignment horizontal="center"/>
    </xf>
    <xf numFmtId="0" fontId="1" fillId="200" borderId="0" xfId="4" applyFill="1"/>
    <xf numFmtId="0" fontId="1" fillId="201" borderId="0" xfId="4" applyFill="1"/>
    <xf numFmtId="0" fontId="1" fillId="202" borderId="0" xfId="4" applyFill="1"/>
    <xf numFmtId="0" fontId="1" fillId="203" borderId="0" xfId="4" applyFill="1"/>
    <xf numFmtId="0" fontId="1" fillId="204" borderId="0" xfId="4" applyFill="1"/>
    <xf numFmtId="0" fontId="1" fillId="205" borderId="0" xfId="4" applyFill="1"/>
    <xf numFmtId="0" fontId="1" fillId="206" borderId="0" xfId="4" applyFill="1"/>
    <xf numFmtId="0" fontId="1" fillId="207" borderId="0" xfId="4" applyFill="1"/>
    <xf numFmtId="0" fontId="1" fillId="208" borderId="0" xfId="4" applyFill="1"/>
    <xf numFmtId="0" fontId="1" fillId="209" borderId="0" xfId="4" applyFill="1"/>
    <xf numFmtId="0" fontId="1" fillId="210" borderId="0" xfId="4" applyFill="1"/>
    <xf numFmtId="0" fontId="1" fillId="211" borderId="0" xfId="4" applyFill="1"/>
    <xf numFmtId="0" fontId="1" fillId="212" borderId="0" xfId="4" applyFill="1"/>
    <xf numFmtId="0" fontId="1" fillId="213" borderId="0" xfId="4" applyFill="1"/>
    <xf numFmtId="0" fontId="1" fillId="214" borderId="0" xfId="4" applyFill="1"/>
    <xf numFmtId="0" fontId="1" fillId="215" borderId="0" xfId="4" applyFill="1"/>
    <xf numFmtId="0" fontId="1" fillId="216" borderId="0" xfId="4" applyFill="1"/>
    <xf numFmtId="0" fontId="1" fillId="217" borderId="0" xfId="4" applyFill="1"/>
    <xf numFmtId="0" fontId="1" fillId="218" borderId="0" xfId="4" applyFill="1"/>
    <xf numFmtId="0" fontId="1" fillId="219" borderId="0" xfId="4" applyFill="1"/>
    <xf numFmtId="0" fontId="1" fillId="220" borderId="0" xfId="4" applyFill="1"/>
    <xf numFmtId="0" fontId="1" fillId="221" borderId="0" xfId="4" applyFill="1"/>
    <xf numFmtId="0" fontId="1" fillId="222" borderId="0" xfId="4" applyFill="1"/>
    <xf numFmtId="0" fontId="1" fillId="223" borderId="0" xfId="4" applyFill="1"/>
    <xf numFmtId="0" fontId="1" fillId="224" borderId="0" xfId="4" applyFill="1"/>
    <xf numFmtId="0" fontId="1" fillId="225" borderId="0" xfId="4" applyFill="1"/>
    <xf numFmtId="0" fontId="1" fillId="226" borderId="0" xfId="4" applyFill="1"/>
    <xf numFmtId="0" fontId="1" fillId="227" borderId="0" xfId="4" applyFill="1"/>
    <xf numFmtId="0" fontId="1" fillId="228" borderId="0" xfId="4" applyFill="1"/>
    <xf numFmtId="0" fontId="1" fillId="229" borderId="0" xfId="4" applyFill="1"/>
    <xf numFmtId="0" fontId="1" fillId="230" borderId="0" xfId="4" applyFill="1"/>
    <xf numFmtId="0" fontId="1" fillId="231" borderId="0" xfId="4" applyFill="1"/>
    <xf numFmtId="0" fontId="1" fillId="232" borderId="0" xfId="4" applyFill="1"/>
    <xf numFmtId="0" fontId="1" fillId="233" borderId="0" xfId="4" applyFill="1"/>
    <xf numFmtId="0" fontId="1" fillId="234" borderId="0" xfId="4" applyFill="1"/>
    <xf numFmtId="0" fontId="1" fillId="235" borderId="0" xfId="4" applyFill="1"/>
    <xf numFmtId="0" fontId="1" fillId="236" borderId="0" xfId="4" applyFill="1"/>
    <xf numFmtId="0" fontId="1" fillId="237" borderId="0" xfId="4" applyFill="1"/>
    <xf numFmtId="0" fontId="1" fillId="238" borderId="0" xfId="4" applyFill="1"/>
    <xf numFmtId="0" fontId="1" fillId="239" borderId="0" xfId="4" applyFill="1"/>
    <xf numFmtId="0" fontId="1" fillId="240" borderId="0" xfId="4" applyFill="1"/>
    <xf numFmtId="0" fontId="1" fillId="241" borderId="0" xfId="4" applyFill="1"/>
    <xf numFmtId="0" fontId="1" fillId="242" borderId="0" xfId="4" applyFill="1"/>
    <xf numFmtId="0" fontId="1" fillId="243" borderId="0" xfId="4" applyFill="1"/>
    <xf numFmtId="0" fontId="1" fillId="244" borderId="0" xfId="4" applyFill="1"/>
    <xf numFmtId="0" fontId="1" fillId="245" borderId="0" xfId="4" applyFill="1"/>
    <xf numFmtId="0" fontId="1" fillId="246" borderId="0" xfId="4" applyFill="1"/>
    <xf numFmtId="0" fontId="1" fillId="247" borderId="0" xfId="4" applyFill="1"/>
    <xf numFmtId="0" fontId="1" fillId="248" borderId="0" xfId="4" applyFill="1"/>
    <xf numFmtId="0" fontId="1" fillId="249" borderId="0" xfId="4" applyFill="1"/>
    <xf numFmtId="0" fontId="1" fillId="250" borderId="0" xfId="4" applyFill="1"/>
    <xf numFmtId="0" fontId="1" fillId="251" borderId="0" xfId="4" applyFill="1"/>
    <xf numFmtId="0" fontId="1" fillId="252" borderId="0" xfId="4" applyFill="1"/>
    <xf numFmtId="0" fontId="1" fillId="253" borderId="0" xfId="4" applyFill="1"/>
    <xf numFmtId="0" fontId="1" fillId="254" borderId="0" xfId="4" applyFill="1"/>
    <xf numFmtId="0" fontId="1" fillId="255" borderId="0" xfId="4" applyFill="1"/>
    <xf numFmtId="0" fontId="1" fillId="256" borderId="0" xfId="4" applyFill="1"/>
    <xf numFmtId="0" fontId="1" fillId="257" borderId="0" xfId="4" applyFill="1"/>
    <xf numFmtId="0" fontId="1" fillId="258" borderId="0" xfId="4" applyFill="1"/>
    <xf numFmtId="0" fontId="1" fillId="259" borderId="0" xfId="4" applyFill="1"/>
    <xf numFmtId="0" fontId="1" fillId="260" borderId="0" xfId="4" applyFill="1"/>
    <xf numFmtId="0" fontId="1" fillId="261" borderId="0" xfId="4" applyFill="1"/>
    <xf numFmtId="0" fontId="1" fillId="262" borderId="0" xfId="4" applyFill="1"/>
    <xf numFmtId="0" fontId="1" fillId="263" borderId="0" xfId="4" applyFill="1"/>
    <xf numFmtId="0" fontId="1" fillId="264" borderId="0" xfId="4" applyFill="1"/>
    <xf numFmtId="0" fontId="1" fillId="265" borderId="0" xfId="4" applyFill="1"/>
    <xf numFmtId="0" fontId="1" fillId="266" borderId="0" xfId="4" applyFill="1"/>
    <xf numFmtId="0" fontId="1" fillId="267" borderId="0" xfId="4" applyFill="1"/>
    <xf numFmtId="0" fontId="1" fillId="268" borderId="0" xfId="4" applyFill="1"/>
    <xf numFmtId="0" fontId="1" fillId="269" borderId="0" xfId="4" applyFill="1"/>
    <xf numFmtId="0" fontId="1" fillId="270" borderId="0" xfId="4" applyFill="1"/>
    <xf numFmtId="0" fontId="1" fillId="271" borderId="0" xfId="4" applyFill="1"/>
    <xf numFmtId="0" fontId="1" fillId="272" borderId="0" xfId="4" applyFill="1"/>
    <xf numFmtId="0" fontId="1" fillId="273" borderId="0" xfId="4" applyFill="1"/>
    <xf numFmtId="0" fontId="1" fillId="274" borderId="0" xfId="4" applyFill="1"/>
    <xf numFmtId="0" fontId="1" fillId="275" borderId="0" xfId="4" applyFill="1"/>
    <xf numFmtId="0" fontId="1" fillId="276" borderId="0" xfId="4" applyFill="1"/>
    <xf numFmtId="0" fontId="1" fillId="277" borderId="0" xfId="4" applyFill="1"/>
    <xf numFmtId="0" fontId="1" fillId="278" borderId="0" xfId="4" applyFill="1"/>
    <xf numFmtId="0" fontId="1" fillId="279" borderId="0" xfId="4" applyFill="1"/>
    <xf numFmtId="0" fontId="1" fillId="280" borderId="0" xfId="4" applyFill="1"/>
    <xf numFmtId="0" fontId="1" fillId="281" borderId="0" xfId="4" applyFill="1"/>
    <xf numFmtId="0" fontId="1" fillId="282" borderId="0" xfId="4" applyFill="1"/>
    <xf numFmtId="0" fontId="1" fillId="283" borderId="0" xfId="4" applyFill="1"/>
    <xf numFmtId="0" fontId="1" fillId="284" borderId="0" xfId="4" applyFill="1"/>
    <xf numFmtId="0" fontId="1" fillId="285" borderId="0" xfId="4" applyFill="1"/>
    <xf numFmtId="0" fontId="1" fillId="286" borderId="0" xfId="4" applyFill="1"/>
    <xf numFmtId="0" fontId="1" fillId="287" borderId="0" xfId="4" applyFill="1"/>
    <xf numFmtId="0" fontId="1" fillId="288" borderId="0" xfId="4" applyFill="1"/>
    <xf numFmtId="0" fontId="1" fillId="289" borderId="0" xfId="4" applyFill="1"/>
    <xf numFmtId="0" fontId="1" fillId="290" borderId="0" xfId="4" applyFill="1"/>
    <xf numFmtId="0" fontId="1" fillId="291" borderId="0" xfId="4" applyFill="1"/>
    <xf numFmtId="0" fontId="1" fillId="292" borderId="0" xfId="4" applyFill="1"/>
    <xf numFmtId="0" fontId="1" fillId="293" borderId="0" xfId="4" applyFill="1"/>
    <xf numFmtId="0" fontId="1" fillId="294" borderId="0" xfId="4" applyFill="1"/>
    <xf numFmtId="0" fontId="1" fillId="295" borderId="0" xfId="4" applyFill="1"/>
    <xf numFmtId="0" fontId="1" fillId="296" borderId="0" xfId="4" applyFill="1"/>
    <xf numFmtId="0" fontId="1" fillId="297" borderId="0" xfId="4" applyFill="1"/>
    <xf numFmtId="0" fontId="1" fillId="298" borderId="0" xfId="4" applyFill="1"/>
    <xf numFmtId="0" fontId="1" fillId="299" borderId="0" xfId="4" applyFill="1"/>
    <xf numFmtId="0" fontId="1" fillId="300" borderId="0" xfId="4" applyFill="1"/>
    <xf numFmtId="0" fontId="1" fillId="301" borderId="0" xfId="4" applyFill="1"/>
    <xf numFmtId="0" fontId="1" fillId="302" borderId="0" xfId="4" applyFill="1"/>
    <xf numFmtId="0" fontId="1" fillId="303" borderId="0" xfId="4" applyFill="1"/>
    <xf numFmtId="0" fontId="1" fillId="304" borderId="0" xfId="4" applyFill="1"/>
    <xf numFmtId="0" fontId="1" fillId="305" borderId="0" xfId="4" applyFill="1"/>
    <xf numFmtId="0" fontId="1" fillId="306" borderId="0" xfId="4" applyFill="1"/>
    <xf numFmtId="0" fontId="1" fillId="307" borderId="0" xfId="4" applyFill="1"/>
    <xf numFmtId="0" fontId="1" fillId="308" borderId="0" xfId="4" applyFill="1"/>
    <xf numFmtId="0" fontId="1" fillId="309" borderId="0" xfId="4" applyFill="1"/>
    <xf numFmtId="0" fontId="1" fillId="310" borderId="0" xfId="4" applyFill="1"/>
    <xf numFmtId="0" fontId="1" fillId="311" borderId="0" xfId="4" applyFill="1"/>
    <xf numFmtId="0" fontId="1" fillId="312" borderId="0" xfId="4" applyFill="1"/>
    <xf numFmtId="0" fontId="1" fillId="313" borderId="0" xfId="4" applyFill="1"/>
    <xf numFmtId="0" fontId="1" fillId="314" borderId="0" xfId="4" applyFill="1"/>
    <xf numFmtId="0" fontId="1" fillId="315" borderId="0" xfId="4" applyFill="1"/>
    <xf numFmtId="0" fontId="1" fillId="316" borderId="0" xfId="4" applyFill="1"/>
    <xf numFmtId="0" fontId="1" fillId="317" borderId="0" xfId="4" applyFill="1"/>
    <xf numFmtId="0" fontId="1" fillId="318" borderId="0" xfId="4" applyFill="1"/>
    <xf numFmtId="0" fontId="1" fillId="319" borderId="0" xfId="4" applyFill="1"/>
    <xf numFmtId="0" fontId="1" fillId="320" borderId="0" xfId="4" applyFill="1"/>
    <xf numFmtId="0" fontId="1" fillId="321" borderId="0" xfId="4" applyFill="1"/>
    <xf numFmtId="0" fontId="1" fillId="322" borderId="0" xfId="4" applyFill="1"/>
    <xf numFmtId="0" fontId="1" fillId="323" borderId="0" xfId="4" applyFill="1"/>
    <xf numFmtId="0" fontId="1" fillId="324" borderId="0" xfId="4" applyFill="1"/>
    <xf numFmtId="0" fontId="1" fillId="325" borderId="0" xfId="4" applyFill="1"/>
    <xf numFmtId="0" fontId="1" fillId="326" borderId="0" xfId="4" applyFill="1"/>
    <xf numFmtId="0" fontId="1" fillId="327" borderId="0" xfId="4" applyFill="1"/>
    <xf numFmtId="0" fontId="1" fillId="328" borderId="0" xfId="4" applyFill="1"/>
    <xf numFmtId="0" fontId="1" fillId="329" borderId="0" xfId="4" applyFill="1"/>
    <xf numFmtId="0" fontId="1" fillId="330" borderId="0" xfId="4" applyFill="1"/>
    <xf numFmtId="0" fontId="1" fillId="331" borderId="0" xfId="4" applyFill="1"/>
    <xf numFmtId="0" fontId="1" fillId="332" borderId="0" xfId="4" applyFill="1"/>
    <xf numFmtId="0" fontId="1" fillId="333" borderId="0" xfId="4" applyFill="1"/>
    <xf numFmtId="0" fontId="1" fillId="334" borderId="0" xfId="4" applyFill="1"/>
    <xf numFmtId="0" fontId="1" fillId="335" borderId="0" xfId="4" applyFill="1"/>
    <xf numFmtId="0" fontId="1" fillId="336" borderId="0" xfId="4" applyFill="1"/>
    <xf numFmtId="0" fontId="1" fillId="337" borderId="0" xfId="4" applyFill="1"/>
    <xf numFmtId="0" fontId="1" fillId="338" borderId="0" xfId="4" applyFill="1"/>
    <xf numFmtId="0" fontId="1" fillId="339" borderId="0" xfId="4" applyFill="1"/>
    <xf numFmtId="0" fontId="1" fillId="340" borderId="0" xfId="4" applyFill="1"/>
    <xf numFmtId="0" fontId="1" fillId="341" borderId="0" xfId="4" applyFill="1"/>
    <xf numFmtId="0" fontId="1" fillId="342" borderId="0" xfId="4" applyFill="1"/>
    <xf numFmtId="0" fontId="1" fillId="343" borderId="0" xfId="4" applyFill="1"/>
    <xf numFmtId="0" fontId="1" fillId="344" borderId="0" xfId="4" applyFill="1"/>
    <xf numFmtId="0" fontId="1" fillId="345" borderId="0" xfId="4" applyFill="1"/>
    <xf numFmtId="0" fontId="1" fillId="346" borderId="0" xfId="4" applyFill="1"/>
    <xf numFmtId="0" fontId="1" fillId="347" borderId="0" xfId="4" applyFill="1"/>
    <xf numFmtId="0" fontId="1" fillId="348" borderId="0" xfId="4" applyFill="1"/>
    <xf numFmtId="0" fontId="1" fillId="349" borderId="0" xfId="4" applyFill="1"/>
    <xf numFmtId="0" fontId="1" fillId="350" borderId="0" xfId="4" applyFill="1"/>
    <xf numFmtId="0" fontId="1" fillId="351" borderId="0" xfId="4" applyFill="1"/>
    <xf numFmtId="0" fontId="1" fillId="352" borderId="0" xfId="4" applyFill="1"/>
    <xf numFmtId="0" fontId="1" fillId="353" borderId="0" xfId="4" applyFill="1"/>
    <xf numFmtId="0" fontId="1" fillId="354" borderId="0" xfId="4" applyFill="1"/>
    <xf numFmtId="0" fontId="1" fillId="355" borderId="0" xfId="4" applyFill="1"/>
    <xf numFmtId="0" fontId="1" fillId="356" borderId="0" xfId="4" applyFill="1"/>
    <xf numFmtId="0" fontId="1" fillId="357" borderId="0" xfId="4" applyFill="1"/>
    <xf numFmtId="0" fontId="1" fillId="358" borderId="0" xfId="4" applyFill="1"/>
    <xf numFmtId="0" fontId="1" fillId="359" borderId="0" xfId="4" applyFill="1"/>
    <xf numFmtId="0" fontId="1" fillId="360" borderId="0" xfId="4" applyFill="1"/>
    <xf numFmtId="0" fontId="1" fillId="361" borderId="0" xfId="4" applyFill="1"/>
    <xf numFmtId="0" fontId="1" fillId="362" borderId="0" xfId="4" applyFill="1"/>
    <xf numFmtId="0" fontId="1" fillId="363" borderId="0" xfId="4" applyFill="1"/>
    <xf numFmtId="0" fontId="1" fillId="364" borderId="0" xfId="4" applyFill="1"/>
    <xf numFmtId="0" fontId="1" fillId="365" borderId="0" xfId="4" applyFill="1"/>
    <xf numFmtId="0" fontId="1" fillId="366" borderId="0" xfId="4" applyFill="1"/>
    <xf numFmtId="0" fontId="1" fillId="367" borderId="0" xfId="4" applyFill="1"/>
    <xf numFmtId="0" fontId="1" fillId="368" borderId="0" xfId="4" applyFill="1"/>
    <xf numFmtId="0" fontId="1" fillId="369" borderId="0" xfId="4" applyFill="1"/>
    <xf numFmtId="0" fontId="1" fillId="370" borderId="0" xfId="4" applyFill="1"/>
    <xf numFmtId="0" fontId="1" fillId="371" borderId="0" xfId="4" applyFill="1"/>
    <xf numFmtId="0" fontId="1" fillId="372" borderId="0" xfId="4" applyFill="1"/>
    <xf numFmtId="0" fontId="1" fillId="373" borderId="0" xfId="4" applyFill="1"/>
    <xf numFmtId="0" fontId="1" fillId="374" borderId="0" xfId="4" applyFill="1"/>
    <xf numFmtId="0" fontId="1" fillId="375" borderId="0" xfId="4" applyFill="1"/>
    <xf numFmtId="0" fontId="1" fillId="376" borderId="0" xfId="4" applyFill="1"/>
    <xf numFmtId="0" fontId="1" fillId="377" borderId="0" xfId="4" applyFill="1"/>
    <xf numFmtId="0" fontId="1" fillId="378" borderId="0" xfId="4" applyFill="1"/>
    <xf numFmtId="0" fontId="1" fillId="379" borderId="0" xfId="4" applyFill="1"/>
    <xf numFmtId="0" fontId="1" fillId="380" borderId="0" xfId="4" applyFill="1"/>
    <xf numFmtId="0" fontId="1" fillId="381" borderId="0" xfId="4" applyFill="1"/>
    <xf numFmtId="0" fontId="1" fillId="382" borderId="0" xfId="4" applyFill="1"/>
    <xf numFmtId="0" fontId="1" fillId="383" borderId="0" xfId="4" applyFill="1"/>
    <xf numFmtId="0" fontId="1" fillId="384" borderId="0" xfId="4" applyFill="1"/>
    <xf numFmtId="0" fontId="1" fillId="385" borderId="0" xfId="4" applyFill="1"/>
    <xf numFmtId="0" fontId="1" fillId="386" borderId="0" xfId="4" applyFill="1"/>
    <xf numFmtId="0" fontId="1" fillId="387" borderId="0" xfId="4" applyFill="1"/>
    <xf numFmtId="0" fontId="1" fillId="388" borderId="0" xfId="4" applyFill="1"/>
    <xf numFmtId="0" fontId="1" fillId="389" borderId="0" xfId="4" applyFill="1"/>
    <xf numFmtId="0" fontId="1" fillId="390" borderId="0" xfId="4" applyFill="1"/>
    <xf numFmtId="0" fontId="1" fillId="391" borderId="0" xfId="4" applyFill="1"/>
    <xf numFmtId="0" fontId="1" fillId="392" borderId="0" xfId="4" applyFill="1"/>
    <xf numFmtId="0" fontId="1" fillId="393" borderId="0" xfId="4" applyFill="1"/>
    <xf numFmtId="0" fontId="1" fillId="394" borderId="0" xfId="4" applyFill="1"/>
    <xf numFmtId="0" fontId="1" fillId="395" borderId="0" xfId="4" applyFill="1"/>
    <xf numFmtId="0" fontId="1" fillId="396" borderId="0" xfId="4" applyFill="1"/>
    <xf numFmtId="0" fontId="1" fillId="397" borderId="0" xfId="4" applyFill="1"/>
    <xf numFmtId="0" fontId="1" fillId="398" borderId="0" xfId="4" applyFill="1"/>
    <xf numFmtId="0" fontId="1" fillId="399" borderId="0" xfId="4" applyFill="1"/>
    <xf numFmtId="0" fontId="1" fillId="400" borderId="0" xfId="4" applyFill="1"/>
    <xf numFmtId="0" fontId="1" fillId="401" borderId="0" xfId="4" applyFill="1"/>
    <xf numFmtId="0" fontId="1" fillId="402" borderId="0" xfId="4" applyFill="1"/>
    <xf numFmtId="0" fontId="1" fillId="403" borderId="0" xfId="4" applyFill="1"/>
    <xf numFmtId="0" fontId="1" fillId="404" borderId="0" xfId="4" applyFill="1"/>
    <xf numFmtId="0" fontId="1" fillId="405" borderId="0" xfId="4" applyFill="1"/>
    <xf numFmtId="0" fontId="1" fillId="406" borderId="0" xfId="4" applyFill="1"/>
    <xf numFmtId="0" fontId="1" fillId="407" borderId="0" xfId="4" applyFill="1"/>
    <xf numFmtId="0" fontId="1" fillId="408" borderId="0" xfId="4" applyFill="1"/>
    <xf numFmtId="0" fontId="1" fillId="409" borderId="0" xfId="4" applyFill="1"/>
    <xf numFmtId="0" fontId="1" fillId="410" borderId="0" xfId="4" applyFill="1"/>
    <xf numFmtId="0" fontId="1" fillId="411" borderId="0" xfId="4" applyFill="1"/>
    <xf numFmtId="0" fontId="1" fillId="412" borderId="0" xfId="4" applyFill="1"/>
    <xf numFmtId="0" fontId="1" fillId="413" borderId="0" xfId="4" applyFill="1"/>
    <xf numFmtId="0" fontId="1" fillId="414" borderId="0" xfId="4" applyFill="1"/>
    <xf numFmtId="0" fontId="1" fillId="415" borderId="0" xfId="4" applyFill="1"/>
    <xf numFmtId="0" fontId="1" fillId="416" borderId="0" xfId="4" applyFill="1"/>
    <xf numFmtId="0" fontId="1" fillId="417" borderId="0" xfId="4" applyFill="1"/>
    <xf numFmtId="0" fontId="1" fillId="418" borderId="0" xfId="4" applyFill="1"/>
    <xf numFmtId="0" fontId="1" fillId="419" borderId="0" xfId="4" applyFill="1"/>
    <xf numFmtId="0" fontId="1" fillId="420" borderId="0" xfId="4" applyFill="1"/>
    <xf numFmtId="0" fontId="1" fillId="421" borderId="0" xfId="4" applyFill="1"/>
    <xf numFmtId="0" fontId="1" fillId="422" borderId="0" xfId="4" applyFill="1"/>
    <xf numFmtId="0" fontId="1" fillId="423" borderId="0" xfId="4" applyFill="1"/>
    <xf numFmtId="0" fontId="1" fillId="424" borderId="0" xfId="4" applyFill="1"/>
    <xf numFmtId="0" fontId="1" fillId="425" borderId="0" xfId="4" applyFill="1"/>
    <xf numFmtId="0" fontId="1" fillId="426" borderId="0" xfId="4" applyFill="1"/>
    <xf numFmtId="0" fontId="1" fillId="427" borderId="0" xfId="4" applyFill="1"/>
    <xf numFmtId="0" fontId="1" fillId="428" borderId="0" xfId="4" applyFill="1"/>
    <xf numFmtId="0" fontId="1" fillId="429" borderId="0" xfId="4" applyFill="1"/>
    <xf numFmtId="0" fontId="1" fillId="430" borderId="0" xfId="4" applyFill="1"/>
    <xf numFmtId="0" fontId="1" fillId="431" borderId="0" xfId="4" applyFill="1"/>
    <xf numFmtId="0" fontId="1" fillId="432" borderId="0" xfId="4" applyFill="1"/>
    <xf numFmtId="0" fontId="1" fillId="433" borderId="0" xfId="4" applyFill="1"/>
    <xf numFmtId="0" fontId="1" fillId="434" borderId="0" xfId="4" applyFill="1"/>
    <xf numFmtId="0" fontId="1" fillId="435" borderId="0" xfId="4" applyFill="1"/>
    <xf numFmtId="0" fontId="1" fillId="436" borderId="0" xfId="4" applyFill="1"/>
    <xf numFmtId="0" fontId="1" fillId="437" borderId="0" xfId="4" applyFill="1"/>
    <xf numFmtId="0" fontId="1" fillId="438" borderId="0" xfId="4" applyFill="1"/>
    <xf numFmtId="0" fontId="1" fillId="439" borderId="0" xfId="4" applyFill="1"/>
    <xf numFmtId="0" fontId="1" fillId="440" borderId="0" xfId="4" applyFill="1"/>
    <xf numFmtId="0" fontId="1" fillId="441" borderId="0" xfId="4" applyFill="1"/>
    <xf numFmtId="0" fontId="1" fillId="442" borderId="0" xfId="4" applyFill="1"/>
    <xf numFmtId="0" fontId="1" fillId="443" borderId="0" xfId="4" applyFill="1"/>
    <xf numFmtId="0" fontId="1" fillId="444" borderId="0" xfId="4" applyFill="1"/>
    <xf numFmtId="0" fontId="1" fillId="445" borderId="0" xfId="4" applyFill="1"/>
    <xf numFmtId="0" fontId="1" fillId="446" borderId="0" xfId="4" applyFill="1"/>
    <xf numFmtId="0" fontId="1" fillId="447" borderId="0" xfId="4" applyFill="1"/>
    <xf numFmtId="0" fontId="1" fillId="448" borderId="0" xfId="4" applyFill="1"/>
    <xf numFmtId="0" fontId="1" fillId="449" borderId="0" xfId="4" applyFill="1"/>
    <xf numFmtId="0" fontId="1" fillId="450" borderId="0" xfId="4" applyFill="1"/>
    <xf numFmtId="0" fontId="1" fillId="451" borderId="0" xfId="4" applyFill="1"/>
    <xf numFmtId="0" fontId="1" fillId="452" borderId="0" xfId="4" applyFill="1"/>
    <xf numFmtId="0" fontId="1" fillId="453" borderId="0" xfId="4" applyFill="1"/>
    <xf numFmtId="0" fontId="1" fillId="454" borderId="0" xfId="4" applyFill="1"/>
    <xf numFmtId="0" fontId="1" fillId="455" borderId="0" xfId="4" applyFill="1"/>
    <xf numFmtId="0" fontId="1" fillId="456" borderId="0" xfId="4" applyFill="1"/>
    <xf numFmtId="0" fontId="1" fillId="457" borderId="0" xfId="4" applyFill="1"/>
    <xf numFmtId="0" fontId="1" fillId="458" borderId="0" xfId="4" applyFill="1"/>
    <xf numFmtId="0" fontId="1" fillId="459" borderId="0" xfId="4" applyFill="1"/>
    <xf numFmtId="0" fontId="1" fillId="460" borderId="0" xfId="4" applyFill="1"/>
    <xf numFmtId="0" fontId="1" fillId="461" borderId="0" xfId="4" applyFill="1"/>
    <xf numFmtId="0" fontId="1" fillId="462" borderId="0" xfId="4" applyFill="1"/>
    <xf numFmtId="0" fontId="1" fillId="463" borderId="0" xfId="4" applyFill="1"/>
    <xf numFmtId="0" fontId="1" fillId="464" borderId="0" xfId="4" applyFill="1"/>
    <xf numFmtId="0" fontId="1" fillId="465" borderId="0" xfId="4" applyFill="1"/>
    <xf numFmtId="0" fontId="1" fillId="466" borderId="0" xfId="4" applyFill="1"/>
    <xf numFmtId="0" fontId="1" fillId="467" borderId="0" xfId="4" applyFill="1"/>
    <xf numFmtId="0" fontId="1" fillId="468" borderId="0" xfId="4" applyFill="1"/>
    <xf numFmtId="0" fontId="1" fillId="469" borderId="0" xfId="4" applyFill="1"/>
    <xf numFmtId="0" fontId="1" fillId="470" borderId="0" xfId="4" applyFill="1"/>
    <xf numFmtId="0" fontId="1" fillId="471" borderId="0" xfId="4" applyFill="1"/>
    <xf numFmtId="0" fontId="1" fillId="472" borderId="0" xfId="4" applyFill="1"/>
    <xf numFmtId="0" fontId="1" fillId="473" borderId="0" xfId="4" applyFill="1"/>
    <xf numFmtId="0" fontId="1" fillId="474" borderId="0" xfId="4" applyFill="1"/>
    <xf numFmtId="0" fontId="1" fillId="475" borderId="0" xfId="4" applyFill="1"/>
    <xf numFmtId="0" fontId="1" fillId="476" borderId="0" xfId="4" applyFill="1"/>
    <xf numFmtId="0" fontId="1" fillId="477" borderId="0" xfId="4" applyFill="1"/>
    <xf numFmtId="0" fontId="1" fillId="478" borderId="0" xfId="4" applyFill="1"/>
    <xf numFmtId="0" fontId="1" fillId="479" borderId="0" xfId="4" applyFill="1"/>
    <xf numFmtId="0" fontId="1" fillId="480" borderId="0" xfId="4" applyFill="1"/>
    <xf numFmtId="0" fontId="1" fillId="481" borderId="0" xfId="4" applyFill="1"/>
    <xf numFmtId="0" fontId="1" fillId="482" borderId="0" xfId="4" applyFill="1"/>
    <xf numFmtId="0" fontId="1" fillId="483" borderId="0" xfId="4" applyFill="1"/>
    <xf numFmtId="0" fontId="1" fillId="484" borderId="0" xfId="4" applyFill="1"/>
    <xf numFmtId="0" fontId="1" fillId="485" borderId="0" xfId="4" applyFill="1"/>
    <xf numFmtId="0" fontId="1" fillId="486" borderId="0" xfId="4" applyFill="1"/>
    <xf numFmtId="0" fontId="1" fillId="487" borderId="0" xfId="4" applyFill="1"/>
    <xf numFmtId="0" fontId="1" fillId="488" borderId="0" xfId="4" applyFill="1"/>
    <xf numFmtId="0" fontId="1" fillId="489" borderId="0" xfId="4" applyFill="1"/>
    <xf numFmtId="0" fontId="1" fillId="490" borderId="0" xfId="4" applyFill="1"/>
    <xf numFmtId="0" fontId="1" fillId="491" borderId="0" xfId="4" applyFill="1"/>
    <xf numFmtId="0" fontId="1" fillId="492" borderId="0" xfId="4" applyFill="1"/>
    <xf numFmtId="0" fontId="1" fillId="493" borderId="0" xfId="4" applyFill="1"/>
    <xf numFmtId="0" fontId="1" fillId="494" borderId="0" xfId="4" applyFill="1"/>
    <xf numFmtId="0" fontId="1" fillId="495" borderId="0" xfId="4" applyFill="1"/>
    <xf numFmtId="0" fontId="1" fillId="496" borderId="0" xfId="4" applyFill="1"/>
    <xf numFmtId="0" fontId="1" fillId="497" borderId="0" xfId="4" applyFill="1"/>
    <xf numFmtId="0" fontId="1" fillId="498" borderId="0" xfId="4" applyFill="1"/>
    <xf numFmtId="0" fontId="1" fillId="499" borderId="0" xfId="4" applyFill="1"/>
    <xf numFmtId="0" fontId="1" fillId="500" borderId="0" xfId="4" applyFill="1"/>
    <xf numFmtId="0" fontId="1" fillId="501" borderId="0" xfId="4" applyFill="1"/>
    <xf numFmtId="0" fontId="1" fillId="502" borderId="0" xfId="4" applyFill="1"/>
    <xf numFmtId="0" fontId="1" fillId="503" borderId="0" xfId="4" applyFill="1"/>
    <xf numFmtId="0" fontId="1" fillId="504" borderId="0" xfId="4" applyFill="1"/>
    <xf numFmtId="0" fontId="1" fillId="505" borderId="0" xfId="4" applyFill="1"/>
    <xf numFmtId="0" fontId="1" fillId="506" borderId="0" xfId="4" applyFill="1"/>
    <xf numFmtId="0" fontId="1" fillId="507" borderId="0" xfId="4" applyFill="1"/>
    <xf numFmtId="0" fontId="1" fillId="508" borderId="0" xfId="4" applyFill="1"/>
    <xf numFmtId="0" fontId="1" fillId="509" borderId="0" xfId="4" applyFill="1"/>
    <xf numFmtId="0" fontId="1" fillId="510" borderId="0" xfId="4" applyFill="1"/>
    <xf numFmtId="0" fontId="1" fillId="511" borderId="0" xfId="4" applyFill="1"/>
    <xf numFmtId="0" fontId="1" fillId="512" borderId="0" xfId="4" applyFill="1"/>
    <xf numFmtId="0" fontId="1" fillId="513" borderId="0" xfId="4" applyFill="1"/>
    <xf numFmtId="0" fontId="1" fillId="514" borderId="0" xfId="4" applyFill="1"/>
    <xf numFmtId="0" fontId="1" fillId="515" borderId="0" xfId="4" applyFill="1"/>
    <xf numFmtId="0" fontId="1" fillId="516" borderId="0" xfId="4" applyFill="1"/>
    <xf numFmtId="0" fontId="1" fillId="517" borderId="0" xfId="4" applyFill="1"/>
    <xf numFmtId="0" fontId="1" fillId="518" borderId="0" xfId="4" applyFill="1"/>
    <xf numFmtId="0" fontId="1" fillId="519" borderId="0" xfId="4" applyFill="1"/>
    <xf numFmtId="0" fontId="1" fillId="520" borderId="0" xfId="4" applyFill="1"/>
    <xf numFmtId="0" fontId="1" fillId="521" borderId="0" xfId="4" applyFill="1"/>
    <xf numFmtId="0" fontId="1" fillId="522" borderId="0" xfId="4" applyFill="1"/>
    <xf numFmtId="0" fontId="1" fillId="523" borderId="0" xfId="4" applyFill="1"/>
    <xf numFmtId="0" fontId="1" fillId="524" borderId="0" xfId="4" applyFill="1"/>
    <xf numFmtId="0" fontId="1" fillId="525" borderId="0" xfId="4" applyFill="1"/>
    <xf numFmtId="0" fontId="1" fillId="526" borderId="0" xfId="4" applyFill="1"/>
    <xf numFmtId="0" fontId="1" fillId="527" borderId="0" xfId="4" applyFill="1"/>
    <xf numFmtId="0" fontId="1" fillId="528" borderId="0" xfId="4" applyFill="1"/>
    <xf numFmtId="0" fontId="1" fillId="529" borderId="0" xfId="4" applyFill="1"/>
    <xf numFmtId="0" fontId="1" fillId="530" borderId="0" xfId="4" applyFill="1"/>
    <xf numFmtId="0" fontId="1" fillId="531" borderId="0" xfId="4" applyFill="1"/>
    <xf numFmtId="0" fontId="1" fillId="532" borderId="0" xfId="4" applyFill="1"/>
    <xf numFmtId="0" fontId="1" fillId="533" borderId="0" xfId="4" applyFill="1"/>
    <xf numFmtId="0" fontId="1" fillId="534" borderId="0" xfId="4" applyFill="1"/>
    <xf numFmtId="0" fontId="1" fillId="535" borderId="0" xfId="4" applyFill="1"/>
    <xf numFmtId="0" fontId="1" fillId="536" borderId="0" xfId="4" applyFill="1"/>
    <xf numFmtId="0" fontId="1" fillId="537" borderId="0" xfId="4" applyFill="1"/>
    <xf numFmtId="0" fontId="1" fillId="538" borderId="0" xfId="4" applyFill="1"/>
    <xf numFmtId="0" fontId="1" fillId="539" borderId="0" xfId="4" applyFill="1"/>
    <xf numFmtId="0" fontId="1" fillId="540" borderId="0" xfId="4" applyFill="1"/>
    <xf numFmtId="0" fontId="1" fillId="541" borderId="0" xfId="4" applyFill="1"/>
    <xf numFmtId="0" fontId="1" fillId="542" borderId="0" xfId="4" applyFill="1"/>
    <xf numFmtId="0" fontId="1" fillId="543" borderId="0" xfId="4" applyFill="1"/>
    <xf numFmtId="0" fontId="1" fillId="544" borderId="0" xfId="4" applyFill="1"/>
    <xf numFmtId="0" fontId="1" fillId="545" borderId="0" xfId="4" applyFill="1"/>
    <xf numFmtId="0" fontId="1" fillId="546" borderId="0" xfId="4" applyFill="1"/>
    <xf numFmtId="0" fontId="1" fillId="547" borderId="0" xfId="4" applyFill="1"/>
    <xf numFmtId="0" fontId="1" fillId="548" borderId="0" xfId="4" applyFill="1"/>
    <xf numFmtId="0" fontId="1" fillId="549" borderId="0" xfId="4" applyFill="1"/>
    <xf numFmtId="0" fontId="1" fillId="550" borderId="0" xfId="4" applyFill="1"/>
    <xf numFmtId="0" fontId="1" fillId="551" borderId="0" xfId="4" applyFill="1"/>
    <xf numFmtId="0" fontId="1" fillId="552" borderId="0" xfId="4" applyFill="1"/>
    <xf numFmtId="0" fontId="1" fillId="553" borderId="0" xfId="4" applyFill="1"/>
    <xf numFmtId="0" fontId="1" fillId="554" borderId="0" xfId="4" applyFill="1"/>
    <xf numFmtId="0" fontId="1" fillId="555" borderId="0" xfId="4" applyFill="1"/>
    <xf numFmtId="0" fontId="1" fillId="556" borderId="0" xfId="4" applyFill="1"/>
    <xf numFmtId="0" fontId="1" fillId="557" borderId="0" xfId="4" applyFill="1"/>
    <xf numFmtId="0" fontId="1" fillId="558" borderId="0" xfId="4" applyFill="1"/>
    <xf numFmtId="0" fontId="1" fillId="559" borderId="0" xfId="4" applyFill="1"/>
    <xf numFmtId="0" fontId="1" fillId="560" borderId="0" xfId="4" applyFill="1"/>
    <xf numFmtId="0" fontId="1" fillId="561" borderId="0" xfId="4" applyFill="1"/>
    <xf numFmtId="0" fontId="1" fillId="562" borderId="0" xfId="4" applyFill="1"/>
    <xf numFmtId="0" fontId="1" fillId="563" borderId="0" xfId="4" applyFill="1"/>
    <xf numFmtId="0" fontId="1" fillId="564" borderId="0" xfId="4" applyFill="1"/>
    <xf numFmtId="0" fontId="1" fillId="565" borderId="0" xfId="4" applyFill="1"/>
    <xf numFmtId="0" fontId="1" fillId="566" borderId="0" xfId="4" applyFill="1"/>
    <xf numFmtId="0" fontId="1" fillId="567" borderId="0" xfId="4" applyFill="1"/>
    <xf numFmtId="0" fontId="1" fillId="568" borderId="0" xfId="4" applyFill="1"/>
    <xf numFmtId="0" fontId="1" fillId="569" borderId="0" xfId="4" applyFill="1"/>
    <xf numFmtId="0" fontId="1" fillId="570" borderId="0" xfId="4" applyFill="1"/>
    <xf numFmtId="0" fontId="1" fillId="571" borderId="0" xfId="4" applyFill="1"/>
    <xf numFmtId="0" fontId="1" fillId="572" borderId="0" xfId="4" applyFill="1"/>
    <xf numFmtId="0" fontId="1" fillId="573" borderId="0" xfId="4" applyFill="1"/>
    <xf numFmtId="0" fontId="1" fillId="574" borderId="0" xfId="4" applyFill="1"/>
    <xf numFmtId="0" fontId="1" fillId="575" borderId="0" xfId="4" applyFill="1"/>
    <xf numFmtId="0" fontId="1" fillId="576" borderId="0" xfId="4" applyFill="1"/>
    <xf numFmtId="0" fontId="1" fillId="577" borderId="0" xfId="4" applyFill="1"/>
    <xf numFmtId="0" fontId="1" fillId="578" borderId="0" xfId="4" applyFill="1"/>
    <xf numFmtId="0" fontId="1" fillId="579" borderId="0" xfId="4" applyFill="1"/>
    <xf numFmtId="0" fontId="1" fillId="580" borderId="0" xfId="4" applyFill="1"/>
    <xf numFmtId="0" fontId="1" fillId="581" borderId="0" xfId="4" applyFill="1"/>
    <xf numFmtId="0" fontId="1" fillId="582" borderId="0" xfId="4" applyFill="1"/>
    <xf numFmtId="0" fontId="1" fillId="583" borderId="0" xfId="4" applyFill="1"/>
    <xf numFmtId="0" fontId="1" fillId="584" borderId="0" xfId="4" applyFill="1"/>
    <xf numFmtId="0" fontId="1" fillId="585" borderId="0" xfId="4" applyFill="1"/>
    <xf numFmtId="0" fontId="1" fillId="586" borderId="0" xfId="4" applyFill="1"/>
    <xf numFmtId="0" fontId="1" fillId="587" borderId="0" xfId="4" applyFill="1"/>
    <xf numFmtId="0" fontId="1" fillId="588" borderId="0" xfId="4" applyFill="1"/>
    <xf numFmtId="0" fontId="1" fillId="589" borderId="0" xfId="4" applyFill="1"/>
    <xf numFmtId="0" fontId="1" fillId="590" borderId="0" xfId="4" applyFill="1"/>
    <xf numFmtId="0" fontId="1" fillId="591" borderId="0" xfId="4" applyFill="1"/>
    <xf numFmtId="0" fontId="1" fillId="592" borderId="0" xfId="4" applyFill="1"/>
    <xf numFmtId="0" fontId="1" fillId="593" borderId="0" xfId="4" applyFill="1"/>
    <xf numFmtId="0" fontId="1" fillId="594" borderId="0" xfId="4" applyFill="1"/>
    <xf numFmtId="0" fontId="1" fillId="595" borderId="0" xfId="4" applyFill="1"/>
    <xf numFmtId="0" fontId="1" fillId="596" borderId="0" xfId="4" applyFill="1"/>
    <xf numFmtId="0" fontId="1" fillId="597" borderId="0" xfId="4" applyFill="1"/>
    <xf numFmtId="0" fontId="1" fillId="598" borderId="0" xfId="4" applyFill="1"/>
    <xf numFmtId="0" fontId="1" fillId="599" borderId="0" xfId="4" applyFill="1"/>
    <xf numFmtId="0" fontId="1" fillId="600" borderId="0" xfId="4" applyFill="1"/>
    <xf numFmtId="0" fontId="1" fillId="601" borderId="0" xfId="4" applyFill="1"/>
    <xf numFmtId="0" fontId="1" fillId="602" borderId="0" xfId="4" applyFill="1"/>
    <xf numFmtId="0" fontId="1" fillId="603" borderId="0" xfId="4" applyFill="1"/>
    <xf numFmtId="0" fontId="1" fillId="604" borderId="0" xfId="4" applyFill="1"/>
    <xf numFmtId="0" fontId="1" fillId="605" borderId="0" xfId="4" applyFill="1"/>
    <xf numFmtId="0" fontId="1" fillId="606" borderId="0" xfId="4" applyFill="1"/>
    <xf numFmtId="0" fontId="1" fillId="607" borderId="0" xfId="4" applyFill="1"/>
    <xf numFmtId="0" fontId="1" fillId="608" borderId="0" xfId="4" applyFill="1"/>
    <xf numFmtId="0" fontId="1" fillId="609" borderId="0" xfId="4" applyFill="1"/>
    <xf numFmtId="0" fontId="1" fillId="610" borderId="0" xfId="4" applyFill="1"/>
    <xf numFmtId="0" fontId="1" fillId="611" borderId="0" xfId="4" applyFill="1"/>
    <xf numFmtId="0" fontId="1" fillId="612" borderId="0" xfId="4" applyFill="1"/>
    <xf numFmtId="0" fontId="1" fillId="613" borderId="0" xfId="4" applyFill="1"/>
    <xf numFmtId="0" fontId="1" fillId="614" borderId="0" xfId="4" applyFill="1"/>
    <xf numFmtId="0" fontId="1" fillId="615" borderId="0" xfId="4" applyFill="1"/>
    <xf numFmtId="0" fontId="1" fillId="616" borderId="0" xfId="4" applyFill="1"/>
    <xf numFmtId="0" fontId="1" fillId="617" borderId="0" xfId="4" applyFill="1"/>
    <xf numFmtId="0" fontId="1" fillId="618" borderId="0" xfId="4" applyFill="1"/>
    <xf numFmtId="0" fontId="1" fillId="619" borderId="0" xfId="4" applyFill="1"/>
    <xf numFmtId="0" fontId="1" fillId="620" borderId="0" xfId="4" applyFill="1"/>
    <xf numFmtId="0" fontId="1" fillId="621" borderId="0" xfId="4" applyFill="1"/>
    <xf numFmtId="0" fontId="1" fillId="622" borderId="0" xfId="4" applyFill="1"/>
    <xf numFmtId="0" fontId="1" fillId="623" borderId="0" xfId="4" applyFill="1"/>
    <xf numFmtId="0" fontId="1" fillId="624" borderId="0" xfId="4" applyFill="1"/>
    <xf numFmtId="0" fontId="1" fillId="625" borderId="0" xfId="4" applyFill="1"/>
    <xf numFmtId="0" fontId="1" fillId="626" borderId="0" xfId="4" applyFill="1"/>
    <xf numFmtId="0" fontId="1" fillId="627" borderId="0" xfId="4" applyFill="1"/>
    <xf numFmtId="0" fontId="1" fillId="628" borderId="0" xfId="4" applyFill="1"/>
    <xf numFmtId="0" fontId="1" fillId="629" borderId="0" xfId="4" applyFill="1"/>
    <xf numFmtId="0" fontId="1" fillId="630" borderId="0" xfId="4" applyFill="1"/>
    <xf numFmtId="0" fontId="1" fillId="631" borderId="0" xfId="4" applyFill="1"/>
    <xf numFmtId="0" fontId="1" fillId="632" borderId="0" xfId="4" applyFill="1"/>
    <xf numFmtId="0" fontId="1" fillId="633" borderId="0" xfId="4" applyFill="1"/>
    <xf numFmtId="0" fontId="1" fillId="634" borderId="0" xfId="4" applyFill="1"/>
    <xf numFmtId="0" fontId="1" fillId="635" borderId="0" xfId="4" applyFill="1"/>
    <xf numFmtId="0" fontId="1" fillId="636" borderId="0" xfId="4" applyFill="1"/>
    <xf numFmtId="0" fontId="1" fillId="637" borderId="0" xfId="4" applyFill="1"/>
    <xf numFmtId="0" fontId="1" fillId="638" borderId="0" xfId="4" applyFill="1"/>
    <xf numFmtId="0" fontId="1" fillId="639" borderId="0" xfId="4" applyFill="1"/>
    <xf numFmtId="0" fontId="1" fillId="640" borderId="0" xfId="4" applyFill="1"/>
    <xf numFmtId="0" fontId="1" fillId="641" borderId="0" xfId="4" applyFill="1"/>
    <xf numFmtId="0" fontId="1" fillId="642" borderId="0" xfId="4" applyFill="1"/>
    <xf numFmtId="0" fontId="1" fillId="643" borderId="0" xfId="4" applyFill="1"/>
    <xf numFmtId="0" fontId="1" fillId="644" borderId="0" xfId="4" applyFill="1"/>
    <xf numFmtId="0" fontId="1" fillId="645" borderId="0" xfId="4" applyFill="1"/>
    <xf numFmtId="0" fontId="1" fillId="646" borderId="0" xfId="4" applyFill="1"/>
    <xf numFmtId="0" fontId="1" fillId="647" borderId="0" xfId="4" applyFill="1"/>
    <xf numFmtId="0" fontId="1" fillId="648" borderId="0" xfId="4" applyFill="1"/>
    <xf numFmtId="0" fontId="1" fillId="649" borderId="0" xfId="4" applyFill="1"/>
    <xf numFmtId="0" fontId="1" fillId="650" borderId="0" xfId="4" applyFill="1"/>
    <xf numFmtId="0" fontId="1" fillId="651" borderId="0" xfId="4" applyFill="1"/>
    <xf numFmtId="0" fontId="1" fillId="652" borderId="0" xfId="4" applyFill="1"/>
    <xf numFmtId="0" fontId="1" fillId="653" borderId="0" xfId="4" applyFill="1"/>
    <xf numFmtId="0" fontId="1" fillId="654" borderId="0" xfId="4" applyFill="1"/>
    <xf numFmtId="0" fontId="1" fillId="655" borderId="0" xfId="4" applyFill="1"/>
    <xf numFmtId="0" fontId="1" fillId="656" borderId="0" xfId="4" applyFill="1"/>
    <xf numFmtId="0" fontId="1" fillId="657" borderId="0" xfId="4" applyFill="1"/>
    <xf numFmtId="0" fontId="1" fillId="658" borderId="0" xfId="4" applyFill="1"/>
    <xf numFmtId="0" fontId="1" fillId="659" borderId="0" xfId="4" applyFill="1"/>
    <xf numFmtId="0" fontId="1" fillId="660" borderId="0" xfId="4" applyFill="1"/>
    <xf numFmtId="0" fontId="1" fillId="661" borderId="0" xfId="4" applyFill="1"/>
    <xf numFmtId="0" fontId="1" fillId="662" borderId="0" xfId="4" applyFill="1"/>
    <xf numFmtId="0" fontId="1" fillId="663" borderId="0" xfId="4" applyFill="1"/>
    <xf numFmtId="0" fontId="1" fillId="664" borderId="0" xfId="4" applyFill="1"/>
    <xf numFmtId="0" fontId="1" fillId="665" borderId="0" xfId="4" applyFill="1"/>
    <xf numFmtId="0" fontId="1" fillId="666" borderId="0" xfId="4" applyFill="1"/>
    <xf numFmtId="0" fontId="1" fillId="667" borderId="0" xfId="4" applyFill="1"/>
    <xf numFmtId="0" fontId="1" fillId="668" borderId="0" xfId="4" applyFill="1"/>
    <xf numFmtId="0" fontId="1" fillId="669" borderId="0" xfId="4" applyFill="1"/>
    <xf numFmtId="0" fontId="1" fillId="670" borderId="0" xfId="4" applyFill="1"/>
    <xf numFmtId="0" fontId="1" fillId="671" borderId="0" xfId="4" applyFill="1"/>
    <xf numFmtId="0" fontId="1" fillId="672" borderId="0" xfId="4" applyFill="1"/>
    <xf numFmtId="0" fontId="1" fillId="673" borderId="0" xfId="4" applyFill="1"/>
    <xf numFmtId="0" fontId="1" fillId="674" borderId="0" xfId="4" applyFill="1"/>
    <xf numFmtId="0" fontId="1" fillId="675" borderId="0" xfId="4" applyFill="1"/>
    <xf numFmtId="0" fontId="1" fillId="676" borderId="0" xfId="4" applyFill="1"/>
    <xf numFmtId="0" fontId="1" fillId="677" borderId="0" xfId="4" applyFill="1"/>
    <xf numFmtId="0" fontId="1" fillId="678" borderId="0" xfId="4" applyFill="1"/>
    <xf numFmtId="0" fontId="1" fillId="679" borderId="0" xfId="4" applyFill="1"/>
    <xf numFmtId="0" fontId="1" fillId="680" borderId="0" xfId="4" applyFill="1"/>
    <xf numFmtId="0" fontId="1" fillId="681" borderId="0" xfId="4" applyFill="1"/>
    <xf numFmtId="0" fontId="1" fillId="682" borderId="0" xfId="4" applyFill="1"/>
    <xf numFmtId="0" fontId="1" fillId="683" borderId="0" xfId="4" applyFill="1"/>
    <xf numFmtId="0" fontId="1" fillId="684" borderId="0" xfId="4" applyFill="1"/>
    <xf numFmtId="0" fontId="1" fillId="685" borderId="0" xfId="4" applyFill="1"/>
    <xf numFmtId="0" fontId="1" fillId="686" borderId="0" xfId="4" applyFill="1"/>
    <xf numFmtId="0" fontId="1" fillId="687" borderId="0" xfId="4" applyFill="1"/>
    <xf numFmtId="0" fontId="1" fillId="688" borderId="0" xfId="4" applyFill="1"/>
    <xf numFmtId="0" fontId="1" fillId="689" borderId="0" xfId="4" applyFill="1"/>
    <xf numFmtId="0" fontId="1" fillId="690" borderId="0" xfId="4" applyFill="1"/>
    <xf numFmtId="0" fontId="1" fillId="691" borderId="0" xfId="4" applyFill="1"/>
    <xf numFmtId="0" fontId="1" fillId="692" borderId="0" xfId="4" applyFill="1"/>
    <xf numFmtId="0" fontId="1" fillId="693" borderId="0" xfId="4" applyFill="1"/>
    <xf numFmtId="0" fontId="1" fillId="694" borderId="0" xfId="4" applyFill="1"/>
    <xf numFmtId="0" fontId="1" fillId="695" borderId="0" xfId="4" applyFill="1"/>
    <xf numFmtId="0" fontId="1" fillId="696" borderId="0" xfId="4" applyFill="1"/>
    <xf numFmtId="0" fontId="1" fillId="697" borderId="0" xfId="4" applyFill="1"/>
    <xf numFmtId="0" fontId="1" fillId="698" borderId="0" xfId="4" applyFill="1"/>
    <xf numFmtId="0" fontId="1" fillId="699" borderId="0" xfId="4" applyFill="1"/>
    <xf numFmtId="0" fontId="1" fillId="700" borderId="0" xfId="4" applyFill="1"/>
    <xf numFmtId="0" fontId="1" fillId="701" borderId="0" xfId="4" applyFill="1"/>
    <xf numFmtId="0" fontId="1" fillId="702" borderId="0" xfId="4" applyFill="1"/>
    <xf numFmtId="0" fontId="1" fillId="703" borderId="0" xfId="4" applyFill="1"/>
    <xf numFmtId="0" fontId="1" fillId="704" borderId="0" xfId="4" applyFill="1"/>
    <xf numFmtId="0" fontId="1" fillId="705" borderId="0" xfId="4" applyFill="1"/>
    <xf numFmtId="0" fontId="1" fillId="706" borderId="0" xfId="4" applyFill="1"/>
    <xf numFmtId="0" fontId="1" fillId="707" borderId="0" xfId="4" applyFill="1"/>
    <xf numFmtId="0" fontId="1" fillId="708" borderId="0" xfId="4" applyFill="1"/>
    <xf numFmtId="0" fontId="1" fillId="709" borderId="0" xfId="4" applyFill="1"/>
    <xf numFmtId="0" fontId="1" fillId="710" borderId="0" xfId="4" applyFill="1"/>
    <xf numFmtId="0" fontId="1" fillId="711" borderId="0" xfId="4" applyFill="1"/>
    <xf numFmtId="0" fontId="1" fillId="712" borderId="0" xfId="4" applyFill="1"/>
    <xf numFmtId="0" fontId="1" fillId="713" borderId="0" xfId="4" applyFill="1"/>
    <xf numFmtId="0" fontId="1" fillId="714" borderId="0" xfId="4" applyFill="1"/>
    <xf numFmtId="0" fontId="1" fillId="715" borderId="0" xfId="4" applyFill="1"/>
    <xf numFmtId="0" fontId="1" fillId="716" borderId="0" xfId="4" applyFill="1"/>
    <xf numFmtId="0" fontId="1" fillId="717" borderId="0" xfId="4" applyFill="1"/>
    <xf numFmtId="0" fontId="1" fillId="718" borderId="0" xfId="4" applyFill="1"/>
    <xf numFmtId="0" fontId="1" fillId="719" borderId="0" xfId="4" applyFill="1"/>
    <xf numFmtId="0" fontId="1" fillId="720" borderId="0" xfId="4" applyFill="1"/>
    <xf numFmtId="0" fontId="1" fillId="721" borderId="0" xfId="4" applyFill="1"/>
    <xf numFmtId="0" fontId="1" fillId="722" borderId="0" xfId="4" applyFill="1"/>
    <xf numFmtId="0" fontId="1" fillId="723" borderId="0" xfId="4" applyFill="1"/>
    <xf numFmtId="0" fontId="1" fillId="724" borderId="0" xfId="4" applyFill="1"/>
    <xf numFmtId="0" fontId="1" fillId="725" borderId="0" xfId="4" applyFill="1"/>
    <xf numFmtId="0" fontId="1" fillId="726" borderId="0" xfId="4" applyFill="1"/>
    <xf numFmtId="0" fontId="1" fillId="727" borderId="0" xfId="4" applyFill="1"/>
    <xf numFmtId="0" fontId="1" fillId="728" borderId="0" xfId="4" applyFill="1"/>
    <xf numFmtId="0" fontId="1" fillId="729" borderId="0" xfId="4" applyFill="1"/>
    <xf numFmtId="0" fontId="1" fillId="730" borderId="0" xfId="4" applyFill="1"/>
    <xf numFmtId="0" fontId="1" fillId="731" borderId="0" xfId="4" applyFill="1"/>
    <xf numFmtId="0" fontId="1" fillId="732" borderId="0" xfId="4" applyFill="1"/>
    <xf numFmtId="0" fontId="1" fillId="733" borderId="0" xfId="4" applyFill="1"/>
    <xf numFmtId="0" fontId="1" fillId="734" borderId="0" xfId="4" applyFill="1"/>
    <xf numFmtId="0" fontId="1" fillId="735" borderId="0" xfId="4" applyFill="1"/>
    <xf numFmtId="0" fontId="1" fillId="736" borderId="0" xfId="4" applyFill="1"/>
    <xf numFmtId="0" fontId="1" fillId="737" borderId="0" xfId="4" applyFill="1"/>
    <xf numFmtId="0" fontId="1" fillId="738" borderId="0" xfId="4" applyFill="1"/>
    <xf numFmtId="0" fontId="1" fillId="739" borderId="0" xfId="4" applyFill="1"/>
    <xf numFmtId="0" fontId="1" fillId="740" borderId="0" xfId="4" applyFill="1"/>
    <xf numFmtId="0" fontId="1" fillId="741" borderId="0" xfId="4" applyFill="1"/>
    <xf numFmtId="0" fontId="1" fillId="742" borderId="0" xfId="4" applyFill="1"/>
    <xf numFmtId="0" fontId="1" fillId="743" borderId="0" xfId="4" applyFill="1"/>
    <xf numFmtId="0" fontId="1" fillId="744" borderId="0" xfId="4" applyFill="1"/>
    <xf numFmtId="0" fontId="1" fillId="745" borderId="0" xfId="4" applyFill="1"/>
    <xf numFmtId="0" fontId="1" fillId="746" borderId="0" xfId="4" applyFill="1"/>
    <xf numFmtId="0" fontId="1" fillId="747" borderId="0" xfId="4" applyFill="1"/>
    <xf numFmtId="0" fontId="1" fillId="748" borderId="0" xfId="4" applyFill="1"/>
    <xf numFmtId="0" fontId="1" fillId="749" borderId="0" xfId="4" applyFill="1"/>
    <xf numFmtId="0" fontId="1" fillId="750" borderId="0" xfId="4" applyFill="1"/>
    <xf numFmtId="0" fontId="1" fillId="751" borderId="0" xfId="4" applyFill="1"/>
    <xf numFmtId="0" fontId="1" fillId="752" borderId="0" xfId="4" applyFill="1"/>
    <xf numFmtId="0" fontId="1" fillId="753" borderId="0" xfId="4" applyFill="1"/>
    <xf numFmtId="0" fontId="1" fillId="754" borderId="0" xfId="4" applyFill="1"/>
    <xf numFmtId="0" fontId="1" fillId="755" borderId="0" xfId="4" applyFill="1"/>
    <xf numFmtId="0" fontId="1" fillId="756" borderId="0" xfId="4" applyFill="1"/>
    <xf numFmtId="0" fontId="1" fillId="757" borderId="0" xfId="4" applyFill="1"/>
    <xf numFmtId="0" fontId="1" fillId="758" borderId="0" xfId="4" applyFill="1"/>
    <xf numFmtId="0" fontId="1" fillId="759" borderId="0" xfId="4" applyFill="1"/>
    <xf numFmtId="0" fontId="1" fillId="760" borderId="0" xfId="4" applyFill="1"/>
    <xf numFmtId="0" fontId="1" fillId="761" borderId="0" xfId="4" applyFill="1"/>
    <xf numFmtId="0" fontId="1" fillId="762" borderId="0" xfId="4" applyFill="1"/>
    <xf numFmtId="0" fontId="1" fillId="763" borderId="0" xfId="4" applyFill="1"/>
    <xf numFmtId="0" fontId="1" fillId="764" borderId="0" xfId="4" applyFill="1"/>
    <xf numFmtId="0" fontId="1" fillId="765" borderId="0" xfId="4" applyFill="1"/>
    <xf numFmtId="0" fontId="1" fillId="766" borderId="0" xfId="4" applyFill="1"/>
    <xf numFmtId="0" fontId="1" fillId="767" borderId="0" xfId="4" applyFill="1"/>
    <xf numFmtId="0" fontId="1" fillId="768" borderId="0" xfId="4" applyFill="1"/>
    <xf numFmtId="0" fontId="1" fillId="769" borderId="0" xfId="4" applyFill="1"/>
    <xf numFmtId="0" fontId="1" fillId="770" borderId="0" xfId="4" applyFill="1"/>
    <xf numFmtId="0" fontId="1" fillId="771" borderId="0" xfId="4" applyFill="1"/>
    <xf numFmtId="0" fontId="1" fillId="772" borderId="0" xfId="4" applyFill="1"/>
    <xf numFmtId="0" fontId="1" fillId="773" borderId="0" xfId="4" applyFill="1"/>
    <xf numFmtId="0" fontId="1" fillId="774" borderId="0" xfId="4" applyFill="1"/>
    <xf numFmtId="0" fontId="1" fillId="775" borderId="0" xfId="4" applyFill="1"/>
    <xf numFmtId="0" fontId="1" fillId="776" borderId="0" xfId="4" applyFill="1"/>
    <xf numFmtId="0" fontId="1" fillId="777" borderId="0" xfId="4" applyFill="1"/>
    <xf numFmtId="0" fontId="1" fillId="778" borderId="0" xfId="4" applyFill="1"/>
    <xf numFmtId="0" fontId="1" fillId="779" borderId="0" xfId="4" applyFill="1"/>
    <xf numFmtId="0" fontId="1" fillId="780" borderId="0" xfId="4" applyFill="1"/>
    <xf numFmtId="0" fontId="1" fillId="781" borderId="0" xfId="4" applyFill="1"/>
    <xf numFmtId="0" fontId="1" fillId="782" borderId="0" xfId="4" applyFill="1"/>
    <xf numFmtId="0" fontId="1" fillId="783" borderId="0" xfId="4" applyFill="1"/>
    <xf numFmtId="0" fontId="1" fillId="784" borderId="0" xfId="4" applyFill="1"/>
    <xf numFmtId="0" fontId="1" fillId="785" borderId="0" xfId="4" applyFill="1"/>
    <xf numFmtId="0" fontId="1" fillId="786" borderId="0" xfId="4" applyFill="1"/>
    <xf numFmtId="0" fontId="1" fillId="787" borderId="0" xfId="4" applyFill="1"/>
    <xf numFmtId="0" fontId="1" fillId="788" borderId="0" xfId="4" applyFill="1"/>
    <xf numFmtId="0" fontId="1" fillId="789" borderId="0" xfId="4" applyFill="1"/>
    <xf numFmtId="0" fontId="1" fillId="790" borderId="0" xfId="4" applyFill="1"/>
    <xf numFmtId="0" fontId="1" fillId="791" borderId="0" xfId="4" applyFill="1"/>
    <xf numFmtId="0" fontId="1" fillId="792" borderId="0" xfId="4" applyFill="1"/>
    <xf numFmtId="0" fontId="1" fillId="793" borderId="0" xfId="4" applyFill="1"/>
    <xf numFmtId="0" fontId="1" fillId="794" borderId="0" xfId="4" applyFill="1"/>
    <xf numFmtId="0" fontId="1" fillId="795" borderId="0" xfId="4" applyFill="1"/>
    <xf numFmtId="0" fontId="1" fillId="796" borderId="0" xfId="4" applyFill="1"/>
    <xf numFmtId="0" fontId="1" fillId="797" borderId="0" xfId="4" applyFill="1"/>
    <xf numFmtId="0" fontId="1" fillId="798" borderId="0" xfId="4" applyFill="1"/>
    <xf numFmtId="0" fontId="1" fillId="799" borderId="0" xfId="4" applyFill="1"/>
    <xf numFmtId="0" fontId="1" fillId="800" borderId="0" xfId="4" applyFill="1"/>
    <xf numFmtId="0" fontId="1" fillId="801" borderId="0" xfId="4" applyFill="1"/>
    <xf numFmtId="0" fontId="1" fillId="802" borderId="0" xfId="4" applyFill="1"/>
    <xf numFmtId="0" fontId="1" fillId="803" borderId="0" xfId="4" applyFill="1"/>
    <xf numFmtId="0" fontId="1" fillId="804" borderId="0" xfId="4" applyFill="1"/>
    <xf numFmtId="0" fontId="1" fillId="805" borderId="0" xfId="4" applyFill="1"/>
    <xf numFmtId="0" fontId="1" fillId="806" borderId="0" xfId="4" applyFill="1"/>
    <xf numFmtId="0" fontId="1" fillId="807" borderId="0" xfId="4" applyFill="1"/>
    <xf numFmtId="0" fontId="1" fillId="808" borderId="0" xfId="4" applyFill="1"/>
    <xf numFmtId="0" fontId="1" fillId="809" borderId="0" xfId="4" applyFill="1"/>
    <xf numFmtId="0" fontId="1" fillId="810" borderId="0" xfId="4" applyFill="1"/>
    <xf numFmtId="0" fontId="1" fillId="811" borderId="0" xfId="4" applyFill="1"/>
    <xf numFmtId="0" fontId="1" fillId="812" borderId="0" xfId="4" applyFill="1"/>
    <xf numFmtId="0" fontId="1" fillId="813" borderId="0" xfId="4" applyFill="1"/>
    <xf numFmtId="0" fontId="1" fillId="814" borderId="0" xfId="4" applyFill="1"/>
    <xf numFmtId="0" fontId="1" fillId="815" borderId="0" xfId="4" applyFill="1"/>
    <xf numFmtId="0" fontId="1" fillId="816" borderId="0" xfId="4" applyFill="1"/>
    <xf numFmtId="0" fontId="1" fillId="817" borderId="0" xfId="4" applyFill="1"/>
    <xf numFmtId="0" fontId="1" fillId="818" borderId="0" xfId="4" applyFill="1"/>
    <xf numFmtId="0" fontId="1" fillId="819" borderId="0" xfId="4" applyFill="1"/>
    <xf numFmtId="0" fontId="1" fillId="820" borderId="0" xfId="4" applyFill="1"/>
    <xf numFmtId="0" fontId="1" fillId="821" borderId="0" xfId="4" applyFill="1"/>
    <xf numFmtId="0" fontId="1" fillId="822" borderId="0" xfId="4" applyFill="1"/>
    <xf numFmtId="0" fontId="1" fillId="823" borderId="0" xfId="4" applyFill="1"/>
    <xf numFmtId="0" fontId="1" fillId="824" borderId="0" xfId="4" applyFill="1"/>
    <xf numFmtId="0" fontId="1" fillId="825" borderId="0" xfId="4" applyFill="1"/>
    <xf numFmtId="0" fontId="1" fillId="826" borderId="0" xfId="4" applyFill="1"/>
    <xf numFmtId="0" fontId="1" fillId="827" borderId="0" xfId="4" applyFill="1"/>
    <xf numFmtId="0" fontId="1" fillId="828" borderId="0" xfId="4" applyFill="1"/>
    <xf numFmtId="0" fontId="1" fillId="829" borderId="0" xfId="4" applyFill="1"/>
    <xf numFmtId="0" fontId="1" fillId="830" borderId="0" xfId="4" applyFill="1"/>
    <xf numFmtId="0" fontId="1" fillId="831" borderId="0" xfId="4" applyFill="1"/>
    <xf numFmtId="0" fontId="1" fillId="832" borderId="0" xfId="4" applyFill="1"/>
    <xf numFmtId="0" fontId="1" fillId="833" borderId="0" xfId="4" applyFill="1"/>
    <xf numFmtId="0" fontId="1" fillId="834" borderId="0" xfId="4" applyFill="1"/>
    <xf numFmtId="0" fontId="1" fillId="835" borderId="0" xfId="4" applyFill="1"/>
    <xf numFmtId="0" fontId="1" fillId="836" borderId="0" xfId="4" applyFill="1"/>
    <xf numFmtId="0" fontId="1" fillId="837" borderId="0" xfId="4" applyFill="1"/>
    <xf numFmtId="0" fontId="1" fillId="838" borderId="0" xfId="4" applyFill="1"/>
    <xf numFmtId="0" fontId="1" fillId="839" borderId="0" xfId="4" applyFill="1"/>
    <xf numFmtId="0" fontId="1" fillId="840" borderId="0" xfId="4" applyFill="1"/>
    <xf numFmtId="0" fontId="1" fillId="841" borderId="0" xfId="4" applyFill="1"/>
    <xf numFmtId="0" fontId="1" fillId="842" borderId="0" xfId="4" applyFill="1"/>
    <xf numFmtId="0" fontId="1" fillId="843" borderId="0" xfId="4" applyFill="1"/>
    <xf numFmtId="0" fontId="1" fillId="844" borderId="0" xfId="4" applyFill="1"/>
    <xf numFmtId="0" fontId="1" fillId="845" borderId="0" xfId="4" applyFill="1"/>
    <xf numFmtId="0" fontId="1" fillId="846" borderId="0" xfId="4" applyFill="1"/>
    <xf numFmtId="0" fontId="1" fillId="847" borderId="0" xfId="4" applyFill="1"/>
    <xf numFmtId="0" fontId="1" fillId="848" borderId="0" xfId="4" applyFill="1"/>
    <xf numFmtId="0" fontId="1" fillId="849" borderId="0" xfId="4" applyFill="1"/>
    <xf numFmtId="0" fontId="1" fillId="850" borderId="0" xfId="4" applyFill="1"/>
    <xf numFmtId="0" fontId="1" fillId="851" borderId="0" xfId="4" applyFill="1"/>
    <xf numFmtId="0" fontId="1" fillId="852" borderId="0" xfId="4" applyFill="1"/>
    <xf numFmtId="0" fontId="1" fillId="853" borderId="0" xfId="4" applyFill="1"/>
    <xf numFmtId="0" fontId="1" fillId="854" borderId="0" xfId="4" applyFill="1"/>
    <xf numFmtId="0" fontId="1" fillId="855" borderId="0" xfId="4" applyFill="1"/>
    <xf numFmtId="0" fontId="1" fillId="856" borderId="0" xfId="4" applyFill="1"/>
    <xf numFmtId="0" fontId="1" fillId="857" borderId="0" xfId="4" applyFill="1"/>
    <xf numFmtId="0" fontId="1" fillId="858" borderId="0" xfId="4" applyFill="1"/>
    <xf numFmtId="0" fontId="1" fillId="859" borderId="0" xfId="4" applyFill="1"/>
    <xf numFmtId="0" fontId="1" fillId="860" borderId="0" xfId="4" applyFill="1"/>
    <xf numFmtId="0" fontId="1" fillId="861" borderId="0" xfId="4" applyFill="1"/>
    <xf numFmtId="0" fontId="1" fillId="862" borderId="0" xfId="4" applyFill="1"/>
    <xf numFmtId="0" fontId="1" fillId="863" borderId="0" xfId="4" applyFill="1"/>
    <xf numFmtId="0" fontId="1" fillId="864" borderId="0" xfId="4" applyFill="1"/>
    <xf numFmtId="0" fontId="1" fillId="865" borderId="0" xfId="4" applyFill="1"/>
    <xf numFmtId="0" fontId="1" fillId="866" borderId="0" xfId="4" applyFill="1"/>
    <xf numFmtId="0" fontId="1" fillId="867" borderId="0" xfId="4" applyFill="1"/>
    <xf numFmtId="0" fontId="1" fillId="868" borderId="0" xfId="4" applyFill="1"/>
    <xf numFmtId="0" fontId="1" fillId="869" borderId="0" xfId="4" applyFill="1"/>
    <xf numFmtId="0" fontId="1" fillId="870" borderId="0" xfId="4" applyFill="1"/>
    <xf numFmtId="0" fontId="1" fillId="871" borderId="0" xfId="4" applyFill="1"/>
    <xf numFmtId="0" fontId="1" fillId="872" borderId="0" xfId="4" applyFill="1"/>
    <xf numFmtId="0" fontId="1" fillId="873" borderId="0" xfId="4" applyFill="1"/>
    <xf numFmtId="0" fontId="1" fillId="874" borderId="0" xfId="4" applyFill="1"/>
    <xf numFmtId="0" fontId="1" fillId="875" borderId="0" xfId="4" applyFill="1"/>
    <xf numFmtId="0" fontId="1" fillId="876" borderId="0" xfId="4" applyFill="1"/>
    <xf numFmtId="0" fontId="1" fillId="877" borderId="0" xfId="4" applyFill="1"/>
    <xf numFmtId="0" fontId="1" fillId="878" borderId="0" xfId="4" applyFill="1"/>
    <xf numFmtId="0" fontId="1" fillId="879" borderId="0" xfId="4" applyFill="1"/>
    <xf numFmtId="0" fontId="1" fillId="880" borderId="0" xfId="4" applyFill="1"/>
    <xf numFmtId="0" fontId="1" fillId="881" borderId="0" xfId="4" applyFill="1"/>
    <xf numFmtId="0" fontId="1" fillId="882" borderId="0" xfId="4" applyFill="1"/>
    <xf numFmtId="0" fontId="1" fillId="883" borderId="0" xfId="4" applyFill="1"/>
    <xf numFmtId="0" fontId="1" fillId="884" borderId="0" xfId="4" applyFill="1"/>
    <xf numFmtId="0" fontId="1" fillId="885" borderId="0" xfId="4" applyFill="1"/>
    <xf numFmtId="0" fontId="1" fillId="886" borderId="0" xfId="4" applyFill="1"/>
    <xf numFmtId="0" fontId="1" fillId="887" borderId="0" xfId="4" applyFill="1"/>
    <xf numFmtId="0" fontId="1" fillId="888" borderId="0" xfId="4" applyFill="1"/>
    <xf numFmtId="0" fontId="1" fillId="889" borderId="0" xfId="4" applyFill="1"/>
    <xf numFmtId="0" fontId="1" fillId="890" borderId="0" xfId="4" applyFill="1"/>
    <xf numFmtId="0" fontId="1" fillId="891" borderId="0" xfId="4" applyFill="1"/>
    <xf numFmtId="0" fontId="1" fillId="892" borderId="0" xfId="4" applyFill="1"/>
    <xf numFmtId="0" fontId="1" fillId="893" borderId="0" xfId="4" applyFill="1"/>
    <xf numFmtId="0" fontId="1" fillId="894" borderId="0" xfId="4" applyFill="1"/>
    <xf numFmtId="0" fontId="1" fillId="895" borderId="0" xfId="4" applyFill="1"/>
    <xf numFmtId="0" fontId="1" fillId="896" borderId="0" xfId="4" applyFill="1"/>
    <xf numFmtId="0" fontId="1" fillId="897" borderId="0" xfId="4" applyFill="1"/>
    <xf numFmtId="0" fontId="1" fillId="898" borderId="0" xfId="4" applyFill="1"/>
    <xf numFmtId="0" fontId="1" fillId="899" borderId="0" xfId="4" applyFill="1"/>
    <xf numFmtId="0" fontId="1" fillId="900" borderId="0" xfId="4" applyFill="1"/>
    <xf numFmtId="0" fontId="1" fillId="901" borderId="0" xfId="4" applyFill="1"/>
    <xf numFmtId="0" fontId="1" fillId="902" borderId="0" xfId="4" applyFill="1"/>
    <xf numFmtId="0" fontId="1" fillId="903" borderId="0" xfId="4" applyFill="1"/>
    <xf numFmtId="0" fontId="1" fillId="904" borderId="0" xfId="4" applyFill="1"/>
    <xf numFmtId="0" fontId="1" fillId="905" borderId="0" xfId="4" applyFill="1"/>
    <xf numFmtId="0" fontId="1" fillId="906" borderId="0" xfId="4" applyFill="1"/>
    <xf numFmtId="0" fontId="1" fillId="907" borderId="0" xfId="4" applyFill="1"/>
    <xf numFmtId="0" fontId="1" fillId="908" borderId="0" xfId="4" applyFill="1"/>
    <xf numFmtId="0" fontId="1" fillId="909" borderId="0" xfId="4" applyFill="1"/>
    <xf numFmtId="0" fontId="1" fillId="910" borderId="0" xfId="4" applyFill="1"/>
    <xf numFmtId="0" fontId="1" fillId="911" borderId="0" xfId="4" applyFill="1"/>
    <xf numFmtId="0" fontId="1" fillId="912" borderId="0" xfId="4" applyFill="1"/>
    <xf numFmtId="0" fontId="1" fillId="913" borderId="0" xfId="4" applyFill="1"/>
    <xf numFmtId="0" fontId="1" fillId="914" borderId="0" xfId="4" applyFill="1"/>
    <xf numFmtId="0" fontId="1" fillId="915" borderId="0" xfId="4" applyFill="1"/>
    <xf numFmtId="0" fontId="1" fillId="916" borderId="0" xfId="4" applyFill="1"/>
    <xf numFmtId="0" fontId="1" fillId="917" borderId="0" xfId="4" applyFill="1"/>
    <xf numFmtId="0" fontId="1" fillId="918" borderId="0" xfId="4" applyFill="1"/>
    <xf numFmtId="0" fontId="1" fillId="919" borderId="0" xfId="4" applyFill="1"/>
    <xf numFmtId="0" fontId="1" fillId="920" borderId="0" xfId="4" applyFill="1"/>
    <xf numFmtId="0" fontId="1" fillId="921" borderId="0" xfId="4" applyFill="1"/>
    <xf numFmtId="0" fontId="1" fillId="922" borderId="0" xfId="4" applyFill="1"/>
    <xf numFmtId="0" fontId="1" fillId="923" borderId="0" xfId="4" applyFill="1"/>
    <xf numFmtId="0" fontId="1" fillId="924" borderId="0" xfId="4" applyFill="1"/>
    <xf numFmtId="0" fontId="1" fillId="925" borderId="0" xfId="4" applyFill="1"/>
    <xf numFmtId="0" fontId="1" fillId="926" borderId="0" xfId="4" applyFill="1"/>
    <xf numFmtId="0" fontId="1" fillId="927" borderId="0" xfId="4" applyFill="1"/>
    <xf numFmtId="0" fontId="1" fillId="928" borderId="0" xfId="4" applyFill="1"/>
    <xf numFmtId="0" fontId="1" fillId="929" borderId="0" xfId="4" applyFill="1"/>
    <xf numFmtId="0" fontId="1" fillId="930" borderId="0" xfId="4" applyFill="1"/>
    <xf numFmtId="0" fontId="1" fillId="931" borderId="0" xfId="4" applyFill="1"/>
    <xf numFmtId="0" fontId="1" fillId="932" borderId="0" xfId="4" applyFill="1"/>
    <xf numFmtId="0" fontId="1" fillId="933" borderId="0" xfId="4" applyFill="1"/>
    <xf numFmtId="0" fontId="1" fillId="934" borderId="0" xfId="4" applyFill="1"/>
    <xf numFmtId="0" fontId="1" fillId="935" borderId="0" xfId="4" applyFill="1"/>
    <xf numFmtId="0" fontId="1" fillId="936" borderId="0" xfId="4" applyFill="1"/>
    <xf numFmtId="0" fontId="1" fillId="937" borderId="0" xfId="4" applyFill="1"/>
    <xf numFmtId="0" fontId="1" fillId="938" borderId="0" xfId="4" applyFill="1"/>
    <xf numFmtId="0" fontId="1" fillId="939" borderId="0" xfId="4" applyFill="1"/>
    <xf numFmtId="0" fontId="1" fillId="940" borderId="0" xfId="4" applyFill="1"/>
    <xf numFmtId="0" fontId="1" fillId="941" borderId="0" xfId="4" applyFill="1"/>
    <xf numFmtId="0" fontId="1" fillId="942" borderId="0" xfId="4" applyFill="1"/>
    <xf numFmtId="0" fontId="1" fillId="943" borderId="0" xfId="4" applyFill="1"/>
    <xf numFmtId="0" fontId="1" fillId="944" borderId="0" xfId="4" applyFill="1"/>
    <xf numFmtId="0" fontId="1" fillId="945" borderId="0" xfId="4" applyFill="1"/>
    <xf numFmtId="0" fontId="1" fillId="946" borderId="0" xfId="4" applyFill="1"/>
    <xf numFmtId="0" fontId="1" fillId="947" borderId="0" xfId="4" applyFill="1"/>
    <xf numFmtId="0" fontId="1" fillId="948" borderId="0" xfId="4" applyFill="1"/>
    <xf numFmtId="0" fontId="1" fillId="949" borderId="0" xfId="4" applyFill="1"/>
    <xf numFmtId="0" fontId="1" fillId="950" borderId="0" xfId="4" applyFill="1"/>
    <xf numFmtId="0" fontId="1" fillId="951" borderId="0" xfId="4" applyFill="1"/>
    <xf numFmtId="0" fontId="1" fillId="952" borderId="0" xfId="4" applyFill="1"/>
    <xf numFmtId="0" fontId="1" fillId="953" borderId="0" xfId="4" applyFill="1"/>
    <xf numFmtId="0" fontId="1" fillId="954" borderId="0" xfId="4" applyFill="1"/>
    <xf numFmtId="0" fontId="1" fillId="955" borderId="0" xfId="4" applyFill="1"/>
    <xf numFmtId="0" fontId="1" fillId="956" borderId="0" xfId="4" applyFill="1"/>
    <xf numFmtId="0" fontId="1" fillId="957" borderId="0" xfId="4" applyFill="1"/>
    <xf numFmtId="0" fontId="1" fillId="958" borderId="0" xfId="4" applyFill="1"/>
    <xf numFmtId="0" fontId="1" fillId="959" borderId="0" xfId="4" applyFill="1"/>
    <xf numFmtId="0" fontId="1" fillId="960" borderId="0" xfId="4" applyFill="1"/>
    <xf numFmtId="0" fontId="1" fillId="961" borderId="0" xfId="4" applyFill="1"/>
    <xf numFmtId="0" fontId="1" fillId="962" borderId="0" xfId="4" applyFill="1"/>
    <xf numFmtId="0" fontId="1" fillId="963" borderId="0" xfId="4" applyFill="1"/>
    <xf numFmtId="0" fontId="1" fillId="964" borderId="0" xfId="4" applyFill="1"/>
    <xf numFmtId="0" fontId="1" fillId="965" borderId="0" xfId="4" applyFill="1"/>
    <xf numFmtId="0" fontId="1" fillId="966" borderId="0" xfId="4" applyFill="1"/>
    <xf numFmtId="0" fontId="1" fillId="967" borderId="0" xfId="4" applyFill="1"/>
    <xf numFmtId="0" fontId="1" fillId="968" borderId="0" xfId="4" applyFill="1"/>
    <xf numFmtId="0" fontId="1" fillId="969" borderId="0" xfId="4" applyFill="1"/>
    <xf numFmtId="0" fontId="1" fillId="970" borderId="0" xfId="4" applyFill="1"/>
    <xf numFmtId="0" fontId="1" fillId="971" borderId="0" xfId="4" applyFill="1"/>
    <xf numFmtId="0" fontId="1" fillId="972" borderId="0" xfId="4" applyFill="1"/>
    <xf numFmtId="0" fontId="1" fillId="973" borderId="0" xfId="4" applyFill="1"/>
    <xf numFmtId="0" fontId="1" fillId="974" borderId="0" xfId="4" applyFill="1"/>
    <xf numFmtId="0" fontId="1" fillId="975" borderId="0" xfId="4" applyFill="1"/>
    <xf numFmtId="0" fontId="1" fillId="976" borderId="0" xfId="4" applyFill="1"/>
    <xf numFmtId="0" fontId="1" fillId="977" borderId="0" xfId="4" applyFill="1"/>
    <xf numFmtId="0" fontId="1" fillId="978" borderId="0" xfId="4" applyFill="1"/>
    <xf numFmtId="0" fontId="1" fillId="979" borderId="0" xfId="4" applyFill="1"/>
    <xf numFmtId="0" fontId="1" fillId="980" borderId="0" xfId="4" applyFill="1"/>
    <xf numFmtId="0" fontId="1" fillId="981" borderId="0" xfId="4" applyFill="1"/>
    <xf numFmtId="0" fontId="1" fillId="982" borderId="0" xfId="4" applyFill="1"/>
    <xf numFmtId="0" fontId="1" fillId="983" borderId="0" xfId="4" applyFill="1"/>
    <xf numFmtId="0" fontId="1" fillId="984" borderId="0" xfId="4" applyFill="1"/>
    <xf numFmtId="0" fontId="1" fillId="985" borderId="0" xfId="4" applyFill="1"/>
    <xf numFmtId="0" fontId="1" fillId="986" borderId="0" xfId="4" applyFill="1"/>
    <xf numFmtId="0" fontId="1" fillId="987" borderId="0" xfId="4" applyFill="1"/>
    <xf numFmtId="0" fontId="1" fillId="988" borderId="0" xfId="4" applyFill="1"/>
    <xf numFmtId="0" fontId="1" fillId="989" borderId="0" xfId="4" applyFill="1"/>
    <xf numFmtId="0" fontId="1" fillId="990" borderId="0" xfId="4" applyFill="1"/>
    <xf numFmtId="0" fontId="1" fillId="991" borderId="0" xfId="4" applyFill="1"/>
    <xf numFmtId="0" fontId="1" fillId="992" borderId="0" xfId="4" applyFill="1"/>
    <xf numFmtId="0" fontId="1" fillId="993" borderId="0" xfId="4" applyFill="1"/>
    <xf numFmtId="0" fontId="1" fillId="994" borderId="0" xfId="4" applyFill="1"/>
    <xf numFmtId="0" fontId="1" fillId="995" borderId="0" xfId="4" applyFill="1"/>
    <xf numFmtId="0" fontId="1" fillId="996" borderId="0" xfId="4" applyFill="1"/>
    <xf numFmtId="0" fontId="1" fillId="997" borderId="0" xfId="4" applyFill="1"/>
    <xf numFmtId="0" fontId="1" fillId="998" borderId="0" xfId="4" applyFill="1"/>
    <xf numFmtId="0" fontId="1" fillId="999" borderId="0" xfId="4" applyFill="1"/>
    <xf numFmtId="0" fontId="1" fillId="1000" borderId="0" xfId="4" applyFill="1"/>
    <xf numFmtId="0" fontId="1" fillId="1001" borderId="0" xfId="4" applyFill="1"/>
    <xf numFmtId="0" fontId="1" fillId="1002" borderId="0" xfId="4" applyFill="1"/>
    <xf numFmtId="0" fontId="1" fillId="1003" borderId="0" xfId="4" applyFill="1"/>
    <xf numFmtId="0" fontId="1" fillId="1004" borderId="0" xfId="4" applyFill="1"/>
    <xf numFmtId="0" fontId="1" fillId="1005" borderId="0" xfId="4" applyFill="1"/>
    <xf numFmtId="0" fontId="1" fillId="1006" borderId="0" xfId="4" applyFill="1"/>
    <xf numFmtId="0" fontId="1" fillId="1007" borderId="0" xfId="4" applyFill="1"/>
    <xf numFmtId="0" fontId="1" fillId="1008" borderId="0" xfId="4" applyFill="1"/>
    <xf numFmtId="0" fontId="1" fillId="1009" borderId="0" xfId="4" applyFill="1"/>
    <xf numFmtId="0" fontId="1" fillId="1010" borderId="0" xfId="4" applyFill="1"/>
    <xf numFmtId="0" fontId="1" fillId="1011" borderId="0" xfId="4" applyFill="1"/>
    <xf numFmtId="0" fontId="1" fillId="1012" borderId="0" xfId="4" applyFill="1"/>
    <xf numFmtId="0" fontId="1" fillId="1013" borderId="0" xfId="4" applyFill="1"/>
    <xf numFmtId="0" fontId="1" fillId="1014" borderId="0" xfId="4" applyFill="1"/>
    <xf numFmtId="0" fontId="1" fillId="1015" borderId="0" xfId="4" applyFill="1"/>
    <xf numFmtId="0" fontId="1" fillId="1016" borderId="0" xfId="4" applyFill="1"/>
    <xf numFmtId="0" fontId="1" fillId="1017" borderId="0" xfId="4" applyFill="1"/>
    <xf numFmtId="0" fontId="1" fillId="1018" borderId="0" xfId="4" applyFill="1"/>
    <xf numFmtId="0" fontId="1" fillId="1019" borderId="0" xfId="4" applyFill="1"/>
    <xf numFmtId="0" fontId="1" fillId="1020" borderId="0" xfId="4" applyFill="1"/>
    <xf numFmtId="0" fontId="1" fillId="1021" borderId="0" xfId="4" applyFill="1"/>
    <xf numFmtId="0" fontId="1" fillId="1022" borderId="0" xfId="4" applyFill="1"/>
    <xf numFmtId="0" fontId="1" fillId="1023" borderId="0" xfId="4" applyFill="1"/>
    <xf numFmtId="0" fontId="1" fillId="1024" borderId="0" xfId="4" applyFill="1"/>
    <xf numFmtId="0" fontId="1" fillId="1025" borderId="0" xfId="4" applyFill="1"/>
    <xf numFmtId="0" fontId="1" fillId="1026" borderId="0" xfId="4" applyFill="1"/>
    <xf numFmtId="0" fontId="1" fillId="1027" borderId="0" xfId="4" applyFill="1"/>
    <xf numFmtId="0" fontId="1" fillId="1028" borderId="0" xfId="4" applyFill="1"/>
    <xf numFmtId="0" fontId="1" fillId="1029" borderId="0" xfId="4" applyFill="1"/>
    <xf numFmtId="0" fontId="1" fillId="1030" borderId="0" xfId="4" applyFill="1"/>
    <xf numFmtId="0" fontId="1" fillId="1031" borderId="0" xfId="4" applyFill="1"/>
    <xf numFmtId="0" fontId="1" fillId="1032" borderId="0" xfId="4" applyFill="1"/>
    <xf numFmtId="0" fontId="1" fillId="1033" borderId="0" xfId="4" applyFill="1"/>
    <xf numFmtId="0" fontId="1" fillId="1034" borderId="0" xfId="4" applyFill="1"/>
    <xf numFmtId="0" fontId="1" fillId="1035" borderId="0" xfId="4" applyFill="1"/>
    <xf numFmtId="0" fontId="1" fillId="1036" borderId="0" xfId="4" applyFill="1"/>
    <xf numFmtId="0" fontId="1" fillId="1037" borderId="0" xfId="4" applyFill="1"/>
    <xf numFmtId="0" fontId="1" fillId="1038" borderId="0" xfId="4" applyFill="1"/>
    <xf numFmtId="0" fontId="1" fillId="1039" borderId="0" xfId="4" applyFill="1"/>
    <xf numFmtId="0" fontId="1" fillId="1040" borderId="0" xfId="4" applyFill="1"/>
    <xf numFmtId="0" fontId="1" fillId="1041" borderId="0" xfId="4" applyFill="1"/>
    <xf numFmtId="0" fontId="1" fillId="1042" borderId="0" xfId="4" applyFill="1"/>
    <xf numFmtId="0" fontId="1" fillId="1043" borderId="0" xfId="4" applyFill="1"/>
    <xf numFmtId="0" fontId="1" fillId="1044" borderId="0" xfId="4" applyFill="1"/>
    <xf numFmtId="0" fontId="1" fillId="1045" borderId="0" xfId="4" applyFill="1"/>
    <xf numFmtId="0" fontId="1" fillId="1046" borderId="0" xfId="4" applyFill="1"/>
    <xf numFmtId="0" fontId="1" fillId="1047" borderId="0" xfId="4" applyFill="1"/>
    <xf numFmtId="0" fontId="1" fillId="1048" borderId="0" xfId="4" applyFill="1"/>
    <xf numFmtId="0" fontId="1" fillId="1049" borderId="0" xfId="4" applyFill="1"/>
    <xf numFmtId="0" fontId="1" fillId="1050" borderId="0" xfId="4" applyFill="1"/>
    <xf numFmtId="0" fontId="1" fillId="1051" borderId="0" xfId="4" applyFill="1"/>
    <xf numFmtId="0" fontId="1" fillId="1052" borderId="0" xfId="4" applyFill="1"/>
    <xf numFmtId="0" fontId="1" fillId="1053" borderId="0" xfId="4" applyFill="1"/>
    <xf numFmtId="0" fontId="1" fillId="1054" borderId="0" xfId="4" applyFill="1"/>
    <xf numFmtId="0" fontId="1" fillId="1055" borderId="0" xfId="4" applyFill="1"/>
    <xf numFmtId="0" fontId="1" fillId="1056" borderId="0" xfId="4" applyFill="1"/>
    <xf numFmtId="0" fontId="1" fillId="1057" borderId="0" xfId="4" applyFill="1"/>
    <xf numFmtId="0" fontId="1" fillId="1058" borderId="0" xfId="4" applyFill="1"/>
    <xf numFmtId="0" fontId="1" fillId="1059" borderId="0" xfId="4" applyFill="1"/>
    <xf numFmtId="0" fontId="1" fillId="1060" borderId="0" xfId="4" applyFill="1"/>
    <xf numFmtId="0" fontId="1" fillId="1061" borderId="0" xfId="4" applyFill="1"/>
    <xf numFmtId="0" fontId="1" fillId="1062" borderId="0" xfId="4" applyFill="1"/>
    <xf numFmtId="0" fontId="1" fillId="1063" borderId="0" xfId="4" applyFill="1"/>
    <xf numFmtId="0" fontId="1" fillId="1064" borderId="0" xfId="4" applyFill="1"/>
    <xf numFmtId="0" fontId="1" fillId="1065" borderId="0" xfId="4" applyFill="1"/>
    <xf numFmtId="0" fontId="1" fillId="1066" borderId="0" xfId="4" applyFill="1"/>
    <xf numFmtId="0" fontId="1" fillId="1067" borderId="0" xfId="4" applyFill="1"/>
    <xf numFmtId="0" fontId="1" fillId="1068" borderId="0" xfId="4" applyFill="1"/>
    <xf numFmtId="0" fontId="1" fillId="1069" borderId="0" xfId="4" applyFill="1"/>
    <xf numFmtId="0" fontId="1" fillId="1070" borderId="0" xfId="4" applyFill="1"/>
    <xf numFmtId="0" fontId="1" fillId="1071" borderId="0" xfId="4" applyFill="1"/>
    <xf numFmtId="0" fontId="1" fillId="1072" borderId="0" xfId="4" applyFill="1"/>
    <xf numFmtId="0" fontId="1" fillId="1073" borderId="0" xfId="4" applyFill="1"/>
    <xf numFmtId="0" fontId="1" fillId="1074" borderId="0" xfId="4" applyFill="1"/>
    <xf numFmtId="0" fontId="1" fillId="1075" borderId="0" xfId="4" applyFill="1"/>
    <xf numFmtId="0" fontId="1" fillId="1076" borderId="0" xfId="4" applyFill="1"/>
    <xf numFmtId="0" fontId="1" fillId="1077" borderId="0" xfId="4" applyFill="1"/>
    <xf numFmtId="0" fontId="1" fillId="1078" borderId="0" xfId="4" applyFill="1"/>
    <xf numFmtId="0" fontId="1" fillId="1079" borderId="0" xfId="4" applyFill="1"/>
    <xf numFmtId="0" fontId="1" fillId="1080" borderId="0" xfId="4" applyFill="1"/>
    <xf numFmtId="0" fontId="1" fillId="1081" borderId="0" xfId="4" applyFill="1"/>
    <xf numFmtId="0" fontId="1" fillId="1082" borderId="0" xfId="4" applyFill="1"/>
    <xf numFmtId="0" fontId="1" fillId="1083" borderId="0" xfId="4" applyFill="1"/>
    <xf numFmtId="0" fontId="1" fillId="1084" borderId="0" xfId="4" applyFill="1"/>
    <xf numFmtId="0" fontId="1" fillId="1085" borderId="0" xfId="4" applyFill="1"/>
    <xf numFmtId="0" fontId="1" fillId="1086" borderId="0" xfId="4" applyFill="1"/>
    <xf numFmtId="0" fontId="1" fillId="1087" borderId="0" xfId="4" applyFill="1"/>
    <xf numFmtId="0" fontId="1" fillId="1088" borderId="0" xfId="4" applyFill="1"/>
    <xf numFmtId="0" fontId="1" fillId="1089" borderId="0" xfId="4" applyFill="1"/>
    <xf numFmtId="0" fontId="1" fillId="1090" borderId="0" xfId="4" applyFill="1"/>
    <xf numFmtId="0" fontId="1" fillId="1091" borderId="0" xfId="4" applyFill="1"/>
    <xf numFmtId="0" fontId="1" fillId="1092" borderId="0" xfId="4" applyFill="1"/>
    <xf numFmtId="0" fontId="1" fillId="1093" borderId="0" xfId="4" applyFill="1"/>
    <xf numFmtId="0" fontId="1" fillId="1094" borderId="0" xfId="4" applyFill="1"/>
    <xf numFmtId="0" fontId="1" fillId="1095" borderId="0" xfId="4" applyFill="1"/>
    <xf numFmtId="0" fontId="1" fillId="1096" borderId="0" xfId="4" applyFill="1"/>
    <xf numFmtId="0" fontId="1" fillId="1097" borderId="0" xfId="4" applyFill="1"/>
    <xf numFmtId="0" fontId="1" fillId="1098" borderId="0" xfId="4" applyFill="1"/>
    <xf numFmtId="0" fontId="1" fillId="1099" borderId="0" xfId="4" applyFill="1"/>
    <xf numFmtId="0" fontId="1" fillId="1100" borderId="0" xfId="4" applyFill="1"/>
    <xf numFmtId="0" fontId="1" fillId="1101" borderId="0" xfId="4" applyFill="1"/>
    <xf numFmtId="0" fontId="1" fillId="1102" borderId="0" xfId="4" applyFill="1"/>
    <xf numFmtId="0" fontId="1" fillId="1103" borderId="0" xfId="4" applyFill="1"/>
    <xf numFmtId="0" fontId="1" fillId="1104" borderId="0" xfId="4" applyFill="1"/>
    <xf numFmtId="0" fontId="1" fillId="1105" borderId="0" xfId="4" applyFill="1"/>
    <xf numFmtId="0" fontId="1" fillId="1106" borderId="0" xfId="4" applyFill="1"/>
    <xf numFmtId="0" fontId="1" fillId="1107" borderId="0" xfId="4" applyFill="1"/>
    <xf numFmtId="0" fontId="1" fillId="1108" borderId="0" xfId="4" applyFill="1"/>
    <xf numFmtId="0" fontId="1" fillId="1109" borderId="0" xfId="4" applyFill="1"/>
    <xf numFmtId="0" fontId="1" fillId="1110" borderId="0" xfId="4" applyFill="1"/>
    <xf numFmtId="0" fontId="1" fillId="1111" borderId="0" xfId="4" applyFill="1"/>
    <xf numFmtId="0" fontId="1" fillId="1112" borderId="0" xfId="4" applyFill="1"/>
    <xf numFmtId="0" fontId="1" fillId="1113" borderId="0" xfId="4" applyFill="1"/>
    <xf numFmtId="0" fontId="1" fillId="1114" borderId="0" xfId="4" applyFill="1"/>
    <xf numFmtId="0" fontId="1" fillId="1115" borderId="0" xfId="4" applyFill="1"/>
    <xf numFmtId="0" fontId="1" fillId="1116" borderId="0" xfId="4" applyFill="1"/>
    <xf numFmtId="0" fontId="1" fillId="1117" borderId="0" xfId="4" applyFill="1"/>
    <xf numFmtId="0" fontId="1" fillId="1118" borderId="0" xfId="4" applyFill="1"/>
    <xf numFmtId="0" fontId="1" fillId="1119" borderId="0" xfId="4" applyFill="1"/>
    <xf numFmtId="0" fontId="1" fillId="1120" borderId="0" xfId="4" applyFill="1"/>
    <xf numFmtId="0" fontId="1" fillId="1121" borderId="0" xfId="4" applyFill="1"/>
    <xf numFmtId="0" fontId="1" fillId="1122" borderId="0" xfId="4" applyFill="1"/>
    <xf numFmtId="0" fontId="1" fillId="1123" borderId="0" xfId="4" applyFill="1"/>
    <xf numFmtId="0" fontId="1" fillId="1124" borderId="0" xfId="4" applyFill="1"/>
    <xf numFmtId="0" fontId="1" fillId="1125" borderId="0" xfId="4" applyFill="1"/>
    <xf numFmtId="0" fontId="1" fillId="1126" borderId="0" xfId="4" applyFill="1"/>
    <xf numFmtId="0" fontId="1" fillId="1127" borderId="0" xfId="4" applyFill="1"/>
    <xf numFmtId="0" fontId="1" fillId="1128" borderId="0" xfId="4" applyFill="1"/>
    <xf numFmtId="0" fontId="1" fillId="1129" borderId="0" xfId="4" applyFill="1"/>
    <xf numFmtId="0" fontId="1" fillId="1130" borderId="0" xfId="4" applyFill="1"/>
    <xf numFmtId="0" fontId="1" fillId="1131" borderId="0" xfId="4" applyFill="1"/>
    <xf numFmtId="0" fontId="1" fillId="1132" borderId="0" xfId="4" applyFill="1"/>
    <xf numFmtId="0" fontId="1" fillId="1133" borderId="0" xfId="4" applyFill="1"/>
    <xf numFmtId="0" fontId="1" fillId="1134" borderId="0" xfId="4" applyFill="1"/>
    <xf numFmtId="0" fontId="1" fillId="1135" borderId="0" xfId="4" applyFill="1"/>
    <xf numFmtId="0" fontId="1" fillId="1136" borderId="0" xfId="4" applyFill="1"/>
    <xf numFmtId="0" fontId="1" fillId="1137" borderId="0" xfId="4" applyFill="1"/>
    <xf numFmtId="0" fontId="1" fillId="1138" borderId="0" xfId="4" applyFill="1"/>
    <xf numFmtId="0" fontId="1" fillId="1139" borderId="0" xfId="4" applyFill="1"/>
    <xf numFmtId="0" fontId="1" fillId="1140" borderId="0" xfId="4" applyFill="1"/>
    <xf numFmtId="0" fontId="1" fillId="1141" borderId="0" xfId="4" applyFill="1"/>
    <xf numFmtId="0" fontId="1" fillId="1142" borderId="0" xfId="4" applyFill="1"/>
    <xf numFmtId="0" fontId="1" fillId="1143" borderId="0" xfId="4" applyFill="1"/>
    <xf numFmtId="0" fontId="1" fillId="1144" borderId="0" xfId="4" applyFill="1"/>
    <xf numFmtId="0" fontId="1" fillId="1145" borderId="0" xfId="4" applyFill="1"/>
    <xf numFmtId="0" fontId="1" fillId="1146" borderId="0" xfId="4" applyFill="1"/>
    <xf numFmtId="0" fontId="1" fillId="1147" borderId="0" xfId="4" applyFill="1"/>
    <xf numFmtId="0" fontId="1" fillId="1148" borderId="0" xfId="4" applyFill="1"/>
    <xf numFmtId="0" fontId="1" fillId="1149" borderId="0" xfId="4" applyFill="1"/>
    <xf numFmtId="0" fontId="1" fillId="1150" borderId="0" xfId="4" applyFill="1"/>
    <xf numFmtId="0" fontId="1" fillId="1151" borderId="0" xfId="4" applyFill="1"/>
    <xf numFmtId="0" fontId="1" fillId="1152" borderId="0" xfId="4" applyFill="1"/>
    <xf numFmtId="0" fontId="1" fillId="1153" borderId="0" xfId="4" applyFill="1"/>
    <xf numFmtId="0" fontId="1" fillId="1154" borderId="0" xfId="4" applyFill="1"/>
    <xf numFmtId="0" fontId="1" fillId="1155" borderId="0" xfId="4" applyFill="1"/>
    <xf numFmtId="0" fontId="1" fillId="1156" borderId="0" xfId="4" applyFill="1"/>
    <xf numFmtId="0" fontId="1" fillId="1157" borderId="0" xfId="4" applyFill="1"/>
    <xf numFmtId="0" fontId="1" fillId="1158" borderId="0" xfId="4" applyFill="1"/>
    <xf numFmtId="0" fontId="1" fillId="1159" borderId="0" xfId="4" applyFill="1"/>
    <xf numFmtId="0" fontId="1" fillId="1160" borderId="0" xfId="4" applyFill="1"/>
    <xf numFmtId="0" fontId="1" fillId="1161" borderId="0" xfId="4" applyFill="1"/>
    <xf numFmtId="0" fontId="1" fillId="1162" borderId="0" xfId="4" applyFill="1"/>
    <xf numFmtId="0" fontId="1" fillId="1163" borderId="0" xfId="4" applyFill="1"/>
    <xf numFmtId="0" fontId="1" fillId="1164" borderId="0" xfId="4" applyFill="1"/>
    <xf numFmtId="0" fontId="1" fillId="1165" borderId="0" xfId="4" applyFill="1"/>
    <xf numFmtId="0" fontId="1" fillId="1166" borderId="0" xfId="4" applyFill="1"/>
    <xf numFmtId="0" fontId="1" fillId="1167" borderId="0" xfId="4" applyFill="1"/>
    <xf numFmtId="0" fontId="1" fillId="1168" borderId="0" xfId="4" applyFill="1"/>
    <xf numFmtId="0" fontId="1" fillId="1169" borderId="0" xfId="4" applyFill="1"/>
    <xf numFmtId="0" fontId="1" fillId="1170" borderId="0" xfId="4" applyFill="1"/>
    <xf numFmtId="0" fontId="1" fillId="1171" borderId="0" xfId="4" applyFill="1"/>
    <xf numFmtId="0" fontId="1" fillId="1172" borderId="0" xfId="4" applyFill="1"/>
    <xf numFmtId="0" fontId="1" fillId="1173" borderId="0" xfId="4" applyFill="1"/>
    <xf numFmtId="0" fontId="1" fillId="1174" borderId="0" xfId="4" applyFill="1"/>
    <xf numFmtId="0" fontId="1" fillId="1175" borderId="0" xfId="4" applyFill="1"/>
    <xf numFmtId="0" fontId="1" fillId="1176" borderId="0" xfId="4" applyFill="1"/>
    <xf numFmtId="0" fontId="1" fillId="1177" borderId="0" xfId="4" applyFill="1"/>
    <xf numFmtId="0" fontId="1" fillId="1178" borderId="0" xfId="4" applyFill="1"/>
    <xf numFmtId="0" fontId="1" fillId="1179" borderId="0" xfId="4" applyFill="1"/>
    <xf numFmtId="0" fontId="1" fillId="1180" borderId="0" xfId="4" applyFill="1"/>
    <xf numFmtId="0" fontId="1" fillId="1181" borderId="0" xfId="4" applyFill="1"/>
    <xf numFmtId="0" fontId="1" fillId="1182" borderId="0" xfId="4" applyFill="1"/>
    <xf numFmtId="0" fontId="1" fillId="1183" borderId="0" xfId="4" applyFill="1"/>
    <xf numFmtId="0" fontId="1" fillId="1184" borderId="0" xfId="4" applyFill="1"/>
    <xf numFmtId="0" fontId="1" fillId="1185" borderId="0" xfId="4" applyFill="1"/>
    <xf numFmtId="0" fontId="1" fillId="1186" borderId="0" xfId="4" applyFill="1"/>
    <xf numFmtId="0" fontId="1" fillId="1187" borderId="0" xfId="4" applyFill="1"/>
    <xf numFmtId="0" fontId="1" fillId="1188" borderId="0" xfId="4" applyFill="1"/>
    <xf numFmtId="0" fontId="1" fillId="1189" borderId="0" xfId="4" applyFill="1"/>
    <xf numFmtId="0" fontId="1" fillId="1190" borderId="0" xfId="4" applyFill="1"/>
    <xf numFmtId="0" fontId="1" fillId="1191" borderId="0" xfId="4" applyFill="1"/>
    <xf numFmtId="0" fontId="1" fillId="1192" borderId="0" xfId="4" applyFill="1"/>
    <xf numFmtId="0" fontId="1" fillId="1193" borderId="0" xfId="4" applyFill="1"/>
    <xf numFmtId="0" fontId="1" fillId="1194" borderId="0" xfId="4" applyFill="1"/>
    <xf numFmtId="0" fontId="1" fillId="1195" borderId="0" xfId="4" applyFill="1"/>
    <xf numFmtId="0" fontId="1" fillId="1196" borderId="0" xfId="4" applyFill="1"/>
    <xf numFmtId="0" fontId="1" fillId="1197" borderId="0" xfId="4" applyFill="1"/>
    <xf numFmtId="0" fontId="1" fillId="1198" borderId="0" xfId="4" applyFill="1"/>
    <xf numFmtId="0" fontId="1" fillId="1199" borderId="0" xfId="4" applyFill="1"/>
    <xf numFmtId="0" fontId="1" fillId="1200" borderId="0" xfId="4" applyFill="1"/>
    <xf numFmtId="0" fontId="1" fillId="1201" borderId="0" xfId="4" applyFill="1"/>
    <xf numFmtId="0" fontId="1" fillId="1202" borderId="0" xfId="4" applyFill="1"/>
    <xf numFmtId="0" fontId="1" fillId="1203" borderId="0" xfId="4" applyFill="1"/>
    <xf numFmtId="0" fontId="1" fillId="1204" borderId="0" xfId="4" applyFill="1"/>
    <xf numFmtId="0" fontId="1" fillId="1205" borderId="0" xfId="4" applyFill="1"/>
    <xf numFmtId="0" fontId="1" fillId="1206" borderId="0" xfId="4" applyFill="1"/>
    <xf numFmtId="0" fontId="1" fillId="1207" borderId="0" xfId="4" applyFill="1"/>
    <xf numFmtId="0" fontId="1" fillId="1208" borderId="0" xfId="4" applyFill="1"/>
    <xf numFmtId="0" fontId="1" fillId="1209" borderId="0" xfId="4" applyFill="1"/>
    <xf numFmtId="0" fontId="1" fillId="1210" borderId="0" xfId="4" applyFill="1"/>
    <xf numFmtId="0" fontId="1" fillId="1211" borderId="0" xfId="4" applyFill="1"/>
    <xf numFmtId="0" fontId="1" fillId="1212" borderId="0" xfId="4" applyFill="1"/>
    <xf numFmtId="0" fontId="1" fillId="1213" borderId="0" xfId="4" applyFill="1"/>
    <xf numFmtId="0" fontId="1" fillId="1214" borderId="0" xfId="4" applyFill="1"/>
    <xf numFmtId="0" fontId="1" fillId="1215" borderId="0" xfId="4" applyFill="1"/>
    <xf numFmtId="0" fontId="1" fillId="1216" borderId="0" xfId="4" applyFill="1"/>
    <xf numFmtId="0" fontId="1" fillId="1217" borderId="0" xfId="4" applyFill="1"/>
    <xf numFmtId="0" fontId="1" fillId="1218" borderId="0" xfId="4" applyFill="1"/>
    <xf numFmtId="0" fontId="1" fillId="1219" borderId="0" xfId="4" applyFill="1"/>
    <xf numFmtId="0" fontId="1" fillId="1220" borderId="0" xfId="4" applyFill="1"/>
    <xf numFmtId="0" fontId="1" fillId="1221" borderId="0" xfId="4" applyFill="1"/>
    <xf numFmtId="0" fontId="1" fillId="1222" borderId="0" xfId="4" applyFill="1"/>
    <xf numFmtId="0" fontId="1" fillId="1223" borderId="0" xfId="4" applyFill="1"/>
    <xf numFmtId="0" fontId="1" fillId="1224" borderId="0" xfId="4" applyFill="1"/>
    <xf numFmtId="0" fontId="1" fillId="1225" borderId="0" xfId="4" applyFill="1"/>
    <xf numFmtId="0" fontId="1" fillId="1226" borderId="0" xfId="4" applyFill="1"/>
    <xf numFmtId="0" fontId="1" fillId="1227" borderId="0" xfId="4" applyFill="1"/>
    <xf numFmtId="0" fontId="1" fillId="1228" borderId="0" xfId="4" applyFill="1"/>
    <xf numFmtId="0" fontId="1" fillId="1229" borderId="0" xfId="4" applyFill="1"/>
    <xf numFmtId="0" fontId="1" fillId="1230" borderId="0" xfId="4" applyFill="1"/>
    <xf numFmtId="0" fontId="1" fillId="1231" borderId="0" xfId="4" applyFill="1"/>
    <xf numFmtId="0" fontId="1" fillId="1232" borderId="0" xfId="4" applyFill="1"/>
    <xf numFmtId="0" fontId="1" fillId="1233" borderId="0" xfId="4" applyFill="1"/>
    <xf numFmtId="0" fontId="1" fillId="1234" borderId="0" xfId="4" applyFill="1"/>
    <xf numFmtId="0" fontId="1" fillId="1235" borderId="0" xfId="4" applyFill="1"/>
    <xf numFmtId="0" fontId="1" fillId="1236" borderId="0" xfId="4" applyFill="1"/>
    <xf numFmtId="0" fontId="1" fillId="1237" borderId="0" xfId="4" applyFill="1"/>
    <xf numFmtId="0" fontId="1" fillId="1238" borderId="0" xfId="4" applyFill="1"/>
    <xf numFmtId="0" fontId="1" fillId="1239" borderId="0" xfId="4" applyFill="1"/>
    <xf numFmtId="0" fontId="1" fillId="1240" borderId="0" xfId="4" applyFill="1"/>
    <xf numFmtId="0" fontId="1" fillId="1241" borderId="0" xfId="4" applyFill="1"/>
    <xf numFmtId="0" fontId="1" fillId="1242" borderId="0" xfId="4" applyFill="1"/>
    <xf numFmtId="0" fontId="1" fillId="1243" borderId="0" xfId="4" applyFill="1"/>
    <xf numFmtId="0" fontId="1" fillId="1244" borderId="0" xfId="4" applyFill="1"/>
    <xf numFmtId="0" fontId="1" fillId="1245" borderId="0" xfId="4" applyFill="1"/>
    <xf numFmtId="0" fontId="1" fillId="1246" borderId="0" xfId="4" applyFill="1"/>
    <xf numFmtId="0" fontId="1" fillId="1247" borderId="0" xfId="4" applyFill="1"/>
    <xf numFmtId="0" fontId="1" fillId="1248" borderId="0" xfId="4" applyFill="1"/>
    <xf numFmtId="0" fontId="1" fillId="1249" borderId="0" xfId="4" applyFill="1"/>
    <xf numFmtId="0" fontId="1" fillId="1250" borderId="0" xfId="4" applyFill="1" applyAlignment="1">
      <alignment horizontal="center"/>
    </xf>
    <xf numFmtId="0" fontId="1" fillId="1251" borderId="0" xfId="4" applyFill="1" applyAlignment="1">
      <alignment horizontal="center"/>
    </xf>
    <xf numFmtId="0" fontId="1" fillId="1252" borderId="0" xfId="4" applyFill="1" applyAlignment="1">
      <alignment horizontal="center"/>
    </xf>
    <xf numFmtId="0" fontId="1" fillId="1253" borderId="0" xfId="4" applyFill="1" applyAlignment="1">
      <alignment horizontal="center"/>
    </xf>
    <xf numFmtId="0" fontId="1" fillId="1254" borderId="0" xfId="4" applyFill="1" applyAlignment="1">
      <alignment horizontal="center"/>
    </xf>
    <xf numFmtId="0" fontId="1" fillId="1255" borderId="0" xfId="4" applyFill="1" applyAlignment="1">
      <alignment horizontal="center"/>
    </xf>
    <xf numFmtId="0" fontId="1" fillId="1256" borderId="0" xfId="4" applyFill="1" applyAlignment="1">
      <alignment horizontal="center"/>
    </xf>
    <xf numFmtId="0" fontId="1" fillId="1257" borderId="0" xfId="4" applyFill="1" applyAlignment="1">
      <alignment horizontal="center"/>
    </xf>
    <xf numFmtId="0" fontId="1" fillId="1258" borderId="0" xfId="4" applyFill="1" applyAlignment="1">
      <alignment horizontal="center"/>
    </xf>
    <xf numFmtId="0" fontId="1" fillId="1259" borderId="0" xfId="4" applyFill="1" applyAlignment="1">
      <alignment horizontal="center"/>
    </xf>
    <xf numFmtId="0" fontId="1" fillId="1260" borderId="0" xfId="4" applyFill="1" applyAlignment="1">
      <alignment horizontal="center"/>
    </xf>
    <xf numFmtId="0" fontId="1" fillId="1261" borderId="0" xfId="4" applyFill="1" applyAlignment="1">
      <alignment horizontal="left"/>
    </xf>
    <xf numFmtId="0" fontId="1" fillId="1262" borderId="0" xfId="4" applyFill="1" applyAlignment="1">
      <alignment horizontal="center"/>
    </xf>
    <xf numFmtId="0" fontId="1" fillId="1263" borderId="0" xfId="4" applyFill="1" applyAlignment="1">
      <alignment horizontal="center"/>
    </xf>
    <xf numFmtId="0" fontId="1" fillId="1264" borderId="0" xfId="4" applyFill="1" applyAlignment="1">
      <alignment horizontal="center"/>
    </xf>
    <xf numFmtId="0" fontId="1" fillId="1265" borderId="0" xfId="4" applyFill="1" applyAlignment="1">
      <alignment horizontal="center"/>
    </xf>
    <xf numFmtId="0" fontId="1" fillId="1266" borderId="0" xfId="4" applyFill="1" applyAlignment="1">
      <alignment horizontal="center"/>
    </xf>
    <xf numFmtId="0" fontId="1" fillId="1267" borderId="0" xfId="4" applyFill="1" applyAlignment="1">
      <alignment horizontal="center"/>
    </xf>
    <xf numFmtId="0" fontId="1" fillId="1268" borderId="0" xfId="4" applyFill="1" applyAlignment="1">
      <alignment horizontal="center"/>
    </xf>
    <xf numFmtId="0" fontId="1" fillId="1269" borderId="0" xfId="4" applyFill="1" applyAlignment="1">
      <alignment horizontal="center"/>
    </xf>
    <xf numFmtId="0" fontId="1" fillId="1270" borderId="0" xfId="4" applyFill="1" applyAlignment="1">
      <alignment horizontal="center"/>
    </xf>
    <xf numFmtId="0" fontId="1" fillId="1271" borderId="0" xfId="4" applyFill="1" applyAlignment="1">
      <alignment horizontal="center"/>
    </xf>
    <xf numFmtId="0" fontId="1" fillId="1272" borderId="0" xfId="4" applyFill="1" applyAlignment="1">
      <alignment horizontal="center"/>
    </xf>
    <xf numFmtId="0" fontId="1" fillId="1273" borderId="0" xfId="4" applyFill="1" applyAlignment="1">
      <alignment horizontal="center"/>
    </xf>
    <xf numFmtId="0" fontId="1" fillId="1274" borderId="0" xfId="4" applyFill="1" applyAlignment="1">
      <alignment horizontal="center"/>
    </xf>
    <xf numFmtId="0" fontId="1" fillId="1275" borderId="0" xfId="4" applyFill="1" applyAlignment="1">
      <alignment horizontal="center"/>
    </xf>
    <xf numFmtId="0" fontId="1" fillId="1276" borderId="0" xfId="4" applyFill="1" applyAlignment="1">
      <alignment horizontal="center"/>
    </xf>
    <xf numFmtId="0" fontId="1" fillId="1277" borderId="0" xfId="4" applyFill="1" applyAlignment="1">
      <alignment horizontal="center"/>
    </xf>
    <xf numFmtId="0" fontId="1" fillId="1278" borderId="0" xfId="4" applyFill="1" applyAlignment="1">
      <alignment horizontal="center"/>
    </xf>
    <xf numFmtId="0" fontId="1" fillId="1279" borderId="0" xfId="4" applyFill="1" applyAlignment="1">
      <alignment horizontal="center"/>
    </xf>
    <xf numFmtId="0" fontId="1" fillId="1280" borderId="0" xfId="4" applyFill="1" applyAlignment="1">
      <alignment horizontal="center"/>
    </xf>
    <xf numFmtId="0" fontId="1" fillId="1281" borderId="0" xfId="4" applyFill="1" applyAlignment="1">
      <alignment horizontal="center"/>
    </xf>
    <xf numFmtId="0" fontId="1" fillId="1282" borderId="0" xfId="4" applyFill="1" applyAlignment="1">
      <alignment horizontal="center"/>
    </xf>
    <xf numFmtId="0" fontId="1" fillId="1283" borderId="0" xfId="4" applyFill="1" applyAlignment="1">
      <alignment horizontal="center"/>
    </xf>
    <xf numFmtId="0" fontId="1" fillId="1284" borderId="0" xfId="4" applyFill="1" applyAlignment="1">
      <alignment horizontal="center"/>
    </xf>
    <xf numFmtId="0" fontId="1" fillId="1285" borderId="0" xfId="4" applyFill="1" applyAlignment="1">
      <alignment horizontal="center"/>
    </xf>
    <xf numFmtId="0" fontId="1" fillId="1286" borderId="0" xfId="4" applyFill="1" applyAlignment="1">
      <alignment horizontal="center"/>
    </xf>
    <xf numFmtId="0" fontId="1" fillId="1287" borderId="0" xfId="4" applyFill="1" applyAlignment="1">
      <alignment horizontal="center"/>
    </xf>
    <xf numFmtId="0" fontId="1" fillId="1288" borderId="0" xfId="4" applyFill="1" applyAlignment="1">
      <alignment horizontal="center"/>
    </xf>
    <xf numFmtId="0" fontId="1" fillId="1289" borderId="0" xfId="4" applyFill="1" applyAlignment="1">
      <alignment horizontal="center"/>
    </xf>
    <xf numFmtId="0" fontId="1" fillId="1290" borderId="0" xfId="4" applyFill="1" applyAlignment="1">
      <alignment horizontal="center"/>
    </xf>
    <xf numFmtId="0" fontId="1" fillId="1291" borderId="0" xfId="4" applyFill="1" applyAlignment="1">
      <alignment horizontal="center"/>
    </xf>
    <xf numFmtId="0" fontId="1" fillId="1292" borderId="0" xfId="4" applyFill="1" applyAlignment="1">
      <alignment horizontal="center"/>
    </xf>
    <xf numFmtId="0" fontId="1" fillId="1293" borderId="0" xfId="4" applyFill="1" applyAlignment="1">
      <alignment horizontal="center"/>
    </xf>
    <xf numFmtId="0" fontId="1" fillId="1294" borderId="0" xfId="4" applyFill="1" applyAlignment="1">
      <alignment horizontal="center"/>
    </xf>
    <xf numFmtId="0" fontId="1" fillId="1295" borderId="0" xfId="4" applyFill="1" applyAlignment="1">
      <alignment horizontal="center"/>
    </xf>
    <xf numFmtId="0" fontId="1" fillId="1296" borderId="0" xfId="4" applyFill="1" applyAlignment="1">
      <alignment horizontal="center"/>
    </xf>
    <xf numFmtId="0" fontId="1" fillId="1297" borderId="0" xfId="4" applyFill="1" applyAlignment="1">
      <alignment horizontal="center"/>
    </xf>
    <xf numFmtId="0" fontId="1" fillId="1298" borderId="0" xfId="4" applyFill="1" applyAlignment="1">
      <alignment horizontal="center"/>
    </xf>
    <xf numFmtId="0" fontId="1" fillId="1299" borderId="0" xfId="4" applyFill="1" applyAlignment="1">
      <alignment horizontal="center"/>
    </xf>
    <xf numFmtId="0" fontId="1" fillId="1300" borderId="0" xfId="4" applyFill="1" applyAlignment="1">
      <alignment horizontal="center"/>
    </xf>
    <xf numFmtId="0" fontId="1" fillId="1301" borderId="0" xfId="4" applyFill="1" applyAlignment="1">
      <alignment horizontal="center"/>
    </xf>
    <xf numFmtId="0" fontId="1" fillId="1302" borderId="0" xfId="4" applyFill="1" applyAlignment="1">
      <alignment horizontal="center"/>
    </xf>
    <xf numFmtId="0" fontId="1" fillId="1303" borderId="0" xfId="4" applyFill="1" applyAlignment="1">
      <alignment horizontal="center"/>
    </xf>
    <xf numFmtId="0" fontId="1" fillId="1304" borderId="0" xfId="4" applyFill="1" applyAlignment="1">
      <alignment horizontal="center"/>
    </xf>
    <xf numFmtId="0" fontId="1" fillId="1305" borderId="0" xfId="4" applyFill="1" applyAlignment="1">
      <alignment horizontal="center"/>
    </xf>
    <xf numFmtId="0" fontId="1" fillId="1306" borderId="0" xfId="4" applyFill="1" applyAlignment="1">
      <alignment horizontal="center"/>
    </xf>
    <xf numFmtId="0" fontId="1" fillId="1307" borderId="0" xfId="4" applyFill="1" applyAlignment="1">
      <alignment horizontal="center"/>
    </xf>
    <xf numFmtId="0" fontId="1" fillId="1308" borderId="0" xfId="4" applyFill="1" applyAlignment="1">
      <alignment horizontal="center"/>
    </xf>
    <xf numFmtId="0" fontId="1" fillId="1309" borderId="0" xfId="4" applyFill="1" applyAlignment="1">
      <alignment horizontal="center"/>
    </xf>
    <xf numFmtId="0" fontId="1" fillId="1310" borderId="0" xfId="4" applyFill="1" applyAlignment="1">
      <alignment horizontal="center"/>
    </xf>
    <xf numFmtId="0" fontId="1" fillId="1311" borderId="0" xfId="4" applyFill="1" applyAlignment="1">
      <alignment horizontal="center"/>
    </xf>
    <xf numFmtId="0" fontId="1" fillId="1312" borderId="0" xfId="4" applyFill="1" applyAlignment="1">
      <alignment horizontal="center"/>
    </xf>
    <xf numFmtId="0" fontId="1" fillId="1313" borderId="0" xfId="4" applyFill="1" applyAlignment="1">
      <alignment horizontal="center"/>
    </xf>
    <xf numFmtId="0" fontId="1" fillId="1314" borderId="0" xfId="4" applyFill="1" applyAlignment="1">
      <alignment horizontal="center"/>
    </xf>
    <xf numFmtId="0" fontId="1" fillId="1315" borderId="0" xfId="4" applyFill="1" applyAlignment="1">
      <alignment horizontal="center"/>
    </xf>
    <xf numFmtId="0" fontId="1" fillId="1316" borderId="0" xfId="4" applyFill="1" applyAlignment="1">
      <alignment horizontal="center"/>
    </xf>
    <xf numFmtId="0" fontId="1" fillId="1317" borderId="0" xfId="4" applyFill="1" applyAlignment="1">
      <alignment horizontal="center"/>
    </xf>
    <xf numFmtId="0" fontId="1" fillId="1318" borderId="0" xfId="4" applyFill="1" applyAlignment="1">
      <alignment horizontal="center"/>
    </xf>
    <xf numFmtId="0" fontId="1" fillId="1319" borderId="0" xfId="4" applyFill="1" applyAlignment="1">
      <alignment horizontal="center"/>
    </xf>
    <xf numFmtId="0" fontId="1" fillId="1320" borderId="0" xfId="4" applyFill="1" applyAlignment="1">
      <alignment horizontal="center"/>
    </xf>
    <xf numFmtId="0" fontId="1" fillId="1321" borderId="0" xfId="4" applyFill="1" applyAlignment="1">
      <alignment horizontal="center"/>
    </xf>
    <xf numFmtId="0" fontId="1" fillId="1322" borderId="0" xfId="4" applyFill="1" applyAlignment="1">
      <alignment horizontal="center"/>
    </xf>
    <xf numFmtId="0" fontId="1" fillId="1323" borderId="0" xfId="4" applyFill="1" applyAlignment="1">
      <alignment horizontal="center"/>
    </xf>
    <xf numFmtId="0" fontId="1" fillId="1324" borderId="0" xfId="4" applyFill="1" applyAlignment="1">
      <alignment horizontal="center"/>
    </xf>
    <xf numFmtId="0" fontId="1" fillId="1325" borderId="0" xfId="4" applyFill="1" applyAlignment="1">
      <alignment horizontal="center"/>
    </xf>
    <xf numFmtId="0" fontId="1" fillId="1326" borderId="0" xfId="4" applyFill="1" applyAlignment="1">
      <alignment horizontal="center"/>
    </xf>
    <xf numFmtId="0" fontId="1" fillId="1327" borderId="0" xfId="4" applyFill="1" applyAlignment="1">
      <alignment horizontal="center"/>
    </xf>
    <xf numFmtId="0" fontId="1" fillId="1328" borderId="0" xfId="4" applyFill="1" applyAlignment="1">
      <alignment horizontal="center"/>
    </xf>
    <xf numFmtId="0" fontId="1" fillId="1329" borderId="0" xfId="4" applyFill="1" applyAlignment="1">
      <alignment horizontal="center"/>
    </xf>
    <xf numFmtId="0" fontId="1" fillId="1330" borderId="0" xfId="4" applyFill="1" applyAlignment="1">
      <alignment horizontal="center"/>
    </xf>
    <xf numFmtId="0" fontId="1" fillId="1331" borderId="0" xfId="4" applyFill="1" applyAlignment="1">
      <alignment horizontal="center"/>
    </xf>
    <xf numFmtId="0" fontId="1" fillId="1332" borderId="0" xfId="4" applyFill="1" applyAlignment="1">
      <alignment horizontal="center"/>
    </xf>
    <xf numFmtId="0" fontId="1" fillId="1333" borderId="0" xfId="4" applyFill="1" applyAlignment="1">
      <alignment horizontal="center"/>
    </xf>
    <xf numFmtId="0" fontId="1" fillId="1334" borderId="0" xfId="4" applyFill="1" applyAlignment="1">
      <alignment horizontal="center"/>
    </xf>
    <xf numFmtId="0" fontId="1" fillId="1335" borderId="0" xfId="4" applyFill="1" applyAlignment="1">
      <alignment horizontal="center"/>
    </xf>
    <xf numFmtId="0" fontId="1" fillId="1336" borderId="0" xfId="4" applyFill="1" applyAlignment="1">
      <alignment horizontal="center"/>
    </xf>
    <xf numFmtId="0" fontId="1" fillId="1337" borderId="0" xfId="4" applyFill="1" applyAlignment="1">
      <alignment horizontal="center"/>
    </xf>
    <xf numFmtId="0" fontId="1" fillId="1338" borderId="0" xfId="4" applyFill="1" applyAlignment="1">
      <alignment horizontal="center"/>
    </xf>
    <xf numFmtId="0" fontId="1" fillId="1339" borderId="0" xfId="4" applyFill="1" applyAlignment="1">
      <alignment horizontal="center"/>
    </xf>
    <xf numFmtId="0" fontId="1" fillId="1340" borderId="0" xfId="4" applyFill="1" applyAlignment="1">
      <alignment horizontal="center"/>
    </xf>
    <xf numFmtId="0" fontId="1" fillId="1341" borderId="0" xfId="4" applyFill="1" applyAlignment="1">
      <alignment horizontal="center"/>
    </xf>
    <xf numFmtId="0" fontId="1" fillId="1342" borderId="0" xfId="4" applyFill="1" applyAlignment="1">
      <alignment horizontal="center"/>
    </xf>
    <xf numFmtId="0" fontId="1" fillId="1343" borderId="0" xfId="4" applyFill="1" applyAlignment="1">
      <alignment horizontal="center"/>
    </xf>
    <xf numFmtId="0" fontId="1" fillId="1344" borderId="0" xfId="4" applyFill="1" applyAlignment="1">
      <alignment horizontal="center"/>
    </xf>
    <xf numFmtId="0" fontId="1" fillId="1345" borderId="0" xfId="4" applyFill="1" applyAlignment="1">
      <alignment horizontal="center"/>
    </xf>
    <xf numFmtId="0" fontId="1" fillId="1346" borderId="0" xfId="4" applyFill="1" applyAlignment="1">
      <alignment horizontal="left"/>
    </xf>
    <xf numFmtId="0" fontId="1" fillId="1347" borderId="0" xfId="4" applyFill="1" applyAlignment="1">
      <alignment horizontal="center"/>
    </xf>
    <xf numFmtId="0" fontId="1" fillId="1348" borderId="0" xfId="4" applyFill="1" applyAlignment="1">
      <alignment horizontal="center"/>
    </xf>
    <xf numFmtId="0" fontId="1" fillId="1349" borderId="0" xfId="4" applyFill="1" applyAlignment="1">
      <alignment horizontal="center"/>
    </xf>
    <xf numFmtId="0" fontId="1" fillId="1350" borderId="0" xfId="4" applyFill="1" applyAlignment="1">
      <alignment horizontal="center"/>
    </xf>
    <xf numFmtId="0" fontId="1" fillId="1351" borderId="0" xfId="4" applyFill="1" applyAlignment="1">
      <alignment horizontal="center"/>
    </xf>
    <xf numFmtId="0" fontId="1" fillId="1352" borderId="0" xfId="4" applyFill="1" applyAlignment="1">
      <alignment horizontal="center"/>
    </xf>
    <xf numFmtId="0" fontId="1" fillId="1353" borderId="0" xfId="4" applyFill="1" applyAlignment="1">
      <alignment horizontal="center"/>
    </xf>
    <xf numFmtId="0" fontId="1" fillId="1354" borderId="0" xfId="4" applyFill="1" applyAlignment="1">
      <alignment horizontal="center"/>
    </xf>
    <xf numFmtId="0" fontId="1" fillId="1355" borderId="0" xfId="4" applyFill="1" applyAlignment="1">
      <alignment horizontal="center"/>
    </xf>
    <xf numFmtId="0" fontId="1" fillId="1356" borderId="0" xfId="4" applyFill="1" applyAlignment="1">
      <alignment horizontal="center"/>
    </xf>
    <xf numFmtId="0" fontId="1" fillId="1357" borderId="0" xfId="4" applyFill="1" applyAlignment="1">
      <alignment horizontal="center"/>
    </xf>
    <xf numFmtId="0" fontId="1" fillId="1358" borderId="0" xfId="4" applyFill="1" applyAlignment="1">
      <alignment horizontal="center"/>
    </xf>
    <xf numFmtId="0" fontId="1" fillId="1359" borderId="0" xfId="4" applyFill="1" applyAlignment="1">
      <alignment horizontal="center"/>
    </xf>
    <xf numFmtId="0" fontId="1" fillId="1360" borderId="0" xfId="4" applyFill="1" applyAlignment="1">
      <alignment horizontal="center"/>
    </xf>
    <xf numFmtId="0" fontId="1" fillId="1361" borderId="0" xfId="4" applyFill="1" applyAlignment="1">
      <alignment horizontal="center"/>
    </xf>
    <xf numFmtId="0" fontId="1" fillId="1362" borderId="0" xfId="4" applyFill="1" applyAlignment="1">
      <alignment horizontal="center"/>
    </xf>
    <xf numFmtId="0" fontId="1" fillId="1363" borderId="0" xfId="4" applyFill="1" applyAlignment="1">
      <alignment horizontal="center"/>
    </xf>
    <xf numFmtId="0" fontId="1" fillId="1364" borderId="0" xfId="4" applyFill="1" applyAlignment="1">
      <alignment horizontal="center"/>
    </xf>
    <xf numFmtId="0" fontId="1" fillId="1365" borderId="0" xfId="4" applyFill="1" applyAlignment="1">
      <alignment horizontal="center"/>
    </xf>
    <xf numFmtId="0" fontId="1" fillId="1366" borderId="0" xfId="4" applyFill="1" applyAlignment="1">
      <alignment horizontal="center"/>
    </xf>
    <xf numFmtId="0" fontId="1" fillId="1367" borderId="0" xfId="4" applyFill="1" applyAlignment="1">
      <alignment horizontal="center"/>
    </xf>
    <xf numFmtId="0" fontId="1" fillId="1368" borderId="0" xfId="4" applyFill="1" applyAlignment="1">
      <alignment horizontal="center"/>
    </xf>
    <xf numFmtId="0" fontId="1" fillId="1369" borderId="0" xfId="4" applyFill="1" applyAlignment="1">
      <alignment horizontal="center"/>
    </xf>
    <xf numFmtId="0" fontId="1" fillId="1370" borderId="0" xfId="4" applyFill="1" applyAlignment="1">
      <alignment horizontal="center"/>
    </xf>
    <xf numFmtId="0" fontId="1" fillId="1371" borderId="0" xfId="4" applyFill="1" applyAlignment="1">
      <alignment horizontal="center"/>
    </xf>
    <xf numFmtId="0" fontId="1" fillId="1372" borderId="0" xfId="4" applyFill="1" applyAlignment="1">
      <alignment horizontal="center"/>
    </xf>
    <xf numFmtId="0" fontId="1" fillId="1373" borderId="0" xfId="4" applyFill="1" applyAlignment="1">
      <alignment horizontal="center"/>
    </xf>
    <xf numFmtId="0" fontId="1" fillId="1374" borderId="0" xfId="4" applyFill="1" applyAlignment="1">
      <alignment horizontal="center"/>
    </xf>
    <xf numFmtId="0" fontId="1" fillId="1375" borderId="0" xfId="4" applyFill="1" applyAlignment="1">
      <alignment horizontal="center"/>
    </xf>
    <xf numFmtId="0" fontId="1" fillId="1376" borderId="0" xfId="4" applyFill="1" applyAlignment="1">
      <alignment horizontal="center"/>
    </xf>
    <xf numFmtId="0" fontId="1" fillId="1377" borderId="0" xfId="4" applyFill="1" applyAlignment="1">
      <alignment horizontal="center"/>
    </xf>
    <xf numFmtId="0" fontId="1" fillId="1378" borderId="0" xfId="4" applyFill="1" applyAlignment="1">
      <alignment horizontal="center"/>
    </xf>
    <xf numFmtId="0" fontId="1" fillId="1379" borderId="0" xfId="4" applyFill="1" applyAlignment="1">
      <alignment horizontal="center"/>
    </xf>
    <xf numFmtId="0" fontId="1" fillId="1380" borderId="0" xfId="4" applyFill="1" applyAlignment="1">
      <alignment horizontal="center"/>
    </xf>
    <xf numFmtId="0" fontId="1" fillId="1381" borderId="0" xfId="4" applyFill="1" applyAlignment="1">
      <alignment horizontal="center"/>
    </xf>
    <xf numFmtId="0" fontId="1" fillId="1382" borderId="0" xfId="4" applyFill="1" applyAlignment="1">
      <alignment horizontal="center"/>
    </xf>
    <xf numFmtId="0" fontId="1" fillId="1383" borderId="0" xfId="4" applyFill="1" applyAlignment="1">
      <alignment horizontal="center"/>
    </xf>
    <xf numFmtId="0" fontId="1" fillId="184" borderId="0" xfId="4" applyFill="1" applyAlignment="1">
      <alignment horizontal="center"/>
    </xf>
    <xf numFmtId="0" fontId="1" fillId="1384" borderId="0" xfId="4" applyFill="1" applyAlignment="1">
      <alignment horizontal="center"/>
    </xf>
    <xf numFmtId="0" fontId="1" fillId="1385" borderId="0" xfId="4" applyFill="1" applyAlignment="1">
      <alignment horizontal="center"/>
    </xf>
    <xf numFmtId="0" fontId="1" fillId="1386" borderId="0" xfId="4" applyFill="1" applyAlignment="1">
      <alignment horizontal="center"/>
    </xf>
    <xf numFmtId="0" fontId="1" fillId="1387" borderId="0" xfId="4" applyFill="1" applyAlignment="1">
      <alignment horizontal="center"/>
    </xf>
    <xf numFmtId="0" fontId="1" fillId="1388" borderId="0" xfId="4" applyFill="1" applyAlignment="1">
      <alignment horizontal="center"/>
    </xf>
    <xf numFmtId="0" fontId="1" fillId="1389" borderId="0" xfId="4" applyFill="1" applyAlignment="1">
      <alignment horizontal="center"/>
    </xf>
    <xf numFmtId="0" fontId="1" fillId="1390" borderId="0" xfId="4" applyFill="1" applyAlignment="1">
      <alignment horizontal="center"/>
    </xf>
    <xf numFmtId="0" fontId="1" fillId="1391" borderId="0" xfId="4" applyFill="1" applyAlignment="1">
      <alignment horizontal="center"/>
    </xf>
    <xf numFmtId="0" fontId="1" fillId="1392" borderId="0" xfId="4" applyFill="1" applyAlignment="1">
      <alignment horizontal="center"/>
    </xf>
    <xf numFmtId="0" fontId="1" fillId="1393" borderId="0" xfId="4" applyFill="1" applyAlignment="1">
      <alignment horizontal="center"/>
    </xf>
    <xf numFmtId="0" fontId="1" fillId="1394" borderId="0" xfId="4" applyFill="1" applyAlignment="1">
      <alignment horizontal="center"/>
    </xf>
    <xf numFmtId="0" fontId="1" fillId="1395" borderId="0" xfId="4" applyFill="1" applyAlignment="1">
      <alignment horizontal="center"/>
    </xf>
    <xf numFmtId="0" fontId="1" fillId="1396" borderId="0" xfId="4" applyFill="1" applyAlignment="1">
      <alignment horizontal="center"/>
    </xf>
    <xf numFmtId="0" fontId="1" fillId="1397" borderId="0" xfId="4" applyFill="1" applyAlignment="1">
      <alignment horizontal="center"/>
    </xf>
    <xf numFmtId="0" fontId="1" fillId="1398" borderId="0" xfId="4" applyFill="1" applyAlignment="1">
      <alignment horizontal="center"/>
    </xf>
    <xf numFmtId="0" fontId="1" fillId="1399" borderId="0" xfId="4" applyFill="1" applyAlignment="1">
      <alignment horizontal="center"/>
    </xf>
    <xf numFmtId="0" fontId="1" fillId="1400" borderId="0" xfId="4" applyFill="1" applyAlignment="1">
      <alignment horizontal="center"/>
    </xf>
    <xf numFmtId="0" fontId="1" fillId="1401" borderId="0" xfId="4" applyFill="1" applyAlignment="1">
      <alignment horizontal="center"/>
    </xf>
    <xf numFmtId="0" fontId="1" fillId="1402" borderId="0" xfId="4" applyFill="1" applyAlignment="1">
      <alignment horizontal="center"/>
    </xf>
    <xf numFmtId="0" fontId="1" fillId="1403" borderId="0" xfId="4" applyFill="1" applyAlignment="1">
      <alignment horizontal="center"/>
    </xf>
    <xf numFmtId="0" fontId="1" fillId="1404" borderId="0" xfId="4" applyFill="1" applyAlignment="1">
      <alignment horizontal="center"/>
    </xf>
    <xf numFmtId="0" fontId="1" fillId="1405" borderId="0" xfId="4" applyFill="1" applyAlignment="1">
      <alignment horizontal="center"/>
    </xf>
    <xf numFmtId="0" fontId="1" fillId="1406" borderId="0" xfId="4" applyFill="1" applyAlignment="1">
      <alignment horizontal="center"/>
    </xf>
    <xf numFmtId="0" fontId="1" fillId="1407" borderId="0" xfId="4" applyFill="1" applyAlignment="1">
      <alignment horizontal="center"/>
    </xf>
    <xf numFmtId="0" fontId="1" fillId="1408" borderId="0" xfId="4" applyFill="1" applyAlignment="1">
      <alignment horizontal="center"/>
    </xf>
    <xf numFmtId="0" fontId="1" fillId="1409" borderId="0" xfId="4" applyFill="1" applyAlignment="1">
      <alignment horizontal="center"/>
    </xf>
    <xf numFmtId="0" fontId="1" fillId="1410" borderId="0" xfId="4" applyFill="1" applyAlignment="1">
      <alignment horizontal="center"/>
    </xf>
    <xf numFmtId="0" fontId="1" fillId="1411" borderId="0" xfId="4" applyFill="1" applyAlignment="1">
      <alignment horizontal="center"/>
    </xf>
    <xf numFmtId="0" fontId="1" fillId="1412" borderId="0" xfId="4" applyFill="1" applyAlignment="1">
      <alignment horizontal="center"/>
    </xf>
    <xf numFmtId="0" fontId="1" fillId="1413" borderId="0" xfId="4" applyFill="1" applyAlignment="1">
      <alignment horizontal="center"/>
    </xf>
    <xf numFmtId="0" fontId="1" fillId="1414" borderId="0" xfId="4" applyFill="1" applyAlignment="1">
      <alignment horizontal="center"/>
    </xf>
    <xf numFmtId="0" fontId="1" fillId="1415" borderId="0" xfId="4" applyFill="1" applyAlignment="1">
      <alignment horizontal="center"/>
    </xf>
    <xf numFmtId="0" fontId="1" fillId="1416" borderId="0" xfId="4" applyFill="1" applyAlignment="1">
      <alignment horizontal="center"/>
    </xf>
    <xf numFmtId="0" fontId="1" fillId="1417" borderId="0" xfId="4" applyFill="1" applyAlignment="1">
      <alignment horizontal="center"/>
    </xf>
    <xf numFmtId="0" fontId="1" fillId="1418" borderId="0" xfId="4" applyFill="1" applyAlignment="1">
      <alignment horizontal="center"/>
    </xf>
    <xf numFmtId="0" fontId="1" fillId="1419" borderId="0" xfId="4" applyFill="1" applyAlignment="1">
      <alignment horizontal="center"/>
    </xf>
    <xf numFmtId="0" fontId="1" fillId="1420" borderId="0" xfId="4" applyFill="1" applyAlignment="1">
      <alignment horizontal="center"/>
    </xf>
    <xf numFmtId="0" fontId="1" fillId="1421" borderId="0" xfId="4" applyFill="1" applyAlignment="1">
      <alignment horizontal="center"/>
    </xf>
    <xf numFmtId="0" fontId="1" fillId="1422" borderId="0" xfId="4" applyFill="1" applyAlignment="1">
      <alignment horizontal="center"/>
    </xf>
    <xf numFmtId="0" fontId="1" fillId="1423" borderId="0" xfId="4" applyFill="1" applyAlignment="1">
      <alignment horizontal="center"/>
    </xf>
    <xf numFmtId="0" fontId="1" fillId="1424" borderId="0" xfId="4" applyFill="1" applyAlignment="1">
      <alignment horizontal="center"/>
    </xf>
    <xf numFmtId="0" fontId="1" fillId="1425" borderId="0" xfId="4" applyFill="1" applyAlignment="1">
      <alignment horizontal="center"/>
    </xf>
    <xf numFmtId="0" fontId="1" fillId="1426" borderId="0" xfId="4" applyFill="1" applyAlignment="1">
      <alignment horizontal="center"/>
    </xf>
    <xf numFmtId="0" fontId="1" fillId="1427" borderId="0" xfId="4" applyFill="1" applyAlignment="1">
      <alignment horizontal="center"/>
    </xf>
    <xf numFmtId="0" fontId="1" fillId="1428" borderId="0" xfId="4" applyFill="1" applyAlignment="1">
      <alignment horizontal="center"/>
    </xf>
    <xf numFmtId="0" fontId="1" fillId="1429" borderId="0" xfId="4" applyFill="1" applyAlignment="1">
      <alignment horizontal="center"/>
    </xf>
    <xf numFmtId="0" fontId="1" fillId="1429" borderId="0" xfId="4" applyFill="1" applyAlignment="1">
      <alignment horizontal="left"/>
    </xf>
    <xf numFmtId="0" fontId="1" fillId="1430" borderId="0" xfId="4" applyFill="1" applyAlignment="1">
      <alignment horizontal="center"/>
    </xf>
    <xf numFmtId="0" fontId="1" fillId="1431" borderId="0" xfId="4" applyFill="1" applyAlignment="1">
      <alignment horizontal="center"/>
    </xf>
    <xf numFmtId="0" fontId="1" fillId="1432" borderId="0" xfId="4" applyFill="1" applyAlignment="1">
      <alignment horizontal="center"/>
    </xf>
    <xf numFmtId="0" fontId="1" fillId="1433" borderId="0" xfId="4" applyFill="1" applyAlignment="1">
      <alignment horizontal="center"/>
    </xf>
    <xf numFmtId="0" fontId="1" fillId="1434" borderId="0" xfId="4" applyFill="1" applyAlignment="1">
      <alignment horizontal="center"/>
    </xf>
    <xf numFmtId="0" fontId="1" fillId="1435" borderId="0" xfId="4" applyFill="1" applyAlignment="1">
      <alignment horizontal="center"/>
    </xf>
    <xf numFmtId="0" fontId="1" fillId="1436" borderId="0" xfId="4" applyFill="1" applyAlignment="1">
      <alignment horizontal="center"/>
    </xf>
    <xf numFmtId="0" fontId="1" fillId="1437" borderId="0" xfId="4" applyFill="1" applyAlignment="1">
      <alignment horizontal="center"/>
    </xf>
    <xf numFmtId="0" fontId="1" fillId="1438" borderId="0" xfId="4" applyFill="1" applyAlignment="1">
      <alignment horizontal="center"/>
    </xf>
    <xf numFmtId="0" fontId="1" fillId="1439" borderId="0" xfId="4" applyFill="1" applyAlignment="1">
      <alignment horizontal="center"/>
    </xf>
    <xf numFmtId="0" fontId="1" fillId="1440" borderId="0" xfId="4" applyFill="1" applyAlignment="1">
      <alignment horizontal="center"/>
    </xf>
    <xf numFmtId="0" fontId="1" fillId="1441" borderId="0" xfId="4" applyFill="1" applyAlignment="1">
      <alignment horizontal="center"/>
    </xf>
    <xf numFmtId="0" fontId="1" fillId="1442" borderId="0" xfId="4" applyFill="1" applyAlignment="1">
      <alignment horizontal="center"/>
    </xf>
    <xf numFmtId="0" fontId="1" fillId="1443" borderId="0" xfId="4" applyFill="1" applyAlignment="1">
      <alignment horizontal="center"/>
    </xf>
    <xf numFmtId="0" fontId="1" fillId="1444" borderId="0" xfId="4" applyFill="1" applyAlignment="1">
      <alignment horizontal="center"/>
    </xf>
    <xf numFmtId="0" fontId="1" fillId="1445" borderId="0" xfId="4" applyFill="1" applyAlignment="1">
      <alignment horizontal="center"/>
    </xf>
    <xf numFmtId="0" fontId="1" fillId="1446" borderId="0" xfId="4" applyFill="1" applyAlignment="1">
      <alignment horizontal="center"/>
    </xf>
    <xf numFmtId="0" fontId="1" fillId="1447" borderId="0" xfId="4" applyFill="1" applyAlignment="1">
      <alignment horizontal="center"/>
    </xf>
    <xf numFmtId="0" fontId="1" fillId="1448" borderId="0" xfId="4" applyFill="1" applyAlignment="1">
      <alignment horizontal="center"/>
    </xf>
    <xf numFmtId="0" fontId="1" fillId="1449" borderId="0" xfId="4" applyFill="1" applyAlignment="1">
      <alignment horizontal="center"/>
    </xf>
    <xf numFmtId="0" fontId="1" fillId="1450" borderId="0" xfId="4" applyFill="1" applyAlignment="1">
      <alignment horizontal="center"/>
    </xf>
    <xf numFmtId="0" fontId="1" fillId="1451" borderId="0" xfId="4" applyFill="1" applyAlignment="1">
      <alignment horizontal="center"/>
    </xf>
    <xf numFmtId="0" fontId="1" fillId="1452" borderId="0" xfId="4" applyFill="1" applyAlignment="1">
      <alignment horizontal="center"/>
    </xf>
    <xf numFmtId="0" fontId="1" fillId="1453" borderId="0" xfId="4" applyFill="1" applyAlignment="1">
      <alignment horizontal="center"/>
    </xf>
    <xf numFmtId="0" fontId="1" fillId="1454" borderId="0" xfId="4" applyFill="1" applyAlignment="1">
      <alignment horizontal="center"/>
    </xf>
    <xf numFmtId="0" fontId="1" fillId="1455" borderId="0" xfId="4" applyFill="1" applyAlignment="1">
      <alignment horizontal="center" vertical="center"/>
    </xf>
    <xf numFmtId="0" fontId="1" fillId="1456" borderId="0" xfId="4" applyFill="1" applyAlignment="1">
      <alignment horizontal="center" vertical="center"/>
    </xf>
    <xf numFmtId="0" fontId="1" fillId="1453" borderId="0" xfId="4" applyFill="1" applyAlignment="1">
      <alignment horizontal="center" vertical="center"/>
    </xf>
    <xf numFmtId="0" fontId="1" fillId="1457" borderId="0" xfId="4" applyFill="1" applyAlignment="1">
      <alignment horizontal="center" vertical="center"/>
    </xf>
    <xf numFmtId="0" fontId="1" fillId="1458" borderId="0" xfId="4" applyFill="1" applyAlignment="1">
      <alignment horizontal="center" vertical="center"/>
    </xf>
    <xf numFmtId="0" fontId="1" fillId="1454" borderId="0" xfId="4" applyFill="1" applyAlignment="1">
      <alignment horizontal="center" vertical="center"/>
    </xf>
    <xf numFmtId="0" fontId="1" fillId="1459" borderId="0" xfId="4" applyFill="1" applyAlignment="1">
      <alignment horizontal="center" vertical="center"/>
    </xf>
    <xf numFmtId="0" fontId="1" fillId="1460" borderId="0" xfId="4" applyFill="1" applyAlignment="1">
      <alignment horizontal="center" vertical="center"/>
    </xf>
    <xf numFmtId="0" fontId="1" fillId="1461" borderId="0" xfId="4" applyFill="1" applyAlignment="1">
      <alignment horizontal="center" vertical="center"/>
    </xf>
    <xf numFmtId="0" fontId="1" fillId="1462" borderId="0" xfId="4" applyFill="1" applyAlignment="1">
      <alignment horizontal="center" vertical="center"/>
    </xf>
    <xf numFmtId="0" fontId="1" fillId="1463" borderId="0" xfId="4" applyFill="1" applyAlignment="1">
      <alignment horizontal="center" vertical="center"/>
    </xf>
    <xf numFmtId="0" fontId="1" fillId="1371" borderId="0" xfId="4" applyFill="1" applyAlignment="1">
      <alignment horizontal="center" vertical="center"/>
    </xf>
    <xf numFmtId="0" fontId="1" fillId="1379" borderId="0" xfId="4" applyFill="1" applyAlignment="1">
      <alignment horizontal="center" vertical="center"/>
    </xf>
    <xf numFmtId="0" fontId="1" fillId="1378" borderId="0" xfId="4" applyFill="1" applyAlignment="1">
      <alignment horizontal="center" vertical="center"/>
    </xf>
    <xf numFmtId="0" fontId="1" fillId="1464" borderId="0" xfId="4" applyFill="1" applyAlignment="1">
      <alignment horizontal="center" vertical="center"/>
    </xf>
    <xf numFmtId="0" fontId="1" fillId="1465" borderId="0" xfId="4" applyFill="1" applyAlignment="1">
      <alignment horizontal="center" vertical="center"/>
    </xf>
    <xf numFmtId="0" fontId="1" fillId="1466" borderId="0" xfId="4" applyFill="1" applyAlignment="1">
      <alignment horizontal="center" vertical="center"/>
    </xf>
    <xf numFmtId="0" fontId="1" fillId="1467" borderId="0" xfId="4" applyFill="1" applyAlignment="1">
      <alignment horizontal="center" vertical="center"/>
    </xf>
    <xf numFmtId="0" fontId="1" fillId="1468" borderId="0" xfId="4" applyFill="1" applyAlignment="1">
      <alignment horizontal="center" vertical="center"/>
    </xf>
    <xf numFmtId="0" fontId="1" fillId="1469" borderId="0" xfId="4" applyFill="1" applyAlignment="1">
      <alignment horizontal="center" vertical="center"/>
    </xf>
    <xf numFmtId="0" fontId="1" fillId="1470" borderId="0" xfId="4" applyFill="1" applyAlignment="1">
      <alignment horizontal="center" vertical="center"/>
    </xf>
    <xf numFmtId="0" fontId="1" fillId="1471" borderId="0" xfId="4" applyFill="1" applyAlignment="1">
      <alignment horizontal="center" vertical="center"/>
    </xf>
    <xf numFmtId="0" fontId="1" fillId="1472" borderId="0" xfId="4" applyFill="1" applyAlignment="1">
      <alignment horizontal="center" vertical="center"/>
    </xf>
    <xf numFmtId="0" fontId="1" fillId="1473" borderId="0" xfId="4" applyFill="1" applyAlignment="1">
      <alignment horizontal="center" vertical="center"/>
    </xf>
    <xf numFmtId="0" fontId="1" fillId="1474" borderId="0" xfId="4" applyFill="1" applyAlignment="1">
      <alignment horizontal="center" vertical="center"/>
    </xf>
    <xf numFmtId="0" fontId="1" fillId="1475" borderId="0" xfId="4" applyFill="1" applyAlignment="1">
      <alignment horizontal="center" vertical="center"/>
    </xf>
    <xf numFmtId="0" fontId="1" fillId="1476" borderId="0" xfId="4" applyFill="1" applyAlignment="1">
      <alignment horizontal="center" vertical="center"/>
    </xf>
    <xf numFmtId="0" fontId="1" fillId="1477" borderId="0" xfId="4" applyFill="1" applyAlignment="1">
      <alignment horizontal="center" vertical="center"/>
    </xf>
    <xf numFmtId="0" fontId="1" fillId="1478" borderId="0" xfId="4" applyFill="1" applyAlignment="1">
      <alignment horizontal="center" vertical="center"/>
    </xf>
    <xf numFmtId="0" fontId="1" fillId="1479" borderId="0" xfId="4" applyFill="1" applyAlignment="1">
      <alignment horizontal="center" vertical="center"/>
    </xf>
    <xf numFmtId="0" fontId="1" fillId="1480" borderId="0" xfId="4" applyFill="1" applyAlignment="1">
      <alignment horizontal="center" vertical="center"/>
    </xf>
    <xf numFmtId="0" fontId="1" fillId="1481" borderId="0" xfId="4" applyFill="1" applyAlignment="1">
      <alignment horizontal="center" vertical="center"/>
    </xf>
    <xf numFmtId="0" fontId="1" fillId="1482" borderId="0" xfId="4" applyFill="1" applyAlignment="1">
      <alignment horizontal="center" vertical="center"/>
    </xf>
    <xf numFmtId="0" fontId="1" fillId="1483" borderId="0" xfId="4" applyFill="1" applyAlignment="1">
      <alignment horizontal="center" vertical="center"/>
    </xf>
    <xf numFmtId="0" fontId="1" fillId="1484" borderId="0" xfId="4" applyFill="1" applyAlignment="1">
      <alignment horizontal="center" vertical="center"/>
    </xf>
    <xf numFmtId="0" fontId="1" fillId="1485" borderId="0" xfId="4" applyFill="1" applyAlignment="1">
      <alignment horizontal="center" vertical="center"/>
    </xf>
    <xf numFmtId="0" fontId="1" fillId="1486" borderId="0" xfId="4" applyFill="1" applyAlignment="1">
      <alignment horizontal="center" vertical="center"/>
    </xf>
    <xf numFmtId="0" fontId="1" fillId="1487" borderId="0" xfId="4" applyFill="1" applyAlignment="1">
      <alignment horizontal="center" vertical="center"/>
    </xf>
    <xf numFmtId="0" fontId="1" fillId="1488" borderId="0" xfId="4" applyFill="1" applyAlignment="1">
      <alignment horizontal="center" vertical="center"/>
    </xf>
    <xf numFmtId="0" fontId="1" fillId="1489" borderId="0" xfId="4" applyFill="1" applyAlignment="1">
      <alignment horizontal="center" vertical="center"/>
    </xf>
    <xf numFmtId="0" fontId="1" fillId="1490" borderId="0" xfId="4" applyFill="1" applyAlignment="1">
      <alignment horizontal="center" vertical="center"/>
    </xf>
    <xf numFmtId="0" fontId="1" fillId="1491" borderId="0" xfId="4" applyFill="1" applyAlignment="1">
      <alignment horizontal="center" vertical="center"/>
    </xf>
    <xf numFmtId="0" fontId="1" fillId="1492" borderId="0" xfId="4" applyFill="1" applyAlignment="1">
      <alignment horizontal="center" vertical="center"/>
    </xf>
    <xf numFmtId="0" fontId="1" fillId="1493" borderId="0" xfId="4" applyFill="1" applyAlignment="1">
      <alignment horizontal="center" vertical="center"/>
    </xf>
    <xf numFmtId="0" fontId="1" fillId="1494" borderId="0" xfId="4" applyFill="1" applyAlignment="1">
      <alignment horizontal="center" vertical="center"/>
    </xf>
    <xf numFmtId="0" fontId="1" fillId="1495" borderId="0" xfId="4" applyFill="1" applyAlignment="1">
      <alignment horizontal="center" vertical="center"/>
    </xf>
    <xf numFmtId="0" fontId="1" fillId="1496" borderId="0" xfId="4" applyFill="1" applyAlignment="1">
      <alignment horizontal="center" vertical="center"/>
    </xf>
    <xf numFmtId="0" fontId="1" fillId="1497" borderId="0" xfId="4" applyFill="1" applyAlignment="1">
      <alignment horizontal="center" vertical="center"/>
    </xf>
    <xf numFmtId="0" fontId="1" fillId="1498" borderId="0" xfId="4" applyFill="1" applyAlignment="1">
      <alignment horizontal="center" vertical="center"/>
    </xf>
    <xf numFmtId="0" fontId="1" fillId="1499" borderId="0" xfId="4" applyFill="1" applyAlignment="1">
      <alignment horizontal="center" vertical="center"/>
    </xf>
    <xf numFmtId="0" fontId="1" fillId="1500" borderId="0" xfId="4" applyFill="1" applyAlignment="1">
      <alignment horizontal="center" vertical="center"/>
    </xf>
    <xf numFmtId="0" fontId="1" fillId="1501" borderId="0" xfId="4" applyFill="1" applyAlignment="1">
      <alignment horizontal="center" vertical="center"/>
    </xf>
    <xf numFmtId="0" fontId="1" fillId="1502" borderId="0" xfId="4" applyFill="1" applyAlignment="1">
      <alignment horizontal="center" vertical="center"/>
    </xf>
    <xf numFmtId="0" fontId="1" fillId="1503" borderId="0" xfId="4" applyFill="1" applyAlignment="1">
      <alignment horizontal="center" vertical="center"/>
    </xf>
    <xf numFmtId="0" fontId="1" fillId="1504" borderId="0" xfId="4" applyFill="1" applyAlignment="1">
      <alignment horizontal="center" vertical="center"/>
    </xf>
    <xf numFmtId="0" fontId="1" fillId="1505" borderId="0" xfId="4" applyFill="1" applyAlignment="1">
      <alignment horizontal="center" vertical="center"/>
    </xf>
    <xf numFmtId="0" fontId="1" fillId="1506" borderId="0" xfId="4" applyFill="1" applyAlignment="1">
      <alignment horizontal="center" vertical="center"/>
    </xf>
    <xf numFmtId="0" fontId="1" fillId="1507" borderId="0" xfId="4" applyFill="1" applyAlignment="1">
      <alignment horizontal="center" vertical="center"/>
    </xf>
    <xf numFmtId="0" fontId="1" fillId="1508" borderId="0" xfId="4" applyFill="1" applyAlignment="1">
      <alignment horizontal="center" vertical="center"/>
    </xf>
    <xf numFmtId="0" fontId="1" fillId="1425" borderId="0" xfId="4" applyFill="1" applyAlignment="1">
      <alignment horizontal="center" vertical="center"/>
    </xf>
    <xf numFmtId="0" fontId="1" fillId="1427" borderId="0" xfId="4" applyFill="1" applyAlignment="1">
      <alignment horizontal="center" vertical="center"/>
    </xf>
    <xf numFmtId="0" fontId="1" fillId="1509" borderId="0" xfId="4" applyFill="1" applyAlignment="1">
      <alignment horizontal="center" vertical="center"/>
    </xf>
    <xf numFmtId="0" fontId="1" fillId="1354" borderId="0" xfId="4" applyFill="1" applyAlignment="1">
      <alignment horizontal="left" vertical="center"/>
    </xf>
    <xf numFmtId="0" fontId="1" fillId="1510" borderId="0" xfId="4" applyFill="1" applyAlignment="1">
      <alignment horizontal="center" vertical="center"/>
    </xf>
    <xf numFmtId="0" fontId="1" fillId="1436" borderId="0" xfId="4" applyFill="1" applyAlignment="1">
      <alignment horizontal="center" vertical="center"/>
    </xf>
    <xf numFmtId="0" fontId="1" fillId="1511" borderId="0" xfId="4" applyFill="1" applyAlignment="1">
      <alignment horizontal="center" vertical="center"/>
    </xf>
    <xf numFmtId="0" fontId="1" fillId="1512" borderId="0" xfId="4" applyFill="1" applyAlignment="1">
      <alignment horizontal="center" vertical="center"/>
    </xf>
    <xf numFmtId="0" fontId="1" fillId="1513" borderId="0" xfId="4" applyFill="1" applyAlignment="1">
      <alignment horizontal="center" vertical="center"/>
    </xf>
    <xf numFmtId="0" fontId="1" fillId="1514" borderId="0" xfId="4" applyFill="1" applyAlignment="1">
      <alignment horizontal="center" vertical="center"/>
    </xf>
    <xf numFmtId="0" fontId="1" fillId="1515" borderId="0" xfId="4" applyFill="1" applyAlignment="1">
      <alignment horizontal="center" vertical="center"/>
    </xf>
    <xf numFmtId="0" fontId="1" fillId="1516" borderId="0" xfId="4" applyFill="1" applyAlignment="1">
      <alignment horizontal="center" vertical="center"/>
    </xf>
    <xf numFmtId="0" fontId="1" fillId="1517" borderId="0" xfId="4" applyFill="1" applyAlignment="1">
      <alignment horizontal="center" vertical="center"/>
    </xf>
    <xf numFmtId="0" fontId="1" fillId="1518" borderId="0" xfId="4" applyFill="1" applyAlignment="1">
      <alignment horizontal="center" vertical="center"/>
    </xf>
    <xf numFmtId="0" fontId="1" fillId="1519" borderId="0" xfId="4" applyFill="1" applyAlignment="1">
      <alignment horizontal="center" vertical="center"/>
    </xf>
    <xf numFmtId="0" fontId="1" fillId="1520" borderId="0" xfId="4" applyFill="1" applyAlignment="1">
      <alignment horizontal="center" vertical="center"/>
    </xf>
    <xf numFmtId="0" fontId="1" fillId="184" borderId="0" xfId="4" applyFill="1" applyAlignment="1">
      <alignment horizontal="center" vertical="center"/>
    </xf>
    <xf numFmtId="0" fontId="1" fillId="1521" borderId="0" xfId="4" applyFill="1" applyAlignment="1">
      <alignment horizontal="center" vertical="center"/>
    </xf>
    <xf numFmtId="0" fontId="1" fillId="1522" borderId="0" xfId="4" applyFill="1" applyAlignment="1">
      <alignment horizontal="center" vertical="center"/>
    </xf>
    <xf numFmtId="0" fontId="1" fillId="1523" borderId="0" xfId="4" applyFill="1" applyAlignment="1">
      <alignment horizontal="center" vertical="center"/>
    </xf>
    <xf numFmtId="0" fontId="1" fillId="1524" borderId="0" xfId="4" applyFill="1" applyAlignment="1">
      <alignment horizontal="center" vertical="center"/>
    </xf>
    <xf numFmtId="0" fontId="1" fillId="1525" borderId="0" xfId="4" applyFill="1" applyAlignment="1">
      <alignment horizontal="center" vertical="center"/>
    </xf>
    <xf numFmtId="0" fontId="1" fillId="1526" borderId="0" xfId="4" applyFill="1" applyAlignment="1">
      <alignment horizontal="center" vertical="center"/>
    </xf>
    <xf numFmtId="0" fontId="1" fillId="1527" borderId="0" xfId="4" applyFill="1" applyAlignment="1">
      <alignment horizontal="center" vertical="center"/>
    </xf>
    <xf numFmtId="0" fontId="1" fillId="1528" borderId="0" xfId="4" applyFill="1" applyAlignment="1">
      <alignment horizontal="center" vertical="center"/>
    </xf>
    <xf numFmtId="0" fontId="1" fillId="1529" borderId="0" xfId="4" applyFill="1" applyAlignment="1">
      <alignment horizontal="center" vertical="center"/>
    </xf>
    <xf numFmtId="0" fontId="1" fillId="1530" borderId="0" xfId="4" applyFill="1" applyAlignment="1">
      <alignment horizontal="center" vertical="center"/>
    </xf>
    <xf numFmtId="0" fontId="1" fillId="1531" borderId="0" xfId="4" applyFill="1" applyAlignment="1">
      <alignment horizontal="center" vertical="center"/>
    </xf>
    <xf numFmtId="0" fontId="1" fillId="1532" borderId="0" xfId="4" applyFill="1" applyAlignment="1">
      <alignment horizontal="center" vertical="center"/>
    </xf>
    <xf numFmtId="0" fontId="1" fillId="1533" borderId="0" xfId="4" applyFill="1" applyAlignment="1">
      <alignment horizontal="center" vertical="center"/>
    </xf>
    <xf numFmtId="0" fontId="1" fillId="1534" borderId="0" xfId="4" applyFill="1" applyAlignment="1">
      <alignment horizontal="center" vertical="center"/>
    </xf>
    <xf numFmtId="0" fontId="1" fillId="1535" borderId="0" xfId="4" applyFill="1" applyAlignment="1">
      <alignment horizontal="center" vertical="center"/>
    </xf>
    <xf numFmtId="0" fontId="1" fillId="1536" borderId="0" xfId="4" applyFill="1" applyAlignment="1">
      <alignment horizontal="center" vertical="center"/>
    </xf>
    <xf numFmtId="0" fontId="1" fillId="135" borderId="0" xfId="4" applyFill="1" applyAlignment="1">
      <alignment horizontal="center" vertical="center"/>
    </xf>
    <xf numFmtId="0" fontId="1" fillId="57" borderId="0" xfId="4" applyFill="1" applyAlignment="1">
      <alignment horizontal="center" vertical="center"/>
    </xf>
    <xf numFmtId="0" fontId="1" fillId="1537" borderId="0" xfId="4" applyFill="1" applyAlignment="1">
      <alignment horizontal="center" vertical="center"/>
    </xf>
    <xf numFmtId="0" fontId="1" fillId="1372" borderId="0" xfId="4" applyFill="1" applyAlignment="1">
      <alignment horizontal="center" vertical="center"/>
    </xf>
    <xf numFmtId="0" fontId="1" fillId="1538" borderId="0" xfId="4" applyFill="1" applyAlignment="1">
      <alignment horizontal="center" vertical="center"/>
    </xf>
    <xf numFmtId="0" fontId="1" fillId="237" borderId="0" xfId="4" applyFill="1" applyAlignment="1">
      <alignment horizontal="center" vertical="center"/>
    </xf>
    <xf numFmtId="0" fontId="1" fillId="1539" borderId="0" xfId="4" applyFill="1" applyAlignment="1">
      <alignment horizontal="center" vertical="center"/>
    </xf>
    <xf numFmtId="0" fontId="1" fillId="1540" borderId="0" xfId="4" applyFill="1" applyAlignment="1">
      <alignment horizontal="center" vertical="center"/>
    </xf>
    <xf numFmtId="0" fontId="1" fillId="1541" borderId="0" xfId="4" applyFill="1" applyAlignment="1">
      <alignment horizontal="center" vertical="center"/>
    </xf>
    <xf numFmtId="0" fontId="1" fillId="1542" borderId="0" xfId="4" applyFill="1" applyAlignment="1">
      <alignment horizontal="center" vertical="center"/>
    </xf>
    <xf numFmtId="0" fontId="1" fillId="1543" borderId="0" xfId="4" applyFill="1" applyAlignment="1">
      <alignment horizontal="center" vertical="center"/>
    </xf>
    <xf numFmtId="0" fontId="1" fillId="1544" borderId="0" xfId="4" applyFill="1" applyAlignment="1">
      <alignment horizontal="center" vertical="center"/>
    </xf>
    <xf numFmtId="0" fontId="1" fillId="1545" borderId="0" xfId="4" applyFill="1" applyAlignment="1">
      <alignment horizontal="center" vertical="center"/>
    </xf>
    <xf numFmtId="0" fontId="1" fillId="1546" borderId="0" xfId="4" applyFill="1" applyAlignment="1">
      <alignment horizontal="center" vertical="center"/>
    </xf>
    <xf numFmtId="0" fontId="1" fillId="1437" borderId="0" xfId="4" applyFill="1" applyAlignment="1">
      <alignment horizontal="center" vertical="center"/>
    </xf>
    <xf numFmtId="0" fontId="1" fillId="1547" borderId="0" xfId="4" applyFill="1" applyAlignment="1">
      <alignment horizontal="center" vertical="center"/>
    </xf>
    <xf numFmtId="0" fontId="1" fillId="1548" borderId="0" xfId="4" applyFill="1" applyAlignment="1">
      <alignment horizontal="center" vertical="center"/>
    </xf>
    <xf numFmtId="0" fontId="1" fillId="1549" borderId="0" xfId="4" applyFill="1" applyAlignment="1">
      <alignment horizontal="center" vertical="center"/>
    </xf>
    <xf numFmtId="0" fontId="1" fillId="1550" borderId="0" xfId="4" applyFill="1" applyAlignment="1">
      <alignment horizontal="center" vertical="center"/>
    </xf>
    <xf numFmtId="0" fontId="1" fillId="1551" borderId="0" xfId="4" applyFill="1" applyAlignment="1">
      <alignment horizontal="center" vertical="center"/>
    </xf>
    <xf numFmtId="0" fontId="1" fillId="1552" borderId="0" xfId="4" applyFill="1" applyAlignment="1">
      <alignment horizontal="center" vertical="center"/>
    </xf>
    <xf numFmtId="0" fontId="1" fillId="1553" borderId="0" xfId="4" applyFill="1" applyAlignment="1">
      <alignment horizontal="center" vertical="center"/>
    </xf>
    <xf numFmtId="0" fontId="1" fillId="1554" borderId="0" xfId="4" applyFill="1" applyAlignment="1">
      <alignment horizontal="center" vertical="center"/>
    </xf>
    <xf numFmtId="0" fontId="1" fillId="1555" borderId="0" xfId="4" applyFill="1" applyAlignment="1">
      <alignment horizontal="center" vertical="center"/>
    </xf>
    <xf numFmtId="0" fontId="1" fillId="1124" borderId="0" xfId="4" applyFill="1" applyAlignment="1">
      <alignment horizontal="center" vertical="center"/>
    </xf>
    <xf numFmtId="0" fontId="1" fillId="1556" borderId="0" xfId="4" applyFill="1" applyAlignment="1">
      <alignment horizontal="center" vertical="center"/>
    </xf>
    <xf numFmtId="0" fontId="1" fillId="1557" borderId="0" xfId="4" applyFill="1" applyAlignment="1">
      <alignment horizontal="center" vertical="center"/>
    </xf>
    <xf numFmtId="0" fontId="1" fillId="1558" borderId="0" xfId="4" applyFill="1" applyAlignment="1">
      <alignment horizontal="center" vertical="center"/>
    </xf>
    <xf numFmtId="0" fontId="1" fillId="649" borderId="0" xfId="4" applyFill="1" applyAlignment="1">
      <alignment horizontal="center" vertical="center"/>
    </xf>
    <xf numFmtId="0" fontId="1" fillId="1559" borderId="0" xfId="4" applyFill="1" applyAlignment="1">
      <alignment horizontal="center" vertical="center"/>
    </xf>
    <xf numFmtId="0" fontId="1" fillId="1560" borderId="0" xfId="4" applyFill="1" applyAlignment="1">
      <alignment horizontal="center" vertical="center"/>
    </xf>
    <xf numFmtId="0" fontId="1" fillId="1561" borderId="0" xfId="4" applyFill="1" applyAlignment="1">
      <alignment horizontal="center" vertical="center"/>
    </xf>
    <xf numFmtId="0" fontId="1" fillId="1562" borderId="0" xfId="4" applyFill="1" applyAlignment="1">
      <alignment horizontal="center" vertical="center"/>
    </xf>
    <xf numFmtId="0" fontId="1" fillId="1563" borderId="0" xfId="4" applyFill="1" applyAlignment="1">
      <alignment horizontal="center" vertical="center"/>
    </xf>
    <xf numFmtId="0" fontId="1" fillId="1564" borderId="0" xfId="4" applyFill="1" applyAlignment="1">
      <alignment horizontal="center" vertical="center"/>
    </xf>
    <xf numFmtId="0" fontId="1" fillId="1565" borderId="0" xfId="4" applyFill="1" applyAlignment="1">
      <alignment horizontal="center" vertical="center"/>
    </xf>
    <xf numFmtId="0" fontId="1" fillId="1566" borderId="0" xfId="4" applyFill="1" applyAlignment="1">
      <alignment horizontal="center" vertical="center"/>
    </xf>
    <xf numFmtId="0" fontId="1" fillId="1567" borderId="0" xfId="4" applyFill="1" applyAlignment="1">
      <alignment horizontal="center" vertical="center"/>
    </xf>
    <xf numFmtId="0" fontId="1" fillId="1568" borderId="0" xfId="4" applyFill="1" applyAlignment="1">
      <alignment horizontal="center" vertical="center"/>
    </xf>
    <xf numFmtId="0" fontId="1" fillId="1569" borderId="0" xfId="4" applyFill="1" applyAlignment="1">
      <alignment horizontal="center" vertical="center"/>
    </xf>
    <xf numFmtId="0" fontId="1" fillId="1570" borderId="0" xfId="4" applyFill="1" applyAlignment="1">
      <alignment horizontal="center" vertical="center"/>
    </xf>
    <xf numFmtId="0" fontId="1" fillId="1571" borderId="0" xfId="4" applyFill="1" applyAlignment="1">
      <alignment horizontal="center" vertical="center"/>
    </xf>
    <xf numFmtId="0" fontId="1" fillId="1572" borderId="0" xfId="4" applyFill="1" applyAlignment="1">
      <alignment horizontal="center" vertical="center"/>
    </xf>
    <xf numFmtId="0" fontId="1" fillId="1573" borderId="0" xfId="4" applyFill="1" applyAlignment="1">
      <alignment horizontal="center" vertical="center"/>
    </xf>
    <xf numFmtId="0" fontId="1" fillId="1574" borderId="0" xfId="4" applyFill="1" applyAlignment="1">
      <alignment horizontal="center" vertical="center"/>
    </xf>
    <xf numFmtId="0" fontId="1" fillId="1575" borderId="0" xfId="4" applyFill="1" applyAlignment="1">
      <alignment horizontal="center" vertical="center"/>
    </xf>
    <xf numFmtId="0" fontId="1" fillId="1576" borderId="0" xfId="4" applyFill="1" applyAlignment="1">
      <alignment horizontal="center" vertical="center"/>
    </xf>
    <xf numFmtId="0" fontId="1" fillId="1577" borderId="0" xfId="4" applyFill="1" applyAlignment="1">
      <alignment horizontal="center" vertical="center"/>
    </xf>
    <xf numFmtId="0" fontId="1" fillId="1578" borderId="0" xfId="4" applyFill="1" applyAlignment="1">
      <alignment horizontal="center" vertical="center"/>
    </xf>
    <xf numFmtId="0" fontId="1" fillId="1579" borderId="0" xfId="4" applyFill="1" applyAlignment="1">
      <alignment horizontal="center" vertical="center"/>
    </xf>
    <xf numFmtId="0" fontId="1" fillId="1580" borderId="0" xfId="4" applyFill="1" applyAlignment="1">
      <alignment horizontal="center" vertical="center"/>
    </xf>
    <xf numFmtId="0" fontId="1" fillId="1578" borderId="0" xfId="4" applyFill="1" applyAlignment="1">
      <alignment horizontal="left" vertical="center"/>
    </xf>
    <xf numFmtId="0" fontId="1" fillId="1581" borderId="0" xfId="4" applyFill="1" applyAlignment="1">
      <alignment horizontal="center" vertical="center"/>
    </xf>
    <xf numFmtId="0" fontId="1" fillId="1267" borderId="0" xfId="4" applyFill="1" applyAlignment="1">
      <alignment horizontal="center" vertical="center"/>
    </xf>
    <xf numFmtId="0" fontId="1" fillId="1582" borderId="0" xfId="4" applyFill="1" applyAlignment="1">
      <alignment horizontal="center" vertical="center"/>
    </xf>
    <xf numFmtId="0" fontId="1" fillId="1583" borderId="0" xfId="4" applyFill="1" applyAlignment="1">
      <alignment horizontal="center" vertical="center"/>
    </xf>
    <xf numFmtId="0" fontId="1" fillId="1584" borderId="0" xfId="4" applyFill="1" applyAlignment="1">
      <alignment horizontal="center" vertical="center"/>
    </xf>
    <xf numFmtId="0" fontId="1" fillId="1585" borderId="0" xfId="4" applyFill="1" applyAlignment="1">
      <alignment horizontal="center" vertical="center"/>
    </xf>
    <xf numFmtId="0" fontId="1" fillId="1586" borderId="0" xfId="4" applyFill="1" applyAlignment="1">
      <alignment horizontal="center" vertical="center"/>
    </xf>
    <xf numFmtId="0" fontId="1" fillId="1587" borderId="0" xfId="4" applyFill="1" applyAlignment="1">
      <alignment horizontal="center" vertical="center"/>
    </xf>
    <xf numFmtId="0" fontId="1" fillId="1588" borderId="0" xfId="4" applyFill="1" applyAlignment="1">
      <alignment horizontal="center" vertical="center"/>
    </xf>
    <xf numFmtId="0" fontId="1" fillId="1589" borderId="0" xfId="4" applyFill="1" applyAlignment="1">
      <alignment horizontal="center" vertical="center"/>
    </xf>
    <xf numFmtId="0" fontId="1" fillId="1590" borderId="0" xfId="4" applyFill="1" applyAlignment="1">
      <alignment horizontal="center" vertical="center"/>
    </xf>
    <xf numFmtId="0" fontId="1" fillId="1591" borderId="0" xfId="4" applyFill="1" applyAlignment="1">
      <alignment horizontal="center" vertical="center"/>
    </xf>
    <xf numFmtId="0" fontId="1" fillId="1592" borderId="0" xfId="4" applyFill="1" applyAlignment="1">
      <alignment horizontal="center" vertical="center"/>
    </xf>
    <xf numFmtId="0" fontId="1" fillId="1593" borderId="0" xfId="4" applyFill="1" applyAlignment="1">
      <alignment horizontal="center" vertical="center"/>
    </xf>
    <xf numFmtId="0" fontId="1" fillId="1594" borderId="0" xfId="4" applyFill="1" applyAlignment="1">
      <alignment horizontal="center" vertical="center"/>
    </xf>
    <xf numFmtId="0" fontId="1" fillId="1595" borderId="0" xfId="4" applyFill="1" applyAlignment="1">
      <alignment horizontal="center" vertical="center"/>
    </xf>
    <xf numFmtId="0" fontId="1" fillId="1596" borderId="0" xfId="4" applyFill="1" applyAlignment="1">
      <alignment horizontal="center" vertical="center"/>
    </xf>
    <xf numFmtId="0" fontId="1" fillId="1597" borderId="0" xfId="4" applyFill="1" applyAlignment="1">
      <alignment horizontal="center" vertical="center"/>
    </xf>
    <xf numFmtId="0" fontId="1" fillId="1598" borderId="0" xfId="4" applyFill="1" applyAlignment="1">
      <alignment horizontal="center" vertical="center"/>
    </xf>
    <xf numFmtId="0" fontId="1" fillId="1599" borderId="0" xfId="4" applyFill="1" applyAlignment="1">
      <alignment horizontal="center" vertical="center"/>
    </xf>
    <xf numFmtId="0" fontId="1" fillId="1600" borderId="0" xfId="4" applyFill="1" applyAlignment="1">
      <alignment horizontal="center" vertical="center"/>
    </xf>
    <xf numFmtId="0" fontId="1" fillId="1601" borderId="0" xfId="4" applyFill="1" applyAlignment="1">
      <alignment horizontal="center" vertical="center"/>
    </xf>
    <xf numFmtId="0" fontId="1" fillId="1602" borderId="0" xfId="4" applyFill="1" applyAlignment="1">
      <alignment horizontal="center" vertical="center"/>
    </xf>
    <xf numFmtId="0" fontId="1" fillId="80" borderId="0" xfId="4" applyFill="1" applyAlignment="1">
      <alignment horizontal="center" vertical="center"/>
    </xf>
    <xf numFmtId="0" fontId="1" fillId="1450" borderId="0" xfId="4" applyFill="1" applyAlignment="1">
      <alignment horizontal="center" vertical="center"/>
    </xf>
    <xf numFmtId="0" fontId="1" fillId="1603" borderId="0" xfId="4" applyFill="1" applyAlignment="1">
      <alignment horizontal="center" vertical="center"/>
    </xf>
    <xf numFmtId="0" fontId="1" fillId="1604" borderId="0" xfId="4" applyFill="1" applyAlignment="1">
      <alignment horizontal="center" vertical="center"/>
    </xf>
    <xf numFmtId="0" fontId="1" fillId="1605" borderId="0" xfId="4" applyFill="1" applyAlignment="1">
      <alignment horizontal="center" vertical="center"/>
    </xf>
    <xf numFmtId="0" fontId="1" fillId="1606" borderId="0" xfId="4" applyFill="1" applyAlignment="1">
      <alignment horizontal="center" vertical="center"/>
    </xf>
    <xf numFmtId="0" fontId="1" fillId="53" borderId="0" xfId="4" applyFill="1" applyAlignment="1">
      <alignment horizontal="center" vertical="center"/>
    </xf>
    <xf numFmtId="0" fontId="1" fillId="1607" borderId="0" xfId="4" applyFill="1" applyAlignment="1">
      <alignment horizontal="center" vertical="center"/>
    </xf>
    <xf numFmtId="0" fontId="1" fillId="215" borderId="0" xfId="4" applyFill="1" applyAlignment="1">
      <alignment horizontal="center" vertical="center"/>
    </xf>
    <xf numFmtId="0" fontId="1" fillId="1608" borderId="0" xfId="4" applyFill="1" applyAlignment="1">
      <alignment horizontal="center" vertical="center"/>
    </xf>
    <xf numFmtId="0" fontId="1" fillId="21" borderId="0" xfId="4" applyFill="1" applyAlignment="1">
      <alignment horizontal="center" vertical="center"/>
    </xf>
    <xf numFmtId="0" fontId="1" fillId="1609" borderId="0" xfId="4" applyFill="1" applyAlignment="1">
      <alignment horizontal="center" vertical="center"/>
    </xf>
    <xf numFmtId="0" fontId="1" fillId="1610" borderId="0" xfId="4" applyFill="1" applyAlignment="1">
      <alignment horizontal="center" vertical="center"/>
    </xf>
    <xf numFmtId="0" fontId="1" fillId="1611" borderId="0" xfId="4" applyFill="1" applyAlignment="1">
      <alignment horizontal="center" vertical="center"/>
    </xf>
    <xf numFmtId="0" fontId="1" fillId="1612" borderId="0" xfId="4" applyFill="1" applyAlignment="1">
      <alignment horizontal="center" vertical="center"/>
    </xf>
    <xf numFmtId="0" fontId="1" fillId="1613" borderId="0" xfId="4" applyFill="1" applyAlignment="1">
      <alignment horizontal="center" vertical="center"/>
    </xf>
    <xf numFmtId="0" fontId="1" fillId="1614" borderId="0" xfId="4" applyFill="1" applyAlignment="1">
      <alignment horizontal="center" vertical="center"/>
    </xf>
    <xf numFmtId="0" fontId="1" fillId="1615" borderId="0" xfId="4" applyFill="1" applyAlignment="1">
      <alignment horizontal="center" vertical="center"/>
    </xf>
    <xf numFmtId="0" fontId="1" fillId="1616" borderId="0" xfId="4" applyFill="1" applyAlignment="1">
      <alignment horizontal="center" vertical="center"/>
    </xf>
    <xf numFmtId="0" fontId="1" fillId="1617" borderId="0" xfId="4" applyFill="1" applyAlignment="1">
      <alignment horizontal="center" vertical="center"/>
    </xf>
    <xf numFmtId="0" fontId="1" fillId="1618" borderId="0" xfId="4" applyFill="1" applyAlignment="1">
      <alignment horizontal="center" vertical="center"/>
    </xf>
    <xf numFmtId="0" fontId="1" fillId="1619" borderId="0" xfId="4" applyFill="1" applyAlignment="1">
      <alignment horizontal="center" vertical="center"/>
    </xf>
    <xf numFmtId="0" fontId="1" fillId="1620" borderId="0" xfId="4" applyFill="1" applyAlignment="1">
      <alignment horizontal="center" vertical="center"/>
    </xf>
    <xf numFmtId="0" fontId="1" fillId="1621" borderId="0" xfId="4" applyFill="1" applyAlignment="1">
      <alignment horizontal="center" vertical="center"/>
    </xf>
    <xf numFmtId="0" fontId="1" fillId="1622" borderId="0" xfId="4" applyFill="1" applyAlignment="1">
      <alignment horizontal="center" vertical="center"/>
    </xf>
    <xf numFmtId="0" fontId="1" fillId="1623" borderId="0" xfId="4" applyFill="1" applyAlignment="1">
      <alignment horizontal="center" vertical="center"/>
    </xf>
    <xf numFmtId="0" fontId="1" fillId="1624" borderId="0" xfId="4" applyFill="1" applyAlignment="1">
      <alignment horizontal="center" vertical="center"/>
    </xf>
    <xf numFmtId="0" fontId="1" fillId="1625" borderId="0" xfId="4" applyFill="1" applyAlignment="1">
      <alignment horizontal="center" vertical="center"/>
    </xf>
    <xf numFmtId="0" fontId="1" fillId="1626" borderId="0" xfId="4" applyFill="1" applyAlignment="1">
      <alignment horizontal="center" vertical="center"/>
    </xf>
    <xf numFmtId="0" fontId="1" fillId="1627" borderId="0" xfId="4" applyFill="1" applyAlignment="1">
      <alignment horizontal="center" vertical="center"/>
    </xf>
    <xf numFmtId="0" fontId="1" fillId="1628" borderId="0" xfId="4" applyFill="1" applyAlignment="1">
      <alignment horizontal="center" vertical="center"/>
    </xf>
    <xf numFmtId="0" fontId="1" fillId="1629" borderId="0" xfId="4" applyFill="1" applyAlignment="1">
      <alignment horizontal="center" vertical="center"/>
    </xf>
    <xf numFmtId="0" fontId="1" fillId="571" borderId="0" xfId="4" applyFill="1" applyAlignment="1">
      <alignment horizontal="center" vertical="center"/>
    </xf>
    <xf numFmtId="0" fontId="1" fillId="1630" borderId="0" xfId="4" applyFill="1" applyAlignment="1">
      <alignment horizontal="center" vertical="center"/>
    </xf>
    <xf numFmtId="0" fontId="1" fillId="1631" borderId="0" xfId="4" applyFill="1" applyAlignment="1">
      <alignment horizontal="center" vertical="center"/>
    </xf>
    <xf numFmtId="0" fontId="1" fillId="1632" borderId="0" xfId="4" applyFill="1" applyAlignment="1">
      <alignment horizontal="center" vertical="center"/>
    </xf>
    <xf numFmtId="0" fontId="1" fillId="1633" borderId="0" xfId="4" applyFill="1" applyAlignment="1">
      <alignment horizontal="center" vertical="center"/>
    </xf>
    <xf numFmtId="0" fontId="1" fillId="1634" borderId="0" xfId="4" applyFill="1" applyAlignment="1">
      <alignment horizontal="center" vertical="center"/>
    </xf>
    <xf numFmtId="0" fontId="1" fillId="1635" borderId="0" xfId="4" applyFill="1" applyAlignment="1">
      <alignment horizontal="center" vertical="center"/>
    </xf>
    <xf numFmtId="0" fontId="1" fillId="1636" borderId="0" xfId="4" applyFill="1" applyAlignment="1">
      <alignment horizontal="center" vertical="center"/>
    </xf>
    <xf numFmtId="0" fontId="1" fillId="1637" borderId="0" xfId="4" applyFill="1" applyAlignment="1">
      <alignment horizontal="center" vertical="center"/>
    </xf>
    <xf numFmtId="0" fontId="1" fillId="1320" borderId="0" xfId="4" applyFill="1" applyAlignment="1">
      <alignment horizontal="center" vertical="center"/>
    </xf>
    <xf numFmtId="0" fontId="1" fillId="1638" borderId="0" xfId="4" applyFill="1" applyAlignment="1">
      <alignment horizontal="center" vertical="center"/>
    </xf>
    <xf numFmtId="0" fontId="1" fillId="1639" borderId="0" xfId="4" applyFill="1" applyAlignment="1">
      <alignment horizontal="center" vertical="center"/>
    </xf>
    <xf numFmtId="0" fontId="1" fillId="1640" borderId="0" xfId="4" applyFill="1" applyAlignment="1">
      <alignment horizontal="center" vertical="center"/>
    </xf>
    <xf numFmtId="0" fontId="1" fillId="1641" borderId="0" xfId="4" applyFill="1" applyAlignment="1">
      <alignment horizontal="center" vertical="center"/>
    </xf>
    <xf numFmtId="0" fontId="1" fillId="1642" borderId="0" xfId="4" applyFill="1" applyAlignment="1">
      <alignment horizontal="center" vertical="center"/>
    </xf>
    <xf numFmtId="0" fontId="1" fillId="1643" borderId="0" xfId="4" applyFill="1" applyAlignment="1">
      <alignment horizontal="center" vertical="center"/>
    </xf>
    <xf numFmtId="0" fontId="1" fillId="1644" borderId="0" xfId="4" applyFill="1" applyAlignment="1">
      <alignment horizontal="center" vertical="center"/>
    </xf>
    <xf numFmtId="0" fontId="1" fillId="1645" borderId="0" xfId="4" applyFill="1" applyAlignment="1">
      <alignment horizontal="center" vertical="center"/>
    </xf>
    <xf numFmtId="0" fontId="1" fillId="1646" borderId="0" xfId="4" applyFill="1" applyAlignment="1">
      <alignment horizontal="center" vertical="center"/>
    </xf>
    <xf numFmtId="0" fontId="1" fillId="1647" borderId="0" xfId="4" applyFill="1" applyAlignment="1">
      <alignment horizontal="center" vertical="center"/>
    </xf>
    <xf numFmtId="0" fontId="1" fillId="1648" borderId="0" xfId="4" applyFill="1" applyAlignment="1">
      <alignment horizontal="center" vertical="center"/>
    </xf>
    <xf numFmtId="0" fontId="1" fillId="1649" borderId="0" xfId="4" applyFill="1" applyAlignment="1">
      <alignment horizontal="center" vertical="center"/>
    </xf>
    <xf numFmtId="0" fontId="1" fillId="1650" borderId="0" xfId="4" applyFill="1" applyAlignment="1">
      <alignment horizontal="center" vertical="center"/>
    </xf>
    <xf numFmtId="0" fontId="1" fillId="1651" borderId="0" xfId="4" applyFill="1" applyAlignment="1">
      <alignment horizontal="center" vertical="center"/>
    </xf>
    <xf numFmtId="0" fontId="1" fillId="1652" borderId="0" xfId="4" applyFill="1" applyAlignment="1">
      <alignment horizontal="center" vertical="center"/>
    </xf>
    <xf numFmtId="0" fontId="1" fillId="1653" borderId="0" xfId="4" applyFill="1" applyAlignment="1">
      <alignment horizontal="center" vertical="center"/>
    </xf>
    <xf numFmtId="0" fontId="1" fillId="1505" borderId="0" xfId="4" applyFill="1" applyAlignment="1">
      <alignment horizontal="left" vertical="center"/>
    </xf>
    <xf numFmtId="0" fontId="1" fillId="1654" borderId="0" xfId="4" applyFill="1" applyAlignment="1">
      <alignment horizontal="center" vertical="center"/>
    </xf>
    <xf numFmtId="0" fontId="1" fillId="1655" borderId="0" xfId="4" applyFill="1" applyAlignment="1">
      <alignment horizontal="center" vertical="center"/>
    </xf>
    <xf numFmtId="0" fontId="1" fillId="1656" borderId="0" xfId="4" applyFill="1" applyAlignment="1">
      <alignment horizontal="center" vertical="center"/>
    </xf>
    <xf numFmtId="0" fontId="1" fillId="1657" borderId="0" xfId="4" applyFill="1" applyAlignment="1">
      <alignment horizontal="center" vertical="center"/>
    </xf>
    <xf numFmtId="0" fontId="1" fillId="1658" borderId="0" xfId="4" applyFill="1" applyAlignment="1">
      <alignment horizontal="center" vertical="center"/>
    </xf>
    <xf numFmtId="0" fontId="1" fillId="1659" borderId="0" xfId="4" applyFill="1" applyAlignment="1">
      <alignment horizontal="center" vertical="center"/>
    </xf>
    <xf numFmtId="0" fontId="1" fillId="1660" borderId="0" xfId="4" applyFill="1" applyAlignment="1">
      <alignment horizontal="center" vertical="center"/>
    </xf>
    <xf numFmtId="0" fontId="1" fillId="1661" borderId="0" xfId="4" applyFill="1" applyAlignment="1">
      <alignment horizontal="center" vertical="center"/>
    </xf>
    <xf numFmtId="0" fontId="1" fillId="1662" borderId="0" xfId="4" applyFill="1" applyAlignment="1">
      <alignment horizontal="center" vertical="center"/>
    </xf>
    <xf numFmtId="0" fontId="1" fillId="1663" borderId="0" xfId="4" applyFill="1" applyAlignment="1">
      <alignment horizontal="center" vertical="center"/>
    </xf>
    <xf numFmtId="0" fontId="1" fillId="1664" borderId="0" xfId="4" applyFill="1" applyAlignment="1">
      <alignment horizontal="center" vertical="center"/>
    </xf>
    <xf numFmtId="0" fontId="1" fillId="1665" borderId="0" xfId="4" applyFill="1" applyAlignment="1">
      <alignment horizontal="center" vertical="center"/>
    </xf>
    <xf numFmtId="0" fontId="1" fillId="1666" borderId="0" xfId="4" applyFill="1" applyAlignment="1">
      <alignment horizontal="center" vertical="center"/>
    </xf>
    <xf numFmtId="0" fontId="1" fillId="1667" borderId="0" xfId="4" applyFill="1" applyAlignment="1">
      <alignment horizontal="center" vertical="center"/>
    </xf>
    <xf numFmtId="0" fontId="1" fillId="1668" borderId="0" xfId="4" applyFill="1" applyAlignment="1">
      <alignment horizontal="center" vertical="center"/>
    </xf>
    <xf numFmtId="0" fontId="1" fillId="1669" borderId="0" xfId="4" applyFill="1" applyAlignment="1">
      <alignment horizontal="center" vertical="center"/>
    </xf>
    <xf numFmtId="0" fontId="1" fillId="1670" borderId="0" xfId="4" applyFill="1" applyAlignment="1">
      <alignment horizontal="center" vertical="center"/>
    </xf>
    <xf numFmtId="0" fontId="1" fillId="1671" borderId="0" xfId="4" applyFill="1" applyAlignment="1">
      <alignment horizontal="center" vertical="center"/>
    </xf>
    <xf numFmtId="0" fontId="1" fillId="1672" borderId="0" xfId="4" applyFill="1" applyAlignment="1">
      <alignment horizontal="center" vertical="center"/>
    </xf>
    <xf numFmtId="0" fontId="1" fillId="1673" borderId="0" xfId="4" applyFill="1" applyAlignment="1">
      <alignment horizontal="center" vertical="center"/>
    </xf>
    <xf numFmtId="0" fontId="1" fillId="1674" borderId="0" xfId="4" applyFill="1" applyAlignment="1">
      <alignment horizontal="center" vertical="center"/>
    </xf>
    <xf numFmtId="0" fontId="1" fillId="1675" borderId="0" xfId="4" applyFill="1" applyAlignment="1">
      <alignment horizontal="center" vertical="center"/>
    </xf>
    <xf numFmtId="0" fontId="1" fillId="1676" borderId="0" xfId="4" applyFill="1" applyAlignment="1">
      <alignment horizontal="center" vertical="center"/>
    </xf>
    <xf numFmtId="0" fontId="1" fillId="1677" borderId="0" xfId="4" applyFill="1" applyAlignment="1">
      <alignment horizontal="center" vertical="center"/>
    </xf>
    <xf numFmtId="0" fontId="1" fillId="1678" borderId="0" xfId="4" applyFill="1" applyAlignment="1">
      <alignment horizontal="center" vertical="center"/>
    </xf>
    <xf numFmtId="0" fontId="1" fillId="1679" borderId="0" xfId="4" applyFill="1" applyAlignment="1">
      <alignment horizontal="center" vertical="center"/>
    </xf>
    <xf numFmtId="0" fontId="1" fillId="1680" borderId="0" xfId="4" applyFill="1" applyAlignment="1">
      <alignment horizontal="center" vertical="center"/>
    </xf>
    <xf numFmtId="0" fontId="1" fillId="1681" borderId="0" xfId="4" applyFill="1" applyAlignment="1">
      <alignment horizontal="center" vertical="center"/>
    </xf>
    <xf numFmtId="0" fontId="1" fillId="163" borderId="0" xfId="4" applyFill="1" applyAlignment="1">
      <alignment horizontal="center" vertical="center"/>
    </xf>
    <xf numFmtId="0" fontId="1" fillId="1682" borderId="0" xfId="4" applyFill="1" applyAlignment="1">
      <alignment horizontal="center" vertical="center"/>
    </xf>
    <xf numFmtId="0" fontId="1" fillId="1683" borderId="0" xfId="4" applyFill="1" applyAlignment="1">
      <alignment horizontal="center" vertical="center"/>
    </xf>
    <xf numFmtId="0" fontId="1" fillId="1684" borderId="0" xfId="4" applyFill="1" applyAlignment="1">
      <alignment horizontal="center" vertical="center"/>
    </xf>
    <xf numFmtId="0" fontId="1" fillId="1685" borderId="0" xfId="4" applyFill="1" applyAlignment="1">
      <alignment horizontal="center" vertical="center"/>
    </xf>
    <xf numFmtId="0" fontId="1" fillId="1686" borderId="0" xfId="4" applyFill="1" applyAlignment="1">
      <alignment horizontal="center" vertical="center"/>
    </xf>
    <xf numFmtId="0" fontId="1" fillId="1687" borderId="0" xfId="4" applyFill="1" applyAlignment="1">
      <alignment horizontal="center" vertical="center"/>
    </xf>
    <xf numFmtId="0" fontId="1" fillId="1688" borderId="0" xfId="4" applyFill="1" applyAlignment="1">
      <alignment horizontal="center" vertical="center"/>
    </xf>
    <xf numFmtId="0" fontId="1" fillId="1689" borderId="0" xfId="4" applyFill="1" applyAlignment="1">
      <alignment horizontal="center" vertical="center"/>
    </xf>
    <xf numFmtId="0" fontId="1" fillId="1690" borderId="0" xfId="4" applyFill="1" applyAlignment="1">
      <alignment horizontal="center" vertical="center"/>
    </xf>
    <xf numFmtId="0" fontId="1" fillId="1380" borderId="0" xfId="4" applyFill="1" applyAlignment="1">
      <alignment horizontal="center" vertical="center"/>
    </xf>
    <xf numFmtId="0" fontId="1" fillId="1691" borderId="0" xfId="4" applyFill="1" applyAlignment="1">
      <alignment horizontal="center" vertical="center"/>
    </xf>
    <xf numFmtId="0" fontId="1" fillId="1692" borderId="0" xfId="4" applyFill="1" applyAlignment="1">
      <alignment horizontal="center" vertical="center"/>
    </xf>
    <xf numFmtId="0" fontId="1" fillId="1693" borderId="0" xfId="4" applyFill="1" applyAlignment="1">
      <alignment horizontal="center" vertical="center"/>
    </xf>
    <xf numFmtId="0" fontId="1" fillId="1694" borderId="0" xfId="4" applyFill="1" applyAlignment="1">
      <alignment horizontal="center" vertical="center"/>
    </xf>
    <xf numFmtId="0" fontId="1" fillId="1695" borderId="0" xfId="4" applyFill="1" applyAlignment="1">
      <alignment horizontal="center" vertical="center"/>
    </xf>
    <xf numFmtId="0" fontId="1" fillId="1696" borderId="0" xfId="4" applyFill="1" applyAlignment="1">
      <alignment horizontal="center" vertical="center"/>
    </xf>
    <xf numFmtId="0" fontId="1" fillId="1697" borderId="0" xfId="4" applyFill="1" applyAlignment="1">
      <alignment horizontal="center" vertical="center"/>
    </xf>
    <xf numFmtId="0" fontId="1" fillId="1698" borderId="0" xfId="4" applyFill="1" applyAlignment="1">
      <alignment horizontal="center" vertical="center"/>
    </xf>
    <xf numFmtId="0" fontId="1" fillId="1699" borderId="0" xfId="4" applyFill="1" applyAlignment="1">
      <alignment horizontal="center" vertical="center"/>
    </xf>
    <xf numFmtId="0" fontId="1" fillId="1700" borderId="0" xfId="4" applyFill="1" applyAlignment="1">
      <alignment horizontal="center" vertical="center"/>
    </xf>
    <xf numFmtId="0" fontId="1" fillId="1701" borderId="0" xfId="4" applyFill="1" applyAlignment="1">
      <alignment horizontal="center" vertical="center"/>
    </xf>
    <xf numFmtId="0" fontId="1" fillId="1702" borderId="0" xfId="4" applyFill="1" applyAlignment="1">
      <alignment horizontal="center" vertical="center"/>
    </xf>
    <xf numFmtId="0" fontId="1" fillId="1703" borderId="0" xfId="4" applyFill="1" applyAlignment="1">
      <alignment horizontal="center" vertical="center"/>
    </xf>
    <xf numFmtId="0" fontId="1" fillId="1704" borderId="0" xfId="4" applyFill="1" applyAlignment="1">
      <alignment horizontal="center" vertical="center"/>
    </xf>
    <xf numFmtId="0" fontId="1" fillId="1705" borderId="0" xfId="4" applyFill="1" applyAlignment="1">
      <alignment horizontal="center" vertical="center"/>
    </xf>
    <xf numFmtId="0" fontId="1" fillId="1706" borderId="0" xfId="4" applyFill="1" applyAlignment="1">
      <alignment horizontal="center" vertical="center"/>
    </xf>
    <xf numFmtId="0" fontId="1" fillId="1707" borderId="0" xfId="4" applyFill="1" applyAlignment="1">
      <alignment horizontal="center" vertical="center"/>
    </xf>
    <xf numFmtId="0" fontId="1" fillId="1708" borderId="0" xfId="4" applyFill="1" applyAlignment="1">
      <alignment horizontal="center" vertical="center"/>
    </xf>
    <xf numFmtId="0" fontId="1" fillId="1709" borderId="0" xfId="4" applyFill="1" applyAlignment="1">
      <alignment horizontal="center" vertical="center"/>
    </xf>
    <xf numFmtId="0" fontId="1" fillId="1710" borderId="0" xfId="4" applyFill="1" applyAlignment="1">
      <alignment horizontal="center" vertical="center"/>
    </xf>
    <xf numFmtId="0" fontId="1" fillId="639" borderId="0" xfId="4" applyFill="1" applyAlignment="1">
      <alignment horizontal="center" vertical="center"/>
    </xf>
    <xf numFmtId="0" fontId="1" fillId="1711" borderId="0" xfId="4" applyFill="1" applyAlignment="1">
      <alignment horizontal="center" vertical="center"/>
    </xf>
    <xf numFmtId="0" fontId="1" fillId="1713" borderId="0" xfId="4" applyFill="1" applyAlignment="1">
      <alignment horizontal="center" vertical="center"/>
    </xf>
    <xf numFmtId="0" fontId="1" fillId="1714" borderId="0" xfId="4" applyFill="1" applyAlignment="1">
      <alignment horizontal="center" vertical="center"/>
    </xf>
    <xf numFmtId="0" fontId="1" fillId="1715" borderId="0" xfId="4" applyFill="1" applyAlignment="1">
      <alignment horizontal="center" vertical="center"/>
    </xf>
    <xf numFmtId="0" fontId="1" fillId="1716" borderId="0" xfId="4" applyFill="1" applyAlignment="1">
      <alignment horizontal="center" vertical="center"/>
    </xf>
    <xf numFmtId="0" fontId="1" fillId="1717" borderId="0" xfId="4" applyFill="1" applyAlignment="1">
      <alignment horizontal="center" vertical="center"/>
    </xf>
    <xf numFmtId="0" fontId="1" fillId="1718" borderId="0" xfId="4" applyFill="1" applyAlignment="1">
      <alignment horizontal="center" vertical="center"/>
    </xf>
    <xf numFmtId="0" fontId="1" fillId="1719" borderId="0" xfId="4" applyFill="1" applyAlignment="1">
      <alignment horizontal="center" vertical="center"/>
    </xf>
    <xf numFmtId="0" fontId="1" fillId="1720" borderId="0" xfId="4" applyFill="1" applyAlignment="1">
      <alignment horizontal="center" vertical="center"/>
    </xf>
    <xf numFmtId="0" fontId="1" fillId="1721" borderId="0" xfId="4" applyFill="1" applyAlignment="1">
      <alignment horizontal="center" vertical="center"/>
    </xf>
    <xf numFmtId="0" fontId="1" fillId="1722" borderId="0" xfId="4" applyFill="1" applyAlignment="1">
      <alignment horizontal="center" vertical="center"/>
    </xf>
    <xf numFmtId="0" fontId="1" fillId="1723" borderId="0" xfId="4" applyFill="1" applyAlignment="1">
      <alignment horizontal="center" vertical="center"/>
    </xf>
    <xf numFmtId="0" fontId="1" fillId="1724" borderId="0" xfId="4" applyFill="1" applyAlignment="1">
      <alignment horizontal="center" vertical="center"/>
    </xf>
    <xf numFmtId="0" fontId="1" fillId="1725" borderId="0" xfId="4" applyFill="1" applyAlignment="1">
      <alignment horizontal="center" vertical="center"/>
    </xf>
    <xf numFmtId="0" fontId="1" fillId="1726" borderId="0" xfId="4" applyFill="1" applyAlignment="1">
      <alignment horizontal="center" vertical="center"/>
    </xf>
    <xf numFmtId="0" fontId="1" fillId="1727" borderId="0" xfId="4" applyFill="1" applyAlignment="1">
      <alignment horizontal="center" vertical="center"/>
    </xf>
    <xf numFmtId="0" fontId="1" fillId="1728" borderId="0" xfId="4" applyFill="1" applyAlignment="1">
      <alignment horizontal="center" vertical="center"/>
    </xf>
    <xf numFmtId="0" fontId="1" fillId="1729" borderId="0" xfId="4" applyFill="1" applyAlignment="1">
      <alignment horizontal="center" vertical="center"/>
    </xf>
    <xf numFmtId="0" fontId="1" fillId="1280" borderId="0" xfId="4" applyFill="1" applyAlignment="1">
      <alignment horizontal="center" vertical="center"/>
    </xf>
    <xf numFmtId="0" fontId="1" fillId="1730" borderId="0" xfId="4" applyFill="1" applyAlignment="1">
      <alignment horizontal="center" vertical="center"/>
    </xf>
    <xf numFmtId="0" fontId="1" fillId="1731" borderId="0" xfId="4" applyFill="1" applyAlignment="1">
      <alignment horizontal="left" vertical="center"/>
    </xf>
    <xf numFmtId="0" fontId="1" fillId="1732" borderId="0" xfId="4" applyFill="1" applyAlignment="1">
      <alignment horizontal="center" vertical="center"/>
    </xf>
    <xf numFmtId="0" fontId="1" fillId="1733" borderId="0" xfId="4" applyFill="1" applyAlignment="1">
      <alignment horizontal="center" vertical="center"/>
    </xf>
    <xf numFmtId="0" fontId="1" fillId="1734" borderId="0" xfId="4" applyFill="1" applyAlignment="1">
      <alignment horizontal="center" vertical="center"/>
    </xf>
    <xf numFmtId="0" fontId="1" fillId="1735" borderId="0" xfId="4" applyFill="1" applyAlignment="1">
      <alignment horizontal="center" vertical="center"/>
    </xf>
    <xf numFmtId="0" fontId="1" fillId="1736" borderId="0" xfId="4" applyFill="1" applyAlignment="1">
      <alignment horizontal="center" vertical="center"/>
    </xf>
    <xf numFmtId="0" fontId="1" fillId="1737" borderId="0" xfId="4" applyFill="1" applyAlignment="1">
      <alignment horizontal="center" vertical="center"/>
    </xf>
    <xf numFmtId="0" fontId="1" fillId="1738" borderId="0" xfId="4" applyFill="1" applyAlignment="1">
      <alignment horizontal="center" vertical="center"/>
    </xf>
    <xf numFmtId="0" fontId="1" fillId="1739" borderId="0" xfId="4" applyFill="1" applyAlignment="1">
      <alignment horizontal="center" vertical="center"/>
    </xf>
    <xf numFmtId="0" fontId="1" fillId="1740" borderId="0" xfId="4" applyFill="1" applyAlignment="1">
      <alignment horizontal="center" vertical="center"/>
    </xf>
    <xf numFmtId="0" fontId="1" fillId="1741" borderId="0" xfId="4" applyFill="1" applyAlignment="1">
      <alignment horizontal="center" vertical="center"/>
    </xf>
    <xf numFmtId="0" fontId="1" fillId="1742" borderId="0" xfId="4" applyFill="1" applyAlignment="1">
      <alignment horizontal="center" vertical="center"/>
    </xf>
    <xf numFmtId="0" fontId="1" fillId="1743" borderId="0" xfId="4" applyFill="1" applyAlignment="1">
      <alignment horizontal="center" vertical="center"/>
    </xf>
    <xf numFmtId="0" fontId="1" fillId="1744" borderId="0" xfId="4" applyFill="1" applyAlignment="1">
      <alignment horizontal="center" vertical="center"/>
    </xf>
    <xf numFmtId="0" fontId="1" fillId="1745" borderId="0" xfId="4" applyFill="1" applyAlignment="1">
      <alignment horizontal="center" vertical="center"/>
    </xf>
    <xf numFmtId="0" fontId="1" fillId="1746" borderId="0" xfId="4" applyFill="1" applyAlignment="1">
      <alignment horizontal="center" vertical="center"/>
    </xf>
    <xf numFmtId="0" fontId="1" fillId="1747" borderId="0" xfId="4" applyFill="1" applyAlignment="1">
      <alignment horizontal="center" vertical="center"/>
    </xf>
    <xf numFmtId="0" fontId="1" fillId="1748" borderId="0" xfId="4" applyFill="1" applyAlignment="1">
      <alignment horizontal="center" vertical="center"/>
    </xf>
    <xf numFmtId="0" fontId="1" fillId="1749" borderId="0" xfId="4" applyFill="1" applyAlignment="1">
      <alignment horizontal="center" vertical="center"/>
    </xf>
    <xf numFmtId="0" fontId="1" fillId="1750" borderId="0" xfId="4" applyFill="1" applyAlignment="1">
      <alignment horizontal="center" vertical="center"/>
    </xf>
    <xf numFmtId="0" fontId="1" fillId="1751" borderId="0" xfId="4" applyFill="1" applyAlignment="1">
      <alignment horizontal="center" vertical="center"/>
    </xf>
    <xf numFmtId="0" fontId="1" fillId="1752" borderId="0" xfId="4" applyFill="1" applyAlignment="1">
      <alignment horizontal="center" vertical="center"/>
    </xf>
    <xf numFmtId="0" fontId="1" fillId="1753" borderId="0" xfId="4" applyFill="1" applyAlignment="1">
      <alignment horizontal="center" vertical="center"/>
    </xf>
    <xf numFmtId="0" fontId="1" fillId="1754" borderId="0" xfId="4" applyFill="1" applyAlignment="1">
      <alignment horizontal="center" vertical="center"/>
    </xf>
    <xf numFmtId="0" fontId="1" fillId="1755" borderId="0" xfId="4" applyFill="1" applyAlignment="1">
      <alignment horizontal="center" vertical="center"/>
    </xf>
    <xf numFmtId="0" fontId="1" fillId="1756" borderId="0" xfId="4" applyFill="1" applyAlignment="1">
      <alignment horizontal="center" vertical="center"/>
    </xf>
    <xf numFmtId="0" fontId="1" fillId="1757" borderId="0" xfId="4" applyFill="1" applyAlignment="1">
      <alignment horizontal="center" vertical="center"/>
    </xf>
    <xf numFmtId="0" fontId="1" fillId="380" borderId="0" xfId="4" applyFill="1" applyAlignment="1">
      <alignment horizontal="center" vertical="center"/>
    </xf>
    <xf numFmtId="0" fontId="1" fillId="1758" borderId="0" xfId="4" applyFill="1" applyAlignment="1">
      <alignment horizontal="center" vertical="center"/>
    </xf>
    <xf numFmtId="0" fontId="1" fillId="1759" borderId="0" xfId="4" applyFill="1" applyAlignment="1">
      <alignment horizontal="center" vertical="center"/>
    </xf>
    <xf numFmtId="0" fontId="1" fillId="1760" borderId="0" xfId="4" applyFill="1" applyAlignment="1">
      <alignment horizontal="center" vertical="center"/>
    </xf>
    <xf numFmtId="0" fontId="1" fillId="1761" borderId="0" xfId="4" applyFill="1" applyAlignment="1">
      <alignment horizontal="center" vertical="center"/>
    </xf>
    <xf numFmtId="0" fontId="1" fillId="379" borderId="0" xfId="4" applyFill="1" applyAlignment="1">
      <alignment horizontal="center" vertical="center"/>
    </xf>
    <xf numFmtId="0" fontId="1" fillId="1762" borderId="0" xfId="4" applyFill="1" applyAlignment="1">
      <alignment horizontal="center" vertical="center"/>
    </xf>
    <xf numFmtId="0" fontId="1" fillId="1763" borderId="0" xfId="4" applyFill="1" applyAlignment="1">
      <alignment horizontal="center" vertical="center"/>
    </xf>
    <xf numFmtId="0" fontId="1" fillId="1764" borderId="0" xfId="4" applyFill="1" applyAlignment="1">
      <alignment horizontal="center" vertical="center"/>
    </xf>
    <xf numFmtId="0" fontId="1" fillId="346" borderId="0" xfId="4" applyFill="1" applyAlignment="1">
      <alignment horizontal="center" vertical="center"/>
    </xf>
    <xf numFmtId="0" fontId="1" fillId="1765" borderId="0" xfId="4" applyFill="1" applyAlignment="1">
      <alignment horizontal="center" vertical="center"/>
    </xf>
    <xf numFmtId="0" fontId="1" fillId="1766" borderId="0" xfId="4" applyFill="1" applyAlignment="1">
      <alignment horizontal="center" vertical="center"/>
    </xf>
    <xf numFmtId="0" fontId="1" fillId="1767" borderId="0" xfId="4" applyFill="1" applyAlignment="1">
      <alignment horizontal="center" vertical="center"/>
    </xf>
    <xf numFmtId="0" fontId="1" fillId="1768" borderId="0" xfId="4" applyFill="1" applyAlignment="1">
      <alignment horizontal="center" vertical="center"/>
    </xf>
    <xf numFmtId="0" fontId="1" fillId="1769" borderId="0" xfId="4" applyFill="1" applyAlignment="1">
      <alignment horizontal="center" vertical="center"/>
    </xf>
    <xf numFmtId="0" fontId="1" fillId="1770" borderId="0" xfId="4" applyFill="1" applyAlignment="1">
      <alignment horizontal="center" vertical="center"/>
    </xf>
    <xf numFmtId="0" fontId="1" fillId="1771" borderId="0" xfId="4" applyFill="1" applyAlignment="1">
      <alignment horizontal="center" vertical="center"/>
    </xf>
    <xf numFmtId="0" fontId="1" fillId="1772" borderId="0" xfId="4" applyFill="1" applyAlignment="1">
      <alignment horizontal="center" vertical="center"/>
    </xf>
    <xf numFmtId="0" fontId="1" fillId="1773" borderId="0" xfId="4" applyFill="1" applyAlignment="1">
      <alignment horizontal="center" vertical="center"/>
    </xf>
    <xf numFmtId="0" fontId="1" fillId="1774" borderId="0" xfId="4" applyFill="1" applyAlignment="1">
      <alignment horizontal="center" vertical="center"/>
    </xf>
    <xf numFmtId="0" fontId="1" fillId="1775" borderId="0" xfId="4" applyFill="1" applyAlignment="1">
      <alignment horizontal="center" vertical="center"/>
    </xf>
    <xf numFmtId="0" fontId="1" fillId="1776" borderId="0" xfId="4" applyFill="1" applyAlignment="1">
      <alignment horizontal="center" vertical="center"/>
    </xf>
    <xf numFmtId="0" fontId="1" fillId="1777" borderId="0" xfId="4" applyFill="1" applyAlignment="1">
      <alignment horizontal="center" vertical="center"/>
    </xf>
    <xf numFmtId="0" fontId="1" fillId="1778" borderId="0" xfId="4" applyFill="1" applyAlignment="1">
      <alignment horizontal="center" vertical="center"/>
    </xf>
    <xf numFmtId="0" fontId="1" fillId="1779" borderId="0" xfId="4" applyFill="1" applyAlignment="1">
      <alignment horizontal="center" vertical="center"/>
    </xf>
    <xf numFmtId="0" fontId="1" fillId="1780" borderId="0" xfId="4" applyFill="1" applyAlignment="1">
      <alignment horizontal="center" vertical="center"/>
    </xf>
    <xf numFmtId="0" fontId="1" fillId="1781" borderId="0" xfId="4" applyFill="1" applyAlignment="1">
      <alignment horizontal="center" vertical="center"/>
    </xf>
    <xf numFmtId="0" fontId="1" fillId="1782" borderId="0" xfId="4" applyFill="1" applyAlignment="1">
      <alignment horizontal="left" vertical="center"/>
    </xf>
    <xf numFmtId="0" fontId="1" fillId="1783" borderId="0" xfId="4" applyFill="1" applyAlignment="1">
      <alignment horizontal="center" vertical="center"/>
    </xf>
    <xf numFmtId="0" fontId="1" fillId="1784" borderId="0" xfId="4" applyFill="1" applyAlignment="1">
      <alignment horizontal="center" vertical="center"/>
    </xf>
    <xf numFmtId="0" fontId="1" fillId="1785" borderId="0" xfId="4" applyFill="1" applyAlignment="1">
      <alignment horizontal="center" vertical="center"/>
    </xf>
    <xf numFmtId="0" fontId="1" fillId="1786" borderId="0" xfId="4" applyFill="1" applyAlignment="1">
      <alignment horizontal="center" vertical="center"/>
    </xf>
    <xf numFmtId="0" fontId="1" fillId="1787" borderId="0" xfId="4" applyFill="1" applyAlignment="1">
      <alignment horizontal="center" vertical="center"/>
    </xf>
    <xf numFmtId="0" fontId="1" fillId="1788" borderId="0" xfId="4" applyFill="1" applyAlignment="1">
      <alignment horizontal="center" vertical="center"/>
    </xf>
    <xf numFmtId="0" fontId="1" fillId="1789" borderId="0" xfId="4" applyFill="1" applyAlignment="1">
      <alignment horizontal="center" vertical="center"/>
    </xf>
    <xf numFmtId="0" fontId="1" fillId="1790" borderId="0" xfId="4" applyFill="1" applyAlignment="1">
      <alignment horizontal="center" vertical="center"/>
    </xf>
    <xf numFmtId="0" fontId="1" fillId="1791" borderId="0" xfId="4" applyFill="1" applyAlignment="1">
      <alignment horizontal="center" vertical="center"/>
    </xf>
    <xf numFmtId="0" fontId="1" fillId="1792" borderId="0" xfId="4" applyFill="1" applyAlignment="1">
      <alignment horizontal="center" vertical="center"/>
    </xf>
    <xf numFmtId="0" fontId="1" fillId="1793" borderId="0" xfId="4" applyFill="1" applyAlignment="1">
      <alignment horizontal="center" vertical="center"/>
    </xf>
    <xf numFmtId="0" fontId="1" fillId="1794" borderId="0" xfId="4" applyFill="1" applyAlignment="1">
      <alignment horizontal="center" vertical="center"/>
    </xf>
    <xf numFmtId="0" fontId="1" fillId="1795" borderId="0" xfId="4" applyFill="1" applyAlignment="1">
      <alignment horizontal="center" vertical="center"/>
    </xf>
    <xf numFmtId="0" fontId="1" fillId="1796" borderId="0" xfId="4" applyFill="1" applyAlignment="1">
      <alignment horizontal="center" vertical="center"/>
    </xf>
    <xf numFmtId="0" fontId="1" fillId="1797" borderId="0" xfId="4" applyFill="1" applyAlignment="1">
      <alignment horizontal="center" vertical="center"/>
    </xf>
    <xf numFmtId="0" fontId="1" fillId="1798" borderId="0" xfId="4" applyFill="1" applyAlignment="1">
      <alignment horizontal="center" vertical="center"/>
    </xf>
    <xf numFmtId="0" fontId="1" fillId="1799" borderId="0" xfId="4" applyFill="1" applyAlignment="1">
      <alignment horizontal="center" vertical="center"/>
    </xf>
    <xf numFmtId="0" fontId="1" fillId="1800" borderId="0" xfId="4" applyFill="1" applyAlignment="1">
      <alignment horizontal="center" vertical="center"/>
    </xf>
    <xf numFmtId="0" fontId="1" fillId="1801" borderId="0" xfId="4" applyFill="1" applyAlignment="1">
      <alignment horizontal="center" vertical="center"/>
    </xf>
    <xf numFmtId="0" fontId="1" fillId="1802" borderId="0" xfId="4" applyFill="1" applyAlignment="1">
      <alignment horizontal="center" vertical="center"/>
    </xf>
    <xf numFmtId="0" fontId="1" fillId="1803" borderId="0" xfId="4" applyFill="1" applyAlignment="1">
      <alignment horizontal="center" vertical="center"/>
    </xf>
    <xf numFmtId="0" fontId="1" fillId="1804" borderId="0" xfId="4" applyFill="1" applyAlignment="1">
      <alignment horizontal="center" vertical="center"/>
    </xf>
    <xf numFmtId="0" fontId="1" fillId="1805" borderId="0" xfId="4" applyFill="1" applyAlignment="1">
      <alignment horizontal="left" vertical="center"/>
    </xf>
    <xf numFmtId="0" fontId="1" fillId="1806" borderId="0" xfId="4" applyFill="1" applyAlignment="1">
      <alignment horizontal="center" vertical="center"/>
    </xf>
    <xf numFmtId="0" fontId="1" fillId="1807" borderId="0" xfId="4" applyFill="1" applyAlignment="1">
      <alignment horizontal="center" vertical="center"/>
    </xf>
    <xf numFmtId="0" fontId="1" fillId="1808" borderId="0" xfId="4" applyFill="1" applyAlignment="1">
      <alignment horizontal="center" vertical="center"/>
    </xf>
    <xf numFmtId="0" fontId="1" fillId="1809" borderId="0" xfId="4" applyFill="1" applyAlignment="1">
      <alignment horizontal="center" vertical="center"/>
    </xf>
    <xf numFmtId="0" fontId="1" fillId="1810" borderId="0" xfId="4" applyFill="1" applyAlignment="1">
      <alignment horizontal="center" vertical="center"/>
    </xf>
    <xf numFmtId="0" fontId="1" fillId="1811" borderId="0" xfId="4" applyFill="1" applyAlignment="1">
      <alignment horizontal="center" vertical="center"/>
    </xf>
    <xf numFmtId="0" fontId="1" fillId="1812" borderId="0" xfId="4" applyFill="1" applyAlignment="1">
      <alignment horizontal="center" vertical="center"/>
    </xf>
    <xf numFmtId="0" fontId="1" fillId="1813" borderId="0" xfId="4" applyFill="1" applyAlignment="1">
      <alignment horizontal="center" vertical="center"/>
    </xf>
    <xf numFmtId="0" fontId="1" fillId="1814" borderId="0" xfId="4" applyFill="1" applyAlignment="1">
      <alignment horizontal="center" vertical="center"/>
    </xf>
    <xf numFmtId="0" fontId="1" fillId="1815" borderId="0" xfId="4" applyFill="1" applyAlignment="1">
      <alignment horizontal="center" vertical="center"/>
    </xf>
    <xf numFmtId="0" fontId="1" fillId="1816" borderId="0" xfId="4" applyFill="1" applyAlignment="1">
      <alignment horizontal="center" vertical="center"/>
    </xf>
    <xf numFmtId="0" fontId="1" fillId="1817" borderId="0" xfId="4" applyFill="1" applyAlignment="1">
      <alignment horizontal="center" vertical="center"/>
    </xf>
    <xf numFmtId="0" fontId="1" fillId="1818" borderId="0" xfId="4" applyFill="1" applyAlignment="1">
      <alignment horizontal="center" vertical="center"/>
    </xf>
    <xf numFmtId="0" fontId="1" fillId="1819" borderId="0" xfId="4" applyFill="1" applyAlignment="1">
      <alignment horizontal="center" vertical="center"/>
    </xf>
    <xf numFmtId="0" fontId="1" fillId="1820" borderId="0" xfId="4" applyFill="1" applyAlignment="1">
      <alignment horizontal="center" vertical="center"/>
    </xf>
    <xf numFmtId="0" fontId="1" fillId="1821" borderId="0" xfId="4" applyFill="1" applyAlignment="1">
      <alignment horizontal="center" vertical="center"/>
    </xf>
    <xf numFmtId="0" fontId="1" fillId="1822" borderId="0" xfId="4" applyFill="1" applyAlignment="1">
      <alignment horizontal="center" vertical="center"/>
    </xf>
    <xf numFmtId="0" fontId="1" fillId="1823" borderId="0" xfId="4" applyFill="1" applyAlignment="1">
      <alignment horizontal="center" vertical="center"/>
    </xf>
    <xf numFmtId="0" fontId="1" fillId="1824" borderId="0" xfId="4" applyFill="1" applyAlignment="1">
      <alignment horizontal="center" vertical="center"/>
    </xf>
    <xf numFmtId="0" fontId="1" fillId="1825" borderId="0" xfId="4" applyFill="1" applyAlignment="1">
      <alignment horizontal="center" vertical="center"/>
    </xf>
    <xf numFmtId="0" fontId="1" fillId="1826" borderId="0" xfId="4" applyFill="1" applyAlignment="1">
      <alignment horizontal="center" vertical="center"/>
    </xf>
    <xf numFmtId="0" fontId="1" fillId="1827" borderId="0" xfId="4" applyFill="1" applyAlignment="1">
      <alignment horizontal="center" vertical="center"/>
    </xf>
    <xf numFmtId="0" fontId="1" fillId="1828" borderId="0" xfId="4" applyFill="1" applyAlignment="1">
      <alignment horizontal="center" vertical="center"/>
    </xf>
    <xf numFmtId="0" fontId="1" fillId="1829" borderId="0" xfId="4" applyFill="1" applyAlignment="1">
      <alignment horizontal="center" vertical="center"/>
    </xf>
    <xf numFmtId="0" fontId="1" fillId="1830" borderId="0" xfId="4" applyFill="1" applyAlignment="1">
      <alignment horizontal="center" vertical="center"/>
    </xf>
    <xf numFmtId="0" fontId="1" fillId="1831" borderId="0" xfId="4" applyFill="1" applyAlignment="1">
      <alignment horizontal="center" vertical="center"/>
    </xf>
    <xf numFmtId="0" fontId="1" fillId="1832" borderId="0" xfId="4" applyFill="1" applyAlignment="1">
      <alignment horizontal="center" vertical="center"/>
    </xf>
    <xf numFmtId="0" fontId="1" fillId="1833" borderId="0" xfId="4" applyFill="1" applyAlignment="1">
      <alignment horizontal="center" vertical="center"/>
    </xf>
    <xf numFmtId="0" fontId="1" fillId="1834" borderId="0" xfId="4" applyFill="1" applyAlignment="1">
      <alignment horizontal="center" vertical="center"/>
    </xf>
    <xf numFmtId="0" fontId="1" fillId="1835" borderId="0" xfId="4" applyFill="1" applyAlignment="1">
      <alignment horizontal="center" vertical="center"/>
    </xf>
    <xf numFmtId="0" fontId="1" fillId="1836" borderId="0" xfId="4" applyFill="1" applyAlignment="1">
      <alignment horizontal="center" vertical="center"/>
    </xf>
    <xf numFmtId="0" fontId="1" fillId="1837" borderId="0" xfId="4" applyFill="1" applyAlignment="1">
      <alignment horizontal="center" vertical="center"/>
    </xf>
    <xf numFmtId="0" fontId="1" fillId="1838" borderId="0" xfId="4" applyFill="1" applyAlignment="1">
      <alignment horizontal="center" vertical="center"/>
    </xf>
    <xf numFmtId="0" fontId="1" fillId="1839" borderId="0" xfId="4" applyFill="1" applyAlignment="1">
      <alignment horizontal="center" vertical="center"/>
    </xf>
    <xf numFmtId="0" fontId="1" fillId="1840" borderId="0" xfId="4" applyFill="1" applyAlignment="1">
      <alignment horizontal="center" vertical="center"/>
    </xf>
    <xf numFmtId="0" fontId="1" fillId="1841" borderId="0" xfId="4" applyFill="1" applyAlignment="1">
      <alignment horizontal="center" vertical="center"/>
    </xf>
    <xf numFmtId="0" fontId="1" fillId="1842" borderId="0" xfId="4" applyFill="1" applyAlignment="1">
      <alignment horizontal="center" vertical="center"/>
    </xf>
    <xf numFmtId="0" fontId="1" fillId="86" borderId="0" xfId="4" applyFill="1" applyAlignment="1">
      <alignment horizontal="center" vertical="center"/>
    </xf>
    <xf numFmtId="0" fontId="1" fillId="1843" borderId="0" xfId="4" applyFill="1" applyAlignment="1">
      <alignment horizontal="center" vertical="center"/>
    </xf>
    <xf numFmtId="0" fontId="1" fillId="1844" borderId="0" xfId="4" applyFill="1" applyAlignment="1">
      <alignment horizontal="center" vertical="center"/>
    </xf>
    <xf numFmtId="0" fontId="1" fillId="1845" borderId="0" xfId="4" applyFill="1" applyAlignment="1">
      <alignment horizontal="center" vertical="center"/>
    </xf>
    <xf numFmtId="0" fontId="1" fillId="154" borderId="0" xfId="4" applyFill="1" applyAlignment="1">
      <alignment horizontal="center" vertical="center"/>
    </xf>
    <xf numFmtId="0" fontId="1" fillId="1846" borderId="0" xfId="4" applyFill="1" applyAlignment="1">
      <alignment horizontal="center" vertical="center"/>
    </xf>
    <xf numFmtId="0" fontId="1" fillId="1847" borderId="0" xfId="4" applyFill="1" applyAlignment="1">
      <alignment horizontal="center" vertical="center"/>
    </xf>
    <xf numFmtId="0" fontId="1" fillId="1848" borderId="0" xfId="4" applyFill="1" applyAlignment="1">
      <alignment horizontal="center" vertical="center"/>
    </xf>
    <xf numFmtId="0" fontId="1" fillId="1849" borderId="0" xfId="4" applyFill="1" applyAlignment="1">
      <alignment horizontal="center" vertical="center"/>
    </xf>
    <xf numFmtId="0" fontId="1" fillId="1850" borderId="0" xfId="4" applyFill="1" applyAlignment="1">
      <alignment horizontal="center" vertical="center"/>
    </xf>
    <xf numFmtId="0" fontId="1" fillId="1851" borderId="0" xfId="4" applyFill="1" applyAlignment="1">
      <alignment horizontal="center" vertical="center"/>
    </xf>
    <xf numFmtId="0" fontId="1" fillId="1852" borderId="0" xfId="4" applyFill="1" applyAlignment="1">
      <alignment horizontal="center" vertical="center"/>
    </xf>
    <xf numFmtId="0" fontId="1" fillId="1853" borderId="0" xfId="4" applyFill="1" applyAlignment="1">
      <alignment horizontal="center" vertical="center"/>
    </xf>
    <xf numFmtId="0" fontId="1" fillId="1854" borderId="0" xfId="4" applyFill="1" applyAlignment="1">
      <alignment horizontal="center" vertical="center"/>
    </xf>
    <xf numFmtId="0" fontId="1" fillId="1855" borderId="0" xfId="4" applyFill="1" applyAlignment="1">
      <alignment horizontal="center" vertical="center"/>
    </xf>
    <xf numFmtId="0" fontId="1" fillId="1856" borderId="0" xfId="4" applyFill="1" applyAlignment="1">
      <alignment horizontal="center" vertical="center"/>
    </xf>
    <xf numFmtId="0" fontId="1" fillId="1857" borderId="0" xfId="4" applyFill="1" applyAlignment="1">
      <alignment horizontal="center" vertical="center"/>
    </xf>
    <xf numFmtId="0" fontId="1" fillId="1858" borderId="0" xfId="4" applyFill="1" applyAlignment="1">
      <alignment horizontal="center" vertical="center"/>
    </xf>
    <xf numFmtId="0" fontId="1" fillId="1859" borderId="0" xfId="4" applyFill="1" applyAlignment="1">
      <alignment horizontal="center" vertical="center"/>
    </xf>
    <xf numFmtId="0" fontId="1" fillId="1860" borderId="0" xfId="4" applyFill="1" applyAlignment="1">
      <alignment horizontal="left" vertical="center"/>
    </xf>
    <xf numFmtId="0" fontId="1" fillId="1861" borderId="0" xfId="4" applyFill="1" applyAlignment="1">
      <alignment horizontal="center" vertical="center"/>
    </xf>
    <xf numFmtId="0" fontId="1" fillId="1862" borderId="0" xfId="4" applyFill="1" applyAlignment="1">
      <alignment horizontal="center" vertical="center"/>
    </xf>
    <xf numFmtId="0" fontId="1" fillId="1863" borderId="0" xfId="4" applyFill="1" applyAlignment="1">
      <alignment horizontal="center" vertical="center"/>
    </xf>
    <xf numFmtId="0" fontId="1" fillId="1864" borderId="0" xfId="4" applyFill="1" applyAlignment="1">
      <alignment horizontal="center" vertical="center"/>
    </xf>
    <xf numFmtId="0" fontId="1" fillId="1865" borderId="0" xfId="4" applyFill="1" applyAlignment="1">
      <alignment horizontal="center" vertical="center"/>
    </xf>
    <xf numFmtId="0" fontId="1" fillId="1866" borderId="0" xfId="4" applyFill="1" applyAlignment="1">
      <alignment horizontal="center" vertical="center"/>
    </xf>
    <xf numFmtId="0" fontId="1" fillId="1867" borderId="0" xfId="4" applyFill="1" applyAlignment="1">
      <alignment horizontal="center" vertical="center"/>
    </xf>
    <xf numFmtId="0" fontId="1" fillId="1868" borderId="0" xfId="4" applyFill="1" applyAlignment="1">
      <alignment horizontal="center" vertical="center"/>
    </xf>
    <xf numFmtId="0" fontId="1" fillId="1869" borderId="0" xfId="4" applyFill="1" applyAlignment="1">
      <alignment horizontal="center" vertical="center"/>
    </xf>
    <xf numFmtId="0" fontId="1" fillId="1870" borderId="0" xfId="4" applyFill="1" applyAlignment="1">
      <alignment horizontal="center" vertical="center"/>
    </xf>
    <xf numFmtId="0" fontId="1" fillId="1871" borderId="0" xfId="4" applyFill="1" applyAlignment="1">
      <alignment horizontal="center" vertical="center"/>
    </xf>
    <xf numFmtId="0" fontId="1" fillId="1872" borderId="0" xfId="4" applyFill="1" applyAlignment="1">
      <alignment horizontal="center" vertical="center"/>
    </xf>
    <xf numFmtId="0" fontId="1" fillId="1873" borderId="0" xfId="4" applyFill="1" applyAlignment="1">
      <alignment horizontal="center" vertical="center"/>
    </xf>
    <xf numFmtId="0" fontId="1" fillId="1874" borderId="0" xfId="4" applyFill="1" applyAlignment="1">
      <alignment horizontal="center" vertical="center"/>
    </xf>
    <xf numFmtId="0" fontId="1" fillId="1875" borderId="0" xfId="4" applyFill="1" applyAlignment="1">
      <alignment horizontal="center" vertical="center"/>
    </xf>
    <xf numFmtId="0" fontId="1" fillId="1876" borderId="0" xfId="4" applyFill="1" applyAlignment="1">
      <alignment horizontal="center" vertical="center"/>
    </xf>
    <xf numFmtId="0" fontId="1" fillId="1877" borderId="0" xfId="4" applyFill="1" applyAlignment="1">
      <alignment horizontal="center" vertical="center"/>
    </xf>
    <xf numFmtId="0" fontId="1" fillId="1878" borderId="0" xfId="4" applyFill="1" applyAlignment="1">
      <alignment horizontal="center" vertical="center"/>
    </xf>
    <xf numFmtId="0" fontId="1" fillId="1879" borderId="0" xfId="4" applyFill="1" applyAlignment="1">
      <alignment horizontal="left" vertical="center"/>
    </xf>
    <xf numFmtId="0" fontId="1" fillId="1880" borderId="0" xfId="4" applyFill="1" applyAlignment="1">
      <alignment horizontal="center" vertical="center"/>
    </xf>
    <xf numFmtId="0" fontId="1" fillId="1881" borderId="0" xfId="4" applyFill="1" applyAlignment="1">
      <alignment horizontal="center" vertical="center"/>
    </xf>
    <xf numFmtId="0" fontId="1" fillId="1882" borderId="0" xfId="4" applyFill="1" applyAlignment="1">
      <alignment horizontal="center" vertical="center"/>
    </xf>
    <xf numFmtId="0" fontId="1" fillId="1883" borderId="0" xfId="4" applyFill="1" applyAlignment="1">
      <alignment horizontal="center" vertical="center"/>
    </xf>
    <xf numFmtId="0" fontId="1" fillId="1884" borderId="0" xfId="4" applyFill="1" applyAlignment="1">
      <alignment horizontal="center" vertical="center"/>
    </xf>
    <xf numFmtId="0" fontId="1" fillId="1885" borderId="0" xfId="4" applyFill="1" applyAlignment="1">
      <alignment horizontal="center" vertical="center"/>
    </xf>
    <xf numFmtId="0" fontId="1" fillId="1886" borderId="0" xfId="4" applyFill="1" applyAlignment="1">
      <alignment horizontal="center" vertical="center"/>
    </xf>
    <xf numFmtId="0" fontId="1" fillId="1887" borderId="0" xfId="4" applyFill="1" applyAlignment="1">
      <alignment horizontal="center" vertical="center"/>
    </xf>
    <xf numFmtId="0" fontId="1" fillId="1888" borderId="0" xfId="4" applyFill="1" applyAlignment="1">
      <alignment horizontal="center" vertical="center"/>
    </xf>
    <xf numFmtId="0" fontId="1" fillId="1889" borderId="0" xfId="4" applyFill="1" applyAlignment="1">
      <alignment horizontal="center" vertical="center"/>
    </xf>
    <xf numFmtId="0" fontId="1" fillId="1890" borderId="0" xfId="4" applyFill="1" applyAlignment="1">
      <alignment horizontal="center" vertical="center"/>
    </xf>
    <xf numFmtId="0" fontId="1" fillId="1891" borderId="0" xfId="4" applyFill="1" applyAlignment="1">
      <alignment horizontal="center" vertical="center"/>
    </xf>
    <xf numFmtId="0" fontId="1" fillId="1892" borderId="0" xfId="4" applyFill="1" applyAlignment="1">
      <alignment horizontal="center" vertical="center"/>
    </xf>
    <xf numFmtId="0" fontId="1" fillId="1893" borderId="0" xfId="4" applyFill="1" applyAlignment="1">
      <alignment horizontal="center" vertical="center"/>
    </xf>
    <xf numFmtId="0" fontId="1" fillId="1894" borderId="0" xfId="4" applyFill="1" applyAlignment="1">
      <alignment horizontal="center" vertical="center"/>
    </xf>
    <xf numFmtId="0" fontId="1" fillId="1895" borderId="0" xfId="4" applyFill="1" applyAlignment="1">
      <alignment horizontal="center" vertical="center"/>
    </xf>
    <xf numFmtId="0" fontId="1" fillId="1896" borderId="0" xfId="4" applyFill="1" applyAlignment="1">
      <alignment horizontal="center" vertical="center"/>
    </xf>
    <xf numFmtId="0" fontId="1" fillId="1897" borderId="0" xfId="4" applyFill="1" applyAlignment="1">
      <alignment horizontal="center" vertical="center"/>
    </xf>
    <xf numFmtId="0" fontId="1" fillId="1898" borderId="0" xfId="4" applyFill="1" applyAlignment="1">
      <alignment horizontal="center" vertical="center"/>
    </xf>
    <xf numFmtId="0" fontId="1" fillId="1899" borderId="0" xfId="4" applyFill="1" applyAlignment="1">
      <alignment horizontal="center" vertical="center"/>
    </xf>
    <xf numFmtId="0" fontId="1" fillId="1900" borderId="0" xfId="4" applyFill="1" applyAlignment="1">
      <alignment horizontal="center" vertical="center"/>
    </xf>
    <xf numFmtId="0" fontId="1" fillId="1901" borderId="0" xfId="4" applyFill="1" applyAlignment="1">
      <alignment horizontal="center" vertical="center"/>
    </xf>
    <xf numFmtId="0" fontId="1" fillId="1902" borderId="0" xfId="4" applyFill="1" applyAlignment="1">
      <alignment horizontal="center" vertical="center"/>
    </xf>
    <xf numFmtId="0" fontId="1" fillId="1903" borderId="0" xfId="4" applyFill="1" applyAlignment="1">
      <alignment horizontal="center" vertical="center"/>
    </xf>
    <xf numFmtId="0" fontId="1" fillId="1904" borderId="0" xfId="4" applyFill="1" applyAlignment="1">
      <alignment horizontal="center" vertical="center"/>
    </xf>
    <xf numFmtId="0" fontId="1" fillId="1905" borderId="0" xfId="4" applyFill="1" applyAlignment="1">
      <alignment horizontal="center" vertical="center"/>
    </xf>
    <xf numFmtId="0" fontId="1" fillId="1906" borderId="0" xfId="4" applyFill="1" applyAlignment="1">
      <alignment horizontal="center" vertical="center"/>
    </xf>
    <xf numFmtId="0" fontId="1" fillId="1907" borderId="0" xfId="4" applyFill="1" applyAlignment="1">
      <alignment horizontal="center" vertical="center"/>
    </xf>
    <xf numFmtId="0" fontId="1" fillId="1908" borderId="0" xfId="4" applyFill="1" applyAlignment="1">
      <alignment horizontal="center" vertical="center"/>
    </xf>
    <xf numFmtId="0" fontId="1" fillId="1909" borderId="0" xfId="4" applyFill="1" applyAlignment="1">
      <alignment horizontal="center" vertical="center"/>
    </xf>
    <xf numFmtId="0" fontId="1" fillId="1910" borderId="0" xfId="4" applyFill="1" applyAlignment="1">
      <alignment horizontal="center" vertical="center"/>
    </xf>
    <xf numFmtId="0" fontId="1" fillId="1911" borderId="0" xfId="4" applyFill="1" applyAlignment="1">
      <alignment horizontal="center" vertical="center"/>
    </xf>
    <xf numFmtId="0" fontId="1" fillId="277" borderId="0" xfId="4" applyFill="1" applyAlignment="1">
      <alignment horizontal="center" vertical="center"/>
    </xf>
    <xf numFmtId="0" fontId="1" fillId="1912" borderId="0" xfId="4" applyFill="1" applyAlignment="1">
      <alignment horizontal="center" vertical="center"/>
    </xf>
    <xf numFmtId="0" fontId="1" fillId="16" borderId="0" xfId="4" applyFill="1" applyAlignment="1">
      <alignment horizontal="center" vertical="center"/>
    </xf>
    <xf numFmtId="0" fontId="1" fillId="1913" borderId="0" xfId="4" applyFill="1" applyAlignment="1">
      <alignment horizontal="center" vertical="center"/>
    </xf>
    <xf numFmtId="0" fontId="1" fillId="1914" borderId="0" xfId="4" applyFill="1" applyAlignment="1">
      <alignment horizontal="center" vertical="center"/>
    </xf>
    <xf numFmtId="0" fontId="1" fillId="1915" borderId="0" xfId="4" applyFill="1" applyAlignment="1">
      <alignment horizontal="center" vertical="center"/>
    </xf>
    <xf numFmtId="0" fontId="1" fillId="1916" borderId="0" xfId="4" applyFill="1" applyAlignment="1">
      <alignment horizontal="center" vertical="center"/>
    </xf>
    <xf numFmtId="0" fontId="1" fillId="1917" borderId="0" xfId="4" applyFill="1" applyAlignment="1">
      <alignment horizontal="center" vertical="center"/>
    </xf>
    <xf numFmtId="0" fontId="1" fillId="219" borderId="0" xfId="4" applyFill="1" applyAlignment="1">
      <alignment horizontal="center" vertical="center"/>
    </xf>
    <xf numFmtId="0" fontId="1" fillId="1918" borderId="0" xfId="4" applyFill="1" applyAlignment="1">
      <alignment horizontal="center" vertical="center"/>
    </xf>
    <xf numFmtId="0" fontId="1" fillId="1919" borderId="0" xfId="4" applyFill="1" applyAlignment="1">
      <alignment horizontal="center" vertical="center"/>
    </xf>
    <xf numFmtId="0" fontId="1" fillId="1920" borderId="0" xfId="4" applyFill="1" applyAlignment="1">
      <alignment horizontal="center" vertical="center"/>
    </xf>
    <xf numFmtId="0" fontId="1" fillId="1921" borderId="0" xfId="4" applyFill="1" applyAlignment="1">
      <alignment horizontal="center" vertical="center"/>
    </xf>
    <xf numFmtId="0" fontId="1" fillId="1922" borderId="0" xfId="4" applyFill="1" applyAlignment="1">
      <alignment horizontal="center" vertical="center"/>
    </xf>
    <xf numFmtId="0" fontId="1" fillId="1923" borderId="0" xfId="4" applyFill="1" applyAlignment="1">
      <alignment horizontal="center" vertical="center"/>
    </xf>
    <xf numFmtId="0" fontId="1" fillId="1924" borderId="0" xfId="4" applyFill="1" applyAlignment="1">
      <alignment horizontal="center" vertical="center"/>
    </xf>
    <xf numFmtId="0" fontId="1" fillId="1925" borderId="0" xfId="4" applyFill="1" applyAlignment="1">
      <alignment horizontal="center" vertical="center"/>
    </xf>
    <xf numFmtId="0" fontId="1" fillId="1926" borderId="0" xfId="4" applyFill="1" applyAlignment="1">
      <alignment horizontal="center" vertical="center"/>
    </xf>
    <xf numFmtId="0" fontId="1" fillId="1927" borderId="0" xfId="4" applyFill="1" applyAlignment="1">
      <alignment horizontal="center" vertical="center"/>
    </xf>
    <xf numFmtId="0" fontId="1" fillId="1928" borderId="0" xfId="4" applyFill="1" applyAlignment="1">
      <alignment horizontal="center" vertical="center"/>
    </xf>
    <xf numFmtId="0" fontId="1" fillId="1929" borderId="0" xfId="4" applyFill="1" applyAlignment="1">
      <alignment horizontal="center" vertical="center"/>
    </xf>
    <xf numFmtId="0" fontId="1" fillId="1930" borderId="0" xfId="4" applyFill="1" applyAlignment="1">
      <alignment horizontal="center" vertical="center"/>
    </xf>
    <xf numFmtId="0" fontId="1" fillId="1931" borderId="0" xfId="4" applyFill="1" applyAlignment="1">
      <alignment horizontal="center" vertical="center"/>
    </xf>
    <xf numFmtId="0" fontId="1" fillId="1932" borderId="0" xfId="4" applyFill="1" applyAlignment="1">
      <alignment horizontal="center" vertical="center"/>
    </xf>
    <xf numFmtId="0" fontId="1" fillId="1933" borderId="0" xfId="4" applyFill="1" applyAlignment="1">
      <alignment horizontal="center" vertical="center"/>
    </xf>
    <xf numFmtId="0" fontId="1" fillId="1934" borderId="0" xfId="4" applyFill="1" applyAlignment="1">
      <alignment horizontal="left" vertical="center"/>
    </xf>
    <xf numFmtId="0" fontId="1" fillId="1935" borderId="0" xfId="4" applyFill="1" applyAlignment="1">
      <alignment horizontal="center" vertical="center"/>
    </xf>
    <xf numFmtId="0" fontId="1" fillId="1936" borderId="0" xfId="4" applyFill="1" applyAlignment="1">
      <alignment horizontal="center" vertical="center"/>
    </xf>
    <xf numFmtId="0" fontId="1" fillId="1937" borderId="0" xfId="4" applyFill="1" applyAlignment="1">
      <alignment horizontal="center" vertical="center"/>
    </xf>
    <xf numFmtId="0" fontId="1" fillId="1938" borderId="0" xfId="4" applyFill="1" applyAlignment="1">
      <alignment horizontal="center" vertical="center"/>
    </xf>
    <xf numFmtId="0" fontId="1" fillId="1939" borderId="0" xfId="4" applyFill="1" applyAlignment="1">
      <alignment horizontal="center" vertical="center"/>
    </xf>
    <xf numFmtId="0" fontId="1" fillId="1940" borderId="0" xfId="4" applyFill="1" applyAlignment="1">
      <alignment horizontal="center" vertical="center"/>
    </xf>
    <xf numFmtId="0" fontId="1" fillId="1941" borderId="0" xfId="4" applyFill="1" applyAlignment="1">
      <alignment horizontal="center" vertical="center"/>
    </xf>
    <xf numFmtId="0" fontId="1" fillId="1942" borderId="0" xfId="4" applyFill="1" applyAlignment="1">
      <alignment horizontal="center" vertical="center"/>
    </xf>
    <xf numFmtId="0" fontId="1" fillId="1943" borderId="0" xfId="4" applyFill="1" applyAlignment="1">
      <alignment horizontal="center" vertical="center"/>
    </xf>
    <xf numFmtId="0" fontId="1" fillId="1944" borderId="0" xfId="4" applyFill="1" applyAlignment="1">
      <alignment horizontal="center" vertical="center"/>
    </xf>
    <xf numFmtId="0" fontId="1" fillId="1945" borderId="0" xfId="4" applyFill="1" applyAlignment="1">
      <alignment horizontal="center" vertical="center"/>
    </xf>
    <xf numFmtId="0" fontId="1" fillId="1946" borderId="0" xfId="4" applyFill="1" applyAlignment="1">
      <alignment horizontal="center" vertical="center"/>
    </xf>
    <xf numFmtId="0" fontId="1" fillId="1947" borderId="0" xfId="4" applyFill="1" applyAlignment="1">
      <alignment horizontal="center" vertical="center"/>
    </xf>
    <xf numFmtId="0" fontId="1" fillId="1948" borderId="0" xfId="4" applyFill="1" applyAlignment="1">
      <alignment horizontal="center" vertical="center"/>
    </xf>
    <xf numFmtId="0" fontId="1" fillId="1949" borderId="0" xfId="4" applyFill="1" applyAlignment="1">
      <alignment horizontal="center" vertical="center"/>
    </xf>
    <xf numFmtId="0" fontId="1" fillId="1950" borderId="0" xfId="4" applyFill="1" applyAlignment="1">
      <alignment horizontal="center" vertical="center"/>
    </xf>
    <xf numFmtId="0" fontId="1" fillId="1951" borderId="0" xfId="4" applyFill="1" applyAlignment="1">
      <alignment horizontal="center" vertical="center"/>
    </xf>
    <xf numFmtId="0" fontId="1" fillId="1952" borderId="0" xfId="4" applyFill="1" applyAlignment="1">
      <alignment horizontal="center" vertical="center"/>
    </xf>
    <xf numFmtId="0" fontId="1" fillId="1953" borderId="0" xfId="4" applyFill="1" applyAlignment="1">
      <alignment horizontal="center" vertical="center"/>
    </xf>
    <xf numFmtId="0" fontId="1" fillId="1954" borderId="0" xfId="4" applyFill="1" applyAlignment="1">
      <alignment horizontal="center" vertical="center"/>
    </xf>
    <xf numFmtId="0" fontId="1" fillId="1955" borderId="0" xfId="4" applyFill="1" applyAlignment="1">
      <alignment horizontal="center" vertical="center"/>
    </xf>
    <xf numFmtId="0" fontId="1" fillId="1956" borderId="0" xfId="4" applyFill="1" applyAlignment="1">
      <alignment horizontal="left" vertical="center"/>
    </xf>
    <xf numFmtId="0" fontId="1" fillId="1957" borderId="0" xfId="4" applyFill="1" applyAlignment="1">
      <alignment horizontal="center" vertical="center"/>
    </xf>
    <xf numFmtId="0" fontId="1" fillId="1958" borderId="0" xfId="4" applyFill="1" applyAlignment="1">
      <alignment horizontal="center" vertical="center"/>
    </xf>
    <xf numFmtId="0" fontId="1" fillId="1959" borderId="0" xfId="4" applyFill="1" applyAlignment="1">
      <alignment horizontal="center" vertical="center"/>
    </xf>
    <xf numFmtId="0" fontId="1" fillId="1960" borderId="0" xfId="4" applyFill="1" applyAlignment="1">
      <alignment horizontal="center" vertical="center"/>
    </xf>
    <xf numFmtId="0" fontId="1" fillId="1961" borderId="0" xfId="4" applyFill="1" applyAlignment="1">
      <alignment horizontal="center" vertical="center"/>
    </xf>
    <xf numFmtId="0" fontId="1" fillId="1962" borderId="0" xfId="4" applyFill="1" applyAlignment="1">
      <alignment horizontal="center" vertical="center"/>
    </xf>
    <xf numFmtId="0" fontId="1" fillId="1963" borderId="0" xfId="4" applyFill="1" applyAlignment="1">
      <alignment horizontal="center" vertical="center"/>
    </xf>
    <xf numFmtId="0" fontId="1" fillId="1964" borderId="0" xfId="4" applyFill="1" applyAlignment="1">
      <alignment horizontal="center" vertical="center"/>
    </xf>
    <xf numFmtId="0" fontId="1" fillId="1965" borderId="0" xfId="4" applyFill="1" applyAlignment="1">
      <alignment horizontal="center" vertical="center"/>
    </xf>
    <xf numFmtId="0" fontId="1" fillId="1966" borderId="0" xfId="4" applyFill="1" applyAlignment="1">
      <alignment horizontal="center" vertical="center"/>
    </xf>
    <xf numFmtId="0" fontId="1" fillId="1967" borderId="0" xfId="4" applyFill="1" applyAlignment="1">
      <alignment horizontal="center" vertical="center"/>
    </xf>
    <xf numFmtId="0" fontId="1" fillId="1968" borderId="0" xfId="4" applyFill="1" applyAlignment="1">
      <alignment horizontal="center" vertical="center"/>
    </xf>
    <xf numFmtId="0" fontId="1" fillId="1969" borderId="0" xfId="4" applyFill="1" applyAlignment="1">
      <alignment horizontal="center" vertical="center"/>
    </xf>
    <xf numFmtId="0" fontId="1" fillId="1970" borderId="0" xfId="4" applyFill="1" applyAlignment="1">
      <alignment horizontal="center" vertical="center"/>
    </xf>
    <xf numFmtId="0" fontId="1" fillId="1971" borderId="0" xfId="4" applyFill="1" applyAlignment="1">
      <alignment horizontal="center" vertical="center"/>
    </xf>
    <xf numFmtId="0" fontId="1" fillId="1972" borderId="0" xfId="4" applyFill="1" applyAlignment="1">
      <alignment horizontal="center" vertical="center"/>
    </xf>
    <xf numFmtId="0" fontId="1" fillId="1973" borderId="0" xfId="4" applyFill="1" applyAlignment="1">
      <alignment horizontal="center" vertical="center"/>
    </xf>
    <xf numFmtId="0" fontId="1" fillId="1974" borderId="0" xfId="4" applyFill="1" applyAlignment="1">
      <alignment horizontal="center" vertical="center"/>
    </xf>
    <xf numFmtId="0" fontId="1" fillId="1975" borderId="0" xfId="4" applyFill="1" applyAlignment="1">
      <alignment horizontal="center" vertical="center"/>
    </xf>
    <xf numFmtId="0" fontId="1" fillId="1976" borderId="0" xfId="4" applyFill="1" applyAlignment="1">
      <alignment horizontal="center" vertical="center"/>
    </xf>
    <xf numFmtId="0" fontId="1" fillId="1977" borderId="0" xfId="4" applyFill="1" applyAlignment="1">
      <alignment horizontal="center" vertical="center"/>
    </xf>
    <xf numFmtId="0" fontId="1" fillId="1978" borderId="0" xfId="4" applyFill="1" applyAlignment="1">
      <alignment horizontal="center" vertical="center"/>
    </xf>
    <xf numFmtId="0" fontId="1" fillId="1979" borderId="0" xfId="4" applyFill="1" applyAlignment="1">
      <alignment horizontal="center" vertical="center"/>
    </xf>
    <xf numFmtId="0" fontId="1" fillId="1980" borderId="0" xfId="4" applyFill="1" applyAlignment="1">
      <alignment horizontal="center" vertical="center"/>
    </xf>
    <xf numFmtId="0" fontId="1" fillId="1981" borderId="0" xfId="4" applyFill="1" applyAlignment="1">
      <alignment horizontal="center" vertical="center"/>
    </xf>
    <xf numFmtId="0" fontId="1" fillId="1982" borderId="0" xfId="4" applyFill="1" applyAlignment="1">
      <alignment horizontal="center" vertical="center"/>
    </xf>
    <xf numFmtId="0" fontId="1" fillId="1983" borderId="0" xfId="4" applyFill="1" applyAlignment="1">
      <alignment horizontal="center" vertical="center"/>
    </xf>
    <xf numFmtId="0" fontId="1" fillId="1984" borderId="0" xfId="4" applyFill="1" applyAlignment="1">
      <alignment horizontal="center" vertical="center"/>
    </xf>
    <xf numFmtId="0" fontId="1" fillId="1985" borderId="0" xfId="4" applyFill="1" applyAlignment="1">
      <alignment horizontal="center" vertical="center"/>
    </xf>
    <xf numFmtId="0" fontId="1" fillId="1986" borderId="0" xfId="4" applyFill="1" applyAlignment="1">
      <alignment horizontal="center" vertical="center"/>
    </xf>
    <xf numFmtId="0" fontId="1" fillId="1987" borderId="0" xfId="4" applyFill="1" applyAlignment="1">
      <alignment horizontal="center" vertical="center"/>
    </xf>
    <xf numFmtId="0" fontId="1" fillId="1988" borderId="0" xfId="4" applyFill="1" applyAlignment="1">
      <alignment horizontal="center" vertical="center"/>
    </xf>
    <xf numFmtId="0" fontId="1" fillId="1989" borderId="0" xfId="4" applyFill="1" applyAlignment="1">
      <alignment horizontal="center" vertical="center"/>
    </xf>
    <xf numFmtId="0" fontId="1" fillId="1990" borderId="0" xfId="4" applyFill="1" applyAlignment="1">
      <alignment horizontal="center" vertical="center"/>
    </xf>
    <xf numFmtId="0" fontId="1" fillId="1991" borderId="0" xfId="4" applyFill="1" applyAlignment="1">
      <alignment horizontal="center" vertical="center"/>
    </xf>
    <xf numFmtId="0" fontId="1" fillId="1992" borderId="0" xfId="4" applyFill="1" applyAlignment="1">
      <alignment horizontal="center" vertical="center"/>
    </xf>
    <xf numFmtId="0" fontId="1" fillId="1993" borderId="0" xfId="4" applyFill="1" applyAlignment="1">
      <alignment horizontal="center" vertical="center"/>
    </xf>
    <xf numFmtId="0" fontId="1" fillId="1994" borderId="0" xfId="4" applyFill="1" applyAlignment="1">
      <alignment horizontal="center" vertical="center"/>
    </xf>
    <xf numFmtId="0" fontId="1" fillId="1995" borderId="0" xfId="4" applyFill="1" applyAlignment="1">
      <alignment horizontal="center" vertical="center"/>
    </xf>
    <xf numFmtId="0" fontId="1" fillId="1996" borderId="0" xfId="4" applyFill="1" applyAlignment="1">
      <alignment horizontal="center" vertical="center"/>
    </xf>
    <xf numFmtId="0" fontId="1" fillId="1997" borderId="0" xfId="4" applyFill="1" applyAlignment="1">
      <alignment horizontal="center" vertical="center"/>
    </xf>
    <xf numFmtId="0" fontId="1" fillId="1998" borderId="0" xfId="4" applyFill="1" applyAlignment="1">
      <alignment horizontal="center" vertical="center"/>
    </xf>
    <xf numFmtId="0" fontId="1" fillId="1999" borderId="0" xfId="4" applyFill="1" applyAlignment="1">
      <alignment horizontal="center" vertical="center"/>
    </xf>
    <xf numFmtId="0" fontId="1" fillId="2000" borderId="0" xfId="4" applyFill="1" applyAlignment="1">
      <alignment horizontal="center" vertical="center"/>
    </xf>
    <xf numFmtId="0" fontId="1" fillId="2001" borderId="0" xfId="4" applyFill="1" applyAlignment="1">
      <alignment horizontal="center" vertical="center"/>
    </xf>
    <xf numFmtId="0" fontId="1" fillId="2002" borderId="0" xfId="4" applyFill="1" applyAlignment="1">
      <alignment horizontal="center" vertical="center"/>
    </xf>
    <xf numFmtId="0" fontId="1" fillId="2003" borderId="0" xfId="4" applyFill="1" applyAlignment="1">
      <alignment horizontal="center" vertical="center"/>
    </xf>
    <xf numFmtId="0" fontId="1" fillId="2004" borderId="0" xfId="4" applyFill="1" applyAlignment="1">
      <alignment horizontal="center" vertical="center"/>
    </xf>
    <xf numFmtId="0" fontId="1" fillId="126" borderId="0" xfId="4" applyFill="1" applyAlignment="1">
      <alignment horizontal="center" vertical="center"/>
    </xf>
    <xf numFmtId="0" fontId="1" fillId="2005" borderId="0" xfId="4" applyFill="1" applyAlignment="1">
      <alignment horizontal="center" vertical="center"/>
    </xf>
    <xf numFmtId="0" fontId="1" fillId="127" borderId="0" xfId="4" applyFill="1" applyAlignment="1">
      <alignment horizontal="center" vertical="center"/>
    </xf>
    <xf numFmtId="0" fontId="1" fillId="2006" borderId="0" xfId="4" applyFill="1" applyAlignment="1">
      <alignment horizontal="center" vertical="center"/>
    </xf>
    <xf numFmtId="0" fontId="1" fillId="2007" borderId="0" xfId="4" applyFill="1" applyAlignment="1">
      <alignment horizontal="center" vertical="center"/>
    </xf>
    <xf numFmtId="0" fontId="1" fillId="2008" borderId="0" xfId="4" applyFill="1" applyAlignment="1">
      <alignment horizontal="center" vertical="center"/>
    </xf>
    <xf numFmtId="0" fontId="1" fillId="2009" borderId="0" xfId="4" applyFill="1" applyAlignment="1">
      <alignment horizontal="center" vertical="center"/>
    </xf>
    <xf numFmtId="0" fontId="1" fillId="2010" borderId="0" xfId="4" applyFill="1" applyAlignment="1">
      <alignment horizontal="center" vertical="center"/>
    </xf>
    <xf numFmtId="0" fontId="1" fillId="2011" borderId="0" xfId="4" applyFill="1" applyAlignment="1">
      <alignment horizontal="center" vertical="center"/>
    </xf>
    <xf numFmtId="0" fontId="1" fillId="2012" borderId="0" xfId="4" applyFill="1" applyAlignment="1">
      <alignment horizontal="center" vertical="center"/>
    </xf>
    <xf numFmtId="0" fontId="1" fillId="2013" borderId="0" xfId="4" applyFill="1" applyAlignment="1">
      <alignment horizontal="left" vertical="center"/>
    </xf>
    <xf numFmtId="0" fontId="1" fillId="2014" borderId="0" xfId="4" applyFill="1" applyAlignment="1">
      <alignment horizontal="center" vertical="center"/>
    </xf>
    <xf numFmtId="0" fontId="1" fillId="2015" borderId="0" xfId="4" applyFill="1" applyAlignment="1">
      <alignment horizontal="center" vertical="center"/>
    </xf>
    <xf numFmtId="0" fontId="1" fillId="2016" borderId="0" xfId="4" applyFill="1" applyAlignment="1">
      <alignment horizontal="center" vertical="center"/>
    </xf>
    <xf numFmtId="0" fontId="1" fillId="2017" borderId="0" xfId="4" applyFill="1" applyAlignment="1">
      <alignment horizontal="center" vertical="center"/>
    </xf>
    <xf numFmtId="0" fontId="1" fillId="2018" borderId="0" xfId="4" applyFill="1" applyAlignment="1">
      <alignment horizontal="center" vertical="center"/>
    </xf>
    <xf numFmtId="0" fontId="1" fillId="2019" borderId="0" xfId="4" applyFill="1" applyAlignment="1">
      <alignment horizontal="center" vertical="center"/>
    </xf>
    <xf numFmtId="0" fontId="1" fillId="2020" borderId="0" xfId="4" applyFill="1" applyAlignment="1">
      <alignment horizontal="center" vertical="center"/>
    </xf>
    <xf numFmtId="0" fontId="1" fillId="2021" borderId="0" xfId="4" applyFill="1" applyAlignment="1">
      <alignment horizontal="center" vertical="center"/>
    </xf>
    <xf numFmtId="0" fontId="1" fillId="2022" borderId="0" xfId="4" applyFill="1" applyAlignment="1">
      <alignment horizontal="center" vertical="center"/>
    </xf>
    <xf numFmtId="0" fontId="1" fillId="2023" borderId="0" xfId="4" applyFill="1" applyAlignment="1">
      <alignment horizontal="center" vertical="center"/>
    </xf>
    <xf numFmtId="0" fontId="1" fillId="2024" borderId="0" xfId="4" applyFill="1" applyAlignment="1">
      <alignment horizontal="center" vertical="center"/>
    </xf>
    <xf numFmtId="0" fontId="1" fillId="2025" borderId="0" xfId="4" applyFill="1" applyAlignment="1">
      <alignment horizontal="center" vertical="center"/>
    </xf>
    <xf numFmtId="0" fontId="1" fillId="2026" borderId="0" xfId="4" applyFill="1" applyAlignment="1">
      <alignment horizontal="center" vertical="center"/>
    </xf>
    <xf numFmtId="0" fontId="1" fillId="2027" borderId="0" xfId="4" applyFill="1" applyAlignment="1">
      <alignment horizontal="center" vertical="center"/>
    </xf>
    <xf numFmtId="0" fontId="1" fillId="2028" borderId="0" xfId="4" applyFill="1" applyAlignment="1">
      <alignment horizontal="center" vertical="center"/>
    </xf>
    <xf numFmtId="0" fontId="1" fillId="2029" borderId="0" xfId="4" applyFill="1" applyAlignment="1">
      <alignment horizontal="center" vertical="center"/>
    </xf>
    <xf numFmtId="0" fontId="1" fillId="2030" borderId="0" xfId="4" applyFill="1" applyAlignment="1">
      <alignment horizontal="center" vertical="center"/>
    </xf>
    <xf numFmtId="0" fontId="1" fillId="2031" borderId="0" xfId="4" applyFill="1" applyAlignment="1">
      <alignment horizontal="center" vertical="center"/>
    </xf>
    <xf numFmtId="0" fontId="1" fillId="2032" borderId="0" xfId="4" applyFill="1" applyAlignment="1">
      <alignment horizontal="center" vertical="center"/>
    </xf>
    <xf numFmtId="0" fontId="1" fillId="2033" borderId="0" xfId="4" applyFill="1" applyAlignment="1">
      <alignment horizontal="center" vertical="center"/>
    </xf>
    <xf numFmtId="0" fontId="1" fillId="2034" borderId="0" xfId="4" applyFill="1" applyAlignment="1">
      <alignment horizontal="center" vertical="center"/>
    </xf>
    <xf numFmtId="0" fontId="1" fillId="2035" borderId="0" xfId="4" applyFill="1" applyAlignment="1">
      <alignment horizontal="left" vertical="center"/>
    </xf>
    <xf numFmtId="0" fontId="1" fillId="2036" borderId="0" xfId="4" applyFill="1" applyAlignment="1">
      <alignment horizontal="center" vertical="center"/>
    </xf>
    <xf numFmtId="0" fontId="1" fillId="2037" borderId="0" xfId="4" applyFill="1" applyAlignment="1">
      <alignment horizontal="center" vertical="center"/>
    </xf>
    <xf numFmtId="0" fontId="1" fillId="2038" borderId="0" xfId="4" applyFill="1" applyAlignment="1">
      <alignment horizontal="center" vertical="center"/>
    </xf>
    <xf numFmtId="0" fontId="1" fillId="2039" borderId="0" xfId="4" applyFill="1" applyAlignment="1">
      <alignment horizontal="center" vertical="center"/>
    </xf>
    <xf numFmtId="0" fontId="1" fillId="2040" borderId="0" xfId="4" applyFill="1" applyAlignment="1">
      <alignment horizontal="center" vertical="center"/>
    </xf>
    <xf numFmtId="0" fontId="1" fillId="2041" borderId="0" xfId="4" applyFill="1" applyAlignment="1">
      <alignment horizontal="center" vertical="center"/>
    </xf>
    <xf numFmtId="0" fontId="1" fillId="2042" borderId="0" xfId="4" applyFill="1" applyAlignment="1">
      <alignment horizontal="center" vertical="center"/>
    </xf>
    <xf numFmtId="0" fontId="1" fillId="2043" borderId="0" xfId="4" applyFill="1" applyAlignment="1">
      <alignment horizontal="center" vertical="center"/>
    </xf>
    <xf numFmtId="0" fontId="1" fillId="2044" borderId="0" xfId="4" applyFill="1" applyAlignment="1">
      <alignment horizontal="center" vertical="center"/>
    </xf>
    <xf numFmtId="0" fontId="1" fillId="2045" borderId="0" xfId="4" applyFill="1" applyAlignment="1">
      <alignment horizontal="center" vertical="center"/>
    </xf>
    <xf numFmtId="0" fontId="1" fillId="2046" borderId="0" xfId="4" applyFill="1" applyAlignment="1">
      <alignment horizontal="center" vertical="center"/>
    </xf>
    <xf numFmtId="0" fontId="1" fillId="2047" borderId="0" xfId="4" applyFill="1" applyAlignment="1">
      <alignment horizontal="center" vertical="center"/>
    </xf>
    <xf numFmtId="0" fontId="1" fillId="2048" borderId="0" xfId="4" applyFill="1" applyAlignment="1">
      <alignment horizontal="center" vertical="center"/>
    </xf>
    <xf numFmtId="0" fontId="1" fillId="2049" borderId="0" xfId="4" applyFill="1" applyAlignment="1">
      <alignment horizontal="center" vertical="center"/>
    </xf>
    <xf numFmtId="0" fontId="1" fillId="2050" borderId="0" xfId="4" applyFill="1" applyAlignment="1">
      <alignment horizontal="center" vertical="center"/>
    </xf>
    <xf numFmtId="0" fontId="1" fillId="2051" borderId="0" xfId="4" applyFill="1" applyAlignment="1">
      <alignment horizontal="center" vertical="center"/>
    </xf>
    <xf numFmtId="0" fontId="1" fillId="2052" borderId="0" xfId="4" applyFill="1" applyAlignment="1">
      <alignment horizontal="center" vertical="center"/>
    </xf>
    <xf numFmtId="0" fontId="1" fillId="2053" borderId="0" xfId="4" applyFill="1" applyAlignment="1">
      <alignment horizontal="center" vertical="center"/>
    </xf>
    <xf numFmtId="0" fontId="1" fillId="2054" borderId="0" xfId="4" applyFill="1" applyAlignment="1">
      <alignment horizontal="center" vertical="center"/>
    </xf>
    <xf numFmtId="0" fontId="1" fillId="2055" borderId="0" xfId="4" applyFill="1" applyAlignment="1">
      <alignment horizontal="center" vertical="center"/>
    </xf>
    <xf numFmtId="0" fontId="1" fillId="2056" borderId="0" xfId="4" applyFill="1" applyAlignment="1">
      <alignment horizontal="center" vertical="center"/>
    </xf>
    <xf numFmtId="0" fontId="1" fillId="2057" borderId="0" xfId="4" applyFill="1" applyAlignment="1">
      <alignment horizontal="center" vertical="center"/>
    </xf>
    <xf numFmtId="0" fontId="1" fillId="2058" borderId="0" xfId="4" applyFill="1" applyAlignment="1">
      <alignment horizontal="center" vertical="center"/>
    </xf>
    <xf numFmtId="0" fontId="1" fillId="2059" borderId="0" xfId="4" applyFill="1" applyAlignment="1">
      <alignment horizontal="center" vertical="center"/>
    </xf>
    <xf numFmtId="0" fontId="1" fillId="2060" borderId="0" xfId="4" applyFill="1" applyAlignment="1">
      <alignment horizontal="center" vertical="center"/>
    </xf>
    <xf numFmtId="0" fontId="1" fillId="2061" borderId="0" xfId="4" applyFill="1" applyAlignment="1">
      <alignment horizontal="center" vertical="center"/>
    </xf>
    <xf numFmtId="0" fontId="1" fillId="2062" borderId="0" xfId="4" applyFill="1" applyAlignment="1">
      <alignment horizontal="center" vertical="center"/>
    </xf>
    <xf numFmtId="0" fontId="1" fillId="2063" borderId="0" xfId="4" applyFill="1" applyAlignment="1">
      <alignment horizontal="center" vertical="center"/>
    </xf>
    <xf numFmtId="0" fontId="1" fillId="2064" borderId="0" xfId="4" applyFill="1" applyAlignment="1">
      <alignment horizontal="center" vertical="center"/>
    </xf>
    <xf numFmtId="0" fontId="1" fillId="2065" borderId="0" xfId="4" applyFill="1" applyAlignment="1">
      <alignment horizontal="center" vertical="center"/>
    </xf>
    <xf numFmtId="0" fontId="1" fillId="2066" borderId="0" xfId="4" applyFill="1" applyAlignment="1">
      <alignment horizontal="center" vertical="center"/>
    </xf>
    <xf numFmtId="0" fontId="1" fillId="2067" borderId="0" xfId="4" applyFill="1" applyAlignment="1">
      <alignment horizontal="center" vertical="center"/>
    </xf>
    <xf numFmtId="0" fontId="1" fillId="2068" borderId="0" xfId="4" applyFill="1" applyAlignment="1">
      <alignment horizontal="center" vertical="center"/>
    </xf>
    <xf numFmtId="0" fontId="1" fillId="2069" borderId="0" xfId="4" applyFill="1" applyAlignment="1">
      <alignment horizontal="center" vertical="center"/>
    </xf>
    <xf numFmtId="0" fontId="1" fillId="2070" borderId="0" xfId="4" applyFill="1" applyAlignment="1">
      <alignment horizontal="center" vertical="center"/>
    </xf>
    <xf numFmtId="0" fontId="1" fillId="2071" borderId="0" xfId="4" applyFill="1" applyAlignment="1">
      <alignment horizontal="center" vertical="center"/>
    </xf>
    <xf numFmtId="0" fontId="1" fillId="2072" borderId="0" xfId="4" applyFill="1" applyAlignment="1">
      <alignment horizontal="center" vertical="center"/>
    </xf>
    <xf numFmtId="0" fontId="1" fillId="2073" borderId="0" xfId="4" applyFill="1" applyAlignment="1">
      <alignment horizontal="center" vertical="center"/>
    </xf>
    <xf numFmtId="0" fontId="1" fillId="2074" borderId="0" xfId="4" applyFill="1" applyAlignment="1">
      <alignment horizontal="center" vertical="center"/>
    </xf>
    <xf numFmtId="0" fontId="1" fillId="2075" borderId="0" xfId="4" applyFill="1" applyAlignment="1">
      <alignment horizontal="center" vertical="center"/>
    </xf>
    <xf numFmtId="0" fontId="1" fillId="2076" borderId="0" xfId="4" applyFill="1" applyAlignment="1">
      <alignment horizontal="center" vertical="center"/>
    </xf>
    <xf numFmtId="0" fontId="1" fillId="2077" borderId="0" xfId="4" applyFill="1" applyAlignment="1">
      <alignment horizontal="center" vertical="center"/>
    </xf>
    <xf numFmtId="0" fontId="1" fillId="2078" borderId="0" xfId="4" applyFill="1" applyAlignment="1">
      <alignment horizontal="center" vertical="center"/>
    </xf>
    <xf numFmtId="0" fontId="1" fillId="203" borderId="0" xfId="4" applyFill="1" applyAlignment="1">
      <alignment horizontal="center" vertical="center"/>
    </xf>
    <xf numFmtId="0" fontId="1" fillId="2079" borderId="0" xfId="4" applyFill="1" applyAlignment="1">
      <alignment horizontal="center" vertical="center"/>
    </xf>
    <xf numFmtId="0" fontId="1" fillId="2080" borderId="0" xfId="4" applyFill="1" applyAlignment="1">
      <alignment horizontal="center" vertical="center"/>
    </xf>
    <xf numFmtId="0" fontId="1" fillId="2081" borderId="0" xfId="4" applyFill="1" applyAlignment="1">
      <alignment horizontal="center" vertical="center"/>
    </xf>
    <xf numFmtId="0" fontId="1" fillId="155" borderId="0" xfId="4" applyFill="1" applyAlignment="1">
      <alignment horizontal="center" vertical="center"/>
    </xf>
    <xf numFmtId="0" fontId="1" fillId="2082" borderId="0" xfId="4" applyFill="1" applyAlignment="1">
      <alignment horizontal="center" vertical="center"/>
    </xf>
    <xf numFmtId="0" fontId="1" fillId="2083" borderId="0" xfId="4" applyFill="1" applyAlignment="1">
      <alignment horizontal="center" vertical="center"/>
    </xf>
    <xf numFmtId="0" fontId="1" fillId="2084" borderId="0" xfId="4" applyFill="1" applyAlignment="1">
      <alignment horizontal="center" vertical="center"/>
    </xf>
    <xf numFmtId="0" fontId="1" fillId="2085" borderId="0" xfId="4" applyFill="1" applyAlignment="1">
      <alignment horizontal="center" vertical="center"/>
    </xf>
    <xf numFmtId="0" fontId="1" fillId="2086" borderId="0" xfId="4" applyFill="1" applyAlignment="1">
      <alignment horizontal="center" vertical="center"/>
    </xf>
    <xf numFmtId="0" fontId="1" fillId="103" borderId="0" xfId="4" applyFill="1" applyAlignment="1">
      <alignment horizontal="center" vertical="center"/>
    </xf>
    <xf numFmtId="0" fontId="1" fillId="2087" borderId="0" xfId="4" applyFill="1" applyAlignment="1">
      <alignment horizontal="center" vertical="center"/>
    </xf>
    <xf numFmtId="0" fontId="1" fillId="2088" borderId="0" xfId="4" applyFill="1" applyAlignment="1">
      <alignment horizontal="left" vertical="center"/>
    </xf>
    <xf numFmtId="0" fontId="1" fillId="2089" borderId="0" xfId="4" applyFill="1" applyAlignment="1">
      <alignment horizontal="center" vertical="center"/>
    </xf>
    <xf numFmtId="0" fontId="1" fillId="2090" borderId="0" xfId="4" applyFill="1" applyAlignment="1">
      <alignment horizontal="center" vertical="center"/>
    </xf>
    <xf numFmtId="0" fontId="1" fillId="2091" borderId="0" xfId="4" applyFill="1" applyAlignment="1">
      <alignment horizontal="center" vertical="center"/>
    </xf>
    <xf numFmtId="0" fontId="1" fillId="2092" borderId="0" xfId="4" applyFill="1" applyAlignment="1">
      <alignment horizontal="center" vertical="center"/>
    </xf>
    <xf numFmtId="0" fontId="1" fillId="2093" borderId="0" xfId="4" applyFill="1" applyAlignment="1">
      <alignment horizontal="center" vertical="center"/>
    </xf>
    <xf numFmtId="0" fontId="1" fillId="2094" borderId="0" xfId="4" applyFill="1" applyAlignment="1">
      <alignment horizontal="center" vertical="center"/>
    </xf>
    <xf numFmtId="0" fontId="1" fillId="2095" borderId="0" xfId="4" applyFill="1" applyAlignment="1">
      <alignment horizontal="center" vertical="center"/>
    </xf>
    <xf numFmtId="0" fontId="1" fillId="2096" borderId="0" xfId="4" applyFill="1" applyAlignment="1">
      <alignment horizontal="center" vertical="center"/>
    </xf>
    <xf numFmtId="0" fontId="1" fillId="2097" borderId="0" xfId="4" applyFill="1" applyAlignment="1">
      <alignment horizontal="center" vertical="center"/>
    </xf>
    <xf numFmtId="0" fontId="1" fillId="2098" borderId="0" xfId="4" applyFill="1" applyAlignment="1">
      <alignment horizontal="center" vertical="center"/>
    </xf>
    <xf numFmtId="0" fontId="1" fillId="2099" borderId="0" xfId="4" applyFill="1" applyAlignment="1">
      <alignment horizontal="center" vertical="center"/>
    </xf>
    <xf numFmtId="0" fontId="1" fillId="2100" borderId="0" xfId="4" applyFill="1" applyAlignment="1">
      <alignment horizontal="center" vertical="center"/>
    </xf>
    <xf numFmtId="0" fontId="1" fillId="2101" borderId="0" xfId="4" applyFill="1" applyAlignment="1">
      <alignment horizontal="center" vertical="center"/>
    </xf>
    <xf numFmtId="0" fontId="1" fillId="2102" borderId="0" xfId="4" applyFill="1" applyAlignment="1">
      <alignment horizontal="center" vertical="center"/>
    </xf>
    <xf numFmtId="0" fontId="1" fillId="1395" borderId="0" xfId="4" applyFill="1" applyAlignment="1">
      <alignment horizontal="center" vertical="center"/>
    </xf>
    <xf numFmtId="0" fontId="1" fillId="2103" borderId="0" xfId="4" applyFill="1" applyAlignment="1">
      <alignment horizontal="center" vertical="center"/>
    </xf>
    <xf numFmtId="0" fontId="1" fillId="2104" borderId="0" xfId="4" applyFill="1" applyAlignment="1">
      <alignment horizontal="center" vertical="center"/>
    </xf>
    <xf numFmtId="0" fontId="1" fillId="2105" borderId="0" xfId="4" applyFill="1" applyAlignment="1">
      <alignment horizontal="center" vertical="center"/>
    </xf>
    <xf numFmtId="0" fontId="1" fillId="2106" borderId="0" xfId="4" applyFill="1" applyAlignment="1">
      <alignment horizontal="center" vertical="center"/>
    </xf>
    <xf numFmtId="0" fontId="1" fillId="2107" borderId="0" xfId="4" applyFill="1" applyAlignment="1">
      <alignment horizontal="center" vertical="center"/>
    </xf>
    <xf numFmtId="0" fontId="1" fillId="2108" borderId="0" xfId="4" applyFill="1" applyAlignment="1">
      <alignment horizontal="center" vertical="center"/>
    </xf>
    <xf numFmtId="0" fontId="1" fillId="2109" borderId="0" xfId="4" applyFill="1" applyAlignment="1">
      <alignment horizontal="left" vertical="center"/>
    </xf>
    <xf numFmtId="0" fontId="1" fillId="2110" borderId="0" xfId="4" applyFill="1" applyAlignment="1">
      <alignment horizontal="center" vertical="center"/>
    </xf>
    <xf numFmtId="0" fontId="1" fillId="2111" borderId="0" xfId="4" applyFill="1" applyAlignment="1">
      <alignment horizontal="center" vertical="center"/>
    </xf>
    <xf numFmtId="0" fontId="1" fillId="2112" borderId="0" xfId="4" applyFill="1" applyAlignment="1">
      <alignment horizontal="center" vertical="center"/>
    </xf>
    <xf numFmtId="0" fontId="1" fillId="2113" borderId="0" xfId="4" applyFill="1" applyAlignment="1">
      <alignment horizontal="center" vertical="center"/>
    </xf>
    <xf numFmtId="0" fontId="1" fillId="2114" borderId="0" xfId="4" applyFill="1" applyAlignment="1">
      <alignment horizontal="center" vertical="center"/>
    </xf>
    <xf numFmtId="0" fontId="1" fillId="2115" borderId="0" xfId="4" applyFill="1" applyAlignment="1">
      <alignment horizontal="center" vertical="center"/>
    </xf>
    <xf numFmtId="0" fontId="1" fillId="2116" borderId="0" xfId="4" applyFill="1" applyAlignment="1">
      <alignment horizontal="center" vertical="center"/>
    </xf>
    <xf numFmtId="0" fontId="1" fillId="2117" borderId="0" xfId="4" applyFill="1" applyAlignment="1">
      <alignment horizontal="center" vertical="center"/>
    </xf>
    <xf numFmtId="0" fontId="1" fillId="2118" borderId="0" xfId="4" applyFill="1" applyAlignment="1">
      <alignment horizontal="center" vertical="center"/>
    </xf>
    <xf numFmtId="0" fontId="1" fillId="2119" borderId="0" xfId="4" applyFill="1" applyAlignment="1">
      <alignment horizontal="center" vertical="center"/>
    </xf>
    <xf numFmtId="0" fontId="1" fillId="2120" borderId="0" xfId="4" applyFill="1" applyAlignment="1">
      <alignment horizontal="center" vertical="center"/>
    </xf>
    <xf numFmtId="0" fontId="1" fillId="2121" borderId="0" xfId="4" applyFill="1" applyAlignment="1">
      <alignment horizontal="center" vertical="center"/>
    </xf>
    <xf numFmtId="0" fontId="1" fillId="2122" borderId="0" xfId="4" applyFill="1" applyAlignment="1">
      <alignment horizontal="center" vertical="center"/>
    </xf>
    <xf numFmtId="0" fontId="1" fillId="2123" borderId="0" xfId="4" applyFill="1" applyAlignment="1">
      <alignment horizontal="center" vertical="center"/>
    </xf>
    <xf numFmtId="0" fontId="1" fillId="2124" borderId="0" xfId="4" applyFill="1" applyAlignment="1">
      <alignment horizontal="center" vertical="center"/>
    </xf>
    <xf numFmtId="0" fontId="1" fillId="2125" borderId="0" xfId="4" applyFill="1" applyAlignment="1">
      <alignment horizontal="center" vertical="center"/>
    </xf>
    <xf numFmtId="0" fontId="1" fillId="2126" borderId="0" xfId="4" applyFill="1" applyAlignment="1">
      <alignment horizontal="center" vertical="center"/>
    </xf>
    <xf numFmtId="0" fontId="1" fillId="2127" borderId="0" xfId="4" applyFill="1" applyAlignment="1">
      <alignment horizontal="center" vertical="center"/>
    </xf>
    <xf numFmtId="0" fontId="1" fillId="2128" borderId="0" xfId="4" applyFill="1" applyAlignment="1">
      <alignment horizontal="center" vertical="center"/>
    </xf>
    <xf numFmtId="0" fontId="1" fillId="2129" borderId="0" xfId="4" applyFill="1" applyAlignment="1">
      <alignment horizontal="center" vertical="center"/>
    </xf>
    <xf numFmtId="0" fontId="1" fillId="2130" borderId="0" xfId="4" applyFill="1" applyAlignment="1">
      <alignment horizontal="center" vertical="center"/>
    </xf>
    <xf numFmtId="0" fontId="1" fillId="2131" borderId="0" xfId="4" applyFill="1" applyAlignment="1">
      <alignment horizontal="center" vertical="center"/>
    </xf>
    <xf numFmtId="0" fontId="1" fillId="2132" borderId="0" xfId="4" applyFill="1" applyAlignment="1">
      <alignment horizontal="center" vertical="center"/>
    </xf>
    <xf numFmtId="0" fontId="1" fillId="2133" borderId="0" xfId="4" applyFill="1" applyAlignment="1">
      <alignment horizontal="center" vertical="center"/>
    </xf>
    <xf numFmtId="0" fontId="1" fillId="2134" borderId="0" xfId="4" applyFill="1" applyAlignment="1">
      <alignment horizontal="center" vertical="center"/>
    </xf>
    <xf numFmtId="0" fontId="1" fillId="2135" borderId="0" xfId="4" applyFill="1" applyAlignment="1">
      <alignment horizontal="center" vertical="center"/>
    </xf>
    <xf numFmtId="0" fontId="1" fillId="2136" borderId="0" xfId="4" applyFill="1" applyAlignment="1">
      <alignment horizontal="center" vertical="center"/>
    </xf>
    <xf numFmtId="0" fontId="1" fillId="2137" borderId="0" xfId="4" applyFill="1" applyAlignment="1">
      <alignment horizontal="center" vertical="center"/>
    </xf>
    <xf numFmtId="0" fontId="1" fillId="2138" borderId="0" xfId="4" applyFill="1" applyAlignment="1">
      <alignment horizontal="center" vertical="center"/>
    </xf>
    <xf numFmtId="0" fontId="1" fillId="2139" borderId="0" xfId="4" applyFill="1" applyAlignment="1">
      <alignment horizontal="center" vertical="center"/>
    </xf>
    <xf numFmtId="0" fontId="1" fillId="2140" borderId="0" xfId="4" applyFill="1" applyAlignment="1">
      <alignment horizontal="center" vertical="center"/>
    </xf>
    <xf numFmtId="0" fontId="1" fillId="2141" borderId="0" xfId="4" applyFill="1" applyAlignment="1">
      <alignment horizontal="center" vertical="center"/>
    </xf>
    <xf numFmtId="0" fontId="1" fillId="2142" borderId="0" xfId="4" applyFill="1" applyAlignment="1">
      <alignment horizontal="center" vertical="center"/>
    </xf>
    <xf numFmtId="0" fontId="1" fillId="2143" borderId="0" xfId="4" applyFill="1" applyAlignment="1">
      <alignment horizontal="center" vertical="center"/>
    </xf>
    <xf numFmtId="0" fontId="1" fillId="34" borderId="0" xfId="4" applyFill="1" applyAlignment="1">
      <alignment horizontal="center" vertical="center"/>
    </xf>
    <xf numFmtId="0" fontId="1" fillId="2144" borderId="0" xfId="4" applyFill="1" applyAlignment="1">
      <alignment horizontal="center" vertical="center"/>
    </xf>
    <xf numFmtId="0" fontId="1" fillId="2145" borderId="0" xfId="4" applyFill="1" applyAlignment="1">
      <alignment horizontal="center" vertical="center"/>
    </xf>
    <xf numFmtId="0" fontId="1" fillId="2146" borderId="0" xfId="4" applyFill="1" applyAlignment="1">
      <alignment horizontal="left" vertical="center"/>
    </xf>
    <xf numFmtId="0" fontId="1" fillId="2147" borderId="0" xfId="4" applyFill="1" applyAlignment="1">
      <alignment horizontal="center" vertical="center"/>
    </xf>
    <xf numFmtId="0" fontId="1" fillId="2148" borderId="0" xfId="4" applyFill="1" applyAlignment="1">
      <alignment horizontal="center" vertical="center"/>
    </xf>
    <xf numFmtId="0" fontId="1" fillId="2149" borderId="0" xfId="4" applyFill="1" applyAlignment="1">
      <alignment horizontal="center" vertical="center"/>
    </xf>
    <xf numFmtId="0" fontId="1" fillId="2150" borderId="0" xfId="4" applyFill="1" applyAlignment="1">
      <alignment horizontal="center" vertical="center"/>
    </xf>
    <xf numFmtId="0" fontId="1" fillId="2151" borderId="0" xfId="4" applyFill="1" applyAlignment="1">
      <alignment horizontal="center" vertical="center"/>
    </xf>
    <xf numFmtId="0" fontId="1" fillId="2152" borderId="0" xfId="4" applyFill="1" applyAlignment="1">
      <alignment horizontal="center" vertical="center"/>
    </xf>
    <xf numFmtId="0" fontId="1" fillId="2153" borderId="0" xfId="4" applyFill="1" applyAlignment="1">
      <alignment horizontal="center" vertical="center"/>
    </xf>
    <xf numFmtId="0" fontId="1" fillId="2154" borderId="0" xfId="4" applyFill="1" applyAlignment="1">
      <alignment horizontal="center" vertical="center"/>
    </xf>
    <xf numFmtId="0" fontId="1" fillId="2155" borderId="0" xfId="4" applyFill="1" applyAlignment="1">
      <alignment horizontal="center" vertical="center"/>
    </xf>
    <xf numFmtId="0" fontId="1" fillId="2156" borderId="0" xfId="4" applyFill="1" applyAlignment="1">
      <alignment horizontal="center" vertical="center"/>
    </xf>
    <xf numFmtId="0" fontId="1" fillId="2157" borderId="0" xfId="4" applyFill="1" applyAlignment="1">
      <alignment horizontal="center" vertical="center"/>
    </xf>
    <xf numFmtId="0" fontId="1" fillId="2158" borderId="0" xfId="4" applyFill="1" applyAlignment="1">
      <alignment horizontal="center" vertical="center"/>
    </xf>
    <xf numFmtId="0" fontId="1" fillId="2159" borderId="0" xfId="4" applyFill="1" applyAlignment="1">
      <alignment horizontal="center" vertical="center"/>
    </xf>
    <xf numFmtId="0" fontId="1" fillId="2160" borderId="0" xfId="4" applyFill="1" applyAlignment="1">
      <alignment horizontal="center" vertical="center"/>
    </xf>
    <xf numFmtId="0" fontId="1" fillId="2161" borderId="0" xfId="4" applyFill="1" applyAlignment="1">
      <alignment horizontal="center" vertical="center"/>
    </xf>
    <xf numFmtId="0" fontId="1" fillId="2162" borderId="0" xfId="4" applyFill="1" applyAlignment="1">
      <alignment horizontal="center" vertical="center"/>
    </xf>
    <xf numFmtId="0" fontId="1" fillId="2163" borderId="0" xfId="4" applyFill="1" applyAlignment="1">
      <alignment horizontal="center" vertical="center"/>
    </xf>
    <xf numFmtId="0" fontId="1" fillId="2164" borderId="0" xfId="4" applyFill="1" applyAlignment="1">
      <alignment horizontal="center" vertical="center"/>
    </xf>
    <xf numFmtId="0" fontId="1" fillId="2165" borderId="0" xfId="4" applyFill="1" applyAlignment="1">
      <alignment horizontal="center" vertical="center"/>
    </xf>
    <xf numFmtId="0" fontId="1" fillId="2166" borderId="0" xfId="4" applyFill="1" applyAlignment="1">
      <alignment horizontal="center" vertical="center"/>
    </xf>
    <xf numFmtId="0" fontId="1" fillId="2167" borderId="0" xfId="4" applyFill="1" applyAlignment="1">
      <alignment horizontal="left" vertical="center"/>
    </xf>
    <xf numFmtId="0" fontId="1" fillId="2168" borderId="0" xfId="4" applyFill="1" applyAlignment="1">
      <alignment horizontal="center" vertical="center"/>
    </xf>
    <xf numFmtId="0" fontId="1" fillId="2169" borderId="0" xfId="4" applyFill="1" applyAlignment="1">
      <alignment horizontal="center" vertical="center"/>
    </xf>
    <xf numFmtId="0" fontId="1" fillId="2170" borderId="0" xfId="4" applyFill="1" applyAlignment="1">
      <alignment horizontal="center" vertical="center"/>
    </xf>
    <xf numFmtId="0" fontId="1" fillId="2171" borderId="0" xfId="4" applyFill="1" applyAlignment="1">
      <alignment horizontal="center" vertical="center"/>
    </xf>
    <xf numFmtId="0" fontId="1" fillId="2172" borderId="0" xfId="4" applyFill="1" applyAlignment="1">
      <alignment horizontal="center" vertical="center"/>
    </xf>
    <xf numFmtId="0" fontId="1" fillId="2173" borderId="0" xfId="4" applyFill="1" applyAlignment="1">
      <alignment horizontal="center" vertical="center"/>
    </xf>
    <xf numFmtId="0" fontId="1" fillId="2174" borderId="0" xfId="4" applyFill="1" applyAlignment="1">
      <alignment horizontal="center" vertical="center"/>
    </xf>
    <xf numFmtId="0" fontId="1" fillId="2175" borderId="0" xfId="4" applyFill="1" applyAlignment="1">
      <alignment horizontal="center" vertical="center"/>
    </xf>
    <xf numFmtId="0" fontId="1" fillId="2176" borderId="0" xfId="4" applyFill="1" applyAlignment="1">
      <alignment horizontal="center" vertical="center"/>
    </xf>
    <xf numFmtId="0" fontId="1" fillId="2177" borderId="0" xfId="4" applyFill="1" applyAlignment="1">
      <alignment horizontal="center" vertical="center"/>
    </xf>
    <xf numFmtId="0" fontId="1" fillId="2178" borderId="0" xfId="4" applyFill="1" applyAlignment="1">
      <alignment horizontal="center" vertical="center"/>
    </xf>
    <xf numFmtId="0" fontId="1" fillId="2179" borderId="0" xfId="4" applyFill="1" applyAlignment="1">
      <alignment horizontal="center" vertical="center"/>
    </xf>
    <xf numFmtId="0" fontId="1" fillId="2180" borderId="0" xfId="4" applyFill="1" applyAlignment="1">
      <alignment horizontal="center" vertical="center"/>
    </xf>
    <xf numFmtId="0" fontId="1" fillId="2181" borderId="0" xfId="4" applyFill="1" applyAlignment="1">
      <alignment horizontal="center" vertical="center"/>
    </xf>
    <xf numFmtId="0" fontId="1" fillId="2182" borderId="0" xfId="4" applyFill="1" applyAlignment="1">
      <alignment horizontal="center" vertical="center"/>
    </xf>
    <xf numFmtId="0" fontId="1" fillId="2183" borderId="0" xfId="4" applyFill="1" applyAlignment="1">
      <alignment horizontal="center" vertical="center"/>
    </xf>
    <xf numFmtId="0" fontId="1" fillId="2184" borderId="0" xfId="4" applyFill="1" applyAlignment="1">
      <alignment horizontal="center" vertical="center"/>
    </xf>
    <xf numFmtId="0" fontId="1" fillId="2185" borderId="0" xfId="4" applyFill="1" applyAlignment="1">
      <alignment horizontal="center" vertical="center"/>
    </xf>
    <xf numFmtId="0" fontId="1" fillId="2186" borderId="0" xfId="4" applyFill="1" applyAlignment="1">
      <alignment horizontal="center" vertical="center"/>
    </xf>
    <xf numFmtId="0" fontId="1" fillId="2187" borderId="0" xfId="4" applyFill="1" applyAlignment="1">
      <alignment horizontal="center" vertical="center"/>
    </xf>
    <xf numFmtId="0" fontId="1" fillId="2188" borderId="0" xfId="4" applyFill="1" applyAlignment="1">
      <alignment horizontal="center" vertical="center"/>
    </xf>
    <xf numFmtId="0" fontId="1" fillId="2189" borderId="0" xfId="4" applyFill="1" applyAlignment="1">
      <alignment horizontal="center" vertical="center"/>
    </xf>
    <xf numFmtId="0" fontId="1" fillId="2190" borderId="0" xfId="4" applyFill="1" applyAlignment="1">
      <alignment horizontal="center" vertical="center"/>
    </xf>
    <xf numFmtId="0" fontId="1" fillId="345" borderId="0" xfId="4" applyFill="1" applyAlignment="1">
      <alignment horizontal="center" vertical="center"/>
    </xf>
    <xf numFmtId="0" fontId="1" fillId="89" borderId="0" xfId="4" applyFill="1" applyAlignment="1">
      <alignment horizontal="center" vertical="center"/>
    </xf>
    <xf numFmtId="0" fontId="1" fillId="2191" borderId="0" xfId="4" applyFill="1" applyAlignment="1">
      <alignment horizontal="center" vertical="center"/>
    </xf>
    <xf numFmtId="0" fontId="1" fillId="2192" borderId="0" xfId="4" applyFill="1" applyAlignment="1">
      <alignment horizontal="center" vertical="center"/>
    </xf>
    <xf numFmtId="0" fontId="1" fillId="2193" borderId="0" xfId="4" applyFill="1" applyAlignment="1">
      <alignment horizontal="center" vertical="center"/>
    </xf>
    <xf numFmtId="0" fontId="1" fillId="35" borderId="0" xfId="4" applyFill="1" applyAlignment="1">
      <alignment horizontal="center" vertical="center"/>
    </xf>
    <xf numFmtId="0" fontId="1" fillId="31" borderId="0" xfId="4" applyFill="1" applyAlignment="1">
      <alignment horizontal="center" vertical="center"/>
    </xf>
    <xf numFmtId="0" fontId="1" fillId="39" borderId="0" xfId="4" applyFill="1" applyAlignment="1">
      <alignment horizontal="center" vertical="center"/>
    </xf>
    <xf numFmtId="0" fontId="1" fillId="2194" borderId="0" xfId="4" applyFill="1" applyAlignment="1">
      <alignment horizontal="center" vertical="center"/>
    </xf>
    <xf numFmtId="0" fontId="1" fillId="29" borderId="0" xfId="4" applyFill="1" applyAlignment="1">
      <alignment horizontal="center" vertical="center"/>
    </xf>
    <xf numFmtId="0" fontId="1" fillId="2195" borderId="0" xfId="4" applyFill="1" applyAlignment="1">
      <alignment horizontal="center" vertical="center"/>
    </xf>
    <xf numFmtId="0" fontId="1" fillId="2196" borderId="0" xfId="4" applyFill="1" applyAlignment="1">
      <alignment horizontal="left" vertical="center"/>
    </xf>
    <xf numFmtId="0" fontId="1" fillId="2197" borderId="0" xfId="4" applyFill="1" applyAlignment="1">
      <alignment horizontal="center" vertical="center"/>
    </xf>
    <xf numFmtId="0" fontId="1" fillId="2198" borderId="0" xfId="4" applyFill="1" applyAlignment="1">
      <alignment horizontal="center" vertical="center"/>
    </xf>
    <xf numFmtId="0" fontId="1" fillId="2199" borderId="0" xfId="4" applyFill="1" applyAlignment="1">
      <alignment horizontal="center" vertical="center"/>
    </xf>
    <xf numFmtId="0" fontId="1" fillId="2200" borderId="0" xfId="4" applyFill="1" applyAlignment="1">
      <alignment horizontal="center" vertical="center"/>
    </xf>
    <xf numFmtId="0" fontId="1" fillId="2201" borderId="0" xfId="4" applyFill="1" applyAlignment="1">
      <alignment horizontal="center" vertical="center"/>
    </xf>
    <xf numFmtId="0" fontId="1" fillId="2202" borderId="0" xfId="4" applyFill="1" applyAlignment="1">
      <alignment horizontal="center" vertical="center"/>
    </xf>
    <xf numFmtId="0" fontId="1" fillId="2203" borderId="0" xfId="4" applyFill="1" applyAlignment="1">
      <alignment horizontal="center" vertical="center"/>
    </xf>
    <xf numFmtId="0" fontId="1" fillId="2204" borderId="0" xfId="4" applyFill="1" applyAlignment="1">
      <alignment horizontal="center" vertical="center"/>
    </xf>
    <xf numFmtId="0" fontId="1" fillId="2205" borderId="0" xfId="4" applyFill="1" applyAlignment="1">
      <alignment horizontal="center" vertical="center"/>
    </xf>
    <xf numFmtId="0" fontId="1" fillId="2206" borderId="0" xfId="4" applyFill="1" applyAlignment="1">
      <alignment horizontal="center" vertical="center"/>
    </xf>
    <xf numFmtId="0" fontId="1" fillId="2207" borderId="0" xfId="4" applyFill="1" applyAlignment="1">
      <alignment horizontal="center" vertical="center"/>
    </xf>
    <xf numFmtId="0" fontId="1" fillId="2208" borderId="0" xfId="4" applyFill="1" applyAlignment="1">
      <alignment horizontal="center" vertical="center"/>
    </xf>
    <xf numFmtId="0" fontId="1" fillId="2209" borderId="0" xfId="4" applyFill="1" applyAlignment="1">
      <alignment horizontal="center" vertical="center"/>
    </xf>
    <xf numFmtId="0" fontId="1" fillId="2210" borderId="0" xfId="4" applyFill="1" applyAlignment="1">
      <alignment horizontal="center" vertical="center"/>
    </xf>
    <xf numFmtId="0" fontId="1" fillId="2211" borderId="0" xfId="4" applyFill="1" applyAlignment="1">
      <alignment horizontal="center" vertical="center"/>
    </xf>
    <xf numFmtId="0" fontId="1" fillId="2212" borderId="0" xfId="4" applyFill="1" applyAlignment="1">
      <alignment horizontal="center" vertical="center"/>
    </xf>
    <xf numFmtId="0" fontId="1" fillId="2213" borderId="0" xfId="4" applyFill="1" applyAlignment="1">
      <alignment horizontal="center" vertical="center"/>
    </xf>
    <xf numFmtId="0" fontId="1" fillId="2214" borderId="0" xfId="4" applyFill="1" applyAlignment="1">
      <alignment horizontal="center" vertical="center"/>
    </xf>
    <xf numFmtId="0" fontId="1" fillId="2215" borderId="0" xfId="4" applyFill="1" applyAlignment="1">
      <alignment horizontal="center" vertical="center"/>
    </xf>
    <xf numFmtId="0" fontId="1" fillId="2216" borderId="0" xfId="4" applyFill="1" applyAlignment="1">
      <alignment horizontal="center" vertical="center"/>
    </xf>
    <xf numFmtId="0" fontId="1" fillId="2217" borderId="0" xfId="4" applyFill="1" applyAlignment="1">
      <alignment horizontal="left" vertical="center"/>
    </xf>
    <xf numFmtId="0" fontId="1" fillId="2218" borderId="0" xfId="4" applyFill="1" applyAlignment="1">
      <alignment horizontal="center" vertical="center"/>
    </xf>
    <xf numFmtId="0" fontId="1" fillId="2219" borderId="0" xfId="4" applyFill="1" applyAlignment="1">
      <alignment horizontal="center" vertical="center"/>
    </xf>
    <xf numFmtId="0" fontId="1" fillId="2220" borderId="0" xfId="4" applyFill="1" applyAlignment="1">
      <alignment horizontal="center" vertical="center"/>
    </xf>
    <xf numFmtId="0" fontId="1" fillId="2221" borderId="0" xfId="4" applyFill="1" applyAlignment="1">
      <alignment horizontal="center" vertical="center"/>
    </xf>
    <xf numFmtId="0" fontId="1" fillId="2222" borderId="0" xfId="4" applyFill="1" applyAlignment="1">
      <alignment horizontal="center" vertical="center"/>
    </xf>
    <xf numFmtId="0" fontId="1" fillId="2223" borderId="0" xfId="4" applyFill="1" applyAlignment="1">
      <alignment horizontal="center" vertical="center"/>
    </xf>
    <xf numFmtId="0" fontId="1" fillId="2224" borderId="0" xfId="4" applyFill="1" applyAlignment="1">
      <alignment horizontal="center" vertical="center"/>
    </xf>
    <xf numFmtId="0" fontId="1" fillId="2225" borderId="0" xfId="4" applyFill="1" applyAlignment="1">
      <alignment horizontal="center" vertical="center"/>
    </xf>
    <xf numFmtId="0" fontId="1" fillId="2226" borderId="0" xfId="4" applyFill="1" applyAlignment="1">
      <alignment horizontal="center" vertical="center"/>
    </xf>
    <xf numFmtId="0" fontId="1" fillId="2227" borderId="0" xfId="4" applyFill="1" applyAlignment="1">
      <alignment horizontal="center" vertical="center"/>
    </xf>
    <xf numFmtId="0" fontId="1" fillId="2228" borderId="0" xfId="4" applyFill="1" applyAlignment="1">
      <alignment horizontal="center" vertical="center"/>
    </xf>
    <xf numFmtId="0" fontId="1" fillId="2229" borderId="0" xfId="4" applyFill="1" applyAlignment="1">
      <alignment horizontal="center" vertical="center"/>
    </xf>
    <xf numFmtId="0" fontId="1" fillId="2230" borderId="0" xfId="4" applyFill="1" applyAlignment="1">
      <alignment horizontal="center" vertical="center"/>
    </xf>
    <xf numFmtId="0" fontId="1" fillId="2231" borderId="0" xfId="4" applyFill="1" applyAlignment="1">
      <alignment horizontal="center" vertical="center"/>
    </xf>
    <xf numFmtId="0" fontId="1" fillId="2232" borderId="0" xfId="4" applyFill="1" applyAlignment="1">
      <alignment horizontal="center" vertical="center"/>
    </xf>
    <xf numFmtId="0" fontId="1" fillId="2233" borderId="0" xfId="4" applyFill="1" applyAlignment="1">
      <alignment horizontal="center" vertical="center"/>
    </xf>
    <xf numFmtId="0" fontId="1" fillId="2234" borderId="0" xfId="4" applyFill="1" applyAlignment="1">
      <alignment horizontal="center" vertical="center"/>
    </xf>
    <xf numFmtId="0" fontId="1" fillId="2235" borderId="0" xfId="4" applyFill="1" applyAlignment="1">
      <alignment horizontal="center" vertical="center"/>
    </xf>
    <xf numFmtId="0" fontId="1" fillId="2236" borderId="0" xfId="4" applyFill="1" applyAlignment="1">
      <alignment horizontal="center" vertical="center"/>
    </xf>
    <xf numFmtId="0" fontId="1" fillId="2237" borderId="0" xfId="4" applyFill="1" applyAlignment="1">
      <alignment horizontal="center" vertical="center"/>
    </xf>
    <xf numFmtId="0" fontId="1" fillId="2238" borderId="0" xfId="4" applyFill="1" applyAlignment="1">
      <alignment horizontal="center" vertical="center"/>
    </xf>
    <xf numFmtId="0" fontId="1" fillId="2239" borderId="0" xfId="4" applyFill="1" applyAlignment="1">
      <alignment horizontal="center" vertical="center"/>
    </xf>
    <xf numFmtId="0" fontId="1" fillId="2240" borderId="0" xfId="4" applyFill="1" applyAlignment="1">
      <alignment horizontal="center" vertical="center"/>
    </xf>
    <xf numFmtId="0" fontId="1" fillId="2241" borderId="0" xfId="4" applyFill="1" applyAlignment="1">
      <alignment horizontal="center" vertical="center"/>
    </xf>
    <xf numFmtId="0" fontId="1" fillId="2242" borderId="0" xfId="4" applyFill="1" applyAlignment="1">
      <alignment horizontal="center" vertical="center"/>
    </xf>
    <xf numFmtId="0" fontId="1" fillId="2243" borderId="0" xfId="4" applyFill="1" applyAlignment="1">
      <alignment horizontal="center" vertical="center"/>
    </xf>
    <xf numFmtId="0" fontId="1" fillId="2244" borderId="0" xfId="4" applyFill="1" applyAlignment="1">
      <alignment horizontal="center" vertical="center"/>
    </xf>
    <xf numFmtId="0" fontId="1" fillId="2245" borderId="0" xfId="4" applyFill="1" applyAlignment="1">
      <alignment horizontal="center" vertical="center"/>
    </xf>
    <xf numFmtId="0" fontId="1" fillId="52" borderId="0" xfId="4" applyFill="1" applyAlignment="1">
      <alignment horizontal="center" vertical="center"/>
    </xf>
    <xf numFmtId="0" fontId="1" fillId="2246" borderId="0" xfId="4" applyFill="1" applyAlignment="1">
      <alignment horizontal="center" vertical="center"/>
    </xf>
    <xf numFmtId="0" fontId="1" fillId="69" borderId="0" xfId="4" applyFill="1" applyAlignment="1">
      <alignment horizontal="center" vertical="center"/>
    </xf>
    <xf numFmtId="0" fontId="1" fillId="2247" borderId="0" xfId="4" applyFill="1" applyAlignment="1">
      <alignment horizontal="center" vertical="center"/>
    </xf>
    <xf numFmtId="0" fontId="1" fillId="67" borderId="0" xfId="4" applyFill="1" applyAlignment="1">
      <alignment horizontal="center" vertical="center"/>
    </xf>
    <xf numFmtId="0" fontId="1" fillId="23" borderId="0" xfId="4" applyFill="1" applyAlignment="1">
      <alignment horizontal="center" vertical="center"/>
    </xf>
    <xf numFmtId="0" fontId="1" fillId="22" borderId="0" xfId="4" applyFill="1" applyAlignment="1">
      <alignment horizontal="center" vertical="center"/>
    </xf>
    <xf numFmtId="0" fontId="1" fillId="2248" borderId="0" xfId="4" applyFill="1" applyAlignment="1">
      <alignment horizontal="center" vertical="center"/>
    </xf>
    <xf numFmtId="0" fontId="1" fillId="2249" borderId="0" xfId="4" applyFill="1" applyAlignment="1">
      <alignment horizontal="center" vertical="center"/>
    </xf>
    <xf numFmtId="0" fontId="1" fillId="2250" borderId="0" xfId="4" applyFill="1" applyAlignment="1">
      <alignment horizontal="center" vertical="center"/>
    </xf>
    <xf numFmtId="0" fontId="1" fillId="2251" borderId="0" xfId="4" applyFill="1" applyAlignment="1">
      <alignment horizontal="center" vertical="center"/>
    </xf>
    <xf numFmtId="0" fontId="1" fillId="2252" borderId="0" xfId="4" applyFill="1" applyAlignment="1">
      <alignment horizontal="left" vertical="center"/>
    </xf>
    <xf numFmtId="0" fontId="1" fillId="2253" borderId="0" xfId="4" applyFill="1" applyAlignment="1">
      <alignment horizontal="center" vertical="center"/>
    </xf>
    <xf numFmtId="0" fontId="1" fillId="20" borderId="0" xfId="4" applyFill="1" applyAlignment="1">
      <alignment horizontal="center" vertical="center"/>
    </xf>
    <xf numFmtId="0" fontId="1" fillId="2254" borderId="0" xfId="4" applyFill="1" applyAlignment="1">
      <alignment horizontal="center" vertical="center"/>
    </xf>
    <xf numFmtId="0" fontId="1" fillId="2255" borderId="0" xfId="4" applyFill="1" applyAlignment="1">
      <alignment horizontal="center" vertical="center"/>
    </xf>
    <xf numFmtId="0" fontId="1" fillId="2256" borderId="0" xfId="4" applyFill="1" applyAlignment="1">
      <alignment horizontal="center" vertical="center"/>
    </xf>
    <xf numFmtId="0" fontId="1" fillId="2257" borderId="0" xfId="4" applyFill="1" applyAlignment="1">
      <alignment horizontal="center" vertical="center"/>
    </xf>
    <xf numFmtId="0" fontId="1" fillId="2258" borderId="0" xfId="4" applyFill="1" applyAlignment="1">
      <alignment horizontal="center" vertical="center"/>
    </xf>
    <xf numFmtId="0" fontId="1" fillId="2259" borderId="0" xfId="4" applyFill="1" applyAlignment="1">
      <alignment horizontal="center" vertical="center"/>
    </xf>
    <xf numFmtId="0" fontId="1" fillId="2260" borderId="0" xfId="4" applyFill="1" applyAlignment="1">
      <alignment horizontal="center" vertical="center"/>
    </xf>
    <xf numFmtId="0" fontId="1" fillId="2261" borderId="0" xfId="4" applyFill="1" applyAlignment="1">
      <alignment horizontal="center" vertical="center"/>
    </xf>
    <xf numFmtId="0" fontId="1" fillId="2262" borderId="0" xfId="4" applyFill="1" applyAlignment="1">
      <alignment horizontal="center" vertical="center"/>
    </xf>
    <xf numFmtId="0" fontId="1" fillId="2263" borderId="0" xfId="4" applyFill="1" applyAlignment="1">
      <alignment horizontal="center" vertical="center"/>
    </xf>
    <xf numFmtId="0" fontId="1" fillId="2264" borderId="0" xfId="4" applyFill="1" applyAlignment="1">
      <alignment horizontal="center" vertical="center"/>
    </xf>
    <xf numFmtId="0" fontId="1" fillId="2265" borderId="0" xfId="4" applyFill="1" applyAlignment="1">
      <alignment horizontal="center" vertical="center"/>
    </xf>
    <xf numFmtId="0" fontId="1" fillId="2266" borderId="0" xfId="4" applyFill="1" applyAlignment="1">
      <alignment horizontal="center" vertical="center"/>
    </xf>
    <xf numFmtId="0" fontId="1" fillId="2267" borderId="0" xfId="4" applyFill="1" applyAlignment="1">
      <alignment horizontal="center" vertical="center"/>
    </xf>
    <xf numFmtId="0" fontId="1" fillId="2268" borderId="0" xfId="4" applyFill="1" applyAlignment="1">
      <alignment horizontal="center" vertical="center"/>
    </xf>
    <xf numFmtId="0" fontId="1" fillId="2269" borderId="0" xfId="4" applyFill="1" applyAlignment="1">
      <alignment horizontal="center" vertical="center"/>
    </xf>
    <xf numFmtId="0" fontId="1" fillId="2270" borderId="0" xfId="4" applyFill="1" applyAlignment="1">
      <alignment horizontal="center" vertical="center"/>
    </xf>
    <xf numFmtId="0" fontId="1" fillId="2271" borderId="0" xfId="4" applyFill="1" applyAlignment="1">
      <alignment horizontal="center" vertical="center"/>
    </xf>
    <xf numFmtId="0" fontId="1" fillId="2272" borderId="0" xfId="4" applyFill="1" applyAlignment="1">
      <alignment horizontal="center" vertical="center"/>
    </xf>
    <xf numFmtId="0" fontId="1" fillId="2273" borderId="0" xfId="4" applyFill="1" applyAlignment="1">
      <alignment horizontal="center" vertical="center"/>
    </xf>
    <xf numFmtId="0" fontId="1" fillId="2274" borderId="0" xfId="4" applyFill="1" applyAlignment="1">
      <alignment horizontal="center" vertical="center"/>
    </xf>
    <xf numFmtId="0" fontId="1" fillId="2275" borderId="0" xfId="4" applyFill="1" applyAlignment="1">
      <alignment horizontal="center" vertical="center"/>
    </xf>
    <xf numFmtId="0" fontId="1" fillId="2276" borderId="0" xfId="4" applyFill="1" applyAlignment="1">
      <alignment horizontal="center" vertical="center"/>
    </xf>
    <xf numFmtId="0" fontId="1" fillId="2277" borderId="0" xfId="4" applyFill="1" applyAlignment="1">
      <alignment horizontal="center" vertical="center"/>
    </xf>
    <xf numFmtId="0" fontId="1" fillId="2278" borderId="0" xfId="4" applyFill="1" applyAlignment="1">
      <alignment horizontal="center" vertical="center"/>
    </xf>
    <xf numFmtId="0" fontId="1" fillId="2279" borderId="0" xfId="4" applyFill="1" applyAlignment="1">
      <alignment horizontal="center" vertical="center"/>
    </xf>
    <xf numFmtId="0" fontId="1" fillId="2280" borderId="0" xfId="4" applyFill="1" applyAlignment="1">
      <alignment horizontal="center" vertical="center"/>
    </xf>
    <xf numFmtId="0" fontId="1" fillId="2281" borderId="0" xfId="4" applyFill="1" applyAlignment="1">
      <alignment horizontal="center" vertical="center"/>
    </xf>
    <xf numFmtId="0" fontId="1" fillId="2282" borderId="0" xfId="4" applyFill="1" applyAlignment="1">
      <alignment horizontal="center" vertical="center"/>
    </xf>
    <xf numFmtId="0" fontId="1" fillId="2283" borderId="0" xfId="4" applyFill="1" applyAlignment="1">
      <alignment horizontal="center" vertical="center"/>
    </xf>
    <xf numFmtId="0" fontId="1" fillId="2284" borderId="0" xfId="4" applyFill="1" applyAlignment="1">
      <alignment horizontal="center" vertical="center"/>
    </xf>
    <xf numFmtId="0" fontId="1" fillId="2285" borderId="0" xfId="4" applyFill="1" applyAlignment="1">
      <alignment horizontal="center" vertical="center"/>
    </xf>
    <xf numFmtId="0" fontId="1" fillId="2286" borderId="0" xfId="4" applyFill="1" applyAlignment="1">
      <alignment horizontal="center" vertical="center"/>
    </xf>
    <xf numFmtId="0" fontId="1" fillId="2287" borderId="0" xfId="4" applyFill="1" applyAlignment="1">
      <alignment horizontal="center" vertical="center"/>
    </xf>
    <xf numFmtId="0" fontId="1" fillId="2288" borderId="0" xfId="4" applyFill="1" applyAlignment="1">
      <alignment horizontal="center" vertical="center"/>
    </xf>
    <xf numFmtId="0" fontId="1" fillId="2289" borderId="0" xfId="4" applyFill="1" applyAlignment="1">
      <alignment horizontal="center" vertical="center"/>
    </xf>
    <xf numFmtId="0" fontId="1" fillId="2290" borderId="0" xfId="4" applyFill="1" applyAlignment="1">
      <alignment horizontal="center" vertical="center"/>
    </xf>
    <xf numFmtId="0" fontId="1" fillId="2291" borderId="0" xfId="4" applyFill="1" applyAlignment="1">
      <alignment horizontal="center" vertical="center"/>
    </xf>
    <xf numFmtId="0" fontId="1" fillId="2292" borderId="0" xfId="4" applyFill="1" applyAlignment="1">
      <alignment horizontal="center" vertical="center"/>
    </xf>
    <xf numFmtId="0" fontId="1" fillId="2293" borderId="0" xfId="4" applyFill="1" applyAlignment="1">
      <alignment horizontal="center" vertical="center"/>
    </xf>
    <xf numFmtId="0" fontId="1" fillId="2294" borderId="0" xfId="4" applyFill="1" applyAlignment="1">
      <alignment horizontal="center" vertical="center"/>
    </xf>
    <xf numFmtId="0" fontId="1" fillId="2295" borderId="0" xfId="4" applyFill="1" applyAlignment="1">
      <alignment horizontal="center" vertical="center"/>
    </xf>
    <xf numFmtId="0" fontId="1" fillId="2296" borderId="0" xfId="4" applyFill="1" applyAlignment="1">
      <alignment horizontal="center" vertical="center"/>
    </xf>
    <xf numFmtId="0" fontId="1" fillId="1644" borderId="0" xfId="4" applyFill="1" applyAlignment="1">
      <alignment horizontal="left" vertical="center"/>
    </xf>
    <xf numFmtId="0" fontId="1" fillId="2297" borderId="0" xfId="4" applyFill="1" applyAlignment="1">
      <alignment horizontal="left" vertical="center"/>
    </xf>
    <xf numFmtId="0" fontId="1" fillId="2298" borderId="0" xfId="4" applyFill="1" applyAlignment="1">
      <alignment horizontal="left" vertical="center"/>
    </xf>
    <xf numFmtId="0" fontId="1" fillId="2299" borderId="0" xfId="4" applyFill="1" applyAlignment="1">
      <alignment horizontal="left" vertical="center"/>
    </xf>
    <xf numFmtId="0" fontId="1" fillId="1829" borderId="0" xfId="4" applyFill="1" applyAlignment="1">
      <alignment horizontal="left" vertical="center"/>
    </xf>
    <xf numFmtId="0" fontId="1" fillId="2300" borderId="0" xfId="4" applyFill="1" applyAlignment="1">
      <alignment horizontal="center" vertical="center"/>
    </xf>
    <xf numFmtId="0" fontId="1" fillId="12" borderId="0" xfId="4" applyFill="1" applyAlignment="1">
      <alignment horizontal="center" vertical="center"/>
    </xf>
    <xf numFmtId="0" fontId="1" fillId="2301" borderId="0" xfId="4" applyFill="1" applyAlignment="1">
      <alignment horizontal="center" vertical="center"/>
    </xf>
    <xf numFmtId="0" fontId="1" fillId="61" borderId="0" xfId="4" applyFill="1" applyAlignment="1">
      <alignment horizontal="center" vertical="center"/>
    </xf>
    <xf numFmtId="0" fontId="1" fillId="98" borderId="0" xfId="4" applyFill="1" applyAlignment="1">
      <alignment horizontal="center" vertical="center"/>
    </xf>
    <xf numFmtId="0" fontId="1" fillId="2302" borderId="0" xfId="4" applyFill="1" applyAlignment="1">
      <alignment vertical="center"/>
    </xf>
    <xf numFmtId="0" fontId="1" fillId="2303" borderId="0" xfId="4" applyFill="1" applyAlignment="1">
      <alignment vertical="center"/>
    </xf>
    <xf numFmtId="0" fontId="1" fillId="2304" borderId="0" xfId="4" applyFill="1" applyAlignment="1">
      <alignment vertical="center"/>
    </xf>
    <xf numFmtId="0" fontId="1" fillId="95" borderId="0" xfId="4" applyFill="1" applyAlignment="1">
      <alignment vertical="center"/>
    </xf>
    <xf numFmtId="0" fontId="1" fillId="2305" borderId="0" xfId="4" applyFill="1" applyAlignment="1">
      <alignment horizontal="center" vertical="center"/>
    </xf>
    <xf numFmtId="0" fontId="1" fillId="2306" borderId="0" xfId="4" applyFill="1" applyAlignment="1">
      <alignment horizontal="center" vertical="center"/>
    </xf>
    <xf numFmtId="0" fontId="1" fillId="2307" borderId="0" xfId="4" applyFill="1" applyAlignment="1">
      <alignment horizontal="center" vertical="center"/>
    </xf>
    <xf numFmtId="0" fontId="1" fillId="2308" borderId="0" xfId="4" applyFill="1" applyAlignment="1">
      <alignment horizontal="center" vertical="center"/>
    </xf>
    <xf numFmtId="0" fontId="1" fillId="2309" borderId="0" xfId="4" applyFill="1" applyAlignment="1">
      <alignment horizontal="center" vertical="center"/>
    </xf>
    <xf numFmtId="0" fontId="1" fillId="2310" borderId="0" xfId="4" applyFill="1" applyAlignment="1">
      <alignment horizontal="center" vertical="center"/>
    </xf>
    <xf numFmtId="0" fontId="1" fillId="2311" borderId="0" xfId="4" applyFill="1" applyAlignment="1">
      <alignment horizontal="left" vertical="center"/>
    </xf>
    <xf numFmtId="0" fontId="1" fillId="2312" borderId="0" xfId="4" applyFill="1" applyAlignment="1">
      <alignment horizontal="center" vertical="center"/>
    </xf>
    <xf numFmtId="0" fontId="1" fillId="2313" borderId="0" xfId="4" applyFill="1" applyAlignment="1">
      <alignment horizontal="center" vertical="center"/>
    </xf>
    <xf numFmtId="0" fontId="1" fillId="2314" borderId="0" xfId="4" applyFill="1" applyAlignment="1">
      <alignment horizontal="center" vertical="center"/>
    </xf>
    <xf numFmtId="0" fontId="1" fillId="2315" borderId="0" xfId="4" applyFill="1" applyAlignment="1">
      <alignment horizontal="center" vertical="center"/>
    </xf>
    <xf numFmtId="0" fontId="1" fillId="2316" borderId="0" xfId="4" applyFill="1" applyAlignment="1">
      <alignment horizontal="center" vertical="center"/>
    </xf>
    <xf numFmtId="0" fontId="1" fillId="2317" borderId="0" xfId="4" applyFill="1" applyAlignment="1">
      <alignment horizontal="center" vertical="center"/>
    </xf>
    <xf numFmtId="0" fontId="1" fillId="2318" borderId="0" xfId="4" applyFill="1" applyAlignment="1">
      <alignment horizontal="center" vertical="center"/>
    </xf>
    <xf numFmtId="0" fontId="1" fillId="2319" borderId="0" xfId="4" applyFill="1" applyAlignment="1">
      <alignment horizontal="center" vertical="center"/>
    </xf>
    <xf numFmtId="0" fontId="1" fillId="2088" borderId="0" xfId="4" applyFill="1" applyAlignment="1">
      <alignment horizontal="center" vertical="center"/>
    </xf>
    <xf numFmtId="0" fontId="1" fillId="2320" borderId="0" xfId="4" applyFill="1" applyAlignment="1">
      <alignment horizontal="center" vertical="center"/>
    </xf>
    <xf numFmtId="0" fontId="1" fillId="2321" borderId="0" xfId="4" applyFill="1" applyAlignment="1">
      <alignment horizontal="center" vertical="center"/>
    </xf>
    <xf numFmtId="0" fontId="1" fillId="2322" borderId="0" xfId="4" applyFill="1" applyAlignment="1">
      <alignment horizontal="center" vertical="center"/>
    </xf>
    <xf numFmtId="0" fontId="1" fillId="2323" borderId="0" xfId="4" applyFill="1" applyAlignment="1">
      <alignment horizontal="center" vertical="center"/>
    </xf>
    <xf numFmtId="0" fontId="1" fillId="2324" borderId="0" xfId="4" applyFill="1" applyAlignment="1">
      <alignment horizontal="center" vertical="center"/>
    </xf>
    <xf numFmtId="0" fontId="1" fillId="2325" borderId="0" xfId="4" applyFill="1" applyAlignment="1">
      <alignment horizontal="center" vertical="center"/>
    </xf>
    <xf numFmtId="0" fontId="1" fillId="2326" borderId="0" xfId="4" applyFill="1" applyAlignment="1">
      <alignment horizontal="center" vertical="center"/>
    </xf>
    <xf numFmtId="0" fontId="1" fillId="2327" borderId="0" xfId="4" applyFill="1" applyAlignment="1">
      <alignment horizontal="center" vertical="center"/>
    </xf>
    <xf numFmtId="0" fontId="1" fillId="2328" borderId="0" xfId="4" applyFill="1" applyAlignment="1">
      <alignment horizontal="center" vertical="center"/>
    </xf>
    <xf numFmtId="0" fontId="1" fillId="2329" borderId="0" xfId="4" applyFill="1" applyAlignment="1">
      <alignment horizontal="center" vertical="center"/>
    </xf>
    <xf numFmtId="0" fontId="1" fillId="2330" borderId="0" xfId="4" applyFill="1" applyAlignment="1">
      <alignment horizontal="center" vertical="center"/>
    </xf>
    <xf numFmtId="0" fontId="1" fillId="2331" borderId="0" xfId="4" applyFill="1" applyAlignment="1">
      <alignment horizontal="center" vertical="center"/>
    </xf>
    <xf numFmtId="0" fontId="1" fillId="2332" borderId="0" xfId="4" applyFill="1" applyAlignment="1">
      <alignment horizontal="center" vertical="center"/>
    </xf>
    <xf numFmtId="0" fontId="1" fillId="2333" borderId="22" xfId="4" applyFill="1" applyBorder="1" applyAlignment="1">
      <alignment horizontal="center" vertical="center"/>
    </xf>
    <xf numFmtId="0" fontId="1" fillId="2220" borderId="23" xfId="4" applyFill="1" applyBorder="1" applyAlignment="1">
      <alignment horizontal="center" vertical="center"/>
    </xf>
    <xf numFmtId="0" fontId="1" fillId="2334" borderId="23" xfId="4" applyFill="1" applyBorder="1" applyAlignment="1">
      <alignment horizontal="center" vertical="center"/>
    </xf>
    <xf numFmtId="0" fontId="1" fillId="1967" borderId="23" xfId="4" applyFill="1" applyBorder="1" applyAlignment="1">
      <alignment horizontal="center" vertical="center"/>
    </xf>
    <xf numFmtId="0" fontId="1" fillId="2278" borderId="23" xfId="4" applyFill="1" applyBorder="1" applyAlignment="1">
      <alignment horizontal="center" vertical="center"/>
    </xf>
    <xf numFmtId="0" fontId="1" fillId="2172" borderId="24" xfId="4" applyFill="1" applyBorder="1" applyAlignment="1">
      <alignment horizontal="center" vertical="center"/>
    </xf>
    <xf numFmtId="0" fontId="1" fillId="2335" borderId="0" xfId="4" applyFill="1" applyAlignment="1">
      <alignment horizontal="center" vertical="center"/>
    </xf>
    <xf numFmtId="0" fontId="1" fillId="2336" borderId="0" xfId="4" applyFill="1" applyAlignment="1">
      <alignment horizontal="center" vertical="center"/>
    </xf>
    <xf numFmtId="0" fontId="1" fillId="2337" borderId="0" xfId="4" applyFill="1" applyAlignment="1">
      <alignment horizontal="center" vertical="center"/>
    </xf>
    <xf numFmtId="0" fontId="1" fillId="2338" borderId="0" xfId="4" applyFill="1" applyAlignment="1">
      <alignment horizontal="center" vertical="center"/>
    </xf>
    <xf numFmtId="0" fontId="1" fillId="2339" borderId="0" xfId="4" applyFill="1" applyAlignment="1">
      <alignment horizontal="center" vertical="center"/>
    </xf>
    <xf numFmtId="0" fontId="1" fillId="2340" borderId="0" xfId="4" applyFill="1" applyAlignment="1">
      <alignment horizontal="center" vertical="center"/>
    </xf>
    <xf numFmtId="0" fontId="1" fillId="2341" borderId="0" xfId="4" applyFill="1" applyAlignment="1">
      <alignment horizontal="center" vertical="center"/>
    </xf>
    <xf numFmtId="0" fontId="1" fillId="2342" borderId="0" xfId="4" applyFill="1" applyAlignment="1">
      <alignment horizontal="center" vertical="center"/>
    </xf>
    <xf numFmtId="0" fontId="1" fillId="2343" borderId="0" xfId="4" applyFill="1" applyAlignment="1">
      <alignment horizontal="center" vertical="center"/>
    </xf>
    <xf numFmtId="0" fontId="1" fillId="2344" borderId="0" xfId="4" applyFill="1" applyAlignment="1">
      <alignment horizontal="center" vertical="center"/>
    </xf>
    <xf numFmtId="0" fontId="1" fillId="2345" borderId="0" xfId="4" applyFill="1" applyAlignment="1">
      <alignment horizontal="center" vertical="center"/>
    </xf>
    <xf numFmtId="0" fontId="1" fillId="2346" borderId="0" xfId="4" applyFill="1" applyAlignment="1">
      <alignment horizontal="center" vertical="center"/>
    </xf>
    <xf numFmtId="0" fontId="1" fillId="2347" borderId="0" xfId="4" applyFill="1" applyAlignment="1">
      <alignment horizontal="center" vertical="center"/>
    </xf>
    <xf numFmtId="0" fontId="1" fillId="2348" borderId="0" xfId="4" applyFill="1" applyAlignment="1">
      <alignment horizontal="left" vertical="center"/>
    </xf>
    <xf numFmtId="0" fontId="1" fillId="2187" borderId="0" xfId="4" applyFill="1" applyAlignment="1">
      <alignment horizontal="left" vertical="center"/>
    </xf>
    <xf numFmtId="0" fontId="1" fillId="2349" borderId="0" xfId="4" applyFill="1" applyAlignment="1">
      <alignment horizontal="left" vertical="center"/>
    </xf>
    <xf numFmtId="0" fontId="1" fillId="2350" borderId="0" xfId="4" applyFill="1" applyAlignment="1">
      <alignment horizontal="left" vertical="center"/>
    </xf>
    <xf numFmtId="0" fontId="1" fillId="2245" borderId="0" xfId="4" applyFill="1" applyAlignment="1">
      <alignment horizontal="left" vertical="center"/>
    </xf>
    <xf numFmtId="0" fontId="1" fillId="2351" borderId="0" xfId="4" applyFill="1" applyAlignment="1">
      <alignment horizontal="center" vertical="center"/>
    </xf>
    <xf numFmtId="0" fontId="1" fillId="2352" borderId="0" xfId="4" applyFill="1" applyAlignment="1">
      <alignment horizontal="center" vertical="center"/>
    </xf>
    <xf numFmtId="0" fontId="1" fillId="93" borderId="0" xfId="4" applyFill="1" applyAlignment="1">
      <alignment horizontal="center" vertical="center"/>
    </xf>
    <xf numFmtId="0" fontId="1" fillId="2353" borderId="0" xfId="4" applyFill="1" applyAlignment="1">
      <alignment horizontal="center" vertical="center"/>
    </xf>
    <xf numFmtId="0" fontId="1" fillId="2354" borderId="0" xfId="4" applyFill="1" applyAlignment="1">
      <alignment horizontal="left" vertical="center"/>
    </xf>
    <xf numFmtId="0" fontId="1" fillId="2355" borderId="0" xfId="4" applyFill="1" applyAlignment="1">
      <alignment vertical="center"/>
    </xf>
    <xf numFmtId="0" fontId="1" fillId="2356" borderId="0" xfId="4" applyFill="1" applyAlignment="1">
      <alignment vertical="center"/>
    </xf>
    <xf numFmtId="0" fontId="1" fillId="1904" borderId="0" xfId="4" applyFill="1" applyAlignment="1">
      <alignment vertical="center"/>
    </xf>
    <xf numFmtId="0" fontId="1" fillId="2357" borderId="0" xfId="4" applyFill="1" applyAlignment="1">
      <alignment vertical="center"/>
    </xf>
    <xf numFmtId="0" fontId="1" fillId="2358" borderId="0" xfId="4" applyFill="1" applyAlignment="1">
      <alignment horizontal="center" vertical="center"/>
    </xf>
    <xf numFmtId="0" fontId="1" fillId="2359" borderId="0" xfId="4" applyFill="1" applyAlignment="1">
      <alignment horizontal="center" vertical="center"/>
    </xf>
    <xf numFmtId="0" fontId="1" fillId="2360" borderId="0" xfId="4" applyFill="1" applyAlignment="1">
      <alignment horizontal="center" vertical="center"/>
    </xf>
    <xf numFmtId="0" fontId="1" fillId="2361" borderId="0" xfId="4" applyFill="1" applyAlignment="1">
      <alignment horizontal="center" vertical="center"/>
    </xf>
    <xf numFmtId="0" fontId="1" fillId="2362" borderId="0" xfId="4" applyFill="1" applyAlignment="1">
      <alignment horizontal="center" vertical="center"/>
    </xf>
    <xf numFmtId="0" fontId="1" fillId="2363" borderId="0" xfId="4" applyFill="1" applyAlignment="1">
      <alignment horizontal="left" vertical="center"/>
    </xf>
    <xf numFmtId="0" fontId="1" fillId="2364" borderId="0" xfId="4" applyFill="1" applyAlignment="1">
      <alignment horizontal="center" vertical="center"/>
    </xf>
    <xf numFmtId="0" fontId="1" fillId="2365" borderId="0" xfId="4" applyFill="1" applyAlignment="1">
      <alignment horizontal="center" vertical="center"/>
    </xf>
    <xf numFmtId="0" fontId="1" fillId="2366" borderId="0" xfId="4" applyFill="1" applyAlignment="1">
      <alignment horizontal="center" vertical="center"/>
    </xf>
    <xf numFmtId="0" fontId="1" fillId="2367" borderId="0" xfId="4" applyFill="1" applyAlignment="1">
      <alignment horizontal="center" vertical="center"/>
    </xf>
    <xf numFmtId="0" fontId="1" fillId="2368" borderId="0" xfId="4" applyFill="1" applyAlignment="1">
      <alignment horizontal="center" vertical="center"/>
    </xf>
    <xf numFmtId="0" fontId="1" fillId="2369" borderId="0" xfId="4" applyFill="1" applyAlignment="1">
      <alignment horizontal="center" vertical="center"/>
    </xf>
    <xf numFmtId="0" fontId="1" fillId="2370" borderId="0" xfId="4" applyFill="1" applyAlignment="1">
      <alignment horizontal="center" vertical="center"/>
    </xf>
    <xf numFmtId="0" fontId="1" fillId="2371" borderId="0" xfId="4" applyFill="1" applyAlignment="1">
      <alignment horizontal="center" vertical="center"/>
    </xf>
    <xf numFmtId="0" fontId="1" fillId="2372" borderId="0" xfId="4" applyFill="1" applyAlignment="1">
      <alignment horizontal="center" vertical="center"/>
    </xf>
    <xf numFmtId="0" fontId="1" fillId="2373" borderId="0" xfId="4" applyFill="1" applyAlignment="1">
      <alignment horizontal="center" vertical="center"/>
    </xf>
    <xf numFmtId="0" fontId="1" fillId="2374" borderId="0" xfId="4" applyFill="1" applyAlignment="1">
      <alignment horizontal="center" vertical="center"/>
    </xf>
    <xf numFmtId="0" fontId="1" fillId="2375" borderId="0" xfId="4" applyFill="1" applyAlignment="1">
      <alignment horizontal="center" vertical="center"/>
    </xf>
    <xf numFmtId="0" fontId="1" fillId="2376" borderId="0" xfId="4" applyFill="1" applyAlignment="1">
      <alignment horizontal="center" vertical="center"/>
    </xf>
    <xf numFmtId="0" fontId="1" fillId="2377" borderId="0" xfId="4" applyFill="1" applyAlignment="1">
      <alignment horizontal="center" vertical="center"/>
    </xf>
    <xf numFmtId="0" fontId="1" fillId="2378" borderId="0" xfId="4" applyFill="1" applyAlignment="1">
      <alignment horizontal="center" vertical="center"/>
    </xf>
    <xf numFmtId="0" fontId="1" fillId="2379" borderId="0" xfId="4" applyFill="1" applyAlignment="1">
      <alignment horizontal="center" vertical="center"/>
    </xf>
    <xf numFmtId="0" fontId="1" fillId="2348" borderId="0" xfId="4" applyFill="1" applyAlignment="1">
      <alignment horizontal="center" vertical="center"/>
    </xf>
    <xf numFmtId="0" fontId="1" fillId="2380" borderId="0" xfId="4" applyFill="1" applyAlignment="1">
      <alignment horizontal="center" vertical="center"/>
    </xf>
    <xf numFmtId="0" fontId="1" fillId="2381" borderId="0" xfId="4" applyFill="1" applyAlignment="1">
      <alignment horizontal="center" vertical="center"/>
    </xf>
    <xf numFmtId="0" fontId="1" fillId="2382" borderId="0" xfId="4" applyFill="1" applyAlignment="1">
      <alignment horizontal="center" vertical="center"/>
    </xf>
    <xf numFmtId="0" fontId="1" fillId="2383" borderId="0" xfId="4" applyFill="1" applyAlignment="1">
      <alignment horizontal="center" vertical="center"/>
    </xf>
    <xf numFmtId="0" fontId="1" fillId="2384" borderId="0" xfId="4" applyFill="1" applyAlignment="1">
      <alignment horizontal="center" vertical="center"/>
    </xf>
    <xf numFmtId="0" fontId="1" fillId="2385" borderId="0" xfId="4" applyFill="1" applyAlignment="1">
      <alignment horizontal="center" vertical="center"/>
    </xf>
    <xf numFmtId="0" fontId="1" fillId="2386" borderId="25" xfId="4" applyFill="1" applyBorder="1" applyAlignment="1">
      <alignment horizontal="center" vertical="center"/>
    </xf>
    <xf numFmtId="0" fontId="1" fillId="2334" borderId="0" xfId="4" applyFill="1" applyAlignment="1">
      <alignment horizontal="center" vertical="center"/>
    </xf>
    <xf numFmtId="0" fontId="1" fillId="2387" borderId="0" xfId="4" applyFill="1" applyAlignment="1">
      <alignment horizontal="center" vertical="center"/>
    </xf>
    <xf numFmtId="0" fontId="1" fillId="2045" borderId="26" xfId="4" applyFill="1" applyBorder="1" applyAlignment="1">
      <alignment horizontal="center" vertical="center"/>
    </xf>
    <xf numFmtId="0" fontId="1" fillId="2388" borderId="0" xfId="4" applyFill="1" applyAlignment="1">
      <alignment horizontal="center" vertical="center"/>
    </xf>
    <xf numFmtId="0" fontId="1" fillId="2389" borderId="0" xfId="4" applyFill="1" applyAlignment="1">
      <alignment horizontal="center" vertical="center"/>
    </xf>
    <xf numFmtId="0" fontId="1" fillId="2390" borderId="0" xfId="4" applyFill="1" applyAlignment="1">
      <alignment horizontal="center" vertical="center"/>
    </xf>
    <xf numFmtId="0" fontId="1" fillId="2391" borderId="0" xfId="4" applyFill="1" applyAlignment="1">
      <alignment horizontal="center" vertical="center"/>
    </xf>
    <xf numFmtId="0" fontId="1" fillId="2392" borderId="0" xfId="4" applyFill="1" applyAlignment="1">
      <alignment horizontal="center" vertical="center"/>
    </xf>
    <xf numFmtId="0" fontId="1" fillId="2393" borderId="0" xfId="4" applyFill="1" applyAlignment="1">
      <alignment horizontal="center" vertical="center"/>
    </xf>
    <xf numFmtId="0" fontId="1" fillId="2394" borderId="0" xfId="4" applyFill="1" applyAlignment="1">
      <alignment horizontal="center" vertical="center"/>
    </xf>
    <xf numFmtId="0" fontId="1" fillId="2395" borderId="0" xfId="4" applyFill="1" applyAlignment="1">
      <alignment horizontal="center" vertical="center"/>
    </xf>
    <xf numFmtId="0" fontId="1" fillId="2396" borderId="0" xfId="4" applyFill="1" applyAlignment="1">
      <alignment horizontal="center" vertical="center"/>
    </xf>
    <xf numFmtId="0" fontId="1" fillId="2397" borderId="0" xfId="4" applyFill="1" applyAlignment="1">
      <alignment horizontal="center" vertical="center"/>
    </xf>
    <xf numFmtId="0" fontId="1" fillId="2398" borderId="0" xfId="4" applyFill="1" applyAlignment="1">
      <alignment horizontal="center" vertical="center"/>
    </xf>
    <xf numFmtId="0" fontId="1" fillId="1723" borderId="0" xfId="4" applyFill="1" applyAlignment="1">
      <alignment horizontal="left" vertical="center"/>
    </xf>
    <xf numFmtId="0" fontId="1" fillId="2133" borderId="0" xfId="4" applyFill="1" applyAlignment="1">
      <alignment horizontal="left" vertical="center"/>
    </xf>
    <xf numFmtId="0" fontId="1" fillId="2399" borderId="0" xfId="4" applyFill="1" applyAlignment="1">
      <alignment horizontal="left" vertical="center"/>
    </xf>
    <xf numFmtId="0" fontId="1" fillId="2400" borderId="0" xfId="4" applyFill="1" applyAlignment="1">
      <alignment horizontal="left" vertical="center"/>
    </xf>
    <xf numFmtId="0" fontId="1" fillId="2401" borderId="0" xfId="4" applyFill="1" applyAlignment="1">
      <alignment horizontal="left" vertical="center"/>
    </xf>
    <xf numFmtId="0" fontId="1" fillId="2402" borderId="0" xfId="4" applyFill="1" applyAlignment="1">
      <alignment horizontal="center" vertical="center"/>
    </xf>
    <xf numFmtId="0" fontId="1" fillId="2403" borderId="0" xfId="4" applyFill="1" applyAlignment="1">
      <alignment horizontal="center" vertical="center"/>
    </xf>
    <xf numFmtId="0" fontId="1" fillId="2404" borderId="0" xfId="4" applyFill="1" applyAlignment="1">
      <alignment horizontal="center" vertical="center"/>
    </xf>
    <xf numFmtId="0" fontId="1" fillId="2405" borderId="0" xfId="4" applyFill="1" applyAlignment="1">
      <alignment horizontal="center" vertical="center"/>
    </xf>
    <xf numFmtId="0" fontId="1" fillId="2406" borderId="0" xfId="4" applyFill="1" applyAlignment="1">
      <alignment vertical="center"/>
    </xf>
    <xf numFmtId="0" fontId="1" fillId="2407" borderId="0" xfId="4" applyFill="1" applyAlignment="1">
      <alignment vertical="center"/>
    </xf>
    <xf numFmtId="0" fontId="1" fillId="2408" borderId="0" xfId="4" applyFill="1" applyAlignment="1">
      <alignment vertical="center"/>
    </xf>
    <xf numFmtId="0" fontId="1" fillId="2409" borderId="0" xfId="4" applyFill="1" applyAlignment="1">
      <alignment vertical="center"/>
    </xf>
    <xf numFmtId="0" fontId="1" fillId="2410" borderId="0" xfId="4" applyFill="1" applyAlignment="1">
      <alignment horizontal="center" vertical="center"/>
    </xf>
    <xf numFmtId="0" fontId="1" fillId="2411" borderId="0" xfId="4" applyFill="1" applyAlignment="1">
      <alignment horizontal="center" vertical="center"/>
    </xf>
    <xf numFmtId="0" fontId="1" fillId="2412" borderId="0" xfId="4" applyFill="1" applyAlignment="1">
      <alignment horizontal="center" vertical="center"/>
    </xf>
    <xf numFmtId="0" fontId="1" fillId="2413" borderId="0" xfId="4" applyFill="1" applyAlignment="1">
      <alignment horizontal="center" vertical="center"/>
    </xf>
    <xf numFmtId="0" fontId="1" fillId="2414" borderId="0" xfId="4" applyFill="1" applyAlignment="1">
      <alignment horizontal="center" vertical="center"/>
    </xf>
    <xf numFmtId="0" fontId="1" fillId="2415" borderId="0" xfId="4" applyFill="1" applyAlignment="1">
      <alignment horizontal="center" vertical="center"/>
    </xf>
    <xf numFmtId="0" fontId="1" fillId="2416" borderId="0" xfId="4" applyFill="1" applyAlignment="1">
      <alignment horizontal="left" vertical="center"/>
    </xf>
    <xf numFmtId="0" fontId="1" fillId="2417" borderId="0" xfId="4" applyFill="1" applyAlignment="1">
      <alignment horizontal="center" vertical="center"/>
    </xf>
    <xf numFmtId="0" fontId="1" fillId="2418" borderId="0" xfId="4" applyFill="1" applyAlignment="1">
      <alignment horizontal="center" vertical="center"/>
    </xf>
    <xf numFmtId="0" fontId="1" fillId="2419" borderId="0" xfId="4" applyFill="1" applyAlignment="1">
      <alignment horizontal="center" vertical="center"/>
    </xf>
    <xf numFmtId="0" fontId="1" fillId="2420" borderId="0" xfId="4" applyFill="1" applyAlignment="1">
      <alignment horizontal="center" vertical="center"/>
    </xf>
    <xf numFmtId="0" fontId="1" fillId="2421" borderId="0" xfId="4" applyFill="1" applyAlignment="1">
      <alignment horizontal="center" vertical="center"/>
    </xf>
    <xf numFmtId="0" fontId="1" fillId="2422" borderId="0" xfId="4" applyFill="1" applyAlignment="1">
      <alignment horizontal="center" vertical="center"/>
    </xf>
    <xf numFmtId="0" fontId="1" fillId="2423" borderId="0" xfId="4" applyFill="1" applyAlignment="1">
      <alignment horizontal="center" vertical="center"/>
    </xf>
    <xf numFmtId="0" fontId="1" fillId="2424" borderId="0" xfId="4" applyFill="1" applyAlignment="1">
      <alignment horizontal="center" vertical="center"/>
    </xf>
    <xf numFmtId="0" fontId="1" fillId="2425" borderId="0" xfId="4" applyFill="1" applyAlignment="1">
      <alignment horizontal="center" vertical="center"/>
    </xf>
    <xf numFmtId="0" fontId="1" fillId="2426" borderId="0" xfId="4" applyFill="1" applyAlignment="1">
      <alignment horizontal="center" vertical="center"/>
    </xf>
    <xf numFmtId="0" fontId="1" fillId="2427" borderId="0" xfId="4" applyFill="1" applyAlignment="1">
      <alignment horizontal="center" vertical="center"/>
    </xf>
    <xf numFmtId="0" fontId="1" fillId="2428" borderId="0" xfId="4" applyFill="1" applyAlignment="1">
      <alignment horizontal="center" vertical="center"/>
    </xf>
    <xf numFmtId="0" fontId="1" fillId="2429" borderId="0" xfId="4" applyFill="1" applyAlignment="1">
      <alignment horizontal="center" vertical="center"/>
    </xf>
    <xf numFmtId="0" fontId="1" fillId="2430" borderId="0" xfId="4" applyFill="1" applyAlignment="1">
      <alignment horizontal="center" vertical="center"/>
    </xf>
    <xf numFmtId="0" fontId="1" fillId="2431" borderId="0" xfId="4" applyFill="1" applyAlignment="1">
      <alignment horizontal="center" vertical="center"/>
    </xf>
    <xf numFmtId="0" fontId="1" fillId="2432" borderId="0" xfId="4" applyFill="1" applyAlignment="1">
      <alignment horizontal="center" vertical="center"/>
    </xf>
    <xf numFmtId="0" fontId="1" fillId="2433" borderId="0" xfId="4" applyFill="1" applyAlignment="1">
      <alignment horizontal="center" vertical="center"/>
    </xf>
    <xf numFmtId="0" fontId="1" fillId="2434" borderId="0" xfId="4" applyFill="1" applyAlignment="1">
      <alignment horizontal="center" vertical="center"/>
    </xf>
    <xf numFmtId="0" fontId="1" fillId="2435" borderId="0" xfId="4" applyFill="1" applyAlignment="1">
      <alignment horizontal="center" vertical="center"/>
    </xf>
    <xf numFmtId="0" fontId="1" fillId="2436" borderId="0" xfId="4" applyFill="1" applyAlignment="1">
      <alignment horizontal="center" vertical="center"/>
    </xf>
    <xf numFmtId="0" fontId="1" fillId="2437" borderId="0" xfId="4" applyFill="1" applyAlignment="1">
      <alignment horizontal="center" vertical="center"/>
    </xf>
    <xf numFmtId="0" fontId="1" fillId="2438" borderId="0" xfId="4" applyFill="1" applyAlignment="1">
      <alignment horizontal="center" vertical="center"/>
    </xf>
    <xf numFmtId="0" fontId="1" fillId="2439" borderId="0" xfId="4" applyFill="1" applyAlignment="1">
      <alignment horizontal="center" vertical="center"/>
    </xf>
    <xf numFmtId="0" fontId="1" fillId="2440" borderId="0" xfId="4" applyFill="1" applyAlignment="1">
      <alignment horizontal="center" vertical="center"/>
    </xf>
    <xf numFmtId="0" fontId="1" fillId="2441" borderId="25" xfId="4" applyFill="1" applyBorder="1" applyAlignment="1">
      <alignment horizontal="center" vertical="center"/>
    </xf>
    <xf numFmtId="0" fontId="1" fillId="2442" borderId="0" xfId="4" applyFill="1" applyAlignment="1">
      <alignment horizontal="center" vertical="center"/>
    </xf>
    <xf numFmtId="0" fontId="1" fillId="2443" borderId="0" xfId="4" applyFill="1" applyAlignment="1">
      <alignment horizontal="center" vertical="center"/>
    </xf>
    <xf numFmtId="0" fontId="1" fillId="2444" borderId="0" xfId="4" applyFill="1" applyAlignment="1">
      <alignment horizontal="center" vertical="center"/>
    </xf>
    <xf numFmtId="0" fontId="1" fillId="2445" borderId="26" xfId="4" applyFill="1" applyBorder="1" applyAlignment="1">
      <alignment horizontal="center" vertical="center"/>
    </xf>
    <xf numFmtId="0" fontId="1" fillId="2446" borderId="0" xfId="4" applyFill="1" applyAlignment="1">
      <alignment horizontal="center" vertical="center"/>
    </xf>
    <xf numFmtId="0" fontId="1" fillId="2447" borderId="0" xfId="4" applyFill="1" applyAlignment="1">
      <alignment horizontal="center" vertical="center"/>
    </xf>
    <xf numFmtId="0" fontId="1" fillId="2448" borderId="0" xfId="4" applyFill="1" applyAlignment="1">
      <alignment horizontal="center" vertical="center"/>
    </xf>
    <xf numFmtId="0" fontId="1" fillId="2449" borderId="0" xfId="4" applyFill="1" applyAlignment="1">
      <alignment horizontal="center" vertical="center"/>
    </xf>
    <xf numFmtId="0" fontId="1" fillId="2450" borderId="0" xfId="4" applyFill="1" applyAlignment="1">
      <alignment horizontal="center" vertical="center"/>
    </xf>
    <xf numFmtId="0" fontId="1" fillId="2451" borderId="0" xfId="4" applyFill="1" applyAlignment="1">
      <alignment horizontal="center" vertical="center"/>
    </xf>
    <xf numFmtId="0" fontId="1" fillId="2452" borderId="0" xfId="4" applyFill="1" applyAlignment="1">
      <alignment horizontal="center" vertical="center"/>
    </xf>
    <xf numFmtId="0" fontId="1" fillId="2453" borderId="0" xfId="4" applyFill="1" applyAlignment="1">
      <alignment horizontal="center" vertical="center"/>
    </xf>
    <xf numFmtId="0" fontId="1" fillId="2454" borderId="0" xfId="4" applyFill="1" applyAlignment="1">
      <alignment horizontal="center" vertical="center"/>
    </xf>
    <xf numFmtId="0" fontId="1" fillId="2455" borderId="0" xfId="4" applyFill="1" applyAlignment="1">
      <alignment horizontal="center" vertical="center"/>
    </xf>
    <xf numFmtId="0" fontId="1" fillId="2456" borderId="0" xfId="4" applyFill="1" applyAlignment="1">
      <alignment horizontal="center" vertical="center"/>
    </xf>
    <xf numFmtId="0" fontId="1" fillId="2457" borderId="0" xfId="4" applyFill="1" applyAlignment="1">
      <alignment horizontal="center" vertical="center"/>
    </xf>
    <xf numFmtId="0" fontId="1" fillId="2458" borderId="0" xfId="4" applyFill="1" applyAlignment="1">
      <alignment horizontal="center" vertical="center"/>
    </xf>
    <xf numFmtId="0" fontId="1" fillId="2459" borderId="0" xfId="4" applyFill="1" applyAlignment="1">
      <alignment horizontal="center" vertical="center"/>
    </xf>
    <xf numFmtId="0" fontId="1" fillId="2031" borderId="0" xfId="4" applyFill="1" applyAlignment="1">
      <alignment horizontal="left" vertical="center"/>
    </xf>
    <xf numFmtId="0" fontId="1" fillId="2460" borderId="0" xfId="4" applyFill="1" applyAlignment="1">
      <alignment horizontal="left" vertical="center"/>
    </xf>
    <xf numFmtId="0" fontId="1" fillId="2461" borderId="0" xfId="4" applyFill="1" applyAlignment="1">
      <alignment horizontal="left" vertical="center"/>
    </xf>
    <xf numFmtId="0" fontId="1" fillId="2462" borderId="0" xfId="4" applyFill="1" applyAlignment="1">
      <alignment horizontal="left" vertical="center"/>
    </xf>
    <xf numFmtId="0" fontId="1" fillId="2463" borderId="0" xfId="4" applyFill="1" applyAlignment="1">
      <alignment horizontal="left" vertical="center"/>
    </xf>
    <xf numFmtId="0" fontId="1" fillId="2464" borderId="0" xfId="4" applyFill="1" applyAlignment="1">
      <alignment horizontal="center" vertical="center"/>
    </xf>
    <xf numFmtId="0" fontId="1" fillId="2465" borderId="0" xfId="4" applyFill="1" applyAlignment="1">
      <alignment horizontal="center" vertical="center"/>
    </xf>
    <xf numFmtId="0" fontId="1" fillId="2466" borderId="0" xfId="4" applyFill="1" applyAlignment="1">
      <alignment horizontal="center" vertical="center"/>
    </xf>
    <xf numFmtId="0" fontId="1" fillId="2467" borderId="0" xfId="4" applyFill="1" applyAlignment="1">
      <alignment vertical="center"/>
    </xf>
    <xf numFmtId="0" fontId="1" fillId="2468" borderId="0" xfId="4" applyFill="1" applyAlignment="1">
      <alignment vertical="center"/>
    </xf>
    <xf numFmtId="0" fontId="1" fillId="2469" borderId="0" xfId="4" applyFill="1" applyAlignment="1">
      <alignment vertical="center"/>
    </xf>
    <xf numFmtId="0" fontId="1" fillId="2470" borderId="0" xfId="4" applyFill="1" applyAlignment="1">
      <alignment vertical="center"/>
    </xf>
    <xf numFmtId="0" fontId="1" fillId="2471" borderId="0" xfId="4" applyFill="1" applyAlignment="1">
      <alignment horizontal="center" vertical="center"/>
    </xf>
    <xf numFmtId="0" fontId="1" fillId="2472" borderId="0" xfId="4" applyFill="1" applyAlignment="1">
      <alignment horizontal="center" vertical="center"/>
    </xf>
    <xf numFmtId="0" fontId="1" fillId="2473" borderId="0" xfId="4" applyFill="1" applyAlignment="1">
      <alignment horizontal="center" vertical="center"/>
    </xf>
    <xf numFmtId="0" fontId="1" fillId="2474" borderId="0" xfId="4" applyFill="1" applyAlignment="1">
      <alignment horizontal="center" vertical="center"/>
    </xf>
    <xf numFmtId="0" fontId="1" fillId="2475" borderId="0" xfId="4" applyFill="1" applyAlignment="1">
      <alignment horizontal="center" vertical="center"/>
    </xf>
    <xf numFmtId="0" fontId="1" fillId="2476" borderId="0" xfId="4" applyFill="1" applyAlignment="1">
      <alignment horizontal="center" vertical="center"/>
    </xf>
    <xf numFmtId="0" fontId="1" fillId="2477" borderId="0" xfId="4" applyFill="1" applyAlignment="1">
      <alignment horizontal="left" vertical="center"/>
    </xf>
    <xf numFmtId="0" fontId="1" fillId="2478" borderId="0" xfId="4" applyFill="1" applyAlignment="1">
      <alignment horizontal="center" vertical="center"/>
    </xf>
    <xf numFmtId="0" fontId="1" fillId="2479" borderId="0" xfId="4" applyFill="1" applyAlignment="1">
      <alignment horizontal="center" vertical="center"/>
    </xf>
    <xf numFmtId="0" fontId="1" fillId="2480" borderId="0" xfId="4" applyFill="1" applyAlignment="1">
      <alignment horizontal="center" vertical="center"/>
    </xf>
    <xf numFmtId="0" fontId="1" fillId="2481" borderId="0" xfId="4" applyFill="1" applyAlignment="1">
      <alignment horizontal="center" vertical="center"/>
    </xf>
    <xf numFmtId="0" fontId="1" fillId="2482" borderId="0" xfId="4" applyFill="1" applyAlignment="1">
      <alignment horizontal="center" vertical="center"/>
    </xf>
    <xf numFmtId="0" fontId="1" fillId="2483" borderId="0" xfId="4" applyFill="1" applyAlignment="1">
      <alignment horizontal="center" vertical="center"/>
    </xf>
    <xf numFmtId="0" fontId="1" fillId="2484" borderId="0" xfId="4" applyFill="1" applyAlignment="1">
      <alignment horizontal="center" vertical="center"/>
    </xf>
    <xf numFmtId="0" fontId="1" fillId="2485" borderId="0" xfId="4" applyFill="1" applyAlignment="1">
      <alignment horizontal="center" vertical="center"/>
    </xf>
    <xf numFmtId="0" fontId="1" fillId="2486" borderId="0" xfId="4" applyFill="1" applyAlignment="1">
      <alignment horizontal="center" vertical="center"/>
    </xf>
    <xf numFmtId="0" fontId="1" fillId="2487" borderId="0" xfId="4" applyFill="1" applyAlignment="1">
      <alignment horizontal="center" vertical="center"/>
    </xf>
    <xf numFmtId="0" fontId="1" fillId="2488" borderId="0" xfId="4" applyFill="1" applyAlignment="1">
      <alignment horizontal="center" vertical="center"/>
    </xf>
    <xf numFmtId="0" fontId="1" fillId="2489" borderId="0" xfId="4" applyFill="1" applyAlignment="1">
      <alignment horizontal="center" vertical="center"/>
    </xf>
    <xf numFmtId="0" fontId="1" fillId="2490" borderId="0" xfId="4" applyFill="1" applyAlignment="1">
      <alignment horizontal="center" vertical="center"/>
    </xf>
    <xf numFmtId="0" fontId="1" fillId="2491" borderId="0" xfId="4" applyFill="1" applyAlignment="1">
      <alignment horizontal="center" vertical="center"/>
    </xf>
    <xf numFmtId="0" fontId="1" fillId="2492" borderId="0" xfId="4" applyFill="1" applyAlignment="1">
      <alignment horizontal="center" vertical="center"/>
    </xf>
    <xf numFmtId="0" fontId="1" fillId="2493" borderId="0" xfId="4" applyFill="1" applyAlignment="1">
      <alignment horizontal="center" vertical="center"/>
    </xf>
    <xf numFmtId="0" fontId="1" fillId="2494" borderId="0" xfId="4" applyFill="1" applyAlignment="1">
      <alignment horizontal="center" vertical="center"/>
    </xf>
    <xf numFmtId="0" fontId="1" fillId="2495" borderId="0" xfId="4" applyFill="1" applyAlignment="1">
      <alignment horizontal="center" vertical="center"/>
    </xf>
    <xf numFmtId="0" fontId="1" fillId="2496" borderId="0" xfId="4" applyFill="1" applyAlignment="1">
      <alignment horizontal="center" vertical="center"/>
    </xf>
    <xf numFmtId="0" fontId="1" fillId="2497" borderId="0" xfId="4" applyFill="1" applyAlignment="1">
      <alignment horizontal="center" vertical="center"/>
    </xf>
    <xf numFmtId="0" fontId="1" fillId="2498" borderId="0" xfId="4" applyFill="1" applyAlignment="1">
      <alignment horizontal="center" vertical="center"/>
    </xf>
    <xf numFmtId="0" fontId="1" fillId="2499" borderId="0" xfId="4" applyFill="1" applyAlignment="1">
      <alignment horizontal="center" vertical="center"/>
    </xf>
    <xf numFmtId="0" fontId="1" fillId="2500" borderId="0" xfId="4" applyFill="1" applyAlignment="1">
      <alignment horizontal="center" vertical="center"/>
    </xf>
    <xf numFmtId="0" fontId="1" fillId="2440" borderId="25" xfId="4" applyFill="1" applyBorder="1" applyAlignment="1">
      <alignment horizontal="center" vertical="center"/>
    </xf>
    <xf numFmtId="0" fontId="1" fillId="2501" borderId="0" xfId="4" applyFill="1" applyAlignment="1">
      <alignment horizontal="center" vertical="center"/>
    </xf>
    <xf numFmtId="0" fontId="1" fillId="1970" borderId="26" xfId="4" applyFill="1" applyBorder="1" applyAlignment="1">
      <alignment horizontal="center" vertical="center"/>
    </xf>
    <xf numFmtId="0" fontId="1" fillId="2502" borderId="0" xfId="4" applyFill="1" applyAlignment="1">
      <alignment horizontal="center" vertical="center"/>
    </xf>
    <xf numFmtId="0" fontId="1" fillId="2503" borderId="0" xfId="4" applyFill="1" applyAlignment="1">
      <alignment horizontal="center" vertical="center"/>
    </xf>
    <xf numFmtId="0" fontId="1" fillId="2504" borderId="0" xfId="4" applyFill="1" applyAlignment="1">
      <alignment horizontal="center" vertical="center"/>
    </xf>
    <xf numFmtId="0" fontId="1" fillId="2505" borderId="0" xfId="4" applyFill="1" applyAlignment="1">
      <alignment horizontal="center" vertical="center"/>
    </xf>
    <xf numFmtId="0" fontId="1" fillId="2506" borderId="0" xfId="4" applyFill="1" applyAlignment="1">
      <alignment horizontal="center" vertical="center"/>
    </xf>
    <xf numFmtId="0" fontId="1" fillId="2507" borderId="0" xfId="4" applyFill="1" applyAlignment="1">
      <alignment horizontal="center" vertical="center"/>
    </xf>
    <xf numFmtId="0" fontId="1" fillId="2508" borderId="0" xfId="4" applyFill="1" applyAlignment="1">
      <alignment horizontal="center" vertical="center"/>
    </xf>
    <xf numFmtId="0" fontId="1" fillId="2509" borderId="0" xfId="4" applyFill="1" applyAlignment="1">
      <alignment horizontal="center" vertical="center"/>
    </xf>
    <xf numFmtId="0" fontId="1" fillId="2510" borderId="0" xfId="4" applyFill="1" applyAlignment="1">
      <alignment horizontal="center" vertical="center"/>
    </xf>
    <xf numFmtId="0" fontId="1" fillId="2511" borderId="0" xfId="4" applyFill="1" applyAlignment="1">
      <alignment horizontal="center" vertical="center"/>
    </xf>
    <xf numFmtId="0" fontId="1" fillId="2512" borderId="0" xfId="4" applyFill="1" applyAlignment="1">
      <alignment horizontal="center" vertical="center"/>
    </xf>
    <xf numFmtId="0" fontId="1" fillId="2513" borderId="0" xfId="4" applyFill="1" applyAlignment="1">
      <alignment horizontal="center" vertical="center"/>
    </xf>
    <xf numFmtId="0" fontId="1" fillId="2514" borderId="0" xfId="4" applyFill="1" applyAlignment="1">
      <alignment horizontal="center" vertical="center"/>
    </xf>
    <xf numFmtId="0" fontId="1" fillId="2515" borderId="0" xfId="4" applyFill="1" applyAlignment="1">
      <alignment horizontal="center" vertical="center"/>
    </xf>
    <xf numFmtId="0" fontId="1" fillId="2516" borderId="0" xfId="4" applyFill="1" applyAlignment="1">
      <alignment horizontal="center" vertical="center"/>
    </xf>
    <xf numFmtId="0" fontId="1" fillId="1952" borderId="0" xfId="4" applyFill="1" applyAlignment="1">
      <alignment horizontal="left" vertical="center"/>
    </xf>
    <xf numFmtId="0" fontId="1" fillId="2517" borderId="0" xfId="4" applyFill="1" applyAlignment="1">
      <alignment horizontal="left" vertical="center"/>
    </xf>
    <xf numFmtId="0" fontId="1" fillId="2518" borderId="0" xfId="4" applyFill="1" applyAlignment="1">
      <alignment horizontal="left" vertical="center"/>
    </xf>
    <xf numFmtId="0" fontId="1" fillId="166" borderId="0" xfId="4" applyFill="1" applyAlignment="1">
      <alignment horizontal="left" vertical="center"/>
    </xf>
    <xf numFmtId="0" fontId="1" fillId="58" borderId="0" xfId="4" applyFill="1" applyAlignment="1">
      <alignment horizontal="center" vertical="center"/>
    </xf>
    <xf numFmtId="0" fontId="1" fillId="2519" borderId="0" xfId="4" applyFill="1" applyAlignment="1">
      <alignment horizontal="center" vertical="center"/>
    </xf>
    <xf numFmtId="0" fontId="1" fillId="2520" borderId="0" xfId="4" applyFill="1" applyAlignment="1">
      <alignment horizontal="center" vertical="center"/>
    </xf>
    <xf numFmtId="0" fontId="1" fillId="2521" borderId="0" xfId="4" applyFill="1" applyAlignment="1">
      <alignment horizontal="center" vertical="center"/>
    </xf>
    <xf numFmtId="0" fontId="1" fillId="2522" borderId="0" xfId="4" applyFill="1" applyAlignment="1">
      <alignment horizontal="center" vertical="center"/>
    </xf>
    <xf numFmtId="0" fontId="1" fillId="2523" borderId="0" xfId="4" applyFill="1" applyAlignment="1">
      <alignment vertical="center"/>
    </xf>
    <xf numFmtId="0" fontId="1" fillId="2524" borderId="0" xfId="4" applyFill="1" applyAlignment="1">
      <alignment vertical="center"/>
    </xf>
    <xf numFmtId="0" fontId="1" fillId="2525" borderId="0" xfId="4" applyFill="1" applyAlignment="1">
      <alignment vertical="center"/>
    </xf>
    <xf numFmtId="0" fontId="1" fillId="2526" borderId="0" xfId="4" applyFill="1" applyAlignment="1">
      <alignment vertical="center"/>
    </xf>
    <xf numFmtId="0" fontId="1" fillId="2527" borderId="0" xfId="4" applyFill="1" applyAlignment="1">
      <alignment horizontal="center" vertical="center"/>
    </xf>
    <xf numFmtId="0" fontId="1" fillId="2528" borderId="0" xfId="4" applyFill="1" applyAlignment="1">
      <alignment horizontal="center" vertical="center"/>
    </xf>
    <xf numFmtId="0" fontId="1" fillId="2529" borderId="0" xfId="4" applyFill="1" applyAlignment="1">
      <alignment horizontal="center" vertical="center"/>
    </xf>
    <xf numFmtId="0" fontId="1" fillId="2530" borderId="0" xfId="4" applyFill="1" applyAlignment="1">
      <alignment horizontal="center" vertical="center"/>
    </xf>
    <xf numFmtId="0" fontId="1" fillId="2531" borderId="0" xfId="4" applyFill="1" applyAlignment="1">
      <alignment horizontal="center" vertical="center"/>
    </xf>
    <xf numFmtId="0" fontId="1" fillId="2532" borderId="0" xfId="4" applyFill="1" applyAlignment="1">
      <alignment horizontal="center" vertical="center"/>
    </xf>
    <xf numFmtId="0" fontId="1" fillId="2533" borderId="0" xfId="4" applyFill="1" applyAlignment="1">
      <alignment horizontal="left" vertical="center"/>
    </xf>
    <xf numFmtId="0" fontId="1" fillId="2534" borderId="0" xfId="4" applyFill="1" applyAlignment="1">
      <alignment horizontal="center" vertical="center"/>
    </xf>
    <xf numFmtId="0" fontId="1" fillId="2535" borderId="0" xfId="4" applyFill="1" applyAlignment="1">
      <alignment horizontal="center" vertical="center"/>
    </xf>
    <xf numFmtId="0" fontId="1" fillId="2536" borderId="0" xfId="4" applyFill="1" applyAlignment="1">
      <alignment horizontal="center" vertical="center"/>
    </xf>
    <xf numFmtId="0" fontId="1" fillId="2537" borderId="0" xfId="4" applyFill="1" applyAlignment="1">
      <alignment horizontal="center" vertical="center"/>
    </xf>
    <xf numFmtId="0" fontId="1" fillId="2538" borderId="0" xfId="4" applyFill="1" applyAlignment="1">
      <alignment horizontal="center" vertical="center"/>
    </xf>
    <xf numFmtId="0" fontId="1" fillId="2539" borderId="0" xfId="4" applyFill="1" applyAlignment="1">
      <alignment horizontal="center" vertical="center"/>
    </xf>
    <xf numFmtId="0" fontId="1" fillId="2540" borderId="0" xfId="4" applyFill="1" applyAlignment="1">
      <alignment horizontal="center" vertical="center"/>
    </xf>
    <xf numFmtId="0" fontId="1" fillId="2541" borderId="0" xfId="4" applyFill="1" applyAlignment="1">
      <alignment horizontal="center" vertical="center"/>
    </xf>
    <xf numFmtId="0" fontId="1" fillId="2542" borderId="0" xfId="4" applyFill="1" applyAlignment="1">
      <alignment horizontal="center" vertical="center"/>
    </xf>
    <xf numFmtId="0" fontId="1" fillId="2543" borderId="0" xfId="4" applyFill="1" applyAlignment="1">
      <alignment horizontal="center" vertical="center"/>
    </xf>
    <xf numFmtId="0" fontId="1" fillId="2544" borderId="0" xfId="4" applyFill="1" applyAlignment="1">
      <alignment horizontal="center" vertical="center"/>
    </xf>
    <xf numFmtId="0" fontId="1" fillId="2545" borderId="0" xfId="4" applyFill="1" applyAlignment="1">
      <alignment horizontal="center" vertical="center"/>
    </xf>
    <xf numFmtId="0" fontId="1" fillId="2546" borderId="0" xfId="4" applyFill="1" applyAlignment="1">
      <alignment horizontal="center" vertical="center"/>
    </xf>
    <xf numFmtId="0" fontId="1" fillId="2547" borderId="0" xfId="4" applyFill="1" applyAlignment="1">
      <alignment horizontal="center" vertical="center"/>
    </xf>
    <xf numFmtId="0" fontId="1" fillId="2548" borderId="0" xfId="4" applyFill="1" applyAlignment="1">
      <alignment horizontal="center" vertical="center"/>
    </xf>
    <xf numFmtId="0" fontId="1" fillId="2549" borderId="0" xfId="4" applyFill="1" applyAlignment="1">
      <alignment horizontal="center" vertical="center"/>
    </xf>
    <xf numFmtId="0" fontId="1" fillId="2550" borderId="0" xfId="4" applyFill="1" applyAlignment="1">
      <alignment horizontal="center" vertical="center"/>
    </xf>
    <xf numFmtId="0" fontId="1" fillId="2551" borderId="0" xfId="4" applyFill="1" applyAlignment="1">
      <alignment horizontal="center" vertical="center"/>
    </xf>
    <xf numFmtId="0" fontId="1" fillId="2552" borderId="0" xfId="4" applyFill="1" applyAlignment="1">
      <alignment horizontal="center" vertical="center"/>
    </xf>
    <xf numFmtId="0" fontId="1" fillId="2553" borderId="0" xfId="4" applyFill="1" applyAlignment="1">
      <alignment horizontal="center" vertical="center"/>
    </xf>
    <xf numFmtId="0" fontId="1" fillId="2554" borderId="0" xfId="4" applyFill="1" applyAlignment="1">
      <alignment horizontal="center" vertical="center"/>
    </xf>
    <xf numFmtId="0" fontId="1" fillId="2555" borderId="0" xfId="4" applyFill="1" applyAlignment="1">
      <alignment horizontal="center" vertical="center"/>
    </xf>
    <xf numFmtId="0" fontId="1" fillId="1971" borderId="11" xfId="4" applyFill="1" applyBorder="1" applyAlignment="1">
      <alignment horizontal="center" vertical="center"/>
    </xf>
    <xf numFmtId="0" fontId="1" fillId="2333" borderId="10" xfId="4" applyFill="1" applyBorder="1" applyAlignment="1">
      <alignment horizontal="center" vertical="center"/>
    </xf>
    <xf numFmtId="0" fontId="1" fillId="2051" borderId="10" xfId="4" applyFill="1" applyBorder="1" applyAlignment="1">
      <alignment horizontal="center" vertical="center"/>
    </xf>
    <xf numFmtId="0" fontId="1" fillId="2277" borderId="10" xfId="4" applyFill="1" applyBorder="1" applyAlignment="1">
      <alignment horizontal="center" vertical="center"/>
    </xf>
    <xf numFmtId="0" fontId="1" fillId="2172" borderId="10" xfId="4" applyFill="1" applyBorder="1" applyAlignment="1">
      <alignment horizontal="center" vertical="center"/>
    </xf>
    <xf numFmtId="0" fontId="1" fillId="2279" borderId="10" xfId="4" applyFill="1" applyBorder="1" applyAlignment="1">
      <alignment horizontal="center" vertical="center"/>
    </xf>
    <xf numFmtId="0" fontId="1" fillId="2556" borderId="12" xfId="4" applyFill="1" applyBorder="1" applyAlignment="1">
      <alignment horizontal="center" vertical="center"/>
    </xf>
    <xf numFmtId="0" fontId="1" fillId="2557" borderId="0" xfId="4" applyFill="1" applyAlignment="1">
      <alignment horizontal="center" vertical="center"/>
    </xf>
    <xf numFmtId="0" fontId="1" fillId="2558" borderId="0" xfId="4" applyFill="1" applyAlignment="1">
      <alignment horizontal="center" vertical="center"/>
    </xf>
    <xf numFmtId="0" fontId="1" fillId="2559" borderId="0" xfId="4" applyFill="1" applyAlignment="1">
      <alignment horizontal="center" vertical="center"/>
    </xf>
    <xf numFmtId="0" fontId="1" fillId="2560" borderId="0" xfId="4" applyFill="1" applyAlignment="1">
      <alignment horizontal="center" vertical="center"/>
    </xf>
    <xf numFmtId="0" fontId="1" fillId="2561" borderId="0" xfId="4" applyFill="1" applyAlignment="1">
      <alignment horizontal="center" vertical="center"/>
    </xf>
    <xf numFmtId="0" fontId="1" fillId="2562" borderId="0" xfId="4" applyFill="1" applyAlignment="1">
      <alignment horizontal="center" vertical="center"/>
    </xf>
    <xf numFmtId="0" fontId="1" fillId="2563" borderId="0" xfId="4" applyFill="1" applyAlignment="1">
      <alignment horizontal="center" vertical="center"/>
    </xf>
    <xf numFmtId="0" fontId="1" fillId="2564" borderId="0" xfId="4" applyFill="1" applyAlignment="1">
      <alignment horizontal="center" vertical="center"/>
    </xf>
    <xf numFmtId="0" fontId="1" fillId="2565" borderId="0" xfId="4" applyFill="1" applyAlignment="1">
      <alignment horizontal="center" vertical="center"/>
    </xf>
    <xf numFmtId="0" fontId="1" fillId="2566" borderId="0" xfId="4" applyFill="1" applyAlignment="1">
      <alignment horizontal="center" vertical="center"/>
    </xf>
    <xf numFmtId="0" fontId="1" fillId="2567" borderId="0" xfId="4" applyFill="1" applyAlignment="1">
      <alignment horizontal="center" vertical="center"/>
    </xf>
    <xf numFmtId="0" fontId="1" fillId="2568" borderId="0" xfId="4" applyFill="1" applyAlignment="1">
      <alignment horizontal="center" vertical="center"/>
    </xf>
    <xf numFmtId="0" fontId="1" fillId="2569" borderId="0" xfId="4" applyFill="1" applyAlignment="1">
      <alignment horizontal="center" vertical="center"/>
    </xf>
    <xf numFmtId="0" fontId="1" fillId="2379" borderId="0" xfId="4" applyFill="1" applyAlignment="1">
      <alignment horizontal="left" vertical="center"/>
    </xf>
    <xf numFmtId="0" fontId="1" fillId="2570" borderId="0" xfId="4" applyFill="1" applyAlignment="1">
      <alignment horizontal="left" vertical="center"/>
    </xf>
    <xf numFmtId="0" fontId="1" fillId="2571" borderId="0" xfId="4" applyFill="1" applyAlignment="1">
      <alignment horizontal="left" vertical="center"/>
    </xf>
    <xf numFmtId="0" fontId="1" fillId="2572" borderId="0" xfId="4" applyFill="1" applyAlignment="1">
      <alignment horizontal="left" vertical="center"/>
    </xf>
    <xf numFmtId="0" fontId="1" fillId="2078" borderId="0" xfId="4" applyFill="1" applyAlignment="1">
      <alignment horizontal="left" vertical="center"/>
    </xf>
    <xf numFmtId="0" fontId="1" fillId="280" borderId="0" xfId="4" applyFill="1" applyAlignment="1">
      <alignment horizontal="center" vertical="center"/>
    </xf>
    <xf numFmtId="0" fontId="1" fillId="2573" borderId="0" xfId="4" applyFill="1" applyAlignment="1">
      <alignment horizontal="center" vertical="center"/>
    </xf>
    <xf numFmtId="0" fontId="1" fillId="2574" borderId="0" xfId="4" applyFill="1" applyAlignment="1">
      <alignment horizontal="center" vertical="center"/>
    </xf>
    <xf numFmtId="0" fontId="1" fillId="2575" borderId="0" xfId="4" applyFill="1" applyAlignment="1">
      <alignment horizontal="center" vertical="center"/>
    </xf>
    <xf numFmtId="0" fontId="1" fillId="2576" borderId="0" xfId="4" applyFill="1" applyAlignment="1">
      <alignment vertical="center"/>
    </xf>
    <xf numFmtId="0" fontId="1" fillId="2577" borderId="0" xfId="4" applyFill="1" applyAlignment="1">
      <alignment vertical="center"/>
    </xf>
    <xf numFmtId="0" fontId="1" fillId="2578" borderId="0" xfId="4" applyFill="1" applyAlignment="1">
      <alignment vertical="center"/>
    </xf>
    <xf numFmtId="0" fontId="1" fillId="2579" borderId="0" xfId="4" applyFill="1" applyAlignment="1">
      <alignment vertical="center"/>
    </xf>
    <xf numFmtId="0" fontId="1" fillId="2580" borderId="0" xfId="4" applyFill="1" applyAlignment="1">
      <alignment horizontal="center" vertical="center"/>
    </xf>
    <xf numFmtId="0" fontId="1" fillId="2581" borderId="0" xfId="4" applyFill="1" applyAlignment="1">
      <alignment horizontal="center" vertical="center"/>
    </xf>
    <xf numFmtId="0" fontId="1" fillId="2582" borderId="0" xfId="4" applyFill="1" applyAlignment="1">
      <alignment horizontal="center" vertical="center"/>
    </xf>
    <xf numFmtId="0" fontId="1" fillId="2583" borderId="0" xfId="4" applyFill="1" applyAlignment="1">
      <alignment horizontal="center" vertical="center"/>
    </xf>
    <xf numFmtId="0" fontId="1" fillId="2584" borderId="0" xfId="4" applyFill="1" applyAlignment="1">
      <alignment horizontal="center" vertical="center"/>
    </xf>
    <xf numFmtId="0" fontId="1" fillId="2585" borderId="0" xfId="4" applyFill="1" applyAlignment="1">
      <alignment horizontal="center" vertical="center"/>
    </xf>
    <xf numFmtId="0" fontId="1" fillId="2586" borderId="0" xfId="4" applyFill="1" applyAlignment="1">
      <alignment horizontal="left" vertical="center"/>
    </xf>
    <xf numFmtId="0" fontId="1" fillId="2587" borderId="0" xfId="4" applyFill="1" applyAlignment="1">
      <alignment horizontal="center" vertical="center"/>
    </xf>
    <xf numFmtId="0" fontId="1" fillId="2588" borderId="0" xfId="4" applyFill="1" applyAlignment="1">
      <alignment horizontal="center" vertical="center"/>
    </xf>
    <xf numFmtId="0" fontId="1" fillId="2589" borderId="0" xfId="4" applyFill="1" applyAlignment="1">
      <alignment horizontal="center" vertical="center"/>
    </xf>
    <xf numFmtId="0" fontId="1" fillId="2590" borderId="0" xfId="4" applyFill="1" applyAlignment="1">
      <alignment horizontal="center" vertical="center"/>
    </xf>
    <xf numFmtId="0" fontId="1" fillId="2591" borderId="0" xfId="4" applyFill="1" applyAlignment="1">
      <alignment horizontal="center" vertical="center"/>
    </xf>
    <xf numFmtId="0" fontId="1" fillId="2592" borderId="0" xfId="4" applyFill="1" applyAlignment="1">
      <alignment horizontal="center" vertical="center"/>
    </xf>
    <xf numFmtId="0" fontId="1" fillId="2593" borderId="0" xfId="4" applyFill="1" applyAlignment="1">
      <alignment horizontal="center" vertical="center"/>
    </xf>
    <xf numFmtId="0" fontId="1" fillId="2594" borderId="0" xfId="4" applyFill="1" applyAlignment="1">
      <alignment horizontal="center" vertical="center"/>
    </xf>
    <xf numFmtId="0" fontId="1" fillId="2595" borderId="0" xfId="4" applyFill="1" applyAlignment="1">
      <alignment horizontal="center" vertical="center"/>
    </xf>
    <xf numFmtId="0" fontId="1" fillId="2596" borderId="0" xfId="4" applyFill="1" applyAlignment="1">
      <alignment horizontal="center" vertical="center"/>
    </xf>
    <xf numFmtId="0" fontId="1" fillId="2597" borderId="0" xfId="4" applyFill="1" applyAlignment="1">
      <alignment horizontal="center" vertical="center"/>
    </xf>
    <xf numFmtId="0" fontId="1" fillId="2598" borderId="0" xfId="4" applyFill="1" applyAlignment="1">
      <alignment horizontal="center" vertical="center"/>
    </xf>
    <xf numFmtId="0" fontId="1" fillId="2599" borderId="0" xfId="4" applyFill="1" applyAlignment="1">
      <alignment horizontal="center" vertical="center"/>
    </xf>
    <xf numFmtId="0" fontId="1" fillId="2600" borderId="0" xfId="4" applyFill="1" applyAlignment="1">
      <alignment horizontal="center" vertical="center"/>
    </xf>
    <xf numFmtId="0" fontId="1" fillId="2601" borderId="0" xfId="4" applyFill="1" applyAlignment="1">
      <alignment horizontal="center" vertical="center"/>
    </xf>
    <xf numFmtId="0" fontId="1" fillId="2602" borderId="0" xfId="4" applyFill="1" applyAlignment="1">
      <alignment horizontal="center" vertical="center"/>
    </xf>
    <xf numFmtId="0" fontId="1" fillId="2603" borderId="0" xfId="4" applyFill="1" applyAlignment="1">
      <alignment horizontal="center" vertical="center"/>
    </xf>
    <xf numFmtId="0" fontId="1" fillId="2604" borderId="0" xfId="4" applyFill="1" applyAlignment="1">
      <alignment horizontal="center" vertical="center"/>
    </xf>
    <xf numFmtId="0" fontId="1" fillId="2605" borderId="0" xfId="4" applyFill="1" applyAlignment="1">
      <alignment horizontal="center" vertical="center"/>
    </xf>
    <xf numFmtId="0" fontId="1" fillId="2606" borderId="0" xfId="4" applyFill="1" applyAlignment="1">
      <alignment horizontal="center" vertical="center"/>
    </xf>
    <xf numFmtId="0" fontId="1" fillId="2607" borderId="0" xfId="4" applyFill="1" applyAlignment="1">
      <alignment horizontal="center" vertical="center"/>
    </xf>
    <xf numFmtId="0" fontId="1" fillId="2608" borderId="0" xfId="4" applyFill="1" applyAlignment="1">
      <alignment horizontal="center" vertical="center"/>
    </xf>
    <xf numFmtId="0" fontId="1" fillId="2609" borderId="0" xfId="4" applyFill="1" applyAlignment="1">
      <alignment horizontal="center" vertical="center"/>
    </xf>
    <xf numFmtId="0" fontId="1" fillId="2610" borderId="0" xfId="4" applyFill="1" applyAlignment="1">
      <alignment horizontal="center" vertical="center"/>
    </xf>
    <xf numFmtId="0" fontId="1" fillId="2611" borderId="0" xfId="4" applyFill="1" applyAlignment="1">
      <alignment horizontal="center" vertical="center"/>
    </xf>
    <xf numFmtId="0" fontId="1" fillId="2612" borderId="0" xfId="4" applyFill="1" applyAlignment="1">
      <alignment horizontal="center" vertical="center"/>
    </xf>
    <xf numFmtId="0" fontId="1" fillId="2613" borderId="0" xfId="4" applyFill="1" applyAlignment="1">
      <alignment horizontal="center" vertical="center"/>
    </xf>
    <xf numFmtId="0" fontId="1" fillId="2614" borderId="0" xfId="4" applyFill="1" applyAlignment="1">
      <alignment horizontal="center" vertical="center"/>
    </xf>
    <xf numFmtId="0" fontId="1" fillId="2615" borderId="0" xfId="4" applyFill="1" applyAlignment="1">
      <alignment horizontal="center" vertical="center"/>
    </xf>
    <xf numFmtId="0" fontId="1" fillId="2616" borderId="0" xfId="4" applyFill="1" applyAlignment="1">
      <alignment horizontal="center" vertical="center"/>
    </xf>
    <xf numFmtId="0" fontId="1" fillId="2617" borderId="0" xfId="4" applyFill="1" applyAlignment="1">
      <alignment horizontal="center" vertical="center"/>
    </xf>
    <xf numFmtId="0" fontId="1" fillId="2049" borderId="23" xfId="4" applyFill="1" applyBorder="1" applyAlignment="1">
      <alignment horizontal="center" vertical="center"/>
    </xf>
    <xf numFmtId="0" fontId="1" fillId="2618" borderId="23" xfId="4" applyFill="1" applyBorder="1" applyAlignment="1">
      <alignment horizontal="center" vertical="center"/>
    </xf>
    <xf numFmtId="0" fontId="1" fillId="2619" borderId="23" xfId="4" applyFill="1" applyBorder="1" applyAlignment="1">
      <alignment horizontal="center" vertical="center"/>
    </xf>
    <xf numFmtId="0" fontId="1" fillId="2283" borderId="23" xfId="4" applyFill="1" applyBorder="1" applyAlignment="1">
      <alignment horizontal="center" vertical="center"/>
    </xf>
    <xf numFmtId="0" fontId="1" fillId="2620" borderId="24" xfId="4" applyFill="1" applyBorder="1" applyAlignment="1">
      <alignment horizontal="center" vertical="center"/>
    </xf>
    <xf numFmtId="0" fontId="1" fillId="2621" borderId="0" xfId="4" applyFill="1" applyAlignment="1">
      <alignment horizontal="center" vertical="center"/>
    </xf>
    <xf numFmtId="0" fontId="1" fillId="2622" borderId="0" xfId="4" applyFill="1" applyAlignment="1">
      <alignment horizontal="center" vertical="center"/>
    </xf>
    <xf numFmtId="0" fontId="1" fillId="2623" borderId="0" xfId="4" applyFill="1" applyAlignment="1">
      <alignment horizontal="center" vertical="center"/>
    </xf>
    <xf numFmtId="0" fontId="1" fillId="2624" borderId="0" xfId="4" applyFill="1" applyAlignment="1">
      <alignment horizontal="center" vertical="center"/>
    </xf>
    <xf numFmtId="0" fontId="1" fillId="2625" borderId="0" xfId="4" applyFill="1" applyAlignment="1">
      <alignment horizontal="center" vertical="center"/>
    </xf>
    <xf numFmtId="0" fontId="1" fillId="2626" borderId="0" xfId="4" applyFill="1" applyAlignment="1">
      <alignment horizontal="left" vertical="center"/>
    </xf>
    <xf numFmtId="0" fontId="1" fillId="2627" borderId="0" xfId="4" applyFill="1" applyAlignment="1">
      <alignment horizontal="left" vertical="center"/>
    </xf>
    <xf numFmtId="0" fontId="1" fillId="2628" borderId="0" xfId="4" applyFill="1" applyAlignment="1">
      <alignment horizontal="left" vertical="center"/>
    </xf>
    <xf numFmtId="0" fontId="1" fillId="2629" borderId="0" xfId="4" applyFill="1" applyAlignment="1">
      <alignment horizontal="left" vertical="center"/>
    </xf>
    <xf numFmtId="0" fontId="1" fillId="87" borderId="0" xfId="4" applyFill="1" applyAlignment="1">
      <alignment horizontal="left" vertical="center"/>
    </xf>
    <xf numFmtId="0" fontId="1" fillId="2630" borderId="0" xfId="4" applyFill="1" applyAlignment="1">
      <alignment horizontal="center" vertical="center"/>
    </xf>
    <xf numFmtId="0" fontId="1" fillId="251" borderId="0" xfId="4" applyFill="1" applyAlignment="1">
      <alignment horizontal="center" vertical="center"/>
    </xf>
    <xf numFmtId="0" fontId="1" fillId="2631" borderId="0" xfId="4" applyFill="1" applyAlignment="1">
      <alignment horizontal="center" vertical="center"/>
    </xf>
    <xf numFmtId="0" fontId="1" fillId="2632" borderId="0" xfId="4" applyFill="1" applyAlignment="1">
      <alignment horizontal="center" vertical="center"/>
    </xf>
    <xf numFmtId="0" fontId="1" fillId="2633" borderId="0" xfId="4" applyFill="1" applyAlignment="1">
      <alignment horizontal="center" vertical="center"/>
    </xf>
    <xf numFmtId="0" fontId="1" fillId="2634" borderId="0" xfId="4" applyFill="1" applyAlignment="1">
      <alignment horizontal="center" vertical="center"/>
    </xf>
    <xf numFmtId="0" fontId="1" fillId="2635" borderId="0" xfId="4" applyFill="1" applyAlignment="1">
      <alignment vertical="center"/>
    </xf>
    <xf numFmtId="0" fontId="1" fillId="2636" borderId="0" xfId="4" applyFill="1" applyAlignment="1">
      <alignment vertical="center"/>
    </xf>
    <xf numFmtId="0" fontId="1" fillId="2637" borderId="0" xfId="4" applyFill="1" applyAlignment="1">
      <alignment vertical="center"/>
    </xf>
    <xf numFmtId="0" fontId="1" fillId="2638" borderId="0" xfId="4" applyFill="1" applyAlignment="1">
      <alignment vertical="center"/>
    </xf>
    <xf numFmtId="0" fontId="1" fillId="2639" borderId="0" xfId="4" applyFill="1" applyAlignment="1">
      <alignment horizontal="center" vertical="center"/>
    </xf>
    <xf numFmtId="0" fontId="1" fillId="2640" borderId="0" xfId="4" applyFill="1" applyAlignment="1">
      <alignment horizontal="center" vertical="center"/>
    </xf>
    <xf numFmtId="0" fontId="1" fillId="2641" borderId="0" xfId="4" applyFill="1" applyAlignment="1">
      <alignment horizontal="center" vertical="center"/>
    </xf>
    <xf numFmtId="0" fontId="1" fillId="2642" borderId="0" xfId="4" applyFill="1" applyAlignment="1">
      <alignment horizontal="center" vertical="center"/>
    </xf>
    <xf numFmtId="0" fontId="1" fillId="2641" borderId="0" xfId="4" applyFill="1" applyAlignment="1">
      <alignment horizontal="left" vertical="center"/>
    </xf>
    <xf numFmtId="0" fontId="1" fillId="2643" borderId="0" xfId="4" applyFill="1" applyAlignment="1">
      <alignment horizontal="center" vertical="center"/>
    </xf>
    <xf numFmtId="0" fontId="1" fillId="2644" borderId="0" xfId="4" applyFill="1" applyAlignment="1">
      <alignment horizontal="center" vertical="center"/>
    </xf>
    <xf numFmtId="0" fontId="1" fillId="2645" borderId="0" xfId="4" applyFill="1" applyAlignment="1">
      <alignment horizontal="center" vertical="center"/>
    </xf>
    <xf numFmtId="0" fontId="1" fillId="2646" borderId="0" xfId="4" applyFill="1" applyAlignment="1">
      <alignment horizontal="center" vertical="center"/>
    </xf>
    <xf numFmtId="0" fontId="1" fillId="2647" borderId="0" xfId="4" applyFill="1" applyAlignment="1">
      <alignment horizontal="center" vertical="center"/>
    </xf>
    <xf numFmtId="0" fontId="1" fillId="2648" borderId="0" xfId="4" applyFill="1" applyAlignment="1">
      <alignment horizontal="center" vertical="center"/>
    </xf>
    <xf numFmtId="0" fontId="1" fillId="2649" borderId="0" xfId="4" applyFill="1" applyAlignment="1">
      <alignment horizontal="center" vertical="center"/>
    </xf>
    <xf numFmtId="0" fontId="1" fillId="2650" borderId="0" xfId="4" applyFill="1" applyAlignment="1">
      <alignment horizontal="center" vertical="center"/>
    </xf>
    <xf numFmtId="0" fontId="1" fillId="2651" borderId="0" xfId="4" applyFill="1" applyAlignment="1">
      <alignment horizontal="center" vertical="center"/>
    </xf>
    <xf numFmtId="0" fontId="1" fillId="2652" borderId="0" xfId="4" applyFill="1" applyAlignment="1">
      <alignment horizontal="center" vertical="center"/>
    </xf>
    <xf numFmtId="0" fontId="1" fillId="1303" borderId="0" xfId="4" applyFill="1" applyAlignment="1">
      <alignment horizontal="center" vertical="center"/>
    </xf>
    <xf numFmtId="0" fontId="1" fillId="2653" borderId="0" xfId="4" applyFill="1" applyAlignment="1">
      <alignment horizontal="center" vertical="center"/>
    </xf>
    <xf numFmtId="0" fontId="1" fillId="2654" borderId="0" xfId="4" applyFill="1" applyAlignment="1">
      <alignment horizontal="center" vertical="center"/>
    </xf>
    <xf numFmtId="0" fontId="1" fillId="2655" borderId="0" xfId="4" applyFill="1" applyAlignment="1">
      <alignment horizontal="center" vertical="center"/>
    </xf>
    <xf numFmtId="0" fontId="1" fillId="2656" borderId="0" xfId="4" applyFill="1" applyAlignment="1">
      <alignment horizontal="center" vertical="center"/>
    </xf>
    <xf numFmtId="0" fontId="1" fillId="2657" borderId="0" xfId="4" applyFill="1" applyAlignment="1">
      <alignment horizontal="center" vertical="center"/>
    </xf>
    <xf numFmtId="0" fontId="1" fillId="2658" borderId="0" xfId="4" applyFill="1" applyAlignment="1">
      <alignment horizontal="center" vertical="center"/>
    </xf>
    <xf numFmtId="0" fontId="1" fillId="2659" borderId="0" xfId="4" applyFill="1" applyAlignment="1">
      <alignment horizontal="center" vertical="center"/>
    </xf>
    <xf numFmtId="0" fontId="1" fillId="2660" borderId="0" xfId="4" applyFill="1" applyAlignment="1">
      <alignment horizontal="center" vertical="center"/>
    </xf>
    <xf numFmtId="0" fontId="1" fillId="2661" borderId="0" xfId="4" applyFill="1" applyAlignment="1">
      <alignment horizontal="center" vertical="center"/>
    </xf>
    <xf numFmtId="0" fontId="1" fillId="2662" borderId="0" xfId="4" applyFill="1" applyAlignment="1">
      <alignment horizontal="center" vertical="center"/>
    </xf>
    <xf numFmtId="0" fontId="1" fillId="2663" borderId="0" xfId="4" applyFill="1" applyAlignment="1">
      <alignment horizontal="center" vertical="center"/>
    </xf>
    <xf numFmtId="0" fontId="1" fillId="2046" borderId="25" xfId="4" applyFill="1" applyBorder="1" applyAlignment="1">
      <alignment horizontal="center" vertical="center"/>
    </xf>
    <xf numFmtId="0" fontId="1" fillId="2664" borderId="0" xfId="4" applyFill="1" applyAlignment="1">
      <alignment horizontal="center" vertical="center"/>
    </xf>
    <xf numFmtId="0" fontId="1" fillId="2665" borderId="0" xfId="4" applyFill="1" applyAlignment="1">
      <alignment horizontal="center" vertical="center"/>
    </xf>
    <xf numFmtId="0" fontId="1" fillId="2121" borderId="26" xfId="4" applyFill="1" applyBorder="1" applyAlignment="1">
      <alignment horizontal="center" vertical="center"/>
    </xf>
    <xf numFmtId="0" fontId="1" fillId="2666" borderId="0" xfId="4" applyFill="1" applyAlignment="1">
      <alignment horizontal="center" vertical="center"/>
    </xf>
    <xf numFmtId="0" fontId="1" fillId="2667" borderId="0" xfId="4" applyFill="1" applyAlignment="1">
      <alignment horizontal="center" vertical="center"/>
    </xf>
    <xf numFmtId="0" fontId="1" fillId="2668" borderId="0" xfId="4" applyFill="1" applyAlignment="1">
      <alignment horizontal="center" vertical="center"/>
    </xf>
    <xf numFmtId="0" fontId="1" fillId="2669" borderId="0" xfId="4" applyFill="1" applyAlignment="1">
      <alignment horizontal="center" vertical="center"/>
    </xf>
    <xf numFmtId="0" fontId="1" fillId="2670" borderId="0" xfId="4" applyFill="1" applyAlignment="1">
      <alignment horizontal="center" vertical="center"/>
    </xf>
    <xf numFmtId="0" fontId="1" fillId="2671" borderId="0" xfId="4" applyFill="1" applyAlignment="1">
      <alignment horizontal="left" vertical="center"/>
    </xf>
    <xf numFmtId="0" fontId="1" fillId="2672" borderId="0" xfId="4" applyFill="1" applyAlignment="1">
      <alignment horizontal="left" vertical="center"/>
    </xf>
    <xf numFmtId="0" fontId="1" fillId="2673" borderId="0" xfId="4" applyFill="1" applyAlignment="1">
      <alignment horizontal="left" vertical="center"/>
    </xf>
    <xf numFmtId="0" fontId="1" fillId="2674" borderId="0" xfId="4" applyFill="1" applyAlignment="1">
      <alignment horizontal="left" vertical="center"/>
    </xf>
    <xf numFmtId="0" fontId="1" fillId="2675" borderId="0" xfId="4" applyFill="1" applyAlignment="1">
      <alignment horizontal="left" vertical="center"/>
    </xf>
    <xf numFmtId="0" fontId="1" fillId="2676" borderId="0" xfId="4" applyFill="1" applyAlignment="1">
      <alignment horizontal="left" vertical="center"/>
    </xf>
    <xf numFmtId="0" fontId="1" fillId="1688" borderId="0" xfId="4" applyFill="1" applyAlignment="1">
      <alignment horizontal="left" vertical="center"/>
    </xf>
    <xf numFmtId="0" fontId="1" fillId="2677" borderId="0" xfId="4" applyFill="1" applyAlignment="1">
      <alignment horizontal="center" vertical="center"/>
    </xf>
    <xf numFmtId="0" fontId="1" fillId="2678" borderId="0" xfId="4" applyFill="1" applyAlignment="1">
      <alignment horizontal="center" vertical="center"/>
    </xf>
    <xf numFmtId="0" fontId="1" fillId="2679" borderId="0" xfId="4" applyFill="1" applyAlignment="1">
      <alignment horizontal="center" vertical="center"/>
    </xf>
    <xf numFmtId="0" fontId="1" fillId="2680" borderId="0" xfId="4" applyFill="1" applyAlignment="1">
      <alignment horizontal="center" vertical="center"/>
    </xf>
    <xf numFmtId="0" fontId="1" fillId="2681" borderId="0" xfId="4" applyFill="1" applyAlignment="1">
      <alignment horizontal="center" vertical="center"/>
    </xf>
    <xf numFmtId="0" fontId="1" fillId="2682" borderId="0" xfId="4" applyFill="1" applyAlignment="1">
      <alignment horizontal="center" vertical="center"/>
    </xf>
    <xf numFmtId="0" fontId="1" fillId="2683" borderId="0" xfId="4" applyFill="1" applyAlignment="1">
      <alignment vertical="center"/>
    </xf>
    <xf numFmtId="0" fontId="1" fillId="2581" borderId="0" xfId="4" applyFill="1" applyAlignment="1">
      <alignment vertical="center"/>
    </xf>
    <xf numFmtId="0" fontId="1" fillId="2684" borderId="0" xfId="4" applyFill="1" applyAlignment="1">
      <alignment vertical="center"/>
    </xf>
    <xf numFmtId="0" fontId="1" fillId="2685" borderId="0" xfId="4" applyFill="1" applyAlignment="1">
      <alignment horizontal="center" vertical="center"/>
    </xf>
    <xf numFmtId="0" fontId="1" fillId="2586" borderId="0" xfId="4" applyFill="1" applyAlignment="1">
      <alignment horizontal="center" vertical="center"/>
    </xf>
    <xf numFmtId="0" fontId="1" fillId="2638" borderId="0" xfId="4" applyFill="1" applyAlignment="1">
      <alignment horizontal="left" vertical="center"/>
    </xf>
    <xf numFmtId="0" fontId="1" fillId="2638" borderId="0" xfId="4" applyFill="1" applyAlignment="1">
      <alignment horizontal="center" vertical="center"/>
    </xf>
    <xf numFmtId="0" fontId="1" fillId="2686" borderId="0" xfId="4" applyFill="1" applyAlignment="1">
      <alignment horizontal="center" vertical="center"/>
    </xf>
    <xf numFmtId="0" fontId="1" fillId="2687" borderId="0" xfId="4" applyFill="1" applyAlignment="1">
      <alignment horizontal="center" vertical="center"/>
    </xf>
    <xf numFmtId="0" fontId="1" fillId="2688" borderId="0" xfId="4" applyFill="1" applyAlignment="1">
      <alignment horizontal="center" vertical="center"/>
    </xf>
    <xf numFmtId="0" fontId="1" fillId="2689" borderId="0" xfId="4" applyFill="1" applyAlignment="1">
      <alignment horizontal="center" vertical="center"/>
    </xf>
    <xf numFmtId="0" fontId="1" fillId="2690" borderId="0" xfId="4" applyFill="1" applyAlignment="1">
      <alignment horizontal="center" vertical="center"/>
    </xf>
    <xf numFmtId="0" fontId="1" fillId="2691" borderId="0" xfId="4" applyFill="1" applyAlignment="1">
      <alignment horizontal="center" vertical="center"/>
    </xf>
    <xf numFmtId="0" fontId="1" fillId="2692" borderId="0" xfId="4" applyFill="1" applyAlignment="1">
      <alignment horizontal="center" vertical="center"/>
    </xf>
    <xf numFmtId="0" fontId="1" fillId="2693" borderId="0" xfId="4" applyFill="1" applyAlignment="1">
      <alignment horizontal="center" vertical="center"/>
    </xf>
    <xf numFmtId="0" fontId="1" fillId="2694" borderId="0" xfId="4" applyFill="1" applyAlignment="1">
      <alignment horizontal="center" vertical="center"/>
    </xf>
    <xf numFmtId="0" fontId="1" fillId="2695" borderId="0" xfId="4" applyFill="1" applyAlignment="1">
      <alignment horizontal="center" vertical="center"/>
    </xf>
    <xf numFmtId="0" fontId="1" fillId="2696" borderId="0" xfId="4" applyFill="1" applyAlignment="1">
      <alignment horizontal="center" vertical="center"/>
    </xf>
    <xf numFmtId="0" fontId="1" fillId="2697" borderId="0" xfId="4" applyFill="1" applyAlignment="1">
      <alignment horizontal="center" vertical="center"/>
    </xf>
    <xf numFmtId="0" fontId="1" fillId="2698" borderId="0" xfId="4" applyFill="1" applyAlignment="1">
      <alignment horizontal="center" vertical="center"/>
    </xf>
    <xf numFmtId="0" fontId="1" fillId="2699" borderId="0" xfId="4" applyFill="1" applyAlignment="1">
      <alignment horizontal="center" vertical="center"/>
    </xf>
    <xf numFmtId="0" fontId="1" fillId="2700" borderId="0" xfId="4" applyFill="1" applyAlignment="1">
      <alignment horizontal="center" vertical="center"/>
    </xf>
    <xf numFmtId="0" fontId="1" fillId="740" borderId="0" xfId="4" applyFill="1" applyAlignment="1">
      <alignment horizontal="center" vertical="center"/>
    </xf>
    <xf numFmtId="0" fontId="1" fillId="2701" borderId="0" xfId="4" applyFill="1" applyAlignment="1">
      <alignment horizontal="center" vertical="center"/>
    </xf>
    <xf numFmtId="0" fontId="1" fillId="2702" borderId="0" xfId="4" applyFill="1" applyAlignment="1">
      <alignment horizontal="center" vertical="center"/>
    </xf>
    <xf numFmtId="0" fontId="1" fillId="2556" borderId="0" xfId="4" applyFill="1" applyAlignment="1">
      <alignment horizontal="center" vertical="center"/>
    </xf>
    <xf numFmtId="0" fontId="1" fillId="2703" borderId="0" xfId="4" applyFill="1" applyAlignment="1">
      <alignment horizontal="center" vertical="center"/>
    </xf>
    <xf numFmtId="0" fontId="1" fillId="2704" borderId="0" xfId="4" applyFill="1" applyAlignment="1">
      <alignment horizontal="center" vertical="center"/>
    </xf>
    <xf numFmtId="0" fontId="1" fillId="2705" borderId="0" xfId="4" applyFill="1" applyAlignment="1">
      <alignment horizontal="center" vertical="center"/>
    </xf>
    <xf numFmtId="0" fontId="1" fillId="2120" borderId="25" xfId="4" applyFill="1" applyBorder="1" applyAlignment="1">
      <alignment horizontal="center" vertical="center"/>
    </xf>
    <xf numFmtId="0" fontId="1" fillId="2706" borderId="0" xfId="4" applyFill="1" applyAlignment="1">
      <alignment horizontal="center" vertical="center"/>
    </xf>
    <xf numFmtId="0" fontId="1" fillId="2560" borderId="26" xfId="4" applyFill="1" applyBorder="1" applyAlignment="1">
      <alignment horizontal="center" vertical="center"/>
    </xf>
    <xf numFmtId="0" fontId="1" fillId="2707" borderId="0" xfId="4" applyFill="1" applyAlignment="1">
      <alignment horizontal="center" vertical="center"/>
    </xf>
    <xf numFmtId="0" fontId="1" fillId="2708" borderId="0" xfId="4" applyFill="1" applyAlignment="1">
      <alignment horizontal="center" vertical="center"/>
    </xf>
    <xf numFmtId="0" fontId="1" fillId="2709" borderId="0" xfId="4" applyFill="1" applyAlignment="1">
      <alignment horizontal="center" vertical="center"/>
    </xf>
    <xf numFmtId="0" fontId="1" fillId="2710" borderId="0" xfId="4" applyFill="1" applyAlignment="1">
      <alignment horizontal="center" vertical="center"/>
    </xf>
    <xf numFmtId="0" fontId="1" fillId="2711" borderId="0" xfId="4" applyFill="1" applyAlignment="1">
      <alignment horizontal="center" vertical="center"/>
    </xf>
    <xf numFmtId="0" fontId="1" fillId="2712" borderId="0" xfId="4" applyFill="1" applyAlignment="1">
      <alignment horizontal="center" vertical="center"/>
    </xf>
    <xf numFmtId="0" fontId="1" fillId="2713" borderId="0" xfId="4" applyFill="1" applyAlignment="1">
      <alignment horizontal="left" vertical="center"/>
    </xf>
    <xf numFmtId="0" fontId="1" fillId="2714" borderId="0" xfId="4" applyFill="1" applyAlignment="1">
      <alignment horizontal="left" vertical="center"/>
    </xf>
    <xf numFmtId="0" fontId="1" fillId="2715" borderId="0" xfId="4" applyFill="1" applyAlignment="1">
      <alignment horizontal="left" vertical="center"/>
    </xf>
    <xf numFmtId="0" fontId="1" fillId="2716" borderId="0" xfId="4" applyFill="1" applyAlignment="1">
      <alignment horizontal="left" vertical="center"/>
    </xf>
    <xf numFmtId="0" fontId="1" fillId="1762" borderId="0" xfId="4" applyFill="1" applyAlignment="1">
      <alignment horizontal="left" vertical="center"/>
    </xf>
    <xf numFmtId="0" fontId="1" fillId="1838" borderId="0" xfId="4" applyFill="1" applyAlignment="1">
      <alignment horizontal="left" vertical="center"/>
    </xf>
    <xf numFmtId="0" fontId="1" fillId="2717" borderId="0" xfId="4" applyFill="1" applyAlignment="1">
      <alignment horizontal="center" vertical="center"/>
    </xf>
    <xf numFmtId="0" fontId="1" fillId="2718" borderId="0" xfId="4" applyFill="1" applyAlignment="1">
      <alignment horizontal="center" vertical="center"/>
    </xf>
    <xf numFmtId="0" fontId="1" fillId="2719" borderId="0" xfId="4" applyFill="1" applyAlignment="1">
      <alignment horizontal="center" vertical="center"/>
    </xf>
    <xf numFmtId="0" fontId="1" fillId="2720" borderId="0" xfId="4" applyFill="1" applyAlignment="1">
      <alignment horizontal="center" vertical="center"/>
    </xf>
    <xf numFmtId="0" fontId="1" fillId="2721" borderId="0" xfId="4" applyFill="1" applyAlignment="1">
      <alignment horizontal="center" vertical="center"/>
    </xf>
    <xf numFmtId="0" fontId="1" fillId="2722" borderId="0" xfId="4" applyFill="1" applyAlignment="1">
      <alignment horizontal="center" vertical="center"/>
    </xf>
    <xf numFmtId="0" fontId="1" fillId="2723" borderId="0" xfId="4" applyFill="1" applyAlignment="1">
      <alignment horizontal="center" vertical="center"/>
    </xf>
    <xf numFmtId="0" fontId="1" fillId="2685" borderId="22" xfId="4" applyFill="1" applyBorder="1" applyAlignment="1">
      <alignment horizontal="center" vertical="center"/>
    </xf>
    <xf numFmtId="0" fontId="1" fillId="2641" borderId="23" xfId="4" applyFill="1" applyBorder="1" applyAlignment="1">
      <alignment horizontal="center" vertical="center"/>
    </xf>
    <xf numFmtId="0" fontId="1" fillId="2685" borderId="23" xfId="4" applyFill="1" applyBorder="1" applyAlignment="1">
      <alignment horizontal="center" vertical="center"/>
    </xf>
    <xf numFmtId="0" fontId="1" fillId="2642" borderId="23" xfId="4" applyFill="1" applyBorder="1" applyAlignment="1">
      <alignment horizontal="center" vertical="center"/>
    </xf>
    <xf numFmtId="0" fontId="1" fillId="2584" borderId="23" xfId="4" applyFill="1" applyBorder="1" applyAlignment="1">
      <alignment horizontal="center" vertical="center"/>
    </xf>
    <xf numFmtId="0" fontId="1" fillId="2640" borderId="23" xfId="4" applyFill="1" applyBorder="1" applyAlignment="1">
      <alignment horizontal="center" vertical="center"/>
    </xf>
    <xf numFmtId="0" fontId="1" fillId="2724" borderId="23" xfId="4" applyFill="1" applyBorder="1" applyAlignment="1">
      <alignment horizontal="center" vertical="center"/>
    </xf>
    <xf numFmtId="0" fontId="1" fillId="2644" borderId="23" xfId="4" applyFill="1" applyBorder="1" applyAlignment="1">
      <alignment horizontal="center" vertical="center"/>
    </xf>
    <xf numFmtId="0" fontId="1" fillId="2640" borderId="24" xfId="4" applyFill="1" applyBorder="1" applyAlignment="1">
      <alignment horizontal="center" vertical="center"/>
    </xf>
    <xf numFmtId="0" fontId="1" fillId="2725" borderId="0" xfId="4" applyFill="1" applyAlignment="1">
      <alignment horizontal="center" vertical="center"/>
    </xf>
    <xf numFmtId="0" fontId="1" fillId="2726" borderId="0" xfId="4" applyFill="1" applyAlignment="1">
      <alignment horizontal="center" vertical="center"/>
    </xf>
    <xf numFmtId="0" fontId="1" fillId="2727" borderId="0" xfId="4" applyFill="1" applyAlignment="1">
      <alignment horizontal="center" vertical="center"/>
    </xf>
    <xf numFmtId="0" fontId="1" fillId="2728" borderId="0" xfId="4" applyFill="1" applyAlignment="1">
      <alignment horizontal="center" vertical="center"/>
    </xf>
    <xf numFmtId="0" fontId="1" fillId="2729" borderId="0" xfId="4" applyFill="1" applyAlignment="1">
      <alignment horizontal="center" vertical="center"/>
    </xf>
    <xf numFmtId="0" fontId="1" fillId="2730" borderId="0" xfId="4" applyFill="1" applyAlignment="1">
      <alignment horizontal="center" vertical="center"/>
    </xf>
    <xf numFmtId="0" fontId="1" fillId="2731" borderId="0" xfId="4" applyFill="1" applyAlignment="1">
      <alignment horizontal="center" vertical="center"/>
    </xf>
    <xf numFmtId="0" fontId="1" fillId="2732" borderId="0" xfId="4" applyFill="1" applyAlignment="1">
      <alignment horizontal="center" vertical="center"/>
    </xf>
    <xf numFmtId="0" fontId="1" fillId="2733" borderId="0" xfId="4" applyFill="1" applyAlignment="1">
      <alignment horizontal="center" vertical="center"/>
    </xf>
    <xf numFmtId="0" fontId="1" fillId="2734" borderId="0" xfId="4" applyFill="1" applyAlignment="1">
      <alignment horizontal="center" vertical="center"/>
    </xf>
    <xf numFmtId="0" fontId="1" fillId="2735" borderId="0" xfId="4" applyFill="1" applyAlignment="1">
      <alignment horizontal="center" vertical="center"/>
    </xf>
    <xf numFmtId="0" fontId="1" fillId="2736" borderId="0" xfId="4" applyFill="1" applyAlignment="1">
      <alignment horizontal="center" vertical="center"/>
    </xf>
    <xf numFmtId="0" fontId="1" fillId="2737" borderId="0" xfId="4" applyFill="1" applyAlignment="1">
      <alignment horizontal="center" vertical="center"/>
    </xf>
    <xf numFmtId="0" fontId="1" fillId="2738" borderId="0" xfId="4" applyFill="1" applyAlignment="1">
      <alignment horizontal="center" vertical="center"/>
    </xf>
    <xf numFmtId="0" fontId="1" fillId="2739" borderId="0" xfId="4" applyFill="1" applyAlignment="1">
      <alignment horizontal="center" vertical="center"/>
    </xf>
    <xf numFmtId="0" fontId="1" fillId="2740" borderId="0" xfId="4" applyFill="1" applyAlignment="1">
      <alignment horizontal="center" vertical="center"/>
    </xf>
    <xf numFmtId="0" fontId="1" fillId="2445" borderId="0" xfId="4" applyFill="1" applyAlignment="1">
      <alignment horizontal="center" vertical="center"/>
    </xf>
    <xf numFmtId="0" fontId="1" fillId="2741" borderId="0" xfId="4" applyFill="1" applyAlignment="1">
      <alignment horizontal="center" vertical="center"/>
    </xf>
    <xf numFmtId="0" fontId="1" fillId="2119" borderId="25" xfId="4" applyFill="1" applyBorder="1" applyAlignment="1">
      <alignment horizontal="center" vertical="center"/>
    </xf>
    <xf numFmtId="0" fontId="1" fillId="2742" borderId="0" xfId="4" applyFill="1" applyAlignment="1">
      <alignment horizontal="center" vertical="center"/>
    </xf>
    <xf numFmtId="0" fontId="1" fillId="2743" borderId="26" xfId="4" applyFill="1" applyBorder="1" applyAlignment="1">
      <alignment horizontal="center" vertical="center"/>
    </xf>
    <xf numFmtId="0" fontId="1" fillId="2744" borderId="0" xfId="4" applyFill="1" applyAlignment="1">
      <alignment horizontal="center" vertical="center"/>
    </xf>
    <xf numFmtId="0" fontId="1" fillId="2745" borderId="0" xfId="4" applyFill="1" applyAlignment="1">
      <alignment horizontal="center" vertical="center"/>
    </xf>
    <xf numFmtId="0" fontId="1" fillId="2746" borderId="0" xfId="4" applyFill="1" applyAlignment="1">
      <alignment horizontal="center" vertical="center"/>
    </xf>
    <xf numFmtId="0" fontId="1" fillId="2747" borderId="0" xfId="4" applyFill="1" applyAlignment="1">
      <alignment horizontal="center" vertical="center"/>
    </xf>
    <xf numFmtId="0" fontId="1" fillId="2748" borderId="0" xfId="4" applyFill="1" applyAlignment="1">
      <alignment horizontal="center" vertical="center"/>
    </xf>
    <xf numFmtId="0" fontId="1" fillId="2749" borderId="0" xfId="4" applyFill="1" applyAlignment="1">
      <alignment horizontal="left" vertical="center"/>
    </xf>
    <xf numFmtId="0" fontId="1" fillId="2750" borderId="0" xfId="4" applyFill="1" applyAlignment="1">
      <alignment horizontal="left" vertical="center"/>
    </xf>
    <xf numFmtId="0" fontId="1" fillId="2751" borderId="0" xfId="4" applyFill="1" applyAlignment="1">
      <alignment horizontal="left" vertical="center"/>
    </xf>
    <xf numFmtId="0" fontId="1" fillId="2752" borderId="0" xfId="4" applyFill="1" applyAlignment="1">
      <alignment horizontal="left" vertical="center"/>
    </xf>
    <xf numFmtId="0" fontId="1" fillId="1837" borderId="0" xfId="4" applyFill="1" applyAlignment="1">
      <alignment horizontal="left" vertical="center"/>
    </xf>
    <xf numFmtId="0" fontId="1" fillId="2753" borderId="0" xfId="4" applyFill="1" applyAlignment="1">
      <alignment horizontal="left" vertical="center"/>
    </xf>
    <xf numFmtId="0" fontId="1" fillId="2754" borderId="0" xfId="4" applyFill="1" applyAlignment="1">
      <alignment horizontal="left" vertical="center"/>
    </xf>
    <xf numFmtId="0" fontId="1" fillId="2755" borderId="0" xfId="4" applyFill="1" applyAlignment="1">
      <alignment horizontal="center" vertical="center"/>
    </xf>
    <xf numFmtId="0" fontId="1" fillId="2756" borderId="0" xfId="4" applyFill="1" applyAlignment="1">
      <alignment horizontal="center" vertical="center"/>
    </xf>
    <xf numFmtId="0" fontId="1" fillId="2757" borderId="0" xfId="4" applyFill="1" applyAlignment="1">
      <alignment horizontal="center" vertical="center"/>
    </xf>
    <xf numFmtId="0" fontId="1" fillId="2758" borderId="0" xfId="4" applyFill="1" applyAlignment="1">
      <alignment horizontal="center" vertical="center"/>
    </xf>
    <xf numFmtId="0" fontId="1" fillId="2759" borderId="0" xfId="4" applyFill="1" applyAlignment="1">
      <alignment horizontal="center" vertical="center"/>
    </xf>
    <xf numFmtId="0" fontId="1" fillId="2760" borderId="0" xfId="4" applyFill="1" applyAlignment="1">
      <alignment horizontal="center" vertical="center"/>
    </xf>
    <xf numFmtId="0" fontId="1" fillId="2761" borderId="0" xfId="4" applyFill="1" applyAlignment="1">
      <alignment horizontal="center" vertical="center"/>
    </xf>
    <xf numFmtId="0" fontId="1" fillId="2637" borderId="0" xfId="4" applyFill="1" applyAlignment="1">
      <alignment horizontal="center" vertical="center"/>
    </xf>
    <xf numFmtId="0" fontId="1" fillId="2685" borderId="25" xfId="4" applyFill="1" applyBorder="1" applyAlignment="1">
      <alignment horizontal="center" vertical="center"/>
    </xf>
    <xf numFmtId="0" fontId="1" fillId="2638" borderId="26" xfId="4" applyFill="1" applyBorder="1" applyAlignment="1">
      <alignment horizontal="center" vertical="center"/>
    </xf>
    <xf numFmtId="0" fontId="1" fillId="2762" borderId="0" xfId="4" applyFill="1" applyAlignment="1">
      <alignment horizontal="center" vertical="center"/>
    </xf>
    <xf numFmtId="0" fontId="1" fillId="2763" borderId="0" xfId="4" applyFill="1" applyAlignment="1">
      <alignment horizontal="center" vertical="center"/>
    </xf>
    <xf numFmtId="0" fontId="1" fillId="2764" borderId="0" xfId="4" applyFill="1" applyAlignment="1">
      <alignment horizontal="center" vertical="center"/>
    </xf>
    <xf numFmtId="0" fontId="1" fillId="2765" borderId="0" xfId="4" applyFill="1" applyAlignment="1">
      <alignment horizontal="center" vertical="center"/>
    </xf>
    <xf numFmtId="0" fontId="1" fillId="2766" borderId="0" xfId="4" applyFill="1" applyAlignment="1">
      <alignment horizontal="center" vertical="center"/>
    </xf>
    <xf numFmtId="0" fontId="1" fillId="2767" borderId="0" xfId="4" applyFill="1" applyAlignment="1">
      <alignment horizontal="center" vertical="center"/>
    </xf>
    <xf numFmtId="0" fontId="1" fillId="2768" borderId="0" xfId="4" applyFill="1" applyAlignment="1">
      <alignment horizontal="center" vertical="center"/>
    </xf>
    <xf numFmtId="0" fontId="1" fillId="2769" borderId="0" xfId="4" applyFill="1" applyAlignment="1">
      <alignment horizontal="center" vertical="center"/>
    </xf>
    <xf numFmtId="0" fontId="1" fillId="2770" borderId="0" xfId="4" applyFill="1" applyAlignment="1">
      <alignment horizontal="center" vertical="center"/>
    </xf>
    <xf numFmtId="0" fontId="1" fillId="2771" borderId="0" xfId="4" applyFill="1" applyAlignment="1">
      <alignment horizontal="center" vertical="center"/>
    </xf>
    <xf numFmtId="0" fontId="1" fillId="2772" borderId="0" xfId="4" applyFill="1" applyAlignment="1">
      <alignment horizontal="center" vertical="center"/>
    </xf>
    <xf numFmtId="0" fontId="1" fillId="2773" borderId="0" xfId="4" applyFill="1" applyAlignment="1">
      <alignment horizontal="center" vertical="center"/>
    </xf>
    <xf numFmtId="0" fontId="1" fillId="2774" borderId="0" xfId="4" applyFill="1" applyAlignment="1">
      <alignment horizontal="center" vertical="center"/>
    </xf>
    <xf numFmtId="0" fontId="1" fillId="2775" borderId="0" xfId="4" applyFill="1" applyAlignment="1">
      <alignment horizontal="center" vertical="center"/>
    </xf>
    <xf numFmtId="0" fontId="1" fillId="2776" borderId="0" xfId="4" applyFill="1" applyAlignment="1">
      <alignment horizontal="center" vertical="center"/>
    </xf>
    <xf numFmtId="0" fontId="1" fillId="2777" borderId="0" xfId="4" applyFill="1" applyAlignment="1">
      <alignment horizontal="center" vertical="center"/>
    </xf>
    <xf numFmtId="0" fontId="1" fillId="2225" borderId="11" xfId="4" applyFill="1" applyBorder="1" applyAlignment="1">
      <alignment horizontal="center" vertical="center"/>
    </xf>
    <xf numFmtId="0" fontId="1" fillId="2177" borderId="10" xfId="4" applyFill="1" applyBorder="1" applyAlignment="1">
      <alignment horizontal="center" vertical="center"/>
    </xf>
    <xf numFmtId="0" fontId="1" fillId="2778" borderId="10" xfId="4" applyFill="1" applyBorder="1" applyAlignment="1">
      <alignment horizontal="center" vertical="center"/>
    </xf>
    <xf numFmtId="0" fontId="1" fillId="2047" borderId="10" xfId="4" applyFill="1" applyBorder="1" applyAlignment="1">
      <alignment horizontal="center" vertical="center"/>
    </xf>
    <xf numFmtId="0" fontId="1" fillId="2176" borderId="10" xfId="4" applyFill="1" applyBorder="1" applyAlignment="1">
      <alignment horizontal="center" vertical="center"/>
    </xf>
    <xf numFmtId="0" fontId="1" fillId="2395" borderId="10" xfId="4" applyFill="1" applyBorder="1" applyAlignment="1">
      <alignment horizontal="center" vertical="center"/>
    </xf>
    <xf numFmtId="0" fontId="1" fillId="2779" borderId="12" xfId="4" applyFill="1" applyBorder="1" applyAlignment="1">
      <alignment horizontal="center" vertical="center"/>
    </xf>
    <xf numFmtId="0" fontId="1" fillId="2780" borderId="0" xfId="4" applyFill="1" applyAlignment="1">
      <alignment horizontal="center" vertical="center"/>
    </xf>
    <xf numFmtId="0" fontId="1" fillId="2781" borderId="0" xfId="4" applyFill="1" applyAlignment="1">
      <alignment horizontal="center" vertical="center"/>
    </xf>
    <xf numFmtId="0" fontId="1" fillId="2782" borderId="0" xfId="4" applyFill="1" applyAlignment="1">
      <alignment horizontal="center" vertical="center"/>
    </xf>
    <xf numFmtId="0" fontId="1" fillId="2783" borderId="0" xfId="4" applyFill="1" applyAlignment="1">
      <alignment horizontal="center" vertical="center"/>
    </xf>
    <xf numFmtId="0" fontId="1" fillId="2784" borderId="0" xfId="4" applyFill="1" applyAlignment="1">
      <alignment horizontal="center" vertical="center"/>
    </xf>
    <xf numFmtId="0" fontId="1" fillId="2785" borderId="0" xfId="4" applyFill="1" applyAlignment="1">
      <alignment horizontal="left" vertical="center"/>
    </xf>
    <xf numFmtId="0" fontId="1" fillId="2786" borderId="0" xfId="4" applyFill="1" applyAlignment="1">
      <alignment horizontal="left" vertical="center"/>
    </xf>
    <xf numFmtId="0" fontId="1" fillId="2787" borderId="0" xfId="4" applyFill="1" applyAlignment="1">
      <alignment horizontal="left" vertical="center"/>
    </xf>
    <xf numFmtId="0" fontId="1" fillId="2788" borderId="0" xfId="4" applyFill="1" applyAlignment="1">
      <alignment horizontal="left" vertical="center"/>
    </xf>
    <xf numFmtId="0" fontId="1" fillId="1841" borderId="0" xfId="4" applyFill="1" applyAlignment="1">
      <alignment horizontal="left" vertical="center"/>
    </xf>
    <xf numFmtId="0" fontId="1" fillId="2789" borderId="0" xfId="4" applyFill="1" applyAlignment="1">
      <alignment horizontal="left" vertical="center"/>
    </xf>
    <xf numFmtId="0" fontId="1" fillId="2790" borderId="0" xfId="4" applyFill="1" applyAlignment="1">
      <alignment horizontal="center" vertical="center"/>
    </xf>
    <xf numFmtId="0" fontId="1" fillId="2791" borderId="0" xfId="4" applyFill="1" applyAlignment="1">
      <alignment horizontal="center" vertical="center"/>
    </xf>
    <xf numFmtId="0" fontId="1" fillId="2792" borderId="0" xfId="4" applyFill="1" applyAlignment="1">
      <alignment horizontal="center" vertical="center"/>
    </xf>
    <xf numFmtId="0" fontId="1" fillId="2793" borderId="0" xfId="4" applyFill="1" applyAlignment="1">
      <alignment horizontal="center" vertical="center"/>
    </xf>
    <xf numFmtId="0" fontId="1" fillId="2794" borderId="0" xfId="4" applyFill="1" applyAlignment="1">
      <alignment horizontal="center" vertical="center"/>
    </xf>
    <xf numFmtId="0" fontId="1" fillId="2795" borderId="0" xfId="4" applyFill="1" applyAlignment="1">
      <alignment horizontal="center" vertical="center"/>
    </xf>
    <xf numFmtId="0" fontId="1" fillId="2642" borderId="26" xfId="4" applyFill="1" applyBorder="1" applyAlignment="1">
      <alignment horizontal="center" vertical="center"/>
    </xf>
    <xf numFmtId="0" fontId="1" fillId="2796" borderId="0" xfId="4" applyFill="1" applyAlignment="1">
      <alignment horizontal="center" vertical="center"/>
    </xf>
    <xf numFmtId="0" fontId="1" fillId="2797" borderId="0" xfId="4" applyFill="1" applyAlignment="1">
      <alignment horizontal="center" vertical="center"/>
    </xf>
    <xf numFmtId="0" fontId="1" fillId="2798" borderId="0" xfId="4" applyFill="1" applyAlignment="1">
      <alignment horizontal="center" vertical="center"/>
    </xf>
    <xf numFmtId="0" fontId="1" fillId="2799" borderId="0" xfId="4" applyFill="1" applyAlignment="1">
      <alignment horizontal="center" vertical="center"/>
    </xf>
    <xf numFmtId="0" fontId="1" fillId="2800" borderId="0" xfId="4" applyFill="1" applyAlignment="1">
      <alignment horizontal="center" vertical="center"/>
    </xf>
    <xf numFmtId="0" fontId="1" fillId="2801" borderId="0" xfId="4" applyFill="1" applyAlignment="1">
      <alignment horizontal="center" vertical="center"/>
    </xf>
    <xf numFmtId="0" fontId="1" fillId="2802" borderId="0" xfId="4" applyFill="1" applyAlignment="1">
      <alignment horizontal="center" vertical="center"/>
    </xf>
    <xf numFmtId="0" fontId="1" fillId="2803" borderId="0" xfId="4" applyFill="1" applyAlignment="1">
      <alignment horizontal="center" vertical="center"/>
    </xf>
    <xf numFmtId="0" fontId="1" fillId="2804" borderId="0" xfId="4" applyFill="1" applyAlignment="1">
      <alignment horizontal="center" vertical="center"/>
    </xf>
    <xf numFmtId="0" fontId="1" fillId="2805" borderId="0" xfId="4" applyFill="1" applyAlignment="1">
      <alignment horizontal="center" vertical="center"/>
    </xf>
    <xf numFmtId="0" fontId="1" fillId="2806" borderId="0" xfId="4" applyFill="1" applyAlignment="1">
      <alignment horizontal="center" vertical="center"/>
    </xf>
    <xf numFmtId="0" fontId="1" fillId="2807" borderId="0" xfId="4" applyFill="1" applyAlignment="1">
      <alignment horizontal="center" vertical="center"/>
    </xf>
    <xf numFmtId="0" fontId="1" fillId="2808" borderId="0" xfId="4" applyFill="1" applyAlignment="1">
      <alignment horizontal="center" vertical="center"/>
    </xf>
    <xf numFmtId="0" fontId="1" fillId="2809" borderId="0" xfId="4" applyFill="1" applyAlignment="1">
      <alignment horizontal="center" vertical="center"/>
    </xf>
    <xf numFmtId="0" fontId="1" fillId="2810" borderId="0" xfId="4" applyFill="1" applyAlignment="1">
      <alignment horizontal="center" vertical="center"/>
    </xf>
    <xf numFmtId="0" fontId="1" fillId="2811" borderId="0" xfId="4" applyFill="1" applyAlignment="1">
      <alignment horizontal="center" vertical="center"/>
    </xf>
    <xf numFmtId="0" fontId="1" fillId="2812" borderId="0" xfId="4" applyFill="1" applyAlignment="1">
      <alignment horizontal="center" vertical="center"/>
    </xf>
    <xf numFmtId="0" fontId="1" fillId="2386" borderId="0" xfId="4" applyFill="1" applyAlignment="1">
      <alignment horizontal="center" vertical="center"/>
    </xf>
    <xf numFmtId="0" fontId="1" fillId="2778" borderId="0" xfId="4" applyFill="1" applyAlignment="1">
      <alignment horizontal="center" vertical="center"/>
    </xf>
    <xf numFmtId="0" fontId="1" fillId="2813" borderId="0" xfId="4" applyFill="1" applyAlignment="1">
      <alignment horizontal="center" vertical="center"/>
    </xf>
    <xf numFmtId="0" fontId="1" fillId="2814" borderId="0" xfId="4" applyFill="1" applyAlignment="1">
      <alignment horizontal="center" vertical="center"/>
    </xf>
    <xf numFmtId="0" fontId="1" fillId="2815" borderId="0" xfId="4" applyFill="1" applyAlignment="1">
      <alignment horizontal="center" vertical="center"/>
    </xf>
    <xf numFmtId="0" fontId="1" fillId="2224" borderId="0" xfId="4" applyFill="1" applyAlignment="1">
      <alignment horizontal="left" vertical="center"/>
    </xf>
    <xf numFmtId="0" fontId="1" fillId="2816" borderId="0" xfId="4" applyFill="1" applyAlignment="1">
      <alignment horizontal="center" vertical="center"/>
    </xf>
    <xf numFmtId="0" fontId="1" fillId="2817" borderId="0" xfId="4" applyFill="1" applyAlignment="1">
      <alignment horizontal="center" vertical="center"/>
    </xf>
    <xf numFmtId="0" fontId="1" fillId="2818" borderId="0" xfId="4" applyFill="1" applyAlignment="1">
      <alignment horizontal="center" vertical="center"/>
    </xf>
    <xf numFmtId="0" fontId="1" fillId="2819" borderId="0" xfId="4" applyFill="1" applyAlignment="1">
      <alignment horizontal="center" vertical="center"/>
    </xf>
    <xf numFmtId="0" fontId="1" fillId="2820" borderId="0" xfId="4" applyFill="1" applyAlignment="1">
      <alignment horizontal="center" vertical="center"/>
    </xf>
    <xf numFmtId="0" fontId="1" fillId="2821" borderId="0" xfId="4" applyFill="1" applyAlignment="1">
      <alignment horizontal="center" vertical="center"/>
    </xf>
    <xf numFmtId="0" fontId="1" fillId="2822" borderId="0" xfId="4" applyFill="1" applyAlignment="1">
      <alignment horizontal="center" vertical="center"/>
    </xf>
    <xf numFmtId="0" fontId="1" fillId="2823" borderId="0" xfId="4" applyFill="1" applyAlignment="1">
      <alignment horizontal="center" vertical="center"/>
    </xf>
    <xf numFmtId="0" fontId="1" fillId="2824" borderId="0" xfId="4" applyFill="1" applyAlignment="1">
      <alignment horizontal="center" vertical="center"/>
    </xf>
    <xf numFmtId="0" fontId="1" fillId="2069" borderId="0" xfId="4" applyFill="1" applyAlignment="1">
      <alignment horizontal="left" vertical="center"/>
    </xf>
    <xf numFmtId="0" fontId="1" fillId="2825" borderId="0" xfId="4" applyFill="1" applyAlignment="1">
      <alignment horizontal="left" vertical="center"/>
    </xf>
    <xf numFmtId="0" fontId="1" fillId="2826" borderId="0" xfId="4" applyFill="1" applyAlignment="1">
      <alignment horizontal="left" vertical="center"/>
    </xf>
    <xf numFmtId="0" fontId="1" fillId="2827" borderId="0" xfId="4" applyFill="1" applyAlignment="1">
      <alignment horizontal="center" vertical="center"/>
    </xf>
    <xf numFmtId="0" fontId="1" fillId="2828" borderId="0" xfId="4" applyFill="1" applyAlignment="1">
      <alignment horizontal="center" vertical="center"/>
    </xf>
    <xf numFmtId="0" fontId="1" fillId="2829" borderId="0" xfId="4" applyFill="1" applyAlignment="1">
      <alignment horizontal="center" vertical="center"/>
    </xf>
    <xf numFmtId="0" fontId="1" fillId="2830" borderId="0" xfId="4" applyFill="1" applyAlignment="1">
      <alignment horizontal="center" vertical="center"/>
    </xf>
    <xf numFmtId="0" fontId="1" fillId="2831" borderId="0" xfId="4" applyFill="1" applyAlignment="1">
      <alignment horizontal="center" vertical="center"/>
    </xf>
    <xf numFmtId="0" fontId="1" fillId="2832" borderId="0" xfId="4" applyFill="1" applyAlignment="1">
      <alignment horizontal="center" vertical="center"/>
    </xf>
    <xf numFmtId="0" fontId="1" fillId="2685" borderId="26" xfId="4" applyFill="1" applyBorder="1" applyAlignment="1">
      <alignment horizontal="center" vertical="center"/>
    </xf>
    <xf numFmtId="0" fontId="1" fillId="2833" borderId="0" xfId="4" applyFill="1" applyAlignment="1">
      <alignment horizontal="center" vertical="center"/>
    </xf>
    <xf numFmtId="0" fontId="1" fillId="2834" borderId="0" xfId="4" applyFill="1" applyAlignment="1">
      <alignment horizontal="center" vertical="center"/>
    </xf>
    <xf numFmtId="0" fontId="1" fillId="2835" borderId="0" xfId="4" applyFill="1" applyAlignment="1">
      <alignment horizontal="center" vertical="center"/>
    </xf>
    <xf numFmtId="0" fontId="1" fillId="2836" borderId="0" xfId="4" applyFill="1" applyAlignment="1">
      <alignment horizontal="center" vertical="center"/>
    </xf>
    <xf numFmtId="0" fontId="1" fillId="2837" borderId="0" xfId="4" applyFill="1" applyAlignment="1">
      <alignment horizontal="center" vertical="center"/>
    </xf>
    <xf numFmtId="0" fontId="1" fillId="2838" borderId="0" xfId="4" applyFill="1" applyAlignment="1">
      <alignment horizontal="center" vertical="center"/>
    </xf>
    <xf numFmtId="0" fontId="1" fillId="2839" borderId="0" xfId="4" applyFill="1" applyAlignment="1">
      <alignment horizontal="center" vertical="center"/>
    </xf>
    <xf numFmtId="0" fontId="1" fillId="2840" borderId="0" xfId="4" applyFill="1" applyAlignment="1">
      <alignment horizontal="center" vertical="center"/>
    </xf>
    <xf numFmtId="0" fontId="1" fillId="2841" borderId="0" xfId="4" applyFill="1" applyAlignment="1">
      <alignment horizontal="center" vertical="center"/>
    </xf>
    <xf numFmtId="0" fontId="1" fillId="2842" borderId="0" xfId="4" applyFill="1" applyAlignment="1">
      <alignment horizontal="center" vertical="center"/>
    </xf>
    <xf numFmtId="0" fontId="1" fillId="2843" borderId="0" xfId="4" applyFill="1" applyAlignment="1">
      <alignment horizontal="center" vertical="center"/>
    </xf>
    <xf numFmtId="0" fontId="1" fillId="2844" borderId="0" xfId="4" applyFill="1" applyAlignment="1">
      <alignment horizontal="center" vertical="center"/>
    </xf>
    <xf numFmtId="0" fontId="1" fillId="2845" borderId="0" xfId="4" applyFill="1" applyAlignment="1">
      <alignment horizontal="center" vertical="center"/>
    </xf>
    <xf numFmtId="0" fontId="1" fillId="2846" borderId="0" xfId="4" applyFill="1" applyAlignment="1">
      <alignment horizontal="center" vertical="center"/>
    </xf>
    <xf numFmtId="0" fontId="1" fillId="2847" borderId="0" xfId="4" applyFill="1" applyAlignment="1">
      <alignment horizontal="center" vertical="center"/>
    </xf>
    <xf numFmtId="0" fontId="1" fillId="2848" borderId="0" xfId="4" applyFill="1" applyAlignment="1">
      <alignment horizontal="center" vertical="center"/>
    </xf>
    <xf numFmtId="0" fontId="1" fillId="2849" borderId="0" xfId="4" applyFill="1" applyAlignment="1">
      <alignment horizontal="center" vertical="center"/>
    </xf>
    <xf numFmtId="0" fontId="1" fillId="2850" borderId="0" xfId="4" applyFill="1" applyAlignment="1">
      <alignment horizontal="center" vertical="center"/>
    </xf>
    <xf numFmtId="0" fontId="1" fillId="2851" borderId="0" xfId="4" applyFill="1" applyAlignment="1">
      <alignment horizontal="center" vertical="center"/>
    </xf>
    <xf numFmtId="0" fontId="1" fillId="2852" borderId="0" xfId="4" applyFill="1" applyAlignment="1">
      <alignment horizontal="center" vertical="center"/>
    </xf>
    <xf numFmtId="0" fontId="1" fillId="2853" borderId="0" xfId="4" applyFill="1" applyAlignment="1">
      <alignment horizontal="center" vertical="center"/>
    </xf>
    <xf numFmtId="0" fontId="1" fillId="2854" borderId="0" xfId="4" applyFill="1" applyAlignment="1">
      <alignment horizontal="center" vertical="center"/>
    </xf>
    <xf numFmtId="0" fontId="1" fillId="2855" borderId="0" xfId="4" applyFill="1" applyAlignment="1">
      <alignment horizontal="center" vertical="center"/>
    </xf>
    <xf numFmtId="0" fontId="1" fillId="2856" borderId="0" xfId="4" applyFill="1" applyAlignment="1">
      <alignment horizontal="left" vertical="center"/>
    </xf>
    <xf numFmtId="0" fontId="1" fillId="2857" borderId="0" xfId="4" applyFill="1" applyAlignment="1">
      <alignment horizontal="left" vertical="center"/>
    </xf>
    <xf numFmtId="0" fontId="1" fillId="2858" borderId="0" xfId="4" applyFill="1" applyAlignment="1">
      <alignment horizontal="left" vertical="center"/>
    </xf>
    <xf numFmtId="0" fontId="1" fillId="2859" borderId="0" xfId="4" applyFill="1" applyAlignment="1">
      <alignment horizontal="left" vertical="center"/>
    </xf>
    <xf numFmtId="0" fontId="1" fillId="2860" borderId="0" xfId="4" applyFill="1" applyAlignment="1">
      <alignment horizontal="left" vertical="center"/>
    </xf>
    <xf numFmtId="0" fontId="1" fillId="2861" borderId="0" xfId="4" applyFill="1" applyAlignment="1">
      <alignment horizontal="center" vertical="center"/>
    </xf>
    <xf numFmtId="0" fontId="1" fillId="2862" borderId="0" xfId="4" applyFill="1" applyAlignment="1">
      <alignment horizontal="center" vertical="center"/>
    </xf>
    <xf numFmtId="0" fontId="1" fillId="2863" borderId="0" xfId="4" applyFill="1" applyAlignment="1">
      <alignment horizontal="center" vertical="center"/>
    </xf>
    <xf numFmtId="0" fontId="1" fillId="2864" borderId="0" xfId="4" applyFill="1" applyAlignment="1">
      <alignment horizontal="center" vertical="center"/>
    </xf>
    <xf numFmtId="0" fontId="1" fillId="2865" borderId="0" xfId="4" applyFill="1" applyAlignment="1">
      <alignment horizontal="center" vertical="center"/>
    </xf>
    <xf numFmtId="0" fontId="1" fillId="2866" borderId="0" xfId="4" applyFill="1" applyAlignment="1">
      <alignment horizontal="center" vertical="center"/>
    </xf>
    <xf numFmtId="0" fontId="1" fillId="2867" borderId="0" xfId="4" applyFill="1" applyAlignment="1">
      <alignment horizontal="center" vertical="center"/>
    </xf>
    <xf numFmtId="0" fontId="1" fillId="2584" borderId="26" xfId="4" applyFill="1" applyBorder="1" applyAlignment="1">
      <alignment horizontal="center" vertical="center"/>
    </xf>
    <xf numFmtId="0" fontId="1" fillId="2868" borderId="0" xfId="4" applyFill="1" applyAlignment="1">
      <alignment horizontal="center" vertical="center"/>
    </xf>
    <xf numFmtId="0" fontId="1" fillId="2869" borderId="0" xfId="4" applyFill="1" applyAlignment="1">
      <alignment horizontal="center" vertical="center"/>
    </xf>
    <xf numFmtId="0" fontId="1" fillId="2870" borderId="0" xfId="4" applyFill="1" applyAlignment="1">
      <alignment horizontal="center" vertical="center"/>
    </xf>
    <xf numFmtId="0" fontId="1" fillId="2871" borderId="0" xfId="4" applyFill="1" applyAlignment="1">
      <alignment horizontal="center" vertical="center"/>
    </xf>
    <xf numFmtId="0" fontId="1" fillId="2872" borderId="0" xfId="4" applyFill="1" applyAlignment="1">
      <alignment horizontal="center" vertical="center"/>
    </xf>
    <xf numFmtId="0" fontId="1" fillId="2873" borderId="0" xfId="4" applyFill="1" applyAlignment="1">
      <alignment horizontal="center" vertical="center"/>
    </xf>
    <xf numFmtId="0" fontId="1" fillId="2874" borderId="0" xfId="4" applyFill="1" applyAlignment="1">
      <alignment horizontal="center" vertical="center"/>
    </xf>
    <xf numFmtId="0" fontId="1" fillId="2875" borderId="0" xfId="4" applyFill="1" applyAlignment="1">
      <alignment horizontal="center" vertical="center"/>
    </xf>
    <xf numFmtId="0" fontId="1" fillId="2876" borderId="0" xfId="4" applyFill="1" applyAlignment="1">
      <alignment horizontal="center" vertical="center"/>
    </xf>
    <xf numFmtId="0" fontId="1" fillId="2877" borderId="0" xfId="4" applyFill="1" applyAlignment="1">
      <alignment horizontal="center" vertical="center"/>
    </xf>
    <xf numFmtId="0" fontId="1" fillId="2878" borderId="0" xfId="4" applyFill="1" applyAlignment="1">
      <alignment horizontal="center" vertical="center"/>
    </xf>
    <xf numFmtId="0" fontId="1" fillId="2879" borderId="0" xfId="4" applyFill="1" applyAlignment="1">
      <alignment horizontal="center" vertical="center"/>
    </xf>
    <xf numFmtId="0" fontId="1" fillId="2880" borderId="0" xfId="4" applyFill="1" applyAlignment="1">
      <alignment horizontal="center" vertical="center"/>
    </xf>
    <xf numFmtId="0" fontId="1" fillId="2881" borderId="0" xfId="4" applyFill="1" applyAlignment="1">
      <alignment horizontal="center" vertical="center"/>
    </xf>
    <xf numFmtId="0" fontId="1" fillId="2882" borderId="0" xfId="4" applyFill="1" applyAlignment="1">
      <alignment horizontal="center" vertical="center"/>
    </xf>
    <xf numFmtId="0" fontId="1" fillId="2883" borderId="0" xfId="4" applyFill="1" applyAlignment="1">
      <alignment horizontal="center" vertical="center"/>
    </xf>
    <xf numFmtId="0" fontId="1" fillId="2441" borderId="0" xfId="4" applyFill="1" applyAlignment="1">
      <alignment horizontal="center" vertical="center"/>
    </xf>
    <xf numFmtId="0" fontId="1" fillId="2884" borderId="0" xfId="4" applyFill="1" applyAlignment="1">
      <alignment horizontal="center" vertical="center"/>
    </xf>
    <xf numFmtId="0" fontId="1" fillId="2885" borderId="0" xfId="4" applyFill="1" applyAlignment="1">
      <alignment horizontal="center" vertical="center"/>
    </xf>
    <xf numFmtId="0" fontId="1" fillId="2886" borderId="0" xfId="4" applyFill="1" applyAlignment="1">
      <alignment horizontal="center" vertical="center"/>
    </xf>
    <xf numFmtId="0" fontId="1" fillId="2887" borderId="0" xfId="4" applyFill="1" applyAlignment="1">
      <alignment horizontal="center" vertical="center"/>
    </xf>
    <xf numFmtId="0" fontId="1" fillId="2888" borderId="0" xfId="4" applyFill="1" applyAlignment="1">
      <alignment horizontal="center" vertical="center"/>
    </xf>
    <xf numFmtId="0" fontId="1" fillId="2889" borderId="0" xfId="4" applyFill="1" applyAlignment="1">
      <alignment horizontal="center" vertical="center"/>
    </xf>
    <xf numFmtId="0" fontId="1" fillId="2890" borderId="0" xfId="4" applyFill="1" applyAlignment="1">
      <alignment horizontal="center" vertical="center"/>
    </xf>
    <xf numFmtId="0" fontId="1" fillId="2891" borderId="0" xfId="4" applyFill="1" applyAlignment="1">
      <alignment horizontal="center" vertical="center"/>
    </xf>
    <xf numFmtId="0" fontId="1" fillId="2892" borderId="0" xfId="4" applyFill="1" applyAlignment="1">
      <alignment horizontal="center" vertical="center"/>
    </xf>
    <xf numFmtId="0" fontId="1" fillId="2893" borderId="0" xfId="4" applyFill="1" applyAlignment="1">
      <alignment horizontal="center" vertical="center"/>
    </xf>
    <xf numFmtId="0" fontId="1" fillId="2894" borderId="0" xfId="4" applyFill="1" applyAlignment="1">
      <alignment horizontal="center" vertical="center"/>
    </xf>
    <xf numFmtId="0" fontId="1" fillId="2895" borderId="0" xfId="4" applyFill="1" applyAlignment="1">
      <alignment horizontal="center" vertical="center"/>
    </xf>
    <xf numFmtId="0" fontId="1" fillId="1799" borderId="0" xfId="4" applyFill="1" applyAlignment="1">
      <alignment horizontal="left" vertical="center"/>
    </xf>
    <xf numFmtId="0" fontId="1" fillId="2896" borderId="0" xfId="4" applyFill="1" applyAlignment="1">
      <alignment horizontal="left" vertical="center"/>
    </xf>
    <xf numFmtId="0" fontId="1" fillId="2897" borderId="0" xfId="4" applyFill="1" applyAlignment="1">
      <alignment horizontal="left" vertical="center"/>
    </xf>
    <xf numFmtId="0" fontId="1" fillId="2898" borderId="0" xfId="4" applyFill="1" applyAlignment="1">
      <alignment horizontal="left" vertical="center"/>
    </xf>
    <xf numFmtId="0" fontId="1" fillId="2899" borderId="0" xfId="4" applyFill="1" applyAlignment="1">
      <alignment horizontal="left" vertical="center"/>
    </xf>
    <xf numFmtId="0" fontId="1" fillId="2900" borderId="0" xfId="4" applyFill="1" applyAlignment="1">
      <alignment horizontal="left" vertical="center"/>
    </xf>
    <xf numFmtId="0" fontId="1" fillId="2901" borderId="0" xfId="4" applyFill="1" applyAlignment="1">
      <alignment horizontal="center" vertical="center"/>
    </xf>
    <xf numFmtId="0" fontId="1" fillId="2902" borderId="0" xfId="4" applyFill="1" applyAlignment="1">
      <alignment horizontal="center" vertical="center"/>
    </xf>
    <xf numFmtId="0" fontId="1" fillId="2903" borderId="0" xfId="4" applyFill="1" applyAlignment="1">
      <alignment horizontal="center" vertical="center"/>
    </xf>
    <xf numFmtId="0" fontId="1" fillId="2904" borderId="0" xfId="4" applyFill="1" applyAlignment="1">
      <alignment horizontal="center" vertical="center"/>
    </xf>
    <xf numFmtId="0" fontId="1" fillId="2905" borderId="0" xfId="4" applyFill="1" applyAlignment="1">
      <alignment horizontal="center" vertical="center"/>
    </xf>
    <xf numFmtId="0" fontId="1" fillId="2906" borderId="0" xfId="4" applyFill="1" applyAlignment="1">
      <alignment horizontal="center" vertical="center"/>
    </xf>
    <xf numFmtId="0" fontId="1" fillId="2907" borderId="0" xfId="4" applyFill="1" applyAlignment="1">
      <alignment horizontal="center" vertical="center"/>
    </xf>
    <xf numFmtId="0" fontId="1" fillId="2584" borderId="25" xfId="4" applyFill="1" applyBorder="1" applyAlignment="1">
      <alignment horizontal="center" vertical="center"/>
    </xf>
    <xf numFmtId="0" fontId="1" fillId="2908" borderId="0" xfId="4" applyFill="1" applyAlignment="1">
      <alignment horizontal="center" vertical="center"/>
    </xf>
    <xf numFmtId="0" fontId="1" fillId="2909" borderId="0" xfId="4" applyFill="1" applyAlignment="1">
      <alignment horizontal="center" vertical="center"/>
    </xf>
    <xf numFmtId="0" fontId="1" fillId="2910" borderId="0" xfId="4" applyFill="1" applyAlignment="1">
      <alignment horizontal="center" vertical="center"/>
    </xf>
    <xf numFmtId="0" fontId="1" fillId="2911" borderId="0" xfId="4" applyFill="1" applyAlignment="1">
      <alignment horizontal="center" vertical="center"/>
    </xf>
    <xf numFmtId="0" fontId="1" fillId="2912" borderId="0" xfId="4" applyFill="1" applyAlignment="1">
      <alignment horizontal="center" vertical="center"/>
    </xf>
    <xf numFmtId="0" fontId="1" fillId="2913" borderId="0" xfId="4" applyFill="1" applyAlignment="1">
      <alignment horizontal="center" vertical="center"/>
    </xf>
    <xf numFmtId="0" fontId="1" fillId="2914" borderId="0" xfId="4" applyFill="1" applyAlignment="1">
      <alignment horizontal="center" vertical="center"/>
    </xf>
    <xf numFmtId="0" fontId="1" fillId="2915" borderId="0" xfId="4" applyFill="1" applyAlignment="1">
      <alignment horizontal="center" vertical="center"/>
    </xf>
    <xf numFmtId="0" fontId="1" fillId="2916" borderId="0" xfId="4" applyFill="1" applyAlignment="1">
      <alignment horizontal="center" vertical="center"/>
    </xf>
    <xf numFmtId="0" fontId="1" fillId="2917" borderId="0" xfId="4" applyFill="1" applyAlignment="1">
      <alignment horizontal="center" vertical="center"/>
    </xf>
    <xf numFmtId="0" fontId="1" fillId="2918" borderId="0" xfId="4" applyFill="1" applyAlignment="1">
      <alignment horizontal="center" vertical="center"/>
    </xf>
    <xf numFmtId="0" fontId="1" fillId="2919" borderId="0" xfId="4" applyFill="1" applyAlignment="1">
      <alignment horizontal="center" vertical="center"/>
    </xf>
    <xf numFmtId="0" fontId="1" fillId="2920" borderId="0" xfId="4" applyFill="1" applyAlignment="1">
      <alignment horizontal="center" vertical="center"/>
    </xf>
    <xf numFmtId="0" fontId="1" fillId="2921" borderId="0" xfId="4" applyFill="1" applyAlignment="1">
      <alignment horizontal="center" vertical="center"/>
    </xf>
    <xf numFmtId="0" fontId="1" fillId="2922" borderId="0" xfId="4" applyFill="1" applyAlignment="1">
      <alignment horizontal="center" vertical="center"/>
    </xf>
    <xf numFmtId="0" fontId="1" fillId="2923" borderId="0" xfId="4" applyFill="1" applyAlignment="1">
      <alignment horizontal="center" vertical="center"/>
    </xf>
    <xf numFmtId="0" fontId="1" fillId="2924" borderId="0" xfId="4" applyFill="1" applyAlignment="1">
      <alignment horizontal="center" vertical="center"/>
    </xf>
    <xf numFmtId="0" fontId="1" fillId="2925" borderId="0" xfId="4" applyFill="1" applyAlignment="1">
      <alignment horizontal="center" vertical="center"/>
    </xf>
    <xf numFmtId="0" fontId="1" fillId="2926" borderId="0" xfId="4" applyFill="1" applyAlignment="1">
      <alignment horizontal="center" vertical="center"/>
    </xf>
    <xf numFmtId="0" fontId="1" fillId="2927" borderId="0" xfId="4" applyFill="1" applyAlignment="1">
      <alignment horizontal="center" vertical="center"/>
    </xf>
    <xf numFmtId="0" fontId="1" fillId="2928" borderId="0" xfId="4" applyFill="1" applyAlignment="1">
      <alignment horizontal="center" vertical="center"/>
    </xf>
    <xf numFmtId="0" fontId="1" fillId="2929" borderId="0" xfId="4" applyFill="1" applyAlignment="1">
      <alignment horizontal="center" vertical="center"/>
    </xf>
    <xf numFmtId="0" fontId="1" fillId="2930" borderId="0" xfId="4" applyFill="1" applyAlignment="1">
      <alignment horizontal="center" vertical="center"/>
    </xf>
    <xf numFmtId="0" fontId="1" fillId="2931" borderId="0" xfId="4" applyFill="1" applyAlignment="1">
      <alignment horizontal="center" vertical="center"/>
    </xf>
    <xf numFmtId="0" fontId="1" fillId="2932" borderId="0" xfId="4" applyFill="1" applyAlignment="1">
      <alignment horizontal="center" vertical="center"/>
    </xf>
    <xf numFmtId="0" fontId="1" fillId="2933" borderId="0" xfId="4" applyFill="1" applyAlignment="1">
      <alignment horizontal="center" vertical="center"/>
    </xf>
    <xf numFmtId="0" fontId="1" fillId="2460" borderId="0" xfId="4" applyFill="1" applyAlignment="1">
      <alignment horizontal="center" vertical="center"/>
    </xf>
    <xf numFmtId="0" fontId="1" fillId="2934" borderId="0" xfId="4" applyFill="1" applyAlignment="1">
      <alignment horizontal="left" vertical="center"/>
    </xf>
    <xf numFmtId="0" fontId="1" fillId="2935" borderId="0" xfId="4" applyFill="1" applyAlignment="1">
      <alignment horizontal="left" vertical="center"/>
    </xf>
    <xf numFmtId="0" fontId="1" fillId="2936" borderId="0" xfId="4" applyFill="1" applyAlignment="1">
      <alignment horizontal="left" vertical="center"/>
    </xf>
    <xf numFmtId="0" fontId="1" fillId="2937" borderId="0" xfId="4" applyFill="1" applyAlignment="1">
      <alignment horizontal="left" vertical="center"/>
    </xf>
    <xf numFmtId="0" fontId="1" fillId="2938" borderId="0" xfId="4" applyFill="1" applyAlignment="1">
      <alignment horizontal="left" vertical="center"/>
    </xf>
    <xf numFmtId="0" fontId="1" fillId="2939" borderId="0" xfId="4" applyFill="1" applyAlignment="1">
      <alignment horizontal="center" vertical="center"/>
    </xf>
    <xf numFmtId="0" fontId="1" fillId="2940" borderId="0" xfId="4" applyFill="1" applyAlignment="1">
      <alignment horizontal="center" vertical="center"/>
    </xf>
    <xf numFmtId="0" fontId="1" fillId="2941" borderId="0" xfId="4" applyFill="1" applyAlignment="1">
      <alignment horizontal="center" vertical="center"/>
    </xf>
    <xf numFmtId="0" fontId="1" fillId="2942" borderId="0" xfId="4" applyFill="1" applyAlignment="1">
      <alignment horizontal="center" vertical="center"/>
    </xf>
    <xf numFmtId="0" fontId="1" fillId="2943" borderId="0" xfId="4" applyFill="1" applyAlignment="1">
      <alignment horizontal="center" vertical="center"/>
    </xf>
    <xf numFmtId="0" fontId="1" fillId="2944" borderId="0" xfId="4" applyFill="1" applyAlignment="1">
      <alignment horizontal="center" vertical="center"/>
    </xf>
    <xf numFmtId="0" fontId="1" fillId="2641" borderId="25" xfId="4" applyFill="1" applyBorder="1" applyAlignment="1">
      <alignment horizontal="center" vertical="center"/>
    </xf>
    <xf numFmtId="0" fontId="1" fillId="2945" borderId="0" xfId="4" applyFill="1" applyAlignment="1">
      <alignment horizontal="center" vertical="center"/>
    </xf>
    <xf numFmtId="0" fontId="1" fillId="2946" borderId="0" xfId="4" applyFill="1" applyAlignment="1">
      <alignment horizontal="center" vertical="center"/>
    </xf>
    <xf numFmtId="0" fontId="1" fillId="2947" borderId="0" xfId="4" applyFill="1" applyAlignment="1">
      <alignment horizontal="center" vertical="center"/>
    </xf>
    <xf numFmtId="0" fontId="1" fillId="2948" borderId="0" xfId="4" applyFill="1" applyAlignment="1">
      <alignment horizontal="center" vertical="center"/>
    </xf>
    <xf numFmtId="0" fontId="1" fillId="2949" borderId="0" xfId="4" applyFill="1" applyAlignment="1">
      <alignment horizontal="center" vertical="center"/>
    </xf>
    <xf numFmtId="0" fontId="1" fillId="2950" borderId="0" xfId="4" applyFill="1" applyAlignment="1">
      <alignment horizontal="center" vertical="center"/>
    </xf>
    <xf numFmtId="0" fontId="1" fillId="2951" borderId="0" xfId="4" applyFill="1" applyAlignment="1">
      <alignment horizontal="center" vertical="center"/>
    </xf>
    <xf numFmtId="0" fontId="1" fillId="2952" borderId="0" xfId="4" applyFill="1" applyAlignment="1">
      <alignment horizontal="center" vertical="center"/>
    </xf>
    <xf numFmtId="0" fontId="1" fillId="2953" borderId="0" xfId="4" applyFill="1" applyAlignment="1">
      <alignment horizontal="center" vertical="center"/>
    </xf>
    <xf numFmtId="0" fontId="1" fillId="2954" borderId="0" xfId="4" applyFill="1" applyAlignment="1">
      <alignment horizontal="center" vertical="center"/>
    </xf>
    <xf numFmtId="0" fontId="1" fillId="2955" borderId="0" xfId="4" applyFill="1" applyAlignment="1">
      <alignment horizontal="center" vertical="center"/>
    </xf>
    <xf numFmtId="0" fontId="1" fillId="2956" borderId="0" xfId="4" applyFill="1" applyAlignment="1">
      <alignment horizontal="center" vertical="center"/>
    </xf>
    <xf numFmtId="0" fontId="1" fillId="2957" borderId="0" xfId="4" applyFill="1" applyAlignment="1">
      <alignment horizontal="center" vertical="center"/>
    </xf>
    <xf numFmtId="0" fontId="1" fillId="2958" borderId="0" xfId="4" applyFill="1" applyAlignment="1">
      <alignment horizontal="center" vertical="center"/>
    </xf>
    <xf numFmtId="0" fontId="1" fillId="2959" borderId="0" xfId="4" applyFill="1" applyAlignment="1">
      <alignment horizontal="center" vertical="center"/>
    </xf>
    <xf numFmtId="0" fontId="1" fillId="2960" borderId="0" xfId="4" applyFill="1" applyAlignment="1">
      <alignment horizontal="center" vertical="center"/>
    </xf>
    <xf numFmtId="0" fontId="1" fillId="2961" borderId="0" xfId="4" applyFill="1" applyAlignment="1">
      <alignment horizontal="center" vertical="center"/>
    </xf>
    <xf numFmtId="0" fontId="1" fillId="2962" borderId="0" xfId="4" applyFill="1" applyAlignment="1">
      <alignment horizontal="center" vertical="center"/>
    </xf>
    <xf numFmtId="0" fontId="1" fillId="2963" borderId="0" xfId="4" applyFill="1" applyAlignment="1">
      <alignment horizontal="center" vertical="center"/>
    </xf>
    <xf numFmtId="0" fontId="1" fillId="2964" borderId="0" xfId="4" applyFill="1" applyAlignment="1">
      <alignment horizontal="center" vertical="center"/>
    </xf>
    <xf numFmtId="0" fontId="1" fillId="2965" borderId="0" xfId="4" applyFill="1" applyAlignment="1">
      <alignment horizontal="center" vertical="center"/>
    </xf>
    <xf numFmtId="0" fontId="1" fillId="2966" borderId="0" xfId="4" applyFill="1" applyAlignment="1">
      <alignment horizontal="center" vertical="center"/>
    </xf>
    <xf numFmtId="0" fontId="1" fillId="2967" borderId="0" xfId="4" applyFill="1" applyAlignment="1">
      <alignment horizontal="center" vertical="center"/>
    </xf>
    <xf numFmtId="0" fontId="1" fillId="1798" borderId="0" xfId="4" applyFill="1" applyAlignment="1">
      <alignment horizontal="left" vertical="center"/>
    </xf>
    <xf numFmtId="0" fontId="1" fillId="2968" borderId="0" xfId="4" applyFill="1" applyAlignment="1">
      <alignment horizontal="left" vertical="center"/>
    </xf>
    <xf numFmtId="0" fontId="1" fillId="2969" borderId="0" xfId="4" applyFill="1" applyAlignment="1">
      <alignment horizontal="left" vertical="center"/>
    </xf>
    <xf numFmtId="0" fontId="1" fillId="2970" borderId="0" xfId="4" applyFill="1" applyAlignment="1">
      <alignment horizontal="left" vertical="center"/>
    </xf>
    <xf numFmtId="0" fontId="1" fillId="2971" borderId="0" xfId="4" applyFill="1" applyAlignment="1">
      <alignment horizontal="left" vertical="center"/>
    </xf>
    <xf numFmtId="0" fontId="1" fillId="2077" borderId="0" xfId="4" applyFill="1" applyAlignment="1">
      <alignment horizontal="left" vertical="center"/>
    </xf>
    <xf numFmtId="0" fontId="1" fillId="2972" borderId="0" xfId="4" applyFill="1" applyAlignment="1">
      <alignment horizontal="center" vertical="center"/>
    </xf>
    <xf numFmtId="0" fontId="1" fillId="2973" borderId="0" xfId="4" applyFill="1" applyAlignment="1">
      <alignment horizontal="center" vertical="center"/>
    </xf>
    <xf numFmtId="0" fontId="1" fillId="2974" borderId="0" xfId="4" applyFill="1" applyAlignment="1">
      <alignment horizontal="center" vertical="center"/>
    </xf>
    <xf numFmtId="0" fontId="1" fillId="2975" borderId="0" xfId="4" applyFill="1" applyAlignment="1">
      <alignment horizontal="center" vertical="center"/>
    </xf>
    <xf numFmtId="0" fontId="1" fillId="2976" borderId="0" xfId="4" applyFill="1" applyAlignment="1">
      <alignment horizontal="center" vertical="center"/>
    </xf>
    <xf numFmtId="0" fontId="1" fillId="2977" borderId="0" xfId="4" applyFill="1" applyAlignment="1">
      <alignment horizontal="center" vertical="center"/>
    </xf>
    <xf numFmtId="0" fontId="1" fillId="2978" borderId="0" xfId="4" applyFill="1" applyAlignment="1">
      <alignment horizontal="center" vertical="center"/>
    </xf>
    <xf numFmtId="0" fontId="1" fillId="2762" borderId="25" xfId="4" applyFill="1" applyBorder="1" applyAlignment="1">
      <alignment horizontal="center" vertical="center"/>
    </xf>
    <xf numFmtId="0" fontId="1" fillId="2979" borderId="0" xfId="4" applyFill="1" applyAlignment="1">
      <alignment horizontal="center" vertical="center"/>
    </xf>
    <xf numFmtId="0" fontId="1" fillId="2980" borderId="0" xfId="4" applyFill="1" applyAlignment="1">
      <alignment horizontal="center" vertical="center"/>
    </xf>
    <xf numFmtId="0" fontId="1" fillId="2981" borderId="0" xfId="4" applyFill="1" applyAlignment="1">
      <alignment horizontal="center" vertical="center"/>
    </xf>
    <xf numFmtId="0" fontId="1" fillId="2982" borderId="0" xfId="4" applyFill="1" applyAlignment="1">
      <alignment horizontal="center" vertical="center"/>
    </xf>
    <xf numFmtId="0" fontId="1" fillId="2983" borderId="0" xfId="4" applyFill="1" applyAlignment="1">
      <alignment horizontal="center" vertical="center"/>
    </xf>
    <xf numFmtId="0" fontId="1" fillId="2984" borderId="0" xfId="4" applyFill="1" applyAlignment="1">
      <alignment horizontal="center" vertical="center"/>
    </xf>
    <xf numFmtId="0" fontId="1" fillId="2985" borderId="0" xfId="4" applyFill="1" applyAlignment="1">
      <alignment horizontal="center" vertical="center"/>
    </xf>
    <xf numFmtId="0" fontId="1" fillId="2986" borderId="0" xfId="4" applyFill="1" applyAlignment="1">
      <alignment horizontal="center" vertical="center"/>
    </xf>
    <xf numFmtId="0" fontId="1" fillId="2987" borderId="0" xfId="4" applyFill="1" applyAlignment="1">
      <alignment horizontal="center" vertical="center"/>
    </xf>
    <xf numFmtId="0" fontId="1" fillId="2988" borderId="0" xfId="4" applyFill="1" applyAlignment="1">
      <alignment horizontal="center" vertical="center"/>
    </xf>
    <xf numFmtId="0" fontId="1" fillId="2989" borderId="0" xfId="4" applyFill="1" applyAlignment="1">
      <alignment horizontal="center" vertical="center"/>
    </xf>
    <xf numFmtId="0" fontId="1" fillId="2990" borderId="0" xfId="4" applyFill="1" applyAlignment="1">
      <alignment horizontal="center" vertical="center"/>
    </xf>
    <xf numFmtId="0" fontId="1" fillId="2991" borderId="0" xfId="4" applyFill="1" applyAlignment="1">
      <alignment horizontal="center" vertical="center"/>
    </xf>
    <xf numFmtId="0" fontId="1" fillId="2992" borderId="0" xfId="4" applyFill="1" applyAlignment="1">
      <alignment horizontal="center" vertical="center"/>
    </xf>
    <xf numFmtId="0" fontId="1" fillId="2993" borderId="0" xfId="4" applyFill="1" applyAlignment="1">
      <alignment horizontal="center" vertical="center"/>
    </xf>
    <xf numFmtId="0" fontId="1" fillId="2387" borderId="23" xfId="4" applyFill="1" applyBorder="1" applyAlignment="1">
      <alignment horizontal="center" vertical="center"/>
    </xf>
    <xf numFmtId="0" fontId="1" fillId="2168" borderId="23" xfId="4" applyFill="1" applyBorder="1" applyAlignment="1">
      <alignment horizontal="center" vertical="center"/>
    </xf>
    <xf numFmtId="0" fontId="1" fillId="2050" borderId="23" xfId="4" applyFill="1" applyBorder="1" applyAlignment="1">
      <alignment horizontal="center" vertical="center"/>
    </xf>
    <xf numFmtId="0" fontId="1" fillId="2614" borderId="23" xfId="4" applyFill="1" applyBorder="1" applyAlignment="1">
      <alignment horizontal="center" vertical="center"/>
    </xf>
    <xf numFmtId="0" fontId="1" fillId="2121" borderId="24" xfId="4" applyFill="1" applyBorder="1" applyAlignment="1">
      <alignment horizontal="center" vertical="center"/>
    </xf>
    <xf numFmtId="0" fontId="1" fillId="2994" borderId="0" xfId="4" applyFill="1" applyAlignment="1">
      <alignment horizontal="center" vertical="center"/>
    </xf>
    <xf numFmtId="0" fontId="1" fillId="2995" borderId="0" xfId="4" applyFill="1" applyAlignment="1">
      <alignment horizontal="center" vertical="center"/>
    </xf>
    <xf numFmtId="0" fontId="1" fillId="2996" borderId="0" xfId="4" applyFill="1" applyAlignment="1">
      <alignment horizontal="center" vertical="center"/>
    </xf>
    <xf numFmtId="0" fontId="1" fillId="2997" borderId="0" xfId="4" applyFill="1" applyAlignment="1">
      <alignment horizontal="center" vertical="center"/>
    </xf>
    <xf numFmtId="0" fontId="1" fillId="2998" borderId="0" xfId="4" applyFill="1" applyAlignment="1">
      <alignment horizontal="center" vertical="center"/>
    </xf>
    <xf numFmtId="0" fontId="1" fillId="2999" borderId="0" xfId="4" applyFill="1" applyAlignment="1">
      <alignment horizontal="center" vertical="center"/>
    </xf>
    <xf numFmtId="0" fontId="1" fillId="3000" borderId="0" xfId="4" applyFill="1" applyAlignment="1">
      <alignment horizontal="left" vertical="center"/>
    </xf>
    <xf numFmtId="0" fontId="1" fillId="3001" borderId="0" xfId="4" applyFill="1" applyAlignment="1">
      <alignment horizontal="left" vertical="center"/>
    </xf>
    <xf numFmtId="0" fontId="1" fillId="3002" borderId="0" xfId="4" applyFill="1" applyAlignment="1">
      <alignment horizontal="left" vertical="center"/>
    </xf>
    <xf numFmtId="0" fontId="1" fillId="3003" borderId="0" xfId="4" applyFill="1" applyAlignment="1">
      <alignment horizontal="left" vertical="center"/>
    </xf>
    <xf numFmtId="0" fontId="1" fillId="3004" borderId="0" xfId="4" applyFill="1" applyAlignment="1">
      <alignment horizontal="left" vertical="center"/>
    </xf>
    <xf numFmtId="0" fontId="1" fillId="3005" borderId="0" xfId="4" applyFill="1" applyAlignment="1">
      <alignment horizontal="left" vertical="center"/>
    </xf>
    <xf numFmtId="0" fontId="1" fillId="3006" borderId="0" xfId="4" applyFill="1" applyAlignment="1">
      <alignment horizontal="center" vertical="center"/>
    </xf>
    <xf numFmtId="0" fontId="1" fillId="3007" borderId="0" xfId="4" applyFill="1" applyAlignment="1">
      <alignment horizontal="center" vertical="center"/>
    </xf>
    <xf numFmtId="0" fontId="1" fillId="3008" borderId="0" xfId="4" applyFill="1" applyAlignment="1">
      <alignment horizontal="center" vertical="center"/>
    </xf>
    <xf numFmtId="0" fontId="1" fillId="3009" borderId="0" xfId="4" applyFill="1" applyAlignment="1">
      <alignment horizontal="center" vertical="center"/>
    </xf>
    <xf numFmtId="0" fontId="1" fillId="3010" borderId="0" xfId="4" applyFill="1" applyAlignment="1">
      <alignment horizontal="center" vertical="center"/>
    </xf>
    <xf numFmtId="0" fontId="1" fillId="3011" borderId="0" xfId="4" applyFill="1" applyAlignment="1">
      <alignment horizontal="center" vertical="center"/>
    </xf>
    <xf numFmtId="0" fontId="1" fillId="2684" borderId="0" xfId="4" applyFill="1" applyAlignment="1">
      <alignment horizontal="center" vertical="center"/>
    </xf>
    <xf numFmtId="0" fontId="1" fillId="3012" borderId="0" xfId="4" applyFill="1" applyAlignment="1">
      <alignment horizontal="center" vertical="center"/>
    </xf>
    <xf numFmtId="0" fontId="1" fillId="3013" borderId="0" xfId="4" applyFill="1" applyAlignment="1">
      <alignment horizontal="center" vertical="center"/>
    </xf>
    <xf numFmtId="0" fontId="1" fillId="3014" borderId="0" xfId="4" applyFill="1" applyAlignment="1">
      <alignment horizontal="center" vertical="center"/>
    </xf>
    <xf numFmtId="0" fontId="1" fillId="3015" borderId="0" xfId="4" applyFill="1" applyAlignment="1">
      <alignment horizontal="center" vertical="center"/>
    </xf>
    <xf numFmtId="0" fontId="1" fillId="3016" borderId="0" xfId="4" applyFill="1" applyAlignment="1">
      <alignment horizontal="center" vertical="center"/>
    </xf>
    <xf numFmtId="0" fontId="1" fillId="3017" borderId="0" xfId="4" applyFill="1" applyAlignment="1">
      <alignment horizontal="center" vertical="center"/>
    </xf>
    <xf numFmtId="0" fontId="1" fillId="3018" borderId="0" xfId="4" applyFill="1" applyAlignment="1">
      <alignment horizontal="center" vertical="center"/>
    </xf>
    <xf numFmtId="0" fontId="1" fillId="3019" borderId="0" xfId="4" applyFill="1" applyAlignment="1">
      <alignment horizontal="center" vertical="center"/>
    </xf>
    <xf numFmtId="0" fontId="1" fillId="3020" borderId="0" xfId="4" applyFill="1" applyAlignment="1">
      <alignment horizontal="center" vertical="center"/>
    </xf>
    <xf numFmtId="0" fontId="1" fillId="3021" borderId="0" xfId="4" applyFill="1" applyAlignment="1">
      <alignment horizontal="center" vertical="center"/>
    </xf>
    <xf numFmtId="0" fontId="1" fillId="3022" borderId="0" xfId="4" applyFill="1" applyAlignment="1">
      <alignment horizontal="center" vertical="center"/>
    </xf>
    <xf numFmtId="0" fontId="1" fillId="3023" borderId="0" xfId="4" applyFill="1" applyAlignment="1">
      <alignment horizontal="center" vertical="center"/>
    </xf>
    <xf numFmtId="0" fontId="1" fillId="3024" borderId="0" xfId="4" applyFill="1" applyAlignment="1">
      <alignment horizontal="center" vertical="center"/>
    </xf>
    <xf numFmtId="0" fontId="1" fillId="3025" borderId="0" xfId="4" applyFill="1" applyAlignment="1">
      <alignment horizontal="center" vertical="center"/>
    </xf>
    <xf numFmtId="0" fontId="1" fillId="3026" borderId="0" xfId="4" applyFill="1" applyAlignment="1">
      <alignment horizontal="center" vertical="center"/>
    </xf>
    <xf numFmtId="0" fontId="1" fillId="3027" borderId="0" xfId="4" applyFill="1" applyAlignment="1">
      <alignment horizontal="center" vertical="center"/>
    </xf>
    <xf numFmtId="0" fontId="1" fillId="2333" borderId="0" xfId="4" applyFill="1" applyAlignment="1">
      <alignment horizontal="center" vertical="center"/>
    </xf>
    <xf numFmtId="0" fontId="1" fillId="3028" borderId="0" xfId="4" applyFill="1" applyAlignment="1">
      <alignment horizontal="center" vertical="center"/>
    </xf>
    <xf numFmtId="0" fontId="1" fillId="2660" borderId="25" xfId="4" applyFill="1" applyBorder="1" applyAlignment="1">
      <alignment horizontal="center" vertical="center"/>
    </xf>
    <xf numFmtId="0" fontId="1" fillId="2742" borderId="26" xfId="4" applyFill="1" applyBorder="1" applyAlignment="1">
      <alignment horizontal="center" vertical="center"/>
    </xf>
    <xf numFmtId="0" fontId="1" fillId="3029" borderId="0" xfId="4" applyFill="1" applyAlignment="1">
      <alignment horizontal="center" vertical="center"/>
    </xf>
    <xf numFmtId="0" fontId="1" fillId="3030" borderId="0" xfId="4" applyFill="1" applyAlignment="1">
      <alignment horizontal="center" vertical="center"/>
    </xf>
    <xf numFmtId="0" fontId="1" fillId="3031" borderId="0" xfId="4" applyFill="1" applyAlignment="1">
      <alignment horizontal="center" vertical="center"/>
    </xf>
    <xf numFmtId="0" fontId="1" fillId="3032" borderId="0" xfId="4" applyFill="1" applyAlignment="1">
      <alignment horizontal="center" vertical="center"/>
    </xf>
    <xf numFmtId="0" fontId="1" fillId="3033" borderId="0" xfId="4" applyFill="1" applyAlignment="1">
      <alignment horizontal="center" vertical="center"/>
    </xf>
    <xf numFmtId="0" fontId="1" fillId="3034" borderId="0" xfId="4" applyFill="1" applyAlignment="1">
      <alignment horizontal="center" vertical="center"/>
    </xf>
    <xf numFmtId="0" fontId="1" fillId="3035" borderId="0" xfId="4" applyFill="1" applyAlignment="1">
      <alignment horizontal="left" vertical="center"/>
    </xf>
    <xf numFmtId="0" fontId="1" fillId="3036" borderId="0" xfId="4" applyFill="1" applyAlignment="1">
      <alignment horizontal="left" vertical="center"/>
    </xf>
    <xf numFmtId="0" fontId="1" fillId="3037" borderId="0" xfId="4" applyFill="1" applyAlignment="1">
      <alignment horizontal="left" vertical="center"/>
    </xf>
    <xf numFmtId="0" fontId="1" fillId="3038" borderId="0" xfId="4" applyFill="1" applyAlignment="1">
      <alignment horizontal="left" vertical="center"/>
    </xf>
    <xf numFmtId="0" fontId="1" fillId="3039" borderId="0" xfId="4" applyFill="1" applyAlignment="1">
      <alignment horizontal="left" vertical="center"/>
    </xf>
    <xf numFmtId="0" fontId="1" fillId="3040" borderId="0" xfId="4" applyFill="1" applyAlignment="1">
      <alignment horizontal="left" vertical="center"/>
    </xf>
    <xf numFmtId="0" fontId="1" fillId="3041" borderId="0" xfId="4" applyFill="1" applyAlignment="1">
      <alignment horizontal="center" vertical="center"/>
    </xf>
    <xf numFmtId="0" fontId="1" fillId="3042" borderId="0" xfId="4" applyFill="1" applyAlignment="1">
      <alignment horizontal="center" vertical="center"/>
    </xf>
    <xf numFmtId="0" fontId="1" fillId="3043" borderId="0" xfId="4" applyFill="1" applyAlignment="1">
      <alignment horizontal="center" vertical="center"/>
    </xf>
    <xf numFmtId="0" fontId="1" fillId="3044" borderId="0" xfId="4" applyFill="1" applyAlignment="1">
      <alignment horizontal="center" vertical="center"/>
    </xf>
    <xf numFmtId="0" fontId="1" fillId="3045" borderId="0" xfId="4" applyFill="1" applyAlignment="1">
      <alignment horizontal="center" vertical="center"/>
    </xf>
    <xf numFmtId="0" fontId="1" fillId="3046" borderId="0" xfId="4" applyFill="1" applyAlignment="1">
      <alignment horizontal="center" vertical="center"/>
    </xf>
    <xf numFmtId="0" fontId="1" fillId="3047" borderId="0" xfId="4" applyFill="1" applyAlignment="1">
      <alignment horizontal="center" vertical="center"/>
    </xf>
    <xf numFmtId="0" fontId="1" fillId="2641" borderId="26" xfId="4" applyFill="1" applyBorder="1" applyAlignment="1">
      <alignment horizontal="center" vertical="center"/>
    </xf>
    <xf numFmtId="0" fontId="1" fillId="3048" borderId="0" xfId="4" applyFill="1" applyAlignment="1">
      <alignment horizontal="center" vertical="center"/>
    </xf>
    <xf numFmtId="0" fontId="1" fillId="3049" borderId="0" xfId="4" applyFill="1" applyAlignment="1">
      <alignment horizontal="center" vertical="center"/>
    </xf>
    <xf numFmtId="0" fontId="1" fillId="3050" borderId="0" xfId="4" applyFill="1" applyAlignment="1">
      <alignment horizontal="center" vertical="center"/>
    </xf>
    <xf numFmtId="0" fontId="1" fillId="3051" borderId="0" xfId="4" applyFill="1" applyAlignment="1">
      <alignment horizontal="center" vertical="center"/>
    </xf>
    <xf numFmtId="0" fontId="1" fillId="3052" borderId="0" xfId="4" applyFill="1" applyAlignment="1">
      <alignment horizontal="center" vertical="center"/>
    </xf>
    <xf numFmtId="0" fontId="1" fillId="3053" borderId="0" xfId="4" applyFill="1" applyAlignment="1">
      <alignment horizontal="center" vertical="center"/>
    </xf>
    <xf numFmtId="0" fontId="1" fillId="3054" borderId="0" xfId="4" applyFill="1" applyAlignment="1">
      <alignment horizontal="center" vertical="center"/>
    </xf>
    <xf numFmtId="0" fontId="1" fillId="3055" borderId="0" xfId="4" applyFill="1" applyAlignment="1">
      <alignment horizontal="center" vertical="center"/>
    </xf>
    <xf numFmtId="0" fontId="1" fillId="3056" borderId="0" xfId="4" applyFill="1" applyAlignment="1">
      <alignment horizontal="center" vertical="center"/>
    </xf>
    <xf numFmtId="0" fontId="1" fillId="3057" borderId="0" xfId="4" applyFill="1" applyAlignment="1">
      <alignment horizontal="center" vertical="center"/>
    </xf>
    <xf numFmtId="0" fontId="1" fillId="3058" borderId="0" xfId="4" applyFill="1" applyAlignment="1">
      <alignment horizontal="center" vertical="center"/>
    </xf>
    <xf numFmtId="0" fontId="1" fillId="3059" borderId="0" xfId="4" applyFill="1" applyAlignment="1">
      <alignment horizontal="center" vertical="center"/>
    </xf>
    <xf numFmtId="0" fontId="1" fillId="3060" borderId="0" xfId="4" applyFill="1" applyAlignment="1">
      <alignment horizontal="center" vertical="center"/>
    </xf>
    <xf numFmtId="0" fontId="1" fillId="3061" borderId="0" xfId="4" applyFill="1" applyAlignment="1">
      <alignment horizontal="center" vertical="center"/>
    </xf>
    <xf numFmtId="0" fontId="1" fillId="3062" borderId="0" xfId="4" applyFill="1" applyAlignment="1">
      <alignment horizontal="center" vertical="center"/>
    </xf>
    <xf numFmtId="0" fontId="1" fillId="2442" borderId="25" xfId="4" applyFill="1" applyBorder="1" applyAlignment="1">
      <alignment horizontal="center" vertical="center"/>
    </xf>
    <xf numFmtId="0" fontId="1" fillId="3063" borderId="0" xfId="4" applyFill="1" applyAlignment="1">
      <alignment horizontal="center" vertical="center"/>
    </xf>
    <xf numFmtId="0" fontId="1" fillId="3064" borderId="26" xfId="4" applyFill="1" applyBorder="1" applyAlignment="1">
      <alignment horizontal="center" vertical="center"/>
    </xf>
    <xf numFmtId="0" fontId="1" fillId="3065" borderId="0" xfId="4" applyFill="1" applyAlignment="1">
      <alignment horizontal="center" vertical="center"/>
    </xf>
    <xf numFmtId="0" fontId="1" fillId="3066" borderId="0" xfId="4" applyFill="1" applyAlignment="1">
      <alignment horizontal="center" vertical="center"/>
    </xf>
    <xf numFmtId="0" fontId="1" fillId="3067" borderId="0" xfId="4" applyFill="1" applyAlignment="1">
      <alignment horizontal="center" vertical="center"/>
    </xf>
    <xf numFmtId="0" fontId="1" fillId="3068" borderId="0" xfId="4" applyFill="1" applyAlignment="1">
      <alignment horizontal="center" vertical="center"/>
    </xf>
    <xf numFmtId="0" fontId="1" fillId="3069" borderId="0" xfId="4" applyFill="1" applyAlignment="1">
      <alignment horizontal="center" vertical="center"/>
    </xf>
    <xf numFmtId="0" fontId="1" fillId="3070" borderId="0" xfId="4" applyFill="1" applyAlignment="1">
      <alignment horizontal="center" vertical="center"/>
    </xf>
    <xf numFmtId="0" fontId="1" fillId="3071" borderId="0" xfId="4" applyFill="1" applyAlignment="1">
      <alignment horizontal="center" vertical="center"/>
    </xf>
    <xf numFmtId="0" fontId="1" fillId="3072" borderId="0" xfId="4" applyFill="1" applyAlignment="1">
      <alignment horizontal="left" vertical="center"/>
    </xf>
    <xf numFmtId="0" fontId="1" fillId="3073" borderId="0" xfId="4" applyFill="1" applyAlignment="1">
      <alignment horizontal="left" vertical="center"/>
    </xf>
    <xf numFmtId="0" fontId="1" fillId="3074" borderId="0" xfId="4" applyFill="1" applyAlignment="1">
      <alignment horizontal="left" vertical="center"/>
    </xf>
    <xf numFmtId="0" fontId="1" fillId="3075" borderId="0" xfId="4" applyFill="1" applyAlignment="1">
      <alignment horizontal="left" vertical="center"/>
    </xf>
    <xf numFmtId="0" fontId="1" fillId="3076" borderId="0" xfId="4" applyFill="1" applyAlignment="1">
      <alignment horizontal="left" vertical="center"/>
    </xf>
    <xf numFmtId="0" fontId="1" fillId="3077" borderId="0" xfId="4" applyFill="1" applyAlignment="1">
      <alignment horizontal="left" vertical="center"/>
    </xf>
    <xf numFmtId="0" fontId="1" fillId="3078" borderId="0" xfId="4" applyFill="1" applyAlignment="1">
      <alignment horizontal="left" vertical="center"/>
    </xf>
    <xf numFmtId="0" fontId="1" fillId="3079" borderId="0" xfId="4" applyFill="1" applyAlignment="1">
      <alignment horizontal="center" vertical="center"/>
    </xf>
    <xf numFmtId="0" fontId="1" fillId="3080" borderId="0" xfId="4" applyFill="1" applyAlignment="1">
      <alignment horizontal="center" vertical="center"/>
    </xf>
    <xf numFmtId="0" fontId="1" fillId="3081" borderId="0" xfId="4" applyFill="1" applyAlignment="1">
      <alignment horizontal="center" vertical="center"/>
    </xf>
    <xf numFmtId="0" fontId="1" fillId="3082" borderId="0" xfId="4" applyFill="1" applyAlignment="1">
      <alignment horizontal="center" vertical="center"/>
    </xf>
    <xf numFmtId="0" fontId="1" fillId="3083" borderId="0" xfId="4" applyFill="1" applyAlignment="1">
      <alignment horizontal="center" vertical="center"/>
    </xf>
    <xf numFmtId="0" fontId="1" fillId="3084" borderId="0" xfId="4" applyFill="1" applyAlignment="1">
      <alignment horizontal="center" vertical="center"/>
    </xf>
    <xf numFmtId="0" fontId="1" fillId="3085" borderId="0" xfId="4" applyFill="1" applyAlignment="1">
      <alignment horizontal="center" vertical="center"/>
    </xf>
    <xf numFmtId="0" fontId="1" fillId="3086" borderId="0" xfId="4" applyFill="1" applyAlignment="1">
      <alignment horizontal="center" vertical="center"/>
    </xf>
    <xf numFmtId="0" fontId="1" fillId="2587" borderId="11" xfId="4" applyFill="1" applyBorder="1" applyAlignment="1">
      <alignment horizontal="center" vertical="center"/>
    </xf>
    <xf numFmtId="0" fontId="1" fillId="2685" borderId="10" xfId="4" applyFill="1" applyBorder="1" applyAlignment="1">
      <alignment horizontal="center" vertical="center"/>
    </xf>
    <xf numFmtId="0" fontId="1" fillId="2583" borderId="10" xfId="4" applyFill="1" applyBorder="1" applyAlignment="1">
      <alignment horizontal="center" vertical="center"/>
    </xf>
    <xf numFmtId="0" fontId="1" fillId="2587" borderId="10" xfId="4" applyFill="1" applyBorder="1" applyAlignment="1">
      <alignment horizontal="center" vertical="center"/>
    </xf>
    <xf numFmtId="0" fontId="1" fillId="2946" borderId="10" xfId="4" applyFill="1" applyBorder="1" applyAlignment="1">
      <alignment horizontal="center" vertical="center"/>
    </xf>
    <xf numFmtId="0" fontId="1" fillId="2641" borderId="10" xfId="4" applyFill="1" applyBorder="1" applyAlignment="1">
      <alignment horizontal="center" vertical="center"/>
    </xf>
    <xf numFmtId="0" fontId="1" fillId="2642" borderId="10" xfId="4" applyFill="1" applyBorder="1" applyAlignment="1">
      <alignment horizontal="center" vertical="center"/>
    </xf>
    <xf numFmtId="0" fontId="1" fillId="2640" borderId="12" xfId="4" applyFill="1" applyBorder="1" applyAlignment="1">
      <alignment horizontal="center" vertical="center"/>
    </xf>
    <xf numFmtId="0" fontId="1" fillId="3087" borderId="0" xfId="4" applyFill="1" applyAlignment="1">
      <alignment horizontal="center" vertical="center"/>
    </xf>
    <xf numFmtId="0" fontId="1" fillId="3088" borderId="0" xfId="4" applyFill="1" applyAlignment="1">
      <alignment horizontal="center" vertical="center"/>
    </xf>
    <xf numFmtId="0" fontId="1" fillId="3089" borderId="0" xfId="4" applyFill="1" applyAlignment="1">
      <alignment horizontal="center" vertical="center"/>
    </xf>
    <xf numFmtId="0" fontId="1" fillId="3090" borderId="0" xfId="4" applyFill="1" applyAlignment="1">
      <alignment horizontal="center" vertical="center"/>
    </xf>
    <xf numFmtId="0" fontId="1" fillId="3091" borderId="0" xfId="4" applyFill="1" applyAlignment="1">
      <alignment horizontal="center" vertical="center"/>
    </xf>
    <xf numFmtId="0" fontId="1" fillId="182" borderId="0" xfId="4" applyFill="1" applyAlignment="1">
      <alignment horizontal="center" vertical="center"/>
    </xf>
    <xf numFmtId="0" fontId="1" fillId="3092" borderId="0" xfId="4" applyFill="1" applyAlignment="1">
      <alignment horizontal="center" vertical="center"/>
    </xf>
    <xf numFmtId="0" fontId="1" fillId="3093" borderId="0" xfId="4" applyFill="1" applyAlignment="1">
      <alignment horizontal="center" vertical="center"/>
    </xf>
    <xf numFmtId="0" fontId="1" fillId="3094" borderId="0" xfId="4" applyFill="1" applyAlignment="1">
      <alignment horizontal="center" vertical="center"/>
    </xf>
    <xf numFmtId="0" fontId="1" fillId="3095" borderId="0" xfId="4" applyFill="1" applyAlignment="1">
      <alignment horizontal="center" vertical="center"/>
    </xf>
    <xf numFmtId="0" fontId="1" fillId="3096" borderId="0" xfId="4" applyFill="1" applyAlignment="1">
      <alignment horizontal="center" vertical="center"/>
    </xf>
    <xf numFmtId="0" fontId="1" fillId="3097" borderId="0" xfId="4" applyFill="1" applyAlignment="1">
      <alignment horizontal="center" vertical="center"/>
    </xf>
    <xf numFmtId="0" fontId="1" fillId="3098" borderId="0" xfId="4" applyFill="1" applyAlignment="1">
      <alignment horizontal="center" vertical="center"/>
    </xf>
    <xf numFmtId="0" fontId="1" fillId="3099" borderId="0" xfId="4" applyFill="1" applyAlignment="1">
      <alignment horizontal="center" vertical="center"/>
    </xf>
    <xf numFmtId="0" fontId="1" fillId="3100" borderId="0" xfId="4" applyFill="1" applyAlignment="1">
      <alignment horizontal="center" vertical="center"/>
    </xf>
    <xf numFmtId="0" fontId="1" fillId="3101" borderId="0" xfId="4" applyFill="1" applyAlignment="1">
      <alignment horizontal="center" vertical="center"/>
    </xf>
    <xf numFmtId="0" fontId="1" fillId="3102" borderId="0" xfId="4" applyFill="1" applyAlignment="1">
      <alignment horizontal="center" vertical="center"/>
    </xf>
    <xf numFmtId="0" fontId="1" fillId="3103" borderId="0" xfId="4" applyFill="1" applyAlignment="1">
      <alignment horizontal="center" vertical="center"/>
    </xf>
    <xf numFmtId="0" fontId="1" fillId="3104" borderId="0" xfId="4" applyFill="1" applyAlignment="1">
      <alignment horizontal="center" vertical="center"/>
    </xf>
    <xf numFmtId="0" fontId="1" fillId="3105" borderId="0" xfId="4" applyFill="1" applyAlignment="1">
      <alignment horizontal="center" vertical="center"/>
    </xf>
    <xf numFmtId="0" fontId="1" fillId="2222" borderId="26" xfId="4" applyFill="1" applyBorder="1" applyAlignment="1">
      <alignment horizontal="center" vertical="center"/>
    </xf>
    <xf numFmtId="0" fontId="1" fillId="3106" borderId="0" xfId="4" applyFill="1" applyAlignment="1">
      <alignment horizontal="center" vertical="center"/>
    </xf>
    <xf numFmtId="0" fontId="1" fillId="3107" borderId="0" xfId="4" applyFill="1" applyAlignment="1">
      <alignment horizontal="center" vertical="center"/>
    </xf>
    <xf numFmtId="0" fontId="1" fillId="3108" borderId="0" xfId="4" applyFill="1" applyAlignment="1">
      <alignment horizontal="center" vertical="center"/>
    </xf>
    <xf numFmtId="0" fontId="1" fillId="3109" borderId="0" xfId="4" applyFill="1" applyAlignment="1">
      <alignment horizontal="center" vertical="center"/>
    </xf>
    <xf numFmtId="0" fontId="1" fillId="3110" borderId="0" xfId="4" applyFill="1" applyAlignment="1">
      <alignment horizontal="center" vertical="center"/>
    </xf>
    <xf numFmtId="0" fontId="1" fillId="3111" borderId="0" xfId="4" applyFill="1" applyAlignment="1">
      <alignment horizontal="center" vertical="center"/>
    </xf>
    <xf numFmtId="0" fontId="1" fillId="3112" borderId="0" xfId="4" applyFill="1" applyAlignment="1">
      <alignment horizontal="center" vertical="center"/>
    </xf>
    <xf numFmtId="0" fontId="1" fillId="3113" borderId="0" xfId="4" applyFill="1" applyAlignment="1">
      <alignment horizontal="center" vertical="center"/>
    </xf>
    <xf numFmtId="0" fontId="1" fillId="3114" borderId="0" xfId="4" applyFill="1" applyAlignment="1">
      <alignment horizontal="left" vertical="center"/>
    </xf>
    <xf numFmtId="0" fontId="1" fillId="3115" borderId="0" xfId="4" applyFill="1" applyAlignment="1">
      <alignment horizontal="left" vertical="center"/>
    </xf>
    <xf numFmtId="0" fontId="1" fillId="3116" borderId="0" xfId="4" applyFill="1" applyAlignment="1">
      <alignment horizontal="left" vertical="center"/>
    </xf>
    <xf numFmtId="0" fontId="1" fillId="3117" borderId="0" xfId="4" applyFill="1" applyAlignment="1">
      <alignment horizontal="left" vertical="center"/>
    </xf>
    <xf numFmtId="0" fontId="1" fillId="3118" borderId="0" xfId="4" applyFill="1" applyAlignment="1">
      <alignment horizontal="left" vertical="center"/>
    </xf>
    <xf numFmtId="0" fontId="1" fillId="3119" borderId="0" xfId="4" applyFill="1" applyAlignment="1">
      <alignment horizontal="left" vertical="center"/>
    </xf>
    <xf numFmtId="0" fontId="1" fillId="3120" borderId="0" xfId="4" applyFill="1" applyAlignment="1">
      <alignment horizontal="center" vertical="center"/>
    </xf>
    <xf numFmtId="0" fontId="1" fillId="3121" borderId="0" xfId="4" applyFill="1" applyAlignment="1">
      <alignment horizontal="center" vertical="center"/>
    </xf>
    <xf numFmtId="0" fontId="1" fillId="3122" borderId="0" xfId="4" applyFill="1" applyAlignment="1">
      <alignment horizontal="center" vertical="center"/>
    </xf>
    <xf numFmtId="0" fontId="1" fillId="3123" borderId="0" xfId="4" applyFill="1" applyAlignment="1">
      <alignment horizontal="center" vertical="center"/>
    </xf>
    <xf numFmtId="0" fontId="1" fillId="3124" borderId="0" xfId="4" applyFill="1" applyAlignment="1">
      <alignment horizontal="center" vertical="center"/>
    </xf>
    <xf numFmtId="0" fontId="1" fillId="3125" borderId="0" xfId="4" applyFill="1" applyAlignment="1">
      <alignment horizontal="center" vertical="center"/>
    </xf>
    <xf numFmtId="0" fontId="1" fillId="3126" borderId="0" xfId="4" applyFill="1" applyAlignment="1">
      <alignment horizontal="center" vertical="center"/>
    </xf>
    <xf numFmtId="0" fontId="1" fillId="3127" borderId="0" xfId="4" applyFill="1" applyAlignment="1">
      <alignment horizontal="center" vertical="center"/>
    </xf>
    <xf numFmtId="0" fontId="1" fillId="3128" borderId="0" xfId="4" applyFill="1" applyAlignment="1">
      <alignment horizontal="center" vertical="center"/>
    </xf>
    <xf numFmtId="0" fontId="1" fillId="2642" borderId="0" xfId="4" applyFill="1" applyAlignment="1">
      <alignment horizontal="left" vertical="center"/>
    </xf>
    <xf numFmtId="0" fontId="1" fillId="2587" borderId="0" xfId="4" applyFill="1" applyAlignment="1">
      <alignment horizontal="left" vertical="center"/>
    </xf>
    <xf numFmtId="0" fontId="1" fillId="3129" borderId="0" xfId="4" applyFill="1" applyAlignment="1">
      <alignment horizontal="center" vertical="center"/>
    </xf>
    <xf numFmtId="0" fontId="1" fillId="3130" borderId="0" xfId="4" applyFill="1" applyAlignment="1">
      <alignment horizontal="center" vertical="center"/>
    </xf>
    <xf numFmtId="0" fontId="1" fillId="3131" borderId="0" xfId="4" applyFill="1" applyAlignment="1">
      <alignment horizontal="center" vertical="center"/>
    </xf>
    <xf numFmtId="0" fontId="1" fillId="3132" borderId="0" xfId="4" applyFill="1" applyAlignment="1">
      <alignment horizontal="center" vertical="center"/>
    </xf>
    <xf numFmtId="0" fontId="1" fillId="3133" borderId="0" xfId="4" applyFill="1" applyAlignment="1">
      <alignment horizontal="center" vertical="center"/>
    </xf>
    <xf numFmtId="0" fontId="1" fillId="3134" borderId="0" xfId="4" applyFill="1" applyAlignment="1">
      <alignment horizontal="center" vertical="center"/>
    </xf>
    <xf numFmtId="0" fontId="1" fillId="3135" borderId="0" xfId="4" applyFill="1" applyAlignment="1">
      <alignment horizontal="center" vertical="center"/>
    </xf>
    <xf numFmtId="0" fontId="1" fillId="3136" borderId="0" xfId="4" applyFill="1" applyAlignment="1">
      <alignment horizontal="center" vertical="center"/>
    </xf>
    <xf numFmtId="0" fontId="1" fillId="96" borderId="0" xfId="4" applyFill="1" applyAlignment="1">
      <alignment horizontal="center" vertical="center"/>
    </xf>
    <xf numFmtId="0" fontId="1" fillId="3137" borderId="0" xfId="4" applyFill="1" applyAlignment="1">
      <alignment horizontal="center" vertical="center"/>
    </xf>
    <xf numFmtId="0" fontId="1" fillId="38" borderId="0" xfId="4" applyFill="1" applyAlignment="1">
      <alignment horizontal="center" vertical="center"/>
    </xf>
    <xf numFmtId="0" fontId="1" fillId="3138" borderId="0" xfId="4" applyFill="1" applyAlignment="1">
      <alignment horizontal="center" vertical="center"/>
    </xf>
    <xf numFmtId="0" fontId="1" fillId="108" borderId="0" xfId="4" applyFill="1" applyAlignment="1">
      <alignment horizontal="center" vertical="center"/>
    </xf>
    <xf numFmtId="0" fontId="1" fillId="3139" borderId="0" xfId="4" applyFill="1" applyAlignment="1">
      <alignment horizontal="center" vertical="center"/>
    </xf>
    <xf numFmtId="0" fontId="1" fillId="3140" borderId="0" xfId="4" applyFill="1" applyAlignment="1">
      <alignment horizontal="center" vertical="center"/>
    </xf>
    <xf numFmtId="0" fontId="1" fillId="3141" borderId="0" xfId="4" applyFill="1" applyAlignment="1">
      <alignment horizontal="center" vertical="center"/>
    </xf>
    <xf numFmtId="0" fontId="1" fillId="3142" borderId="0" xfId="4" applyFill="1" applyAlignment="1">
      <alignment horizontal="center" vertical="center"/>
    </xf>
    <xf numFmtId="0" fontId="1" fillId="3143" borderId="0" xfId="4" applyFill="1" applyAlignment="1">
      <alignment horizontal="center" vertical="center"/>
    </xf>
    <xf numFmtId="0" fontId="1" fillId="2819" borderId="11" xfId="4" applyFill="1" applyBorder="1" applyAlignment="1">
      <alignment horizontal="center" vertical="center"/>
    </xf>
    <xf numFmtId="0" fontId="1" fillId="3144" borderId="10" xfId="4" applyFill="1" applyBorder="1" applyAlignment="1">
      <alignment horizontal="center" vertical="center"/>
    </xf>
    <xf numFmtId="0" fontId="1" fillId="3145" borderId="10" xfId="4" applyFill="1" applyBorder="1" applyAlignment="1">
      <alignment horizontal="center" vertical="center"/>
    </xf>
    <xf numFmtId="0" fontId="1" fillId="3146" borderId="10" xfId="4" applyFill="1" applyBorder="1" applyAlignment="1">
      <alignment horizontal="center" vertical="center"/>
    </xf>
    <xf numFmtId="0" fontId="1" fillId="2274" borderId="10" xfId="4" applyFill="1" applyBorder="1" applyAlignment="1">
      <alignment horizontal="center" vertical="center"/>
    </xf>
    <xf numFmtId="0" fontId="1" fillId="2173" borderId="10" xfId="4" applyFill="1" applyBorder="1" applyAlignment="1">
      <alignment horizontal="center" vertical="center"/>
    </xf>
    <xf numFmtId="0" fontId="1" fillId="2045" borderId="12" xfId="4" applyFill="1" applyBorder="1" applyAlignment="1">
      <alignment horizontal="center" vertical="center"/>
    </xf>
    <xf numFmtId="0" fontId="1" fillId="3147" borderId="0" xfId="4" applyFill="1" applyAlignment="1">
      <alignment horizontal="center" vertical="center"/>
    </xf>
    <xf numFmtId="0" fontId="1" fillId="3148" borderId="0" xfId="4" applyFill="1" applyAlignment="1">
      <alignment horizontal="center" vertical="center"/>
    </xf>
    <xf numFmtId="0" fontId="1" fillId="3149" borderId="0" xfId="4" applyFill="1" applyAlignment="1">
      <alignment horizontal="center" vertical="center"/>
    </xf>
    <xf numFmtId="0" fontId="1" fillId="3150" borderId="0" xfId="4" applyFill="1" applyAlignment="1">
      <alignment horizontal="center" vertical="center"/>
    </xf>
    <xf numFmtId="0" fontId="1" fillId="3151" borderId="0" xfId="4" applyFill="1" applyAlignment="1">
      <alignment horizontal="center" vertical="center"/>
    </xf>
    <xf numFmtId="0" fontId="1" fillId="3152" borderId="0" xfId="4" applyFill="1" applyAlignment="1">
      <alignment horizontal="center" vertical="center"/>
    </xf>
    <xf numFmtId="0" fontId="1" fillId="3153" borderId="0" xfId="4" applyFill="1" applyAlignment="1">
      <alignment horizontal="center" vertical="center"/>
    </xf>
    <xf numFmtId="0" fontId="1" fillId="3154" borderId="0" xfId="4" applyFill="1" applyAlignment="1">
      <alignment horizontal="center" vertical="center"/>
    </xf>
    <xf numFmtId="0" fontId="1" fillId="3155" borderId="0" xfId="4" applyFill="1" applyAlignment="1">
      <alignment horizontal="center" vertical="center"/>
    </xf>
    <xf numFmtId="0" fontId="1" fillId="2297" borderId="0" xfId="4" applyFill="1" applyAlignment="1">
      <alignment horizontal="center" vertical="center"/>
    </xf>
    <xf numFmtId="0" fontId="1" fillId="3156" borderId="0" xfId="4" applyFill="1" applyAlignment="1">
      <alignment horizontal="center" vertical="center"/>
    </xf>
    <xf numFmtId="0" fontId="1" fillId="3157" borderId="0" xfId="4" applyFill="1" applyAlignment="1">
      <alignment horizontal="center" vertical="center"/>
    </xf>
    <xf numFmtId="0" fontId="1" fillId="3158" borderId="0" xfId="4" applyFill="1" applyAlignment="1">
      <alignment horizontal="center" vertical="center"/>
    </xf>
    <xf numFmtId="0" fontId="1" fillId="3159" borderId="0" xfId="4" applyFill="1" applyAlignment="1">
      <alignment horizontal="left" vertical="center"/>
    </xf>
    <xf numFmtId="0" fontId="1" fillId="3160" borderId="0" xfId="4" applyFill="1" applyAlignment="1">
      <alignment horizontal="left" vertical="center"/>
    </xf>
    <xf numFmtId="0" fontId="1" fillId="3161" borderId="0" xfId="4" applyFill="1" applyAlignment="1">
      <alignment horizontal="left" vertical="center"/>
    </xf>
    <xf numFmtId="0" fontId="1" fillId="3162" borderId="0" xfId="4" applyFill="1" applyAlignment="1">
      <alignment horizontal="left" vertical="center"/>
    </xf>
    <xf numFmtId="0" fontId="1" fillId="3163" borderId="0" xfId="4" applyFill="1" applyAlignment="1">
      <alignment horizontal="left" vertical="center"/>
    </xf>
    <xf numFmtId="0" fontId="1" fillId="3164" borderId="0" xfId="4" applyFill="1" applyAlignment="1">
      <alignment horizontal="left" vertical="center"/>
    </xf>
    <xf numFmtId="0" fontId="1" fillId="3165" borderId="0" xfId="4" applyFill="1" applyAlignment="1">
      <alignment horizontal="left" vertical="center"/>
    </xf>
    <xf numFmtId="0" fontId="1" fillId="3166" borderId="0" xfId="4" applyFill="1" applyAlignment="1">
      <alignment horizontal="center" vertical="center"/>
    </xf>
    <xf numFmtId="0" fontId="1" fillId="3167" borderId="0" xfId="4" applyFill="1" applyAlignment="1">
      <alignment horizontal="center" vertical="center"/>
    </xf>
    <xf numFmtId="0" fontId="1" fillId="3168" borderId="0" xfId="4" applyFill="1" applyAlignment="1">
      <alignment horizontal="center" vertical="center"/>
    </xf>
    <xf numFmtId="0" fontId="1" fillId="3169" borderId="0" xfId="4" applyFill="1" applyAlignment="1">
      <alignment horizontal="center" vertical="center"/>
    </xf>
    <xf numFmtId="0" fontId="1" fillId="3170" borderId="0" xfId="4" applyFill="1" applyAlignment="1">
      <alignment horizontal="center" vertical="center"/>
    </xf>
    <xf numFmtId="0" fontId="1" fillId="3171" borderId="0" xfId="4" applyFill="1" applyAlignment="1">
      <alignment horizontal="center" vertical="center"/>
    </xf>
    <xf numFmtId="0" fontId="1" fillId="3172" borderId="0" xfId="4" applyFill="1" applyAlignment="1">
      <alignment horizontal="center" vertical="center"/>
    </xf>
    <xf numFmtId="0" fontId="1" fillId="3173" borderId="0" xfId="4" applyFill="1" applyAlignment="1">
      <alignment horizontal="center" vertical="center"/>
    </xf>
    <xf numFmtId="0" fontId="1" fillId="3174" borderId="0" xfId="4" applyFill="1" applyAlignment="1">
      <alignment horizontal="center" vertical="center"/>
    </xf>
    <xf numFmtId="0" fontId="1" fillId="3175" borderId="0" xfId="4" applyFill="1" applyAlignment="1">
      <alignment horizontal="left" vertical="center"/>
    </xf>
    <xf numFmtId="0" fontId="1" fillId="3176" borderId="0" xfId="4" applyFill="1" applyAlignment="1">
      <alignment horizontal="center" vertical="center"/>
    </xf>
    <xf numFmtId="0" fontId="1" fillId="3177" borderId="0" xfId="4" applyFill="1" applyAlignment="1">
      <alignment horizontal="center" vertical="center"/>
    </xf>
    <xf numFmtId="0" fontId="1" fillId="3178" borderId="0" xfId="4" applyFill="1" applyAlignment="1">
      <alignment horizontal="center" vertical="center"/>
    </xf>
    <xf numFmtId="0" fontId="1" fillId="3179" borderId="0" xfId="4" applyFill="1" applyAlignment="1">
      <alignment horizontal="center" vertical="center"/>
    </xf>
    <xf numFmtId="0" fontId="1" fillId="3180" borderId="0" xfId="4" applyFill="1" applyAlignment="1">
      <alignment horizontal="center" vertical="center"/>
    </xf>
    <xf numFmtId="0" fontId="1" fillId="102" borderId="0" xfId="4" applyFill="1" applyAlignment="1">
      <alignment horizontal="center" vertical="center"/>
    </xf>
    <xf numFmtId="0" fontId="1" fillId="100" borderId="0" xfId="4" applyFill="1" applyAlignment="1">
      <alignment horizontal="center" vertical="center"/>
    </xf>
    <xf numFmtId="0" fontId="1" fillId="3181" borderId="0" xfId="4" applyFill="1" applyAlignment="1">
      <alignment horizontal="center" vertical="center"/>
    </xf>
    <xf numFmtId="0" fontId="1" fillId="3182" borderId="0" xfId="4" applyFill="1" applyAlignment="1">
      <alignment horizontal="center" vertical="center"/>
    </xf>
    <xf numFmtId="0" fontId="1" fillId="3183" borderId="0" xfId="4" applyFill="1" applyAlignment="1">
      <alignment horizontal="center" vertical="center"/>
    </xf>
    <xf numFmtId="0" fontId="1" fillId="3184" borderId="0" xfId="4" applyFill="1" applyAlignment="1">
      <alignment horizontal="center" vertical="center"/>
    </xf>
    <xf numFmtId="0" fontId="1" fillId="3185" borderId="0" xfId="4" applyFill="1" applyAlignment="1">
      <alignment horizontal="center" vertical="center"/>
    </xf>
    <xf numFmtId="0" fontId="1" fillId="3186" borderId="0" xfId="4" applyFill="1" applyAlignment="1">
      <alignment horizontal="center" vertical="center"/>
    </xf>
    <xf numFmtId="0" fontId="1" fillId="3187" borderId="0" xfId="4" applyFill="1" applyAlignment="1">
      <alignment horizontal="center" vertical="center"/>
    </xf>
    <xf numFmtId="0" fontId="1" fillId="2044" borderId="0" xfId="4" applyFill="1" applyAlignment="1">
      <alignment horizontal="left" vertical="center"/>
    </xf>
    <xf numFmtId="0" fontId="1" fillId="3188" borderId="0" xfId="4" applyFill="1" applyAlignment="1">
      <alignment horizontal="center" vertical="center"/>
    </xf>
    <xf numFmtId="0" fontId="1" fillId="3189" borderId="0" xfId="4" applyFill="1" applyAlignment="1">
      <alignment horizontal="center" vertical="center"/>
    </xf>
    <xf numFmtId="0" fontId="1" fillId="3190" borderId="0" xfId="4" applyFill="1" applyAlignment="1">
      <alignment horizontal="center" vertical="center"/>
    </xf>
    <xf numFmtId="0" fontId="1" fillId="3191" borderId="0" xfId="4" applyFill="1" applyAlignment="1">
      <alignment horizontal="center" vertical="center"/>
    </xf>
    <xf numFmtId="0" fontId="1" fillId="3192" borderId="0" xfId="4" applyFill="1" applyAlignment="1">
      <alignment horizontal="center" vertical="center"/>
    </xf>
    <xf numFmtId="0" fontId="1" fillId="3193" borderId="0" xfId="4" applyFill="1" applyAlignment="1">
      <alignment horizontal="center" vertical="center"/>
    </xf>
    <xf numFmtId="0" fontId="1" fillId="3194" borderId="0" xfId="4" applyFill="1" applyAlignment="1">
      <alignment horizontal="center" vertical="center"/>
    </xf>
    <xf numFmtId="0" fontId="1" fillId="3195" borderId="0" xfId="4" applyFill="1" applyAlignment="1">
      <alignment horizontal="center" vertical="center"/>
    </xf>
    <xf numFmtId="0" fontId="1" fillId="3196" borderId="0" xfId="4" applyFill="1" applyAlignment="1">
      <alignment horizontal="center" vertical="center"/>
    </xf>
    <xf numFmtId="0" fontId="1" fillId="3197" borderId="0" xfId="4" applyFill="1" applyAlignment="1">
      <alignment horizontal="center" vertical="center"/>
    </xf>
    <xf numFmtId="0" fontId="1" fillId="3198" borderId="0" xfId="4" applyFill="1" applyAlignment="1">
      <alignment horizontal="center" vertical="center"/>
    </xf>
    <xf numFmtId="0" fontId="1" fillId="3199" borderId="0" xfId="4" applyFill="1" applyAlignment="1">
      <alignment horizontal="center" vertical="center"/>
    </xf>
    <xf numFmtId="0" fontId="1" fillId="3200" borderId="0" xfId="4" applyFill="1" applyAlignment="1">
      <alignment horizontal="center" vertical="center"/>
    </xf>
    <xf numFmtId="0" fontId="1" fillId="3201" borderId="0" xfId="4" applyFill="1" applyAlignment="1">
      <alignment horizontal="center" vertical="center"/>
    </xf>
    <xf numFmtId="0" fontId="1" fillId="3202" borderId="0" xfId="4" applyFill="1" applyAlignment="1">
      <alignment horizontal="center" vertical="center"/>
    </xf>
    <xf numFmtId="0" fontId="1" fillId="3203" borderId="0" xfId="4" applyFill="1" applyAlignment="1">
      <alignment horizontal="center" vertical="center"/>
    </xf>
    <xf numFmtId="0" fontId="1" fillId="3204" borderId="0" xfId="4" applyFill="1" applyAlignment="1">
      <alignment horizontal="left" vertical="center"/>
    </xf>
    <xf numFmtId="0" fontId="1" fillId="2351" borderId="0" xfId="4" applyFill="1" applyAlignment="1">
      <alignment horizontal="left" vertical="center"/>
    </xf>
    <xf numFmtId="0" fontId="1" fillId="3205" borderId="0" xfId="4" applyFill="1" applyAlignment="1">
      <alignment horizontal="left" vertical="center"/>
    </xf>
    <xf numFmtId="0" fontId="1" fillId="3206" borderId="0" xfId="4" applyFill="1" applyAlignment="1">
      <alignment horizontal="left" vertical="center"/>
    </xf>
    <xf numFmtId="0" fontId="1" fillId="3207" borderId="0" xfId="4" applyFill="1" applyAlignment="1">
      <alignment horizontal="center" vertical="center"/>
    </xf>
    <xf numFmtId="0" fontId="1" fillId="3208" borderId="0" xfId="4" applyFill="1" applyAlignment="1">
      <alignment horizontal="center" vertical="center"/>
    </xf>
    <xf numFmtId="0" fontId="1" fillId="3209" borderId="0" xfId="4" applyFill="1" applyAlignment="1">
      <alignment horizontal="center" vertical="center"/>
    </xf>
    <xf numFmtId="0" fontId="1" fillId="3210" borderId="0" xfId="4" applyFill="1" applyAlignment="1">
      <alignment horizontal="center" vertical="center"/>
    </xf>
    <xf numFmtId="0" fontId="1" fillId="3211" borderId="0" xfId="4" applyFill="1" applyAlignment="1">
      <alignment horizontal="center" vertical="center"/>
    </xf>
    <xf numFmtId="0" fontId="1" fillId="3212" borderId="0" xfId="4" applyFill="1" applyAlignment="1">
      <alignment horizontal="center" vertical="center"/>
    </xf>
    <xf numFmtId="0" fontId="1" fillId="3213" borderId="0" xfId="4" applyFill="1" applyAlignment="1">
      <alignment horizontal="center" vertical="center"/>
    </xf>
    <xf numFmtId="0" fontId="1" fillId="3214" borderId="0" xfId="4" applyFill="1" applyAlignment="1">
      <alignment horizontal="center" vertical="center"/>
    </xf>
    <xf numFmtId="0" fontId="1" fillId="3215" borderId="0" xfId="4" applyFill="1" applyAlignment="1">
      <alignment horizontal="center" vertical="center"/>
    </xf>
    <xf numFmtId="0" fontId="1" fillId="3216" borderId="0" xfId="4" applyFill="1" applyAlignment="1">
      <alignment horizontal="left" vertical="center"/>
    </xf>
    <xf numFmtId="0" fontId="1" fillId="3217" borderId="0" xfId="4" applyFill="1" applyAlignment="1">
      <alignment horizontal="center" vertical="center"/>
    </xf>
    <xf numFmtId="0" fontId="1" fillId="3218" borderId="0" xfId="4" applyFill="1" applyAlignment="1">
      <alignment horizontal="center" vertical="center"/>
    </xf>
    <xf numFmtId="0" fontId="1" fillId="3219" borderId="0" xfId="4" applyFill="1" applyAlignment="1">
      <alignment horizontal="center" vertical="center"/>
    </xf>
    <xf numFmtId="0" fontId="1" fillId="3220" borderId="0" xfId="4" applyFill="1" applyAlignment="1">
      <alignment horizontal="center" vertical="center"/>
    </xf>
    <xf numFmtId="0" fontId="1" fillId="3221" borderId="0" xfId="4" applyFill="1" applyAlignment="1">
      <alignment horizontal="center" vertical="center"/>
    </xf>
    <xf numFmtId="0" fontId="1" fillId="3222" borderId="0" xfId="4" applyFill="1" applyAlignment="1">
      <alignment horizontal="center" vertical="center"/>
    </xf>
    <xf numFmtId="0" fontId="1" fillId="3223" borderId="0" xfId="4" applyFill="1" applyAlignment="1">
      <alignment horizontal="center" vertical="center"/>
    </xf>
    <xf numFmtId="0" fontId="1" fillId="3224" borderId="0" xfId="4" applyFill="1" applyAlignment="1">
      <alignment horizontal="center" vertical="center"/>
    </xf>
    <xf numFmtId="0" fontId="1" fillId="3225" borderId="0" xfId="4" applyFill="1" applyAlignment="1">
      <alignment horizontal="center" vertical="center"/>
    </xf>
    <xf numFmtId="0" fontId="1" fillId="3226" borderId="0" xfId="4" applyFill="1" applyAlignment="1">
      <alignment horizontal="center" vertical="center"/>
    </xf>
    <xf numFmtId="0" fontId="1" fillId="125" borderId="0" xfId="4" applyFill="1" applyAlignment="1">
      <alignment horizontal="center" vertical="center"/>
    </xf>
    <xf numFmtId="0" fontId="1" fillId="3227" borderId="0" xfId="4" applyFill="1" applyAlignment="1">
      <alignment horizontal="center" vertical="center"/>
    </xf>
    <xf numFmtId="0" fontId="1" fillId="3228" borderId="0" xfId="4" applyFill="1" applyAlignment="1">
      <alignment horizontal="center" vertical="center"/>
    </xf>
    <xf numFmtId="0" fontId="1" fillId="3229" borderId="0" xfId="4" applyFill="1" applyAlignment="1">
      <alignment horizontal="center" vertical="center"/>
    </xf>
    <xf numFmtId="0" fontId="1" fillId="3230" borderId="0" xfId="4" applyFill="1" applyAlignment="1">
      <alignment horizontal="center" vertical="center"/>
    </xf>
    <xf numFmtId="0" fontId="1" fillId="3231" borderId="0" xfId="4" applyFill="1" applyAlignment="1">
      <alignment horizontal="center" vertical="center"/>
    </xf>
    <xf numFmtId="0" fontId="1" fillId="3232" borderId="0" xfId="4" applyFill="1" applyAlignment="1">
      <alignment horizontal="center" vertical="center"/>
    </xf>
    <xf numFmtId="0" fontId="1" fillId="3233" borderId="0" xfId="4" applyFill="1" applyAlignment="1">
      <alignment horizontal="center" vertical="center"/>
    </xf>
    <xf numFmtId="0" fontId="1" fillId="3234" borderId="0" xfId="4" applyFill="1" applyAlignment="1">
      <alignment horizontal="center" vertical="center"/>
    </xf>
    <xf numFmtId="0" fontId="1" fillId="3235" borderId="0" xfId="4" applyFill="1" applyAlignment="1">
      <alignment horizontal="center" vertical="center"/>
    </xf>
    <xf numFmtId="0" fontId="1" fillId="3236" borderId="0" xfId="4" applyFill="1" applyAlignment="1">
      <alignment horizontal="center" vertical="center"/>
    </xf>
    <xf numFmtId="0" fontId="1" fillId="3237" borderId="0" xfId="4" applyFill="1" applyAlignment="1">
      <alignment horizontal="center" vertical="center"/>
    </xf>
    <xf numFmtId="0" fontId="1" fillId="3238" borderId="0" xfId="4" applyFill="1" applyAlignment="1">
      <alignment horizontal="center" vertical="center"/>
    </xf>
    <xf numFmtId="0" fontId="1" fillId="3063" borderId="0" xfId="4" applyFill="1" applyAlignment="1">
      <alignment horizontal="left" vertical="center"/>
    </xf>
    <xf numFmtId="0" fontId="1" fillId="3239" borderId="0" xfId="4" applyFill="1" applyAlignment="1">
      <alignment horizontal="center" vertical="center"/>
    </xf>
    <xf numFmtId="0" fontId="1" fillId="3240" borderId="0" xfId="4" applyFill="1" applyAlignment="1">
      <alignment horizontal="center" vertical="center"/>
    </xf>
    <xf numFmtId="0" fontId="1" fillId="3241" borderId="0" xfId="4" applyFill="1" applyAlignment="1">
      <alignment horizontal="center" vertical="center"/>
    </xf>
    <xf numFmtId="0" fontId="1" fillId="3242" borderId="0" xfId="4" applyFill="1" applyAlignment="1">
      <alignment horizontal="center" vertical="center"/>
    </xf>
    <xf numFmtId="0" fontId="1" fillId="3243" borderId="0" xfId="4" applyFill="1" applyAlignment="1">
      <alignment horizontal="center" vertical="center"/>
    </xf>
    <xf numFmtId="0" fontId="1" fillId="3244" borderId="0" xfId="4" applyFill="1" applyAlignment="1">
      <alignment horizontal="center" vertical="center"/>
    </xf>
    <xf numFmtId="0" fontId="1" fillId="3245" borderId="0" xfId="4" applyFill="1" applyAlignment="1">
      <alignment horizontal="center" vertical="center"/>
    </xf>
    <xf numFmtId="0" fontId="1" fillId="3246" borderId="0" xfId="4" applyFill="1" applyAlignment="1">
      <alignment horizontal="center" vertical="center"/>
    </xf>
    <xf numFmtId="0" fontId="1" fillId="3247" borderId="0" xfId="4" applyFill="1" applyAlignment="1">
      <alignment horizontal="center" vertical="center"/>
    </xf>
    <xf numFmtId="0" fontId="1" fillId="3248" borderId="0" xfId="4" applyFill="1" applyAlignment="1">
      <alignment horizontal="center" vertical="center"/>
    </xf>
    <xf numFmtId="0" fontId="1" fillId="3249" borderId="0" xfId="4" applyFill="1" applyAlignment="1">
      <alignment horizontal="center" vertical="center"/>
    </xf>
    <xf numFmtId="0" fontId="1" fillId="3250" borderId="0" xfId="4" applyFill="1" applyAlignment="1">
      <alignment horizontal="center" vertical="center"/>
    </xf>
    <xf numFmtId="0" fontId="1" fillId="3251" borderId="0" xfId="4" applyFill="1" applyAlignment="1">
      <alignment horizontal="center" vertical="center"/>
    </xf>
    <xf numFmtId="0" fontId="1" fillId="3252" borderId="0" xfId="4" applyFill="1" applyAlignment="1">
      <alignment horizontal="center" vertical="center"/>
    </xf>
    <xf numFmtId="0" fontId="1" fillId="3253" borderId="0" xfId="4" applyFill="1" applyAlignment="1">
      <alignment horizontal="center" vertical="center"/>
    </xf>
    <xf numFmtId="0" fontId="1" fillId="3254" borderId="0" xfId="4" applyFill="1" applyAlignment="1">
      <alignment horizontal="center" vertical="center"/>
    </xf>
    <xf numFmtId="0" fontId="1" fillId="3255" borderId="0" xfId="4" applyFill="1" applyAlignment="1">
      <alignment horizontal="center" vertical="center"/>
    </xf>
    <xf numFmtId="0" fontId="1" fillId="3256" borderId="0" xfId="4" applyFill="1" applyAlignment="1">
      <alignment horizontal="center" vertical="center"/>
    </xf>
    <xf numFmtId="0" fontId="1" fillId="3257" borderId="0" xfId="4" applyFill="1" applyAlignment="1">
      <alignment horizontal="center" vertical="center"/>
    </xf>
    <xf numFmtId="0" fontId="1" fillId="2627" borderId="0" xfId="4" applyFill="1" applyAlignment="1">
      <alignment horizontal="center" vertical="center"/>
    </xf>
    <xf numFmtId="0" fontId="1" fillId="3258" borderId="0" xfId="4" applyFill="1" applyAlignment="1">
      <alignment horizontal="center" vertical="center"/>
    </xf>
    <xf numFmtId="0" fontId="1" fillId="3259" borderId="0" xfId="4" applyFill="1" applyAlignment="1">
      <alignment horizontal="center" vertical="center"/>
    </xf>
    <xf numFmtId="0" fontId="1" fillId="3260" borderId="0" xfId="4" applyFill="1" applyAlignment="1">
      <alignment horizontal="center" vertical="center"/>
    </xf>
    <xf numFmtId="0" fontId="1" fillId="3261" borderId="0" xfId="4" applyFill="1" applyAlignment="1">
      <alignment horizontal="left" vertical="center"/>
    </xf>
    <xf numFmtId="0" fontId="1" fillId="3262" borderId="0" xfId="4" applyFill="1" applyAlignment="1">
      <alignment horizontal="left" vertical="center"/>
    </xf>
    <xf numFmtId="0" fontId="1" fillId="2402" borderId="0" xfId="4" applyFill="1" applyAlignment="1">
      <alignment horizontal="left" vertical="center"/>
    </xf>
    <xf numFmtId="0" fontId="1" fillId="3263" borderId="0" xfId="4" applyFill="1" applyAlignment="1">
      <alignment horizontal="left" vertical="center"/>
    </xf>
    <xf numFmtId="0" fontId="1" fillId="3264" borderId="0" xfId="4" applyFill="1" applyAlignment="1">
      <alignment horizontal="left" vertical="center"/>
    </xf>
    <xf numFmtId="0" fontId="1" fillId="3265" borderId="0" xfId="4" applyFill="1" applyAlignment="1">
      <alignment horizontal="center" vertical="center"/>
    </xf>
    <xf numFmtId="0" fontId="1" fillId="3266" borderId="0" xfId="4" applyFill="1" applyAlignment="1">
      <alignment horizontal="center" vertical="center"/>
    </xf>
    <xf numFmtId="0" fontId="1" fillId="3267" borderId="0" xfId="4" applyFill="1" applyAlignment="1">
      <alignment horizontal="center" vertical="center"/>
    </xf>
    <xf numFmtId="0" fontId="1" fillId="3268" borderId="0" xfId="4" applyFill="1" applyAlignment="1">
      <alignment horizontal="center" vertical="center"/>
    </xf>
    <xf numFmtId="0" fontId="1" fillId="3269" borderId="0" xfId="4" applyFill="1" applyAlignment="1">
      <alignment horizontal="center" vertical="center"/>
    </xf>
    <xf numFmtId="0" fontId="1" fillId="3270" borderId="0" xfId="4" applyFill="1" applyAlignment="1">
      <alignment horizontal="center" vertical="center"/>
    </xf>
    <xf numFmtId="0" fontId="1" fillId="3271" borderId="0" xfId="4" applyFill="1" applyAlignment="1">
      <alignment horizontal="center" vertical="center"/>
    </xf>
    <xf numFmtId="0" fontId="1" fillId="3272" borderId="0" xfId="4" applyFill="1" applyAlignment="1">
      <alignment horizontal="center" vertical="center"/>
    </xf>
    <xf numFmtId="0" fontId="1" fillId="3273" borderId="0" xfId="4" applyFill="1" applyAlignment="1">
      <alignment horizontal="center" vertical="center"/>
    </xf>
    <xf numFmtId="0" fontId="1" fillId="3274" borderId="0" xfId="4" applyFill="1" applyAlignment="1">
      <alignment horizontal="center" vertical="center"/>
    </xf>
    <xf numFmtId="0" fontId="1" fillId="3275" borderId="0" xfId="4" applyFill="1" applyAlignment="1">
      <alignment horizontal="center" vertical="center"/>
    </xf>
    <xf numFmtId="0" fontId="1" fillId="3276" borderId="0" xfId="4" applyFill="1" applyAlignment="1">
      <alignment horizontal="center" vertical="center"/>
    </xf>
    <xf numFmtId="0" fontId="1" fillId="2648" borderId="0" xfId="4" applyFill="1" applyAlignment="1">
      <alignment horizontal="left" vertical="center"/>
    </xf>
    <xf numFmtId="0" fontId="1" fillId="3277" borderId="0" xfId="4" applyFill="1" applyAlignment="1">
      <alignment horizontal="left" vertical="center"/>
    </xf>
    <xf numFmtId="0" fontId="1" fillId="3278" borderId="0" xfId="4" applyFill="1" applyAlignment="1">
      <alignment horizontal="center" vertical="center"/>
    </xf>
    <xf numFmtId="0" fontId="1" fillId="3279" borderId="0" xfId="4" applyFill="1" applyAlignment="1">
      <alignment horizontal="center" vertical="center"/>
    </xf>
    <xf numFmtId="0" fontId="1" fillId="3280" borderId="0" xfId="4" applyFill="1" applyAlignment="1">
      <alignment horizontal="center" vertical="center"/>
    </xf>
    <xf numFmtId="0" fontId="1" fillId="3281" borderId="0" xfId="4" applyFill="1" applyAlignment="1">
      <alignment horizontal="center" vertical="center"/>
    </xf>
    <xf numFmtId="0" fontId="1" fillId="3282" borderId="0" xfId="4" applyFill="1" applyAlignment="1">
      <alignment horizontal="center" vertical="center"/>
    </xf>
    <xf numFmtId="0" fontId="1" fillId="3283" borderId="0" xfId="4" applyFill="1" applyAlignment="1">
      <alignment horizontal="center" vertical="center"/>
    </xf>
    <xf numFmtId="0" fontId="1" fillId="3284" borderId="0" xfId="4" applyFill="1" applyAlignment="1">
      <alignment horizontal="center" vertical="center"/>
    </xf>
    <xf numFmtId="0" fontId="1" fillId="3285" borderId="0" xfId="4" applyFill="1" applyAlignment="1">
      <alignment horizontal="center" vertical="center"/>
    </xf>
    <xf numFmtId="0" fontId="1" fillId="3286" borderId="0" xfId="4" applyFill="1" applyAlignment="1">
      <alignment horizontal="center" vertical="center"/>
    </xf>
    <xf numFmtId="0" fontId="1" fillId="116" borderId="0" xfId="4" applyFill="1" applyAlignment="1">
      <alignment horizontal="center" vertical="center"/>
    </xf>
    <xf numFmtId="0" fontId="1" fillId="68" borderId="0" xfId="4" applyFill="1" applyAlignment="1">
      <alignment horizontal="center" vertical="center"/>
    </xf>
    <xf numFmtId="0" fontId="1" fillId="30" borderId="0" xfId="4" applyFill="1" applyAlignment="1">
      <alignment horizontal="center" vertical="center"/>
    </xf>
    <xf numFmtId="0" fontId="1" fillId="41" borderId="0" xfId="4" applyFill="1" applyAlignment="1">
      <alignment horizontal="center" vertical="center"/>
    </xf>
    <xf numFmtId="0" fontId="1" fillId="3287" borderId="0" xfId="4" applyFill="1" applyAlignment="1">
      <alignment horizontal="center" vertical="center"/>
    </xf>
    <xf numFmtId="0" fontId="1" fillId="3288" borderId="0" xfId="4" applyFill="1" applyAlignment="1">
      <alignment horizontal="center" vertical="center"/>
    </xf>
    <xf numFmtId="0" fontId="1" fillId="3289" borderId="0" xfId="4" applyFill="1" applyAlignment="1">
      <alignment horizontal="center" vertical="center"/>
    </xf>
    <xf numFmtId="0" fontId="1" fillId="3290" borderId="0" xfId="4" applyFill="1" applyAlignment="1">
      <alignment horizontal="center" vertical="center"/>
    </xf>
    <xf numFmtId="0" fontId="1" fillId="3291" borderId="0" xfId="4" applyFill="1" applyAlignment="1">
      <alignment horizontal="center" vertical="center"/>
    </xf>
    <xf numFmtId="0" fontId="1" fillId="3292" borderId="0" xfId="4" applyFill="1" applyAlignment="1">
      <alignment horizontal="center" vertical="center"/>
    </xf>
    <xf numFmtId="0" fontId="1" fillId="3293" borderId="0" xfId="4" applyFill="1" applyAlignment="1">
      <alignment horizontal="center" vertical="center"/>
    </xf>
    <xf numFmtId="0" fontId="1" fillId="3294" borderId="0" xfId="4" applyFill="1" applyAlignment="1">
      <alignment horizontal="center" vertical="center"/>
    </xf>
    <xf numFmtId="0" fontId="1" fillId="3295" borderId="0" xfId="4" applyFill="1" applyAlignment="1">
      <alignment horizontal="left" vertical="center"/>
    </xf>
    <xf numFmtId="0" fontId="1" fillId="3296" borderId="0" xfId="4" applyFill="1" applyAlignment="1">
      <alignment horizontal="center" vertical="center"/>
    </xf>
    <xf numFmtId="0" fontId="1" fillId="3297" borderId="0" xfId="4" applyFill="1" applyAlignment="1">
      <alignment horizontal="center" vertical="center"/>
    </xf>
    <xf numFmtId="0" fontId="1" fillId="3298" borderId="0" xfId="4" applyFill="1" applyAlignment="1">
      <alignment horizontal="center" vertical="center"/>
    </xf>
    <xf numFmtId="0" fontId="1" fillId="3299" borderId="0" xfId="4" applyFill="1" applyAlignment="1">
      <alignment horizontal="center" vertical="center"/>
    </xf>
    <xf numFmtId="0" fontId="1" fillId="3300" borderId="0" xfId="4" applyFill="1" applyAlignment="1">
      <alignment horizontal="center" vertical="center"/>
    </xf>
    <xf numFmtId="0" fontId="1" fillId="3301" borderId="0" xfId="4" applyFill="1" applyAlignment="1">
      <alignment horizontal="center" vertical="center"/>
    </xf>
    <xf numFmtId="0" fontId="1" fillId="3302" borderId="0" xfId="4" applyFill="1" applyAlignment="1">
      <alignment horizontal="center" vertical="center"/>
    </xf>
    <xf numFmtId="0" fontId="1" fillId="3303" borderId="0" xfId="4" applyFill="1" applyAlignment="1">
      <alignment horizontal="center" vertical="center"/>
    </xf>
    <xf numFmtId="0" fontId="1" fillId="3304" borderId="0" xfId="4" applyFill="1" applyAlignment="1">
      <alignment horizontal="center" vertical="center"/>
    </xf>
    <xf numFmtId="0" fontId="1" fillId="3305" borderId="0" xfId="4" applyFill="1" applyAlignment="1">
      <alignment horizontal="center" vertical="center"/>
    </xf>
    <xf numFmtId="0" fontId="1" fillId="3306" borderId="0" xfId="4" applyFill="1" applyAlignment="1">
      <alignment horizontal="center" vertical="center"/>
    </xf>
    <xf numFmtId="0" fontId="1" fillId="3307" borderId="0" xfId="4" applyFill="1" applyAlignment="1">
      <alignment horizontal="center" vertical="center"/>
    </xf>
    <xf numFmtId="0" fontId="1" fillId="3308" borderId="0" xfId="4" applyFill="1" applyAlignment="1">
      <alignment horizontal="center" vertical="center"/>
    </xf>
    <xf numFmtId="0" fontId="1" fillId="3309" borderId="0" xfId="4" applyFill="1" applyAlignment="1">
      <alignment horizontal="center" vertical="center"/>
    </xf>
    <xf numFmtId="0" fontId="1" fillId="3310" borderId="0" xfId="4" applyFill="1" applyAlignment="1">
      <alignment horizontal="center" vertical="center"/>
    </xf>
    <xf numFmtId="0" fontId="1" fillId="3311" borderId="0" xfId="4" applyFill="1" applyAlignment="1">
      <alignment horizontal="center" vertical="center"/>
    </xf>
    <xf numFmtId="0" fontId="1" fillId="3312" borderId="0" xfId="4" applyFill="1" applyAlignment="1">
      <alignment horizontal="center" vertical="center"/>
    </xf>
    <xf numFmtId="0" fontId="1" fillId="2674" borderId="0" xfId="4" applyFill="1" applyAlignment="1">
      <alignment horizontal="center" vertical="center"/>
    </xf>
    <xf numFmtId="0" fontId="1" fillId="3313" borderId="0" xfId="4" applyFill="1" applyAlignment="1">
      <alignment horizontal="center" vertical="center"/>
    </xf>
    <xf numFmtId="0" fontId="1" fillId="3314" borderId="0" xfId="4" applyFill="1" applyAlignment="1">
      <alignment horizontal="center" vertical="center"/>
    </xf>
    <xf numFmtId="0" fontId="1" fillId="3315" borderId="0" xfId="4" applyFill="1" applyAlignment="1">
      <alignment horizontal="center" vertical="center"/>
    </xf>
    <xf numFmtId="0" fontId="1" fillId="3204" borderId="0" xfId="4" applyFill="1" applyAlignment="1">
      <alignment horizontal="center" vertical="center"/>
    </xf>
    <xf numFmtId="0" fontId="1" fillId="3263" borderId="0" xfId="4" applyFill="1" applyAlignment="1">
      <alignment horizontal="center" vertical="center"/>
    </xf>
    <xf numFmtId="0" fontId="1" fillId="1835" borderId="0" xfId="4" applyFill="1" applyAlignment="1">
      <alignment horizontal="left" vertical="center"/>
    </xf>
    <xf numFmtId="0" fontId="1" fillId="3316" borderId="0" xfId="4" applyFill="1" applyAlignment="1">
      <alignment horizontal="center" vertical="center"/>
    </xf>
    <xf numFmtId="0" fontId="1" fillId="3317" borderId="0" xfId="4" applyFill="1" applyAlignment="1">
      <alignment horizontal="center" vertical="center"/>
    </xf>
    <xf numFmtId="0" fontId="1" fillId="3318" borderId="0" xfId="4" applyFill="1" applyAlignment="1">
      <alignment horizontal="center" vertical="center"/>
    </xf>
    <xf numFmtId="0" fontId="1" fillId="1440" borderId="0" xfId="4" applyFill="1" applyAlignment="1">
      <alignment horizontal="center" vertical="center"/>
    </xf>
    <xf numFmtId="0" fontId="1" fillId="3319" borderId="0" xfId="4" applyFill="1" applyAlignment="1">
      <alignment horizontal="center" vertical="center"/>
    </xf>
    <xf numFmtId="0" fontId="1" fillId="3320" borderId="0" xfId="4" applyFill="1" applyAlignment="1">
      <alignment horizontal="center" vertical="center"/>
    </xf>
    <xf numFmtId="0" fontId="1" fillId="3321" borderId="0" xfId="4" applyFill="1" applyAlignment="1">
      <alignment horizontal="center" vertical="center"/>
    </xf>
    <xf numFmtId="0" fontId="1" fillId="3322" borderId="0" xfId="4" applyFill="1" applyAlignment="1">
      <alignment horizontal="center" vertical="center"/>
    </xf>
    <xf numFmtId="0" fontId="1" fillId="3323" borderId="0" xfId="4" applyFill="1" applyAlignment="1">
      <alignment horizontal="center" vertical="center"/>
    </xf>
    <xf numFmtId="0" fontId="1" fillId="3324" borderId="0" xfId="4" applyFill="1" applyAlignment="1">
      <alignment horizontal="center" vertical="center"/>
    </xf>
    <xf numFmtId="0" fontId="1" fillId="3175" borderId="0" xfId="4" applyFill="1" applyAlignment="1">
      <alignment horizontal="center" vertical="center"/>
    </xf>
    <xf numFmtId="0" fontId="1" fillId="3325" borderId="0" xfId="4" applyFill="1" applyAlignment="1">
      <alignment horizontal="center" vertical="center"/>
    </xf>
    <xf numFmtId="0" fontId="1" fillId="3326" borderId="0" xfId="4" applyFill="1" applyAlignment="1">
      <alignment horizontal="center" vertical="center"/>
    </xf>
    <xf numFmtId="0" fontId="1" fillId="3327" borderId="0" xfId="4" applyFill="1" applyAlignment="1">
      <alignment horizontal="left" vertical="center"/>
    </xf>
    <xf numFmtId="0" fontId="1" fillId="3328" borderId="0" xfId="4" applyFill="1" applyAlignment="1">
      <alignment horizontal="center" vertical="center"/>
    </xf>
    <xf numFmtId="0" fontId="1" fillId="3329" borderId="0" xfId="4" applyFill="1" applyAlignment="1">
      <alignment horizontal="center" vertical="center"/>
    </xf>
    <xf numFmtId="0" fontId="1" fillId="3045" borderId="0" xfId="4" applyFill="1" applyAlignment="1">
      <alignment horizontal="left" vertical="center"/>
    </xf>
    <xf numFmtId="0" fontId="1" fillId="3330" borderId="0" xfId="4" applyFill="1" applyAlignment="1">
      <alignment horizontal="center" vertical="center"/>
    </xf>
    <xf numFmtId="0" fontId="1" fillId="3331" borderId="0" xfId="4" applyFill="1" applyAlignment="1">
      <alignment horizontal="center" vertical="center"/>
    </xf>
    <xf numFmtId="0" fontId="1" fillId="3332" borderId="0" xfId="4" applyFill="1" applyAlignment="1">
      <alignment horizontal="center" vertical="center"/>
    </xf>
    <xf numFmtId="0" fontId="1" fillId="3333" borderId="0" xfId="4" applyFill="1" applyAlignment="1">
      <alignment horizontal="center" vertical="center"/>
    </xf>
    <xf numFmtId="0" fontId="1" fillId="3334" borderId="0" xfId="4" applyFill="1" applyAlignment="1">
      <alignment horizontal="center" vertical="center"/>
    </xf>
    <xf numFmtId="0" fontId="1" fillId="3335" borderId="0" xfId="4" applyFill="1" applyAlignment="1">
      <alignment horizontal="center" vertical="center"/>
    </xf>
    <xf numFmtId="0" fontId="1" fillId="3336" borderId="0" xfId="4" applyFill="1" applyAlignment="1">
      <alignment horizontal="center" vertical="center"/>
    </xf>
    <xf numFmtId="0" fontId="1" fillId="3337" borderId="0" xfId="4" applyFill="1" applyAlignment="1">
      <alignment horizontal="center" vertical="center"/>
    </xf>
    <xf numFmtId="0" fontId="1" fillId="3338" borderId="0" xfId="4" applyFill="1" applyAlignment="1">
      <alignment horizontal="center" vertical="center"/>
    </xf>
    <xf numFmtId="0" fontId="1" fillId="183" borderId="0" xfId="4" applyFill="1" applyAlignment="1">
      <alignment horizontal="center" vertical="center"/>
    </xf>
    <xf numFmtId="0" fontId="1" fillId="37" borderId="0" xfId="4" applyFill="1" applyAlignment="1">
      <alignment horizontal="center" vertical="center"/>
    </xf>
    <xf numFmtId="0" fontId="1" fillId="33" borderId="0" xfId="4" applyFill="1" applyAlignment="1">
      <alignment horizontal="center" vertical="center"/>
    </xf>
    <xf numFmtId="0" fontId="1" fillId="3339" borderId="0" xfId="4" applyFill="1" applyAlignment="1">
      <alignment horizontal="center" vertical="center"/>
    </xf>
    <xf numFmtId="0" fontId="1" fillId="3340" borderId="0" xfId="4" applyFill="1" applyAlignment="1">
      <alignment horizontal="center" vertical="center"/>
    </xf>
    <xf numFmtId="0" fontId="1" fillId="3341" borderId="0" xfId="4" applyFill="1" applyAlignment="1">
      <alignment horizontal="center" vertical="center"/>
    </xf>
    <xf numFmtId="0" fontId="1" fillId="3342" borderId="0" xfId="4" applyFill="1" applyAlignment="1">
      <alignment horizontal="center" vertical="center"/>
    </xf>
    <xf numFmtId="0" fontId="1" fillId="3343" borderId="0" xfId="4" applyFill="1" applyAlignment="1">
      <alignment horizontal="center" vertical="center"/>
    </xf>
    <xf numFmtId="0" fontId="1" fillId="3344" borderId="0" xfId="4" applyFill="1" applyAlignment="1">
      <alignment horizontal="center" vertical="center"/>
    </xf>
    <xf numFmtId="0" fontId="1" fillId="3345" borderId="0" xfId="4" applyFill="1" applyAlignment="1">
      <alignment horizontal="center" vertical="center"/>
    </xf>
    <xf numFmtId="0" fontId="1" fillId="3346" borderId="0" xfId="4" applyFill="1" applyAlignment="1">
      <alignment horizontal="center" vertical="center"/>
    </xf>
    <xf numFmtId="0" fontId="1" fillId="3347" borderId="0" xfId="4" applyFill="1" applyAlignment="1">
      <alignment horizontal="center" vertical="center"/>
    </xf>
    <xf numFmtId="0" fontId="1" fillId="3348" borderId="0" xfId="4" applyFill="1" applyAlignment="1">
      <alignment horizontal="center" vertical="center"/>
    </xf>
    <xf numFmtId="0" fontId="1" fillId="3349" borderId="0" xfId="4" applyFill="1" applyAlignment="1">
      <alignment horizontal="center" vertical="center"/>
    </xf>
    <xf numFmtId="0" fontId="1" fillId="3350" borderId="0" xfId="4" applyFill="1" applyAlignment="1">
      <alignment horizontal="left" vertical="center"/>
    </xf>
    <xf numFmtId="0" fontId="1" fillId="3351" borderId="0" xfId="4" applyFill="1" applyAlignment="1">
      <alignment horizontal="center" vertical="center"/>
    </xf>
    <xf numFmtId="0" fontId="1" fillId="3352" borderId="0" xfId="4" applyFill="1" applyAlignment="1">
      <alignment horizontal="center" vertical="center"/>
    </xf>
    <xf numFmtId="0" fontId="1" fillId="3353" borderId="0" xfId="4" applyFill="1" applyAlignment="1">
      <alignment horizontal="center" vertical="center"/>
    </xf>
    <xf numFmtId="0" fontId="1" fillId="3354" borderId="0" xfId="4" applyFill="1" applyAlignment="1">
      <alignment horizontal="center" vertical="center"/>
    </xf>
    <xf numFmtId="0" fontId="1" fillId="3355" borderId="0" xfId="4" applyFill="1" applyAlignment="1">
      <alignment horizontal="center" vertical="center"/>
    </xf>
    <xf numFmtId="0" fontId="1" fillId="3356" borderId="0" xfId="4" applyFill="1" applyAlignment="1">
      <alignment horizontal="center" vertical="center"/>
    </xf>
    <xf numFmtId="0" fontId="1" fillId="3357" borderId="0" xfId="4" applyFill="1" applyAlignment="1">
      <alignment horizontal="center" vertical="center"/>
    </xf>
    <xf numFmtId="0" fontId="1" fillId="3358" borderId="0" xfId="4" applyFill="1" applyAlignment="1">
      <alignment horizontal="center" vertical="center"/>
    </xf>
    <xf numFmtId="0" fontId="1" fillId="3359" borderId="0" xfId="4" applyFill="1" applyAlignment="1">
      <alignment horizontal="center" vertical="center"/>
    </xf>
    <xf numFmtId="0" fontId="1" fillId="3360" borderId="0" xfId="4" applyFill="1" applyAlignment="1">
      <alignment horizontal="center" vertical="center"/>
    </xf>
    <xf numFmtId="0" fontId="1" fillId="3361" borderId="0" xfId="4" applyFill="1" applyAlignment="1">
      <alignment horizontal="center" vertical="center"/>
    </xf>
    <xf numFmtId="0" fontId="1" fillId="3362" borderId="0" xfId="4" applyFill="1" applyAlignment="1">
      <alignment horizontal="center" vertical="center"/>
    </xf>
    <xf numFmtId="0" fontId="1" fillId="3363" borderId="0" xfId="4" applyFill="1" applyAlignment="1">
      <alignment horizontal="center" vertical="center"/>
    </xf>
    <xf numFmtId="0" fontId="1" fillId="3364" borderId="0" xfId="4" applyFill="1" applyAlignment="1">
      <alignment horizontal="center" vertical="center"/>
    </xf>
    <xf numFmtId="0" fontId="1" fillId="3365" borderId="0" xfId="4" applyFill="1" applyAlignment="1">
      <alignment horizontal="center" vertical="center"/>
    </xf>
    <xf numFmtId="0" fontId="1" fillId="3366" borderId="0" xfId="4" applyFill="1" applyAlignment="1">
      <alignment horizontal="center" vertical="center"/>
    </xf>
    <xf numFmtId="0" fontId="1" fillId="3367" borderId="0" xfId="4" applyFill="1" applyAlignment="1">
      <alignment horizontal="center" vertical="center"/>
    </xf>
    <xf numFmtId="0" fontId="1" fillId="3368" borderId="0" xfId="4" applyFill="1" applyAlignment="1">
      <alignment horizontal="center" vertical="center"/>
    </xf>
    <xf numFmtId="0" fontId="1" fillId="3369" borderId="0" xfId="4" applyFill="1" applyAlignment="1">
      <alignment horizontal="center" vertical="center"/>
    </xf>
    <xf numFmtId="0" fontId="1" fillId="3370" borderId="0" xfId="4" applyFill="1" applyAlignment="1">
      <alignment horizontal="center" vertical="center"/>
    </xf>
    <xf numFmtId="0" fontId="1" fillId="3371" borderId="0" xfId="4" applyFill="1" applyAlignment="1">
      <alignment horizontal="center" vertical="center"/>
    </xf>
    <xf numFmtId="0" fontId="1" fillId="3372" borderId="0" xfId="4" applyFill="1" applyAlignment="1">
      <alignment horizontal="center" vertical="center"/>
    </xf>
    <xf numFmtId="0" fontId="1" fillId="2716" borderId="0" xfId="4" applyFill="1" applyAlignment="1">
      <alignment horizontal="center" vertical="center"/>
    </xf>
    <xf numFmtId="0" fontId="1" fillId="3373" borderId="0" xfId="4" applyFill="1" applyAlignment="1">
      <alignment horizontal="left" vertical="center"/>
    </xf>
    <xf numFmtId="0" fontId="1" fillId="3264" borderId="0" xfId="4" applyFill="1" applyAlignment="1">
      <alignment horizontal="center" vertical="center"/>
    </xf>
    <xf numFmtId="0" fontId="1" fillId="3374" borderId="0" xfId="4" applyFill="1" applyAlignment="1">
      <alignment horizontal="center" vertical="center"/>
    </xf>
    <xf numFmtId="0" fontId="1" fillId="3375" borderId="0" xfId="4" applyFill="1" applyAlignment="1">
      <alignment horizontal="center" vertical="center"/>
    </xf>
    <xf numFmtId="0" fontId="1" fillId="3376" borderId="0" xfId="4" applyFill="1" applyAlignment="1">
      <alignment horizontal="center" vertical="center"/>
    </xf>
    <xf numFmtId="0" fontId="1" fillId="3377" borderId="0" xfId="4" applyFill="1" applyAlignment="1">
      <alignment horizontal="center" vertical="center"/>
    </xf>
    <xf numFmtId="0" fontId="1" fillId="3378" borderId="0" xfId="4" applyFill="1" applyAlignment="1">
      <alignment horizontal="center" vertical="center"/>
    </xf>
    <xf numFmtId="0" fontId="1" fillId="3379" borderId="0" xfId="4" applyFill="1" applyAlignment="1">
      <alignment horizontal="center" vertical="center"/>
    </xf>
    <xf numFmtId="0" fontId="1" fillId="3380" borderId="0" xfId="4" applyFill="1" applyAlignment="1">
      <alignment horizontal="center" vertical="center"/>
    </xf>
    <xf numFmtId="0" fontId="1" fillId="3381" borderId="0" xfId="4" applyFill="1" applyAlignment="1">
      <alignment horizontal="center" vertical="center"/>
    </xf>
    <xf numFmtId="0" fontId="1" fillId="3382" borderId="0" xfId="4" applyFill="1" applyAlignment="1">
      <alignment horizontal="center" vertical="center"/>
    </xf>
    <xf numFmtId="0" fontId="1" fillId="3383" borderId="0" xfId="4" applyFill="1" applyAlignment="1">
      <alignment horizontal="center" vertical="center"/>
    </xf>
    <xf numFmtId="0" fontId="1" fillId="3384" borderId="0" xfId="4" applyFill="1" applyAlignment="1">
      <alignment horizontal="center" vertical="center"/>
    </xf>
    <xf numFmtId="0" fontId="1" fillId="3385" borderId="0" xfId="4" applyFill="1" applyAlignment="1">
      <alignment horizontal="center" vertical="center"/>
    </xf>
    <xf numFmtId="0" fontId="1" fillId="3386" borderId="0" xfId="4" applyFill="1" applyAlignment="1">
      <alignment horizontal="left" vertical="center"/>
    </xf>
    <xf numFmtId="0" fontId="1" fillId="3387" borderId="0" xfId="4" applyFill="1" applyAlignment="1">
      <alignment horizontal="center" vertical="center"/>
    </xf>
    <xf numFmtId="0" fontId="1" fillId="3388" borderId="0" xfId="4" applyFill="1" applyAlignment="1">
      <alignment horizontal="center" vertical="center"/>
    </xf>
    <xf numFmtId="0" fontId="1" fillId="3389" borderId="0" xfId="4" applyFill="1" applyAlignment="1">
      <alignment horizontal="left" vertical="center"/>
    </xf>
    <xf numFmtId="0" fontId="1" fillId="3390" borderId="0" xfId="4" applyFill="1" applyAlignment="1">
      <alignment horizontal="center" vertical="center"/>
    </xf>
    <xf numFmtId="0" fontId="1" fillId="3391" borderId="0" xfId="4" applyFill="1" applyAlignment="1">
      <alignment horizontal="center" vertical="center"/>
    </xf>
    <xf numFmtId="0" fontId="1" fillId="3392" borderId="0" xfId="4" applyFill="1" applyAlignment="1">
      <alignment horizontal="center" vertical="center"/>
    </xf>
    <xf numFmtId="0" fontId="1" fillId="3393" borderId="0" xfId="4" applyFill="1" applyAlignment="1">
      <alignment horizontal="center" vertical="center"/>
    </xf>
    <xf numFmtId="0" fontId="1" fillId="3394" borderId="0" xfId="4" applyFill="1" applyAlignment="1">
      <alignment horizontal="center" vertical="center"/>
    </xf>
    <xf numFmtId="0" fontId="1" fillId="84" borderId="0" xfId="4" applyFill="1" applyAlignment="1">
      <alignment horizontal="center" vertical="center"/>
    </xf>
    <xf numFmtId="0" fontId="1" fillId="3395" borderId="0" xfId="4" applyFill="1" applyAlignment="1">
      <alignment horizontal="center" vertical="center"/>
    </xf>
    <xf numFmtId="0" fontId="1" fillId="3396" borderId="0" xfId="4" applyFill="1" applyAlignment="1">
      <alignment horizontal="center" vertical="center"/>
    </xf>
    <xf numFmtId="0" fontId="1" fillId="25" borderId="0" xfId="4" applyFill="1" applyAlignment="1">
      <alignment horizontal="center" vertical="center"/>
    </xf>
    <xf numFmtId="0" fontId="1" fillId="62" borderId="0" xfId="4" applyFill="1" applyAlignment="1">
      <alignment horizontal="center" vertical="center"/>
    </xf>
    <xf numFmtId="0" fontId="1" fillId="3397" borderId="0" xfId="4" applyFill="1" applyAlignment="1">
      <alignment horizontal="center" vertical="center"/>
    </xf>
    <xf numFmtId="0" fontId="1" fillId="3398" borderId="0" xfId="4" applyFill="1" applyAlignment="1">
      <alignment horizontal="center" vertical="center"/>
    </xf>
    <xf numFmtId="0" fontId="1" fillId="3399" borderId="0" xfId="4" applyFill="1" applyAlignment="1">
      <alignment horizontal="center" vertical="center"/>
    </xf>
    <xf numFmtId="0" fontId="1" fillId="3400" borderId="0" xfId="4" applyFill="1" applyAlignment="1">
      <alignment horizontal="center" vertical="center"/>
    </xf>
    <xf numFmtId="0" fontId="1" fillId="3401" borderId="0" xfId="4" applyFill="1" applyAlignment="1">
      <alignment horizontal="center" vertical="center"/>
    </xf>
    <xf numFmtId="0" fontId="1" fillId="3402" borderId="0" xfId="4" applyFill="1" applyAlignment="1">
      <alignment horizontal="center" vertical="center"/>
    </xf>
    <xf numFmtId="0" fontId="1" fillId="3403" borderId="0" xfId="4" applyFill="1" applyAlignment="1">
      <alignment horizontal="center" vertical="center"/>
    </xf>
    <xf numFmtId="0" fontId="1" fillId="3404" borderId="0" xfId="4" applyFill="1" applyAlignment="1">
      <alignment horizontal="center" vertical="center"/>
    </xf>
    <xf numFmtId="0" fontId="1" fillId="3405" borderId="0" xfId="4" applyFill="1" applyAlignment="1">
      <alignment horizontal="center" vertical="center"/>
    </xf>
    <xf numFmtId="0" fontId="1" fillId="3406" borderId="0" xfId="4" applyFill="1" applyAlignment="1">
      <alignment horizontal="center" vertical="center"/>
    </xf>
    <xf numFmtId="0" fontId="1" fillId="3407" borderId="0" xfId="4" applyFill="1" applyAlignment="1">
      <alignment horizontal="center" vertical="center"/>
    </xf>
    <xf numFmtId="0" fontId="1" fillId="3408" borderId="0" xfId="4" applyFill="1" applyAlignment="1">
      <alignment horizontal="left" vertical="center"/>
    </xf>
    <xf numFmtId="0" fontId="1" fillId="3409" borderId="0" xfId="4" applyFill="1" applyAlignment="1">
      <alignment horizontal="center" vertical="center"/>
    </xf>
    <xf numFmtId="0" fontId="1" fillId="3410" borderId="0" xfId="4" applyFill="1" applyAlignment="1">
      <alignment horizontal="center" vertical="center"/>
    </xf>
    <xf numFmtId="0" fontId="1" fillId="3411" borderId="0" xfId="4" applyFill="1" applyAlignment="1">
      <alignment horizontal="center" vertical="center"/>
    </xf>
    <xf numFmtId="0" fontId="1" fillId="3412" borderId="0" xfId="4" applyFill="1" applyAlignment="1">
      <alignment horizontal="center" vertical="center"/>
    </xf>
    <xf numFmtId="0" fontId="1" fillId="3413" borderId="0" xfId="4" applyFill="1" applyAlignment="1">
      <alignment horizontal="center" vertical="center"/>
    </xf>
    <xf numFmtId="0" fontId="1" fillId="3414" borderId="0" xfId="4" applyFill="1" applyAlignment="1">
      <alignment horizontal="center" vertical="center"/>
    </xf>
    <xf numFmtId="0" fontId="1" fillId="3415" borderId="0" xfId="4" applyFill="1" applyAlignment="1">
      <alignment horizontal="center" vertical="center"/>
    </xf>
    <xf numFmtId="0" fontId="1" fillId="3416" borderId="0" xfId="4" applyFill="1" applyAlignment="1">
      <alignment horizontal="center" vertical="center"/>
    </xf>
    <xf numFmtId="0" fontId="1" fillId="3417" borderId="0" xfId="4" applyFill="1" applyAlignment="1">
      <alignment horizontal="center" vertical="center"/>
    </xf>
    <xf numFmtId="0" fontId="1" fillId="3418" borderId="0" xfId="4" applyFill="1" applyAlignment="1">
      <alignment horizontal="center" vertical="center"/>
    </xf>
    <xf numFmtId="0" fontId="1" fillId="3419" borderId="0" xfId="4" applyFill="1" applyAlignment="1">
      <alignment horizontal="center" vertical="center"/>
    </xf>
    <xf numFmtId="0" fontId="1" fillId="3420" borderId="0" xfId="4" applyFill="1" applyAlignment="1">
      <alignment horizontal="center" vertical="center"/>
    </xf>
    <xf numFmtId="0" fontId="1" fillId="3421" borderId="0" xfId="4" applyFill="1" applyAlignment="1">
      <alignment horizontal="center" vertical="center"/>
    </xf>
    <xf numFmtId="0" fontId="1" fillId="3422" borderId="0" xfId="4" applyFill="1" applyAlignment="1">
      <alignment horizontal="center" vertical="center"/>
    </xf>
    <xf numFmtId="0" fontId="1" fillId="3423" borderId="0" xfId="4" applyFill="1" applyAlignment="1">
      <alignment horizontal="center" vertical="center"/>
    </xf>
    <xf numFmtId="0" fontId="1" fillId="3424" borderId="0" xfId="4" applyFill="1" applyAlignment="1">
      <alignment horizontal="center" vertical="center"/>
    </xf>
    <xf numFmtId="0" fontId="1" fillId="3425" borderId="0" xfId="4" applyFill="1" applyAlignment="1">
      <alignment horizontal="center" vertical="center"/>
    </xf>
    <xf numFmtId="0" fontId="1" fillId="3426" borderId="0" xfId="4" applyFill="1" applyAlignment="1">
      <alignment horizontal="center" vertical="center"/>
    </xf>
    <xf numFmtId="0" fontId="1" fillId="3427" borderId="0" xfId="4" applyFill="1" applyAlignment="1">
      <alignment horizontal="center" vertical="center"/>
    </xf>
    <xf numFmtId="0" fontId="1" fillId="3428" borderId="0" xfId="4" applyFill="1" applyAlignment="1">
      <alignment horizontal="center" vertical="center"/>
    </xf>
    <xf numFmtId="0" fontId="1" fillId="3373" borderId="0" xfId="4" applyFill="1" applyAlignment="1">
      <alignment horizontal="center" vertical="center"/>
    </xf>
    <xf numFmtId="0" fontId="1" fillId="3429" borderId="0" xfId="4" applyFill="1" applyAlignment="1">
      <alignment horizontal="center" vertical="center"/>
    </xf>
    <xf numFmtId="0" fontId="1" fillId="3430" borderId="0" xfId="4" applyFill="1" applyAlignment="1">
      <alignment horizontal="center" vertical="center"/>
    </xf>
    <xf numFmtId="0" fontId="1" fillId="2715" borderId="0" xfId="4" applyFill="1" applyAlignment="1">
      <alignment horizontal="center" vertical="center"/>
    </xf>
    <xf numFmtId="0" fontId="1" fillId="3431" borderId="0" xfId="4" applyFill="1" applyAlignment="1">
      <alignment horizontal="center" vertical="center"/>
    </xf>
    <xf numFmtId="0" fontId="1" fillId="3432" borderId="0" xfId="4" applyFill="1" applyAlignment="1">
      <alignment horizontal="center" vertical="center"/>
    </xf>
    <xf numFmtId="0" fontId="1" fillId="3433" borderId="0" xfId="4" applyFill="1" applyAlignment="1">
      <alignment horizontal="center" vertical="center"/>
    </xf>
    <xf numFmtId="0" fontId="1" fillId="3434" borderId="0" xfId="4" applyFill="1" applyAlignment="1">
      <alignment horizontal="center" vertical="center"/>
    </xf>
    <xf numFmtId="0" fontId="1" fillId="3435" borderId="0" xfId="4" applyFill="1" applyAlignment="1">
      <alignment horizontal="center" vertical="center"/>
    </xf>
    <xf numFmtId="0" fontId="1" fillId="3436" borderId="0" xfId="4" applyFill="1" applyAlignment="1">
      <alignment horizontal="center" vertical="center"/>
    </xf>
    <xf numFmtId="0" fontId="1" fillId="3437" borderId="0" xfId="4" applyFill="1" applyAlignment="1">
      <alignment horizontal="center" vertical="center"/>
    </xf>
    <xf numFmtId="0" fontId="1" fillId="3438" borderId="0" xfId="4" applyFill="1" applyAlignment="1">
      <alignment horizontal="center" vertical="center"/>
    </xf>
    <xf numFmtId="0" fontId="1" fillId="3439" borderId="0" xfId="4" applyFill="1" applyAlignment="1">
      <alignment horizontal="center" vertical="center"/>
    </xf>
    <xf numFmtId="0" fontId="1" fillId="3440" borderId="0" xfId="4" applyFill="1" applyAlignment="1">
      <alignment horizontal="center" vertical="center"/>
    </xf>
    <xf numFmtId="0" fontId="1" fillId="3441" borderId="0" xfId="4" applyFill="1" applyAlignment="1">
      <alignment horizontal="center" vertical="center"/>
    </xf>
    <xf numFmtId="0" fontId="1" fillId="3442" borderId="0" xfId="4" applyFill="1" applyAlignment="1">
      <alignment horizontal="left" vertical="center"/>
    </xf>
    <xf numFmtId="0" fontId="1" fillId="3443" borderId="0" xfId="4" applyFill="1" applyAlignment="1">
      <alignment horizontal="center" vertical="center"/>
    </xf>
    <xf numFmtId="0" fontId="1" fillId="3444" borderId="0" xfId="4" applyFill="1" applyAlignment="1">
      <alignment horizontal="center" vertical="center"/>
    </xf>
    <xf numFmtId="0" fontId="1" fillId="3445" borderId="0" xfId="4" applyFill="1" applyAlignment="1">
      <alignment horizontal="left" vertical="center"/>
    </xf>
    <xf numFmtId="0" fontId="1" fillId="3446" borderId="0" xfId="4" applyFill="1" applyAlignment="1">
      <alignment horizontal="center" vertical="center"/>
    </xf>
    <xf numFmtId="0" fontId="1" fillId="3447" borderId="0" xfId="4" applyFill="1" applyAlignment="1">
      <alignment horizontal="center" vertical="center"/>
    </xf>
    <xf numFmtId="0" fontId="1" fillId="3448" borderId="0" xfId="4" applyFill="1" applyAlignment="1">
      <alignment horizontal="center" vertical="center"/>
    </xf>
    <xf numFmtId="0" fontId="1" fillId="3449" borderId="0" xfId="4" applyFill="1" applyAlignment="1">
      <alignment horizontal="center" vertical="center"/>
    </xf>
    <xf numFmtId="0" fontId="1" fillId="181" borderId="0" xfId="4" applyFill="1" applyAlignment="1">
      <alignment horizontal="center" vertical="center"/>
    </xf>
    <xf numFmtId="0" fontId="1" fillId="83" borderId="0" xfId="4" applyFill="1" applyAlignment="1">
      <alignment horizontal="center" vertical="center"/>
    </xf>
    <xf numFmtId="0" fontId="1" fillId="218" borderId="0" xfId="4" applyFill="1" applyAlignment="1">
      <alignment horizontal="center" vertical="center"/>
    </xf>
    <xf numFmtId="0" fontId="1" fillId="3450" borderId="0" xfId="4" applyFill="1" applyAlignment="1">
      <alignment horizontal="center" vertical="center"/>
    </xf>
    <xf numFmtId="0" fontId="1" fillId="3451" borderId="0" xfId="4" applyFill="1" applyAlignment="1">
      <alignment horizontal="center" vertical="center"/>
    </xf>
    <xf numFmtId="0" fontId="1" fillId="94" borderId="0" xfId="4" applyFill="1" applyAlignment="1">
      <alignment horizontal="center" vertical="center"/>
    </xf>
    <xf numFmtId="0" fontId="1" fillId="3452" borderId="0" xfId="4" applyFill="1" applyAlignment="1">
      <alignment horizontal="center" vertical="center"/>
    </xf>
    <xf numFmtId="0" fontId="1" fillId="3453" borderId="0" xfId="4" applyFill="1" applyAlignment="1">
      <alignment horizontal="center" vertical="center"/>
    </xf>
    <xf numFmtId="0" fontId="1" fillId="3454" borderId="0" xfId="4" applyFill="1" applyAlignment="1">
      <alignment horizontal="center" vertical="center"/>
    </xf>
    <xf numFmtId="0" fontId="1" fillId="71" borderId="0" xfId="4" applyFill="1" applyAlignment="1">
      <alignment horizontal="center" vertical="center"/>
    </xf>
    <xf numFmtId="0" fontId="1" fillId="3455" borderId="0" xfId="4" applyFill="1" applyAlignment="1">
      <alignment horizontal="center" vertical="center"/>
    </xf>
    <xf numFmtId="0" fontId="1" fillId="3456" borderId="0" xfId="4" applyFill="1" applyAlignment="1">
      <alignment horizontal="center" vertical="center"/>
    </xf>
    <xf numFmtId="0" fontId="1" fillId="3457" borderId="0" xfId="4" applyFill="1" applyAlignment="1">
      <alignment horizontal="center" vertical="center"/>
    </xf>
    <xf numFmtId="0" fontId="1" fillId="3458" borderId="0" xfId="4" applyFill="1" applyAlignment="1">
      <alignment horizontal="center" vertical="center"/>
    </xf>
    <xf numFmtId="0" fontId="1" fillId="3459" borderId="0" xfId="4" applyFill="1" applyAlignment="1">
      <alignment horizontal="center" vertical="center"/>
    </xf>
    <xf numFmtId="0" fontId="1" fillId="3460" borderId="0" xfId="4" applyFill="1" applyAlignment="1">
      <alignment horizontal="center" vertical="center"/>
    </xf>
    <xf numFmtId="0" fontId="1" fillId="3461" borderId="0" xfId="4" applyFill="1" applyAlignment="1">
      <alignment horizontal="center" vertical="center"/>
    </xf>
    <xf numFmtId="0" fontId="1" fillId="3462" borderId="0" xfId="4" applyFill="1" applyAlignment="1">
      <alignment horizontal="center" vertical="center"/>
    </xf>
    <xf numFmtId="0" fontId="1" fillId="3463" borderId="0" xfId="4" applyFill="1" applyAlignment="1">
      <alignment horizontal="center" vertical="center"/>
    </xf>
    <xf numFmtId="0" fontId="1" fillId="3464" borderId="0" xfId="4" applyFill="1" applyAlignment="1">
      <alignment horizontal="center" vertical="center"/>
    </xf>
    <xf numFmtId="0" fontId="1" fillId="3465" borderId="0" xfId="4" applyFill="1" applyAlignment="1">
      <alignment horizontal="center" vertical="center"/>
    </xf>
    <xf numFmtId="0" fontId="1" fillId="3466" borderId="0" xfId="4" applyFill="1" applyAlignment="1">
      <alignment horizontal="center" vertical="center"/>
    </xf>
    <xf numFmtId="0" fontId="1" fillId="3467" borderId="0" xfId="4" applyFill="1" applyAlignment="1">
      <alignment horizontal="center" vertical="center"/>
    </xf>
    <xf numFmtId="0" fontId="1" fillId="3468" borderId="0" xfId="4" applyFill="1" applyAlignment="1">
      <alignment horizontal="center" vertical="center"/>
    </xf>
    <xf numFmtId="0" fontId="1" fillId="3469" borderId="0" xfId="4" applyFill="1" applyAlignment="1">
      <alignment horizontal="left" vertical="center"/>
    </xf>
    <xf numFmtId="0" fontId="1" fillId="3470" borderId="0" xfId="4" applyFill="1" applyAlignment="1">
      <alignment horizontal="center" vertical="center"/>
    </xf>
    <xf numFmtId="0" fontId="1" fillId="3471" borderId="0" xfId="4" applyFill="1" applyAlignment="1">
      <alignment horizontal="center" vertical="center"/>
    </xf>
    <xf numFmtId="0" fontId="1" fillId="3472" borderId="0" xfId="4" applyFill="1" applyAlignment="1">
      <alignment horizontal="center" vertical="center"/>
    </xf>
    <xf numFmtId="0" fontId="1" fillId="3473" borderId="0" xfId="4" applyFill="1" applyAlignment="1">
      <alignment horizontal="center" vertical="center"/>
    </xf>
    <xf numFmtId="0" fontId="1" fillId="3474" borderId="0" xfId="4" applyFill="1" applyAlignment="1">
      <alignment horizontal="center" vertical="center"/>
    </xf>
    <xf numFmtId="0" fontId="1" fillId="3475" borderId="0" xfId="4" applyFill="1" applyAlignment="1">
      <alignment horizontal="center" vertical="center"/>
    </xf>
    <xf numFmtId="0" fontId="1" fillId="3476" borderId="0" xfId="4" applyFill="1" applyAlignment="1">
      <alignment horizontal="center" vertical="center"/>
    </xf>
    <xf numFmtId="0" fontId="1" fillId="3477" borderId="0" xfId="4" applyFill="1" applyAlignment="1">
      <alignment horizontal="center" vertical="center"/>
    </xf>
    <xf numFmtId="0" fontId="1" fillId="3478" borderId="0" xfId="4" applyFill="1" applyAlignment="1">
      <alignment horizontal="center" vertical="center"/>
    </xf>
    <xf numFmtId="0" fontId="1" fillId="3479" borderId="0" xfId="4" applyFill="1" applyAlignment="1">
      <alignment horizontal="center" vertical="center"/>
    </xf>
    <xf numFmtId="0" fontId="1" fillId="3480" borderId="0" xfId="4" applyFill="1" applyAlignment="1">
      <alignment horizontal="center" vertical="center"/>
    </xf>
    <xf numFmtId="0" fontId="1" fillId="3481" borderId="0" xfId="4" applyFill="1" applyAlignment="1">
      <alignment horizontal="center" vertical="center"/>
    </xf>
    <xf numFmtId="0" fontId="1" fillId="3482" borderId="0" xfId="4" applyFill="1" applyAlignment="1">
      <alignment horizontal="center" vertical="center"/>
    </xf>
    <xf numFmtId="0" fontId="1" fillId="3483" borderId="0" xfId="4" applyFill="1" applyAlignment="1">
      <alignment horizontal="center" vertical="center"/>
    </xf>
    <xf numFmtId="0" fontId="1" fillId="3484" borderId="0" xfId="4" applyFill="1" applyAlignment="1">
      <alignment horizontal="center" vertical="center"/>
    </xf>
    <xf numFmtId="0" fontId="1" fillId="3485" borderId="0" xfId="4" applyFill="1" applyAlignment="1">
      <alignment horizontal="center" vertical="center"/>
    </xf>
    <xf numFmtId="0" fontId="1" fillId="3486" borderId="0" xfId="4" applyFill="1" applyAlignment="1">
      <alignment horizontal="center" vertical="center"/>
    </xf>
    <xf numFmtId="0" fontId="1" fillId="3487" borderId="0" xfId="4" applyFill="1" applyAlignment="1">
      <alignment horizontal="center" vertical="center"/>
    </xf>
    <xf numFmtId="0" fontId="1" fillId="3488" borderId="0" xfId="4" applyFill="1" applyAlignment="1">
      <alignment horizontal="center" vertical="center"/>
    </xf>
    <xf numFmtId="0" fontId="1" fillId="3163" borderId="0" xfId="4" applyFill="1" applyAlignment="1">
      <alignment horizontal="center" vertical="center"/>
    </xf>
    <xf numFmtId="0" fontId="1" fillId="2754" borderId="0" xfId="4" applyFill="1" applyAlignment="1">
      <alignment horizontal="center" vertical="center"/>
    </xf>
    <xf numFmtId="0" fontId="1" fillId="1836" borderId="0" xfId="4" applyFill="1" applyAlignment="1">
      <alignment horizontal="left" vertical="center"/>
    </xf>
    <xf numFmtId="0" fontId="1" fillId="3430" borderId="0" xfId="4" applyFill="1" applyAlignment="1">
      <alignment horizontal="left" vertical="center"/>
    </xf>
    <xf numFmtId="0" fontId="1" fillId="2629" borderId="0" xfId="4" applyFill="1" applyAlignment="1">
      <alignment horizontal="center" vertical="center"/>
    </xf>
    <xf numFmtId="0" fontId="1" fillId="3261" borderId="0" xfId="4" applyFill="1" applyAlignment="1">
      <alignment horizontal="center" vertical="center"/>
    </xf>
    <xf numFmtId="0" fontId="1" fillId="3489" borderId="0" xfId="4" applyFill="1" applyAlignment="1">
      <alignment horizontal="center" vertical="center"/>
    </xf>
    <xf numFmtId="0" fontId="1" fillId="3490" borderId="0" xfId="4" applyFill="1" applyAlignment="1">
      <alignment horizontal="center" vertical="center"/>
    </xf>
    <xf numFmtId="0" fontId="1" fillId="3491" borderId="0" xfId="4" applyFill="1" applyAlignment="1">
      <alignment horizontal="center" vertical="center"/>
    </xf>
    <xf numFmtId="0" fontId="1" fillId="3492" borderId="0" xfId="4" applyFill="1" applyAlignment="1">
      <alignment horizontal="center" vertical="center"/>
    </xf>
    <xf numFmtId="0" fontId="1" fillId="3493" borderId="0" xfId="4" applyFill="1" applyAlignment="1">
      <alignment horizontal="center" vertical="center"/>
    </xf>
    <xf numFmtId="0" fontId="1" fillId="3494" borderId="0" xfId="4" applyFill="1" applyAlignment="1">
      <alignment horizontal="center" vertical="center"/>
    </xf>
    <xf numFmtId="0" fontId="1" fillId="3495" borderId="0" xfId="4" applyFill="1" applyAlignment="1">
      <alignment horizontal="center" vertical="center"/>
    </xf>
    <xf numFmtId="0" fontId="1" fillId="3496" borderId="0" xfId="4" applyFill="1" applyAlignment="1">
      <alignment horizontal="center" vertical="center"/>
    </xf>
    <xf numFmtId="0" fontId="1" fillId="3497" borderId="0" xfId="4" applyFill="1" applyAlignment="1">
      <alignment horizontal="center" vertical="center"/>
    </xf>
    <xf numFmtId="0" fontId="1" fillId="3498" borderId="0" xfId="4" applyFill="1" applyAlignment="1">
      <alignment horizontal="center" vertical="center"/>
    </xf>
    <xf numFmtId="0" fontId="1" fillId="3499" borderId="0" xfId="4" applyFill="1" applyAlignment="1">
      <alignment horizontal="left" vertical="center"/>
    </xf>
    <xf numFmtId="0" fontId="1" fillId="3500" borderId="0" xfId="4" applyFill="1" applyAlignment="1">
      <alignment horizontal="center" vertical="center"/>
    </xf>
    <xf numFmtId="0" fontId="1" fillId="3501" borderId="0" xfId="4" applyFill="1" applyAlignment="1">
      <alignment horizontal="center" vertical="center"/>
    </xf>
    <xf numFmtId="0" fontId="1" fillId="3502" borderId="0" xfId="4" applyFill="1" applyAlignment="1">
      <alignment horizontal="left" vertical="center"/>
    </xf>
    <xf numFmtId="0" fontId="1" fillId="3503" borderId="0" xfId="4" applyFill="1" applyAlignment="1">
      <alignment horizontal="center" vertical="center"/>
    </xf>
    <xf numFmtId="0" fontId="1" fillId="3504" borderId="0" xfId="4" applyFill="1" applyAlignment="1">
      <alignment horizontal="center" vertical="center"/>
    </xf>
    <xf numFmtId="0" fontId="1" fillId="3505" borderId="0" xfId="4" applyFill="1" applyAlignment="1">
      <alignment horizontal="center" vertical="center"/>
    </xf>
    <xf numFmtId="0" fontId="1" fillId="3506" borderId="0" xfId="4" applyFill="1" applyAlignment="1">
      <alignment horizontal="center" vertical="center"/>
    </xf>
    <xf numFmtId="0" fontId="1" fillId="3507" borderId="0" xfId="4" applyFill="1" applyAlignment="1">
      <alignment horizontal="center" vertical="center"/>
    </xf>
    <xf numFmtId="0" fontId="1" fillId="3508" borderId="0" xfId="4" applyFill="1" applyAlignment="1">
      <alignment horizontal="center" vertical="center"/>
    </xf>
    <xf numFmtId="0" fontId="1" fillId="63" borderId="0" xfId="4" applyFill="1" applyAlignment="1">
      <alignment horizontal="center" vertical="center"/>
    </xf>
    <xf numFmtId="0" fontId="1" fillId="3509" borderId="0" xfId="4" applyFill="1" applyAlignment="1">
      <alignment horizontal="center" vertical="center"/>
    </xf>
    <xf numFmtId="0" fontId="1" fillId="3510" borderId="0" xfId="4" applyFill="1" applyAlignment="1">
      <alignment horizontal="center" vertical="center"/>
    </xf>
    <xf numFmtId="0" fontId="1" fillId="3511" borderId="0" xfId="4" applyFill="1" applyAlignment="1">
      <alignment horizontal="center" vertical="center"/>
    </xf>
    <xf numFmtId="0" fontId="1" fillId="3512" borderId="0" xfId="4" applyFill="1" applyAlignment="1">
      <alignment horizontal="center" vertical="center"/>
    </xf>
    <xf numFmtId="0" fontId="1" fillId="3513" borderId="0" xfId="4" applyFill="1" applyAlignment="1">
      <alignment horizontal="center" vertical="center"/>
    </xf>
    <xf numFmtId="0" fontId="1" fillId="3514" borderId="0" xfId="4" applyFill="1" applyAlignment="1">
      <alignment horizontal="center" vertical="center"/>
    </xf>
    <xf numFmtId="0" fontId="1" fillId="3515" borderId="0" xfId="4" applyFill="1" applyAlignment="1">
      <alignment horizontal="center" vertical="center"/>
    </xf>
    <xf numFmtId="0" fontId="1" fillId="3516" borderId="0" xfId="4" applyFill="1" applyAlignment="1">
      <alignment horizontal="center" vertical="center"/>
    </xf>
    <xf numFmtId="0" fontId="1" fillId="3517" borderId="0" xfId="4" applyFill="1" applyAlignment="1">
      <alignment horizontal="center" vertical="center"/>
    </xf>
    <xf numFmtId="0" fontId="1" fillId="3518" borderId="0" xfId="4" applyFill="1" applyAlignment="1">
      <alignment horizontal="center" vertical="center"/>
    </xf>
    <xf numFmtId="0" fontId="1" fillId="3519" borderId="0" xfId="4" applyFill="1" applyAlignment="1">
      <alignment horizontal="center" vertical="center"/>
    </xf>
    <xf numFmtId="0" fontId="1" fillId="3520" borderId="0" xfId="4" applyFill="1" applyAlignment="1">
      <alignment horizontal="center" vertical="center"/>
    </xf>
    <xf numFmtId="0" fontId="1" fillId="3521" borderId="0" xfId="4" applyFill="1" applyAlignment="1">
      <alignment horizontal="center" vertical="center"/>
    </xf>
    <xf numFmtId="0" fontId="1" fillId="3522" borderId="0" xfId="4" applyFill="1" applyAlignment="1">
      <alignment horizontal="center" vertical="center"/>
    </xf>
    <xf numFmtId="0" fontId="1" fillId="3523" borderId="0" xfId="4" applyFill="1" applyAlignment="1">
      <alignment horizontal="center" vertical="center"/>
    </xf>
    <xf numFmtId="0" fontId="1" fillId="3524" borderId="0" xfId="4" applyFill="1" applyAlignment="1">
      <alignment horizontal="center" vertical="center"/>
    </xf>
    <xf numFmtId="0" fontId="1" fillId="3525" borderId="0" xfId="4" applyFill="1" applyAlignment="1">
      <alignment horizontal="center" vertical="center"/>
    </xf>
    <xf numFmtId="0" fontId="1" fillId="3526" borderId="0" xfId="4" applyFill="1" applyAlignment="1">
      <alignment horizontal="center" vertical="center"/>
    </xf>
    <xf numFmtId="0" fontId="1" fillId="3527" borderId="0" xfId="4" applyFill="1" applyAlignment="1">
      <alignment horizontal="left" vertical="center"/>
    </xf>
    <xf numFmtId="0" fontId="1" fillId="3528" borderId="0" xfId="4" applyFill="1" applyAlignment="1">
      <alignment horizontal="center" vertical="center"/>
    </xf>
    <xf numFmtId="0" fontId="1" fillId="3529" borderId="0" xfId="4" applyFill="1" applyAlignment="1">
      <alignment horizontal="center" vertical="center"/>
    </xf>
    <xf numFmtId="0" fontId="1" fillId="3530" borderId="0" xfId="4" applyFill="1" applyAlignment="1">
      <alignment horizontal="center" vertical="center"/>
    </xf>
    <xf numFmtId="0" fontId="1" fillId="3531" borderId="0" xfId="4" applyFill="1" applyAlignment="1">
      <alignment horizontal="center" vertical="center"/>
    </xf>
    <xf numFmtId="0" fontId="1" fillId="3532" borderId="0" xfId="4" applyFill="1" applyAlignment="1">
      <alignment horizontal="center" vertical="center"/>
    </xf>
    <xf numFmtId="0" fontId="1" fillId="3533" borderId="0" xfId="4" applyFill="1" applyAlignment="1">
      <alignment horizontal="center" vertical="center"/>
    </xf>
    <xf numFmtId="0" fontId="1" fillId="3534" borderId="0" xfId="4" applyFill="1" applyAlignment="1">
      <alignment horizontal="center" vertical="center"/>
    </xf>
    <xf numFmtId="0" fontId="1" fillId="3535" borderId="0" xfId="4" applyFill="1" applyAlignment="1">
      <alignment horizontal="center" vertical="center"/>
    </xf>
    <xf numFmtId="0" fontId="1" fillId="3536" borderId="0" xfId="4" applyFill="1" applyAlignment="1">
      <alignment horizontal="center" vertical="center"/>
    </xf>
    <xf numFmtId="0" fontId="1" fillId="3537" borderId="0" xfId="4" applyFill="1" applyAlignment="1">
      <alignment horizontal="center" vertical="center"/>
    </xf>
    <xf numFmtId="0" fontId="1" fillId="3538" borderId="0" xfId="4" applyFill="1" applyAlignment="1">
      <alignment horizontal="center" vertical="center"/>
    </xf>
    <xf numFmtId="0" fontId="1" fillId="3539" borderId="0" xfId="4" applyFill="1" applyAlignment="1">
      <alignment horizontal="center" vertical="center"/>
    </xf>
    <xf numFmtId="0" fontId="1" fillId="3540" borderId="0" xfId="4" applyFill="1" applyAlignment="1">
      <alignment horizontal="center" vertical="center"/>
    </xf>
    <xf numFmtId="0" fontId="1" fillId="3541" borderId="0" xfId="4" applyFill="1" applyAlignment="1">
      <alignment horizontal="center" vertical="center"/>
    </xf>
    <xf numFmtId="0" fontId="1" fillId="3542" borderId="0" xfId="4" applyFill="1" applyAlignment="1">
      <alignment horizontal="center" vertical="center"/>
    </xf>
    <xf numFmtId="0" fontId="1" fillId="3543" borderId="0" xfId="4" applyFill="1" applyAlignment="1">
      <alignment horizontal="center" vertical="center"/>
    </xf>
    <xf numFmtId="0" fontId="1" fillId="3544" borderId="0" xfId="4" applyFill="1" applyAlignment="1">
      <alignment horizontal="center" vertical="center"/>
    </xf>
    <xf numFmtId="0" fontId="1" fillId="3545" borderId="0" xfId="4" applyFill="1" applyAlignment="1">
      <alignment horizontal="center" vertical="center"/>
    </xf>
    <xf numFmtId="0" fontId="1" fillId="3546" borderId="0" xfId="4" applyFill="1" applyAlignment="1">
      <alignment horizontal="center" vertical="center"/>
    </xf>
    <xf numFmtId="0" fontId="1" fillId="3547" borderId="0" xfId="4" applyFill="1" applyAlignment="1">
      <alignment horizontal="left" vertical="center"/>
    </xf>
    <xf numFmtId="0" fontId="1" fillId="3548" borderId="0" xfId="4" applyFill="1" applyAlignment="1">
      <alignment horizontal="left" vertical="center"/>
    </xf>
    <xf numFmtId="0" fontId="1" fillId="3549" borderId="0" xfId="4" applyFill="1" applyAlignment="1">
      <alignment horizontal="center" vertical="center"/>
    </xf>
    <xf numFmtId="0" fontId="1" fillId="3550" borderId="0" xfId="4" applyFill="1" applyAlignment="1">
      <alignment horizontal="center" vertical="center"/>
    </xf>
    <xf numFmtId="0" fontId="1" fillId="3551" borderId="0" xfId="4" applyFill="1" applyAlignment="1">
      <alignment horizontal="center" vertical="center"/>
    </xf>
    <xf numFmtId="0" fontId="1" fillId="3552" borderId="0" xfId="4" applyFill="1" applyAlignment="1">
      <alignment horizontal="center" vertical="center"/>
    </xf>
    <xf numFmtId="0" fontId="1" fillId="3553" borderId="0" xfId="4" applyFill="1" applyAlignment="1">
      <alignment horizontal="center" vertical="center"/>
    </xf>
    <xf numFmtId="0" fontId="1" fillId="3554" borderId="0" xfId="4" applyFill="1" applyAlignment="1">
      <alignment horizontal="center" vertical="center"/>
    </xf>
    <xf numFmtId="0" fontId="1" fillId="3555" borderId="0" xfId="4" applyFill="1" applyAlignment="1">
      <alignment horizontal="center" vertical="center"/>
    </xf>
    <xf numFmtId="0" fontId="1" fillId="3556" borderId="0" xfId="4" applyFill="1" applyAlignment="1">
      <alignment horizontal="center" vertical="center"/>
    </xf>
    <xf numFmtId="0" fontId="1" fillId="3557" borderId="0" xfId="4" applyFill="1" applyAlignment="1">
      <alignment horizontal="center" vertical="center"/>
    </xf>
    <xf numFmtId="0" fontId="1" fillId="3558" borderId="0" xfId="4" applyFill="1" applyAlignment="1">
      <alignment horizontal="center" vertical="center"/>
    </xf>
    <xf numFmtId="0" fontId="1" fillId="3559" borderId="0" xfId="4" applyFill="1" applyAlignment="1">
      <alignment horizontal="left" vertical="center"/>
    </xf>
    <xf numFmtId="0" fontId="1" fillId="3560" borderId="0" xfId="4" applyFill="1" applyAlignment="1">
      <alignment horizontal="center" vertical="center"/>
    </xf>
    <xf numFmtId="0" fontId="1" fillId="3561" borderId="0" xfId="4" applyFill="1" applyAlignment="1">
      <alignment horizontal="center" vertical="center"/>
    </xf>
    <xf numFmtId="0" fontId="1" fillId="3562" borderId="0" xfId="4" applyFill="1" applyAlignment="1">
      <alignment horizontal="center" vertical="center"/>
    </xf>
    <xf numFmtId="0" fontId="1" fillId="3563" borderId="0" xfId="4" applyFill="1" applyAlignment="1">
      <alignment horizontal="center" vertical="center"/>
    </xf>
    <xf numFmtId="0" fontId="1" fillId="279" borderId="0" xfId="4" applyFill="1" applyAlignment="1">
      <alignment horizontal="center" vertical="center"/>
    </xf>
    <xf numFmtId="0" fontId="1" fillId="3564" borderId="0" xfId="4" applyFill="1" applyAlignment="1">
      <alignment horizontal="center" vertical="center"/>
    </xf>
    <xf numFmtId="0" fontId="1" fillId="3565" borderId="0" xfId="4" applyFill="1" applyAlignment="1">
      <alignment horizontal="center" vertical="center"/>
    </xf>
    <xf numFmtId="0" fontId="1" fillId="3566" borderId="0" xfId="4" applyFill="1" applyAlignment="1">
      <alignment horizontal="center" vertical="center"/>
    </xf>
    <xf numFmtId="0" fontId="1" fillId="3567" borderId="0" xfId="4" applyFill="1" applyAlignment="1">
      <alignment horizontal="center" vertical="center"/>
    </xf>
    <xf numFmtId="0" fontId="1" fillId="3568" borderId="0" xfId="4" applyFill="1" applyAlignment="1">
      <alignment horizontal="center" vertical="center"/>
    </xf>
    <xf numFmtId="0" fontId="1" fillId="3569" borderId="0" xfId="4" applyFill="1" applyAlignment="1">
      <alignment horizontal="center" vertical="center"/>
    </xf>
    <xf numFmtId="0" fontId="1" fillId="3570" borderId="0" xfId="4" applyFill="1" applyAlignment="1">
      <alignment horizontal="center" vertical="center"/>
    </xf>
    <xf numFmtId="0" fontId="1" fillId="3571" borderId="0" xfId="4" applyFill="1" applyAlignment="1">
      <alignment horizontal="center" vertical="center"/>
    </xf>
    <xf numFmtId="0" fontId="1" fillId="3572" borderId="0" xfId="4" applyFill="1" applyAlignment="1">
      <alignment horizontal="center" vertical="center"/>
    </xf>
    <xf numFmtId="0" fontId="1" fillId="3573" borderId="0" xfId="4" applyFill="1" applyAlignment="1">
      <alignment horizontal="center" vertical="center"/>
    </xf>
    <xf numFmtId="0" fontId="1" fillId="3574" borderId="0" xfId="4" applyFill="1" applyAlignment="1">
      <alignment horizontal="center" vertical="center"/>
    </xf>
    <xf numFmtId="0" fontId="1" fillId="3575" borderId="0" xfId="4" applyFill="1" applyAlignment="1">
      <alignment horizontal="center" vertical="center"/>
    </xf>
    <xf numFmtId="0" fontId="1" fillId="3576" borderId="0" xfId="4" applyFill="1" applyAlignment="1">
      <alignment horizontal="center" vertical="center"/>
    </xf>
    <xf numFmtId="0" fontId="1" fillId="3577" borderId="0" xfId="4" applyFill="1" applyAlignment="1">
      <alignment horizontal="center" vertical="center"/>
    </xf>
    <xf numFmtId="0" fontId="1" fillId="3578" borderId="0" xfId="4" applyFill="1" applyAlignment="1">
      <alignment horizontal="center" vertical="center"/>
    </xf>
    <xf numFmtId="0" fontId="1" fillId="3579" borderId="0" xfId="4" applyFill="1" applyAlignment="1">
      <alignment horizontal="center" vertical="center"/>
    </xf>
    <xf numFmtId="0" fontId="1" fillId="3580" borderId="0" xfId="4" applyFill="1" applyAlignment="1">
      <alignment horizontal="left" vertical="center"/>
    </xf>
    <xf numFmtId="0" fontId="1" fillId="3581" borderId="0" xfId="4" applyFill="1" applyAlignment="1">
      <alignment horizontal="center" vertical="center"/>
    </xf>
    <xf numFmtId="0" fontId="1" fillId="3582" borderId="0" xfId="4" applyFill="1" applyAlignment="1">
      <alignment horizontal="center" vertical="center"/>
    </xf>
    <xf numFmtId="0" fontId="1" fillId="3583" borderId="0" xfId="4" applyFill="1" applyAlignment="1">
      <alignment horizontal="center" vertical="center"/>
    </xf>
    <xf numFmtId="0" fontId="1" fillId="3584" borderId="0" xfId="4" applyFill="1" applyAlignment="1">
      <alignment horizontal="center" vertical="center"/>
    </xf>
    <xf numFmtId="0" fontId="1" fillId="4" borderId="0" xfId="4" applyFill="1" applyAlignment="1">
      <alignment horizontal="center" vertical="center"/>
    </xf>
    <xf numFmtId="0" fontId="1" fillId="3585" borderId="0" xfId="4" applyFill="1" applyAlignment="1">
      <alignment horizontal="center" vertical="center"/>
    </xf>
    <xf numFmtId="0" fontId="1" fillId="3586" borderId="0" xfId="4" applyFill="1" applyAlignment="1">
      <alignment horizontal="center" vertical="center"/>
    </xf>
    <xf numFmtId="0" fontId="1" fillId="3587" borderId="0" xfId="4" applyFill="1" applyAlignment="1">
      <alignment horizontal="center" vertical="center"/>
    </xf>
    <xf numFmtId="0" fontId="1" fillId="3588" borderId="0" xfId="4" applyFill="1" applyAlignment="1">
      <alignment horizontal="center" vertical="center"/>
    </xf>
    <xf numFmtId="0" fontId="1" fillId="3589" borderId="0" xfId="4" applyFill="1" applyAlignment="1">
      <alignment horizontal="center" vertical="center"/>
    </xf>
    <xf numFmtId="0" fontId="1" fillId="3590" borderId="0" xfId="4" applyFill="1" applyAlignment="1">
      <alignment horizontal="center" vertical="center"/>
    </xf>
    <xf numFmtId="0" fontId="1" fillId="3591" borderId="0" xfId="4" applyFill="1" applyAlignment="1">
      <alignment horizontal="center" vertical="center"/>
    </xf>
    <xf numFmtId="0" fontId="1" fillId="3592" borderId="0" xfId="4" applyFill="1" applyAlignment="1">
      <alignment horizontal="center" vertical="center"/>
    </xf>
    <xf numFmtId="0" fontId="1" fillId="3593" borderId="0" xfId="4" applyFill="1" applyAlignment="1">
      <alignment horizontal="center" vertical="center"/>
    </xf>
    <xf numFmtId="0" fontId="1" fillId="3594" borderId="0" xfId="4" applyFill="1" applyAlignment="1">
      <alignment horizontal="center" vertical="center"/>
    </xf>
    <xf numFmtId="0" fontId="1" fillId="3595" borderId="0" xfId="4" applyFill="1" applyAlignment="1">
      <alignment horizontal="center" vertical="center"/>
    </xf>
    <xf numFmtId="0" fontId="1" fillId="3596" borderId="0" xfId="4" applyFill="1" applyAlignment="1">
      <alignment horizontal="center" vertical="center"/>
    </xf>
    <xf numFmtId="0" fontId="1" fillId="3371" borderId="0" xfId="4" applyFill="1" applyAlignment="1">
      <alignment horizontal="left" vertical="center"/>
    </xf>
    <xf numFmtId="0" fontId="1" fillId="3597" borderId="0" xfId="4" applyFill="1" applyAlignment="1">
      <alignment horizontal="left" vertical="center"/>
    </xf>
    <xf numFmtId="0" fontId="1" fillId="3598" borderId="0" xfId="4" applyFill="1" applyAlignment="1">
      <alignment horizontal="left" vertical="center"/>
    </xf>
    <xf numFmtId="0" fontId="1" fillId="3599" borderId="0" xfId="4" applyFill="1" applyAlignment="1">
      <alignment horizontal="center" vertical="center"/>
    </xf>
    <xf numFmtId="0" fontId="1" fillId="3547" borderId="0" xfId="4" applyFill="1" applyAlignment="1">
      <alignment horizontal="center" vertical="center"/>
    </xf>
    <xf numFmtId="0" fontId="1" fillId="2859" borderId="0" xfId="4" applyFill="1" applyAlignment="1">
      <alignment horizontal="center" vertical="center"/>
    </xf>
    <xf numFmtId="0" fontId="1" fillId="3600" borderId="0" xfId="4" applyFill="1" applyAlignment="1">
      <alignment horizontal="center" vertical="center"/>
    </xf>
    <xf numFmtId="0" fontId="1" fillId="3601" borderId="0" xfId="4" applyFill="1" applyAlignment="1">
      <alignment horizontal="center" vertical="center"/>
    </xf>
    <xf numFmtId="0" fontId="1" fillId="3602" borderId="0" xfId="4" applyFill="1" applyAlignment="1">
      <alignment horizontal="center" vertical="center"/>
    </xf>
    <xf numFmtId="0" fontId="1" fillId="3603" borderId="0" xfId="4" applyFill="1" applyAlignment="1">
      <alignment horizontal="center" vertical="center"/>
    </xf>
    <xf numFmtId="0" fontId="1" fillId="3604" borderId="0" xfId="4" applyFill="1" applyAlignment="1">
      <alignment horizontal="center" vertical="center"/>
    </xf>
    <xf numFmtId="0" fontId="1" fillId="3605" borderId="0" xfId="4" applyFill="1" applyAlignment="1">
      <alignment horizontal="center" vertical="center"/>
    </xf>
    <xf numFmtId="0" fontId="1" fillId="3606" borderId="0" xfId="4" applyFill="1" applyAlignment="1">
      <alignment horizontal="center" vertical="center"/>
    </xf>
    <xf numFmtId="0" fontId="1" fillId="3607" borderId="0" xfId="4" applyFill="1" applyAlignment="1">
      <alignment horizontal="left" vertical="center"/>
    </xf>
    <xf numFmtId="0" fontId="1" fillId="3608" borderId="0" xfId="4" applyFill="1" applyAlignment="1">
      <alignment horizontal="center" vertical="center"/>
    </xf>
    <xf numFmtId="0" fontId="1" fillId="2300" borderId="0" xfId="4" applyFill="1" applyAlignment="1">
      <alignment horizontal="left" vertical="center"/>
    </xf>
    <xf numFmtId="0" fontId="1" fillId="120" borderId="0" xfId="4" applyFill="1" applyAlignment="1">
      <alignment horizontal="center" vertical="center"/>
    </xf>
    <xf numFmtId="0" fontId="1" fillId="193" borderId="0" xfId="4" applyFill="1" applyAlignment="1">
      <alignment horizontal="center" vertical="center"/>
    </xf>
    <xf numFmtId="0" fontId="1" fillId="111" borderId="0" xfId="4" applyFill="1" applyAlignment="1">
      <alignment horizontal="center" vertical="center"/>
    </xf>
    <xf numFmtId="0" fontId="1" fillId="3609" borderId="0" xfId="4" applyFill="1" applyAlignment="1">
      <alignment horizontal="center" vertical="center"/>
    </xf>
    <xf numFmtId="0" fontId="1" fillId="3610" borderId="0" xfId="4" applyFill="1" applyAlignment="1">
      <alignment horizontal="center" vertical="center"/>
    </xf>
    <xf numFmtId="0" fontId="1" fillId="3611" borderId="0" xfId="4" applyFill="1" applyAlignment="1">
      <alignment horizontal="center" vertical="center"/>
    </xf>
    <xf numFmtId="0" fontId="1" fillId="3612" borderId="0" xfId="4" applyFill="1" applyAlignment="1">
      <alignment horizontal="center" vertical="center"/>
    </xf>
    <xf numFmtId="0" fontId="1" fillId="3613" borderId="0" xfId="4" applyFill="1" applyAlignment="1">
      <alignment horizontal="center" vertical="center"/>
    </xf>
    <xf numFmtId="0" fontId="1" fillId="3614" borderId="0" xfId="4" applyFill="1" applyAlignment="1">
      <alignment horizontal="center" vertical="center"/>
    </xf>
    <xf numFmtId="0" fontId="1" fillId="3615" borderId="0" xfId="4" applyFill="1" applyAlignment="1">
      <alignment horizontal="center" vertical="center"/>
    </xf>
    <xf numFmtId="0" fontId="1" fillId="3616" borderId="0" xfId="4" applyFill="1" applyAlignment="1">
      <alignment horizontal="center" vertical="center"/>
    </xf>
    <xf numFmtId="0" fontId="1" fillId="3617" borderId="0" xfId="4" applyFill="1" applyAlignment="1">
      <alignment horizontal="center" vertical="center"/>
    </xf>
    <xf numFmtId="0" fontId="1" fillId="3618" borderId="0" xfId="4" applyFill="1" applyAlignment="1">
      <alignment horizontal="center" vertical="center"/>
    </xf>
    <xf numFmtId="0" fontId="1" fillId="3619" borderId="0" xfId="4" applyFill="1" applyAlignment="1">
      <alignment horizontal="center" vertical="center"/>
    </xf>
    <xf numFmtId="0" fontId="1" fillId="3620" borderId="0" xfId="4" applyFill="1" applyAlignment="1">
      <alignment horizontal="center" vertical="center"/>
    </xf>
    <xf numFmtId="0" fontId="1" fillId="3621" borderId="0" xfId="4" applyFill="1" applyAlignment="1">
      <alignment horizontal="center" vertical="center"/>
    </xf>
    <xf numFmtId="0" fontId="1" fillId="3622" borderId="0" xfId="4" applyFill="1" applyAlignment="1">
      <alignment horizontal="center" vertical="center"/>
    </xf>
    <xf numFmtId="0" fontId="1" fillId="3623" borderId="0" xfId="4" applyFill="1" applyAlignment="1">
      <alignment horizontal="left" vertical="center"/>
    </xf>
    <xf numFmtId="0" fontId="1" fillId="3624" borderId="0" xfId="4" applyFill="1" applyAlignment="1">
      <alignment horizontal="center" vertical="center"/>
    </xf>
    <xf numFmtId="0" fontId="1" fillId="3625" borderId="0" xfId="4" applyFill="1" applyAlignment="1">
      <alignment horizontal="center" vertical="center"/>
    </xf>
    <xf numFmtId="0" fontId="1" fillId="3626" borderId="0" xfId="4" applyFill="1" applyAlignment="1">
      <alignment horizontal="center" vertical="center"/>
    </xf>
    <xf numFmtId="0" fontId="1" fillId="3627" borderId="0" xfId="4" applyFill="1" applyAlignment="1">
      <alignment horizontal="center" vertical="center"/>
    </xf>
    <xf numFmtId="0" fontId="1" fillId="3628" borderId="0" xfId="4" applyFill="1" applyAlignment="1">
      <alignment horizontal="center" vertical="center"/>
    </xf>
    <xf numFmtId="0" fontId="1" fillId="3629" borderId="0" xfId="4" applyFill="1" applyAlignment="1">
      <alignment horizontal="center" vertical="center"/>
    </xf>
    <xf numFmtId="0" fontId="1" fillId="3630" borderId="0" xfId="4" applyFill="1" applyAlignment="1">
      <alignment horizontal="center" vertical="center"/>
    </xf>
    <xf numFmtId="0" fontId="1" fillId="3631" borderId="0" xfId="4" applyFill="1" applyAlignment="1">
      <alignment horizontal="center" vertical="center"/>
    </xf>
    <xf numFmtId="0" fontId="1" fillId="3632" borderId="0" xfId="4" applyFill="1" applyAlignment="1">
      <alignment horizontal="center" vertical="center"/>
    </xf>
    <xf numFmtId="0" fontId="1" fillId="3633" borderId="0" xfId="4" applyFill="1" applyAlignment="1">
      <alignment horizontal="center" vertical="center"/>
    </xf>
    <xf numFmtId="0" fontId="1" fillId="3634" borderId="0" xfId="4" applyFill="1" applyAlignment="1">
      <alignment horizontal="center" vertical="center"/>
    </xf>
    <xf numFmtId="0" fontId="1" fillId="3635" borderId="0" xfId="4" applyFill="1" applyAlignment="1">
      <alignment horizontal="center" vertical="center"/>
    </xf>
    <xf numFmtId="0" fontId="1" fillId="3636" borderId="0" xfId="4" applyFill="1" applyAlignment="1">
      <alignment horizontal="left" vertical="center"/>
    </xf>
    <xf numFmtId="0" fontId="1" fillId="3637" borderId="0" xfId="4" applyFill="1" applyAlignment="1">
      <alignment horizontal="left" vertical="center"/>
    </xf>
    <xf numFmtId="0" fontId="1" fillId="2791" borderId="0" xfId="4" applyFill="1" applyAlignment="1">
      <alignment horizontal="left" vertical="center"/>
    </xf>
    <xf numFmtId="0" fontId="1" fillId="3638" borderId="0" xfId="4" applyFill="1" applyAlignment="1">
      <alignment horizontal="left" vertical="center"/>
    </xf>
    <xf numFmtId="0" fontId="1" fillId="3639" borderId="0" xfId="4" applyFill="1" applyAlignment="1">
      <alignment horizontal="left" vertical="center"/>
    </xf>
    <xf numFmtId="0" fontId="1" fillId="3640" borderId="0" xfId="4" applyFill="1" applyAlignment="1">
      <alignment horizontal="left" vertical="center"/>
    </xf>
    <xf numFmtId="0" fontId="1" fillId="3641" borderId="0" xfId="4" applyFill="1" applyAlignment="1">
      <alignment horizontal="center" vertical="center"/>
    </xf>
    <xf numFmtId="0" fontId="1" fillId="3642" borderId="0" xfId="4" applyFill="1" applyAlignment="1">
      <alignment horizontal="center" vertical="center"/>
    </xf>
    <xf numFmtId="0" fontId="1" fillId="3643" borderId="0" xfId="4" applyFill="1" applyAlignment="1">
      <alignment horizontal="center" vertical="center"/>
    </xf>
    <xf numFmtId="0" fontId="1" fillId="3644" borderId="0" xfId="4" applyFill="1" applyAlignment="1">
      <alignment horizontal="center" vertical="center"/>
    </xf>
    <xf numFmtId="0" fontId="1" fillId="3645" borderId="0" xfId="4" applyFill="1" applyAlignment="1">
      <alignment horizontal="center" vertical="center"/>
    </xf>
    <xf numFmtId="0" fontId="1" fillId="3646" borderId="0" xfId="4" applyFill="1" applyAlignment="1">
      <alignment horizontal="center" vertical="center"/>
    </xf>
    <xf numFmtId="0" fontId="1" fillId="3647" borderId="0" xfId="4" applyFill="1" applyAlignment="1">
      <alignment horizontal="center" vertical="center"/>
    </xf>
    <xf numFmtId="0" fontId="1" fillId="3648" borderId="0" xfId="4" applyFill="1" applyAlignment="1">
      <alignment horizontal="center" vertical="center"/>
    </xf>
    <xf numFmtId="0" fontId="1" fillId="3649" borderId="0" xfId="4" applyFill="1" applyAlignment="1">
      <alignment horizontal="center" vertical="center"/>
    </xf>
    <xf numFmtId="0" fontId="1" fillId="3650" borderId="0" xfId="4" applyFill="1" applyAlignment="1">
      <alignment horizontal="left" vertical="center"/>
    </xf>
    <xf numFmtId="0" fontId="1" fillId="3651" borderId="0" xfId="4" applyFill="1" applyAlignment="1">
      <alignment horizontal="center" vertical="center"/>
    </xf>
    <xf numFmtId="0" fontId="1" fillId="166" borderId="0" xfId="4" applyFill="1" applyAlignment="1">
      <alignment horizontal="center" vertical="center"/>
    </xf>
    <xf numFmtId="0" fontId="1" fillId="50" borderId="0" xfId="4" applyFill="1" applyAlignment="1">
      <alignment horizontal="left" vertical="center"/>
    </xf>
    <xf numFmtId="0" fontId="1" fillId="3652" borderId="0" xfId="4" applyFill="1" applyAlignment="1">
      <alignment horizontal="center" vertical="center"/>
    </xf>
    <xf numFmtId="0" fontId="1" fillId="3653" borderId="0" xfId="4" applyFill="1" applyAlignment="1">
      <alignment horizontal="center" vertical="center"/>
    </xf>
    <xf numFmtId="0" fontId="1" fillId="3654" borderId="0" xfId="4" applyFill="1" applyAlignment="1">
      <alignment horizontal="center" vertical="center"/>
    </xf>
    <xf numFmtId="0" fontId="1" fillId="59" borderId="0" xfId="4" applyFill="1" applyAlignment="1">
      <alignment horizontal="center" vertical="center"/>
    </xf>
    <xf numFmtId="0" fontId="1" fillId="36" borderId="0" xfId="4" applyFill="1" applyAlignment="1">
      <alignment horizontal="center" vertical="center"/>
    </xf>
    <xf numFmtId="0" fontId="1" fillId="3655" borderId="0" xfId="4" applyFill="1" applyAlignment="1">
      <alignment horizontal="center" vertical="center"/>
    </xf>
    <xf numFmtId="0" fontId="1" fillId="3656" borderId="0" xfId="4" applyFill="1" applyAlignment="1">
      <alignment horizontal="center" vertical="center"/>
    </xf>
    <xf numFmtId="0" fontId="1" fillId="3657" borderId="0" xfId="4" applyFill="1" applyAlignment="1">
      <alignment horizontal="center" vertical="center"/>
    </xf>
    <xf numFmtId="0" fontId="1" fillId="3658" borderId="0" xfId="4" applyFill="1" applyAlignment="1">
      <alignment horizontal="center" vertical="center"/>
    </xf>
    <xf numFmtId="0" fontId="1" fillId="3659" borderId="0" xfId="4" applyFill="1" applyAlignment="1">
      <alignment horizontal="center" vertical="center"/>
    </xf>
    <xf numFmtId="0" fontId="1" fillId="3660" borderId="0" xfId="4" applyFill="1" applyAlignment="1">
      <alignment horizontal="center" vertical="center"/>
    </xf>
    <xf numFmtId="0" fontId="1" fillId="3661" borderId="0" xfId="4" applyFill="1" applyAlignment="1">
      <alignment horizontal="center" vertical="center"/>
    </xf>
    <xf numFmtId="0" fontId="1" fillId="3662" borderId="0" xfId="4" applyFill="1" applyAlignment="1">
      <alignment horizontal="center" vertical="center"/>
    </xf>
    <xf numFmtId="0" fontId="1" fillId="3663" borderId="0" xfId="4" applyFill="1" applyAlignment="1">
      <alignment horizontal="center" vertical="center"/>
    </xf>
    <xf numFmtId="0" fontId="1" fillId="3664" borderId="0" xfId="4" applyFill="1" applyAlignment="1">
      <alignment horizontal="center" vertical="center"/>
    </xf>
    <xf numFmtId="0" fontId="1" fillId="3665" borderId="0" xfId="4" applyFill="1" applyAlignment="1">
      <alignment horizontal="center" vertical="center"/>
    </xf>
    <xf numFmtId="0" fontId="1" fillId="3666" borderId="0" xfId="4" applyFill="1" applyAlignment="1">
      <alignment horizontal="left" vertical="center"/>
    </xf>
    <xf numFmtId="0" fontId="1" fillId="77" borderId="0" xfId="4" applyFill="1" applyAlignment="1">
      <alignment horizontal="center" vertical="center"/>
    </xf>
    <xf numFmtId="0" fontId="1" fillId="3667" borderId="0" xfId="4" applyFill="1" applyAlignment="1">
      <alignment horizontal="center" vertical="center"/>
    </xf>
    <xf numFmtId="0" fontId="1" fillId="3668" borderId="0" xfId="4" applyFill="1" applyAlignment="1">
      <alignment horizontal="center" vertical="center"/>
    </xf>
    <xf numFmtId="0" fontId="1" fillId="3669" borderId="0" xfId="4" applyFill="1" applyAlignment="1">
      <alignment horizontal="center" vertical="center"/>
    </xf>
    <xf numFmtId="0" fontId="1" fillId="3670" borderId="0" xfId="4" applyFill="1" applyAlignment="1">
      <alignment horizontal="center" vertical="center"/>
    </xf>
    <xf numFmtId="0" fontId="1" fillId="3671" borderId="0" xfId="4" applyFill="1" applyAlignment="1">
      <alignment horizontal="center" vertical="center"/>
    </xf>
    <xf numFmtId="0" fontId="1" fillId="3672" borderId="0" xfId="4" applyFill="1" applyAlignment="1">
      <alignment horizontal="center" vertical="center"/>
    </xf>
    <xf numFmtId="0" fontId="1" fillId="3673" borderId="0" xfId="4" applyFill="1" applyAlignment="1">
      <alignment horizontal="center" vertical="center"/>
    </xf>
    <xf numFmtId="0" fontId="1" fillId="3674" borderId="0" xfId="4" applyFill="1" applyAlignment="1">
      <alignment horizontal="center" vertical="center"/>
    </xf>
    <xf numFmtId="0" fontId="1" fillId="3675" borderId="0" xfId="4" applyFill="1" applyAlignment="1">
      <alignment horizontal="center" vertical="center"/>
    </xf>
    <xf numFmtId="0" fontId="1" fillId="3676" borderId="0" xfId="4" applyFill="1" applyAlignment="1">
      <alignment horizontal="center" vertical="center"/>
    </xf>
    <xf numFmtId="0" fontId="1" fillId="3677" borderId="0" xfId="4" applyFill="1" applyAlignment="1">
      <alignment horizontal="center" vertical="center"/>
    </xf>
    <xf numFmtId="0" fontId="1" fillId="3678" borderId="0" xfId="4" applyFill="1" applyAlignment="1">
      <alignment horizontal="left" vertical="center"/>
    </xf>
    <xf numFmtId="0" fontId="1" fillId="1921" borderId="0" xfId="4" applyFill="1" applyAlignment="1">
      <alignment horizontal="left" vertical="center"/>
    </xf>
    <xf numFmtId="0" fontId="1" fillId="3679" borderId="0" xfId="4" applyFill="1" applyAlignment="1">
      <alignment horizontal="left" vertical="center"/>
    </xf>
    <xf numFmtId="0" fontId="1" fillId="3680" borderId="0" xfId="4" applyFill="1" applyAlignment="1">
      <alignment horizontal="left" vertical="center"/>
    </xf>
    <xf numFmtId="0" fontId="1" fillId="3681" borderId="0" xfId="4" applyFill="1" applyAlignment="1">
      <alignment horizontal="left" vertical="center"/>
    </xf>
    <xf numFmtId="0" fontId="1" fillId="3682" borderId="0" xfId="4" applyFill="1" applyAlignment="1">
      <alignment horizontal="left" vertical="center"/>
    </xf>
    <xf numFmtId="0" fontId="1" fillId="3683" borderId="0" xfId="4" applyFill="1" applyAlignment="1">
      <alignment horizontal="center" vertical="center"/>
    </xf>
    <xf numFmtId="0" fontId="1" fillId="179" borderId="0" xfId="4" applyFill="1" applyAlignment="1">
      <alignment horizontal="center" vertical="center"/>
    </xf>
    <xf numFmtId="0" fontId="1" fillId="3684" borderId="0" xfId="4" applyFill="1" applyAlignment="1">
      <alignment horizontal="center" vertical="center"/>
    </xf>
    <xf numFmtId="0" fontId="1" fillId="3685" borderId="0" xfId="4" applyFill="1" applyAlignment="1">
      <alignment horizontal="center" vertical="center"/>
    </xf>
    <xf numFmtId="0" fontId="1" fillId="3686" borderId="0" xfId="4" applyFill="1" applyAlignment="1">
      <alignment horizontal="center" vertical="center"/>
    </xf>
    <xf numFmtId="0" fontId="1" fillId="3687" borderId="0" xfId="4" applyFill="1" applyAlignment="1">
      <alignment horizontal="center" vertical="center"/>
    </xf>
    <xf numFmtId="0" fontId="1" fillId="3688" borderId="0" xfId="4" applyFill="1" applyAlignment="1">
      <alignment horizontal="center" vertical="center"/>
    </xf>
    <xf numFmtId="0" fontId="1" fillId="349" borderId="0" xfId="4" applyFill="1" applyAlignment="1">
      <alignment horizontal="left" vertical="center"/>
    </xf>
    <xf numFmtId="0" fontId="1" fillId="3689" borderId="0" xfId="4" applyFill="1" applyAlignment="1">
      <alignment horizontal="center" vertical="center"/>
    </xf>
    <xf numFmtId="0" fontId="1" fillId="3690" borderId="0" xfId="4" applyFill="1" applyAlignment="1">
      <alignment horizontal="left" vertical="center"/>
    </xf>
    <xf numFmtId="0" fontId="1" fillId="54" borderId="0" xfId="4" applyFill="1" applyAlignment="1">
      <alignment horizontal="center" vertical="center"/>
    </xf>
    <xf numFmtId="0" fontId="1" fillId="72" borderId="0" xfId="4" applyFill="1" applyAlignment="1">
      <alignment horizontal="center" vertical="center"/>
    </xf>
    <xf numFmtId="0" fontId="1" fillId="3691" borderId="0" xfId="4" applyFill="1" applyAlignment="1">
      <alignment horizontal="center" vertical="center"/>
    </xf>
    <xf numFmtId="0" fontId="1" fillId="3692" borderId="0" xfId="4" applyFill="1" applyAlignment="1">
      <alignment horizontal="center" vertical="center"/>
    </xf>
    <xf numFmtId="0" fontId="1" fillId="3693" borderId="0" xfId="4" applyFill="1" applyAlignment="1">
      <alignment horizontal="center" vertical="center"/>
    </xf>
    <xf numFmtId="0" fontId="1" fillId="3694" borderId="0" xfId="4" applyFill="1" applyAlignment="1">
      <alignment horizontal="center" vertical="center"/>
    </xf>
    <xf numFmtId="0" fontId="1" fillId="3695" borderId="0" xfId="4" applyFill="1" applyAlignment="1">
      <alignment horizontal="center" vertical="center"/>
    </xf>
    <xf numFmtId="0" fontId="1" fillId="3696" borderId="0" xfId="4" applyFill="1" applyAlignment="1">
      <alignment horizontal="center" vertical="center"/>
    </xf>
    <xf numFmtId="0" fontId="1" fillId="3697" borderId="0" xfId="4" applyFill="1" applyAlignment="1">
      <alignment horizontal="center" vertical="center"/>
    </xf>
    <xf numFmtId="0" fontId="1" fillId="3698" borderId="0" xfId="4" applyFill="1" applyAlignment="1">
      <alignment horizontal="center" vertical="center"/>
    </xf>
    <xf numFmtId="0" fontId="1" fillId="3699" borderId="0" xfId="4" applyFill="1" applyAlignment="1">
      <alignment horizontal="center" vertical="center"/>
    </xf>
    <xf numFmtId="0" fontId="1" fillId="3700" borderId="0" xfId="4" applyFill="1" applyAlignment="1">
      <alignment horizontal="left" vertical="center"/>
    </xf>
    <xf numFmtId="0" fontId="1" fillId="3701" borderId="0" xfId="4" applyFill="1" applyAlignment="1">
      <alignment horizontal="center" vertical="center"/>
    </xf>
    <xf numFmtId="0" fontId="1" fillId="3702" borderId="0" xfId="4" applyFill="1" applyAlignment="1">
      <alignment horizontal="center" vertical="center"/>
    </xf>
    <xf numFmtId="0" fontId="1" fillId="3703" borderId="0" xfId="4" applyFill="1" applyAlignment="1">
      <alignment horizontal="center" vertical="center"/>
    </xf>
    <xf numFmtId="0" fontId="1" fillId="3704" borderId="0" xfId="4" applyFill="1" applyAlignment="1">
      <alignment horizontal="center" vertical="center"/>
    </xf>
    <xf numFmtId="0" fontId="1" fillId="3705" borderId="0" xfId="4" applyFill="1" applyAlignment="1">
      <alignment horizontal="center" vertical="center"/>
    </xf>
    <xf numFmtId="0" fontId="1" fillId="3706" borderId="0" xfId="4" applyFill="1" applyAlignment="1">
      <alignment horizontal="center" vertical="center"/>
    </xf>
    <xf numFmtId="0" fontId="1" fillId="3707" borderId="0" xfId="4" applyFill="1" applyAlignment="1">
      <alignment horizontal="center" vertical="center"/>
    </xf>
    <xf numFmtId="0" fontId="1" fillId="3708" borderId="0" xfId="4" applyFill="1" applyAlignment="1">
      <alignment horizontal="center" vertical="center"/>
    </xf>
    <xf numFmtId="0" fontId="1" fillId="3709" borderId="0" xfId="4" applyFill="1" applyAlignment="1">
      <alignment horizontal="center" vertical="center"/>
    </xf>
    <xf numFmtId="0" fontId="1" fillId="3710" borderId="0" xfId="4" applyFill="1" applyAlignment="1">
      <alignment horizontal="center" vertical="center"/>
    </xf>
    <xf numFmtId="0" fontId="1" fillId="3711" borderId="0" xfId="4" applyFill="1" applyAlignment="1">
      <alignment horizontal="center" vertical="center"/>
    </xf>
    <xf numFmtId="0" fontId="1" fillId="3712" borderId="0" xfId="4" applyFill="1" applyAlignment="1">
      <alignment horizontal="center" vertical="center"/>
    </xf>
    <xf numFmtId="0" fontId="1" fillId="3713" borderId="0" xfId="4" applyFill="1" applyAlignment="1">
      <alignment horizontal="left" vertical="center"/>
    </xf>
    <xf numFmtId="0" fontId="1" fillId="3714" borderId="0" xfId="4" applyFill="1" applyAlignment="1">
      <alignment horizontal="left" vertical="center"/>
    </xf>
    <xf numFmtId="0" fontId="1" fillId="3715" borderId="0" xfId="4" applyFill="1" applyAlignment="1">
      <alignment horizontal="left" vertical="center"/>
    </xf>
    <xf numFmtId="0" fontId="1" fillId="3716" borderId="0" xfId="4" applyFill="1" applyAlignment="1">
      <alignment horizontal="left" vertical="center"/>
    </xf>
    <xf numFmtId="0" fontId="1" fillId="3717" borderId="0" xfId="4" applyFill="1" applyAlignment="1">
      <alignment horizontal="left" vertical="center"/>
    </xf>
    <xf numFmtId="0" fontId="1" fillId="3718" borderId="0" xfId="4" applyFill="1" applyAlignment="1">
      <alignment horizontal="left" vertical="center"/>
    </xf>
    <xf numFmtId="0" fontId="1" fillId="3719" borderId="0" xfId="4" applyFill="1" applyAlignment="1">
      <alignment horizontal="left" vertical="center"/>
    </xf>
    <xf numFmtId="0" fontId="1" fillId="2676" borderId="0" xfId="4" applyFill="1" applyAlignment="1">
      <alignment horizontal="center" vertical="center"/>
    </xf>
    <xf numFmtId="0" fontId="1" fillId="3720" borderId="0" xfId="4" applyFill="1" applyAlignment="1">
      <alignment horizontal="center" vertical="center"/>
    </xf>
    <xf numFmtId="0" fontId="1" fillId="87" borderId="0" xfId="4" applyFill="1" applyAlignment="1">
      <alignment horizontal="center" vertical="center"/>
    </xf>
    <xf numFmtId="0" fontId="1" fillId="3721" borderId="0" xfId="4" applyFill="1" applyAlignment="1">
      <alignment horizontal="center" vertical="center"/>
    </xf>
    <xf numFmtId="0" fontId="1" fillId="3722" borderId="0" xfId="4" applyFill="1" applyAlignment="1">
      <alignment horizontal="center" vertical="center"/>
    </xf>
    <xf numFmtId="0" fontId="1" fillId="3723" borderId="0" xfId="4" applyFill="1" applyAlignment="1">
      <alignment horizontal="center" vertical="center"/>
    </xf>
    <xf numFmtId="0" fontId="1" fillId="3724" borderId="0" xfId="4" applyFill="1" applyAlignment="1">
      <alignment horizontal="center" vertical="center"/>
    </xf>
    <xf numFmtId="0" fontId="1" fillId="3725" borderId="0" xfId="4" applyFill="1" applyAlignment="1">
      <alignment horizontal="center" vertical="center"/>
    </xf>
    <xf numFmtId="0" fontId="1" fillId="3726" borderId="0" xfId="4" applyFill="1" applyAlignment="1">
      <alignment horizontal="left" vertical="center"/>
    </xf>
    <xf numFmtId="0" fontId="1" fillId="3727" borderId="0" xfId="4" applyFill="1" applyAlignment="1">
      <alignment horizontal="center" vertical="center"/>
    </xf>
    <xf numFmtId="0" fontId="1" fillId="136" borderId="0" xfId="4" applyFill="1" applyAlignment="1">
      <alignment horizontal="center" vertical="center"/>
    </xf>
    <xf numFmtId="0" fontId="1" fillId="3728" borderId="0" xfId="4" applyFill="1" applyAlignment="1">
      <alignment horizontal="center" vertical="center"/>
    </xf>
    <xf numFmtId="0" fontId="1" fillId="3729" borderId="0" xfId="4" applyFill="1" applyAlignment="1">
      <alignment horizontal="center" vertical="center"/>
    </xf>
    <xf numFmtId="0" fontId="1" fillId="3730" borderId="0" xfId="4" applyFill="1" applyAlignment="1">
      <alignment horizontal="center" vertical="center"/>
    </xf>
    <xf numFmtId="0" fontId="1" fillId="3731" borderId="0" xfId="4" applyFill="1" applyAlignment="1">
      <alignment horizontal="center" vertical="center"/>
    </xf>
    <xf numFmtId="0" fontId="1" fillId="3732" borderId="0" xfId="4" applyFill="1" applyAlignment="1">
      <alignment horizontal="center" vertical="center"/>
    </xf>
    <xf numFmtId="0" fontId="1" fillId="3733" borderId="0" xfId="4" applyFill="1" applyAlignment="1">
      <alignment horizontal="center" vertical="center"/>
    </xf>
    <xf numFmtId="0" fontId="1" fillId="3734" borderId="0" xfId="4" applyFill="1" applyAlignment="1">
      <alignment horizontal="center" vertical="center"/>
    </xf>
    <xf numFmtId="0" fontId="1" fillId="3735" borderId="0" xfId="4" applyFill="1" applyAlignment="1">
      <alignment horizontal="center" vertical="center"/>
    </xf>
    <xf numFmtId="0" fontId="1" fillId="3736" borderId="0" xfId="4" applyFill="1" applyAlignment="1">
      <alignment horizontal="center" vertical="center"/>
    </xf>
    <xf numFmtId="0" fontId="1" fillId="3737" borderId="0" xfId="4" applyFill="1" applyAlignment="1">
      <alignment horizontal="center" vertical="center"/>
    </xf>
    <xf numFmtId="0" fontId="1" fillId="3738" borderId="0" xfId="4" applyFill="1" applyAlignment="1">
      <alignment horizontal="left" vertical="center"/>
    </xf>
    <xf numFmtId="0" fontId="1" fillId="3739" borderId="0" xfId="4" applyFill="1" applyAlignment="1">
      <alignment horizontal="center" vertical="center"/>
    </xf>
    <xf numFmtId="0" fontId="1" fillId="3740" borderId="0" xfId="4" applyFill="1" applyAlignment="1">
      <alignment horizontal="center" vertical="center"/>
    </xf>
    <xf numFmtId="0" fontId="1" fillId="3741" borderId="0" xfId="4" applyFill="1" applyAlignment="1">
      <alignment horizontal="center" vertical="center"/>
    </xf>
    <xf numFmtId="0" fontId="1" fillId="3742" borderId="0" xfId="4" applyFill="1" applyAlignment="1">
      <alignment horizontal="center" vertical="center"/>
    </xf>
    <xf numFmtId="0" fontId="1" fillId="3743" borderId="0" xfId="4" applyFill="1" applyAlignment="1">
      <alignment horizontal="center" vertical="center"/>
    </xf>
    <xf numFmtId="0" fontId="1" fillId="3744" borderId="0" xfId="4" applyFill="1" applyAlignment="1">
      <alignment horizontal="center" vertical="center"/>
    </xf>
    <xf numFmtId="0" fontId="1" fillId="3745" borderId="0" xfId="4" applyFill="1" applyAlignment="1">
      <alignment horizontal="center" vertical="center"/>
    </xf>
    <xf numFmtId="0" fontId="1" fillId="3746" borderId="0" xfId="4" applyFill="1" applyAlignment="1">
      <alignment horizontal="center" vertical="center"/>
    </xf>
    <xf numFmtId="0" fontId="1" fillId="3747" borderId="0" xfId="4" applyFill="1" applyAlignment="1">
      <alignment horizontal="center" vertical="center"/>
    </xf>
    <xf numFmtId="0" fontId="1" fillId="3748" borderId="0" xfId="4" applyFill="1" applyAlignment="1">
      <alignment horizontal="center" vertical="center"/>
    </xf>
    <xf numFmtId="0" fontId="1" fillId="3749" borderId="0" xfId="4" applyFill="1" applyAlignment="1">
      <alignment horizontal="center" vertical="center"/>
    </xf>
    <xf numFmtId="0" fontId="1" fillId="3750" borderId="0" xfId="4" applyFill="1" applyAlignment="1">
      <alignment horizontal="left" vertical="center"/>
    </xf>
    <xf numFmtId="0" fontId="1" fillId="3751" borderId="0" xfId="4" applyFill="1" applyAlignment="1">
      <alignment horizontal="left" vertical="center"/>
    </xf>
    <xf numFmtId="0" fontId="1" fillId="3752" borderId="0" xfId="4" applyFill="1" applyAlignment="1">
      <alignment horizontal="left" vertical="center"/>
    </xf>
    <xf numFmtId="0" fontId="1" fillId="3753" borderId="0" xfId="4" applyFill="1" applyAlignment="1">
      <alignment horizontal="left" vertical="center"/>
    </xf>
    <xf numFmtId="0" fontId="1" fillId="3754" borderId="0" xfId="4" applyFill="1" applyAlignment="1">
      <alignment horizontal="left" vertical="center"/>
    </xf>
    <xf numFmtId="0" fontId="1" fillId="3755" borderId="0" xfId="4" applyFill="1" applyAlignment="1">
      <alignment horizontal="left" vertical="center"/>
    </xf>
    <xf numFmtId="0" fontId="1" fillId="3756" borderId="0" xfId="4" applyFill="1" applyAlignment="1">
      <alignment horizontal="center" vertical="center"/>
    </xf>
    <xf numFmtId="0" fontId="1" fillId="85" borderId="0" xfId="4" applyFill="1" applyAlignment="1">
      <alignment horizontal="center" vertical="center"/>
    </xf>
    <xf numFmtId="0" fontId="1" fillId="3757" borderId="0" xfId="4" applyFill="1" applyAlignment="1">
      <alignment horizontal="center" vertical="center"/>
    </xf>
    <xf numFmtId="0" fontId="1" fillId="3758" borderId="0" xfId="4" applyFill="1" applyAlignment="1">
      <alignment horizontal="center" vertical="center"/>
    </xf>
    <xf numFmtId="0" fontId="1" fillId="3759" borderId="0" xfId="4" applyFill="1" applyAlignment="1">
      <alignment horizontal="center" vertical="center"/>
    </xf>
    <xf numFmtId="0" fontId="1" fillId="3760" borderId="0" xfId="4" applyFill="1" applyAlignment="1">
      <alignment horizontal="center" vertical="center"/>
    </xf>
    <xf numFmtId="0" fontId="1" fillId="3761" borderId="0" xfId="4" applyFill="1" applyAlignment="1">
      <alignment horizontal="center" vertical="center"/>
    </xf>
    <xf numFmtId="0" fontId="1" fillId="3762" borderId="0" xfId="4" applyFill="1" applyAlignment="1">
      <alignment horizontal="center" vertical="center"/>
    </xf>
    <xf numFmtId="0" fontId="1" fillId="3763" borderId="0" xfId="4" applyFill="1" applyAlignment="1">
      <alignment horizontal="left" vertical="center"/>
    </xf>
    <xf numFmtId="0" fontId="1" fillId="3764" borderId="0" xfId="4" applyFill="1" applyAlignment="1">
      <alignment horizontal="center" vertical="center"/>
    </xf>
    <xf numFmtId="0" fontId="1" fillId="3757" borderId="0" xfId="4" applyFill="1" applyAlignment="1">
      <alignment horizontal="left" vertical="center"/>
    </xf>
    <xf numFmtId="0" fontId="1" fillId="310" borderId="0" xfId="4" applyFill="1" applyAlignment="1">
      <alignment horizontal="center" vertical="center"/>
    </xf>
    <xf numFmtId="0" fontId="1" fillId="3765" borderId="0" xfId="4" applyFill="1" applyAlignment="1">
      <alignment horizontal="center" vertical="center"/>
    </xf>
    <xf numFmtId="0" fontId="1" fillId="73" borderId="0" xfId="4" applyFill="1" applyAlignment="1">
      <alignment horizontal="center" vertical="center"/>
    </xf>
    <xf numFmtId="0" fontId="1" fillId="3766" borderId="0" xfId="4" applyFill="1" applyAlignment="1">
      <alignment horizontal="center" vertical="center"/>
    </xf>
    <xf numFmtId="0" fontId="1" fillId="3767" borderId="0" xfId="4" applyFill="1" applyAlignment="1">
      <alignment horizontal="center" vertical="center"/>
    </xf>
    <xf numFmtId="0" fontId="1" fillId="3768" borderId="0" xfId="4" applyFill="1" applyAlignment="1">
      <alignment horizontal="center" vertical="center"/>
    </xf>
    <xf numFmtId="0" fontId="1" fillId="3769" borderId="0" xfId="4" applyFill="1" applyAlignment="1">
      <alignment horizontal="center" vertical="center"/>
    </xf>
    <xf numFmtId="0" fontId="1" fillId="3770" borderId="0" xfId="4" applyFill="1" applyAlignment="1">
      <alignment horizontal="center" vertical="center"/>
    </xf>
    <xf numFmtId="0" fontId="1" fillId="3771" borderId="0" xfId="4" applyFill="1" applyAlignment="1">
      <alignment horizontal="center" vertical="center"/>
    </xf>
    <xf numFmtId="0" fontId="1" fillId="2354" borderId="0" xfId="4" applyFill="1" applyAlignment="1">
      <alignment horizontal="center" vertical="center"/>
    </xf>
    <xf numFmtId="0" fontId="1" fillId="3772" borderId="0" xfId="4" applyFill="1" applyAlignment="1">
      <alignment horizontal="center" vertical="center"/>
    </xf>
    <xf numFmtId="0" fontId="1" fillId="3773" borderId="0" xfId="4" applyFill="1" applyAlignment="1">
      <alignment horizontal="left" vertical="center"/>
    </xf>
    <xf numFmtId="0" fontId="1" fillId="3774" borderId="0" xfId="4" applyFill="1" applyAlignment="1">
      <alignment horizontal="center" vertical="center"/>
    </xf>
    <xf numFmtId="0" fontId="1" fillId="3775" borderId="0" xfId="4" applyFill="1" applyAlignment="1">
      <alignment horizontal="center" vertical="center"/>
    </xf>
    <xf numFmtId="0" fontId="1" fillId="3776" borderId="0" xfId="4" applyFill="1" applyAlignment="1">
      <alignment horizontal="center" vertical="center"/>
    </xf>
    <xf numFmtId="0" fontId="1" fillId="3777" borderId="0" xfId="4" applyFill="1" applyAlignment="1">
      <alignment horizontal="center" vertical="center"/>
    </xf>
    <xf numFmtId="0" fontId="1" fillId="3778" borderId="0" xfId="4" applyFill="1" applyAlignment="1">
      <alignment horizontal="center" vertical="center"/>
    </xf>
    <xf numFmtId="0" fontId="1" fillId="3779" borderId="0" xfId="4" applyFill="1" applyAlignment="1">
      <alignment horizontal="center" vertical="center"/>
    </xf>
    <xf numFmtId="0" fontId="1" fillId="3780" borderId="0" xfId="4" applyFill="1" applyAlignment="1">
      <alignment horizontal="center" vertical="center"/>
    </xf>
    <xf numFmtId="0" fontId="1" fillId="3781" borderId="0" xfId="4" applyFill="1" applyAlignment="1">
      <alignment horizontal="center" vertical="center"/>
    </xf>
    <xf numFmtId="0" fontId="1" fillId="3782" borderId="0" xfId="4" applyFill="1" applyAlignment="1">
      <alignment horizontal="center" vertical="center"/>
    </xf>
    <xf numFmtId="0" fontId="1" fillId="3783" borderId="0" xfId="4" applyFill="1" applyAlignment="1">
      <alignment horizontal="center" vertical="center"/>
    </xf>
    <xf numFmtId="0" fontId="1" fillId="3784" borderId="0" xfId="4" applyFill="1" applyAlignment="1">
      <alignment horizontal="center" vertical="center"/>
    </xf>
    <xf numFmtId="0" fontId="1" fillId="3785" borderId="0" xfId="4" applyFill="1" applyAlignment="1">
      <alignment horizontal="center" vertical="center"/>
    </xf>
    <xf numFmtId="0" fontId="1" fillId="3786" borderId="0" xfId="4" applyFill="1" applyAlignment="1">
      <alignment horizontal="left" vertical="center"/>
    </xf>
    <xf numFmtId="0" fontId="1" fillId="3787" borderId="0" xfId="4" applyFill="1" applyAlignment="1">
      <alignment horizontal="left" vertical="center"/>
    </xf>
    <xf numFmtId="0" fontId="1" fillId="3788" borderId="0" xfId="4" applyFill="1" applyAlignment="1">
      <alignment horizontal="left" vertical="center"/>
    </xf>
    <xf numFmtId="0" fontId="1" fillId="3789" borderId="0" xfId="4" applyFill="1" applyAlignment="1">
      <alignment horizontal="left" vertical="center"/>
    </xf>
    <xf numFmtId="0" fontId="1" fillId="3790" borderId="0" xfId="4" applyFill="1" applyAlignment="1">
      <alignment horizontal="left" vertical="center"/>
    </xf>
    <xf numFmtId="0" fontId="1" fillId="3791" borderId="0" xfId="4" applyFill="1" applyAlignment="1">
      <alignment horizontal="left" vertical="center"/>
    </xf>
    <xf numFmtId="0" fontId="1" fillId="1911" borderId="0" xfId="4" applyFill="1" applyAlignment="1">
      <alignment horizontal="left" vertical="center"/>
    </xf>
    <xf numFmtId="0" fontId="1" fillId="3792" borderId="0" xfId="4" applyFill="1" applyAlignment="1">
      <alignment horizontal="center" vertical="center"/>
    </xf>
    <xf numFmtId="0" fontId="1" fillId="3793" borderId="0" xfId="4" applyFill="1" applyAlignment="1">
      <alignment horizontal="center" vertical="center"/>
    </xf>
    <xf numFmtId="0" fontId="1" fillId="3794" borderId="0" xfId="4" applyFill="1" applyAlignment="1">
      <alignment horizontal="center" vertical="center"/>
    </xf>
    <xf numFmtId="0" fontId="1" fillId="3795" borderId="0" xfId="4" applyFill="1" applyAlignment="1">
      <alignment horizontal="center" vertical="center"/>
    </xf>
    <xf numFmtId="0" fontId="1" fillId="3796" borderId="0" xfId="4" applyFill="1" applyAlignment="1">
      <alignment horizontal="center" vertical="center"/>
    </xf>
    <xf numFmtId="0" fontId="1" fillId="3797" borderId="0" xfId="4" applyFill="1" applyAlignment="1">
      <alignment horizontal="center" vertical="center"/>
    </xf>
    <xf numFmtId="0" fontId="1" fillId="3798" borderId="0" xfId="4" applyFill="1" applyAlignment="1">
      <alignment horizontal="center" vertical="center"/>
    </xf>
    <xf numFmtId="0" fontId="1" fillId="3799" borderId="0" xfId="4" applyFill="1" applyAlignment="1">
      <alignment horizontal="center" vertical="center"/>
    </xf>
    <xf numFmtId="0" fontId="1" fillId="3167" borderId="0" xfId="4" applyFill="1" applyAlignment="1">
      <alignment horizontal="left" vertical="center"/>
    </xf>
    <xf numFmtId="0" fontId="1" fillId="3800" borderId="0" xfId="4" applyFill="1" applyAlignment="1">
      <alignment horizontal="center" vertical="center"/>
    </xf>
    <xf numFmtId="0" fontId="1" fillId="3801" borderId="0" xfId="4" applyFill="1" applyAlignment="1">
      <alignment horizontal="center" vertical="center"/>
    </xf>
    <xf numFmtId="0" fontId="1" fillId="193" borderId="0" xfId="4" applyFill="1" applyAlignment="1">
      <alignment horizontal="left" vertical="center"/>
    </xf>
    <xf numFmtId="0" fontId="1" fillId="3802" borderId="0" xfId="4" applyFill="1" applyAlignment="1">
      <alignment horizontal="center" vertical="center"/>
    </xf>
    <xf numFmtId="0" fontId="1" fillId="3803" borderId="0" xfId="4" applyFill="1" applyAlignment="1">
      <alignment horizontal="center" vertical="center"/>
    </xf>
    <xf numFmtId="0" fontId="1" fillId="3804" borderId="0" xfId="4" applyFill="1" applyAlignment="1">
      <alignment horizontal="center" vertical="center"/>
    </xf>
    <xf numFmtId="0" fontId="1" fillId="3805" borderId="0" xfId="4" applyFill="1" applyAlignment="1">
      <alignment horizontal="center" vertical="center"/>
    </xf>
    <xf numFmtId="0" fontId="1" fillId="3806" borderId="0" xfId="4" applyFill="1" applyAlignment="1">
      <alignment horizontal="center" vertical="center"/>
    </xf>
    <xf numFmtId="0" fontId="1" fillId="3807" borderId="0" xfId="4" applyFill="1" applyAlignment="1">
      <alignment horizontal="center" vertical="center"/>
    </xf>
    <xf numFmtId="0" fontId="1" fillId="3808" borderId="0" xfId="4" applyFill="1" applyAlignment="1">
      <alignment horizontal="center" vertical="center"/>
    </xf>
    <xf numFmtId="0" fontId="1" fillId="3809" borderId="0" xfId="4" applyFill="1" applyAlignment="1">
      <alignment horizontal="center" vertical="center"/>
    </xf>
    <xf numFmtId="0" fontId="1" fillId="3810" borderId="0" xfId="4" applyFill="1" applyAlignment="1">
      <alignment horizontal="center" vertical="center"/>
    </xf>
    <xf numFmtId="0" fontId="1" fillId="49" borderId="0" xfId="4" applyFill="1" applyAlignment="1">
      <alignment horizontal="center" vertical="center"/>
    </xf>
    <xf numFmtId="0" fontId="1" fillId="3811" borderId="0" xfId="4" applyFill="1" applyAlignment="1">
      <alignment horizontal="center" vertical="center"/>
    </xf>
    <xf numFmtId="0" fontId="1" fillId="3812" borderId="0" xfId="4" applyFill="1" applyAlignment="1">
      <alignment horizontal="center" vertical="center"/>
    </xf>
    <xf numFmtId="0" fontId="1" fillId="3813" borderId="0" xfId="4" applyFill="1" applyAlignment="1">
      <alignment horizontal="left" vertical="center"/>
    </xf>
    <xf numFmtId="0" fontId="1" fillId="3814" borderId="0" xfId="4" applyFill="1" applyAlignment="1">
      <alignment horizontal="center" vertical="center"/>
    </xf>
    <xf numFmtId="0" fontId="1" fillId="3815" borderId="0" xfId="4" applyFill="1" applyAlignment="1">
      <alignment horizontal="center" vertical="center"/>
    </xf>
    <xf numFmtId="0" fontId="1" fillId="3816" borderId="0" xfId="4" applyFill="1" applyAlignment="1">
      <alignment horizontal="center" vertical="center"/>
    </xf>
    <xf numFmtId="0" fontId="1" fillId="3817" borderId="0" xfId="4" applyFill="1" applyAlignment="1">
      <alignment horizontal="center" vertical="center"/>
    </xf>
    <xf numFmtId="0" fontId="1" fillId="3818" borderId="0" xfId="4" applyFill="1" applyAlignment="1">
      <alignment horizontal="center" vertical="center"/>
    </xf>
    <xf numFmtId="0" fontId="1" fillId="3819" borderId="0" xfId="4" applyFill="1" applyAlignment="1">
      <alignment horizontal="center" vertical="center"/>
    </xf>
    <xf numFmtId="0" fontId="1" fillId="3820" borderId="0" xfId="4" applyFill="1" applyAlignment="1">
      <alignment horizontal="center" vertical="center"/>
    </xf>
    <xf numFmtId="0" fontId="1" fillId="3821" borderId="0" xfId="4" applyFill="1" applyAlignment="1">
      <alignment horizontal="center" vertical="center"/>
    </xf>
    <xf numFmtId="0" fontId="1" fillId="3822" borderId="0" xfId="4" applyFill="1" applyAlignment="1">
      <alignment horizontal="center" vertical="center"/>
    </xf>
    <xf numFmtId="0" fontId="1" fillId="3823" borderId="0" xfId="4" applyFill="1" applyAlignment="1">
      <alignment horizontal="center" vertical="center"/>
    </xf>
    <xf numFmtId="0" fontId="1" fillId="3824" borderId="0" xfId="4" applyFill="1" applyAlignment="1">
      <alignment horizontal="center" vertical="center"/>
    </xf>
    <xf numFmtId="0" fontId="1" fillId="3825" borderId="0" xfId="4" applyFill="1" applyAlignment="1">
      <alignment horizontal="center" vertical="center"/>
    </xf>
    <xf numFmtId="0" fontId="1" fillId="3826" borderId="0" xfId="4" applyFill="1" applyAlignment="1">
      <alignment horizontal="center" vertical="center"/>
    </xf>
    <xf numFmtId="0" fontId="1" fillId="3827" borderId="0" xfId="4" applyFill="1" applyAlignment="1">
      <alignment horizontal="left" vertical="center"/>
    </xf>
    <xf numFmtId="0" fontId="1" fillId="3828" borderId="0" xfId="4" applyFill="1" applyAlignment="1">
      <alignment horizontal="left" vertical="center"/>
    </xf>
    <xf numFmtId="0" fontId="1" fillId="3829" borderId="0" xfId="4" applyFill="1" applyAlignment="1">
      <alignment horizontal="left" vertical="center"/>
    </xf>
    <xf numFmtId="0" fontId="1" fillId="3830" borderId="0" xfId="4" applyFill="1" applyAlignment="1">
      <alignment horizontal="left" vertical="center"/>
    </xf>
    <xf numFmtId="0" fontId="1" fillId="3831" borderId="0" xfId="4" applyFill="1" applyAlignment="1">
      <alignment horizontal="left" vertical="center"/>
    </xf>
    <xf numFmtId="0" fontId="1" fillId="3832" borderId="0" xfId="4" applyFill="1" applyAlignment="1">
      <alignment horizontal="left" vertical="center"/>
    </xf>
    <xf numFmtId="0" fontId="1" fillId="3833" borderId="0" xfId="4" applyFill="1" applyAlignment="1">
      <alignment horizontal="left" vertical="center"/>
    </xf>
    <xf numFmtId="0" fontId="1" fillId="3834" borderId="0" xfId="4" applyFill="1" applyAlignment="1">
      <alignment horizontal="center" vertical="center"/>
    </xf>
    <xf numFmtId="0" fontId="1" fillId="3835" borderId="0" xfId="4" applyFill="1" applyAlignment="1">
      <alignment horizontal="center" vertical="center"/>
    </xf>
    <xf numFmtId="0" fontId="1" fillId="92" borderId="0" xfId="4" applyFill="1" applyAlignment="1">
      <alignment horizontal="center" vertical="center"/>
    </xf>
    <xf numFmtId="0" fontId="1" fillId="50" borderId="0" xfId="4" applyFill="1" applyAlignment="1">
      <alignment horizontal="center" vertical="center"/>
    </xf>
    <xf numFmtId="0" fontId="1" fillId="3836" borderId="0" xfId="4" applyFill="1" applyAlignment="1">
      <alignment horizontal="center" vertical="center"/>
    </xf>
    <xf numFmtId="0" fontId="1" fillId="3837" borderId="0" xfId="4" applyFill="1" applyAlignment="1">
      <alignment horizontal="center" vertical="center"/>
    </xf>
    <xf numFmtId="0" fontId="1" fillId="3838" borderId="0" xfId="4" applyFill="1" applyAlignment="1">
      <alignment horizontal="center" vertical="center"/>
    </xf>
    <xf numFmtId="0" fontId="1" fillId="3839" borderId="0" xfId="4" applyFill="1" applyAlignment="1">
      <alignment horizontal="center" vertical="center"/>
    </xf>
    <xf numFmtId="0" fontId="1" fillId="3840" borderId="0" xfId="4" applyFill="1" applyAlignment="1">
      <alignment horizontal="left" vertical="center"/>
    </xf>
    <xf numFmtId="0" fontId="1" fillId="3841" borderId="0" xfId="4" applyFill="1" applyAlignment="1">
      <alignment horizontal="center" vertical="center"/>
    </xf>
    <xf numFmtId="0" fontId="1" fillId="112" borderId="0" xfId="4" applyFill="1" applyAlignment="1">
      <alignment horizontal="left" vertical="center"/>
    </xf>
    <xf numFmtId="0" fontId="1" fillId="3842" borderId="0" xfId="4" applyFill="1" applyAlignment="1">
      <alignment horizontal="center" vertical="center"/>
    </xf>
    <xf numFmtId="0" fontId="1" fillId="3843" borderId="0" xfId="4" applyFill="1" applyAlignment="1">
      <alignment horizontal="center" vertical="center"/>
    </xf>
    <xf numFmtId="0" fontId="1" fillId="3844" borderId="0" xfId="4" applyFill="1" applyAlignment="1">
      <alignment horizontal="center" vertical="center"/>
    </xf>
    <xf numFmtId="0" fontId="1" fillId="3845" borderId="0" xfId="4" applyFill="1" applyAlignment="1">
      <alignment horizontal="center" vertical="center"/>
    </xf>
    <xf numFmtId="0" fontId="1" fillId="3846" borderId="0" xfId="4" applyFill="1" applyAlignment="1">
      <alignment horizontal="center" vertical="center"/>
    </xf>
    <xf numFmtId="0" fontId="1" fillId="3847" borderId="0" xfId="4" applyFill="1" applyAlignment="1">
      <alignment horizontal="center" vertical="center"/>
    </xf>
    <xf numFmtId="0" fontId="1" fillId="3848" borderId="0" xfId="4" applyFill="1" applyAlignment="1">
      <alignment horizontal="center" vertical="center"/>
    </xf>
    <xf numFmtId="0" fontId="1" fillId="3849" borderId="0" xfId="4" applyFill="1" applyAlignment="1">
      <alignment horizontal="center" vertical="center"/>
    </xf>
    <xf numFmtId="0" fontId="1" fillId="3850" borderId="0" xfId="4" applyFill="1" applyAlignment="1">
      <alignment horizontal="center" vertical="center"/>
    </xf>
    <xf numFmtId="0" fontId="1" fillId="3851" borderId="0" xfId="4" applyFill="1" applyAlignment="1">
      <alignment horizontal="left" vertical="center"/>
    </xf>
    <xf numFmtId="0" fontId="1" fillId="3852" borderId="0" xfId="4" applyFill="1" applyAlignment="1">
      <alignment horizontal="center" vertical="center"/>
    </xf>
    <xf numFmtId="0" fontId="1" fillId="3853" borderId="0" xfId="4" applyFill="1" applyAlignment="1">
      <alignment horizontal="center" vertical="center"/>
    </xf>
    <xf numFmtId="0" fontId="1" fillId="3854" borderId="0" xfId="4" applyFill="1" applyAlignment="1">
      <alignment horizontal="center" vertical="center"/>
    </xf>
    <xf numFmtId="0" fontId="1" fillId="3855" borderId="0" xfId="4" applyFill="1" applyAlignment="1">
      <alignment horizontal="center" vertical="center"/>
    </xf>
    <xf numFmtId="0" fontId="1" fillId="3856" borderId="0" xfId="4" applyFill="1" applyAlignment="1">
      <alignment horizontal="center" vertical="center"/>
    </xf>
    <xf numFmtId="0" fontId="1" fillId="3857" borderId="0" xfId="4" applyFill="1" applyAlignment="1">
      <alignment horizontal="center" vertical="center"/>
    </xf>
    <xf numFmtId="0" fontId="1" fillId="3858" borderId="0" xfId="4" applyFill="1" applyAlignment="1">
      <alignment horizontal="center" vertical="center"/>
    </xf>
    <xf numFmtId="0" fontId="1" fillId="3859" borderId="0" xfId="4" applyFill="1" applyAlignment="1">
      <alignment horizontal="center" vertical="center"/>
    </xf>
    <xf numFmtId="0" fontId="1" fillId="3860" borderId="0" xfId="4" applyFill="1" applyAlignment="1">
      <alignment horizontal="center" vertical="center"/>
    </xf>
    <xf numFmtId="0" fontId="1" fillId="3861" borderId="0" xfId="4" applyFill="1" applyAlignment="1">
      <alignment horizontal="center" vertical="center"/>
    </xf>
    <xf numFmtId="0" fontId="1" fillId="3862" borderId="0" xfId="4" applyFill="1" applyAlignment="1">
      <alignment horizontal="center" vertical="center"/>
    </xf>
    <xf numFmtId="0" fontId="1" fillId="3863" borderId="0" xfId="4" applyFill="1" applyAlignment="1">
      <alignment horizontal="center" vertical="center"/>
    </xf>
    <xf numFmtId="0" fontId="1" fillId="3864" borderId="0" xfId="4" applyFill="1" applyAlignment="1">
      <alignment horizontal="center" vertical="center"/>
    </xf>
    <xf numFmtId="0" fontId="1" fillId="3865" borderId="0" xfId="4" applyFill="1" applyAlignment="1">
      <alignment horizontal="left" vertical="center"/>
    </xf>
    <xf numFmtId="0" fontId="1" fillId="3866" borderId="0" xfId="4" applyFill="1" applyAlignment="1">
      <alignment horizontal="left" vertical="center"/>
    </xf>
    <xf numFmtId="0" fontId="1" fillId="3867" borderId="0" xfId="4" applyFill="1" applyAlignment="1">
      <alignment horizontal="left" vertical="center"/>
    </xf>
    <xf numFmtId="0" fontId="1" fillId="3868" borderId="0" xfId="4" applyFill="1" applyAlignment="1">
      <alignment horizontal="left" vertical="center"/>
    </xf>
    <xf numFmtId="0" fontId="1" fillId="3869" borderId="0" xfId="4" applyFill="1" applyAlignment="1">
      <alignment horizontal="left" vertical="center"/>
    </xf>
    <xf numFmtId="0" fontId="1" fillId="3870" borderId="0" xfId="4" applyFill="1" applyAlignment="1">
      <alignment horizontal="left" vertical="center"/>
    </xf>
    <xf numFmtId="0" fontId="1" fillId="3871" borderId="0" xfId="4" applyFill="1" applyAlignment="1">
      <alignment horizontal="left" vertical="center"/>
    </xf>
    <xf numFmtId="0" fontId="1" fillId="3872" borderId="0" xfId="4" applyFill="1" applyAlignment="1">
      <alignment horizontal="center" vertical="center"/>
    </xf>
    <xf numFmtId="0" fontId="1" fillId="3873" borderId="0" xfId="4" applyFill="1" applyAlignment="1">
      <alignment horizontal="center" vertical="center"/>
    </xf>
    <xf numFmtId="0" fontId="1" fillId="3205" borderId="0" xfId="4" applyFill="1" applyAlignment="1">
      <alignment horizontal="center" vertical="center"/>
    </xf>
    <xf numFmtId="0" fontId="1" fillId="3874" borderId="0" xfId="4" applyFill="1" applyAlignment="1">
      <alignment horizontal="center" vertical="center"/>
    </xf>
    <xf numFmtId="0" fontId="1" fillId="3875" borderId="0" xfId="4" applyFill="1" applyAlignment="1">
      <alignment horizontal="center" vertical="center"/>
    </xf>
    <xf numFmtId="0" fontId="1" fillId="3876" borderId="0" xfId="4" applyFill="1" applyAlignment="1">
      <alignment horizontal="center" vertical="center"/>
    </xf>
    <xf numFmtId="0" fontId="1" fillId="3877" borderId="0" xfId="4" applyFill="1" applyAlignment="1">
      <alignment horizontal="center" vertical="center"/>
    </xf>
    <xf numFmtId="0" fontId="1" fillId="3878" borderId="0" xfId="4" applyFill="1" applyAlignment="1">
      <alignment horizontal="center" vertical="center"/>
    </xf>
    <xf numFmtId="0" fontId="1" fillId="3879" borderId="0" xfId="4" applyFill="1" applyAlignment="1">
      <alignment horizontal="center" vertical="center"/>
    </xf>
    <xf numFmtId="0" fontId="1" fillId="3880" borderId="0" xfId="4" applyFill="1" applyAlignment="1">
      <alignment horizontal="center" vertical="center"/>
    </xf>
    <xf numFmtId="0" fontId="1" fillId="3881" borderId="0" xfId="4" applyFill="1" applyAlignment="1">
      <alignment horizontal="center" vertical="center"/>
    </xf>
    <xf numFmtId="0" fontId="1" fillId="3882" borderId="0" xfId="4" applyFill="1" applyAlignment="1">
      <alignment horizontal="center" vertical="center"/>
    </xf>
    <xf numFmtId="0" fontId="1" fillId="3883" borderId="0" xfId="4" applyFill="1" applyAlignment="1">
      <alignment horizontal="center" vertical="center"/>
    </xf>
    <xf numFmtId="0" fontId="1" fillId="3884" borderId="0" xfId="4" applyFill="1" applyAlignment="1">
      <alignment horizontal="center" vertical="center"/>
    </xf>
    <xf numFmtId="0" fontId="1" fillId="3885" borderId="0" xfId="4" applyFill="1" applyAlignment="1">
      <alignment horizontal="center" vertical="center"/>
    </xf>
    <xf numFmtId="0" fontId="1" fillId="3886" borderId="0" xfId="4" applyFill="1" applyAlignment="1">
      <alignment horizontal="left" vertical="center"/>
    </xf>
    <xf numFmtId="0" fontId="1" fillId="3887" borderId="0" xfId="4" applyFill="1" applyAlignment="1">
      <alignment horizontal="center" vertical="center"/>
    </xf>
    <xf numFmtId="0" fontId="1" fillId="3888" borderId="0" xfId="4" applyFill="1" applyAlignment="1">
      <alignment horizontal="center" vertical="center"/>
    </xf>
    <xf numFmtId="0" fontId="1" fillId="3889" borderId="0" xfId="4" applyFill="1" applyAlignment="1">
      <alignment horizontal="center" vertical="center"/>
    </xf>
    <xf numFmtId="0" fontId="1" fillId="3890" borderId="0" xfId="4" applyFill="1" applyAlignment="1">
      <alignment horizontal="center" vertical="center"/>
    </xf>
    <xf numFmtId="0" fontId="1" fillId="3891" borderId="0" xfId="4" applyFill="1" applyAlignment="1">
      <alignment horizontal="center" vertical="center"/>
    </xf>
    <xf numFmtId="0" fontId="1" fillId="3892" borderId="0" xfId="4" applyFill="1" applyAlignment="1">
      <alignment horizontal="center" vertical="center"/>
    </xf>
    <xf numFmtId="0" fontId="1" fillId="3893" borderId="0" xfId="4" applyFill="1" applyAlignment="1">
      <alignment horizontal="center" vertical="center"/>
    </xf>
    <xf numFmtId="0" fontId="1" fillId="3894" borderId="0" xfId="4" applyFill="1" applyAlignment="1">
      <alignment horizontal="center" vertical="center"/>
    </xf>
    <xf numFmtId="0" fontId="1" fillId="3895" borderId="0" xfId="4" applyFill="1" applyAlignment="1">
      <alignment horizontal="center" vertical="center"/>
    </xf>
    <xf numFmtId="0" fontId="1" fillId="3896" borderId="0" xfId="4" applyFill="1" applyAlignment="1">
      <alignment horizontal="center" vertical="center"/>
    </xf>
    <xf numFmtId="0" fontId="1" fillId="3897" borderId="0" xfId="4" applyFill="1" applyAlignment="1">
      <alignment horizontal="center" vertical="center"/>
    </xf>
    <xf numFmtId="0" fontId="1" fillId="3899" borderId="0" xfId="4" applyFill="1" applyAlignment="1">
      <alignment horizontal="center" vertical="center"/>
    </xf>
    <xf numFmtId="0" fontId="1" fillId="3900" borderId="0" xfId="4" applyFill="1" applyAlignment="1">
      <alignment horizontal="center" vertical="center"/>
    </xf>
    <xf numFmtId="0" fontId="1" fillId="3901" borderId="0" xfId="4" applyFill="1" applyAlignment="1">
      <alignment horizontal="center" vertical="center"/>
    </xf>
    <xf numFmtId="0" fontId="1" fillId="3902" borderId="0" xfId="4" applyFill="1" applyAlignment="1">
      <alignment horizontal="center" vertical="center"/>
    </xf>
    <xf numFmtId="0" fontId="1" fillId="3903" borderId="0" xfId="4" applyFill="1" applyAlignment="1">
      <alignment horizontal="center" vertical="center"/>
    </xf>
    <xf numFmtId="0" fontId="1" fillId="3904" borderId="0" xfId="4" applyFill="1" applyAlignment="1">
      <alignment horizontal="center" vertical="center"/>
    </xf>
    <xf numFmtId="0" fontId="1" fillId="3905" borderId="0" xfId="4" applyFill="1" applyAlignment="1">
      <alignment horizontal="center" vertical="center"/>
    </xf>
    <xf numFmtId="0" fontId="1" fillId="3906" borderId="0" xfId="4" applyFill="1" applyAlignment="1">
      <alignment horizontal="center" vertical="center"/>
    </xf>
    <xf numFmtId="0" fontId="1" fillId="3117" borderId="0" xfId="4" applyFill="1" applyAlignment="1">
      <alignment horizontal="center" vertical="center"/>
    </xf>
    <xf numFmtId="0" fontId="1" fillId="3907" borderId="0" xfId="4" applyFill="1" applyAlignment="1">
      <alignment horizontal="center" vertical="center"/>
    </xf>
    <xf numFmtId="0" fontId="1" fillId="3908" borderId="0" xfId="4" applyFill="1" applyAlignment="1">
      <alignment horizontal="center" vertical="center"/>
    </xf>
    <xf numFmtId="0" fontId="1" fillId="3909" borderId="0" xfId="4" applyFill="1" applyAlignment="1">
      <alignment horizontal="center" vertical="center"/>
    </xf>
    <xf numFmtId="0" fontId="1" fillId="3910" borderId="0" xfId="4" applyFill="1" applyAlignment="1">
      <alignment horizontal="center" vertical="center"/>
    </xf>
    <xf numFmtId="0" fontId="1" fillId="3911" borderId="0" xfId="4" applyFill="1" applyAlignment="1">
      <alignment horizontal="center" vertical="center"/>
    </xf>
    <xf numFmtId="0" fontId="1" fillId="3912" borderId="0" xfId="4" applyFill="1" applyAlignment="1">
      <alignment horizontal="center" vertical="center"/>
    </xf>
    <xf numFmtId="0" fontId="1" fillId="3913" borderId="0" xfId="4" applyFill="1" applyAlignment="1">
      <alignment horizontal="left" vertical="center"/>
    </xf>
    <xf numFmtId="0" fontId="1" fillId="3159" borderId="0" xfId="4" applyFill="1" applyAlignment="1">
      <alignment horizontal="center" vertical="center"/>
    </xf>
    <xf numFmtId="0" fontId="1" fillId="208" borderId="0" xfId="4" applyFill="1" applyAlignment="1">
      <alignment horizontal="center" vertical="center"/>
    </xf>
    <xf numFmtId="0" fontId="1" fillId="3914" borderId="0" xfId="4" applyFill="1" applyAlignment="1">
      <alignment horizontal="center" vertical="center"/>
    </xf>
    <xf numFmtId="0" fontId="1" fillId="3915" borderId="0" xfId="4" applyFill="1" applyAlignment="1">
      <alignment horizontal="center" vertical="center"/>
    </xf>
    <xf numFmtId="0" fontId="1" fillId="3916" borderId="0" xfId="4" applyFill="1" applyAlignment="1">
      <alignment horizontal="center" vertical="center"/>
    </xf>
    <xf numFmtId="0" fontId="1" fillId="3917" borderId="0" xfId="4" applyFill="1" applyAlignment="1">
      <alignment horizontal="center" vertical="center"/>
    </xf>
    <xf numFmtId="0" fontId="1" fillId="3918" borderId="0" xfId="4" applyFill="1" applyAlignment="1">
      <alignment horizontal="center" vertical="center"/>
    </xf>
    <xf numFmtId="0" fontId="1" fillId="3919" borderId="0" xfId="4" applyFill="1" applyAlignment="1">
      <alignment horizontal="center" vertical="center"/>
    </xf>
    <xf numFmtId="0" fontId="1" fillId="3920" borderId="0" xfId="4" applyFill="1" applyAlignment="1">
      <alignment horizontal="center" vertical="center"/>
    </xf>
    <xf numFmtId="0" fontId="1" fillId="3921" borderId="0" xfId="4" applyFill="1" applyAlignment="1">
      <alignment horizontal="left" vertical="center"/>
    </xf>
    <xf numFmtId="0" fontId="1" fillId="3922" borderId="0" xfId="4" applyFill="1" applyAlignment="1">
      <alignment horizontal="center" vertical="center"/>
    </xf>
    <xf numFmtId="0" fontId="1" fillId="3923" borderId="0" xfId="4" applyFill="1" applyAlignment="1">
      <alignment horizontal="center" vertical="center"/>
    </xf>
    <xf numFmtId="0" fontId="1" fillId="3924" borderId="0" xfId="4" applyFill="1" applyAlignment="1">
      <alignment horizontal="center" vertical="center"/>
    </xf>
    <xf numFmtId="0" fontId="1" fillId="3925" borderId="0" xfId="4" applyFill="1" applyAlignment="1">
      <alignment horizontal="center" vertical="center"/>
    </xf>
    <xf numFmtId="0" fontId="1" fillId="3926" borderId="0" xfId="4" applyFill="1" applyAlignment="1">
      <alignment horizontal="center" vertical="center"/>
    </xf>
    <xf numFmtId="0" fontId="1" fillId="3927" borderId="0" xfId="4" applyFill="1" applyAlignment="1">
      <alignment horizontal="center" vertical="center"/>
    </xf>
    <xf numFmtId="0" fontId="1" fillId="3928" borderId="0" xfId="4" applyFill="1" applyAlignment="1">
      <alignment horizontal="center" vertical="center"/>
    </xf>
    <xf numFmtId="0" fontId="1" fillId="3929" borderId="0" xfId="4" applyFill="1" applyAlignment="1">
      <alignment horizontal="center" vertical="center"/>
    </xf>
    <xf numFmtId="0" fontId="1" fillId="3930" borderId="0" xfId="4" applyFill="1" applyAlignment="1">
      <alignment horizontal="center" vertical="center"/>
    </xf>
    <xf numFmtId="0" fontId="1" fillId="3931" borderId="0" xfId="4" applyFill="1" applyAlignment="1">
      <alignment horizontal="center" vertical="center"/>
    </xf>
    <xf numFmtId="0" fontId="1" fillId="3932" borderId="0" xfId="4" applyFill="1" applyAlignment="1">
      <alignment horizontal="center" vertical="center"/>
    </xf>
    <xf numFmtId="0" fontId="1" fillId="3933" borderId="0" xfId="4" applyFill="1" applyAlignment="1">
      <alignment horizontal="center" vertical="center"/>
    </xf>
    <xf numFmtId="0" fontId="1" fillId="3934" borderId="0" xfId="4" applyFill="1" applyAlignment="1">
      <alignment horizontal="center" vertical="center"/>
    </xf>
    <xf numFmtId="0" fontId="1" fillId="3935" borderId="0" xfId="4" applyFill="1" applyAlignment="1">
      <alignment horizontal="center" vertical="center"/>
    </xf>
    <xf numFmtId="0" fontId="1" fillId="3936" borderId="0" xfId="4" applyFill="1" applyAlignment="1">
      <alignment horizontal="center" vertical="center"/>
    </xf>
    <xf numFmtId="0" fontId="1" fillId="3937" borderId="0" xfId="4" applyFill="1" applyAlignment="1">
      <alignment horizontal="center" vertical="center"/>
    </xf>
    <xf numFmtId="0" fontId="1" fillId="3938" borderId="0" xfId="4" applyFill="1" applyAlignment="1">
      <alignment horizontal="center" vertical="center"/>
    </xf>
    <xf numFmtId="0" fontId="1" fillId="3939" borderId="0" xfId="4" applyFill="1" applyAlignment="1">
      <alignment horizontal="center" vertical="center"/>
    </xf>
    <xf numFmtId="0" fontId="1" fillId="3940" borderId="0" xfId="4" applyFill="1" applyAlignment="1">
      <alignment horizontal="center" vertical="center"/>
    </xf>
    <xf numFmtId="0" fontId="1" fillId="3941" borderId="0" xfId="4" applyFill="1" applyAlignment="1">
      <alignment horizontal="center" vertical="center"/>
    </xf>
    <xf numFmtId="0" fontId="1" fillId="3942" borderId="0" xfId="4" applyFill="1" applyAlignment="1">
      <alignment horizontal="center" vertical="center"/>
    </xf>
    <xf numFmtId="0" fontId="1" fillId="3719" borderId="0" xfId="4" applyFill="1" applyAlignment="1">
      <alignment horizontal="center" vertical="center"/>
    </xf>
    <xf numFmtId="0" fontId="1" fillId="3262" borderId="0" xfId="4" applyFill="1" applyAlignment="1">
      <alignment horizontal="center" vertical="center"/>
    </xf>
    <xf numFmtId="0" fontId="1" fillId="3943" borderId="0" xfId="4" applyFill="1" applyAlignment="1">
      <alignment horizontal="center" vertical="center"/>
    </xf>
    <xf numFmtId="0" fontId="1" fillId="3944" borderId="0" xfId="4" applyFill="1" applyAlignment="1">
      <alignment horizontal="center" vertical="center"/>
    </xf>
    <xf numFmtId="0" fontId="1" fillId="3945" borderId="0" xfId="4" applyFill="1" applyAlignment="1">
      <alignment horizontal="center" vertical="center"/>
    </xf>
    <xf numFmtId="0" fontId="1" fillId="3946" borderId="0" xfId="4" applyFill="1" applyAlignment="1">
      <alignment horizontal="center" vertical="center"/>
    </xf>
    <xf numFmtId="0" fontId="1" fillId="251" borderId="0" xfId="4" applyFill="1" applyAlignment="1">
      <alignment horizontal="left" vertical="center"/>
    </xf>
    <xf numFmtId="0" fontId="1" fillId="3947" borderId="0" xfId="4" applyFill="1" applyAlignment="1">
      <alignment horizontal="center" vertical="center"/>
    </xf>
    <xf numFmtId="0" fontId="1" fillId="3948" borderId="0" xfId="4" applyFill="1" applyAlignment="1">
      <alignment horizontal="center" vertical="center"/>
    </xf>
    <xf numFmtId="0" fontId="1" fillId="137" borderId="0" xfId="4" applyFill="1" applyAlignment="1">
      <alignment horizontal="left" vertical="center"/>
    </xf>
    <xf numFmtId="0" fontId="1" fillId="18" borderId="0" xfId="4" applyFill="1" applyAlignment="1">
      <alignment horizontal="center" vertical="center"/>
    </xf>
    <xf numFmtId="0" fontId="1" fillId="3949" borderId="0" xfId="4" applyFill="1" applyAlignment="1">
      <alignment horizontal="center" vertical="center"/>
    </xf>
    <xf numFmtId="0" fontId="1" fillId="3950" borderId="0" xfId="4" applyFill="1" applyAlignment="1">
      <alignment horizontal="center" vertical="center"/>
    </xf>
    <xf numFmtId="0" fontId="1" fillId="3951" borderId="0" xfId="4" applyFill="1" applyAlignment="1">
      <alignment horizontal="center" vertical="center"/>
    </xf>
    <xf numFmtId="0" fontId="1" fillId="3952" borderId="0" xfId="4" applyFill="1" applyAlignment="1">
      <alignment horizontal="center" vertical="center"/>
    </xf>
    <xf numFmtId="0" fontId="1" fillId="3953" borderId="0" xfId="4" applyFill="1" applyAlignment="1">
      <alignment horizontal="center" vertical="center"/>
    </xf>
    <xf numFmtId="0" fontId="1" fillId="3954" borderId="0" xfId="4" applyFill="1" applyAlignment="1">
      <alignment horizontal="center" vertical="center"/>
    </xf>
    <xf numFmtId="0" fontId="1" fillId="3955" borderId="0" xfId="4" applyFill="1" applyAlignment="1">
      <alignment horizontal="center" vertical="center"/>
    </xf>
    <xf numFmtId="0" fontId="1" fillId="3956" borderId="0" xfId="4" applyFill="1" applyAlignment="1">
      <alignment horizontal="center" vertical="center"/>
    </xf>
    <xf numFmtId="0" fontId="1" fillId="3957" borderId="0" xfId="4" applyFill="1" applyAlignment="1">
      <alignment horizontal="center" vertical="center"/>
    </xf>
    <xf numFmtId="0" fontId="1" fillId="3958" borderId="0" xfId="4" applyFill="1" applyAlignment="1">
      <alignment horizontal="center" vertical="center"/>
    </xf>
    <xf numFmtId="0" fontId="1" fillId="3959" borderId="0" xfId="4" applyFill="1" applyAlignment="1">
      <alignment horizontal="center" vertical="center"/>
    </xf>
    <xf numFmtId="0" fontId="1" fillId="3960" borderId="0" xfId="4" applyFill="1" applyAlignment="1">
      <alignment horizontal="center" vertical="center"/>
    </xf>
    <xf numFmtId="0" fontId="1" fillId="3961" borderId="0" xfId="4" applyFill="1" applyAlignment="1">
      <alignment horizontal="center" vertical="center"/>
    </xf>
    <xf numFmtId="0" fontId="1" fillId="3962" borderId="0" xfId="4" applyFill="1" applyAlignment="1">
      <alignment horizontal="center" vertical="center"/>
    </xf>
    <xf numFmtId="0" fontId="1" fillId="3963" borderId="0" xfId="4" applyFill="1" applyAlignment="1">
      <alignment horizontal="center" vertical="center"/>
    </xf>
    <xf numFmtId="0" fontId="1" fillId="3964" borderId="0" xfId="4" applyFill="1" applyAlignment="1">
      <alignment horizontal="center" vertical="center"/>
    </xf>
    <xf numFmtId="0" fontId="1" fillId="3965" borderId="0" xfId="4" applyFill="1" applyAlignment="1">
      <alignment horizontal="center" vertical="center"/>
    </xf>
    <xf numFmtId="0" fontId="1" fillId="3966" borderId="0" xfId="4" applyFill="1" applyAlignment="1">
      <alignment horizontal="center" vertical="center"/>
    </xf>
    <xf numFmtId="0" fontId="1" fillId="3967" borderId="0" xfId="4" applyFill="1" applyAlignment="1">
      <alignment horizontal="center" vertical="center"/>
    </xf>
    <xf numFmtId="0" fontId="1" fillId="3968" borderId="0" xfId="4" applyFill="1" applyAlignment="1">
      <alignment horizontal="center" vertical="center"/>
    </xf>
    <xf numFmtId="0" fontId="1" fillId="3969" borderId="0" xfId="4" applyFill="1" applyAlignment="1">
      <alignment horizontal="center" vertical="center"/>
    </xf>
    <xf numFmtId="0" fontId="1" fillId="3970" borderId="0" xfId="4" applyFill="1" applyAlignment="1">
      <alignment horizontal="center" vertical="center"/>
    </xf>
    <xf numFmtId="0" fontId="1" fillId="3971" borderId="0" xfId="4" applyFill="1" applyAlignment="1">
      <alignment horizontal="center" vertical="center"/>
    </xf>
    <xf numFmtId="0" fontId="1" fillId="3972" borderId="0" xfId="4" applyFill="1" applyAlignment="1">
      <alignment horizontal="center" vertical="center"/>
    </xf>
    <xf numFmtId="0" fontId="1" fillId="3973" borderId="0" xfId="4" applyFill="1" applyAlignment="1">
      <alignment horizontal="center" vertical="center"/>
    </xf>
    <xf numFmtId="0" fontId="1" fillId="3974" borderId="0" xfId="4" applyFill="1" applyAlignment="1">
      <alignment horizontal="center" vertical="center"/>
    </xf>
    <xf numFmtId="0" fontId="1" fillId="3975" borderId="0" xfId="4" applyFill="1" applyAlignment="1">
      <alignment horizontal="center" vertical="center"/>
    </xf>
    <xf numFmtId="0" fontId="1" fillId="3976" borderId="0" xfId="4" applyFill="1" applyAlignment="1">
      <alignment horizontal="center" vertical="center"/>
    </xf>
    <xf numFmtId="0" fontId="1" fillId="3977" borderId="0" xfId="4" applyFill="1" applyAlignment="1">
      <alignment horizontal="center" vertical="center"/>
    </xf>
    <xf numFmtId="0" fontId="1" fillId="3978" borderId="0" xfId="4" applyFill="1" applyAlignment="1">
      <alignment horizontal="center" vertical="center"/>
    </xf>
    <xf numFmtId="0" fontId="1" fillId="3979" borderId="0" xfId="4" applyFill="1" applyAlignment="1">
      <alignment horizontal="center" vertical="center"/>
    </xf>
    <xf numFmtId="0" fontId="1" fillId="110" borderId="0" xfId="4" applyFill="1" applyAlignment="1">
      <alignment horizontal="center" vertical="center"/>
    </xf>
    <xf numFmtId="0" fontId="1" fillId="3980" borderId="0" xfId="4" applyFill="1" applyAlignment="1">
      <alignment horizontal="center" vertical="center"/>
    </xf>
    <xf numFmtId="0" fontId="1" fillId="3981" borderId="0" xfId="4" applyFill="1" applyAlignment="1">
      <alignment horizontal="center" vertical="center"/>
    </xf>
    <xf numFmtId="0" fontId="1" fillId="3982" borderId="0" xfId="4" applyFill="1" applyAlignment="1">
      <alignment horizontal="center" vertical="center"/>
    </xf>
    <xf numFmtId="0" fontId="1" fillId="3983" borderId="0" xfId="4" applyFill="1" applyAlignment="1">
      <alignment horizontal="center" vertical="center"/>
    </xf>
    <xf numFmtId="0" fontId="1" fillId="3984" borderId="0" xfId="4" applyFill="1" applyAlignment="1">
      <alignment horizontal="center" vertical="center"/>
    </xf>
    <xf numFmtId="0" fontId="1" fillId="3985" borderId="0" xfId="4" applyFill="1" applyAlignment="1">
      <alignment horizontal="left" vertical="center"/>
    </xf>
    <xf numFmtId="0" fontId="1" fillId="3986" borderId="0" xfId="4" applyFill="1" applyAlignment="1">
      <alignment horizontal="center" vertical="center"/>
    </xf>
    <xf numFmtId="0" fontId="1" fillId="113" borderId="0" xfId="4" applyFill="1" applyAlignment="1">
      <alignment horizontal="center" vertical="center"/>
    </xf>
    <xf numFmtId="0" fontId="1" fillId="3987" borderId="0" xfId="4" applyFill="1" applyAlignment="1">
      <alignment horizontal="center" vertical="center"/>
    </xf>
    <xf numFmtId="0" fontId="1" fillId="3988" borderId="0" xfId="4" applyFill="1" applyAlignment="1">
      <alignment horizontal="center" vertical="center"/>
    </xf>
    <xf numFmtId="0" fontId="1" fillId="3989" borderId="0" xfId="4" applyFill="1" applyAlignment="1">
      <alignment horizontal="center" vertical="center"/>
    </xf>
    <xf numFmtId="0" fontId="1" fillId="3990" borderId="0" xfId="4" applyFill="1" applyAlignment="1">
      <alignment horizontal="center" vertical="center"/>
    </xf>
    <xf numFmtId="0" fontId="1" fillId="24" borderId="0" xfId="4" applyFill="1" applyAlignment="1">
      <alignment horizontal="center" vertical="center"/>
    </xf>
    <xf numFmtId="0" fontId="1" fillId="3991" borderId="0" xfId="4" applyFill="1" applyAlignment="1">
      <alignment horizontal="center" vertical="center"/>
    </xf>
    <xf numFmtId="0" fontId="1" fillId="3992" borderId="0" xfId="4" applyFill="1" applyAlignment="1">
      <alignment horizontal="center" vertical="center"/>
    </xf>
    <xf numFmtId="0" fontId="1" fillId="3993" borderId="0" xfId="4" applyFill="1" applyAlignment="1">
      <alignment horizontal="center" vertical="center"/>
    </xf>
    <xf numFmtId="0" fontId="1" fillId="3994" borderId="0" xfId="4" applyFill="1" applyAlignment="1">
      <alignment horizontal="center" vertical="center"/>
    </xf>
    <xf numFmtId="0" fontId="1" fillId="3995" borderId="0" xfId="4" applyFill="1" applyAlignment="1">
      <alignment horizontal="left" vertical="center"/>
    </xf>
    <xf numFmtId="0" fontId="1" fillId="3996" borderId="0" xfId="4" applyFill="1" applyAlignment="1">
      <alignment horizontal="center" vertical="center"/>
    </xf>
    <xf numFmtId="0" fontId="1" fillId="3997" borderId="0" xfId="4" applyFill="1" applyAlignment="1">
      <alignment horizontal="center" vertical="center"/>
    </xf>
    <xf numFmtId="0" fontId="1" fillId="3998" borderId="0" xfId="4" applyFill="1" applyAlignment="1">
      <alignment horizontal="center" vertical="center"/>
    </xf>
    <xf numFmtId="0" fontId="1" fillId="3999" borderId="0" xfId="4" applyFill="1" applyAlignment="1">
      <alignment horizontal="center" vertical="center"/>
    </xf>
    <xf numFmtId="0" fontId="1" fillId="4000" borderId="0" xfId="4" applyFill="1" applyAlignment="1">
      <alignment horizontal="center" vertical="center"/>
    </xf>
    <xf numFmtId="0" fontId="1" fillId="4001" borderId="0" xfId="4" applyFill="1" applyAlignment="1">
      <alignment horizontal="center" vertical="center"/>
    </xf>
    <xf numFmtId="0" fontId="1" fillId="4002" borderId="0" xfId="4" applyFill="1" applyAlignment="1">
      <alignment horizontal="center" vertical="center"/>
    </xf>
    <xf numFmtId="0" fontId="1" fillId="4003" borderId="0" xfId="4" applyFill="1" applyAlignment="1">
      <alignment horizontal="center" vertical="center"/>
    </xf>
    <xf numFmtId="0" fontId="1" fillId="4004" borderId="0" xfId="4" applyFill="1" applyAlignment="1">
      <alignment horizontal="center" vertical="center"/>
    </xf>
    <xf numFmtId="0" fontId="1" fillId="4005" borderId="0" xfId="4" applyFill="1" applyAlignment="1">
      <alignment horizontal="center" vertical="center"/>
    </xf>
    <xf numFmtId="0" fontId="1" fillId="4006" borderId="0" xfId="4" applyFill="1" applyAlignment="1">
      <alignment horizontal="center" vertical="center"/>
    </xf>
    <xf numFmtId="0" fontId="1" fillId="4007" borderId="0" xfId="4" applyFill="1" applyAlignment="1">
      <alignment horizontal="center" vertical="center"/>
    </xf>
    <xf numFmtId="0" fontId="1" fillId="4008" borderId="0" xfId="4" applyFill="1" applyAlignment="1">
      <alignment horizontal="center" vertical="center"/>
    </xf>
    <xf numFmtId="0" fontId="1" fillId="4009" borderId="0" xfId="4" applyFill="1" applyAlignment="1">
      <alignment horizontal="center" vertical="center"/>
    </xf>
    <xf numFmtId="0" fontId="1" fillId="4010" borderId="0" xfId="4" applyFill="1" applyAlignment="1">
      <alignment horizontal="center" vertical="center"/>
    </xf>
    <xf numFmtId="0" fontId="1" fillId="4011" borderId="0" xfId="4" applyFill="1" applyAlignment="1">
      <alignment horizontal="center" vertical="center"/>
    </xf>
    <xf numFmtId="0" fontId="1" fillId="3898" borderId="0" xfId="4" applyFill="1" applyAlignment="1">
      <alignment horizontal="center" vertical="center"/>
    </xf>
    <xf numFmtId="0" fontId="1" fillId="4012" borderId="0" xfId="4" applyFill="1" applyAlignment="1">
      <alignment horizontal="center" vertical="center"/>
    </xf>
    <xf numFmtId="0" fontId="1" fillId="4013" borderId="0" xfId="4" applyFill="1" applyAlignment="1">
      <alignment horizontal="center" vertical="center"/>
    </xf>
    <xf numFmtId="0" fontId="1" fillId="4014" borderId="0" xfId="4" applyFill="1" applyAlignment="1">
      <alignment horizontal="center" vertical="center"/>
    </xf>
    <xf numFmtId="0" fontId="1" fillId="4015" borderId="0" xfId="4" applyFill="1" applyAlignment="1">
      <alignment horizontal="center" vertical="center"/>
    </xf>
    <xf numFmtId="0" fontId="1" fillId="4016" borderId="0" xfId="4" applyFill="1" applyAlignment="1">
      <alignment horizontal="center" vertical="center"/>
    </xf>
    <xf numFmtId="0" fontId="1" fillId="4017" borderId="0" xfId="4" applyFill="1" applyAlignment="1">
      <alignment horizontal="center" vertical="center"/>
    </xf>
    <xf numFmtId="0" fontId="1" fillId="4018" borderId="0" xfId="4" applyFill="1" applyAlignment="1">
      <alignment horizontal="center" vertical="center"/>
    </xf>
    <xf numFmtId="0" fontId="1" fillId="4019" borderId="0" xfId="4" applyFill="1" applyAlignment="1">
      <alignment horizontal="center" vertical="center"/>
    </xf>
    <xf numFmtId="0" fontId="1" fillId="4020" borderId="0" xfId="4" applyFill="1" applyAlignment="1">
      <alignment horizontal="center" vertical="center"/>
    </xf>
    <xf numFmtId="0" fontId="1" fillId="4021" borderId="0" xfId="4" applyFill="1" applyAlignment="1">
      <alignment horizontal="center" vertical="center"/>
    </xf>
    <xf numFmtId="0" fontId="1" fillId="381" borderId="0" xfId="4" applyFill="1" applyAlignment="1">
      <alignment horizontal="center" vertical="center"/>
    </xf>
    <xf numFmtId="0" fontId="1" fillId="4022" borderId="0" xfId="4" applyFill="1" applyAlignment="1">
      <alignment horizontal="center" vertical="center"/>
    </xf>
    <xf numFmtId="0" fontId="1" fillId="4023" borderId="0" xfId="4" applyFill="1" applyAlignment="1">
      <alignment horizontal="center" vertical="center"/>
    </xf>
    <xf numFmtId="0" fontId="1" fillId="4024" borderId="0" xfId="4" applyFill="1" applyAlignment="1">
      <alignment horizontal="center" vertical="center"/>
    </xf>
    <xf numFmtId="0" fontId="1" fillId="4025" borderId="0" xfId="4" applyFill="1" applyAlignment="1">
      <alignment horizontal="center" vertical="center"/>
    </xf>
    <xf numFmtId="0" fontId="1" fillId="4026" borderId="0" xfId="4" applyFill="1" applyAlignment="1">
      <alignment horizontal="center" vertical="center"/>
    </xf>
    <xf numFmtId="0" fontId="1" fillId="4027" borderId="0" xfId="4" applyFill="1" applyAlignment="1">
      <alignment horizontal="center" vertical="center"/>
    </xf>
    <xf numFmtId="0" fontId="1" fillId="85" borderId="0" xfId="4" applyFill="1" applyAlignment="1">
      <alignment horizontal="left" vertical="center"/>
    </xf>
    <xf numFmtId="0" fontId="1" fillId="4028" borderId="0" xfId="4" applyFill="1" applyAlignment="1">
      <alignment horizontal="center" vertical="center"/>
    </xf>
    <xf numFmtId="0" fontId="1" fillId="4029" borderId="0" xfId="4" applyFill="1" applyAlignment="1">
      <alignment horizontal="center" vertical="center"/>
    </xf>
    <xf numFmtId="0" fontId="1" fillId="4030" borderId="0" xfId="4" applyFill="1" applyAlignment="1">
      <alignment horizontal="center" vertical="center"/>
    </xf>
    <xf numFmtId="0" fontId="1" fillId="4031" borderId="0" xfId="4" applyFill="1" applyAlignment="1">
      <alignment horizontal="center" vertical="center"/>
    </xf>
    <xf numFmtId="0" fontId="1" fillId="4032" borderId="0" xfId="4" applyFill="1" applyAlignment="1">
      <alignment horizontal="center" vertical="center"/>
    </xf>
    <xf numFmtId="0" fontId="1" fillId="4033" borderId="0" xfId="4" applyFill="1" applyAlignment="1">
      <alignment horizontal="center" vertical="center"/>
    </xf>
    <xf numFmtId="0" fontId="1" fillId="122" borderId="0" xfId="4" applyFill="1" applyAlignment="1">
      <alignment horizontal="center" vertical="center"/>
    </xf>
    <xf numFmtId="0" fontId="1" fillId="4034" borderId="0" xfId="4" applyFill="1" applyAlignment="1">
      <alignment horizontal="center" vertical="center"/>
    </xf>
    <xf numFmtId="0" fontId="1" fillId="4035" borderId="0" xfId="4" applyFill="1" applyAlignment="1">
      <alignment horizontal="center" vertical="center"/>
    </xf>
    <xf numFmtId="0" fontId="1" fillId="4036" borderId="0" xfId="4" applyFill="1" applyAlignment="1">
      <alignment horizontal="center" vertical="center"/>
    </xf>
    <xf numFmtId="0" fontId="1" fillId="4037" borderId="0" xfId="4" applyFill="1" applyAlignment="1">
      <alignment horizontal="center" vertical="center"/>
    </xf>
    <xf numFmtId="0" fontId="1" fillId="4038" borderId="0" xfId="4" applyFill="1" applyAlignment="1">
      <alignment horizontal="center" vertical="center"/>
    </xf>
    <xf numFmtId="0" fontId="1" fillId="4039" borderId="0" xfId="4" applyFill="1" applyAlignment="1">
      <alignment horizontal="center" vertical="center"/>
    </xf>
    <xf numFmtId="0" fontId="1" fillId="4040" borderId="0" xfId="4" applyFill="1" applyAlignment="1">
      <alignment horizontal="left" vertical="center"/>
    </xf>
    <xf numFmtId="0" fontId="1" fillId="4041" borderId="0" xfId="4" applyFill="1" applyAlignment="1">
      <alignment horizontal="center" vertical="center"/>
    </xf>
    <xf numFmtId="0" fontId="1" fillId="4042" borderId="0" xfId="4" applyFill="1" applyAlignment="1">
      <alignment horizontal="center" vertical="center"/>
    </xf>
    <xf numFmtId="0" fontId="1" fillId="4043" borderId="0" xfId="4" applyFill="1" applyAlignment="1">
      <alignment horizontal="center" vertical="center"/>
    </xf>
    <xf numFmtId="0" fontId="1" fillId="4044" borderId="0" xfId="4" applyFill="1" applyAlignment="1">
      <alignment horizontal="center" vertical="center"/>
    </xf>
    <xf numFmtId="0" fontId="1" fillId="4045" borderId="0" xfId="4" applyFill="1" applyAlignment="1">
      <alignment horizontal="center" vertical="center"/>
    </xf>
    <xf numFmtId="0" fontId="1" fillId="4046" borderId="0" xfId="4" applyFill="1" applyAlignment="1">
      <alignment horizontal="center" vertical="center"/>
    </xf>
    <xf numFmtId="0" fontId="1" fillId="4047" borderId="0" xfId="4" applyFill="1" applyAlignment="1">
      <alignment horizontal="center" vertical="center"/>
    </xf>
    <xf numFmtId="0" fontId="1" fillId="4048" borderId="0" xfId="4" applyFill="1" applyAlignment="1">
      <alignment horizontal="center" vertical="center"/>
    </xf>
    <xf numFmtId="0" fontId="1" fillId="4049" borderId="0" xfId="4" applyFill="1" applyAlignment="1">
      <alignment horizontal="center" vertical="center"/>
    </xf>
    <xf numFmtId="0" fontId="1" fillId="4050" borderId="0" xfId="4" applyFill="1" applyAlignment="1">
      <alignment horizontal="center" vertical="center"/>
    </xf>
    <xf numFmtId="0" fontId="1" fillId="4051" borderId="0" xfId="4" applyFill="1" applyAlignment="1">
      <alignment horizontal="center" vertical="center"/>
    </xf>
    <xf numFmtId="0" fontId="1" fillId="4052" borderId="0" xfId="4" applyFill="1" applyAlignment="1">
      <alignment horizontal="center" vertical="center"/>
    </xf>
    <xf numFmtId="0" fontId="1" fillId="4053" borderId="0" xfId="4" applyFill="1" applyAlignment="1">
      <alignment horizontal="center" vertical="center"/>
    </xf>
    <xf numFmtId="0" fontId="1" fillId="4054" borderId="0" xfId="4" applyFill="1" applyAlignment="1">
      <alignment horizontal="center" vertical="center"/>
    </xf>
    <xf numFmtId="0" fontId="1" fillId="4055" borderId="0" xfId="4" applyFill="1" applyAlignment="1">
      <alignment horizontal="center" vertical="center"/>
    </xf>
    <xf numFmtId="0" fontId="1" fillId="4056" borderId="0" xfId="4" applyFill="1" applyAlignment="1">
      <alignment horizontal="center" vertical="center"/>
    </xf>
    <xf numFmtId="0" fontId="1" fillId="4057" borderId="0" xfId="4" applyFill="1" applyAlignment="1">
      <alignment horizontal="center" vertical="center"/>
    </xf>
    <xf numFmtId="0" fontId="1" fillId="4058" borderId="0" xfId="4" applyFill="1" applyAlignment="1">
      <alignment horizontal="center" vertical="center"/>
    </xf>
    <xf numFmtId="0" fontId="1" fillId="4059" borderId="0" xfId="4" applyFill="1" applyAlignment="1">
      <alignment horizontal="center" vertical="center"/>
    </xf>
    <xf numFmtId="0" fontId="1" fillId="4060" borderId="0" xfId="4" applyFill="1" applyAlignment="1">
      <alignment horizontal="center" vertical="center"/>
    </xf>
    <xf numFmtId="0" fontId="1" fillId="4061" borderId="0" xfId="4" applyFill="1" applyAlignment="1">
      <alignment horizontal="center" vertical="center"/>
    </xf>
    <xf numFmtId="0" fontId="1" fillId="4062" borderId="0" xfId="4" applyFill="1" applyAlignment="1">
      <alignment horizontal="center" vertical="center"/>
    </xf>
    <xf numFmtId="0" fontId="1" fillId="4063" borderId="0" xfId="4" applyFill="1" applyAlignment="1">
      <alignment horizontal="center" vertical="center"/>
    </xf>
    <xf numFmtId="0" fontId="1" fillId="4064" borderId="0" xfId="4" applyFill="1" applyAlignment="1">
      <alignment horizontal="center" vertical="center"/>
    </xf>
    <xf numFmtId="0" fontId="1" fillId="4065" borderId="0" xfId="4" applyFill="1" applyAlignment="1">
      <alignment horizontal="center" vertical="center"/>
    </xf>
    <xf numFmtId="0" fontId="1" fillId="4066" borderId="0" xfId="4" applyFill="1" applyAlignment="1">
      <alignment horizontal="center" vertical="center"/>
    </xf>
    <xf numFmtId="0" fontId="1" fillId="4067" borderId="0" xfId="4" applyFill="1" applyAlignment="1">
      <alignment horizontal="center" vertical="center"/>
    </xf>
    <xf numFmtId="0" fontId="1" fillId="4068" borderId="0" xfId="4" applyFill="1" applyAlignment="1">
      <alignment horizontal="center" vertical="center"/>
    </xf>
    <xf numFmtId="0" fontId="1" fillId="4069" borderId="0" xfId="4" applyFill="1" applyAlignment="1">
      <alignment horizontal="center" vertical="center"/>
    </xf>
    <xf numFmtId="0" fontId="1" fillId="4070" borderId="0" xfId="4" applyFill="1" applyAlignment="1">
      <alignment horizontal="center" vertical="center"/>
    </xf>
    <xf numFmtId="0" fontId="1" fillId="4071" borderId="0" xfId="4" applyFill="1" applyAlignment="1">
      <alignment horizontal="center" vertical="center"/>
    </xf>
    <xf numFmtId="0" fontId="1" fillId="4072" borderId="0" xfId="4" applyFill="1" applyAlignment="1">
      <alignment horizontal="center" vertical="center"/>
    </xf>
    <xf numFmtId="0" fontId="1" fillId="4073" borderId="0" xfId="4" applyFill="1" applyAlignment="1">
      <alignment horizontal="center" vertical="center"/>
    </xf>
    <xf numFmtId="0" fontId="1" fillId="4074" borderId="0" xfId="4" applyFill="1" applyAlignment="1">
      <alignment horizontal="center" vertical="center"/>
    </xf>
    <xf numFmtId="0" fontId="1" fillId="202" borderId="0" xfId="4" applyFill="1" applyAlignment="1">
      <alignment horizontal="left" vertical="center"/>
    </xf>
    <xf numFmtId="0" fontId="1" fillId="4075" borderId="0" xfId="4" applyFill="1" applyAlignment="1">
      <alignment horizontal="center" vertical="center"/>
    </xf>
    <xf numFmtId="0" fontId="1" fillId="4076" borderId="0" xfId="4" applyFill="1" applyAlignment="1">
      <alignment horizontal="center" vertical="center"/>
    </xf>
    <xf numFmtId="0" fontId="1" fillId="277" borderId="0" xfId="4" applyFill="1" applyAlignment="1">
      <alignment horizontal="left" vertical="center"/>
    </xf>
    <xf numFmtId="0" fontId="1" fillId="4077" borderId="0" xfId="4" applyFill="1" applyAlignment="1">
      <alignment horizontal="center" vertical="center"/>
    </xf>
    <xf numFmtId="0" fontId="1" fillId="4078" borderId="0" xfId="4" applyFill="1" applyAlignment="1">
      <alignment horizontal="center" vertical="center"/>
    </xf>
    <xf numFmtId="0" fontId="1" fillId="4079" borderId="0" xfId="4" applyFill="1" applyAlignment="1">
      <alignment horizontal="center" vertical="center"/>
    </xf>
    <xf numFmtId="0" fontId="1" fillId="4080" borderId="0" xfId="4" applyFill="1" applyAlignment="1">
      <alignment horizontal="center" vertical="center"/>
    </xf>
    <xf numFmtId="0" fontId="1" fillId="4081" borderId="0" xfId="4" applyFill="1" applyAlignment="1">
      <alignment horizontal="center" vertical="center"/>
    </xf>
    <xf numFmtId="0" fontId="1" fillId="4082" borderId="0" xfId="4" applyFill="1" applyAlignment="1">
      <alignment horizontal="center" vertical="center"/>
    </xf>
    <xf numFmtId="0" fontId="1" fillId="4083" borderId="0" xfId="4" applyFill="1" applyAlignment="1">
      <alignment horizontal="center" vertical="center"/>
    </xf>
    <xf numFmtId="0" fontId="1" fillId="204" borderId="0" xfId="4" applyFill="1" applyAlignment="1">
      <alignment horizontal="center" vertical="center"/>
    </xf>
    <xf numFmtId="0" fontId="1" fillId="4084" borderId="0" xfId="4" applyFill="1" applyAlignment="1">
      <alignment horizontal="center" vertical="center"/>
    </xf>
    <xf numFmtId="0" fontId="1" fillId="4085" borderId="0" xfId="4" applyFill="1" applyAlignment="1">
      <alignment horizontal="center" vertical="center"/>
    </xf>
    <xf numFmtId="0" fontId="1" fillId="4086" borderId="0" xfId="4" applyFill="1" applyAlignment="1">
      <alignment horizontal="center" vertical="center"/>
    </xf>
    <xf numFmtId="0" fontId="1" fillId="1299" borderId="0" xfId="4" applyFill="1" applyAlignment="1">
      <alignment horizontal="center" vertical="center"/>
    </xf>
    <xf numFmtId="0" fontId="1" fillId="2350" borderId="0" xfId="4" applyFill="1" applyAlignment="1">
      <alignment horizontal="center" vertical="center"/>
    </xf>
    <xf numFmtId="0" fontId="1" fillId="4087" borderId="0" xfId="4" applyFill="1" applyAlignment="1">
      <alignment horizontal="center" vertical="center"/>
    </xf>
    <xf numFmtId="0" fontId="1" fillId="4088" borderId="0" xfId="4" applyFill="1" applyAlignment="1">
      <alignment horizontal="center" vertical="center"/>
    </xf>
    <xf numFmtId="0" fontId="1" fillId="4089" borderId="0" xfId="4" applyFill="1" applyAlignment="1">
      <alignment horizontal="center" vertical="center"/>
    </xf>
    <xf numFmtId="0" fontId="1" fillId="4090" borderId="0" xfId="4" applyFill="1" applyAlignment="1">
      <alignment horizontal="center" vertical="center"/>
    </xf>
    <xf numFmtId="0" fontId="1" fillId="4091" borderId="0" xfId="4" applyFill="1" applyAlignment="1">
      <alignment horizontal="center" vertical="center"/>
    </xf>
    <xf numFmtId="0" fontId="1" fillId="4092" borderId="0" xfId="4" applyFill="1" applyAlignment="1">
      <alignment horizontal="center" vertical="center"/>
    </xf>
    <xf numFmtId="0" fontId="1" fillId="4093" borderId="0" xfId="4" applyFill="1" applyAlignment="1">
      <alignment horizontal="center" vertical="center"/>
    </xf>
    <xf numFmtId="0" fontId="1" fillId="4094" borderId="0" xfId="4" applyFill="1" applyAlignment="1">
      <alignment horizontal="left" vertical="center"/>
    </xf>
    <xf numFmtId="0" fontId="1" fillId="4095" borderId="0" xfId="4" applyFill="1" applyAlignment="1">
      <alignment horizontal="center" vertical="center"/>
    </xf>
    <xf numFmtId="0" fontId="1" fillId="4096" borderId="0" xfId="4" applyFill="1" applyAlignment="1">
      <alignment horizontal="center" vertical="center"/>
    </xf>
    <xf numFmtId="0" fontId="1" fillId="4097" borderId="0" xfId="4" applyFill="1" applyAlignment="1">
      <alignment horizontal="center" vertical="center"/>
    </xf>
    <xf numFmtId="0" fontId="1" fillId="4098" borderId="0" xfId="4" applyFill="1" applyAlignment="1">
      <alignment horizontal="center" vertical="center"/>
    </xf>
    <xf numFmtId="0" fontId="1" fillId="4099" borderId="0" xfId="4" applyFill="1" applyAlignment="1">
      <alignment horizontal="center" vertical="center"/>
    </xf>
    <xf numFmtId="0" fontId="1" fillId="4100" borderId="0" xfId="4" applyFill="1" applyAlignment="1">
      <alignment horizontal="center" vertical="center"/>
    </xf>
    <xf numFmtId="0" fontId="1" fillId="4101" borderId="0" xfId="4" applyFill="1" applyAlignment="1">
      <alignment horizontal="center" vertical="center"/>
    </xf>
    <xf numFmtId="0" fontId="1" fillId="4102" borderId="0" xfId="4" applyFill="1" applyAlignment="1">
      <alignment horizontal="center" vertical="center"/>
    </xf>
    <xf numFmtId="0" fontId="1" fillId="4103" borderId="0" xfId="4" applyFill="1" applyAlignment="1">
      <alignment horizontal="center" vertical="center"/>
    </xf>
    <xf numFmtId="0" fontId="1" fillId="4104" borderId="0" xfId="4" applyFill="1" applyAlignment="1">
      <alignment horizontal="center" vertical="center"/>
    </xf>
    <xf numFmtId="0" fontId="1" fillId="4105" borderId="0" xfId="4" applyFill="1" applyAlignment="1">
      <alignment horizontal="center" vertical="center"/>
    </xf>
    <xf numFmtId="0" fontId="1" fillId="4106" borderId="0" xfId="4" applyFill="1" applyAlignment="1">
      <alignment horizontal="center" vertical="center"/>
    </xf>
    <xf numFmtId="0" fontId="1" fillId="4107" borderId="0" xfId="4" applyFill="1" applyAlignment="1">
      <alignment horizontal="center" vertical="center"/>
    </xf>
    <xf numFmtId="0" fontId="1" fillId="4108" borderId="0" xfId="4" applyFill="1" applyAlignment="1">
      <alignment horizontal="center" vertical="center"/>
    </xf>
    <xf numFmtId="0" fontId="1" fillId="4109" borderId="0" xfId="4" applyFill="1" applyAlignment="1">
      <alignment horizontal="center" vertical="center"/>
    </xf>
    <xf numFmtId="0" fontId="1" fillId="4110" borderId="0" xfId="4" applyFill="1" applyAlignment="1">
      <alignment horizontal="center" vertical="center"/>
    </xf>
    <xf numFmtId="0" fontId="1" fillId="4111" borderId="0" xfId="4" applyFill="1" applyAlignment="1">
      <alignment horizontal="center" vertical="center"/>
    </xf>
    <xf numFmtId="0" fontId="1" fillId="4112" borderId="0" xfId="4" applyFill="1" applyAlignment="1">
      <alignment horizontal="center" vertical="center"/>
    </xf>
    <xf numFmtId="0" fontId="1" fillId="4113" borderId="0" xfId="4" applyFill="1" applyAlignment="1">
      <alignment horizontal="center" vertical="center"/>
    </xf>
    <xf numFmtId="0" fontId="1" fillId="4114" borderId="0" xfId="4" applyFill="1" applyAlignment="1">
      <alignment horizontal="center" vertical="center"/>
    </xf>
    <xf numFmtId="0" fontId="1" fillId="4115" borderId="0" xfId="4" applyFill="1" applyAlignment="1">
      <alignment horizontal="center" vertical="center"/>
    </xf>
    <xf numFmtId="0" fontId="1" fillId="4116" borderId="0" xfId="4" applyFill="1" applyAlignment="1">
      <alignment horizontal="center" vertical="center"/>
    </xf>
    <xf numFmtId="0" fontId="1" fillId="4117" borderId="0" xfId="4" applyFill="1" applyAlignment="1">
      <alignment horizontal="center" vertical="center"/>
    </xf>
    <xf numFmtId="0" fontId="1" fillId="4118" borderId="0" xfId="4" applyFill="1" applyAlignment="1">
      <alignment horizontal="center" vertical="center"/>
    </xf>
    <xf numFmtId="0" fontId="1" fillId="4119" borderId="0" xfId="4" applyFill="1" applyAlignment="1">
      <alignment horizontal="center" vertical="center"/>
    </xf>
    <xf numFmtId="0" fontId="1" fillId="4120" borderId="0" xfId="4" applyFill="1" applyAlignment="1">
      <alignment horizontal="center" vertical="center"/>
    </xf>
    <xf numFmtId="0" fontId="1" fillId="4121" borderId="0" xfId="4" applyFill="1" applyAlignment="1">
      <alignment horizontal="center" vertical="center"/>
    </xf>
    <xf numFmtId="0" fontId="1" fillId="4122" borderId="0" xfId="4" applyFill="1" applyAlignment="1">
      <alignment horizontal="center" vertical="center"/>
    </xf>
    <xf numFmtId="0" fontId="1" fillId="4123" borderId="0" xfId="4" applyFill="1" applyAlignment="1">
      <alignment horizontal="center" vertical="center"/>
    </xf>
    <xf numFmtId="0" fontId="1" fillId="4124" borderId="0" xfId="4" applyFill="1" applyAlignment="1">
      <alignment horizontal="center" vertical="center"/>
    </xf>
    <xf numFmtId="0" fontId="1" fillId="4125" borderId="0" xfId="4" applyFill="1" applyAlignment="1">
      <alignment horizontal="center" vertical="center"/>
    </xf>
    <xf numFmtId="0" fontId="1" fillId="4126" borderId="0" xfId="4" applyFill="1" applyAlignment="1">
      <alignment horizontal="center" vertical="center"/>
    </xf>
    <xf numFmtId="0" fontId="1" fillId="4127" borderId="0" xfId="4" applyFill="1" applyAlignment="1">
      <alignment horizontal="center" vertical="center"/>
    </xf>
    <xf numFmtId="0" fontId="1" fillId="4128" borderId="0" xfId="4" applyFill="1" applyAlignment="1">
      <alignment horizontal="center" vertical="center"/>
    </xf>
    <xf numFmtId="0" fontId="1" fillId="4129" borderId="0" xfId="4" applyFill="1" applyAlignment="1">
      <alignment horizontal="center" vertical="center"/>
    </xf>
    <xf numFmtId="0" fontId="1" fillId="4130" borderId="0" xfId="4" applyFill="1" applyAlignment="1">
      <alignment horizontal="center" vertical="center"/>
    </xf>
    <xf numFmtId="0" fontId="1" fillId="4131" borderId="0" xfId="4" applyFill="1" applyAlignment="1">
      <alignment horizontal="center" vertical="center"/>
    </xf>
    <xf numFmtId="0" fontId="1" fillId="4132" borderId="0" xfId="4" applyFill="1" applyAlignment="1">
      <alignment horizontal="center" vertical="center"/>
    </xf>
    <xf numFmtId="0" fontId="1" fillId="4133" borderId="0" xfId="4" applyFill="1" applyAlignment="1">
      <alignment horizontal="center" vertical="center"/>
    </xf>
    <xf numFmtId="0" fontId="1" fillId="4134" borderId="0" xfId="4" applyFill="1" applyAlignment="1">
      <alignment horizontal="center" vertical="center"/>
    </xf>
    <xf numFmtId="0" fontId="1" fillId="4135" borderId="0" xfId="4" applyFill="1" applyAlignment="1">
      <alignment horizontal="center" vertical="center"/>
    </xf>
    <xf numFmtId="0" fontId="1" fillId="3395" borderId="0" xfId="4" applyFill="1" applyAlignment="1">
      <alignment horizontal="left" vertical="center"/>
    </xf>
    <xf numFmtId="0" fontId="1" fillId="4136" borderId="0" xfId="4" applyFill="1" applyAlignment="1">
      <alignment horizontal="center" vertical="center"/>
    </xf>
    <xf numFmtId="0" fontId="1" fillId="4137" borderId="0" xfId="4" applyFill="1" applyAlignment="1">
      <alignment horizontal="center" vertical="center"/>
    </xf>
    <xf numFmtId="0" fontId="1" fillId="4138" borderId="0" xfId="4" applyFill="1" applyAlignment="1">
      <alignment horizontal="center" vertical="center"/>
    </xf>
    <xf numFmtId="0" fontId="1" fillId="4139" borderId="0" xfId="4" applyFill="1" applyAlignment="1">
      <alignment horizontal="center" vertical="center"/>
    </xf>
    <xf numFmtId="0" fontId="1" fillId="4140" borderId="0" xfId="4" applyFill="1" applyAlignment="1">
      <alignment horizontal="center" vertical="center"/>
    </xf>
    <xf numFmtId="0" fontId="1" fillId="4141" borderId="0" xfId="4" applyFill="1" applyAlignment="1">
      <alignment horizontal="center" vertical="center"/>
    </xf>
    <xf numFmtId="0" fontId="1" fillId="4142" borderId="0" xfId="4" applyFill="1" applyAlignment="1">
      <alignment horizontal="center" vertical="center"/>
    </xf>
    <xf numFmtId="0" fontId="1" fillId="4143" borderId="0" xfId="4" applyFill="1" applyAlignment="1">
      <alignment horizontal="center" vertical="center"/>
    </xf>
    <xf numFmtId="0" fontId="1" fillId="4144" borderId="0" xfId="4" applyFill="1" applyAlignment="1">
      <alignment horizontal="center" vertical="center"/>
    </xf>
    <xf numFmtId="0" fontId="1" fillId="4145" borderId="0" xfId="4" applyFill="1" applyAlignment="1">
      <alignment horizontal="center" vertical="center"/>
    </xf>
    <xf numFmtId="0" fontId="1" fillId="4146" borderId="0" xfId="4" applyFill="1" applyAlignment="1">
      <alignment horizontal="center" vertical="center"/>
    </xf>
    <xf numFmtId="0" fontId="1" fillId="4147" borderId="0" xfId="4" applyFill="1" applyAlignment="1">
      <alignment horizontal="center" vertical="center"/>
    </xf>
    <xf numFmtId="0" fontId="1" fillId="4148" borderId="0" xfId="4" applyFill="1" applyAlignment="1">
      <alignment horizontal="center" vertical="center"/>
    </xf>
    <xf numFmtId="0" fontId="1" fillId="4149" borderId="0" xfId="4" applyFill="1" applyAlignment="1">
      <alignment horizontal="center" vertical="center"/>
    </xf>
    <xf numFmtId="0" fontId="1" fillId="4150" borderId="0" xfId="4" applyFill="1" applyAlignment="1">
      <alignment horizontal="center" vertical="center"/>
    </xf>
    <xf numFmtId="0" fontId="1" fillId="4151" borderId="0" xfId="4" applyFill="1" applyAlignment="1">
      <alignment horizontal="center" vertical="center"/>
    </xf>
    <xf numFmtId="0" fontId="1" fillId="4152" borderId="0" xfId="4" applyFill="1" applyAlignment="1">
      <alignment horizontal="center" vertical="center"/>
    </xf>
    <xf numFmtId="0" fontId="1" fillId="4153" borderId="0" xfId="4" applyFill="1" applyAlignment="1">
      <alignment horizontal="center" vertical="center"/>
    </xf>
    <xf numFmtId="0" fontId="1" fillId="4154" borderId="0" xfId="4" applyFill="1" applyAlignment="1">
      <alignment horizontal="center" vertical="center"/>
    </xf>
    <xf numFmtId="0" fontId="1" fillId="4155" borderId="0" xfId="4" applyFill="1" applyAlignment="1">
      <alignment horizontal="center" vertical="center"/>
    </xf>
    <xf numFmtId="0" fontId="1" fillId="4156" borderId="0" xfId="4" applyFill="1" applyAlignment="1">
      <alignment horizontal="center" vertical="center"/>
    </xf>
    <xf numFmtId="0" fontId="1" fillId="4157" borderId="0" xfId="4" applyFill="1" applyAlignment="1">
      <alignment horizontal="center" vertical="center"/>
    </xf>
    <xf numFmtId="0" fontId="1" fillId="4158" borderId="0" xfId="4" applyFill="1" applyAlignment="1">
      <alignment horizontal="center" vertical="center"/>
    </xf>
    <xf numFmtId="0" fontId="1" fillId="4159" borderId="0" xfId="4" applyFill="1" applyAlignment="1">
      <alignment horizontal="center" vertical="center"/>
    </xf>
    <xf numFmtId="0" fontId="1" fillId="4160" borderId="0" xfId="4" applyFill="1" applyAlignment="1">
      <alignment horizontal="center" vertical="center"/>
    </xf>
    <xf numFmtId="0" fontId="1" fillId="4161" borderId="0" xfId="4" applyFill="1" applyAlignment="1">
      <alignment horizontal="center" vertical="center"/>
    </xf>
    <xf numFmtId="0" fontId="1" fillId="4162" borderId="0" xfId="4" applyFill="1" applyAlignment="1">
      <alignment horizontal="center" vertical="center"/>
    </xf>
    <xf numFmtId="0" fontId="1" fillId="4163" borderId="0" xfId="4" applyFill="1" applyAlignment="1">
      <alignment horizontal="center" vertical="center"/>
    </xf>
    <xf numFmtId="0" fontId="1" fillId="4164" borderId="0" xfId="4" applyFill="1" applyAlignment="1">
      <alignment horizontal="left" vertical="center"/>
    </xf>
    <xf numFmtId="0" fontId="1" fillId="4165" borderId="0" xfId="4" applyFill="1" applyAlignment="1">
      <alignment horizontal="center" vertical="center"/>
    </xf>
    <xf numFmtId="0" fontId="1" fillId="4166" borderId="0" xfId="4" applyFill="1" applyAlignment="1">
      <alignment horizontal="center" vertical="center"/>
    </xf>
    <xf numFmtId="0" fontId="1" fillId="4167" borderId="0" xfId="4" applyFill="1" applyAlignment="1">
      <alignment horizontal="center" vertical="center"/>
    </xf>
    <xf numFmtId="0" fontId="1" fillId="4168" borderId="0" xfId="4" applyFill="1" applyAlignment="1">
      <alignment horizontal="center" vertical="center"/>
    </xf>
    <xf numFmtId="0" fontId="1" fillId="4169" borderId="0" xfId="4" applyFill="1" applyAlignment="1">
      <alignment horizontal="center" vertical="center"/>
    </xf>
    <xf numFmtId="0" fontId="1" fillId="4170" borderId="0" xfId="4" applyFill="1" applyAlignment="1">
      <alignment horizontal="center" vertical="center"/>
    </xf>
    <xf numFmtId="0" fontId="1" fillId="4171" borderId="0" xfId="4" applyFill="1" applyAlignment="1">
      <alignment horizontal="center" vertical="center"/>
    </xf>
    <xf numFmtId="0" fontId="1" fillId="4172" borderId="0" xfId="4" applyFill="1" applyAlignment="1">
      <alignment horizontal="center" vertical="center"/>
    </xf>
    <xf numFmtId="0" fontId="1" fillId="4173" borderId="0" xfId="4" applyFill="1" applyAlignment="1">
      <alignment horizontal="center" vertical="center"/>
    </xf>
    <xf numFmtId="0" fontId="1" fillId="3160" borderId="0" xfId="4" applyFill="1" applyAlignment="1">
      <alignment horizontal="center" vertical="center"/>
    </xf>
    <xf numFmtId="0" fontId="1" fillId="4174" borderId="0" xfId="4" applyFill="1" applyAlignment="1">
      <alignment horizontal="center" vertical="center"/>
    </xf>
    <xf numFmtId="0" fontId="1" fillId="4175" borderId="0" xfId="4" applyFill="1" applyAlignment="1">
      <alignment horizontal="center" vertical="center"/>
    </xf>
    <xf numFmtId="0" fontId="1" fillId="4176" borderId="0" xfId="4" applyFill="1" applyAlignment="1">
      <alignment horizontal="center" vertical="center"/>
    </xf>
    <xf numFmtId="0" fontId="1" fillId="4177" borderId="0" xfId="4" applyFill="1" applyAlignment="1">
      <alignment horizontal="center" vertical="center"/>
    </xf>
    <xf numFmtId="0" fontId="1" fillId="4178" borderId="0" xfId="4" applyFill="1" applyAlignment="1">
      <alignment horizontal="center" vertical="center"/>
    </xf>
    <xf numFmtId="0" fontId="1" fillId="4179" borderId="0" xfId="4" applyFill="1" applyAlignment="1">
      <alignment horizontal="center" vertical="center"/>
    </xf>
    <xf numFmtId="0" fontId="1" fillId="4180" borderId="0" xfId="4" applyFill="1" applyAlignment="1">
      <alignment horizontal="center" vertical="center"/>
    </xf>
    <xf numFmtId="0" fontId="1" fillId="4181" borderId="0" xfId="4" applyFill="1" applyAlignment="1">
      <alignment horizontal="center" vertical="center"/>
    </xf>
    <xf numFmtId="0" fontId="1" fillId="4182" borderId="0" xfId="4" applyFill="1" applyAlignment="1">
      <alignment horizontal="center" vertical="center"/>
    </xf>
    <xf numFmtId="0" fontId="1" fillId="4183" borderId="0" xfId="4" applyFill="1" applyAlignment="1">
      <alignment horizontal="center" vertical="center"/>
    </xf>
    <xf numFmtId="0" fontId="1" fillId="4184" borderId="0" xfId="4" applyFill="1" applyAlignment="1">
      <alignment horizontal="center" vertical="center"/>
    </xf>
    <xf numFmtId="0" fontId="1" fillId="4185" borderId="0" xfId="4" applyFill="1" applyAlignment="1">
      <alignment horizontal="center" vertical="center"/>
    </xf>
    <xf numFmtId="0" fontId="1" fillId="4186" borderId="0" xfId="4" applyFill="1" applyAlignment="1">
      <alignment horizontal="center" vertical="center"/>
    </xf>
    <xf numFmtId="0" fontId="1" fillId="4187" borderId="0" xfId="4" applyFill="1" applyAlignment="1">
      <alignment horizontal="center" vertical="center"/>
    </xf>
    <xf numFmtId="0" fontId="1" fillId="4188" borderId="0" xfId="4" applyFill="1" applyAlignment="1">
      <alignment horizontal="center" vertical="center"/>
    </xf>
    <xf numFmtId="0" fontId="1" fillId="4189" borderId="0" xfId="4" applyFill="1" applyAlignment="1">
      <alignment horizontal="center" vertical="center"/>
    </xf>
    <xf numFmtId="0" fontId="1" fillId="4190" borderId="0" xfId="4" applyFill="1" applyAlignment="1">
      <alignment horizontal="center" vertical="center"/>
    </xf>
    <xf numFmtId="0" fontId="1" fillId="4191" borderId="0" xfId="4" applyFill="1" applyAlignment="1">
      <alignment horizontal="center" vertical="center"/>
    </xf>
    <xf numFmtId="0" fontId="1" fillId="4192" borderId="0" xfId="4" applyFill="1" applyAlignment="1">
      <alignment horizontal="center" vertical="center"/>
    </xf>
    <xf numFmtId="0" fontId="1" fillId="4193" borderId="0" xfId="4" applyFill="1" applyAlignment="1">
      <alignment horizontal="center" vertical="center"/>
    </xf>
    <xf numFmtId="0" fontId="1" fillId="4194" borderId="0" xfId="4" applyFill="1" applyAlignment="1">
      <alignment horizontal="center" vertical="center"/>
    </xf>
    <xf numFmtId="0" fontId="1" fillId="4195" borderId="0" xfId="4" applyFill="1" applyAlignment="1">
      <alignment horizontal="center" vertical="center"/>
    </xf>
    <xf numFmtId="0" fontId="1" fillId="4196" borderId="0" xfId="4" applyFill="1" applyAlignment="1">
      <alignment horizontal="center" vertical="center"/>
    </xf>
    <xf numFmtId="0" fontId="1" fillId="4197" borderId="0" xfId="4" applyFill="1" applyAlignment="1">
      <alignment horizontal="center" vertical="center"/>
    </xf>
    <xf numFmtId="0" fontId="1" fillId="4198" borderId="0" xfId="4" applyFill="1" applyAlignment="1">
      <alignment horizontal="center" vertical="center"/>
    </xf>
    <xf numFmtId="0" fontId="1" fillId="4199" borderId="0" xfId="4" applyFill="1" applyAlignment="1">
      <alignment horizontal="center" vertical="center"/>
    </xf>
    <xf numFmtId="0" fontId="1" fillId="4200" borderId="0" xfId="4" applyFill="1" applyAlignment="1">
      <alignment horizontal="center" vertical="center"/>
    </xf>
    <xf numFmtId="0" fontId="1" fillId="4201" borderId="0" xfId="4" applyFill="1" applyAlignment="1">
      <alignment horizontal="center" vertical="center"/>
    </xf>
    <xf numFmtId="0" fontId="1" fillId="4202" borderId="0" xfId="4" applyFill="1" applyAlignment="1">
      <alignment horizontal="center" vertical="center"/>
    </xf>
    <xf numFmtId="0" fontId="1" fillId="4203" borderId="0" xfId="4" applyFill="1" applyAlignment="1">
      <alignment horizontal="center" vertical="center"/>
    </xf>
    <xf numFmtId="0" fontId="1" fillId="4204" borderId="0" xfId="4" applyFill="1" applyAlignment="1">
      <alignment horizontal="center" vertical="center"/>
    </xf>
    <xf numFmtId="0" fontId="1" fillId="4205" borderId="0" xfId="4" applyFill="1" applyAlignment="1">
      <alignment horizontal="center" vertical="center"/>
    </xf>
    <xf numFmtId="0" fontId="1" fillId="4206" borderId="0" xfId="4" applyFill="1" applyAlignment="1">
      <alignment horizontal="center" vertical="center"/>
    </xf>
    <xf numFmtId="0" fontId="1" fillId="4207" borderId="0" xfId="4" applyFill="1" applyAlignment="1">
      <alignment horizontal="center" vertical="center"/>
    </xf>
    <xf numFmtId="0" fontId="1" fillId="4208" borderId="0" xfId="4" applyFill="1" applyAlignment="1">
      <alignment horizontal="center" vertical="center"/>
    </xf>
    <xf numFmtId="0" fontId="1" fillId="4209" borderId="0" xfId="4" applyFill="1" applyAlignment="1">
      <alignment horizontal="center" vertical="center"/>
    </xf>
    <xf numFmtId="0" fontId="1" fillId="4210" borderId="0" xfId="4" applyFill="1" applyAlignment="1">
      <alignment horizontal="left" vertical="center"/>
    </xf>
    <xf numFmtId="0" fontId="1" fillId="4211" borderId="0" xfId="4" applyFill="1" applyAlignment="1">
      <alignment horizontal="center" vertical="center"/>
    </xf>
    <xf numFmtId="0" fontId="1" fillId="88" borderId="0" xfId="4" applyFill="1" applyAlignment="1">
      <alignment horizontal="left" vertical="center"/>
    </xf>
    <xf numFmtId="0" fontId="1" fillId="4212" borderId="0" xfId="4" applyFill="1" applyAlignment="1">
      <alignment horizontal="center" vertical="center"/>
    </xf>
    <xf numFmtId="0" fontId="1" fillId="349" borderId="0" xfId="4" applyFill="1" applyAlignment="1">
      <alignment horizontal="center" vertical="center"/>
    </xf>
    <xf numFmtId="0" fontId="1" fillId="4213" borderId="0" xfId="4" applyFill="1" applyAlignment="1">
      <alignment horizontal="center" vertical="center"/>
    </xf>
    <xf numFmtId="0" fontId="1" fillId="4214" borderId="0" xfId="4" applyFill="1" applyAlignment="1">
      <alignment horizontal="center" vertical="center"/>
    </xf>
    <xf numFmtId="0" fontId="1" fillId="4215" borderId="0" xfId="4" applyFill="1" applyAlignment="1">
      <alignment horizontal="center" vertical="center"/>
    </xf>
    <xf numFmtId="0" fontId="1" fillId="4216" borderId="0" xfId="4" applyFill="1" applyAlignment="1">
      <alignment horizontal="center" vertical="center"/>
    </xf>
    <xf numFmtId="0" fontId="1" fillId="4217" borderId="0" xfId="4" applyFill="1" applyAlignment="1">
      <alignment horizontal="center" vertical="center"/>
    </xf>
    <xf numFmtId="0" fontId="1" fillId="4218" borderId="0" xfId="4" applyFill="1" applyAlignment="1">
      <alignment horizontal="center" vertical="center"/>
    </xf>
    <xf numFmtId="0" fontId="1" fillId="4219" borderId="0" xfId="4" applyFill="1" applyAlignment="1">
      <alignment horizontal="center" vertical="center"/>
    </xf>
    <xf numFmtId="0" fontId="1" fillId="4220" borderId="0" xfId="4" applyFill="1" applyAlignment="1">
      <alignment horizontal="center" vertical="center"/>
    </xf>
    <xf numFmtId="0" fontId="1" fillId="4221" borderId="0" xfId="4" applyFill="1" applyAlignment="1">
      <alignment horizontal="center" vertical="center"/>
    </xf>
    <xf numFmtId="0" fontId="1" fillId="4222" borderId="0" xfId="4" applyFill="1" applyAlignment="1">
      <alignment horizontal="center" vertical="center"/>
    </xf>
    <xf numFmtId="0" fontId="1" fillId="4223" borderId="0" xfId="4" applyFill="1" applyAlignment="1">
      <alignment horizontal="center" vertical="center"/>
    </xf>
    <xf numFmtId="0" fontId="1" fillId="4224" borderId="0" xfId="4" applyFill="1" applyAlignment="1">
      <alignment horizontal="center" vertical="center"/>
    </xf>
    <xf numFmtId="0" fontId="1" fillId="4225" borderId="0" xfId="4" applyFill="1" applyAlignment="1">
      <alignment horizontal="center" vertical="center"/>
    </xf>
    <xf numFmtId="0" fontId="1" fillId="4226" borderId="0" xfId="4" applyFill="1" applyAlignment="1">
      <alignment horizontal="center" vertical="center"/>
    </xf>
    <xf numFmtId="0" fontId="1" fillId="4227" borderId="0" xfId="4" applyFill="1" applyAlignment="1">
      <alignment horizontal="center" vertical="center"/>
    </xf>
    <xf numFmtId="0" fontId="1" fillId="4228" borderId="0" xfId="4" applyFill="1" applyAlignment="1">
      <alignment horizontal="center" vertical="center"/>
    </xf>
    <xf numFmtId="0" fontId="1" fillId="4229" borderId="0" xfId="4" applyFill="1" applyAlignment="1">
      <alignment horizontal="center" vertical="center"/>
    </xf>
    <xf numFmtId="0" fontId="1" fillId="4230" borderId="0" xfId="4" applyFill="1" applyAlignment="1">
      <alignment horizontal="center" vertical="center"/>
    </xf>
    <xf numFmtId="0" fontId="1" fillId="4231" borderId="0" xfId="4" applyFill="1" applyAlignment="1">
      <alignment horizontal="center" vertical="center"/>
    </xf>
    <xf numFmtId="0" fontId="1" fillId="4232" borderId="0" xfId="4" applyFill="1" applyAlignment="1">
      <alignment horizontal="center" vertical="center"/>
    </xf>
    <xf numFmtId="0" fontId="1" fillId="4233" borderId="0" xfId="4" applyFill="1" applyAlignment="1">
      <alignment horizontal="center" vertical="center"/>
    </xf>
    <xf numFmtId="0" fontId="1" fillId="4234" borderId="0" xfId="4" applyFill="1" applyAlignment="1">
      <alignment horizontal="center" vertical="center"/>
    </xf>
    <xf numFmtId="0" fontId="1" fillId="4235" borderId="0" xfId="4" applyFill="1" applyAlignment="1">
      <alignment horizontal="center" vertical="center"/>
    </xf>
    <xf numFmtId="0" fontId="1" fillId="4236" borderId="0" xfId="4" applyFill="1" applyAlignment="1">
      <alignment horizontal="center" vertical="center"/>
    </xf>
    <xf numFmtId="0" fontId="1" fillId="4237" borderId="0" xfId="4" applyFill="1" applyAlignment="1">
      <alignment horizontal="center" vertical="center"/>
    </xf>
    <xf numFmtId="0" fontId="1" fillId="4238" borderId="0" xfId="4" applyFill="1" applyAlignment="1">
      <alignment horizontal="center" vertical="center"/>
    </xf>
    <xf numFmtId="0" fontId="1" fillId="4239" borderId="0" xfId="4" applyFill="1" applyAlignment="1">
      <alignment horizontal="center" vertical="center"/>
    </xf>
    <xf numFmtId="0" fontId="1" fillId="4240" borderId="0" xfId="4" applyFill="1" applyAlignment="1">
      <alignment horizontal="center" vertical="center"/>
    </xf>
    <xf numFmtId="0" fontId="1" fillId="4241" borderId="0" xfId="4" applyFill="1" applyAlignment="1">
      <alignment horizontal="center" vertical="center"/>
    </xf>
    <xf numFmtId="0" fontId="1" fillId="4242" borderId="0" xfId="4" applyFill="1" applyAlignment="1">
      <alignment horizontal="center" vertical="center"/>
    </xf>
    <xf numFmtId="0" fontId="1" fillId="4243" borderId="0" xfId="4" applyFill="1" applyAlignment="1">
      <alignment horizontal="left" vertical="center"/>
    </xf>
    <xf numFmtId="0" fontId="1" fillId="4244" borderId="0" xfId="4" applyFill="1" applyAlignment="1">
      <alignment horizontal="center" vertical="center"/>
    </xf>
    <xf numFmtId="0" fontId="1" fillId="3638" borderId="0" xfId="4" applyFill="1" applyAlignment="1">
      <alignment horizontal="center" vertical="center"/>
    </xf>
    <xf numFmtId="0" fontId="1" fillId="4245" borderId="0" xfId="4" applyFill="1" applyAlignment="1">
      <alignment horizontal="center" vertical="center"/>
    </xf>
    <xf numFmtId="0" fontId="1" fillId="4246" borderId="0" xfId="4" applyFill="1" applyAlignment="1">
      <alignment horizontal="center" vertical="center"/>
    </xf>
    <xf numFmtId="0" fontId="1" fillId="4247" borderId="0" xfId="4" applyFill="1" applyAlignment="1">
      <alignment horizontal="center" vertical="center"/>
    </xf>
    <xf numFmtId="0" fontId="1" fillId="4248" borderId="0" xfId="4" applyFill="1" applyAlignment="1">
      <alignment horizontal="center" vertical="center"/>
    </xf>
    <xf numFmtId="0" fontId="1" fillId="4249" borderId="0" xfId="4" applyFill="1" applyAlignment="1">
      <alignment horizontal="center" vertical="center"/>
    </xf>
    <xf numFmtId="0" fontId="1" fillId="4250" borderId="0" xfId="4" applyFill="1" applyAlignment="1">
      <alignment horizontal="center" vertical="center"/>
    </xf>
    <xf numFmtId="0" fontId="1" fillId="4251" borderId="0" xfId="4" applyFill="1" applyAlignment="1">
      <alignment horizontal="center" vertical="center"/>
    </xf>
    <xf numFmtId="0" fontId="1" fillId="4252" borderId="0" xfId="4" applyFill="1" applyAlignment="1">
      <alignment horizontal="center" vertical="center"/>
    </xf>
    <xf numFmtId="0" fontId="1" fillId="4253" borderId="0" xfId="4" applyFill="1" applyAlignment="1">
      <alignment horizontal="center" vertical="center"/>
    </xf>
    <xf numFmtId="0" fontId="1" fillId="4254" borderId="0" xfId="4" applyFill="1" applyAlignment="1">
      <alignment horizontal="center" vertical="center"/>
    </xf>
    <xf numFmtId="0" fontId="1" fillId="4255" borderId="0" xfId="4" applyFill="1" applyAlignment="1">
      <alignment horizontal="center" vertical="center"/>
    </xf>
    <xf numFmtId="0" fontId="1" fillId="4256" borderId="0" xfId="4" applyFill="1" applyAlignment="1">
      <alignment horizontal="center" vertical="center"/>
    </xf>
    <xf numFmtId="0" fontId="1" fillId="4257" borderId="0" xfId="4" applyFill="1" applyAlignment="1">
      <alignment horizontal="center" vertical="center"/>
    </xf>
    <xf numFmtId="0" fontId="1" fillId="4258" borderId="0" xfId="4" applyFill="1" applyAlignment="1">
      <alignment horizontal="center" vertical="center"/>
    </xf>
    <xf numFmtId="0" fontId="1" fillId="4259" borderId="0" xfId="4" applyFill="1" applyAlignment="1">
      <alignment horizontal="center" vertical="center"/>
    </xf>
    <xf numFmtId="0" fontId="1" fillId="4260" borderId="0" xfId="4" applyFill="1" applyAlignment="1">
      <alignment horizontal="center" vertical="center"/>
    </xf>
    <xf numFmtId="0" fontId="1" fillId="4261" borderId="0" xfId="4" applyFill="1" applyAlignment="1">
      <alignment horizontal="center" vertical="center"/>
    </xf>
    <xf numFmtId="0" fontId="1" fillId="4262" borderId="0" xfId="4" applyFill="1" applyAlignment="1">
      <alignment horizontal="center" vertical="center"/>
    </xf>
    <xf numFmtId="0" fontId="1" fillId="4263" borderId="0" xfId="4" applyFill="1" applyAlignment="1">
      <alignment horizontal="center" vertical="center"/>
    </xf>
    <xf numFmtId="0" fontId="1" fillId="4264" borderId="0" xfId="4" applyFill="1" applyAlignment="1">
      <alignment horizontal="center" vertical="center"/>
    </xf>
    <xf numFmtId="0" fontId="1" fillId="4265" borderId="0" xfId="4" applyFill="1" applyAlignment="1">
      <alignment horizontal="center" vertical="center"/>
    </xf>
    <xf numFmtId="0" fontId="1" fillId="4266" borderId="0" xfId="4" applyFill="1" applyAlignment="1">
      <alignment horizontal="center" vertical="center"/>
    </xf>
    <xf numFmtId="0" fontId="1" fillId="4267" borderId="0" xfId="4" applyFill="1" applyAlignment="1">
      <alignment horizontal="center" vertical="center"/>
    </xf>
    <xf numFmtId="0" fontId="1" fillId="4268" borderId="0" xfId="4" applyFill="1" applyAlignment="1">
      <alignment horizontal="center" vertical="center"/>
    </xf>
    <xf numFmtId="0" fontId="1" fillId="4269" borderId="0" xfId="4" applyFill="1" applyAlignment="1">
      <alignment horizontal="left" vertical="center"/>
    </xf>
    <xf numFmtId="0" fontId="1" fillId="4270" borderId="0" xfId="4" applyFill="1" applyAlignment="1">
      <alignment horizontal="center" vertical="center"/>
    </xf>
    <xf numFmtId="0" fontId="1" fillId="4271" borderId="0" xfId="4" applyFill="1" applyAlignment="1">
      <alignment horizontal="center" vertical="center"/>
    </xf>
    <xf numFmtId="0" fontId="1" fillId="4272" borderId="0" xfId="4" applyFill="1" applyAlignment="1">
      <alignment horizontal="center" vertical="center"/>
    </xf>
    <xf numFmtId="0" fontId="1" fillId="4273" borderId="0" xfId="4" applyFill="1" applyAlignment="1">
      <alignment horizontal="center" vertical="center"/>
    </xf>
    <xf numFmtId="0" fontId="1" fillId="4274" borderId="0" xfId="4" applyFill="1" applyAlignment="1">
      <alignment horizontal="center" vertical="center"/>
    </xf>
    <xf numFmtId="0" fontId="1" fillId="4275" borderId="0" xfId="4" applyFill="1" applyAlignment="1">
      <alignment horizontal="center" vertical="center"/>
    </xf>
    <xf numFmtId="0" fontId="1" fillId="4276" borderId="0" xfId="4" applyFill="1" applyAlignment="1">
      <alignment horizontal="center" vertical="center"/>
    </xf>
    <xf numFmtId="0" fontId="1" fillId="3755" borderId="0" xfId="4" applyFill="1" applyAlignment="1">
      <alignment horizontal="center" vertical="center"/>
    </xf>
    <xf numFmtId="0" fontId="1" fillId="4277" borderId="0" xfId="4" applyFill="1" applyAlignment="1">
      <alignment horizontal="center" vertical="center"/>
    </xf>
    <xf numFmtId="0" fontId="1" fillId="4278" borderId="0" xfId="4" applyFill="1" applyAlignment="1">
      <alignment horizontal="center" vertical="center"/>
    </xf>
    <xf numFmtId="0" fontId="1" fillId="4279" borderId="0" xfId="4" applyFill="1" applyAlignment="1">
      <alignment horizontal="center" vertical="center"/>
    </xf>
    <xf numFmtId="0" fontId="1" fillId="4280" borderId="0" xfId="4" applyFill="1" applyAlignment="1">
      <alignment horizontal="center" vertical="center"/>
    </xf>
    <xf numFmtId="0" fontId="1" fillId="4281" borderId="0" xfId="4" applyFill="1" applyAlignment="1">
      <alignment horizontal="center" vertical="center"/>
    </xf>
    <xf numFmtId="0" fontId="1" fillId="4282" borderId="0" xfId="4" applyFill="1" applyAlignment="1">
      <alignment horizontal="center" vertical="center"/>
    </xf>
    <xf numFmtId="0" fontId="1" fillId="4283" borderId="0" xfId="4" applyFill="1" applyAlignment="1">
      <alignment horizontal="left" vertical="center"/>
    </xf>
    <xf numFmtId="0" fontId="1" fillId="4284" borderId="0" xfId="4" applyFill="1" applyAlignment="1">
      <alignment horizontal="center" vertical="center"/>
    </xf>
    <xf numFmtId="0" fontId="1" fillId="4285" borderId="0" xfId="4" applyFill="1" applyAlignment="1">
      <alignment horizontal="center" vertical="center"/>
    </xf>
    <xf numFmtId="0" fontId="1" fillId="4286" borderId="0" xfId="4" applyFill="1" applyAlignment="1">
      <alignment horizontal="left" vertical="center"/>
    </xf>
    <xf numFmtId="0" fontId="1" fillId="4287" borderId="0" xfId="4" applyFill="1" applyAlignment="1">
      <alignment horizontal="center" vertical="center"/>
    </xf>
    <xf numFmtId="0" fontId="1" fillId="4288" borderId="0" xfId="4" applyFill="1" applyAlignment="1">
      <alignment horizontal="center" vertical="center"/>
    </xf>
    <xf numFmtId="0" fontId="1" fillId="4289" borderId="0" xfId="4" applyFill="1" applyAlignment="1">
      <alignment horizontal="center" vertical="center"/>
    </xf>
    <xf numFmtId="0" fontId="1" fillId="4290" borderId="0" xfId="4" applyFill="1" applyAlignment="1">
      <alignment horizontal="center" vertical="center"/>
    </xf>
    <xf numFmtId="0" fontId="1" fillId="4291" borderId="0" xfId="4" applyFill="1" applyAlignment="1">
      <alignment horizontal="center" vertical="center"/>
    </xf>
    <xf numFmtId="0" fontId="1" fillId="4292" borderId="0" xfId="4" applyFill="1" applyAlignment="1">
      <alignment horizontal="center" vertical="center"/>
    </xf>
    <xf numFmtId="0" fontId="1" fillId="4293" borderId="0" xfId="4" applyFill="1" applyAlignment="1">
      <alignment horizontal="center" vertical="center"/>
    </xf>
    <xf numFmtId="0" fontId="1" fillId="4294" borderId="0" xfId="4" applyFill="1" applyAlignment="1">
      <alignment horizontal="center" vertical="center"/>
    </xf>
    <xf numFmtId="0" fontId="1" fillId="4295" borderId="0" xfId="4" applyFill="1" applyAlignment="1">
      <alignment horizontal="center" vertical="center"/>
    </xf>
    <xf numFmtId="0" fontId="1" fillId="4296" borderId="0" xfId="4" applyFill="1" applyAlignment="1">
      <alignment horizontal="center" vertical="center"/>
    </xf>
    <xf numFmtId="0" fontId="1" fillId="4297" borderId="0" xfId="4" applyFill="1" applyAlignment="1">
      <alignment horizontal="center" vertical="center"/>
    </xf>
    <xf numFmtId="0" fontId="1" fillId="4298" borderId="0" xfId="4" applyFill="1" applyAlignment="1">
      <alignment horizontal="center" vertical="center"/>
    </xf>
    <xf numFmtId="0" fontId="1" fillId="4299" borderId="0" xfId="4" applyFill="1" applyAlignment="1">
      <alignment horizontal="center" vertical="center"/>
    </xf>
    <xf numFmtId="0" fontId="1" fillId="4300" borderId="0" xfId="4" applyFill="1" applyAlignment="1">
      <alignment horizontal="center" vertical="center"/>
    </xf>
    <xf numFmtId="0" fontId="1" fillId="4301" borderId="0" xfId="4" applyFill="1" applyAlignment="1">
      <alignment horizontal="center" vertical="center"/>
    </xf>
    <xf numFmtId="0" fontId="1" fillId="4302" borderId="0" xfId="4" applyFill="1" applyAlignment="1">
      <alignment horizontal="center" vertical="center"/>
    </xf>
    <xf numFmtId="0" fontId="1" fillId="4303" borderId="0" xfId="4" applyFill="1" applyAlignment="1">
      <alignment horizontal="center" vertical="center"/>
    </xf>
    <xf numFmtId="0" fontId="1" fillId="4304" borderId="0" xfId="4" applyFill="1" applyAlignment="1">
      <alignment horizontal="center" vertical="center"/>
    </xf>
    <xf numFmtId="0" fontId="1" fillId="4305" borderId="0" xfId="4" applyFill="1" applyAlignment="1">
      <alignment horizontal="center" vertical="center"/>
    </xf>
    <xf numFmtId="0" fontId="1" fillId="4306" borderId="0" xfId="4" applyFill="1" applyAlignment="1">
      <alignment horizontal="center" vertical="center"/>
    </xf>
    <xf numFmtId="0" fontId="1" fillId="4307" borderId="0" xfId="4" applyFill="1" applyAlignment="1">
      <alignment horizontal="center" vertical="center"/>
    </xf>
    <xf numFmtId="0" fontId="1" fillId="4308" borderId="0" xfId="4" applyFill="1" applyAlignment="1">
      <alignment horizontal="center" vertical="center"/>
    </xf>
    <xf numFmtId="0" fontId="1" fillId="4309" borderId="0" xfId="4" applyFill="1" applyAlignment="1">
      <alignment horizontal="center" vertical="center"/>
    </xf>
    <xf numFmtId="0" fontId="1" fillId="4310" borderId="0" xfId="4" applyFill="1" applyAlignment="1">
      <alignment horizontal="center" vertical="center"/>
    </xf>
    <xf numFmtId="0" fontId="1" fillId="4311" borderId="0" xfId="4" applyFill="1" applyAlignment="1">
      <alignment horizontal="center" vertical="center"/>
    </xf>
    <xf numFmtId="0" fontId="1" fillId="4312" borderId="0" xfId="4" applyFill="1" applyAlignment="1">
      <alignment horizontal="center" vertical="center"/>
    </xf>
    <xf numFmtId="0" fontId="1" fillId="4313" borderId="0" xfId="4" applyFill="1" applyAlignment="1">
      <alignment horizontal="center" vertical="center"/>
    </xf>
    <xf numFmtId="0" fontId="1" fillId="4314" borderId="0" xfId="4" applyFill="1" applyAlignment="1">
      <alignment horizontal="center" vertical="center"/>
    </xf>
    <xf numFmtId="0" fontId="1" fillId="4315" borderId="0" xfId="4" applyFill="1" applyAlignment="1">
      <alignment horizontal="center" vertical="center"/>
    </xf>
    <xf numFmtId="0" fontId="1" fillId="4316" borderId="0" xfId="4" applyFill="1" applyAlignment="1">
      <alignment horizontal="left" vertical="center"/>
    </xf>
    <xf numFmtId="0" fontId="1" fillId="4317" borderId="0" xfId="4" applyFill="1" applyAlignment="1">
      <alignment horizontal="center" vertical="center"/>
    </xf>
    <xf numFmtId="0" fontId="1" fillId="4318" borderId="0" xfId="4" applyFill="1" applyAlignment="1">
      <alignment horizontal="center" vertical="center"/>
    </xf>
    <xf numFmtId="0" fontId="1" fillId="4319" borderId="0" xfId="4" applyFill="1" applyAlignment="1">
      <alignment horizontal="center" vertical="center"/>
    </xf>
    <xf numFmtId="0" fontId="1" fillId="4320" borderId="0" xfId="4" applyFill="1" applyAlignment="1">
      <alignment horizontal="center" vertical="center"/>
    </xf>
    <xf numFmtId="0" fontId="1" fillId="4321" borderId="0" xfId="4" applyFill="1" applyAlignment="1">
      <alignment horizontal="center" vertical="center"/>
    </xf>
    <xf numFmtId="0" fontId="1" fillId="4322" borderId="0" xfId="4" applyFill="1" applyAlignment="1">
      <alignment horizontal="center" vertical="center"/>
    </xf>
    <xf numFmtId="0" fontId="1" fillId="4323" borderId="0" xfId="4" applyFill="1" applyAlignment="1">
      <alignment horizontal="center" vertical="center"/>
    </xf>
    <xf numFmtId="0" fontId="1" fillId="4324" borderId="0" xfId="4" applyFill="1" applyAlignment="1">
      <alignment horizontal="center" vertical="center"/>
    </xf>
    <xf numFmtId="0" fontId="1" fillId="4325" borderId="0" xfId="4" applyFill="1" applyAlignment="1">
      <alignment horizontal="center" vertical="center"/>
    </xf>
    <xf numFmtId="0" fontId="1" fillId="4326" borderId="0" xfId="4" applyFill="1" applyAlignment="1">
      <alignment horizontal="center" vertical="center"/>
    </xf>
    <xf numFmtId="0" fontId="1" fillId="4327" borderId="0" xfId="4" applyFill="1" applyAlignment="1">
      <alignment horizontal="center" vertical="center"/>
    </xf>
    <xf numFmtId="0" fontId="1" fillId="4328" borderId="0" xfId="4" applyFill="1" applyAlignment="1">
      <alignment horizontal="center" vertical="center"/>
    </xf>
    <xf numFmtId="0" fontId="1" fillId="4329" borderId="0" xfId="4" applyFill="1" applyAlignment="1">
      <alignment horizontal="center" vertical="center"/>
    </xf>
    <xf numFmtId="0" fontId="1" fillId="4330" borderId="0" xfId="4" applyFill="1" applyAlignment="1">
      <alignment horizontal="center" vertical="center"/>
    </xf>
    <xf numFmtId="0" fontId="1" fillId="4331" borderId="0" xfId="4" applyFill="1" applyAlignment="1">
      <alignment horizontal="center" vertical="center"/>
    </xf>
    <xf numFmtId="0" fontId="1" fillId="4332" borderId="0" xfId="4" applyFill="1" applyAlignment="1">
      <alignment horizontal="center" vertical="center"/>
    </xf>
    <xf numFmtId="0" fontId="1" fillId="4333" borderId="0" xfId="4" applyFill="1" applyAlignment="1">
      <alignment horizontal="center" vertical="center"/>
    </xf>
    <xf numFmtId="0" fontId="1" fillId="4334" borderId="0" xfId="4" applyFill="1" applyAlignment="1">
      <alignment horizontal="center" vertical="center"/>
    </xf>
    <xf numFmtId="0" fontId="1" fillId="4335" borderId="0" xfId="4" applyFill="1" applyAlignment="1">
      <alignment horizontal="center" vertical="center"/>
    </xf>
    <xf numFmtId="0" fontId="1" fillId="4336" borderId="0" xfId="4" applyFill="1" applyAlignment="1">
      <alignment horizontal="center" vertical="center"/>
    </xf>
    <xf numFmtId="0" fontId="1" fillId="4337" borderId="0" xfId="4" applyFill="1" applyAlignment="1">
      <alignment horizontal="center" vertical="center"/>
    </xf>
    <xf numFmtId="0" fontId="1" fillId="4338" borderId="0" xfId="4" applyFill="1" applyAlignment="1">
      <alignment horizontal="center" vertical="center"/>
    </xf>
    <xf numFmtId="0" fontId="1" fillId="4339" borderId="0" xfId="4" applyFill="1" applyAlignment="1">
      <alignment horizontal="center" vertical="center"/>
    </xf>
    <xf numFmtId="0" fontId="1" fillId="4340" borderId="0" xfId="4" applyFill="1" applyAlignment="1">
      <alignment horizontal="center" vertical="center"/>
    </xf>
    <xf numFmtId="0" fontId="1" fillId="4341" borderId="0" xfId="4" applyFill="1" applyAlignment="1">
      <alignment horizontal="center" vertical="center"/>
    </xf>
    <xf numFmtId="0" fontId="1" fillId="4342" borderId="0" xfId="4" applyFill="1" applyAlignment="1">
      <alignment horizontal="center" vertical="center"/>
    </xf>
    <xf numFmtId="0" fontId="1" fillId="4343" borderId="0" xfId="4" applyFill="1" applyAlignment="1">
      <alignment horizontal="left" vertical="center"/>
    </xf>
    <xf numFmtId="0" fontId="1" fillId="4344" borderId="0" xfId="4" applyFill="1" applyAlignment="1">
      <alignment horizontal="center" vertical="center"/>
    </xf>
    <xf numFmtId="0" fontId="1" fillId="4345" borderId="0" xfId="4" applyFill="1" applyAlignment="1">
      <alignment horizontal="center" vertical="center"/>
    </xf>
    <xf numFmtId="0" fontId="1" fillId="4346" borderId="0" xfId="4" applyFill="1" applyAlignment="1">
      <alignment horizontal="center" vertical="center"/>
    </xf>
    <xf numFmtId="0" fontId="1" fillId="4347" borderId="0" xfId="4" applyFill="1" applyAlignment="1">
      <alignment horizontal="center" vertical="center"/>
    </xf>
    <xf numFmtId="0" fontId="1" fillId="4348" borderId="0" xfId="4" applyFill="1" applyAlignment="1">
      <alignment horizontal="center" vertical="center"/>
    </xf>
    <xf numFmtId="0" fontId="1" fillId="4349" borderId="0" xfId="4" applyFill="1" applyAlignment="1">
      <alignment horizontal="center" vertical="center"/>
    </xf>
    <xf numFmtId="0" fontId="1" fillId="4350" borderId="0" xfId="4" applyFill="1" applyAlignment="1">
      <alignment horizontal="center" vertical="center"/>
    </xf>
    <xf numFmtId="0" fontId="1" fillId="4351" borderId="0" xfId="4" applyFill="1" applyAlignment="1">
      <alignment horizontal="center" vertical="center"/>
    </xf>
    <xf numFmtId="0" fontId="1" fillId="3639" borderId="0" xfId="4" applyFill="1" applyAlignment="1">
      <alignment horizontal="center" vertical="center"/>
    </xf>
    <xf numFmtId="0" fontId="1" fillId="4352" borderId="0" xfId="4" applyFill="1" applyAlignment="1">
      <alignment horizontal="center" vertical="center"/>
    </xf>
    <xf numFmtId="0" fontId="1" fillId="4353" borderId="0" xfId="4" applyFill="1" applyAlignment="1">
      <alignment horizontal="center" vertical="center"/>
    </xf>
    <xf numFmtId="0" fontId="1" fillId="4354" borderId="0" xfId="4" applyFill="1" applyAlignment="1">
      <alignment horizontal="center" vertical="center"/>
    </xf>
    <xf numFmtId="0" fontId="1" fillId="4355" borderId="0" xfId="4" applyFill="1" applyAlignment="1">
      <alignment horizontal="center" vertical="center"/>
    </xf>
    <xf numFmtId="0" fontId="1" fillId="4356" borderId="0" xfId="4" applyFill="1" applyAlignment="1">
      <alignment horizontal="center" vertical="center"/>
    </xf>
    <xf numFmtId="0" fontId="1" fillId="4357" borderId="0" xfId="4" applyFill="1" applyAlignment="1">
      <alignment horizontal="center" vertical="center"/>
    </xf>
    <xf numFmtId="0" fontId="1" fillId="4358" borderId="0" xfId="4" applyFill="1" applyAlignment="1">
      <alignment horizontal="center" vertical="center"/>
    </xf>
    <xf numFmtId="0" fontId="1" fillId="4359" borderId="0" xfId="4" applyFill="1" applyAlignment="1">
      <alignment horizontal="center" vertical="center"/>
    </xf>
    <xf numFmtId="0" fontId="1" fillId="4360" borderId="0" xfId="4" applyFill="1" applyAlignment="1">
      <alignment horizontal="center" vertical="center"/>
    </xf>
    <xf numFmtId="0" fontId="1" fillId="4361" borderId="0" xfId="4" applyFill="1" applyAlignment="1">
      <alignment horizontal="center" vertical="center"/>
    </xf>
    <xf numFmtId="0" fontId="1" fillId="4362" borderId="0" xfId="4" applyFill="1" applyAlignment="1">
      <alignment horizontal="left" vertical="center"/>
    </xf>
    <xf numFmtId="0" fontId="1" fillId="4363" borderId="0" xfId="4" applyFill="1" applyAlignment="1">
      <alignment horizontal="center" vertical="center"/>
    </xf>
    <xf numFmtId="0" fontId="1" fillId="4364" borderId="0" xfId="4" applyFill="1" applyAlignment="1">
      <alignment horizontal="center" vertical="center"/>
    </xf>
    <xf numFmtId="0" fontId="1" fillId="4365" borderId="0" xfId="4" applyFill="1" applyAlignment="1">
      <alignment horizontal="left" vertical="center"/>
    </xf>
    <xf numFmtId="0" fontId="1" fillId="4366" borderId="0" xfId="4" applyFill="1" applyAlignment="1">
      <alignment horizontal="center" vertical="center"/>
    </xf>
    <xf numFmtId="0" fontId="1" fillId="4367" borderId="0" xfId="4" applyFill="1" applyAlignment="1">
      <alignment horizontal="center" vertical="center"/>
    </xf>
    <xf numFmtId="0" fontId="1" fillId="4368" borderId="0" xfId="4" applyFill="1" applyAlignment="1">
      <alignment horizontal="center" vertical="center"/>
    </xf>
    <xf numFmtId="0" fontId="1" fillId="4369" borderId="0" xfId="4" applyFill="1" applyAlignment="1">
      <alignment horizontal="center" vertical="center"/>
    </xf>
    <xf numFmtId="0" fontId="1" fillId="4370" borderId="0" xfId="4" applyFill="1" applyAlignment="1">
      <alignment horizontal="center" vertical="center"/>
    </xf>
    <xf numFmtId="0" fontId="1" fillId="4371" borderId="0" xfId="4" applyFill="1" applyAlignment="1">
      <alignment horizontal="center" vertical="center"/>
    </xf>
    <xf numFmtId="0" fontId="1" fillId="4372" borderId="0" xfId="4" applyFill="1" applyAlignment="1">
      <alignment horizontal="center" vertical="center"/>
    </xf>
    <xf numFmtId="0" fontId="1" fillId="4373" borderId="0" xfId="4" applyFill="1" applyAlignment="1">
      <alignment horizontal="center" vertical="center"/>
    </xf>
    <xf numFmtId="0" fontId="1" fillId="4374" borderId="0" xfId="4" applyFill="1" applyAlignment="1">
      <alignment horizontal="center" vertical="center"/>
    </xf>
    <xf numFmtId="0" fontId="1" fillId="4375" borderId="0" xfId="4" applyFill="1" applyAlignment="1">
      <alignment horizontal="center" vertical="center"/>
    </xf>
    <xf numFmtId="0" fontId="1" fillId="4376" borderId="0" xfId="4" applyFill="1" applyAlignment="1">
      <alignment horizontal="center" vertical="center"/>
    </xf>
    <xf numFmtId="0" fontId="1" fillId="4377" borderId="0" xfId="4" applyFill="1" applyAlignment="1">
      <alignment horizontal="center" vertical="center"/>
    </xf>
    <xf numFmtId="0" fontId="1" fillId="4378" borderId="0" xfId="4" applyFill="1" applyAlignment="1">
      <alignment horizontal="center" vertical="center"/>
    </xf>
    <xf numFmtId="0" fontId="1" fillId="4379" borderId="0" xfId="4" applyFill="1" applyAlignment="1">
      <alignment horizontal="center" vertical="center"/>
    </xf>
    <xf numFmtId="0" fontId="1" fillId="4380" borderId="0" xfId="4" applyFill="1" applyAlignment="1">
      <alignment horizontal="center" vertical="center"/>
    </xf>
    <xf numFmtId="0" fontId="1" fillId="4381" borderId="0" xfId="4" applyFill="1" applyAlignment="1">
      <alignment horizontal="center" vertical="center"/>
    </xf>
    <xf numFmtId="0" fontId="1" fillId="4382" borderId="0" xfId="4" applyFill="1" applyAlignment="1">
      <alignment horizontal="center" vertical="center"/>
    </xf>
    <xf numFmtId="0" fontId="1" fillId="4383" borderId="0" xfId="4" applyFill="1" applyAlignment="1">
      <alignment horizontal="center" vertical="center"/>
    </xf>
    <xf numFmtId="0" fontId="1" fillId="4384" borderId="0" xfId="4" applyFill="1" applyAlignment="1">
      <alignment horizontal="center" vertical="center"/>
    </xf>
    <xf numFmtId="0" fontId="1" fillId="4385" borderId="0" xfId="4" applyFill="1" applyAlignment="1">
      <alignment horizontal="center" vertical="center"/>
    </xf>
    <xf numFmtId="0" fontId="1" fillId="4386" borderId="0" xfId="4" applyFill="1" applyAlignment="1">
      <alignment horizontal="center" vertical="center"/>
    </xf>
    <xf numFmtId="0" fontId="1" fillId="4387" borderId="0" xfId="4" applyFill="1" applyAlignment="1">
      <alignment horizontal="center" vertical="center"/>
    </xf>
    <xf numFmtId="0" fontId="1" fillId="4388" borderId="0" xfId="4" applyFill="1" applyAlignment="1">
      <alignment horizontal="center" vertical="center"/>
    </xf>
    <xf numFmtId="0" fontId="1" fillId="4389" borderId="0" xfId="4" applyFill="1" applyAlignment="1">
      <alignment horizontal="center" vertical="center"/>
    </xf>
    <xf numFmtId="0" fontId="1" fillId="4390" borderId="0" xfId="4" applyFill="1" applyAlignment="1">
      <alignment horizontal="center" vertical="center"/>
    </xf>
    <xf numFmtId="0" fontId="1" fillId="4391" borderId="0" xfId="4" applyFill="1" applyAlignment="1">
      <alignment horizontal="center" vertical="center"/>
    </xf>
    <xf numFmtId="0" fontId="1" fillId="4392" borderId="0" xfId="4" applyFill="1" applyAlignment="1">
      <alignment horizontal="center" vertical="center"/>
    </xf>
    <xf numFmtId="0" fontId="1" fillId="4393" borderId="0" xfId="4" applyFill="1" applyAlignment="1">
      <alignment horizontal="center" vertical="center"/>
    </xf>
    <xf numFmtId="0" fontId="1" fillId="4394" borderId="0" xfId="4" applyFill="1" applyAlignment="1">
      <alignment horizontal="left" vertical="center"/>
    </xf>
    <xf numFmtId="0" fontId="1" fillId="4395" borderId="0" xfId="4" applyFill="1" applyAlignment="1">
      <alignment horizontal="center" vertical="center"/>
    </xf>
    <xf numFmtId="0" fontId="1" fillId="4396" borderId="0" xfId="4" applyFill="1" applyAlignment="1">
      <alignment horizontal="center" vertical="center"/>
    </xf>
    <xf numFmtId="0" fontId="1" fillId="4397" borderId="0" xfId="4" applyFill="1" applyAlignment="1">
      <alignment horizontal="center" vertical="center"/>
    </xf>
    <xf numFmtId="0" fontId="1" fillId="4398" borderId="0" xfId="4" applyFill="1" applyAlignment="1">
      <alignment horizontal="center" vertical="center"/>
    </xf>
    <xf numFmtId="0" fontId="1" fillId="3162" borderId="0" xfId="4" applyFill="1" applyAlignment="1">
      <alignment horizontal="center" vertical="center"/>
    </xf>
    <xf numFmtId="0" fontId="1" fillId="4399" borderId="0" xfId="4" applyFill="1" applyAlignment="1">
      <alignment horizontal="center" vertical="center"/>
    </xf>
    <xf numFmtId="0" fontId="1" fillId="4400" borderId="0" xfId="4" applyFill="1" applyAlignment="1">
      <alignment horizontal="center" vertical="center"/>
    </xf>
    <xf numFmtId="0" fontId="1" fillId="4401" borderId="0" xfId="4" applyFill="1" applyAlignment="1">
      <alignment horizontal="center" vertical="center"/>
    </xf>
    <xf numFmtId="0" fontId="1" fillId="4402" borderId="0" xfId="4" applyFill="1" applyAlignment="1">
      <alignment horizontal="center" vertical="center"/>
    </xf>
    <xf numFmtId="0" fontId="1" fillId="4403" borderId="0" xfId="4" applyFill="1" applyAlignment="1">
      <alignment horizontal="center" vertical="center"/>
    </xf>
    <xf numFmtId="0" fontId="1" fillId="4404" borderId="0" xfId="4" applyFill="1" applyAlignment="1">
      <alignment horizontal="center" vertical="center"/>
    </xf>
    <xf numFmtId="0" fontId="1" fillId="4405" borderId="0" xfId="4" applyFill="1" applyAlignment="1">
      <alignment horizontal="center" vertical="center"/>
    </xf>
    <xf numFmtId="0" fontId="1" fillId="4406" borderId="0" xfId="4" applyFill="1" applyAlignment="1">
      <alignment horizontal="center" vertical="center"/>
    </xf>
    <xf numFmtId="0" fontId="1" fillId="4407" borderId="0" xfId="4" applyFill="1" applyAlignment="1">
      <alignment horizontal="center" vertical="center"/>
    </xf>
    <xf numFmtId="0" fontId="1" fillId="4408" borderId="0" xfId="4" applyFill="1" applyAlignment="1">
      <alignment horizontal="center" vertical="center"/>
    </xf>
    <xf numFmtId="0" fontId="1" fillId="4409" borderId="0" xfId="4" applyFill="1" applyAlignment="1">
      <alignment horizontal="center" vertical="center"/>
    </xf>
    <xf numFmtId="0" fontId="1" fillId="4410" borderId="0" xfId="4" applyFill="1" applyAlignment="1">
      <alignment horizontal="center" vertical="center"/>
    </xf>
    <xf numFmtId="0" fontId="1" fillId="4411" borderId="0" xfId="4" applyFill="1" applyAlignment="1">
      <alignment horizontal="center" vertical="center"/>
    </xf>
    <xf numFmtId="0" fontId="1" fillId="4412" borderId="0" xfId="4" applyFill="1" applyAlignment="1">
      <alignment horizontal="center" vertical="center"/>
    </xf>
    <xf numFmtId="0" fontId="1" fillId="4413" borderId="0" xfId="4" applyFill="1" applyAlignment="1">
      <alignment horizontal="center" vertical="center"/>
    </xf>
    <xf numFmtId="0" fontId="1" fillId="4414" borderId="0" xfId="4" applyFill="1" applyAlignment="1">
      <alignment horizontal="center" vertical="center"/>
    </xf>
    <xf numFmtId="0" fontId="1" fillId="4415" borderId="0" xfId="4" applyFill="1" applyAlignment="1">
      <alignment horizontal="center" vertical="center"/>
    </xf>
    <xf numFmtId="0" fontId="1" fillId="4416" borderId="0" xfId="4" applyFill="1" applyAlignment="1">
      <alignment horizontal="center" vertical="center"/>
    </xf>
    <xf numFmtId="0" fontId="1" fillId="4417" borderId="0" xfId="4" applyFill="1" applyAlignment="1">
      <alignment horizontal="left" vertical="center"/>
    </xf>
    <xf numFmtId="0" fontId="1" fillId="4418" borderId="0" xfId="4" applyFill="1" applyAlignment="1">
      <alignment horizontal="center" vertical="center"/>
    </xf>
    <xf numFmtId="0" fontId="1" fillId="4419" borderId="0" xfId="4" applyFill="1" applyAlignment="1">
      <alignment horizontal="center" vertical="center"/>
    </xf>
    <xf numFmtId="0" fontId="1" fillId="4420" borderId="0" xfId="4" applyFill="1" applyAlignment="1">
      <alignment horizontal="center" vertical="center"/>
    </xf>
    <xf numFmtId="0" fontId="1" fillId="4421" borderId="0" xfId="4" applyFill="1" applyAlignment="1">
      <alignment horizontal="center" vertical="center"/>
    </xf>
    <xf numFmtId="0" fontId="1" fillId="4422" borderId="0" xfId="4" applyFill="1" applyAlignment="1">
      <alignment horizontal="center" vertical="center"/>
    </xf>
    <xf numFmtId="0" fontId="1" fillId="4423" borderId="0" xfId="4" applyFill="1" applyAlignment="1">
      <alignment horizontal="center" vertical="center"/>
    </xf>
    <xf numFmtId="0" fontId="1" fillId="4424" borderId="0" xfId="4" applyFill="1" applyAlignment="1">
      <alignment horizontal="center" vertical="center"/>
    </xf>
    <xf numFmtId="0" fontId="1" fillId="4425" borderId="0" xfId="4" applyFill="1" applyAlignment="1">
      <alignment horizontal="center" vertical="center"/>
    </xf>
    <xf numFmtId="0" fontId="1" fillId="4426" borderId="0" xfId="4" applyFill="1" applyAlignment="1">
      <alignment horizontal="center" vertical="center"/>
    </xf>
    <xf numFmtId="0" fontId="1" fillId="4427" borderId="0" xfId="4" applyFill="1" applyAlignment="1">
      <alignment horizontal="center" vertical="center"/>
    </xf>
    <xf numFmtId="0" fontId="1" fillId="4428" borderId="0" xfId="4" applyFill="1" applyAlignment="1">
      <alignment horizontal="center" vertical="center"/>
    </xf>
    <xf numFmtId="0" fontId="1" fillId="4429" borderId="0" xfId="4" applyFill="1" applyAlignment="1">
      <alignment horizontal="center" vertical="center"/>
    </xf>
    <xf numFmtId="0" fontId="1" fillId="4430" borderId="0" xfId="4" applyFill="1" applyAlignment="1">
      <alignment horizontal="center" vertical="center"/>
    </xf>
    <xf numFmtId="0" fontId="1" fillId="4431" borderId="0" xfId="4" applyFill="1" applyAlignment="1">
      <alignment horizontal="center" vertical="center"/>
    </xf>
    <xf numFmtId="0" fontId="1" fillId="4432" borderId="0" xfId="4" applyFill="1" applyAlignment="1">
      <alignment horizontal="center" vertical="center"/>
    </xf>
    <xf numFmtId="0" fontId="1" fillId="4433" borderId="0" xfId="4" applyFill="1" applyAlignment="1">
      <alignment horizontal="center" vertical="center"/>
    </xf>
    <xf numFmtId="0" fontId="1" fillId="4434" borderId="0" xfId="4" applyFill="1" applyAlignment="1">
      <alignment horizontal="center" vertical="center"/>
    </xf>
    <xf numFmtId="0" fontId="1" fillId="4435" borderId="0" xfId="4" applyFill="1" applyAlignment="1">
      <alignment horizontal="center" vertical="center"/>
    </xf>
    <xf numFmtId="0" fontId="1" fillId="4436" borderId="0" xfId="4" applyFill="1" applyAlignment="1">
      <alignment horizontal="center" vertical="center"/>
    </xf>
    <xf numFmtId="0" fontId="1" fillId="4437" borderId="0" xfId="4" applyFill="1" applyAlignment="1">
      <alignment horizontal="left" vertical="center"/>
    </xf>
    <xf numFmtId="0" fontId="1" fillId="4438" borderId="0" xfId="4" applyFill="1" applyAlignment="1">
      <alignment horizontal="center" vertical="center"/>
    </xf>
    <xf numFmtId="0" fontId="1" fillId="4439" borderId="0" xfId="4" applyFill="1" applyAlignment="1">
      <alignment horizontal="center" vertical="center"/>
    </xf>
    <xf numFmtId="0" fontId="1" fillId="4440" borderId="0" xfId="4" applyFill="1" applyAlignment="1">
      <alignment horizontal="left" vertical="center"/>
    </xf>
    <xf numFmtId="0" fontId="1" fillId="4441" borderId="0" xfId="4" applyFill="1" applyAlignment="1">
      <alignment horizontal="center" vertical="center"/>
    </xf>
    <xf numFmtId="0" fontId="1" fillId="4442" borderId="0" xfId="4" applyFill="1" applyAlignment="1">
      <alignment horizontal="center" vertical="center"/>
    </xf>
    <xf numFmtId="0" fontId="1" fillId="4443" borderId="0" xfId="4" applyFill="1" applyAlignment="1">
      <alignment horizontal="center" vertical="center"/>
    </xf>
    <xf numFmtId="0" fontId="1" fillId="4444" borderId="0" xfId="4" applyFill="1" applyAlignment="1">
      <alignment horizontal="center" vertical="center"/>
    </xf>
    <xf numFmtId="0" fontId="1" fillId="4445" borderId="0" xfId="4" applyFill="1" applyAlignment="1">
      <alignment horizontal="center" vertical="center"/>
    </xf>
    <xf numFmtId="0" fontId="1" fillId="4446" borderId="0" xfId="4" applyFill="1" applyAlignment="1">
      <alignment horizontal="center" vertical="center"/>
    </xf>
    <xf numFmtId="0" fontId="1" fillId="4447" borderId="0" xfId="4" applyFill="1" applyAlignment="1">
      <alignment horizontal="center" vertical="center"/>
    </xf>
    <xf numFmtId="0" fontId="1" fillId="4448" borderId="0" xfId="4" applyFill="1" applyAlignment="1">
      <alignment horizontal="center" vertical="center"/>
    </xf>
    <xf numFmtId="0" fontId="1" fillId="4449" borderId="0" xfId="4" applyFill="1" applyAlignment="1">
      <alignment horizontal="center" vertical="center"/>
    </xf>
    <xf numFmtId="0" fontId="1" fillId="4450" borderId="0" xfId="4" applyFill="1" applyAlignment="1">
      <alignment horizontal="center" vertical="center"/>
    </xf>
    <xf numFmtId="0" fontId="1" fillId="4451" borderId="0" xfId="4" applyFill="1" applyAlignment="1">
      <alignment horizontal="center" vertical="center"/>
    </xf>
    <xf numFmtId="0" fontId="1" fillId="4452" borderId="0" xfId="4" applyFill="1" applyAlignment="1">
      <alignment horizontal="center" vertical="center"/>
    </xf>
    <xf numFmtId="0" fontId="1" fillId="4453" borderId="0" xfId="4" applyFill="1" applyAlignment="1">
      <alignment horizontal="center" vertical="center"/>
    </xf>
    <xf numFmtId="0" fontId="1" fillId="4454" borderId="0" xfId="4" applyFill="1" applyAlignment="1">
      <alignment horizontal="center" vertical="center"/>
    </xf>
    <xf numFmtId="0" fontId="1" fillId="4455" borderId="0" xfId="4" applyFill="1" applyAlignment="1">
      <alignment horizontal="center" vertical="center"/>
    </xf>
    <xf numFmtId="0" fontId="1" fillId="4456" borderId="0" xfId="4" applyFill="1" applyAlignment="1">
      <alignment horizontal="center" vertical="center"/>
    </xf>
    <xf numFmtId="0" fontId="1" fillId="4457" borderId="0" xfId="4" applyFill="1" applyAlignment="1">
      <alignment horizontal="center" vertical="center"/>
    </xf>
    <xf numFmtId="0" fontId="1" fillId="4458" borderId="0" xfId="4" applyFill="1" applyAlignment="1">
      <alignment horizontal="center" vertical="center"/>
    </xf>
    <xf numFmtId="0" fontId="1" fillId="82" borderId="0" xfId="4" applyFill="1" applyAlignment="1">
      <alignment horizontal="center" vertical="center"/>
    </xf>
    <xf numFmtId="0" fontId="1" fillId="4459" borderId="0" xfId="4" applyFill="1" applyAlignment="1">
      <alignment horizontal="center" vertical="center"/>
    </xf>
    <xf numFmtId="0" fontId="1" fillId="4460" borderId="0" xfId="4" applyFill="1" applyAlignment="1">
      <alignment horizontal="center" vertical="center"/>
    </xf>
    <xf numFmtId="0" fontId="1" fillId="4461" borderId="0" xfId="4" applyFill="1" applyAlignment="1">
      <alignment horizontal="center" vertical="center"/>
    </xf>
    <xf numFmtId="0" fontId="1" fillId="4462" borderId="0" xfId="4" applyFill="1" applyAlignment="1">
      <alignment horizontal="center" vertical="center"/>
    </xf>
    <xf numFmtId="0" fontId="1" fillId="4463" borderId="0" xfId="4" applyFill="1" applyAlignment="1">
      <alignment horizontal="center" vertical="center"/>
    </xf>
    <xf numFmtId="0" fontId="1" fillId="4464" borderId="0" xfId="4" applyFill="1" applyAlignment="1">
      <alignment horizontal="center" vertical="center"/>
    </xf>
    <xf numFmtId="0" fontId="1" fillId="4465" borderId="0" xfId="4" applyFill="1" applyAlignment="1">
      <alignment horizontal="center" vertical="center"/>
    </xf>
    <xf numFmtId="0" fontId="1" fillId="4466" borderId="0" xfId="4" applyFill="1" applyAlignment="1">
      <alignment horizontal="left" vertical="center"/>
    </xf>
    <xf numFmtId="0" fontId="1" fillId="4467" borderId="0" xfId="4" applyFill="1" applyAlignment="1">
      <alignment horizontal="center" vertical="center"/>
    </xf>
    <xf numFmtId="0" fontId="1" fillId="4468" borderId="0" xfId="4" applyFill="1" applyAlignment="1">
      <alignment horizontal="center" vertical="center"/>
    </xf>
    <xf numFmtId="0" fontId="1" fillId="4469" borderId="0" xfId="4" applyFill="1" applyAlignment="1">
      <alignment horizontal="center" vertical="center"/>
    </xf>
    <xf numFmtId="0" fontId="1" fillId="4470" borderId="0" xfId="4" applyFill="1" applyAlignment="1">
      <alignment horizontal="center" vertical="center"/>
    </xf>
    <xf numFmtId="0" fontId="1" fillId="4471" borderId="0" xfId="4" applyFill="1" applyAlignment="1">
      <alignment horizontal="center" vertical="center"/>
    </xf>
    <xf numFmtId="0" fontId="1" fillId="4472" borderId="0" xfId="4" applyFill="1" applyAlignment="1">
      <alignment horizontal="center" vertical="center"/>
    </xf>
    <xf numFmtId="0" fontId="1" fillId="4473" borderId="0" xfId="4" applyFill="1" applyAlignment="1">
      <alignment horizontal="center" vertical="center"/>
    </xf>
    <xf numFmtId="0" fontId="1" fillId="4474" borderId="0" xfId="4" applyFill="1" applyAlignment="1">
      <alignment horizontal="center" vertical="center"/>
    </xf>
    <xf numFmtId="0" fontId="1" fillId="4475" borderId="0" xfId="4" applyFill="1" applyAlignment="1">
      <alignment horizontal="center" vertical="center"/>
    </xf>
    <xf numFmtId="0" fontId="1" fillId="4476" borderId="0" xfId="4" applyFill="1" applyAlignment="1">
      <alignment horizontal="center" vertical="center"/>
    </xf>
    <xf numFmtId="0" fontId="1" fillId="4477" borderId="0" xfId="4" applyFill="1" applyAlignment="1">
      <alignment horizontal="center" vertical="center"/>
    </xf>
    <xf numFmtId="0" fontId="1" fillId="4478" borderId="0" xfId="4" applyFill="1" applyAlignment="1">
      <alignment horizontal="center" vertical="center"/>
    </xf>
    <xf numFmtId="0" fontId="1" fillId="4479" borderId="0" xfId="4" applyFill="1" applyAlignment="1">
      <alignment horizontal="center" vertical="center"/>
    </xf>
    <xf numFmtId="0" fontId="1" fillId="4480" borderId="0" xfId="4" applyFill="1" applyAlignment="1">
      <alignment horizontal="center" vertical="center"/>
    </xf>
    <xf numFmtId="0" fontId="1" fillId="3718" borderId="0" xfId="4" applyFill="1" applyAlignment="1">
      <alignment horizontal="center" vertical="center"/>
    </xf>
    <xf numFmtId="0" fontId="1" fillId="4481" borderId="0" xfId="4" applyFill="1" applyAlignment="1">
      <alignment horizontal="center" vertical="center"/>
    </xf>
    <xf numFmtId="0" fontId="1" fillId="4482" borderId="0" xfId="4" applyFill="1" applyAlignment="1">
      <alignment horizontal="center" vertical="center"/>
    </xf>
    <xf numFmtId="0" fontId="1" fillId="4483" borderId="0" xfId="4" applyFill="1" applyAlignment="1">
      <alignment horizontal="center" vertical="center"/>
    </xf>
    <xf numFmtId="0" fontId="1" fillId="4484" borderId="0" xfId="4" applyFill="1" applyAlignment="1">
      <alignment horizontal="center" vertical="center"/>
    </xf>
    <xf numFmtId="0" fontId="1" fillId="4485" borderId="0" xfId="4" applyFill="1" applyAlignment="1">
      <alignment horizontal="center" vertical="center"/>
    </xf>
    <xf numFmtId="0" fontId="1" fillId="4486" borderId="0" xfId="4" applyFill="1" applyAlignment="1">
      <alignment horizontal="center" vertical="center"/>
    </xf>
    <xf numFmtId="0" fontId="1" fillId="4487" borderId="0" xfId="4" applyFill="1" applyAlignment="1">
      <alignment horizontal="left" vertical="center"/>
    </xf>
    <xf numFmtId="0" fontId="1" fillId="4488" borderId="0" xfId="4" applyFill="1" applyAlignment="1">
      <alignment horizontal="center" vertical="center"/>
    </xf>
    <xf numFmtId="0" fontId="1" fillId="4489" borderId="0" xfId="4" applyFill="1" applyAlignment="1">
      <alignment horizontal="center" vertical="center"/>
    </xf>
    <xf numFmtId="0" fontId="1" fillId="4490" borderId="0" xfId="4" applyFill="1" applyAlignment="1">
      <alignment horizontal="center" vertical="center"/>
    </xf>
    <xf numFmtId="0" fontId="1" fillId="4491" borderId="0" xfId="4" applyFill="1" applyAlignment="1">
      <alignment horizontal="center" vertical="center"/>
    </xf>
    <xf numFmtId="0" fontId="1" fillId="4492" borderId="0" xfId="4" applyFill="1" applyAlignment="1">
      <alignment horizontal="center" vertical="center"/>
    </xf>
    <xf numFmtId="0" fontId="1" fillId="4493" borderId="0" xfId="4" applyFill="1" applyAlignment="1">
      <alignment horizontal="center" vertical="center"/>
    </xf>
    <xf numFmtId="0" fontId="1" fillId="4494" borderId="0" xfId="4" applyFill="1" applyAlignment="1">
      <alignment horizontal="center" vertical="center"/>
    </xf>
    <xf numFmtId="0" fontId="1" fillId="4495" borderId="0" xfId="4" applyFill="1" applyAlignment="1">
      <alignment horizontal="center" vertical="center"/>
    </xf>
    <xf numFmtId="0" fontId="1" fillId="4496" borderId="0" xfId="4" applyFill="1" applyAlignment="1">
      <alignment horizontal="center" vertical="center"/>
    </xf>
    <xf numFmtId="0" fontId="1" fillId="4497" borderId="0" xfId="4" applyFill="1" applyAlignment="1">
      <alignment horizontal="center" vertical="center"/>
    </xf>
    <xf numFmtId="0" fontId="1" fillId="4498" borderId="0" xfId="4" applyFill="1" applyAlignment="1">
      <alignment horizontal="center" vertical="center"/>
    </xf>
    <xf numFmtId="0" fontId="1" fillId="4499" borderId="0" xfId="4" applyFill="1" applyAlignment="1">
      <alignment horizontal="center" vertical="center"/>
    </xf>
    <xf numFmtId="0" fontId="1" fillId="4500" borderId="0" xfId="4" applyFill="1" applyAlignment="1">
      <alignment horizontal="center" vertical="center"/>
    </xf>
    <xf numFmtId="0" fontId="1" fillId="4501" borderId="0" xfId="4" applyFill="1" applyAlignment="1">
      <alignment horizontal="center" vertical="center"/>
    </xf>
    <xf numFmtId="0" fontId="1" fillId="4502" borderId="0" xfId="4" applyFill="1" applyAlignment="1">
      <alignment horizontal="center" vertical="center"/>
    </xf>
    <xf numFmtId="0" fontId="1" fillId="4503" borderId="0" xfId="4" applyFill="1" applyAlignment="1">
      <alignment horizontal="center" vertical="center"/>
    </xf>
    <xf numFmtId="0" fontId="1" fillId="4504" borderId="0" xfId="4" applyFill="1" applyAlignment="1">
      <alignment horizontal="center" vertical="center"/>
    </xf>
    <xf numFmtId="0" fontId="1" fillId="4505" borderId="0" xfId="4" applyFill="1" applyAlignment="1">
      <alignment horizontal="center" vertical="center"/>
    </xf>
    <xf numFmtId="0" fontId="1" fillId="4506" borderId="0" xfId="4" applyFill="1" applyAlignment="1">
      <alignment horizontal="center" vertical="center"/>
    </xf>
    <xf numFmtId="0" fontId="1" fillId="4507" borderId="0" xfId="4" applyFill="1" applyAlignment="1">
      <alignment horizontal="center" vertical="center"/>
    </xf>
    <xf numFmtId="0" fontId="1" fillId="4508" borderId="0" xfId="4" applyFill="1" applyAlignment="1">
      <alignment horizontal="left" vertical="center"/>
    </xf>
    <xf numFmtId="0" fontId="1" fillId="4509" borderId="0" xfId="4" applyFill="1" applyAlignment="1">
      <alignment horizontal="center" vertical="center"/>
    </xf>
    <xf numFmtId="0" fontId="1" fillId="4510" borderId="0" xfId="4" applyFill="1" applyAlignment="1">
      <alignment horizontal="center" vertical="center"/>
    </xf>
    <xf numFmtId="0" fontId="1" fillId="4511" borderId="0" xfId="4" applyFill="1" applyAlignment="1">
      <alignment horizontal="left" vertical="center"/>
    </xf>
    <xf numFmtId="0" fontId="1" fillId="4512" borderId="0" xfId="4" applyFill="1" applyAlignment="1">
      <alignment horizontal="center" vertical="center"/>
    </xf>
    <xf numFmtId="0" fontId="1" fillId="4513" borderId="0" xfId="4" applyFill="1" applyAlignment="1">
      <alignment horizontal="center" vertical="center"/>
    </xf>
    <xf numFmtId="0" fontId="1" fillId="4514" borderId="0" xfId="4" applyFill="1" applyAlignment="1">
      <alignment horizontal="center" vertical="center"/>
    </xf>
    <xf numFmtId="0" fontId="1" fillId="4515" borderId="0" xfId="4" applyFill="1" applyAlignment="1">
      <alignment horizontal="center" vertical="center"/>
    </xf>
    <xf numFmtId="0" fontId="1" fillId="4516" borderId="0" xfId="4" applyFill="1" applyAlignment="1">
      <alignment horizontal="center" vertical="center"/>
    </xf>
    <xf numFmtId="0" fontId="1" fillId="4517" borderId="0" xfId="4" applyFill="1" applyAlignment="1">
      <alignment horizontal="center" vertical="center"/>
    </xf>
    <xf numFmtId="0" fontId="1" fillId="4518" borderId="0" xfId="4" applyFill="1" applyAlignment="1">
      <alignment horizontal="center" vertical="center"/>
    </xf>
    <xf numFmtId="0" fontId="1" fillId="4519" borderId="0" xfId="4" applyFill="1" applyAlignment="1">
      <alignment horizontal="center" vertical="center"/>
    </xf>
    <xf numFmtId="0" fontId="1" fillId="4520" borderId="0" xfId="4" applyFill="1" applyAlignment="1">
      <alignment horizontal="center" vertical="center"/>
    </xf>
    <xf numFmtId="0" fontId="1" fillId="4521" borderId="0" xfId="4" applyFill="1" applyAlignment="1">
      <alignment horizontal="center" vertical="center"/>
    </xf>
    <xf numFmtId="0" fontId="1" fillId="4522" borderId="0" xfId="4" applyFill="1" applyAlignment="1">
      <alignment horizontal="center" vertical="center"/>
    </xf>
    <xf numFmtId="0" fontId="1" fillId="4523" borderId="0" xfId="4" applyFill="1" applyAlignment="1">
      <alignment horizontal="center" vertical="center"/>
    </xf>
    <xf numFmtId="0" fontId="1" fillId="4524" borderId="0" xfId="4" applyFill="1" applyAlignment="1">
      <alignment horizontal="center" vertical="center"/>
    </xf>
    <xf numFmtId="0" fontId="1" fillId="569" borderId="0" xfId="4" applyFill="1" applyAlignment="1">
      <alignment horizontal="center" vertical="center"/>
    </xf>
    <xf numFmtId="0" fontId="1" fillId="4525" borderId="0" xfId="4" applyFill="1" applyAlignment="1">
      <alignment horizontal="center" vertical="center"/>
    </xf>
    <xf numFmtId="0" fontId="1" fillId="4526" borderId="0" xfId="4" applyFill="1" applyAlignment="1">
      <alignment horizontal="center" vertical="center"/>
    </xf>
    <xf numFmtId="0" fontId="1" fillId="686" borderId="0" xfId="4" applyFill="1" applyAlignment="1">
      <alignment horizontal="center" vertical="center"/>
    </xf>
    <xf numFmtId="0" fontId="1" fillId="4527" borderId="0" xfId="4" applyFill="1" applyAlignment="1">
      <alignment horizontal="center" vertical="center"/>
    </xf>
    <xf numFmtId="0" fontId="1" fillId="4528" borderId="0" xfId="4" applyFill="1" applyAlignment="1">
      <alignment horizontal="center" vertical="center"/>
    </xf>
    <xf numFmtId="0" fontId="1" fillId="4529" borderId="0" xfId="4" applyFill="1" applyAlignment="1">
      <alignment horizontal="center" vertical="center"/>
    </xf>
    <xf numFmtId="0" fontId="1" fillId="4530" borderId="0" xfId="4" applyFill="1" applyAlignment="1">
      <alignment horizontal="center" vertical="center"/>
    </xf>
    <xf numFmtId="0" fontId="1" fillId="4531" borderId="0" xfId="4" applyFill="1" applyAlignment="1">
      <alignment horizontal="center" vertical="center"/>
    </xf>
    <xf numFmtId="0" fontId="1" fillId="4532" borderId="0" xfId="4" applyFill="1" applyAlignment="1">
      <alignment horizontal="center" vertical="center"/>
    </xf>
    <xf numFmtId="0" fontId="1" fillId="4533" borderId="0" xfId="4" applyFill="1" applyAlignment="1">
      <alignment horizontal="center" vertical="center"/>
    </xf>
    <xf numFmtId="0" fontId="1" fillId="4534" borderId="0" xfId="4" applyFill="1" applyAlignment="1">
      <alignment horizontal="center" vertical="center"/>
    </xf>
    <xf numFmtId="0" fontId="1" fillId="4535" borderId="0" xfId="4" applyFill="1" applyAlignment="1">
      <alignment horizontal="center" vertical="center"/>
    </xf>
    <xf numFmtId="0" fontId="1" fillId="4536" borderId="0" xfId="4" applyFill="1" applyAlignment="1">
      <alignment horizontal="left" vertical="center"/>
    </xf>
    <xf numFmtId="0" fontId="1" fillId="4537" borderId="0" xfId="4" applyFill="1" applyAlignment="1">
      <alignment horizontal="center" vertical="center"/>
    </xf>
    <xf numFmtId="0" fontId="1" fillId="4538" borderId="0" xfId="4" applyFill="1" applyAlignment="1">
      <alignment horizontal="center" vertical="center"/>
    </xf>
    <xf numFmtId="0" fontId="1" fillId="4539" borderId="0" xfId="4" applyFill="1" applyAlignment="1">
      <alignment horizontal="center" vertical="center"/>
    </xf>
    <xf numFmtId="0" fontId="1" fillId="4540" borderId="0" xfId="4" applyFill="1" applyAlignment="1">
      <alignment horizontal="center" vertical="center"/>
    </xf>
    <xf numFmtId="0" fontId="1" fillId="4541" borderId="0" xfId="4" applyFill="1" applyAlignment="1">
      <alignment horizontal="center" vertical="center"/>
    </xf>
    <xf numFmtId="0" fontId="1" fillId="4542" borderId="0" xfId="4" applyFill="1" applyAlignment="1">
      <alignment horizontal="center" vertical="center"/>
    </xf>
    <xf numFmtId="0" fontId="1" fillId="4543" borderId="0" xfId="4" applyFill="1" applyAlignment="1">
      <alignment horizontal="center" vertical="center"/>
    </xf>
    <xf numFmtId="0" fontId="1" fillId="4544" borderId="0" xfId="4" applyFill="1" applyAlignment="1">
      <alignment horizontal="center" vertical="center"/>
    </xf>
    <xf numFmtId="0" fontId="1" fillId="4545" borderId="0" xfId="4" applyFill="1" applyAlignment="1">
      <alignment horizontal="center" vertical="center"/>
    </xf>
    <xf numFmtId="0" fontId="1" fillId="4546" borderId="0" xfId="4" applyFill="1" applyAlignment="1">
      <alignment horizontal="center" vertical="center"/>
    </xf>
    <xf numFmtId="0" fontId="1" fillId="4547" borderId="0" xfId="4" applyFill="1" applyAlignment="1">
      <alignment horizontal="center" vertical="center"/>
    </xf>
    <xf numFmtId="0" fontId="1" fillId="4548" borderId="0" xfId="4" applyFill="1" applyAlignment="1">
      <alignment horizontal="center" vertical="center"/>
    </xf>
    <xf numFmtId="0" fontId="1" fillId="4549" borderId="0" xfId="4" applyFill="1" applyAlignment="1">
      <alignment horizontal="center" vertical="center"/>
    </xf>
    <xf numFmtId="0" fontId="1" fillId="4550" borderId="0" xfId="4" applyFill="1" applyAlignment="1">
      <alignment horizontal="center" vertical="center"/>
    </xf>
    <xf numFmtId="0" fontId="1" fillId="4551" borderId="0" xfId="4" applyFill="1" applyAlignment="1">
      <alignment horizontal="center" vertical="center"/>
    </xf>
    <xf numFmtId="0" fontId="1" fillId="4552" borderId="0" xfId="4" applyFill="1" applyAlignment="1">
      <alignment horizontal="center" vertical="center"/>
    </xf>
    <xf numFmtId="0" fontId="1" fillId="4553" borderId="0" xfId="4" applyFill="1" applyAlignment="1">
      <alignment horizontal="center" vertical="center"/>
    </xf>
    <xf numFmtId="0" fontId="1" fillId="4554" borderId="0" xfId="4" applyFill="1" applyAlignment="1">
      <alignment horizontal="center" vertical="center"/>
    </xf>
    <xf numFmtId="0" fontId="1" fillId="4555" borderId="0" xfId="4" applyFill="1" applyAlignment="1">
      <alignment horizontal="center" vertical="center"/>
    </xf>
    <xf numFmtId="0" fontId="1" fillId="4556" borderId="0" xfId="4" applyFill="1" applyAlignment="1">
      <alignment horizontal="left" vertical="center"/>
    </xf>
    <xf numFmtId="0" fontId="1" fillId="4557" borderId="0" xfId="4" applyFill="1" applyAlignment="1">
      <alignment horizontal="center" vertical="center"/>
    </xf>
    <xf numFmtId="0" fontId="1" fillId="170" borderId="0" xfId="4" applyFill="1" applyAlignment="1">
      <alignment horizontal="center" vertical="center"/>
    </xf>
    <xf numFmtId="0" fontId="1" fillId="4558" borderId="0" xfId="4" applyFill="1" applyAlignment="1">
      <alignment horizontal="center" vertical="center"/>
    </xf>
    <xf numFmtId="0" fontId="1" fillId="4559" borderId="0" xfId="4" applyFill="1" applyAlignment="1">
      <alignment horizontal="center" vertical="center"/>
    </xf>
    <xf numFmtId="0" fontId="1" fillId="4560" borderId="0" xfId="4" applyFill="1" applyAlignment="1">
      <alignment horizontal="center" vertical="center"/>
    </xf>
    <xf numFmtId="0" fontId="1" fillId="4561" borderId="0" xfId="4" applyFill="1" applyAlignment="1">
      <alignment horizontal="center" vertical="center"/>
    </xf>
    <xf numFmtId="0" fontId="1" fillId="4562" borderId="0" xfId="4" applyFill="1" applyAlignment="1">
      <alignment horizontal="center" vertical="center"/>
    </xf>
    <xf numFmtId="0" fontId="1" fillId="4563" borderId="0" xfId="4" applyFill="1" applyAlignment="1">
      <alignment horizontal="center" vertical="center"/>
    </xf>
    <xf numFmtId="0" fontId="1" fillId="4564" borderId="0" xfId="4" applyFill="1" applyAlignment="1">
      <alignment horizontal="center" vertical="center"/>
    </xf>
    <xf numFmtId="0" fontId="1" fillId="4565" borderId="0" xfId="4" applyFill="1" applyAlignment="1">
      <alignment horizontal="center" vertical="center"/>
    </xf>
    <xf numFmtId="0" fontId="1" fillId="4566" borderId="0" xfId="4" applyFill="1" applyAlignment="1">
      <alignment horizontal="center" vertical="center"/>
    </xf>
    <xf numFmtId="0" fontId="1" fillId="4567" borderId="0" xfId="4" applyFill="1" applyAlignment="1">
      <alignment horizontal="center" vertical="center"/>
    </xf>
    <xf numFmtId="0" fontId="1" fillId="4568" borderId="0" xfId="4" applyFill="1" applyAlignment="1">
      <alignment horizontal="center" vertical="center"/>
    </xf>
    <xf numFmtId="0" fontId="1" fillId="4569" borderId="0" xfId="4" applyFill="1" applyAlignment="1">
      <alignment horizontal="center" vertical="center"/>
    </xf>
    <xf numFmtId="0" fontId="1" fillId="4570" borderId="0" xfId="4" applyFill="1" applyAlignment="1">
      <alignment horizontal="center" vertical="center"/>
    </xf>
    <xf numFmtId="0" fontId="1" fillId="4571" borderId="0" xfId="4" applyFill="1" applyAlignment="1">
      <alignment horizontal="center" vertical="center"/>
    </xf>
    <xf numFmtId="0" fontId="1" fillId="4572" borderId="0" xfId="4" applyFill="1" applyAlignment="1">
      <alignment horizontal="center" vertical="center"/>
    </xf>
    <xf numFmtId="0" fontId="1" fillId="4573" borderId="0" xfId="4" applyFill="1" applyAlignment="1">
      <alignment horizontal="center" vertical="center"/>
    </xf>
    <xf numFmtId="0" fontId="1" fillId="4574" borderId="0" xfId="4" applyFill="1" applyAlignment="1">
      <alignment horizontal="center" vertical="center"/>
    </xf>
    <xf numFmtId="0" fontId="1" fillId="4575" borderId="0" xfId="4" applyFill="1" applyAlignment="1">
      <alignment horizontal="left" vertical="center"/>
    </xf>
    <xf numFmtId="0" fontId="1" fillId="4576" borderId="0" xfId="4" applyFill="1" applyAlignment="1">
      <alignment horizontal="center" vertical="center"/>
    </xf>
    <xf numFmtId="0" fontId="1" fillId="4577" borderId="0" xfId="4" applyFill="1" applyAlignment="1">
      <alignment horizontal="center" vertical="center"/>
    </xf>
    <xf numFmtId="0" fontId="1" fillId="4578" borderId="0" xfId="4" applyFill="1" applyAlignment="1">
      <alignment horizontal="left" vertical="center"/>
    </xf>
    <xf numFmtId="0" fontId="1" fillId="4579" borderId="0" xfId="4" applyFill="1" applyAlignment="1">
      <alignment horizontal="center" vertical="center"/>
    </xf>
    <xf numFmtId="0" fontId="1" fillId="4580" borderId="0" xfId="4" applyFill="1" applyAlignment="1">
      <alignment horizontal="center" vertical="center"/>
    </xf>
    <xf numFmtId="0" fontId="1" fillId="4581" borderId="0" xfId="4" applyFill="1" applyAlignment="1">
      <alignment horizontal="center" vertical="center"/>
    </xf>
    <xf numFmtId="0" fontId="1" fillId="4582" borderId="0" xfId="4" applyFill="1" applyAlignment="1">
      <alignment horizontal="center" vertical="center"/>
    </xf>
    <xf numFmtId="0" fontId="1" fillId="4583" borderId="0" xfId="4" applyFill="1" applyAlignment="1">
      <alignment horizontal="center" vertical="center"/>
    </xf>
    <xf numFmtId="0" fontId="1" fillId="4584" borderId="0" xfId="4" applyFill="1" applyAlignment="1">
      <alignment horizontal="center" vertical="center"/>
    </xf>
    <xf numFmtId="0" fontId="1" fillId="4585" borderId="0" xfId="4" applyFill="1" applyAlignment="1">
      <alignment horizontal="center" vertical="center"/>
    </xf>
    <xf numFmtId="0" fontId="1" fillId="4586" borderId="0" xfId="4" applyFill="1" applyAlignment="1">
      <alignment horizontal="center" vertical="center"/>
    </xf>
    <xf numFmtId="0" fontId="1" fillId="4587" borderId="0" xfId="4" applyFill="1" applyAlignment="1">
      <alignment horizontal="center" vertical="center"/>
    </xf>
    <xf numFmtId="0" fontId="1" fillId="4588" borderId="0" xfId="4" applyFill="1" applyAlignment="1">
      <alignment horizontal="center" vertical="center"/>
    </xf>
    <xf numFmtId="0" fontId="1" fillId="4589" borderId="0" xfId="4" applyFill="1" applyAlignment="1">
      <alignment horizontal="center" vertical="center"/>
    </xf>
    <xf numFmtId="0" fontId="1" fillId="4590" borderId="0" xfId="4" applyFill="1" applyAlignment="1">
      <alignment horizontal="center" vertical="center"/>
    </xf>
    <xf numFmtId="0" fontId="1" fillId="1022" borderId="0" xfId="4" applyFill="1" applyAlignment="1">
      <alignment horizontal="center" vertical="center"/>
    </xf>
    <xf numFmtId="0" fontId="1" fillId="642" borderId="0" xfId="4" applyFill="1" applyAlignment="1">
      <alignment horizontal="center" vertical="center"/>
    </xf>
    <xf numFmtId="0" fontId="1" fillId="4591" borderId="0" xfId="4" applyFill="1" applyAlignment="1">
      <alignment horizontal="center" vertical="center"/>
    </xf>
    <xf numFmtId="0" fontId="1" fillId="4592" borderId="0" xfId="4" applyFill="1" applyAlignment="1">
      <alignment horizontal="center" vertical="center"/>
    </xf>
    <xf numFmtId="0" fontId="1" fillId="4593" borderId="0" xfId="4" applyFill="1" applyAlignment="1">
      <alignment horizontal="center" vertical="center"/>
    </xf>
    <xf numFmtId="0" fontId="1" fillId="4594" borderId="0" xfId="4" applyFill="1" applyAlignment="1">
      <alignment horizontal="center" vertical="center"/>
    </xf>
    <xf numFmtId="0" fontId="1" fillId="4595" borderId="0" xfId="4" applyFill="1" applyAlignment="1">
      <alignment horizontal="center" vertical="center"/>
    </xf>
    <xf numFmtId="0" fontId="1" fillId="4596" borderId="0" xfId="4" applyFill="1" applyAlignment="1">
      <alignment horizontal="center" vertical="center"/>
    </xf>
    <xf numFmtId="0" fontId="1" fillId="4597" borderId="0" xfId="4" applyFill="1" applyAlignment="1">
      <alignment horizontal="center" vertical="center"/>
    </xf>
    <xf numFmtId="0" fontId="1" fillId="4598" borderId="0" xfId="4" applyFill="1" applyAlignment="1">
      <alignment horizontal="center" vertical="center"/>
    </xf>
    <xf numFmtId="0" fontId="1" fillId="1444" borderId="0" xfId="4" applyFill="1" applyAlignment="1">
      <alignment horizontal="center" vertical="center"/>
    </xf>
    <xf numFmtId="0" fontId="1" fillId="4599" borderId="0" xfId="4" applyFill="1" applyAlignment="1">
      <alignment horizontal="center" vertical="center"/>
    </xf>
    <xf numFmtId="0" fontId="1" fillId="4600" borderId="0" xfId="4" applyFill="1" applyAlignment="1">
      <alignment horizontal="center" vertical="center"/>
    </xf>
    <xf numFmtId="0" fontId="1" fillId="1369" borderId="0" xfId="4" applyFill="1" applyAlignment="1">
      <alignment horizontal="center" vertical="center"/>
    </xf>
    <xf numFmtId="0" fontId="1" fillId="1368" borderId="0" xfId="4" applyFill="1" applyAlignment="1">
      <alignment horizontal="center" vertical="center"/>
    </xf>
    <xf numFmtId="0" fontId="1" fillId="1448" borderId="0" xfId="4" applyFill="1" applyAlignment="1">
      <alignment horizontal="center" vertical="center"/>
    </xf>
    <xf numFmtId="0" fontId="1" fillId="4601" borderId="0" xfId="4" applyFill="1" applyAlignment="1">
      <alignment horizontal="center" vertical="center"/>
    </xf>
    <xf numFmtId="0" fontId="1" fillId="4602" borderId="0" xfId="4" applyFill="1" applyAlignment="1">
      <alignment horizontal="center" vertical="center"/>
    </xf>
    <xf numFmtId="0" fontId="1" fillId="4603" borderId="0" xfId="4" applyFill="1" applyAlignment="1">
      <alignment horizontal="center" vertical="center"/>
    </xf>
    <xf numFmtId="0" fontId="1" fillId="4604" borderId="0" xfId="4" applyFill="1" applyAlignment="1">
      <alignment horizontal="left" vertical="center"/>
    </xf>
    <xf numFmtId="0" fontId="1" fillId="4605" borderId="0" xfId="4" applyFill="1" applyAlignment="1">
      <alignment horizontal="center" vertical="center"/>
    </xf>
    <xf numFmtId="0" fontId="1" fillId="4606" borderId="0" xfId="4" applyFill="1" applyAlignment="1">
      <alignment horizontal="center" vertical="center"/>
    </xf>
    <xf numFmtId="0" fontId="1" fillId="4607" borderId="0" xfId="4" applyFill="1" applyAlignment="1">
      <alignment horizontal="center" vertical="center"/>
    </xf>
    <xf numFmtId="0" fontId="1" fillId="4608" borderId="0" xfId="4" applyFill="1" applyAlignment="1">
      <alignment horizontal="center" vertical="center"/>
    </xf>
    <xf numFmtId="0" fontId="1" fillId="4609" borderId="0" xfId="4" applyFill="1" applyAlignment="1">
      <alignment horizontal="center" vertical="center"/>
    </xf>
    <xf numFmtId="0" fontId="1" fillId="4610" borderId="0" xfId="4" applyFill="1" applyAlignment="1">
      <alignment horizontal="center" vertical="center"/>
    </xf>
    <xf numFmtId="0" fontId="1" fillId="4611" borderId="0" xfId="4" applyFill="1" applyAlignment="1">
      <alignment horizontal="center" vertical="center"/>
    </xf>
    <xf numFmtId="0" fontId="1" fillId="4612" borderId="0" xfId="4" applyFill="1" applyAlignment="1">
      <alignment horizontal="center" vertical="center"/>
    </xf>
    <xf numFmtId="0" fontId="1" fillId="4613" borderId="0" xfId="4" applyFill="1" applyAlignment="1">
      <alignment horizontal="center" vertical="center"/>
    </xf>
    <xf numFmtId="0" fontId="1" fillId="4614" borderId="0" xfId="4" applyFill="1" applyAlignment="1">
      <alignment horizontal="center" vertical="center"/>
    </xf>
    <xf numFmtId="0" fontId="1" fillId="4615" borderId="0" xfId="4" applyFill="1" applyAlignment="1">
      <alignment horizontal="center" vertical="center"/>
    </xf>
    <xf numFmtId="0" fontId="1" fillId="4616" borderId="0" xfId="4" applyFill="1" applyAlignment="1">
      <alignment horizontal="center" vertical="center"/>
    </xf>
    <xf numFmtId="0" fontId="1" fillId="4617" borderId="0" xfId="4" applyFill="1" applyAlignment="1">
      <alignment horizontal="center" vertical="center"/>
    </xf>
    <xf numFmtId="0" fontId="1" fillId="4618" borderId="0" xfId="4" applyFill="1" applyAlignment="1">
      <alignment horizontal="center" vertical="center"/>
    </xf>
    <xf numFmtId="0" fontId="1" fillId="4619" borderId="0" xfId="4" applyFill="1" applyAlignment="1">
      <alignment horizontal="center" vertical="center"/>
    </xf>
    <xf numFmtId="0" fontId="1" fillId="4620" borderId="0" xfId="4" applyFill="1" applyAlignment="1">
      <alignment horizontal="center" vertical="center"/>
    </xf>
    <xf numFmtId="0" fontId="1" fillId="4621" borderId="0" xfId="4" applyFill="1" applyAlignment="1">
      <alignment horizontal="center" vertical="center"/>
    </xf>
    <xf numFmtId="0" fontId="1" fillId="4622" borderId="0" xfId="4" applyFill="1" applyAlignment="1">
      <alignment horizontal="center" vertical="center"/>
    </xf>
    <xf numFmtId="0" fontId="1" fillId="4623" borderId="0" xfId="4" applyFill="1" applyAlignment="1">
      <alignment horizontal="center" vertical="center"/>
    </xf>
    <xf numFmtId="0" fontId="1" fillId="4624" borderId="0" xfId="4" applyFill="1" applyAlignment="1">
      <alignment horizontal="left" vertical="center"/>
    </xf>
    <xf numFmtId="0" fontId="1" fillId="4625" borderId="0" xfId="4" applyFill="1" applyAlignment="1">
      <alignment horizontal="center" vertical="center"/>
    </xf>
    <xf numFmtId="0" fontId="1" fillId="4626" borderId="0" xfId="4" applyFill="1" applyAlignment="1">
      <alignment horizontal="center" vertical="center"/>
    </xf>
    <xf numFmtId="0" fontId="1" fillId="4627" borderId="0" xfId="4" applyFill="1" applyAlignment="1">
      <alignment horizontal="center" vertical="center"/>
    </xf>
    <xf numFmtId="0" fontId="1" fillId="4628" borderId="0" xfId="4" applyFill="1" applyAlignment="1">
      <alignment horizontal="center" vertical="center"/>
    </xf>
    <xf numFmtId="0" fontId="1" fillId="4629" borderId="0" xfId="4" applyFill="1" applyAlignment="1">
      <alignment horizontal="center" vertical="center"/>
    </xf>
    <xf numFmtId="0" fontId="1" fillId="4630" borderId="0" xfId="4" applyFill="1" applyAlignment="1">
      <alignment horizontal="center" vertical="center"/>
    </xf>
    <xf numFmtId="0" fontId="1" fillId="4631" borderId="0" xfId="4" applyFill="1" applyAlignment="1">
      <alignment horizontal="center" vertical="center"/>
    </xf>
    <xf numFmtId="0" fontId="1" fillId="4632" borderId="0" xfId="4" applyFill="1" applyAlignment="1">
      <alignment horizontal="center" vertical="center"/>
    </xf>
    <xf numFmtId="0" fontId="1" fillId="4633" borderId="0" xfId="4" applyFill="1" applyAlignment="1">
      <alignment horizontal="center" vertical="center"/>
    </xf>
    <xf numFmtId="0" fontId="1" fillId="4634" borderId="0" xfId="4" applyFill="1" applyAlignment="1">
      <alignment horizontal="center" vertical="center"/>
    </xf>
    <xf numFmtId="0" fontId="1" fillId="4635" borderId="0" xfId="4" applyFill="1" applyAlignment="1">
      <alignment horizontal="center" vertical="center"/>
    </xf>
    <xf numFmtId="0" fontId="1" fillId="4636" borderId="0" xfId="4" applyFill="1" applyAlignment="1">
      <alignment horizontal="center" vertical="center"/>
    </xf>
    <xf numFmtId="0" fontId="1" fillId="4637" borderId="0" xfId="4" applyFill="1" applyAlignment="1">
      <alignment horizontal="center" vertical="center"/>
    </xf>
    <xf numFmtId="0" fontId="1" fillId="4638" borderId="0" xfId="4" applyFill="1" applyAlignment="1">
      <alignment horizontal="center" vertical="center"/>
    </xf>
    <xf numFmtId="0" fontId="1" fillId="4639" borderId="0" xfId="4" applyFill="1" applyAlignment="1">
      <alignment horizontal="center" vertical="center"/>
    </xf>
    <xf numFmtId="0" fontId="1" fillId="4640" borderId="0" xfId="4" applyFill="1" applyAlignment="1">
      <alignment horizontal="center" vertical="center"/>
    </xf>
    <xf numFmtId="0" fontId="1" fillId="4641" borderId="0" xfId="4" applyFill="1" applyAlignment="1">
      <alignment horizontal="center" vertical="center"/>
    </xf>
    <xf numFmtId="0" fontId="1" fillId="4642" borderId="0" xfId="4" applyFill="1" applyAlignment="1">
      <alignment horizontal="center" vertical="center"/>
    </xf>
    <xf numFmtId="0" fontId="1" fillId="4643" borderId="0" xfId="4" applyFill="1" applyAlignment="1">
      <alignment horizontal="center" vertical="center"/>
    </xf>
    <xf numFmtId="0" fontId="1" fillId="4644" borderId="0" xfId="4" applyFill="1" applyAlignment="1">
      <alignment horizontal="left" vertical="center"/>
    </xf>
    <xf numFmtId="0" fontId="1" fillId="4645" borderId="0" xfId="4" applyFill="1" applyAlignment="1">
      <alignment horizontal="center" vertical="center"/>
    </xf>
    <xf numFmtId="0" fontId="1" fillId="4646" borderId="0" xfId="4" applyFill="1" applyAlignment="1">
      <alignment horizontal="center" vertical="center"/>
    </xf>
    <xf numFmtId="0" fontId="1" fillId="4647" borderId="0" xfId="4" applyFill="1" applyAlignment="1">
      <alignment horizontal="left" vertical="center"/>
    </xf>
    <xf numFmtId="0" fontId="1" fillId="4648" borderId="0" xfId="4" applyFill="1" applyAlignment="1">
      <alignment horizontal="center" vertical="center"/>
    </xf>
    <xf numFmtId="0" fontId="1" fillId="4649" borderId="0" xfId="4" applyFill="1" applyAlignment="1">
      <alignment horizontal="center" vertical="center"/>
    </xf>
    <xf numFmtId="0" fontId="1" fillId="4650" borderId="0" xfId="4" applyFill="1" applyAlignment="1">
      <alignment horizontal="center" vertical="center"/>
    </xf>
    <xf numFmtId="0" fontId="1" fillId="4651" borderId="0" xfId="4" applyFill="1" applyAlignment="1">
      <alignment horizontal="center" vertical="center"/>
    </xf>
    <xf numFmtId="0" fontId="1" fillId="4652" borderId="0" xfId="4" applyFill="1" applyAlignment="1">
      <alignment horizontal="center" vertical="center"/>
    </xf>
    <xf numFmtId="0" fontId="1" fillId="4653" borderId="0" xfId="4" applyFill="1" applyAlignment="1">
      <alignment horizontal="center" vertical="center"/>
    </xf>
    <xf numFmtId="0" fontId="1" fillId="4654" borderId="0" xfId="4" applyFill="1" applyAlignment="1">
      <alignment horizontal="center" vertical="center"/>
    </xf>
    <xf numFmtId="0" fontId="1" fillId="4655" borderId="0" xfId="4" applyFill="1" applyAlignment="1">
      <alignment horizontal="center" vertical="center"/>
    </xf>
    <xf numFmtId="0" fontId="1" fillId="4656" borderId="0" xfId="4" applyFill="1" applyAlignment="1">
      <alignment horizontal="center" vertical="center"/>
    </xf>
    <xf numFmtId="0" fontId="1" fillId="4657" borderId="0" xfId="4" applyFill="1" applyAlignment="1">
      <alignment horizontal="center" vertical="center"/>
    </xf>
    <xf numFmtId="0" fontId="1" fillId="688" borderId="0" xfId="4" applyFill="1" applyAlignment="1">
      <alignment horizontal="center" vertical="center"/>
    </xf>
    <xf numFmtId="0" fontId="1" fillId="956" borderId="0" xfId="4" applyFill="1" applyAlignment="1">
      <alignment horizontal="center" vertical="center"/>
    </xf>
    <xf numFmtId="0" fontId="1" fillId="4658" borderId="0" xfId="4" applyFill="1" applyAlignment="1">
      <alignment horizontal="center" vertical="center"/>
    </xf>
    <xf numFmtId="0" fontId="1" fillId="752" borderId="0" xfId="4" applyFill="1" applyAlignment="1">
      <alignment horizontal="center" vertical="center"/>
    </xf>
    <xf numFmtId="0" fontId="1" fillId="4659" borderId="0" xfId="4" applyFill="1" applyAlignment="1">
      <alignment horizontal="center" vertical="center"/>
    </xf>
    <xf numFmtId="0" fontId="1" fillId="4660" borderId="0" xfId="4" applyFill="1" applyAlignment="1">
      <alignment horizontal="center" vertical="center"/>
    </xf>
    <xf numFmtId="0" fontId="1" fillId="4661" borderId="0" xfId="4" applyFill="1" applyAlignment="1">
      <alignment horizontal="center" vertical="center"/>
    </xf>
    <xf numFmtId="0" fontId="1" fillId="4662" borderId="0" xfId="4" applyFill="1" applyAlignment="1">
      <alignment horizontal="center" vertical="center"/>
    </xf>
    <xf numFmtId="0" fontId="1" fillId="4663" borderId="0" xfId="4" applyFill="1" applyAlignment="1">
      <alignment horizontal="center" vertical="center"/>
    </xf>
    <xf numFmtId="0" fontId="1" fillId="4664" borderId="0" xfId="4" applyFill="1" applyAlignment="1">
      <alignment horizontal="center" vertical="center"/>
    </xf>
    <xf numFmtId="0" fontId="1" fillId="4665" borderId="0" xfId="4" applyFill="1" applyAlignment="1">
      <alignment horizontal="center" vertical="center"/>
    </xf>
    <xf numFmtId="0" fontId="1" fillId="4666" borderId="0" xfId="4" applyFill="1" applyAlignment="1">
      <alignment horizontal="center" vertical="center"/>
    </xf>
    <xf numFmtId="0" fontId="1" fillId="4667" borderId="0" xfId="4" applyFill="1" applyAlignment="1">
      <alignment horizontal="center" vertical="center"/>
    </xf>
    <xf numFmtId="0" fontId="1" fillId="1365" borderId="0" xfId="4" applyFill="1" applyAlignment="1">
      <alignment horizontal="center" vertical="center"/>
    </xf>
    <xf numFmtId="0" fontId="1" fillId="1370" borderId="0" xfId="4" applyFill="1" applyAlignment="1">
      <alignment horizontal="center" vertical="center"/>
    </xf>
    <xf numFmtId="0" fontId="1" fillId="1366" borderId="0" xfId="4" applyFill="1" applyAlignment="1">
      <alignment horizontal="center" vertical="center"/>
    </xf>
    <xf numFmtId="0" fontId="1" fillId="1449" borderId="0" xfId="4" applyFill="1" applyAlignment="1">
      <alignment horizontal="center" vertical="center"/>
    </xf>
    <xf numFmtId="0" fontId="1" fillId="4668" borderId="0" xfId="4" applyFill="1" applyAlignment="1">
      <alignment horizontal="center" vertical="center"/>
    </xf>
    <xf numFmtId="0" fontId="1" fillId="4669" borderId="0" xfId="4" applyFill="1" applyAlignment="1">
      <alignment horizontal="center" vertical="center"/>
    </xf>
    <xf numFmtId="0" fontId="1" fillId="4670" borderId="0" xfId="4" applyFill="1" applyAlignment="1">
      <alignment horizontal="left" vertical="center"/>
    </xf>
    <xf numFmtId="0" fontId="1" fillId="4671" borderId="0" xfId="4" applyFill="1" applyAlignment="1">
      <alignment horizontal="center" vertical="center"/>
    </xf>
    <xf numFmtId="0" fontId="1" fillId="4672" borderId="0" xfId="4" applyFill="1" applyAlignment="1">
      <alignment horizontal="center" vertical="center"/>
    </xf>
    <xf numFmtId="0" fontId="1" fillId="4673" borderId="0" xfId="4" applyFill="1" applyAlignment="1">
      <alignment horizontal="center" vertical="center"/>
    </xf>
    <xf numFmtId="0" fontId="1" fillId="3682" borderId="0" xfId="4" applyFill="1" applyAlignment="1">
      <alignment horizontal="center" vertical="center"/>
    </xf>
    <xf numFmtId="0" fontId="1" fillId="4674" borderId="0" xfId="4" applyFill="1" applyAlignment="1">
      <alignment horizontal="center" vertical="center"/>
    </xf>
    <xf numFmtId="0" fontId="1" fillId="4675" borderId="0" xfId="4" applyFill="1" applyAlignment="1">
      <alignment horizontal="center" vertical="center"/>
    </xf>
    <xf numFmtId="0" fontId="1" fillId="4676" borderId="0" xfId="4" applyFill="1" applyAlignment="1">
      <alignment horizontal="center" vertical="center"/>
    </xf>
    <xf numFmtId="0" fontId="1" fillId="4677" borderId="0" xfId="4" applyFill="1" applyAlignment="1">
      <alignment horizontal="center" vertical="center"/>
    </xf>
    <xf numFmtId="0" fontId="1" fillId="4678" borderId="0" xfId="4" applyFill="1" applyAlignment="1">
      <alignment horizontal="center" vertical="center"/>
    </xf>
    <xf numFmtId="0" fontId="1" fillId="4679" borderId="0" xfId="4" applyFill="1" applyAlignment="1">
      <alignment horizontal="center" vertical="center"/>
    </xf>
    <xf numFmtId="0" fontId="1" fillId="4680" borderId="0" xfId="4" applyFill="1" applyAlignment="1">
      <alignment horizontal="center" vertical="center"/>
    </xf>
    <xf numFmtId="0" fontId="1" fillId="4681" borderId="0" xfId="4" applyFill="1" applyAlignment="1">
      <alignment horizontal="center" vertical="center"/>
    </xf>
    <xf numFmtId="0" fontId="1" fillId="4682" borderId="0" xfId="4" applyFill="1" applyAlignment="1">
      <alignment horizontal="center" vertical="center"/>
    </xf>
    <xf numFmtId="0" fontId="1" fillId="4683" borderId="0" xfId="4" applyFill="1" applyAlignment="1">
      <alignment horizontal="center" vertical="center"/>
    </xf>
    <xf numFmtId="0" fontId="1" fillId="4684" borderId="0" xfId="4" applyFill="1" applyAlignment="1">
      <alignment horizontal="center" vertical="center"/>
    </xf>
    <xf numFmtId="0" fontId="1" fillId="4685" borderId="0" xfId="4" applyFill="1" applyAlignment="1">
      <alignment horizontal="center" vertical="center"/>
    </xf>
    <xf numFmtId="0" fontId="1" fillId="4686" borderId="0" xfId="4" applyFill="1" applyAlignment="1">
      <alignment horizontal="center" vertical="center"/>
    </xf>
    <xf numFmtId="0" fontId="1" fillId="3598" borderId="0" xfId="4" applyFill="1" applyAlignment="1">
      <alignment horizontal="center" vertical="center"/>
    </xf>
    <xf numFmtId="0" fontId="1" fillId="2675" borderId="0" xfId="4" applyFill="1" applyAlignment="1">
      <alignment horizontal="center" vertical="center"/>
    </xf>
    <xf numFmtId="0" fontId="1" fillId="4687" borderId="0" xfId="4" applyFill="1" applyAlignment="1">
      <alignment horizontal="center" vertical="center"/>
    </xf>
    <xf numFmtId="0" fontId="1" fillId="4688" borderId="0" xfId="4" applyFill="1" applyAlignment="1">
      <alignment horizontal="center" vertical="center"/>
    </xf>
    <xf numFmtId="0" fontId="1" fillId="4689" borderId="0" xfId="4" applyFill="1" applyAlignment="1">
      <alignment horizontal="center" vertical="center"/>
    </xf>
    <xf numFmtId="0" fontId="1" fillId="4690" borderId="0" xfId="4" applyFill="1" applyAlignment="1">
      <alignment horizontal="left" vertical="center"/>
    </xf>
    <xf numFmtId="0" fontId="1" fillId="4691" borderId="0" xfId="4" applyFill="1" applyAlignment="1">
      <alignment horizontal="center" vertical="center"/>
    </xf>
    <xf numFmtId="0" fontId="1" fillId="4692" borderId="0" xfId="4" applyFill="1" applyAlignment="1">
      <alignment horizontal="center" vertical="center"/>
    </xf>
    <xf numFmtId="0" fontId="1" fillId="4693" borderId="0" xfId="4" applyFill="1" applyAlignment="1">
      <alignment horizontal="center" vertical="center"/>
    </xf>
    <xf numFmtId="0" fontId="1" fillId="4694" borderId="0" xfId="4" applyFill="1" applyAlignment="1">
      <alignment horizontal="center" vertical="center"/>
    </xf>
    <xf numFmtId="0" fontId="1" fillId="4695" borderId="0" xfId="4" applyFill="1" applyAlignment="1">
      <alignment horizontal="center" vertical="center"/>
    </xf>
    <xf numFmtId="0" fontId="1" fillId="4696" borderId="0" xfId="4" applyFill="1" applyAlignment="1">
      <alignment horizontal="center" vertical="center"/>
    </xf>
    <xf numFmtId="0" fontId="1" fillId="4697" borderId="0" xfId="4" applyFill="1" applyAlignment="1">
      <alignment horizontal="center" vertical="center"/>
    </xf>
    <xf numFmtId="0" fontId="1" fillId="4698" borderId="0" xfId="4" applyFill="1" applyAlignment="1">
      <alignment horizontal="center" vertical="center"/>
    </xf>
    <xf numFmtId="0" fontId="1" fillId="4699" borderId="0" xfId="4" applyFill="1" applyAlignment="1">
      <alignment horizontal="center" vertical="center"/>
    </xf>
    <xf numFmtId="0" fontId="1" fillId="4700" borderId="0" xfId="4" applyFill="1" applyAlignment="1">
      <alignment horizontal="center" vertical="center"/>
    </xf>
    <xf numFmtId="0" fontId="1" fillId="4701" borderId="0" xfId="4" applyFill="1" applyAlignment="1">
      <alignment horizontal="center" vertical="center"/>
    </xf>
    <xf numFmtId="0" fontId="1" fillId="4702" borderId="0" xfId="4" applyFill="1" applyAlignment="1">
      <alignment horizontal="center" vertical="center"/>
    </xf>
    <xf numFmtId="0" fontId="1" fillId="4703" borderId="0" xfId="4" applyFill="1" applyAlignment="1">
      <alignment horizontal="center" vertical="center"/>
    </xf>
    <xf numFmtId="0" fontId="1" fillId="4704" borderId="0" xfId="4" applyFill="1" applyAlignment="1">
      <alignment horizontal="center" vertical="center"/>
    </xf>
    <xf numFmtId="0" fontId="1" fillId="4705" borderId="0" xfId="4" applyFill="1" applyAlignment="1">
      <alignment horizontal="center" vertical="center"/>
    </xf>
    <xf numFmtId="0" fontId="1" fillId="4706" borderId="0" xfId="4" applyFill="1" applyAlignment="1">
      <alignment horizontal="center" vertical="center"/>
    </xf>
    <xf numFmtId="0" fontId="1" fillId="4707" borderId="0" xfId="4" applyFill="1" applyAlignment="1">
      <alignment horizontal="center" vertical="center"/>
    </xf>
    <xf numFmtId="0" fontId="1" fillId="4708" borderId="0" xfId="4" applyFill="1" applyAlignment="1">
      <alignment horizontal="center" vertical="center"/>
    </xf>
    <xf numFmtId="0" fontId="1" fillId="4709" borderId="0" xfId="4" applyFill="1" applyAlignment="1">
      <alignment horizontal="center" vertical="center"/>
    </xf>
    <xf numFmtId="0" fontId="1" fillId="4710" borderId="0" xfId="4" applyFill="1" applyAlignment="1">
      <alignment horizontal="center" vertical="center"/>
    </xf>
    <xf numFmtId="0" fontId="1" fillId="4711" borderId="0" xfId="4" applyFill="1" applyAlignment="1">
      <alignment horizontal="left" vertical="center"/>
    </xf>
    <xf numFmtId="0" fontId="1" fillId="4712" borderId="0" xfId="4" applyFill="1" applyAlignment="1">
      <alignment horizontal="center" vertical="center"/>
    </xf>
    <xf numFmtId="0" fontId="1" fillId="4713" borderId="0" xfId="4" applyFill="1" applyAlignment="1">
      <alignment horizontal="center" vertical="center"/>
    </xf>
    <xf numFmtId="0" fontId="1" fillId="4714" borderId="0" xfId="4" applyFill="1" applyAlignment="1">
      <alignment horizontal="left" vertical="center"/>
    </xf>
    <xf numFmtId="0" fontId="1" fillId="4715" borderId="0" xfId="4" applyFill="1" applyAlignment="1">
      <alignment horizontal="center" vertical="center"/>
    </xf>
    <xf numFmtId="0" fontId="1" fillId="4716" borderId="0" xfId="4" applyFill="1" applyAlignment="1">
      <alignment horizontal="center" vertical="center"/>
    </xf>
    <xf numFmtId="0" fontId="1" fillId="4717" borderId="0" xfId="4" applyFill="1" applyAlignment="1">
      <alignment horizontal="center" vertical="center"/>
    </xf>
    <xf numFmtId="0" fontId="1" fillId="4718" borderId="0" xfId="4" applyFill="1" applyAlignment="1">
      <alignment horizontal="center" vertical="center"/>
    </xf>
    <xf numFmtId="0" fontId="1" fillId="4719" borderId="0" xfId="4" applyFill="1" applyAlignment="1">
      <alignment horizontal="center" vertical="center"/>
    </xf>
    <xf numFmtId="0" fontId="1" fillId="4720" borderId="0" xfId="4" applyFill="1" applyAlignment="1">
      <alignment horizontal="center" vertical="center"/>
    </xf>
    <xf numFmtId="0" fontId="1" fillId="4721" borderId="0" xfId="4" applyFill="1" applyAlignment="1">
      <alignment horizontal="center" vertical="center"/>
    </xf>
    <xf numFmtId="0" fontId="1" fillId="4722" borderId="0" xfId="4" applyFill="1" applyAlignment="1">
      <alignment horizontal="center" vertical="center"/>
    </xf>
    <xf numFmtId="0" fontId="1" fillId="892" borderId="0" xfId="4" applyFill="1" applyAlignment="1">
      <alignment horizontal="center" vertical="center"/>
    </xf>
    <xf numFmtId="0" fontId="1" fillId="4723" borderId="0" xfId="4" applyFill="1" applyAlignment="1">
      <alignment horizontal="center" vertical="center"/>
    </xf>
    <xf numFmtId="0" fontId="1" fillId="890" borderId="0" xfId="4" applyFill="1" applyAlignment="1">
      <alignment horizontal="center" vertical="center"/>
    </xf>
    <xf numFmtId="0" fontId="1" fillId="4724" borderId="0" xfId="4" applyFill="1" applyAlignment="1">
      <alignment horizontal="center" vertical="center"/>
    </xf>
    <xf numFmtId="0" fontId="1" fillId="4725" borderId="0" xfId="4" applyFill="1" applyAlignment="1">
      <alignment horizontal="center" vertical="center"/>
    </xf>
    <xf numFmtId="0" fontId="1" fillId="4726" borderId="0" xfId="4" applyFill="1" applyAlignment="1">
      <alignment horizontal="center" vertical="center"/>
    </xf>
    <xf numFmtId="0" fontId="1" fillId="4727" borderId="0" xfId="4" applyFill="1" applyAlignment="1">
      <alignment horizontal="center" vertical="center"/>
    </xf>
    <xf numFmtId="0" fontId="1" fillId="4728" borderId="0" xfId="4" applyFill="1" applyAlignment="1">
      <alignment horizontal="center" vertical="center"/>
    </xf>
    <xf numFmtId="0" fontId="1" fillId="4729" borderId="0" xfId="4" applyFill="1" applyAlignment="1">
      <alignment horizontal="center" vertical="center"/>
    </xf>
    <xf numFmtId="0" fontId="1" fillId="4730" borderId="0" xfId="4" applyFill="1" applyAlignment="1">
      <alignment horizontal="center" vertical="center"/>
    </xf>
    <xf numFmtId="0" fontId="1" fillId="4731" borderId="0" xfId="4" applyFill="1" applyAlignment="1">
      <alignment horizontal="center" vertical="center"/>
    </xf>
    <xf numFmtId="0" fontId="1" fillId="4732" borderId="0" xfId="4" applyFill="1" applyAlignment="1">
      <alignment horizontal="center" vertical="center"/>
    </xf>
    <xf numFmtId="0" fontId="1" fillId="4733" borderId="0" xfId="4" applyFill="1" applyAlignment="1">
      <alignment horizontal="center" vertical="center"/>
    </xf>
    <xf numFmtId="0" fontId="1" fillId="4734" borderId="0" xfId="4" applyFill="1" applyAlignment="1">
      <alignment horizontal="center" vertical="center"/>
    </xf>
    <xf numFmtId="0" fontId="1" fillId="4735" borderId="0" xfId="4" applyFill="1" applyAlignment="1">
      <alignment horizontal="center" vertical="center"/>
    </xf>
    <xf numFmtId="0" fontId="1" fillId="4736" borderId="0" xfId="4" applyFill="1" applyAlignment="1">
      <alignment horizontal="center" vertical="center"/>
    </xf>
    <xf numFmtId="0" fontId="1" fillId="4737" borderId="0" xfId="4" applyFill="1" applyAlignment="1">
      <alignment horizontal="center" vertical="center"/>
    </xf>
    <xf numFmtId="0" fontId="1" fillId="4738" borderId="0" xfId="4" applyFill="1" applyAlignment="1">
      <alignment horizontal="center" vertical="center"/>
    </xf>
    <xf numFmtId="0" fontId="1" fillId="4739" borderId="0" xfId="4" applyFill="1" applyAlignment="1">
      <alignment horizontal="center" vertical="center"/>
    </xf>
    <xf numFmtId="0" fontId="1" fillId="4740" borderId="0" xfId="4" applyFill="1" applyAlignment="1">
      <alignment horizontal="center" vertical="center"/>
    </xf>
    <xf numFmtId="0" fontId="1" fillId="4741" borderId="0" xfId="4" applyFill="1" applyAlignment="1">
      <alignment horizontal="center" vertical="center"/>
    </xf>
    <xf numFmtId="0" fontId="1" fillId="4742" borderId="0" xfId="4" applyFill="1" applyAlignment="1">
      <alignment horizontal="center" vertical="center"/>
    </xf>
    <xf numFmtId="0" fontId="1" fillId="4743" borderId="0" xfId="4" applyFill="1" applyAlignment="1">
      <alignment horizontal="center" vertical="center"/>
    </xf>
    <xf numFmtId="0" fontId="1" fillId="4744" borderId="0" xfId="4" applyFill="1" applyAlignment="1">
      <alignment horizontal="left" vertical="center"/>
    </xf>
    <xf numFmtId="0" fontId="1" fillId="4745" borderId="0" xfId="4" applyFill="1" applyAlignment="1">
      <alignment horizontal="center" vertical="center"/>
    </xf>
    <xf numFmtId="0" fontId="1" fillId="3548" borderId="0" xfId="4" applyFill="1" applyAlignment="1">
      <alignment horizontal="center" vertical="center"/>
    </xf>
    <xf numFmtId="0" fontId="1" fillId="2789" borderId="0" xfId="4" applyFill="1" applyAlignment="1">
      <alignment horizontal="center" vertical="center"/>
    </xf>
    <xf numFmtId="0" fontId="1" fillId="4746" borderId="0" xfId="4" applyFill="1" applyAlignment="1">
      <alignment horizontal="center" vertical="center"/>
    </xf>
    <xf numFmtId="0" fontId="1" fillId="4747" borderId="0" xfId="4" applyFill="1" applyAlignment="1">
      <alignment horizontal="center" vertical="center"/>
    </xf>
    <xf numFmtId="0" fontId="1" fillId="4748" borderId="0" xfId="4" applyFill="1" applyAlignment="1">
      <alignment horizontal="center" vertical="center"/>
    </xf>
    <xf numFmtId="0" fontId="1" fillId="4749" borderId="0" xfId="4" applyFill="1" applyAlignment="1">
      <alignment horizontal="center" vertical="center"/>
    </xf>
    <xf numFmtId="0" fontId="1" fillId="4750" borderId="0" xfId="4" applyFill="1" applyAlignment="1">
      <alignment horizontal="center" vertical="center"/>
    </xf>
    <xf numFmtId="0" fontId="1" fillId="4751" borderId="0" xfId="4" applyFill="1" applyAlignment="1">
      <alignment horizontal="center" vertical="center"/>
    </xf>
    <xf numFmtId="0" fontId="1" fillId="4752" borderId="0" xfId="4" applyFill="1" applyAlignment="1">
      <alignment horizontal="center" vertical="center"/>
    </xf>
    <xf numFmtId="0" fontId="1" fillId="4753" borderId="0" xfId="4" applyFill="1" applyAlignment="1">
      <alignment horizontal="center" vertical="center"/>
    </xf>
    <xf numFmtId="0" fontId="1" fillId="4754" borderId="0" xfId="4" applyFill="1" applyAlignment="1">
      <alignment horizontal="center" vertical="center"/>
    </xf>
    <xf numFmtId="0" fontId="1" fillId="4755" borderId="0" xfId="4" applyFill="1" applyAlignment="1">
      <alignment horizontal="center" vertical="center"/>
    </xf>
    <xf numFmtId="0" fontId="1" fillId="4756" borderId="0" xfId="4" applyFill="1" applyAlignment="1">
      <alignment horizontal="center" vertical="center"/>
    </xf>
    <xf numFmtId="0" fontId="1" fillId="2788" borderId="0" xfId="4" applyFill="1" applyAlignment="1">
      <alignment horizontal="center" vertical="center"/>
    </xf>
    <xf numFmtId="0" fontId="1" fillId="4757" borderId="0" xfId="4" applyFill="1" applyAlignment="1">
      <alignment horizontal="center" vertical="center"/>
    </xf>
    <xf numFmtId="0" fontId="1" fillId="4758" borderId="0" xfId="4" applyFill="1" applyAlignment="1">
      <alignment horizontal="center" vertical="center"/>
    </xf>
    <xf numFmtId="0" fontId="1" fillId="4759" borderId="0" xfId="4" applyFill="1" applyAlignment="1">
      <alignment horizontal="center" vertical="center"/>
    </xf>
    <xf numFmtId="0" fontId="1" fillId="4760" borderId="0" xfId="4" applyFill="1" applyAlignment="1">
      <alignment horizontal="center" vertical="center"/>
    </xf>
    <xf numFmtId="0" fontId="1" fillId="4761" borderId="0" xfId="4" applyFill="1" applyAlignment="1">
      <alignment horizontal="left" vertical="center"/>
    </xf>
    <xf numFmtId="0" fontId="1" fillId="4762" borderId="0" xfId="4" applyFill="1" applyAlignment="1">
      <alignment horizontal="center" vertical="center"/>
    </xf>
    <xf numFmtId="0" fontId="1" fillId="4763" borderId="0" xfId="4" applyFill="1" applyAlignment="1">
      <alignment horizontal="center" vertical="center"/>
    </xf>
    <xf numFmtId="0" fontId="1" fillId="4764" borderId="0" xfId="4" applyFill="1" applyAlignment="1">
      <alignment horizontal="center" vertical="center"/>
    </xf>
    <xf numFmtId="0" fontId="1" fillId="4765" borderId="0" xfId="4" applyFill="1" applyAlignment="1">
      <alignment horizontal="center" vertical="center"/>
    </xf>
    <xf numFmtId="0" fontId="1" fillId="4766" borderId="0" xfId="4" applyFill="1" applyAlignment="1">
      <alignment horizontal="center" vertical="center"/>
    </xf>
    <xf numFmtId="0" fontId="1" fillId="4767" borderId="0" xfId="4" applyFill="1" applyAlignment="1">
      <alignment horizontal="center" vertical="center"/>
    </xf>
    <xf numFmtId="0" fontId="1" fillId="4768" borderId="0" xfId="4" applyFill="1" applyAlignment="1">
      <alignment horizontal="center" vertical="center"/>
    </xf>
    <xf numFmtId="0" fontId="1" fillId="4769" borderId="0" xfId="4" applyFill="1" applyAlignment="1">
      <alignment horizontal="center" vertical="center"/>
    </xf>
    <xf numFmtId="0" fontId="1" fillId="4770" borderId="0" xfId="4" applyFill="1" applyAlignment="1">
      <alignment horizontal="center" vertical="center"/>
    </xf>
    <xf numFmtId="0" fontId="1" fillId="4771" borderId="0" xfId="4" applyFill="1" applyAlignment="1">
      <alignment horizontal="center" vertical="center"/>
    </xf>
    <xf numFmtId="0" fontId="1" fillId="4772" borderId="0" xfId="4" applyFill="1" applyAlignment="1">
      <alignment horizontal="center" vertical="center"/>
    </xf>
    <xf numFmtId="0" fontId="1" fillId="4773" borderId="0" xfId="4" applyFill="1" applyAlignment="1">
      <alignment horizontal="center" vertical="center"/>
    </xf>
    <xf numFmtId="0" fontId="1" fillId="4774" borderId="0" xfId="4" applyFill="1" applyAlignment="1">
      <alignment horizontal="center" vertical="center"/>
    </xf>
    <xf numFmtId="0" fontId="1" fillId="4775" borderId="0" xfId="4" applyFill="1" applyAlignment="1">
      <alignment horizontal="center" vertical="center"/>
    </xf>
    <xf numFmtId="0" fontId="1" fillId="4776" borderId="0" xfId="4" applyFill="1" applyAlignment="1">
      <alignment horizontal="center" vertical="center"/>
    </xf>
    <xf numFmtId="0" fontId="1" fillId="4777" borderId="0" xfId="4" applyFill="1" applyAlignment="1">
      <alignment horizontal="center" vertical="center"/>
    </xf>
    <xf numFmtId="0" fontId="1" fillId="4778" borderId="0" xfId="4" applyFill="1" applyAlignment="1">
      <alignment horizontal="center" vertical="center"/>
    </xf>
    <xf numFmtId="0" fontId="1" fillId="4779" borderId="0" xfId="4" applyFill="1" applyAlignment="1">
      <alignment horizontal="center" vertical="center"/>
    </xf>
    <xf numFmtId="0" fontId="1" fillId="4780" borderId="0" xfId="4" applyFill="1" applyAlignment="1">
      <alignment horizontal="center" vertical="center"/>
    </xf>
    <xf numFmtId="0" fontId="1" fillId="4781" borderId="0" xfId="4" applyFill="1" applyAlignment="1">
      <alignment horizontal="center" vertical="center"/>
    </xf>
    <xf numFmtId="0" fontId="1" fillId="4782" borderId="0" xfId="4" applyFill="1" applyAlignment="1">
      <alignment horizontal="left" vertical="center"/>
    </xf>
    <xf numFmtId="0" fontId="1" fillId="4783" borderId="0" xfId="4" applyFill="1" applyAlignment="1">
      <alignment horizontal="center" vertical="center"/>
    </xf>
    <xf numFmtId="0" fontId="1" fillId="4711" borderId="0" xfId="4" applyFill="1" applyAlignment="1">
      <alignment horizontal="center" vertical="center"/>
    </xf>
    <xf numFmtId="0" fontId="1" fillId="4784" borderId="0" xfId="4" applyFill="1" applyAlignment="1">
      <alignment horizontal="left" vertical="center"/>
    </xf>
    <xf numFmtId="0" fontId="1" fillId="4785" borderId="0" xfId="4" applyFill="1" applyAlignment="1">
      <alignment horizontal="center" vertical="center"/>
    </xf>
    <xf numFmtId="0" fontId="1" fillId="4786" borderId="0" xfId="4" applyFill="1" applyAlignment="1">
      <alignment horizontal="center" vertical="center"/>
    </xf>
    <xf numFmtId="0" fontId="1" fillId="4787" borderId="0" xfId="4" applyFill="1" applyAlignment="1">
      <alignment horizontal="center" vertical="center"/>
    </xf>
    <xf numFmtId="0" fontId="1" fillId="4788" borderId="0" xfId="4" applyFill="1" applyAlignment="1">
      <alignment horizontal="center" vertical="center"/>
    </xf>
    <xf numFmtId="0" fontId="1" fillId="4789" borderId="0" xfId="4" applyFill="1" applyAlignment="1">
      <alignment horizontal="center" vertical="center"/>
    </xf>
    <xf numFmtId="0" fontId="1" fillId="4790" borderId="0" xfId="4" applyFill="1" applyAlignment="1">
      <alignment horizontal="center" vertical="center"/>
    </xf>
    <xf numFmtId="0" fontId="1" fillId="4791" borderId="0" xfId="4" applyFill="1" applyAlignment="1">
      <alignment horizontal="center" vertical="center"/>
    </xf>
    <xf numFmtId="0" fontId="1" fillId="4792" borderId="0" xfId="4" applyFill="1" applyAlignment="1">
      <alignment horizontal="center" vertical="center"/>
    </xf>
    <xf numFmtId="0" fontId="1" fillId="4793" borderId="0" xfId="4" applyFill="1" applyAlignment="1">
      <alignment horizontal="center" vertical="center"/>
    </xf>
    <xf numFmtId="0" fontId="1" fillId="4794" borderId="0" xfId="4" applyFill="1" applyAlignment="1">
      <alignment horizontal="center" vertical="center"/>
    </xf>
    <xf numFmtId="0" fontId="1" fillId="4795" borderId="0" xfId="4" applyFill="1" applyAlignment="1">
      <alignment horizontal="center" vertical="center"/>
    </xf>
    <xf numFmtId="0" fontId="1" fillId="506" borderId="0" xfId="4" applyFill="1" applyAlignment="1">
      <alignment horizontal="center" vertical="center"/>
    </xf>
    <xf numFmtId="0" fontId="1" fillId="4796" borderId="0" xfId="4" applyFill="1" applyAlignment="1">
      <alignment horizontal="center" vertical="center"/>
    </xf>
    <xf numFmtId="0" fontId="1" fillId="612" borderId="0" xfId="4" applyFill="1" applyAlignment="1">
      <alignment horizontal="center" vertical="center"/>
    </xf>
    <xf numFmtId="0" fontId="1" fillId="790" borderId="0" xfId="4" applyFill="1" applyAlignment="1">
      <alignment horizontal="center" vertical="center"/>
    </xf>
    <xf numFmtId="0" fontId="1" fillId="4797" borderId="0" xfId="4" applyFill="1" applyAlignment="1">
      <alignment horizontal="center" vertical="center"/>
    </xf>
    <xf numFmtId="0" fontId="1" fillId="4798" borderId="0" xfId="4" applyFill="1" applyAlignment="1">
      <alignment horizontal="center" vertical="center"/>
    </xf>
    <xf numFmtId="0" fontId="1" fillId="4799" borderId="0" xfId="4" applyFill="1" applyAlignment="1">
      <alignment horizontal="center" vertical="center"/>
    </xf>
    <xf numFmtId="0" fontId="1" fillId="4800" borderId="0" xfId="4" applyFill="1" applyAlignment="1">
      <alignment horizontal="center" vertical="center"/>
    </xf>
    <xf numFmtId="0" fontId="1" fillId="4801" borderId="0" xfId="4" applyFill="1" applyAlignment="1">
      <alignment horizontal="center" vertical="center"/>
    </xf>
    <xf numFmtId="0" fontId="1" fillId="4802" borderId="0" xfId="4" applyFill="1" applyAlignment="1">
      <alignment horizontal="center" vertical="center"/>
    </xf>
    <xf numFmtId="0" fontId="1" fillId="4803" borderId="0" xfId="4" applyFill="1" applyAlignment="1">
      <alignment horizontal="center" vertical="center"/>
    </xf>
    <xf numFmtId="0" fontId="1" fillId="4804" borderId="0" xfId="4" applyFill="1" applyAlignment="1">
      <alignment horizontal="center" vertical="center"/>
    </xf>
    <xf numFmtId="0" fontId="1" fillId="4805" borderId="0" xfId="4" applyFill="1" applyAlignment="1">
      <alignment horizontal="center" vertical="center"/>
    </xf>
    <xf numFmtId="0" fontId="1" fillId="4806" borderId="0" xfId="4" applyFill="1" applyAlignment="1">
      <alignment horizontal="center" vertical="center"/>
    </xf>
    <xf numFmtId="0" fontId="1" fillId="4807" borderId="0" xfId="4" applyFill="1" applyAlignment="1">
      <alignment horizontal="center" vertical="center"/>
    </xf>
    <xf numFmtId="0" fontId="1" fillId="4808" borderId="0" xfId="4" applyFill="1" applyAlignment="1">
      <alignment horizontal="center" vertical="center"/>
    </xf>
    <xf numFmtId="0" fontId="1" fillId="4809" borderId="0" xfId="4" applyFill="1" applyAlignment="1">
      <alignment horizontal="center" vertical="center"/>
    </xf>
    <xf numFmtId="0" fontId="1" fillId="4810" borderId="0" xfId="4" applyFill="1" applyAlignment="1">
      <alignment horizontal="left" vertical="center"/>
    </xf>
    <xf numFmtId="0" fontId="1" fillId="4811" borderId="0" xfId="4" applyFill="1" applyAlignment="1">
      <alignment horizontal="center" vertical="center"/>
    </xf>
    <xf numFmtId="0" fontId="1" fillId="4812" borderId="0" xfId="4" applyFill="1" applyAlignment="1">
      <alignment horizontal="center" vertical="center"/>
    </xf>
    <xf numFmtId="0" fontId="1" fillId="4813" borderId="0" xfId="4" applyFill="1" applyAlignment="1">
      <alignment horizontal="center" vertical="center"/>
    </xf>
    <xf numFmtId="0" fontId="1" fillId="4814" borderId="0" xfId="4" applyFill="1" applyAlignment="1">
      <alignment horizontal="center" vertical="center"/>
    </xf>
    <xf numFmtId="0" fontId="1" fillId="4815" borderId="0" xfId="4" applyFill="1" applyAlignment="1">
      <alignment horizontal="center" vertical="center"/>
    </xf>
    <xf numFmtId="0" fontId="1" fillId="4816" borderId="0" xfId="4" applyFill="1" applyAlignment="1">
      <alignment horizontal="center" vertical="center"/>
    </xf>
    <xf numFmtId="0" fontId="1" fillId="4817" borderId="0" xfId="4" applyFill="1" applyAlignment="1">
      <alignment horizontal="center" vertical="center"/>
    </xf>
    <xf numFmtId="0" fontId="1" fillId="4818" borderId="0" xfId="4" applyFill="1" applyAlignment="1">
      <alignment horizontal="center" vertical="center"/>
    </xf>
    <xf numFmtId="0" fontId="1" fillId="4819" borderId="0" xfId="4" applyFill="1" applyAlignment="1">
      <alignment horizontal="center" vertical="center"/>
    </xf>
    <xf numFmtId="0" fontId="1" fillId="4820" borderId="0" xfId="4" applyFill="1" applyAlignment="1">
      <alignment horizontal="center" vertical="center"/>
    </xf>
    <xf numFmtId="0" fontId="1" fillId="4821" borderId="0" xfId="4" applyFill="1" applyAlignment="1">
      <alignment horizontal="center" vertical="center"/>
    </xf>
    <xf numFmtId="0" fontId="1" fillId="4822" borderId="0" xfId="4" applyFill="1" applyAlignment="1">
      <alignment horizontal="center" vertical="center"/>
    </xf>
    <xf numFmtId="0" fontId="1" fillId="4823" borderId="0" xfId="4" applyFill="1" applyAlignment="1">
      <alignment horizontal="center" vertical="center"/>
    </xf>
    <xf numFmtId="0" fontId="1" fillId="4824" borderId="0" xfId="4" applyFill="1" applyAlignment="1">
      <alignment horizontal="center" vertical="center"/>
    </xf>
    <xf numFmtId="0" fontId="1" fillId="4825" borderId="0" xfId="4" applyFill="1" applyAlignment="1">
      <alignment horizontal="center" vertical="center"/>
    </xf>
    <xf numFmtId="0" fontId="1" fillId="3913" borderId="0" xfId="4" applyFill="1" applyAlignment="1">
      <alignment horizontal="center" vertical="center"/>
    </xf>
    <xf numFmtId="0" fontId="1" fillId="4826" borderId="0" xfId="4" applyFill="1" applyAlignment="1">
      <alignment horizontal="center" vertical="center"/>
    </xf>
    <xf numFmtId="0" fontId="1" fillId="4827" borderId="0" xfId="4" applyFill="1" applyAlignment="1">
      <alignment horizontal="center" vertical="center"/>
    </xf>
    <xf numFmtId="0" fontId="1" fillId="4828" borderId="0" xfId="4" applyFill="1" applyAlignment="1">
      <alignment horizontal="center" vertical="center"/>
    </xf>
    <xf numFmtId="0" fontId="1" fillId="4829" borderId="0" xfId="4" applyFill="1" applyAlignment="1">
      <alignment horizontal="center" vertical="center"/>
    </xf>
    <xf numFmtId="0" fontId="1" fillId="4830" borderId="0" xfId="4" applyFill="1" applyAlignment="1">
      <alignment horizontal="center" vertical="center"/>
    </xf>
    <xf numFmtId="0" fontId="1" fillId="4831" borderId="0" xfId="4" applyFill="1" applyAlignment="1">
      <alignment horizontal="center" vertical="center"/>
    </xf>
    <xf numFmtId="0" fontId="1" fillId="4832" borderId="0" xfId="4" applyFill="1" applyAlignment="1">
      <alignment horizontal="left" vertical="center"/>
    </xf>
    <xf numFmtId="0" fontId="1" fillId="4833" borderId="0" xfId="4" applyFill="1" applyAlignment="1">
      <alignment horizontal="center" vertical="center"/>
    </xf>
    <xf numFmtId="0" fontId="1" fillId="4834" borderId="0" xfId="4" applyFill="1" applyAlignment="1">
      <alignment horizontal="center" vertical="center"/>
    </xf>
    <xf numFmtId="0" fontId="1" fillId="4835" borderId="0" xfId="4" applyFill="1" applyAlignment="1">
      <alignment horizontal="center" vertical="center"/>
    </xf>
    <xf numFmtId="0" fontId="1" fillId="4836" borderId="0" xfId="4" applyFill="1" applyAlignment="1">
      <alignment horizontal="center" vertical="center"/>
    </xf>
    <xf numFmtId="0" fontId="1" fillId="4837" borderId="0" xfId="4" applyFill="1" applyAlignment="1">
      <alignment horizontal="center" vertical="center"/>
    </xf>
    <xf numFmtId="0" fontId="1" fillId="4838" borderId="0" xfId="4" applyFill="1" applyAlignment="1">
      <alignment horizontal="center" vertical="center"/>
    </xf>
    <xf numFmtId="0" fontId="1" fillId="4839" borderId="0" xfId="4" applyFill="1" applyAlignment="1">
      <alignment horizontal="center" vertical="center"/>
    </xf>
    <xf numFmtId="0" fontId="1" fillId="4840" borderId="0" xfId="4" applyFill="1" applyAlignment="1">
      <alignment horizontal="center" vertical="center"/>
    </xf>
    <xf numFmtId="0" fontId="1" fillId="4841" borderId="0" xfId="4" applyFill="1" applyAlignment="1">
      <alignment horizontal="center" vertical="center"/>
    </xf>
    <xf numFmtId="0" fontId="1" fillId="4842" borderId="0" xfId="4" applyFill="1" applyAlignment="1">
      <alignment horizontal="center" vertical="center"/>
    </xf>
    <xf numFmtId="0" fontId="1" fillId="4843" borderId="0" xfId="4" applyFill="1" applyAlignment="1">
      <alignment horizontal="center" vertical="center"/>
    </xf>
    <xf numFmtId="0" fontId="1" fillId="4844" borderId="0" xfId="4" applyFill="1" applyAlignment="1">
      <alignment horizontal="center" vertical="center"/>
    </xf>
    <xf numFmtId="0" fontId="1" fillId="4845" borderId="0" xfId="4" applyFill="1" applyAlignment="1">
      <alignment horizontal="center" vertical="center"/>
    </xf>
    <xf numFmtId="0" fontId="1" fillId="4846" borderId="0" xfId="4" applyFill="1" applyAlignment="1">
      <alignment horizontal="center" vertical="center"/>
    </xf>
    <xf numFmtId="0" fontId="1" fillId="4847" borderId="0" xfId="4" applyFill="1" applyAlignment="1">
      <alignment horizontal="center" vertical="center"/>
    </xf>
    <xf numFmtId="0" fontId="1" fillId="4848" borderId="0" xfId="4" applyFill="1" applyAlignment="1">
      <alignment horizontal="center" vertical="center"/>
    </xf>
    <xf numFmtId="0" fontId="1" fillId="4849" borderId="0" xfId="4" applyFill="1" applyAlignment="1">
      <alignment horizontal="center" vertical="center"/>
    </xf>
    <xf numFmtId="0" fontId="1" fillId="4850" borderId="0" xfId="4" applyFill="1" applyAlignment="1">
      <alignment horizontal="center" vertical="center"/>
    </xf>
    <xf numFmtId="0" fontId="1" fillId="4851" borderId="0" xfId="4" applyFill="1" applyAlignment="1">
      <alignment horizontal="center" vertical="center"/>
    </xf>
    <xf numFmtId="0" fontId="1" fillId="4852" borderId="0" xfId="4" applyFill="1" applyAlignment="1">
      <alignment horizontal="center" vertical="center"/>
    </xf>
    <xf numFmtId="0" fontId="1" fillId="4853" borderId="0" xfId="4" applyFill="1" applyAlignment="1">
      <alignment horizontal="left" vertical="center"/>
    </xf>
    <xf numFmtId="0" fontId="1" fillId="4854" borderId="0" xfId="4" applyFill="1" applyAlignment="1">
      <alignment horizontal="center" vertical="center"/>
    </xf>
    <xf numFmtId="0" fontId="1" fillId="4855" borderId="0" xfId="4" applyFill="1" applyAlignment="1">
      <alignment horizontal="center" vertical="center"/>
    </xf>
    <xf numFmtId="0" fontId="1" fillId="4856" borderId="0" xfId="4" applyFill="1" applyAlignment="1">
      <alignment horizontal="left" vertical="center"/>
    </xf>
    <xf numFmtId="0" fontId="1" fillId="4857" borderId="0" xfId="4" applyFill="1" applyAlignment="1">
      <alignment horizontal="center" vertical="center"/>
    </xf>
    <xf numFmtId="0" fontId="1" fillId="4858" borderId="0" xfId="4" applyFill="1" applyAlignment="1">
      <alignment horizontal="center" vertical="center"/>
    </xf>
    <xf numFmtId="0" fontId="1" fillId="878" borderId="0" xfId="4" applyFill="1" applyAlignment="1">
      <alignment horizontal="center" vertical="center"/>
    </xf>
    <xf numFmtId="0" fontId="1" fillId="4859" borderId="0" xfId="4" applyFill="1" applyAlignment="1">
      <alignment horizontal="center" vertical="center"/>
    </xf>
    <xf numFmtId="0" fontId="1" fillId="4860" borderId="0" xfId="4" applyFill="1" applyAlignment="1">
      <alignment horizontal="center" vertical="center"/>
    </xf>
    <xf numFmtId="0" fontId="1" fillId="4861" borderId="0" xfId="4" applyFill="1" applyAlignment="1">
      <alignment horizontal="center" vertical="center"/>
    </xf>
    <xf numFmtId="0" fontId="1" fillId="4862" borderId="0" xfId="4" applyFill="1" applyAlignment="1">
      <alignment horizontal="center" vertical="center"/>
    </xf>
    <xf numFmtId="0" fontId="1" fillId="4863" borderId="0" xfId="4" applyFill="1" applyAlignment="1">
      <alignment horizontal="center" vertical="center"/>
    </xf>
    <xf numFmtId="0" fontId="1" fillId="4864" borderId="0" xfId="4" applyFill="1" applyAlignment="1">
      <alignment horizontal="center" vertical="center"/>
    </xf>
    <xf numFmtId="0" fontId="1" fillId="4865" borderId="0" xfId="4" applyFill="1" applyAlignment="1">
      <alignment horizontal="center" vertical="center"/>
    </xf>
    <xf numFmtId="0" fontId="1" fillId="4866" borderId="0" xfId="4" applyFill="1" applyAlignment="1">
      <alignment horizontal="center" vertical="center"/>
    </xf>
    <xf numFmtId="0" fontId="1" fillId="4867" borderId="0" xfId="4" applyFill="1" applyAlignment="1">
      <alignment horizontal="center" vertical="center"/>
    </xf>
    <xf numFmtId="0" fontId="1" fillId="4868" borderId="0" xfId="4" applyFill="1" applyAlignment="1">
      <alignment horizontal="center" vertical="center"/>
    </xf>
    <xf numFmtId="0" fontId="1" fillId="715" borderId="0" xfId="4" applyFill="1" applyAlignment="1">
      <alignment horizontal="center" vertical="center"/>
    </xf>
    <xf numFmtId="0" fontId="1" fillId="677" borderId="0" xfId="4" applyFill="1" applyAlignment="1">
      <alignment horizontal="center" vertical="center"/>
    </xf>
    <xf numFmtId="0" fontId="1" fillId="955" borderId="0" xfId="4" applyFill="1" applyAlignment="1">
      <alignment horizontal="center" vertical="center"/>
    </xf>
    <xf numFmtId="0" fontId="1" fillId="4869" borderId="0" xfId="4" applyFill="1" applyAlignment="1">
      <alignment horizontal="center" vertical="center"/>
    </xf>
    <xf numFmtId="0" fontId="1" fillId="4870" borderId="0" xfId="4" applyFill="1" applyAlignment="1">
      <alignment horizontal="center" vertical="center"/>
    </xf>
    <xf numFmtId="0" fontId="1" fillId="4871" borderId="0" xfId="4" applyFill="1" applyAlignment="1">
      <alignment horizontal="center" vertical="center"/>
    </xf>
    <xf numFmtId="0" fontId="1" fillId="4872" borderId="0" xfId="4" applyFill="1" applyAlignment="1">
      <alignment horizontal="center" vertical="center"/>
    </xf>
    <xf numFmtId="0" fontId="1" fillId="643" borderId="0" xfId="4" applyFill="1" applyAlignment="1">
      <alignment horizontal="center" vertical="center"/>
    </xf>
    <xf numFmtId="0" fontId="1" fillId="4873" borderId="0" xfId="4" applyFill="1" applyAlignment="1">
      <alignment horizontal="center" vertical="center"/>
    </xf>
    <xf numFmtId="0" fontId="1" fillId="4874" borderId="0" xfId="4" applyFill="1" applyAlignment="1">
      <alignment horizontal="center" vertical="center"/>
    </xf>
    <xf numFmtId="0" fontId="1" fillId="4875" borderId="0" xfId="4" applyFill="1" applyAlignment="1">
      <alignment horizontal="center" vertical="center"/>
    </xf>
    <xf numFmtId="0" fontId="1" fillId="4876" borderId="0" xfId="4" applyFill="1" applyAlignment="1">
      <alignment horizontal="center" vertical="center"/>
    </xf>
    <xf numFmtId="0" fontId="1" fillId="4877" borderId="0" xfId="4" applyFill="1" applyAlignment="1">
      <alignment horizontal="center" vertical="center"/>
    </xf>
    <xf numFmtId="0" fontId="1" fillId="4878" borderId="0" xfId="4" applyFill="1" applyAlignment="1">
      <alignment horizontal="center" vertical="center"/>
    </xf>
    <xf numFmtId="0" fontId="1" fillId="1360" borderId="0" xfId="4" applyFill="1" applyAlignment="1">
      <alignment horizontal="center" vertical="center"/>
    </xf>
    <xf numFmtId="0" fontId="1" fillId="4879" borderId="0" xfId="4" applyFill="1" applyAlignment="1">
      <alignment horizontal="center" vertical="center"/>
    </xf>
    <xf numFmtId="0" fontId="1" fillId="4880" borderId="0" xfId="4" applyFill="1" applyAlignment="1">
      <alignment horizontal="center" vertical="center"/>
    </xf>
    <xf numFmtId="0" fontId="1" fillId="4881" borderId="0" xfId="4" applyFill="1" applyAlignment="1">
      <alignment horizontal="center" vertical="center"/>
    </xf>
    <xf numFmtId="0" fontId="1" fillId="4882" borderId="0" xfId="4" applyFill="1" applyAlignment="1">
      <alignment horizontal="center" vertical="center"/>
    </xf>
    <xf numFmtId="0" fontId="1" fillId="4883" borderId="0" xfId="4" applyFill="1" applyAlignment="1">
      <alignment horizontal="left" vertical="center"/>
    </xf>
    <xf numFmtId="0" fontId="1" fillId="4884" borderId="0" xfId="4" applyFill="1" applyAlignment="1">
      <alignment horizontal="center" vertical="center"/>
    </xf>
    <xf numFmtId="0" fontId="1" fillId="4885" borderId="0" xfId="4" applyFill="1" applyAlignment="1">
      <alignment horizontal="center" vertical="center"/>
    </xf>
    <xf numFmtId="0" fontId="1" fillId="4886" borderId="0" xfId="4" applyFill="1" applyAlignment="1">
      <alignment horizontal="center" vertical="center"/>
    </xf>
    <xf numFmtId="0" fontId="1" fillId="4887" borderId="0" xfId="4" applyFill="1" applyAlignment="1">
      <alignment horizontal="center" vertical="center"/>
    </xf>
    <xf numFmtId="0" fontId="1" fillId="4888" borderId="0" xfId="4" applyFill="1" applyAlignment="1">
      <alignment horizontal="center" vertical="center"/>
    </xf>
    <xf numFmtId="0" fontId="1" fillId="4889" borderId="0" xfId="4" applyFill="1" applyAlignment="1">
      <alignment horizontal="center" vertical="center"/>
    </xf>
    <xf numFmtId="0" fontId="1" fillId="4890" borderId="0" xfId="4" applyFill="1" applyAlignment="1">
      <alignment horizontal="center" vertical="center"/>
    </xf>
    <xf numFmtId="0" fontId="1" fillId="4891" borderId="0" xfId="4" applyFill="1" applyAlignment="1">
      <alignment horizontal="center" vertical="center"/>
    </xf>
    <xf numFmtId="0" fontId="1" fillId="4892" borderId="0" xfId="4" applyFill="1" applyAlignment="1">
      <alignment horizontal="center" vertical="center"/>
    </xf>
    <xf numFmtId="0" fontId="1" fillId="4893" borderId="0" xfId="4" applyFill="1" applyAlignment="1">
      <alignment horizontal="center" vertical="center"/>
    </xf>
    <xf numFmtId="0" fontId="1" fillId="4894" borderId="0" xfId="4" applyFill="1" applyAlignment="1">
      <alignment horizontal="center" vertical="center"/>
    </xf>
    <xf numFmtId="0" fontId="1" fillId="4895" borderId="0" xfId="4" applyFill="1" applyAlignment="1">
      <alignment horizontal="center" vertical="center"/>
    </xf>
    <xf numFmtId="0" fontId="1" fillId="4896" borderId="0" xfId="4" applyFill="1" applyAlignment="1">
      <alignment horizontal="center" vertical="center"/>
    </xf>
    <xf numFmtId="0" fontId="1" fillId="4897" borderId="0" xfId="4" applyFill="1" applyAlignment="1">
      <alignment horizontal="center" vertical="center"/>
    </xf>
    <xf numFmtId="0" fontId="1" fillId="4898" borderId="0" xfId="4" applyFill="1" applyAlignment="1">
      <alignment horizontal="center" vertical="center"/>
    </xf>
    <xf numFmtId="0" fontId="1" fillId="4899" borderId="0" xfId="4" applyFill="1" applyAlignment="1">
      <alignment horizontal="center" vertical="center"/>
    </xf>
    <xf numFmtId="0" fontId="1" fillId="4900" borderId="0" xfId="4" applyFill="1" applyAlignment="1">
      <alignment horizontal="center" vertical="center"/>
    </xf>
    <xf numFmtId="0" fontId="1" fillId="4901" borderId="0" xfId="4" applyFill="1" applyAlignment="1">
      <alignment horizontal="center" vertical="center"/>
    </xf>
    <xf numFmtId="0" fontId="1" fillId="4902" borderId="0" xfId="4" applyFill="1" applyAlignment="1">
      <alignment horizontal="center" vertical="center"/>
    </xf>
    <xf numFmtId="0" fontId="1" fillId="4903" borderId="0" xfId="4" applyFill="1" applyAlignment="1">
      <alignment horizontal="center" vertical="center"/>
    </xf>
    <xf numFmtId="0" fontId="1" fillId="4904" borderId="0" xfId="4" applyFill="1" applyAlignment="1">
      <alignment horizontal="center" vertical="center"/>
    </xf>
    <xf numFmtId="0" fontId="1" fillId="4905" borderId="0" xfId="4" applyFill="1" applyAlignment="1">
      <alignment horizontal="center" vertical="center"/>
    </xf>
    <xf numFmtId="0" fontId="1" fillId="4906" borderId="0" xfId="4" applyFill="1" applyAlignment="1">
      <alignment horizontal="center" vertical="center"/>
    </xf>
    <xf numFmtId="0" fontId="1" fillId="4907" borderId="0" xfId="4" applyFill="1" applyAlignment="1">
      <alignment horizontal="center" vertical="center"/>
    </xf>
    <xf numFmtId="0" fontId="1" fillId="4908" borderId="0" xfId="4" applyFill="1" applyAlignment="1">
      <alignment horizontal="center" vertical="center"/>
    </xf>
    <xf numFmtId="0" fontId="1" fillId="4909" borderId="0" xfId="4" applyFill="1" applyAlignment="1">
      <alignment horizontal="center" vertical="center"/>
    </xf>
    <xf numFmtId="0" fontId="1" fillId="4910" borderId="0" xfId="4" applyFill="1" applyAlignment="1">
      <alignment horizontal="left" vertical="center"/>
    </xf>
    <xf numFmtId="0" fontId="1" fillId="4911" borderId="0" xfId="4" applyFill="1" applyAlignment="1">
      <alignment horizontal="center" vertical="center"/>
    </xf>
    <xf numFmtId="0" fontId="1" fillId="4912" borderId="0" xfId="4" applyFill="1" applyAlignment="1">
      <alignment horizontal="center" vertical="center"/>
    </xf>
    <xf numFmtId="0" fontId="1" fillId="4913" borderId="0" xfId="4" applyFill="1" applyAlignment="1">
      <alignment horizontal="center" vertical="center"/>
    </xf>
    <xf numFmtId="0" fontId="1" fillId="4914" borderId="0" xfId="4" applyFill="1" applyAlignment="1">
      <alignment horizontal="center" vertical="center"/>
    </xf>
    <xf numFmtId="0" fontId="1" fillId="4915" borderId="0" xfId="4" applyFill="1" applyAlignment="1">
      <alignment horizontal="center" vertical="center"/>
    </xf>
    <xf numFmtId="0" fontId="1" fillId="4916" borderId="0" xfId="4" applyFill="1" applyAlignment="1">
      <alignment horizontal="center" vertical="center"/>
    </xf>
    <xf numFmtId="0" fontId="1" fillId="4917" borderId="0" xfId="4" applyFill="1" applyAlignment="1">
      <alignment horizontal="center" vertical="center"/>
    </xf>
    <xf numFmtId="0" fontId="1" fillId="4918" borderId="0" xfId="4" applyFill="1" applyAlignment="1">
      <alignment horizontal="center" vertical="center"/>
    </xf>
    <xf numFmtId="0" fontId="1" fillId="4919" borderId="0" xfId="4" applyFill="1" applyAlignment="1">
      <alignment horizontal="center" vertical="center"/>
    </xf>
    <xf numFmtId="0" fontId="1" fillId="4920" borderId="0" xfId="4" applyFill="1" applyAlignment="1">
      <alignment horizontal="center" vertical="center"/>
    </xf>
    <xf numFmtId="0" fontId="1" fillId="4921" borderId="0" xfId="4" applyFill="1" applyAlignment="1">
      <alignment horizontal="center" vertical="center"/>
    </xf>
    <xf numFmtId="0" fontId="1" fillId="4922" borderId="0" xfId="4" applyFill="1" applyAlignment="1">
      <alignment horizontal="center" vertical="center"/>
    </xf>
    <xf numFmtId="0" fontId="1" fillId="4923" borderId="0" xfId="4" applyFill="1" applyAlignment="1">
      <alignment horizontal="center" vertical="center"/>
    </xf>
    <xf numFmtId="0" fontId="1" fillId="4924" borderId="0" xfId="4" applyFill="1" applyAlignment="1">
      <alignment horizontal="center" vertical="center"/>
    </xf>
    <xf numFmtId="0" fontId="1" fillId="4925" borderId="0" xfId="4" applyFill="1" applyAlignment="1">
      <alignment horizontal="center" vertical="center"/>
    </xf>
    <xf numFmtId="0" fontId="1" fillId="4926" borderId="0" xfId="4" applyFill="1" applyAlignment="1">
      <alignment horizontal="center" vertical="center"/>
    </xf>
    <xf numFmtId="0" fontId="1" fillId="4927" borderId="0" xfId="4" applyFill="1" applyAlignment="1">
      <alignment horizontal="center" vertical="center"/>
    </xf>
    <xf numFmtId="0" fontId="1" fillId="4928" borderId="0" xfId="4" applyFill="1" applyAlignment="1">
      <alignment horizontal="center" vertical="center"/>
    </xf>
    <xf numFmtId="0" fontId="1" fillId="4929" borderId="0" xfId="4" applyFill="1" applyAlignment="1">
      <alignment horizontal="center" vertical="center"/>
    </xf>
    <xf numFmtId="0" fontId="1" fillId="4930" borderId="0" xfId="4" applyFill="1" applyAlignment="1">
      <alignment horizontal="center" vertical="center"/>
    </xf>
    <xf numFmtId="0" fontId="1" fillId="4931" borderId="0" xfId="4" applyFill="1" applyAlignment="1">
      <alignment horizontal="left" vertical="center"/>
    </xf>
    <xf numFmtId="0" fontId="1" fillId="4932" borderId="0" xfId="4" applyFill="1" applyAlignment="1">
      <alignment horizontal="center" vertical="center"/>
    </xf>
    <xf numFmtId="0" fontId="1" fillId="4933" borderId="0" xfId="4" applyFill="1" applyAlignment="1">
      <alignment horizontal="center" vertical="center"/>
    </xf>
    <xf numFmtId="0" fontId="1" fillId="4934" borderId="0" xfId="4" applyFill="1" applyAlignment="1">
      <alignment horizontal="left" vertical="center"/>
    </xf>
    <xf numFmtId="0" fontId="1" fillId="4935" borderId="0" xfId="4" applyFill="1" applyAlignment="1">
      <alignment horizontal="center" vertical="center"/>
    </xf>
    <xf numFmtId="0" fontId="1" fillId="1038" borderId="0" xfId="4" applyFill="1" applyAlignment="1">
      <alignment horizontal="center" vertical="center"/>
    </xf>
    <xf numFmtId="0" fontId="1" fillId="4936" borderId="0" xfId="4" applyFill="1" applyAlignment="1">
      <alignment horizontal="center" vertical="center"/>
    </xf>
    <xf numFmtId="0" fontId="1" fillId="4937" borderId="0" xfId="4" applyFill="1" applyAlignment="1">
      <alignment horizontal="center" vertical="center"/>
    </xf>
    <xf numFmtId="0" fontId="1" fillId="4938" borderId="0" xfId="4" applyFill="1" applyAlignment="1">
      <alignment horizontal="center" vertical="center"/>
    </xf>
    <xf numFmtId="0" fontId="1" fillId="1222" borderId="0" xfId="4" applyFill="1" applyAlignment="1">
      <alignment horizontal="center" vertical="center"/>
    </xf>
    <xf numFmtId="0" fontId="1" fillId="4939" borderId="0" xfId="4" applyFill="1" applyAlignment="1">
      <alignment horizontal="center" vertical="center"/>
    </xf>
    <xf numFmtId="0" fontId="1" fillId="4940" borderId="0" xfId="4" applyFill="1" applyAlignment="1">
      <alignment horizontal="center" vertical="center"/>
    </xf>
    <xf numFmtId="0" fontId="1" fillId="4941" borderId="0" xfId="4" applyFill="1" applyAlignment="1">
      <alignment horizontal="center" vertical="center"/>
    </xf>
    <xf numFmtId="0" fontId="1" fillId="4942" borderId="0" xfId="4" applyFill="1" applyAlignment="1">
      <alignment horizontal="center" vertical="center"/>
    </xf>
    <xf numFmtId="0" fontId="1" fillId="4943" borderId="0" xfId="4" applyFill="1" applyAlignment="1">
      <alignment horizontal="center" vertical="center"/>
    </xf>
    <xf numFmtId="0" fontId="1" fillId="4944" borderId="0" xfId="4" applyFill="1" applyAlignment="1">
      <alignment horizontal="center" vertical="center"/>
    </xf>
    <xf numFmtId="0" fontId="1" fillId="4945" borderId="0" xfId="4" applyFill="1" applyAlignment="1">
      <alignment horizontal="center" vertical="center"/>
    </xf>
    <xf numFmtId="0" fontId="1" fillId="4946" borderId="0" xfId="4" applyFill="1" applyAlignment="1">
      <alignment horizontal="center" vertical="center"/>
    </xf>
    <xf numFmtId="0" fontId="1" fillId="4947" borderId="0" xfId="4" applyFill="1" applyAlignment="1">
      <alignment horizontal="center" vertical="center"/>
    </xf>
    <xf numFmtId="0" fontId="1" fillId="863" borderId="0" xfId="4" applyFill="1" applyAlignment="1">
      <alignment horizontal="center" vertical="center"/>
    </xf>
    <xf numFmtId="0" fontId="1" fillId="4948" borderId="0" xfId="4" applyFill="1" applyAlignment="1">
      <alignment horizontal="center" vertical="center"/>
    </xf>
    <xf numFmtId="0" fontId="1" fillId="4949" borderId="0" xfId="4" applyFill="1" applyAlignment="1">
      <alignment horizontal="center" vertical="center"/>
    </xf>
    <xf numFmtId="0" fontId="1" fillId="4950" borderId="0" xfId="4" applyFill="1" applyAlignment="1">
      <alignment horizontal="center" vertical="center"/>
    </xf>
    <xf numFmtId="0" fontId="1" fillId="862" borderId="0" xfId="4" applyFill="1" applyAlignment="1">
      <alignment horizontal="center" vertical="center"/>
    </xf>
    <xf numFmtId="0" fontId="1" fillId="4951" borderId="0" xfId="4" applyFill="1" applyAlignment="1">
      <alignment horizontal="center" vertical="center"/>
    </xf>
    <xf numFmtId="0" fontId="1" fillId="714" borderId="0" xfId="4" applyFill="1" applyAlignment="1">
      <alignment horizontal="center" vertical="center"/>
    </xf>
    <xf numFmtId="0" fontId="1" fillId="957" borderId="0" xfId="4" applyFill="1" applyAlignment="1">
      <alignment horizontal="center" vertical="center"/>
    </xf>
    <xf numFmtId="0" fontId="1" fillId="4952" borderId="0" xfId="4" applyFill="1" applyAlignment="1">
      <alignment horizontal="center" vertical="center"/>
    </xf>
    <xf numFmtId="0" fontId="1" fillId="4953" borderId="0" xfId="4" applyFill="1" applyAlignment="1">
      <alignment horizontal="center" vertical="center"/>
    </xf>
    <xf numFmtId="0" fontId="1" fillId="4954" borderId="0" xfId="4" applyFill="1" applyAlignment="1">
      <alignment horizontal="center" vertical="center"/>
    </xf>
    <xf numFmtId="0" fontId="1" fillId="4955" borderId="0" xfId="4" applyFill="1" applyAlignment="1">
      <alignment horizontal="center" vertical="center"/>
    </xf>
    <xf numFmtId="0" fontId="1" fillId="4956" borderId="0" xfId="4" applyFill="1" applyAlignment="1">
      <alignment horizontal="center" vertical="center"/>
    </xf>
    <xf numFmtId="0" fontId="1" fillId="1282" borderId="0" xfId="4" applyFill="1" applyAlignment="1">
      <alignment horizontal="center" vertical="center"/>
    </xf>
    <xf numFmtId="0" fontId="1" fillId="4957" borderId="0" xfId="4" applyFill="1" applyAlignment="1">
      <alignment horizontal="center" vertical="center"/>
    </xf>
    <xf numFmtId="0" fontId="1" fillId="1381" borderId="0" xfId="4" applyFill="1" applyAlignment="1">
      <alignment horizontal="center" vertical="center"/>
    </xf>
    <xf numFmtId="0" fontId="1" fillId="4958" borderId="0" xfId="4" applyFill="1" applyAlignment="1">
      <alignment horizontal="center" vertical="center"/>
    </xf>
    <xf numFmtId="0" fontId="1" fillId="4959" borderId="0" xfId="4" applyFill="1" applyAlignment="1">
      <alignment horizontal="center" vertical="center"/>
    </xf>
    <xf numFmtId="0" fontId="1" fillId="4960" borderId="0" xfId="4" applyFill="1" applyAlignment="1">
      <alignment horizontal="center" vertical="center"/>
    </xf>
    <xf numFmtId="0" fontId="1" fillId="4961" borderId="0" xfId="4" applyFill="1" applyAlignment="1">
      <alignment horizontal="center" vertical="center"/>
    </xf>
    <xf numFmtId="0" fontId="1" fillId="4962" borderId="0" xfId="4" applyFill="1" applyAlignment="1">
      <alignment horizontal="left" vertical="center"/>
    </xf>
    <xf numFmtId="0" fontId="1" fillId="4963" borderId="0" xfId="4" applyFill="1" applyAlignment="1">
      <alignment horizontal="center" vertical="center"/>
    </xf>
    <xf numFmtId="0" fontId="1" fillId="4964" borderId="0" xfId="4" applyFill="1" applyAlignment="1">
      <alignment horizontal="center" vertical="center"/>
    </xf>
    <xf numFmtId="0" fontId="1" fillId="4965" borderId="0" xfId="4" applyFill="1" applyAlignment="1">
      <alignment horizontal="center" vertical="center"/>
    </xf>
    <xf numFmtId="0" fontId="1" fillId="3640" borderId="0" xfId="4" applyFill="1" applyAlignment="1">
      <alignment horizontal="center" vertical="center"/>
    </xf>
    <xf numFmtId="0" fontId="1" fillId="4966" borderId="0" xfId="4" applyFill="1" applyAlignment="1">
      <alignment horizontal="center" vertical="center"/>
    </xf>
    <xf numFmtId="0" fontId="1" fillId="4967" borderId="0" xfId="4" applyFill="1" applyAlignment="1">
      <alignment horizontal="center" vertical="center"/>
    </xf>
    <xf numFmtId="0" fontId="1" fillId="4968" borderId="0" xfId="4" applyFill="1" applyAlignment="1">
      <alignment horizontal="center" vertical="center"/>
    </xf>
    <xf numFmtId="0" fontId="1" fillId="4969" borderId="0" xfId="4" applyFill="1" applyAlignment="1">
      <alignment horizontal="center" vertical="center"/>
    </xf>
    <xf numFmtId="0" fontId="1" fillId="4970" borderId="0" xfId="4" applyFill="1" applyAlignment="1">
      <alignment horizontal="center" vertical="center"/>
    </xf>
    <xf numFmtId="0" fontId="1" fillId="4971" borderId="0" xfId="4" applyFill="1" applyAlignment="1">
      <alignment horizontal="center" vertical="center"/>
    </xf>
    <xf numFmtId="0" fontId="1" fillId="4972" borderId="0" xfId="4" applyFill="1" applyAlignment="1">
      <alignment horizontal="center" vertical="center"/>
    </xf>
    <xf numFmtId="0" fontId="1" fillId="4973" borderId="0" xfId="4" applyFill="1" applyAlignment="1">
      <alignment horizontal="center" vertical="center"/>
    </xf>
    <xf numFmtId="0" fontId="1" fillId="4974" borderId="0" xfId="4" applyFill="1" applyAlignment="1">
      <alignment horizontal="center" vertical="center"/>
    </xf>
    <xf numFmtId="0" fontId="1" fillId="4975" borderId="0" xfId="4" applyFill="1" applyAlignment="1">
      <alignment horizontal="center" vertical="center"/>
    </xf>
    <xf numFmtId="0" fontId="1" fillId="4976" borderId="0" xfId="4" applyFill="1" applyAlignment="1">
      <alignment horizontal="center" vertical="center"/>
    </xf>
    <xf numFmtId="0" fontId="1" fillId="4977" borderId="0" xfId="4" applyFill="1" applyAlignment="1">
      <alignment horizontal="center" vertical="center"/>
    </xf>
    <xf numFmtId="0" fontId="1" fillId="4978" borderId="0" xfId="4" applyFill="1" applyAlignment="1">
      <alignment horizontal="center" vertical="center"/>
    </xf>
    <xf numFmtId="0" fontId="1" fillId="4979" borderId="0" xfId="4" applyFill="1" applyAlignment="1">
      <alignment horizontal="center" vertical="center"/>
    </xf>
    <xf numFmtId="0" fontId="1" fillId="4980" borderId="0" xfId="4" applyFill="1" applyAlignment="1">
      <alignment horizontal="center" vertical="center"/>
    </xf>
    <xf numFmtId="0" fontId="1" fillId="4981" borderId="0" xfId="4" applyFill="1" applyAlignment="1">
      <alignment horizontal="center" vertical="center"/>
    </xf>
    <xf numFmtId="0" fontId="1" fillId="4982" borderId="0" xfId="4" applyFill="1" applyAlignment="1">
      <alignment horizontal="center" vertical="center"/>
    </xf>
    <xf numFmtId="0" fontId="1" fillId="4983" borderId="0" xfId="4" applyFill="1" applyAlignment="1">
      <alignment horizontal="center" vertical="center"/>
    </xf>
    <xf numFmtId="0" fontId="1" fillId="4984" borderId="0" xfId="4" applyFill="1" applyAlignment="1">
      <alignment horizontal="center" vertical="center"/>
    </xf>
    <xf numFmtId="0" fontId="1" fillId="4985" borderId="0" xfId="4" applyFill="1" applyAlignment="1">
      <alignment horizontal="center" vertical="center"/>
    </xf>
    <xf numFmtId="0" fontId="1" fillId="4986" borderId="0" xfId="4" applyFill="1" applyAlignment="1">
      <alignment horizontal="center" vertical="center"/>
    </xf>
    <xf numFmtId="0" fontId="1" fillId="4987" borderId="0" xfId="4" applyFill="1" applyAlignment="1">
      <alignment horizontal="center" vertical="center"/>
    </xf>
    <xf numFmtId="0" fontId="1" fillId="4988" borderId="0" xfId="4" applyFill="1" applyAlignment="1">
      <alignment horizontal="center" vertical="center"/>
    </xf>
    <xf numFmtId="0" fontId="1" fillId="4989" borderId="0" xfId="4" applyFill="1" applyAlignment="1">
      <alignment horizontal="left" vertical="center"/>
    </xf>
    <xf numFmtId="0" fontId="1" fillId="4990" borderId="0" xfId="4" applyFill="1" applyAlignment="1">
      <alignment horizontal="center" vertical="center"/>
    </xf>
    <xf numFmtId="0" fontId="1" fillId="4991" borderId="0" xfId="4" applyFill="1" applyAlignment="1">
      <alignment horizontal="center" vertical="center"/>
    </xf>
    <xf numFmtId="0" fontId="1" fillId="4992" borderId="0" xfId="4" applyFill="1" applyAlignment="1">
      <alignment horizontal="center" vertical="center"/>
    </xf>
    <xf numFmtId="0" fontId="1" fillId="4993" borderId="0" xfId="4" applyFill="1" applyAlignment="1">
      <alignment horizontal="center" vertical="center"/>
    </xf>
    <xf numFmtId="0" fontId="1" fillId="4994" borderId="0" xfId="4" applyFill="1" applyAlignment="1">
      <alignment horizontal="center" vertical="center"/>
    </xf>
    <xf numFmtId="0" fontId="1" fillId="4995" borderId="0" xfId="4" applyFill="1" applyAlignment="1">
      <alignment horizontal="center" vertical="center"/>
    </xf>
    <xf numFmtId="0" fontId="1" fillId="4996" borderId="0" xfId="4" applyFill="1" applyAlignment="1">
      <alignment horizontal="center" vertical="center"/>
    </xf>
    <xf numFmtId="0" fontId="1" fillId="4997" borderId="0" xfId="4" applyFill="1" applyAlignment="1">
      <alignment horizontal="center" vertical="center"/>
    </xf>
    <xf numFmtId="0" fontId="1" fillId="4998" borderId="0" xfId="4" applyFill="1" applyAlignment="1">
      <alignment horizontal="center" vertical="center"/>
    </xf>
    <xf numFmtId="0" fontId="1" fillId="4999" borderId="0" xfId="4" applyFill="1" applyAlignment="1">
      <alignment horizontal="center" vertical="center"/>
    </xf>
    <xf numFmtId="0" fontId="1" fillId="5000" borderId="0" xfId="4" applyFill="1" applyAlignment="1">
      <alignment horizontal="center" vertical="center"/>
    </xf>
    <xf numFmtId="0" fontId="1" fillId="5001" borderId="0" xfId="4" applyFill="1" applyAlignment="1">
      <alignment horizontal="center" vertical="center"/>
    </xf>
    <xf numFmtId="0" fontId="1" fillId="5002" borderId="0" xfId="4" applyFill="1" applyAlignment="1">
      <alignment horizontal="center" vertical="center"/>
    </xf>
    <xf numFmtId="0" fontId="1" fillId="5003" borderId="0" xfId="4" applyFill="1" applyAlignment="1">
      <alignment horizontal="center" vertical="center"/>
    </xf>
    <xf numFmtId="0" fontId="1" fillId="5004" borderId="0" xfId="4" applyFill="1" applyAlignment="1">
      <alignment horizontal="center" vertical="center"/>
    </xf>
    <xf numFmtId="0" fontId="1" fillId="5005" borderId="0" xfId="4" applyFill="1" applyAlignment="1">
      <alignment horizontal="center" vertical="center"/>
    </xf>
    <xf numFmtId="0" fontId="1" fillId="5006" borderId="0" xfId="4" applyFill="1" applyAlignment="1">
      <alignment horizontal="center" vertical="center"/>
    </xf>
    <xf numFmtId="0" fontId="1" fillId="5007" borderId="0" xfId="4" applyFill="1" applyAlignment="1">
      <alignment horizontal="center" vertical="center"/>
    </xf>
    <xf numFmtId="0" fontId="1" fillId="5008" borderId="0" xfId="4" applyFill="1" applyAlignment="1">
      <alignment horizontal="center" vertical="center"/>
    </xf>
    <xf numFmtId="0" fontId="1" fillId="5009" borderId="0" xfId="4" applyFill="1" applyAlignment="1">
      <alignment horizontal="center" vertical="center"/>
    </xf>
    <xf numFmtId="0" fontId="1" fillId="5010" borderId="0" xfId="4" applyFill="1" applyAlignment="1">
      <alignment horizontal="left" vertical="center"/>
    </xf>
    <xf numFmtId="0" fontId="1" fillId="5011" borderId="0" xfId="4" applyFill="1" applyAlignment="1">
      <alignment horizontal="center" vertical="center"/>
    </xf>
    <xf numFmtId="0" fontId="1" fillId="5012" borderId="0" xfId="4" applyFill="1" applyAlignment="1">
      <alignment horizontal="center" vertical="center"/>
    </xf>
    <xf numFmtId="0" fontId="1" fillId="931" borderId="0" xfId="4" applyFill="1" applyAlignment="1">
      <alignment horizontal="left" vertical="center"/>
    </xf>
    <xf numFmtId="0" fontId="1" fillId="5013" borderId="0" xfId="4" applyFill="1" applyAlignment="1">
      <alignment horizontal="center" vertical="center"/>
    </xf>
    <xf numFmtId="0" fontId="1" fillId="5014" borderId="0" xfId="4" applyFill="1" applyAlignment="1">
      <alignment horizontal="center" vertical="center"/>
    </xf>
    <xf numFmtId="0" fontId="1" fillId="5015" borderId="0" xfId="4" applyFill="1" applyAlignment="1">
      <alignment horizontal="center" vertical="center"/>
    </xf>
    <xf numFmtId="0" fontId="1" fillId="1077" borderId="0" xfId="4" applyFill="1" applyAlignment="1">
      <alignment horizontal="center" vertical="center"/>
    </xf>
    <xf numFmtId="0" fontId="1" fillId="5016" borderId="0" xfId="4" applyFill="1" applyAlignment="1">
      <alignment horizontal="center" vertical="center"/>
    </xf>
    <xf numFmtId="0" fontId="1" fillId="5017" borderId="0" xfId="4" applyFill="1" applyAlignment="1">
      <alignment horizontal="center" vertical="center"/>
    </xf>
    <xf numFmtId="0" fontId="1" fillId="5018" borderId="0" xfId="4" applyFill="1" applyAlignment="1">
      <alignment horizontal="center" vertical="center"/>
    </xf>
    <xf numFmtId="0" fontId="1" fillId="5019" borderId="0" xfId="4" applyFill="1" applyAlignment="1">
      <alignment horizontal="center" vertical="center"/>
    </xf>
    <xf numFmtId="0" fontId="1" fillId="5020" borderId="0" xfId="4" applyFill="1" applyAlignment="1">
      <alignment horizontal="center" vertical="center"/>
    </xf>
    <xf numFmtId="0" fontId="1" fillId="5021" borderId="0" xfId="4" applyFill="1" applyAlignment="1">
      <alignment horizontal="center" vertical="center"/>
    </xf>
    <xf numFmtId="0" fontId="1" fillId="5022" borderId="0" xfId="4" applyFill="1" applyAlignment="1">
      <alignment horizontal="center" vertical="center"/>
    </xf>
    <xf numFmtId="0" fontId="1" fillId="5023" borderId="0" xfId="4" applyFill="1" applyAlignment="1">
      <alignment horizontal="center" vertical="center"/>
    </xf>
    <xf numFmtId="0" fontId="1" fillId="5024" borderId="0" xfId="4" applyFill="1" applyAlignment="1">
      <alignment horizontal="center" vertical="center"/>
    </xf>
    <xf numFmtId="0" fontId="1" fillId="5025" borderId="0" xfId="4" applyFill="1" applyAlignment="1">
      <alignment horizontal="center" vertical="center"/>
    </xf>
    <xf numFmtId="0" fontId="1" fillId="5026" borderId="0" xfId="4" applyFill="1" applyAlignment="1">
      <alignment horizontal="center" vertical="center"/>
    </xf>
    <xf numFmtId="0" fontId="1" fillId="5027" borderId="0" xfId="4" applyFill="1" applyAlignment="1">
      <alignment horizontal="center" vertical="center"/>
    </xf>
    <xf numFmtId="0" fontId="1" fillId="5028" borderId="0" xfId="4" applyFill="1" applyAlignment="1">
      <alignment horizontal="center" vertical="center"/>
    </xf>
    <xf numFmtId="0" fontId="1" fillId="5029" borderId="0" xfId="4" applyFill="1" applyAlignment="1">
      <alignment horizontal="center" vertical="center"/>
    </xf>
    <xf numFmtId="0" fontId="1" fillId="5030" borderId="0" xfId="4" applyFill="1" applyAlignment="1">
      <alignment horizontal="center" vertical="center"/>
    </xf>
    <xf numFmtId="0" fontId="1" fillId="5031" borderId="0" xfId="4" applyFill="1" applyAlignment="1">
      <alignment horizontal="center" vertical="center"/>
    </xf>
    <xf numFmtId="0" fontId="1" fillId="5032" borderId="0" xfId="4" applyFill="1" applyAlignment="1">
      <alignment horizontal="center" vertical="center"/>
    </xf>
    <xf numFmtId="0" fontId="1" fillId="5033" borderId="0" xfId="4" applyFill="1" applyAlignment="1">
      <alignment horizontal="center" vertical="center"/>
    </xf>
    <xf numFmtId="0" fontId="1" fillId="5034" borderId="0" xfId="4" applyFill="1" applyAlignment="1">
      <alignment horizontal="center" vertical="center"/>
    </xf>
    <xf numFmtId="0" fontId="1" fillId="5035" borderId="0" xfId="4" applyFill="1" applyAlignment="1">
      <alignment horizontal="center" vertical="center"/>
    </xf>
    <xf numFmtId="0" fontId="1" fillId="5036" borderId="0" xfId="4" applyFill="1" applyAlignment="1">
      <alignment horizontal="center" vertical="center"/>
    </xf>
    <xf numFmtId="0" fontId="1" fillId="5037" borderId="0" xfId="4" applyFill="1" applyAlignment="1">
      <alignment horizontal="center" vertical="center"/>
    </xf>
    <xf numFmtId="0" fontId="1" fillId="1375" borderId="0" xfId="4" applyFill="1" applyAlignment="1">
      <alignment horizontal="center" vertical="center"/>
    </xf>
    <xf numFmtId="0" fontId="1" fillId="1364" borderId="0" xfId="4" applyFill="1" applyAlignment="1">
      <alignment horizontal="center" vertical="center"/>
    </xf>
    <xf numFmtId="0" fontId="1" fillId="5038" borderId="0" xfId="4" applyFill="1" applyAlignment="1">
      <alignment horizontal="center" vertical="center"/>
    </xf>
    <xf numFmtId="0" fontId="1" fillId="5039" borderId="0" xfId="4" applyFill="1" applyAlignment="1">
      <alignment horizontal="center" vertical="center"/>
    </xf>
    <xf numFmtId="0" fontId="1" fillId="5040" borderId="0" xfId="4" applyFill="1" applyAlignment="1">
      <alignment horizontal="center" vertical="center"/>
    </xf>
    <xf numFmtId="0" fontId="1" fillId="5041" borderId="0" xfId="4" applyFill="1" applyAlignment="1">
      <alignment horizontal="center" vertical="center"/>
    </xf>
    <xf numFmtId="0" fontId="1" fillId="5042" borderId="0" xfId="4" applyFill="1" applyAlignment="1">
      <alignment horizontal="left" vertical="center"/>
    </xf>
    <xf numFmtId="0" fontId="1" fillId="5043" borderId="0" xfId="4" applyFill="1" applyAlignment="1">
      <alignment horizontal="center" vertical="center"/>
    </xf>
    <xf numFmtId="0" fontId="1" fillId="5044" borderId="0" xfId="4" applyFill="1" applyAlignment="1">
      <alignment horizontal="center" vertical="center"/>
    </xf>
    <xf numFmtId="0" fontId="1" fillId="3597" borderId="0" xfId="4" applyFill="1" applyAlignment="1">
      <alignment horizontal="center" vertical="center"/>
    </xf>
    <xf numFmtId="0" fontId="1" fillId="5045" borderId="0" xfId="4" applyFill="1" applyAlignment="1">
      <alignment horizontal="center" vertical="center"/>
    </xf>
    <xf numFmtId="0" fontId="1" fillId="5046" borderId="0" xfId="4" applyFill="1" applyAlignment="1">
      <alignment horizontal="center" vertical="center"/>
    </xf>
    <xf numFmtId="0" fontId="1" fillId="5047" borderId="0" xfId="4" applyFill="1" applyAlignment="1">
      <alignment horizontal="center" vertical="center"/>
    </xf>
    <xf numFmtId="0" fontId="1" fillId="5048" borderId="0" xfId="4" applyFill="1" applyAlignment="1">
      <alignment horizontal="center" vertical="center"/>
    </xf>
    <xf numFmtId="0" fontId="1" fillId="5049" borderId="0" xfId="4" applyFill="1" applyAlignment="1">
      <alignment horizontal="center" vertical="center"/>
    </xf>
    <xf numFmtId="0" fontId="1" fillId="5050" borderId="0" xfId="4" applyFill="1" applyAlignment="1">
      <alignment horizontal="center" vertical="center"/>
    </xf>
    <xf numFmtId="0" fontId="1" fillId="5051" borderId="0" xfId="4" applyFill="1" applyAlignment="1">
      <alignment horizontal="center" vertical="center"/>
    </xf>
    <xf numFmtId="0" fontId="1" fillId="5052" borderId="0" xfId="4" applyFill="1" applyAlignment="1">
      <alignment horizontal="center" vertical="center"/>
    </xf>
    <xf numFmtId="0" fontId="1" fillId="5053" borderId="0" xfId="4" applyFill="1" applyAlignment="1">
      <alignment horizontal="center" vertical="center"/>
    </xf>
    <xf numFmtId="0" fontId="1" fillId="5054" borderId="0" xfId="4" applyFill="1" applyAlignment="1">
      <alignment horizontal="center" vertical="center"/>
    </xf>
    <xf numFmtId="0" fontId="1" fillId="5055" borderId="0" xfId="4" applyFill="1" applyAlignment="1">
      <alignment horizontal="center" vertical="center"/>
    </xf>
    <xf numFmtId="0" fontId="1" fillId="5056" borderId="0" xfId="4" applyFill="1" applyAlignment="1">
      <alignment horizontal="center" vertical="center"/>
    </xf>
    <xf numFmtId="0" fontId="1" fillId="5057" borderId="0" xfId="4" applyFill="1" applyAlignment="1">
      <alignment horizontal="center" vertical="center"/>
    </xf>
    <xf numFmtId="0" fontId="1" fillId="5058" borderId="0" xfId="4" applyFill="1" applyAlignment="1">
      <alignment horizontal="center" vertical="center"/>
    </xf>
    <xf numFmtId="0" fontId="1" fillId="5059" borderId="0" xfId="4" applyFill="1" applyAlignment="1">
      <alignment horizontal="center" vertical="center"/>
    </xf>
    <xf numFmtId="0" fontId="1" fillId="5060" borderId="0" xfId="4" applyFill="1" applyAlignment="1">
      <alignment horizontal="center" vertical="center"/>
    </xf>
    <xf numFmtId="0" fontId="1" fillId="5061" borderId="0" xfId="4" applyFill="1" applyAlignment="1">
      <alignment horizontal="center" vertical="center"/>
    </xf>
    <xf numFmtId="0" fontId="1" fillId="5062" borderId="0" xfId="4" applyFill="1" applyAlignment="1">
      <alignment horizontal="center" vertical="center"/>
    </xf>
    <xf numFmtId="0" fontId="1" fillId="5063" borderId="0" xfId="4" applyFill="1" applyAlignment="1">
      <alignment horizontal="center" vertical="center"/>
    </xf>
    <xf numFmtId="0" fontId="1" fillId="5064" borderId="0" xfId="4" applyFill="1" applyAlignment="1">
      <alignment horizontal="center" vertical="center"/>
    </xf>
    <xf numFmtId="0" fontId="1" fillId="5065" borderId="0" xfId="4" applyFill="1" applyAlignment="1">
      <alignment horizontal="center" vertical="center"/>
    </xf>
    <xf numFmtId="0" fontId="1" fillId="5066" borderId="0" xfId="4" applyFill="1" applyAlignment="1">
      <alignment horizontal="center" vertical="center"/>
    </xf>
    <xf numFmtId="0" fontId="1" fillId="5067" borderId="0" xfId="4" applyFill="1" applyAlignment="1">
      <alignment horizontal="center" vertical="center"/>
    </xf>
    <xf numFmtId="0" fontId="1" fillId="5068" borderId="0" xfId="4" applyFill="1" applyAlignment="1">
      <alignment horizontal="left" vertical="center"/>
    </xf>
    <xf numFmtId="0" fontId="1" fillId="5069" borderId="0" xfId="4" applyFill="1" applyAlignment="1">
      <alignment horizontal="center" vertical="center"/>
    </xf>
    <xf numFmtId="0" fontId="1" fillId="5070" borderId="0" xfId="4" applyFill="1" applyAlignment="1">
      <alignment horizontal="center" vertical="center"/>
    </xf>
    <xf numFmtId="0" fontId="1" fillId="5071" borderId="0" xfId="4" applyFill="1" applyAlignment="1">
      <alignment horizontal="center" vertical="center"/>
    </xf>
    <xf numFmtId="0" fontId="1" fillId="5072" borderId="0" xfId="4" applyFill="1" applyAlignment="1">
      <alignment horizontal="center" vertical="center"/>
    </xf>
    <xf numFmtId="0" fontId="1" fillId="5073" borderId="0" xfId="4" applyFill="1" applyAlignment="1">
      <alignment horizontal="center" vertical="center"/>
    </xf>
    <xf numFmtId="0" fontId="1" fillId="5074" borderId="0" xfId="4" applyFill="1" applyAlignment="1">
      <alignment horizontal="center" vertical="center"/>
    </xf>
    <xf numFmtId="0" fontId="1" fillId="5075" borderId="0" xfId="4" applyFill="1" applyAlignment="1">
      <alignment horizontal="center" vertical="center"/>
    </xf>
    <xf numFmtId="0" fontId="1" fillId="5076" borderId="0" xfId="4" applyFill="1" applyAlignment="1">
      <alignment horizontal="center" vertical="center"/>
    </xf>
    <xf numFmtId="0" fontId="1" fillId="5077" borderId="0" xfId="4" applyFill="1" applyAlignment="1">
      <alignment horizontal="center" vertical="center"/>
    </xf>
    <xf numFmtId="0" fontId="1" fillId="5078" borderId="0" xfId="4" applyFill="1" applyAlignment="1">
      <alignment horizontal="center" vertical="center"/>
    </xf>
    <xf numFmtId="0" fontId="1" fillId="5079" borderId="0" xfId="4" applyFill="1" applyAlignment="1">
      <alignment horizontal="center" vertical="center"/>
    </xf>
    <xf numFmtId="0" fontId="1" fillId="5080" borderId="0" xfId="4" applyFill="1" applyAlignment="1">
      <alignment horizontal="center" vertical="center"/>
    </xf>
    <xf numFmtId="0" fontId="1" fillId="5081" borderId="0" xfId="4" applyFill="1" applyAlignment="1">
      <alignment horizontal="center" vertical="center"/>
    </xf>
    <xf numFmtId="0" fontId="1" fillId="5082" borderId="0" xfId="4" applyFill="1" applyAlignment="1">
      <alignment horizontal="center" vertical="center"/>
    </xf>
    <xf numFmtId="0" fontId="1" fillId="5083" borderId="0" xfId="4" applyFill="1" applyAlignment="1">
      <alignment horizontal="center" vertical="center"/>
    </xf>
    <xf numFmtId="0" fontId="1" fillId="5084" borderId="0" xfId="4" applyFill="1" applyAlignment="1">
      <alignment horizontal="center" vertical="center"/>
    </xf>
    <xf numFmtId="0" fontId="1" fillId="5085" borderId="0" xfId="4" applyFill="1" applyAlignment="1">
      <alignment horizontal="center" vertical="center"/>
    </xf>
    <xf numFmtId="0" fontId="1" fillId="5086" borderId="0" xfId="4" applyFill="1" applyAlignment="1">
      <alignment horizontal="center" vertical="center"/>
    </xf>
    <xf numFmtId="0" fontId="1" fillId="5087" borderId="0" xfId="4" applyFill="1" applyAlignment="1">
      <alignment horizontal="center" vertical="center"/>
    </xf>
    <xf numFmtId="0" fontId="1" fillId="5088" borderId="0" xfId="4" applyFill="1" applyAlignment="1">
      <alignment horizontal="center" vertical="center"/>
    </xf>
    <xf numFmtId="0" fontId="1" fillId="5089" borderId="0" xfId="4" applyFill="1" applyAlignment="1">
      <alignment horizontal="left" vertical="center"/>
    </xf>
    <xf numFmtId="0" fontId="1" fillId="5090" borderId="0" xfId="4" applyFill="1" applyAlignment="1">
      <alignment horizontal="center" vertical="center"/>
    </xf>
    <xf numFmtId="0" fontId="1" fillId="5091" borderId="0" xfId="4" applyFill="1" applyAlignment="1">
      <alignment horizontal="center" vertical="center"/>
    </xf>
    <xf numFmtId="0" fontId="1" fillId="1215" borderId="0" xfId="4" applyFill="1" applyAlignment="1">
      <alignment horizontal="left" vertical="center"/>
    </xf>
    <xf numFmtId="0" fontId="1" fillId="5092" borderId="0" xfId="4" applyFill="1" applyAlignment="1">
      <alignment horizontal="center" vertical="center"/>
    </xf>
    <xf numFmtId="0" fontId="1" fillId="908" borderId="0" xfId="4" applyFill="1" applyAlignment="1">
      <alignment horizontal="center" vertical="center"/>
    </xf>
    <xf numFmtId="0" fontId="1" fillId="5093" borderId="0" xfId="4" applyFill="1" applyAlignment="1">
      <alignment horizontal="center" vertical="center"/>
    </xf>
    <xf numFmtId="0" fontId="1" fillId="1041" borderId="0" xfId="4" applyFill="1" applyAlignment="1">
      <alignment horizontal="center" vertical="center"/>
    </xf>
    <xf numFmtId="0" fontId="1" fillId="5094" borderId="0" xfId="4" applyFill="1" applyAlignment="1">
      <alignment horizontal="center" vertical="center"/>
    </xf>
    <xf numFmtId="0" fontId="1" fillId="1008" borderId="0" xfId="4" applyFill="1" applyAlignment="1">
      <alignment horizontal="center" vertical="center"/>
    </xf>
    <xf numFmtId="0" fontId="1" fillId="5095" borderId="0" xfId="4" applyFill="1" applyAlignment="1">
      <alignment horizontal="center" vertical="center"/>
    </xf>
    <xf numFmtId="0" fontId="1" fillId="5096" borderId="0" xfId="4" applyFill="1" applyAlignment="1">
      <alignment horizontal="center" vertical="center"/>
    </xf>
    <xf numFmtId="0" fontId="1" fillId="5097" borderId="0" xfId="4" applyFill="1" applyAlignment="1">
      <alignment horizontal="center" vertical="center"/>
    </xf>
    <xf numFmtId="0" fontId="1" fillId="5098" borderId="0" xfId="4" applyFill="1" applyAlignment="1">
      <alignment horizontal="center" vertical="center"/>
    </xf>
    <xf numFmtId="0" fontId="1" fillId="5099" borderId="0" xfId="4" applyFill="1" applyAlignment="1">
      <alignment horizontal="center" vertical="center"/>
    </xf>
    <xf numFmtId="0" fontId="1" fillId="5100" borderId="0" xfId="4" applyFill="1" applyAlignment="1">
      <alignment horizontal="center" vertical="center"/>
    </xf>
    <xf numFmtId="0" fontId="1" fillId="5101" borderId="0" xfId="4" applyFill="1" applyAlignment="1">
      <alignment horizontal="center" vertical="center"/>
    </xf>
    <xf numFmtId="0" fontId="1" fillId="5102" borderId="0" xfId="4" applyFill="1" applyAlignment="1">
      <alignment horizontal="center" vertical="center"/>
    </xf>
    <xf numFmtId="0" fontId="1" fillId="5103" borderId="0" xfId="4" applyFill="1" applyAlignment="1">
      <alignment horizontal="center" vertical="center"/>
    </xf>
    <xf numFmtId="0" fontId="1" fillId="5104" borderId="0" xfId="4" applyFill="1" applyAlignment="1">
      <alignment horizontal="center" vertical="center"/>
    </xf>
    <xf numFmtId="0" fontId="1" fillId="5105" borderId="0" xfId="4" applyFill="1" applyAlignment="1">
      <alignment horizontal="center" vertical="center"/>
    </xf>
    <xf numFmtId="0" fontId="1" fillId="5106" borderId="0" xfId="4" applyFill="1" applyAlignment="1">
      <alignment horizontal="center" vertical="center"/>
    </xf>
    <xf numFmtId="0" fontId="1" fillId="5107" borderId="0" xfId="4" applyFill="1" applyAlignment="1">
      <alignment horizontal="center" vertical="center"/>
    </xf>
    <xf numFmtId="0" fontId="1" fillId="5108" borderId="0" xfId="4" applyFill="1" applyAlignment="1">
      <alignment horizontal="center" vertical="center"/>
    </xf>
    <xf numFmtId="0" fontId="1" fillId="5109" borderId="0" xfId="4" applyFill="1" applyAlignment="1">
      <alignment horizontal="center" vertical="center"/>
    </xf>
    <xf numFmtId="0" fontId="1" fillId="5110" borderId="0" xfId="4" applyFill="1" applyAlignment="1">
      <alignment horizontal="center" vertical="center"/>
    </xf>
    <xf numFmtId="0" fontId="1" fillId="5111" borderId="0" xfId="4" applyFill="1" applyAlignment="1">
      <alignment horizontal="center" vertical="center"/>
    </xf>
    <xf numFmtId="0" fontId="1" fillId="5112" borderId="0" xfId="4" applyFill="1" applyAlignment="1">
      <alignment horizontal="center" vertical="center"/>
    </xf>
    <xf numFmtId="0" fontId="1" fillId="5113" borderId="0" xfId="4" applyFill="1" applyAlignment="1">
      <alignment horizontal="center" vertical="center"/>
    </xf>
    <xf numFmtId="0" fontId="1" fillId="5114" borderId="0" xfId="4" applyFill="1" applyAlignment="1">
      <alignment horizontal="center" vertical="center"/>
    </xf>
    <xf numFmtId="0" fontId="1" fillId="5115" borderId="0" xfId="4" applyFill="1" applyAlignment="1">
      <alignment horizontal="center" vertical="center"/>
    </xf>
    <xf numFmtId="0" fontId="1" fillId="5116" borderId="0" xfId="4" applyFill="1" applyAlignment="1">
      <alignment horizontal="center" vertical="center"/>
    </xf>
    <xf numFmtId="0" fontId="1" fillId="5117" borderId="0" xfId="4" applyFill="1" applyAlignment="1">
      <alignment horizontal="center" vertical="center"/>
    </xf>
    <xf numFmtId="0" fontId="1" fillId="5118" borderId="0" xfId="4" applyFill="1" applyAlignment="1">
      <alignment horizontal="center" vertical="center"/>
    </xf>
    <xf numFmtId="0" fontId="1" fillId="5119" borderId="0" xfId="4" applyFill="1" applyAlignment="1">
      <alignment horizontal="center" vertical="center"/>
    </xf>
    <xf numFmtId="0" fontId="1" fillId="5120" borderId="0" xfId="4" applyFill="1" applyAlignment="1">
      <alignment horizontal="left" vertical="center"/>
    </xf>
    <xf numFmtId="0" fontId="1" fillId="5121" borderId="0" xfId="4" applyFill="1" applyAlignment="1">
      <alignment horizontal="center" vertical="center"/>
    </xf>
    <xf numFmtId="0" fontId="1" fillId="5122" borderId="0" xfId="4" applyFill="1" applyAlignment="1">
      <alignment horizontal="center" vertical="center"/>
    </xf>
    <xf numFmtId="0" fontId="1" fillId="5123" borderId="0" xfId="4" applyFill="1" applyAlignment="1">
      <alignment horizontal="center" vertical="center"/>
    </xf>
    <xf numFmtId="0" fontId="1" fillId="5124" borderId="0" xfId="4" applyFill="1" applyAlignment="1">
      <alignment horizontal="center" vertical="center"/>
    </xf>
    <xf numFmtId="0" fontId="1" fillId="5125" borderId="0" xfId="4" applyFill="1" applyAlignment="1">
      <alignment horizontal="center" vertical="center"/>
    </xf>
    <xf numFmtId="0" fontId="1" fillId="5126" borderId="0" xfId="4" applyFill="1" applyAlignment="1">
      <alignment horizontal="center" vertical="center"/>
    </xf>
    <xf numFmtId="0" fontId="1" fillId="5127" borderId="0" xfId="4" applyFill="1" applyAlignment="1">
      <alignment horizontal="center" vertical="center"/>
    </xf>
    <xf numFmtId="0" fontId="1" fillId="5128" borderId="0" xfId="4" applyFill="1" applyAlignment="1">
      <alignment horizontal="center" vertical="center"/>
    </xf>
    <xf numFmtId="0" fontId="1" fillId="5129" borderId="0" xfId="4" applyFill="1" applyAlignment="1">
      <alignment horizontal="center" vertical="center"/>
    </xf>
    <xf numFmtId="0" fontId="1" fillId="5130" borderId="0" xfId="4" applyFill="1" applyAlignment="1">
      <alignment horizontal="center" vertical="center"/>
    </xf>
    <xf numFmtId="0" fontId="1" fillId="5131" borderId="0" xfId="4" applyFill="1" applyAlignment="1">
      <alignment horizontal="center" vertical="center"/>
    </xf>
    <xf numFmtId="0" fontId="1" fillId="5132" borderId="0" xfId="4" applyFill="1" applyAlignment="1">
      <alignment horizontal="center" vertical="center"/>
    </xf>
    <xf numFmtId="0" fontId="1" fillId="5133" borderId="0" xfId="4" applyFill="1" applyAlignment="1">
      <alignment horizontal="center" vertical="center"/>
    </xf>
    <xf numFmtId="0" fontId="1" fillId="5134" borderId="0" xfId="4" applyFill="1" applyAlignment="1">
      <alignment horizontal="center" vertical="center"/>
    </xf>
    <xf numFmtId="0" fontId="1" fillId="5135" borderId="0" xfId="4" applyFill="1" applyAlignment="1">
      <alignment horizontal="center" vertical="center"/>
    </xf>
    <xf numFmtId="0" fontId="1" fillId="5136" borderId="0" xfId="4" applyFill="1" applyAlignment="1">
      <alignment horizontal="center" vertical="center"/>
    </xf>
    <xf numFmtId="0" fontId="1" fillId="5137" borderId="0" xfId="4" applyFill="1" applyAlignment="1">
      <alignment horizontal="center" vertical="center"/>
    </xf>
    <xf numFmtId="0" fontId="1" fillId="5138" borderId="0" xfId="4" applyFill="1" applyAlignment="1">
      <alignment horizontal="center" vertical="center"/>
    </xf>
    <xf numFmtId="0" fontId="1" fillId="5139" borderId="0" xfId="4" applyFill="1" applyAlignment="1">
      <alignment horizontal="center" vertical="center"/>
    </xf>
    <xf numFmtId="0" fontId="1" fillId="5140" borderId="0" xfId="4" applyFill="1" applyAlignment="1">
      <alignment horizontal="center" vertical="center"/>
    </xf>
    <xf numFmtId="0" fontId="1" fillId="5141" borderId="0" xfId="4" applyFill="1" applyAlignment="1">
      <alignment horizontal="center" vertical="center"/>
    </xf>
    <xf numFmtId="0" fontId="1" fillId="5142" borderId="0" xfId="4" applyFill="1" applyAlignment="1">
      <alignment horizontal="center" vertical="center"/>
    </xf>
    <xf numFmtId="0" fontId="1" fillId="5143" borderId="0" xfId="4" applyFill="1" applyAlignment="1">
      <alignment horizontal="center" vertical="center"/>
    </xf>
    <xf numFmtId="0" fontId="1" fillId="5144" borderId="0" xfId="4" applyFill="1" applyAlignment="1">
      <alignment horizontal="center" vertical="center"/>
    </xf>
    <xf numFmtId="0" fontId="1" fillId="5145" borderId="0" xfId="4" applyFill="1" applyAlignment="1">
      <alignment horizontal="center" vertical="center"/>
    </xf>
    <xf numFmtId="0" fontId="1" fillId="5146" borderId="0" xfId="4" applyFill="1" applyAlignment="1">
      <alignment horizontal="center" vertical="center"/>
    </xf>
    <xf numFmtId="0" fontId="1" fillId="5147" borderId="0" xfId="4" applyFill="1" applyAlignment="1">
      <alignment horizontal="left" vertical="center"/>
    </xf>
    <xf numFmtId="0" fontId="1" fillId="5148" borderId="0" xfId="4" applyFill="1" applyAlignment="1">
      <alignment horizontal="center" vertical="center"/>
    </xf>
    <xf numFmtId="0" fontId="1" fillId="5149" borderId="0" xfId="4" applyFill="1" applyAlignment="1">
      <alignment horizontal="center" vertical="center"/>
    </xf>
    <xf numFmtId="0" fontId="1" fillId="5150" borderId="0" xfId="4" applyFill="1" applyAlignment="1">
      <alignment horizontal="center" vertical="center"/>
    </xf>
    <xf numFmtId="0" fontId="1" fillId="5151" borderId="0" xfId="4" applyFill="1" applyAlignment="1">
      <alignment horizontal="center" vertical="center"/>
    </xf>
    <xf numFmtId="0" fontId="1" fillId="5152" borderId="0" xfId="4" applyFill="1" applyAlignment="1">
      <alignment horizontal="center" vertical="center"/>
    </xf>
    <xf numFmtId="0" fontId="1" fillId="5153" borderId="0" xfId="4" applyFill="1" applyAlignment="1">
      <alignment horizontal="center" vertical="center"/>
    </xf>
    <xf numFmtId="0" fontId="1" fillId="5154" borderId="0" xfId="4" applyFill="1" applyAlignment="1">
      <alignment horizontal="center" vertical="center"/>
    </xf>
    <xf numFmtId="0" fontId="1" fillId="5155" borderId="0" xfId="4" applyFill="1" applyAlignment="1">
      <alignment horizontal="center" vertical="center"/>
    </xf>
    <xf numFmtId="0" fontId="1" fillId="5156" borderId="0" xfId="4" applyFill="1" applyAlignment="1">
      <alignment horizontal="center" vertical="center"/>
    </xf>
    <xf numFmtId="0" fontId="1" fillId="5157" borderId="0" xfId="4" applyFill="1" applyAlignment="1">
      <alignment horizontal="center" vertical="center"/>
    </xf>
    <xf numFmtId="0" fontId="1" fillId="5158" borderId="0" xfId="4" applyFill="1" applyAlignment="1">
      <alignment horizontal="center" vertical="center"/>
    </xf>
    <xf numFmtId="0" fontId="1" fillId="5159" borderId="0" xfId="4" applyFill="1" applyAlignment="1">
      <alignment horizontal="center" vertical="center"/>
    </xf>
    <xf numFmtId="0" fontId="1" fillId="5160" borderId="0" xfId="4" applyFill="1" applyAlignment="1">
      <alignment horizontal="center" vertical="center"/>
    </xf>
    <xf numFmtId="0" fontId="1" fillId="5161" borderId="0" xfId="4" applyFill="1" applyAlignment="1">
      <alignment horizontal="center" vertical="center"/>
    </xf>
    <xf numFmtId="0" fontId="1" fillId="5162" borderId="0" xfId="4" applyFill="1" applyAlignment="1">
      <alignment horizontal="center" vertical="center"/>
    </xf>
    <xf numFmtId="0" fontId="1" fillId="5163" borderId="0" xfId="4" applyFill="1" applyAlignment="1">
      <alignment horizontal="center" vertical="center"/>
    </xf>
    <xf numFmtId="0" fontId="1" fillId="5164" borderId="0" xfId="4" applyFill="1" applyAlignment="1">
      <alignment horizontal="center" vertical="center"/>
    </xf>
    <xf numFmtId="0" fontId="1" fillId="5165" borderId="0" xfId="4" applyFill="1" applyAlignment="1">
      <alignment horizontal="center" vertical="center"/>
    </xf>
    <xf numFmtId="0" fontId="1" fillId="5166" borderId="0" xfId="4" applyFill="1" applyAlignment="1">
      <alignment horizontal="center" vertical="center"/>
    </xf>
    <xf numFmtId="0" fontId="1" fillId="5167" borderId="0" xfId="4" applyFill="1" applyAlignment="1">
      <alignment horizontal="center" vertical="center"/>
    </xf>
    <xf numFmtId="0" fontId="1" fillId="5168" borderId="0" xfId="4" applyFill="1" applyAlignment="1">
      <alignment horizontal="left" vertical="center"/>
    </xf>
    <xf numFmtId="0" fontId="1" fillId="5169" borderId="0" xfId="4" applyFill="1" applyAlignment="1">
      <alignment horizontal="center" vertical="center"/>
    </xf>
    <xf numFmtId="0" fontId="1" fillId="5170" borderId="0" xfId="4" applyFill="1" applyAlignment="1">
      <alignment horizontal="center" vertical="center"/>
    </xf>
    <xf numFmtId="0" fontId="1" fillId="5171" borderId="0" xfId="4" applyFill="1" applyAlignment="1">
      <alignment horizontal="left" vertical="center"/>
    </xf>
    <xf numFmtId="0" fontId="1" fillId="5172" borderId="0" xfId="4" applyFill="1" applyAlignment="1">
      <alignment horizontal="center" vertical="center"/>
    </xf>
    <xf numFmtId="0" fontId="1" fillId="5173" borderId="0" xfId="4" applyFill="1" applyAlignment="1">
      <alignment horizontal="center" vertical="center"/>
    </xf>
    <xf numFmtId="0" fontId="1" fillId="5174" borderId="0" xfId="4" applyFill="1" applyAlignment="1">
      <alignment horizontal="center" vertical="center"/>
    </xf>
    <xf numFmtId="0" fontId="1" fillId="5175" borderId="0" xfId="4" applyFill="1" applyAlignment="1">
      <alignment horizontal="center" vertical="center"/>
    </xf>
    <xf numFmtId="0" fontId="1" fillId="1078" borderId="0" xfId="4" applyFill="1" applyAlignment="1">
      <alignment horizontal="center" vertical="center"/>
    </xf>
    <xf numFmtId="0" fontId="1" fillId="5176" borderId="0" xfId="4" applyFill="1" applyAlignment="1">
      <alignment horizontal="center" vertical="center"/>
    </xf>
    <xf numFmtId="0" fontId="1" fillId="5177" borderId="0" xfId="4" applyFill="1" applyAlignment="1">
      <alignment horizontal="center" vertical="center"/>
    </xf>
    <xf numFmtId="0" fontId="1" fillId="5178" borderId="0" xfId="4" applyFill="1" applyAlignment="1">
      <alignment horizontal="center" vertical="center"/>
    </xf>
    <xf numFmtId="0" fontId="1" fillId="5179" borderId="0" xfId="4" applyFill="1" applyAlignment="1">
      <alignment horizontal="center" vertical="center"/>
    </xf>
    <xf numFmtId="0" fontId="1" fillId="5180" borderId="0" xfId="4" applyFill="1" applyAlignment="1">
      <alignment horizontal="center" vertical="center"/>
    </xf>
    <xf numFmtId="0" fontId="1" fillId="5181" borderId="0" xfId="4" applyFill="1" applyAlignment="1">
      <alignment horizontal="center" vertical="center"/>
    </xf>
    <xf numFmtId="0" fontId="1" fillId="5182" borderId="0" xfId="4" applyFill="1" applyAlignment="1">
      <alignment horizontal="center" vertical="center"/>
    </xf>
    <xf numFmtId="0" fontId="1" fillId="5183" borderId="0" xfId="4" applyFill="1" applyAlignment="1">
      <alignment horizontal="center" vertical="center"/>
    </xf>
    <xf numFmtId="0" fontId="1" fillId="5184" borderId="0" xfId="4" applyFill="1" applyAlignment="1">
      <alignment horizontal="center" vertical="center"/>
    </xf>
    <xf numFmtId="0" fontId="1" fillId="5185" borderId="0" xfId="4" applyFill="1" applyAlignment="1">
      <alignment horizontal="center" vertical="center"/>
    </xf>
    <xf numFmtId="0" fontId="1" fillId="5186" borderId="0" xfId="4" applyFill="1" applyAlignment="1">
      <alignment horizontal="center" vertical="center"/>
    </xf>
    <xf numFmtId="0" fontId="1" fillId="5187" borderId="0" xfId="4" applyFill="1" applyAlignment="1">
      <alignment horizontal="center" vertical="center"/>
    </xf>
    <xf numFmtId="0" fontId="1" fillId="5188" borderId="0" xfId="4" applyFill="1" applyAlignment="1">
      <alignment horizontal="center" vertical="center"/>
    </xf>
    <xf numFmtId="0" fontId="1" fillId="5189" borderId="0" xfId="4" applyFill="1" applyAlignment="1">
      <alignment horizontal="center" vertical="center"/>
    </xf>
    <xf numFmtId="0" fontId="1" fillId="5190" borderId="0" xfId="4" applyFill="1" applyAlignment="1">
      <alignment horizontal="center" vertical="center"/>
    </xf>
    <xf numFmtId="0" fontId="1" fillId="5191" borderId="0" xfId="4" applyFill="1" applyAlignment="1">
      <alignment horizontal="center" vertical="center"/>
    </xf>
    <xf numFmtId="0" fontId="1" fillId="5192" borderId="0" xfId="4" applyFill="1" applyAlignment="1">
      <alignment horizontal="center" vertical="center"/>
    </xf>
    <xf numFmtId="0" fontId="1" fillId="5193" borderId="0" xfId="4" applyFill="1" applyAlignment="1">
      <alignment horizontal="center" vertical="center"/>
    </xf>
    <xf numFmtId="0" fontId="1" fillId="5194" borderId="0" xfId="4" applyFill="1" applyAlignment="1">
      <alignment horizontal="center" vertical="center"/>
    </xf>
    <xf numFmtId="0" fontId="1" fillId="5195" borderId="0" xfId="4" applyFill="1" applyAlignment="1">
      <alignment horizontal="center" vertical="center"/>
    </xf>
    <xf numFmtId="0" fontId="1" fillId="5196" borderId="0" xfId="4" applyFill="1" applyAlignment="1">
      <alignment horizontal="center" vertical="center"/>
    </xf>
    <xf numFmtId="0" fontId="1" fillId="5197" borderId="0" xfId="4" applyFill="1" applyAlignment="1">
      <alignment horizontal="center" vertical="center"/>
    </xf>
    <xf numFmtId="0" fontId="1" fillId="5198" borderId="0" xfId="4" applyFill="1" applyAlignment="1">
      <alignment horizontal="center" vertical="center"/>
    </xf>
    <xf numFmtId="0" fontId="1" fillId="5199" borderId="0" xfId="4" applyFill="1" applyAlignment="1">
      <alignment horizontal="center" vertical="center"/>
    </xf>
    <xf numFmtId="0" fontId="1" fillId="5200" borderId="0" xfId="4" applyFill="1" applyAlignment="1">
      <alignment horizontal="center" vertical="center"/>
    </xf>
    <xf numFmtId="0" fontId="1" fillId="5201" borderId="0" xfId="4" applyFill="1" applyAlignment="1">
      <alignment horizontal="center" vertical="center"/>
    </xf>
    <xf numFmtId="0" fontId="1" fillId="5202" borderId="0" xfId="4" applyFill="1" applyAlignment="1">
      <alignment horizontal="center" vertical="center"/>
    </xf>
    <xf numFmtId="0" fontId="1" fillId="5203" borderId="0" xfId="4" applyFill="1" applyAlignment="1">
      <alignment horizontal="left" vertical="center"/>
    </xf>
    <xf numFmtId="0" fontId="1" fillId="5204" borderId="0" xfId="4" applyFill="1" applyAlignment="1">
      <alignment horizontal="center" vertical="center"/>
    </xf>
    <xf numFmtId="0" fontId="1" fillId="5205" borderId="0" xfId="4" applyFill="1" applyAlignment="1">
      <alignment horizontal="center" vertical="center"/>
    </xf>
    <xf numFmtId="0" fontId="1" fillId="5206" borderId="0" xfId="4" applyFill="1" applyAlignment="1">
      <alignment horizontal="center" vertical="center"/>
    </xf>
    <xf numFmtId="0" fontId="1" fillId="5207" borderId="0" xfId="4" applyFill="1" applyAlignment="1">
      <alignment horizontal="center" vertical="center"/>
    </xf>
    <xf numFmtId="0" fontId="1" fillId="5208" borderId="0" xfId="4" applyFill="1" applyAlignment="1">
      <alignment horizontal="center" vertical="center"/>
    </xf>
    <xf numFmtId="0" fontId="1" fillId="5209" borderId="0" xfId="4" applyFill="1" applyAlignment="1">
      <alignment horizontal="center" vertical="center"/>
    </xf>
    <xf numFmtId="0" fontId="1" fillId="5210" borderId="0" xfId="4" applyFill="1" applyAlignment="1">
      <alignment horizontal="center" vertical="center"/>
    </xf>
    <xf numFmtId="0" fontId="1" fillId="5211" borderId="0" xfId="4" applyFill="1" applyAlignment="1">
      <alignment horizontal="center" vertical="center"/>
    </xf>
    <xf numFmtId="0" fontId="1" fillId="5212" borderId="0" xfId="4" applyFill="1" applyAlignment="1">
      <alignment horizontal="center" vertical="center"/>
    </xf>
    <xf numFmtId="0" fontId="1" fillId="5213" borderId="0" xfId="4" applyFill="1" applyAlignment="1">
      <alignment horizontal="center" vertical="center"/>
    </xf>
    <xf numFmtId="0" fontId="1" fillId="5214" borderId="0" xfId="4" applyFill="1" applyAlignment="1">
      <alignment horizontal="center" vertical="center"/>
    </xf>
    <xf numFmtId="0" fontId="1" fillId="5215" borderId="0" xfId="4" applyFill="1" applyAlignment="1">
      <alignment horizontal="center" vertical="center"/>
    </xf>
    <xf numFmtId="0" fontId="1" fillId="5216" borderId="0" xfId="4" applyFill="1" applyAlignment="1">
      <alignment horizontal="center" vertical="center"/>
    </xf>
    <xf numFmtId="0" fontId="1" fillId="5217" borderId="0" xfId="4" applyFill="1" applyAlignment="1">
      <alignment horizontal="center" vertical="center"/>
    </xf>
    <xf numFmtId="0" fontId="1" fillId="5218" borderId="0" xfId="4" applyFill="1" applyAlignment="1">
      <alignment horizontal="center" vertical="center"/>
    </xf>
    <xf numFmtId="0" fontId="1" fillId="5219" borderId="0" xfId="4" applyFill="1" applyAlignment="1">
      <alignment horizontal="center" vertical="center"/>
    </xf>
    <xf numFmtId="0" fontId="1" fillId="5220" borderId="0" xfId="4" applyFill="1" applyAlignment="1">
      <alignment horizontal="center" vertical="center"/>
    </xf>
    <xf numFmtId="0" fontId="1" fillId="5221" borderId="0" xfId="4" applyFill="1" applyAlignment="1">
      <alignment horizontal="center" vertical="center"/>
    </xf>
    <xf numFmtId="0" fontId="1" fillId="5222" borderId="0" xfId="4" applyFill="1" applyAlignment="1">
      <alignment horizontal="center" vertical="center"/>
    </xf>
    <xf numFmtId="0" fontId="1" fillId="5223" borderId="0" xfId="4" applyFill="1" applyAlignment="1">
      <alignment horizontal="center" vertical="center"/>
    </xf>
    <xf numFmtId="0" fontId="1" fillId="5224" borderId="0" xfId="4" applyFill="1" applyAlignment="1">
      <alignment horizontal="center" vertical="center"/>
    </xf>
    <xf numFmtId="0" fontId="1" fillId="5225" borderId="0" xfId="4" applyFill="1" applyAlignment="1">
      <alignment horizontal="center" vertical="center"/>
    </xf>
    <xf numFmtId="0" fontId="1" fillId="5226" borderId="0" xfId="4" applyFill="1" applyAlignment="1">
      <alignment horizontal="center" vertical="center"/>
    </xf>
    <xf numFmtId="0" fontId="1" fillId="5227" borderId="0" xfId="4" applyFill="1" applyAlignment="1">
      <alignment horizontal="center" vertical="center"/>
    </xf>
    <xf numFmtId="0" fontId="1" fillId="5228" borderId="0" xfId="4" applyFill="1" applyAlignment="1">
      <alignment horizontal="center" vertical="center"/>
    </xf>
    <xf numFmtId="0" fontId="1" fillId="5229" borderId="0" xfId="4" applyFill="1" applyAlignment="1">
      <alignment horizontal="left" vertical="center"/>
    </xf>
    <xf numFmtId="0" fontId="1" fillId="5230" borderId="0" xfId="4" applyFill="1" applyAlignment="1">
      <alignment horizontal="center" vertical="center"/>
    </xf>
    <xf numFmtId="0" fontId="1" fillId="5231" borderId="0" xfId="4" applyFill="1" applyAlignment="1">
      <alignment horizontal="center" vertical="center"/>
    </xf>
    <xf numFmtId="0" fontId="1" fillId="5232" borderId="0" xfId="4" applyFill="1" applyAlignment="1">
      <alignment horizontal="center" vertical="center"/>
    </xf>
    <xf numFmtId="0" fontId="1" fillId="5233" borderId="0" xfId="4" applyFill="1" applyAlignment="1">
      <alignment horizontal="center" vertical="center"/>
    </xf>
    <xf numFmtId="0" fontId="1" fillId="5234" borderId="0" xfId="4" applyFill="1" applyAlignment="1">
      <alignment horizontal="center" vertical="center"/>
    </xf>
    <xf numFmtId="0" fontId="1" fillId="5235" borderId="0" xfId="4" applyFill="1" applyAlignment="1">
      <alignment horizontal="center" vertical="center"/>
    </xf>
    <xf numFmtId="0" fontId="1" fillId="5236" borderId="0" xfId="4" applyFill="1" applyAlignment="1">
      <alignment horizontal="center" vertical="center"/>
    </xf>
    <xf numFmtId="0" fontId="1" fillId="5237" borderId="0" xfId="4" applyFill="1" applyAlignment="1">
      <alignment horizontal="center" vertical="center"/>
    </xf>
    <xf numFmtId="0" fontId="1" fillId="5238" borderId="0" xfId="4" applyFill="1" applyAlignment="1">
      <alignment horizontal="center" vertical="center"/>
    </xf>
    <xf numFmtId="0" fontId="1" fillId="5239" borderId="0" xfId="4" applyFill="1" applyAlignment="1">
      <alignment horizontal="center" vertical="center"/>
    </xf>
    <xf numFmtId="0" fontId="1" fillId="5240" borderId="0" xfId="4" applyFill="1" applyAlignment="1">
      <alignment horizontal="center" vertical="center"/>
    </xf>
    <xf numFmtId="0" fontId="1" fillId="5241" borderId="0" xfId="4" applyFill="1" applyAlignment="1">
      <alignment horizontal="center" vertical="center"/>
    </xf>
    <xf numFmtId="0" fontId="1" fillId="5242" borderId="0" xfId="4" applyFill="1" applyAlignment="1">
      <alignment horizontal="center" vertical="center"/>
    </xf>
    <xf numFmtId="0" fontId="1" fillId="5243" borderId="0" xfId="4" applyFill="1" applyAlignment="1">
      <alignment horizontal="center" vertical="center"/>
    </xf>
    <xf numFmtId="0" fontId="1" fillId="5244" borderId="0" xfId="4" applyFill="1" applyAlignment="1">
      <alignment horizontal="center" vertical="center"/>
    </xf>
    <xf numFmtId="0" fontId="1" fillId="5245" borderId="0" xfId="4" applyFill="1" applyAlignment="1">
      <alignment horizontal="center" vertical="center"/>
    </xf>
    <xf numFmtId="0" fontId="1" fillId="5246" borderId="0" xfId="4" applyFill="1" applyAlignment="1">
      <alignment horizontal="center" vertical="center"/>
    </xf>
    <xf numFmtId="0" fontId="1" fillId="5247" borderId="0" xfId="4" applyFill="1" applyAlignment="1">
      <alignment horizontal="center" vertical="center"/>
    </xf>
    <xf numFmtId="0" fontId="1" fillId="5248" borderId="0" xfId="4" applyFill="1" applyAlignment="1">
      <alignment horizontal="center" vertical="center"/>
    </xf>
    <xf numFmtId="0" fontId="1" fillId="5249" borderId="0" xfId="4" applyFill="1" applyAlignment="1">
      <alignment horizontal="center" vertical="center"/>
    </xf>
    <xf numFmtId="0" fontId="1" fillId="5250" borderId="0" xfId="4" applyFill="1" applyAlignment="1">
      <alignment horizontal="left" vertical="center"/>
    </xf>
    <xf numFmtId="0" fontId="1" fillId="5251" borderId="0" xfId="4" applyFill="1" applyAlignment="1">
      <alignment horizontal="center" vertical="center"/>
    </xf>
    <xf numFmtId="0" fontId="1" fillId="5252" borderId="0" xfId="4" applyFill="1" applyAlignment="1">
      <alignment horizontal="center" vertical="center"/>
    </xf>
    <xf numFmtId="0" fontId="1" fillId="5253" borderId="0" xfId="4" applyFill="1" applyAlignment="1">
      <alignment horizontal="left" vertical="center"/>
    </xf>
    <xf numFmtId="0" fontId="1" fillId="5254" borderId="0" xfId="4" applyFill="1" applyAlignment="1">
      <alignment horizontal="center" vertical="center"/>
    </xf>
    <xf numFmtId="0" fontId="1" fillId="5255" borderId="0" xfId="4" applyFill="1" applyAlignment="1">
      <alignment horizontal="center" vertical="center"/>
    </xf>
    <xf numFmtId="0" fontId="1" fillId="974" borderId="0" xfId="4" applyFill="1" applyAlignment="1">
      <alignment horizontal="center" vertical="center"/>
    </xf>
    <xf numFmtId="0" fontId="1" fillId="5256" borderId="0" xfId="4" applyFill="1" applyAlignment="1">
      <alignment horizontal="center" vertical="center"/>
    </xf>
    <xf numFmtId="0" fontId="1" fillId="5257" borderId="0" xfId="4" applyFill="1" applyAlignment="1">
      <alignment horizontal="center" vertical="center"/>
    </xf>
    <xf numFmtId="0" fontId="1" fillId="5258" borderId="0" xfId="4" applyFill="1" applyAlignment="1">
      <alignment horizontal="center" vertical="center"/>
    </xf>
    <xf numFmtId="0" fontId="1" fillId="5259" borderId="0" xfId="4" applyFill="1" applyAlignment="1">
      <alignment horizontal="center" vertical="center"/>
    </xf>
    <xf numFmtId="0" fontId="1" fillId="5260" borderId="0" xfId="4" applyFill="1" applyAlignment="1">
      <alignment horizontal="center" vertical="center"/>
    </xf>
    <xf numFmtId="0" fontId="1" fillId="5261" borderId="0" xfId="4" applyFill="1" applyAlignment="1">
      <alignment horizontal="center" vertical="center"/>
    </xf>
    <xf numFmtId="0" fontId="1" fillId="5262" borderId="0" xfId="4" applyFill="1" applyAlignment="1">
      <alignment horizontal="center" vertical="center"/>
    </xf>
    <xf numFmtId="0" fontId="1" fillId="5263" borderId="0" xfId="4" applyFill="1" applyAlignment="1">
      <alignment horizontal="center" vertical="center"/>
    </xf>
    <xf numFmtId="0" fontId="1" fillId="5264" borderId="0" xfId="4" applyFill="1" applyAlignment="1">
      <alignment horizontal="center" vertical="center"/>
    </xf>
    <xf numFmtId="0" fontId="1" fillId="5265" borderId="0" xfId="4" applyFill="1" applyAlignment="1">
      <alignment horizontal="center" vertical="center"/>
    </xf>
    <xf numFmtId="0" fontId="1" fillId="5266" borderId="0" xfId="4" applyFill="1" applyAlignment="1">
      <alignment horizontal="center" vertical="center"/>
    </xf>
    <xf numFmtId="0" fontId="1" fillId="5267" borderId="0" xfId="4" applyFill="1" applyAlignment="1">
      <alignment horizontal="center" vertical="center"/>
    </xf>
    <xf numFmtId="0" fontId="1" fillId="5268" borderId="0" xfId="4" applyFill="1" applyAlignment="1">
      <alignment horizontal="center" vertical="center"/>
    </xf>
    <xf numFmtId="0" fontId="1" fillId="5269" borderId="0" xfId="4" applyFill="1" applyAlignment="1">
      <alignment horizontal="center" vertical="center"/>
    </xf>
    <xf numFmtId="0" fontId="1" fillId="5270" borderId="0" xfId="4" applyFill="1" applyAlignment="1">
      <alignment horizontal="center" vertical="center"/>
    </xf>
    <xf numFmtId="0" fontId="1" fillId="5271" borderId="0" xfId="4" applyFill="1" applyAlignment="1">
      <alignment horizontal="center" vertical="center"/>
    </xf>
    <xf numFmtId="0" fontId="1" fillId="5272" borderId="0" xfId="4" applyFill="1" applyAlignment="1">
      <alignment horizontal="center" vertical="center"/>
    </xf>
    <xf numFmtId="0" fontId="1" fillId="5273" borderId="0" xfId="4" applyFill="1" applyAlignment="1">
      <alignment horizontal="center" vertical="center"/>
    </xf>
    <xf numFmtId="0" fontId="1" fillId="5274" borderId="0" xfId="4" applyFill="1" applyAlignment="1">
      <alignment horizontal="center" vertical="center"/>
    </xf>
    <xf numFmtId="0" fontId="1" fillId="5275" borderId="0" xfId="4" applyFill="1" applyAlignment="1">
      <alignment horizontal="center" vertical="center"/>
    </xf>
    <xf numFmtId="0" fontId="1" fillId="5276" borderId="0" xfId="4" applyFill="1" applyAlignment="1">
      <alignment horizontal="center" vertical="center"/>
    </xf>
    <xf numFmtId="0" fontId="1" fillId="5277" borderId="0" xfId="4" applyFill="1" applyAlignment="1">
      <alignment horizontal="center" vertical="center"/>
    </xf>
    <xf numFmtId="0" fontId="1" fillId="5278" borderId="0" xfId="4" applyFill="1" applyAlignment="1">
      <alignment horizontal="center" vertical="center"/>
    </xf>
    <xf numFmtId="0" fontId="1" fillId="5279" borderId="0" xfId="4" applyFill="1" applyAlignment="1">
      <alignment horizontal="center" vertical="center"/>
    </xf>
    <xf numFmtId="0" fontId="1" fillId="5280" borderId="0" xfId="4" applyFill="1" applyAlignment="1">
      <alignment horizontal="center" vertical="center"/>
    </xf>
    <xf numFmtId="0" fontId="1" fillId="5281" borderId="0" xfId="4" applyFill="1" applyAlignment="1">
      <alignment horizontal="center" vertical="center"/>
    </xf>
    <xf numFmtId="0" fontId="1" fillId="5282" borderId="0" xfId="4" applyFill="1" applyAlignment="1">
      <alignment horizontal="center" vertical="center"/>
    </xf>
    <xf numFmtId="0" fontId="1" fillId="5283" borderId="0" xfId="4" applyFill="1" applyAlignment="1">
      <alignment horizontal="center" vertical="center"/>
    </xf>
    <xf numFmtId="0" fontId="1" fillId="5284" borderId="0" xfId="4" applyFill="1" applyAlignment="1">
      <alignment horizontal="center" vertical="center"/>
    </xf>
    <xf numFmtId="0" fontId="1" fillId="5285" borderId="0" xfId="4" applyFill="1" applyAlignment="1">
      <alignment horizontal="left" vertical="center"/>
    </xf>
    <xf numFmtId="0" fontId="1" fillId="5286" borderId="0" xfId="4" applyFill="1" applyAlignment="1">
      <alignment horizontal="center" vertical="center"/>
    </xf>
    <xf numFmtId="0" fontId="1" fillId="5287" borderId="0" xfId="4" applyFill="1" applyAlignment="1">
      <alignment horizontal="center" vertical="center"/>
    </xf>
    <xf numFmtId="0" fontId="1" fillId="5288" borderId="0" xfId="4" applyFill="1" applyAlignment="1">
      <alignment horizontal="center" vertical="center"/>
    </xf>
    <xf numFmtId="0" fontId="1" fillId="5289" borderId="0" xfId="4" applyFill="1" applyAlignment="1">
      <alignment horizontal="center" vertical="center"/>
    </xf>
    <xf numFmtId="0" fontId="1" fillId="5290" borderId="0" xfId="4" applyFill="1" applyAlignment="1">
      <alignment horizontal="center" vertical="center"/>
    </xf>
    <xf numFmtId="0" fontId="1" fillId="2971" borderId="0" xfId="4" applyFill="1" applyAlignment="1">
      <alignment horizontal="center" vertical="center"/>
    </xf>
    <xf numFmtId="0" fontId="1" fillId="5291" borderId="0" xfId="4" applyFill="1" applyAlignment="1">
      <alignment horizontal="center" vertical="center"/>
    </xf>
    <xf numFmtId="0" fontId="1" fillId="5292" borderId="0" xfId="4" applyFill="1" applyAlignment="1">
      <alignment horizontal="center" vertical="center"/>
    </xf>
    <xf numFmtId="0" fontId="1" fillId="5293" borderId="0" xfId="4" applyFill="1" applyAlignment="1">
      <alignment horizontal="center" vertical="center"/>
    </xf>
    <xf numFmtId="0" fontId="1" fillId="5294" borderId="0" xfId="4" applyFill="1" applyAlignment="1">
      <alignment horizontal="center" vertical="center"/>
    </xf>
    <xf numFmtId="0" fontId="1" fillId="5295" borderId="0" xfId="4" applyFill="1" applyAlignment="1">
      <alignment horizontal="center" vertical="center"/>
    </xf>
    <xf numFmtId="0" fontId="1" fillId="5296" borderId="0" xfId="4" applyFill="1" applyAlignment="1">
      <alignment horizontal="center" vertical="center"/>
    </xf>
    <xf numFmtId="0" fontId="1" fillId="5297" borderId="0" xfId="4" applyFill="1" applyAlignment="1">
      <alignment horizontal="center" vertical="center"/>
    </xf>
    <xf numFmtId="0" fontId="1" fillId="5298" borderId="0" xfId="4" applyFill="1" applyAlignment="1">
      <alignment horizontal="center" vertical="center"/>
    </xf>
    <xf numFmtId="0" fontId="1" fillId="5299" borderId="0" xfId="4" applyFill="1" applyAlignment="1">
      <alignment horizontal="center" vertical="center"/>
    </xf>
    <xf numFmtId="0" fontId="1" fillId="5300" borderId="0" xfId="4" applyFill="1" applyAlignment="1">
      <alignment horizontal="center" vertical="center"/>
    </xf>
    <xf numFmtId="0" fontId="1" fillId="5301" borderId="0" xfId="4" applyFill="1" applyAlignment="1">
      <alignment horizontal="center" vertical="center"/>
    </xf>
    <xf numFmtId="0" fontId="1" fillId="5302" borderId="0" xfId="4" applyFill="1" applyAlignment="1">
      <alignment horizontal="center" vertical="center"/>
    </xf>
    <xf numFmtId="0" fontId="1" fillId="5303" borderId="0" xfId="4" applyFill="1" applyAlignment="1">
      <alignment horizontal="center" vertical="center"/>
    </xf>
    <xf numFmtId="0" fontId="1" fillId="5304" borderId="0" xfId="4" applyFill="1" applyAlignment="1">
      <alignment horizontal="center" vertical="center"/>
    </xf>
    <xf numFmtId="0" fontId="1" fillId="5305" borderId="0" xfId="4" applyFill="1" applyAlignment="1">
      <alignment horizontal="center" vertical="center"/>
    </xf>
    <xf numFmtId="0" fontId="1" fillId="5306" borderId="0" xfId="4" applyFill="1" applyAlignment="1">
      <alignment horizontal="center" vertical="center"/>
    </xf>
    <xf numFmtId="0" fontId="1" fillId="5307" borderId="0" xfId="4" applyFill="1" applyAlignment="1">
      <alignment horizontal="center" vertical="center"/>
    </xf>
    <xf numFmtId="0" fontId="1" fillId="5308" borderId="0" xfId="4" applyFill="1" applyAlignment="1">
      <alignment horizontal="center" vertical="center"/>
    </xf>
    <xf numFmtId="0" fontId="1" fillId="5309" borderId="0" xfId="4" applyFill="1" applyAlignment="1">
      <alignment horizontal="center" vertical="center"/>
    </xf>
    <xf numFmtId="0" fontId="1" fillId="5310" borderId="0" xfId="4" applyFill="1" applyAlignment="1">
      <alignment horizontal="left" vertical="center"/>
    </xf>
    <xf numFmtId="0" fontId="1" fillId="5311" borderId="0" xfId="4" applyFill="1" applyAlignment="1">
      <alignment horizontal="center" vertical="center"/>
    </xf>
    <xf numFmtId="0" fontId="1" fillId="5312" borderId="0" xfId="4" applyFill="1" applyAlignment="1">
      <alignment horizontal="center" vertical="center"/>
    </xf>
    <xf numFmtId="0" fontId="1" fillId="5313" borderId="0" xfId="4" applyFill="1" applyAlignment="1">
      <alignment horizontal="center" vertical="center"/>
    </xf>
    <xf numFmtId="0" fontId="1" fillId="5314" borderId="0" xfId="4" applyFill="1" applyAlignment="1">
      <alignment horizontal="center" vertical="center"/>
    </xf>
    <xf numFmtId="0" fontId="1" fillId="5315" borderId="0" xfId="4" applyFill="1" applyAlignment="1">
      <alignment horizontal="center" vertical="center"/>
    </xf>
    <xf numFmtId="0" fontId="1" fillId="5316" borderId="0" xfId="4" applyFill="1" applyAlignment="1">
      <alignment horizontal="center" vertical="center"/>
    </xf>
    <xf numFmtId="0" fontId="1" fillId="5317" borderId="0" xfId="4" applyFill="1" applyAlignment="1">
      <alignment horizontal="center" vertical="center"/>
    </xf>
    <xf numFmtId="0" fontId="1" fillId="5318" borderId="0" xfId="4" applyFill="1" applyAlignment="1">
      <alignment horizontal="center" vertical="center"/>
    </xf>
    <xf numFmtId="0" fontId="1" fillId="5319" borderId="0" xfId="4" applyFill="1" applyAlignment="1">
      <alignment horizontal="center" vertical="center"/>
    </xf>
    <xf numFmtId="0" fontId="1" fillId="5320" borderId="0" xfId="4" applyFill="1" applyAlignment="1">
      <alignment horizontal="center" vertical="center"/>
    </xf>
    <xf numFmtId="0" fontId="1" fillId="5321" borderId="0" xfId="4" applyFill="1" applyAlignment="1">
      <alignment horizontal="center" vertical="center"/>
    </xf>
    <xf numFmtId="0" fontId="1" fillId="5322" borderId="0" xfId="4" applyFill="1" applyAlignment="1">
      <alignment horizontal="center" vertical="center"/>
    </xf>
    <xf numFmtId="0" fontId="1" fillId="5323" borderId="0" xfId="4" applyFill="1" applyAlignment="1">
      <alignment horizontal="center" vertical="center"/>
    </xf>
    <xf numFmtId="0" fontId="1" fillId="5324" borderId="0" xfId="4" applyFill="1" applyAlignment="1">
      <alignment horizontal="center" vertical="center"/>
    </xf>
    <xf numFmtId="0" fontId="1" fillId="5325" borderId="0" xfId="4" applyFill="1" applyAlignment="1">
      <alignment horizontal="center" vertical="center"/>
    </xf>
    <xf numFmtId="0" fontId="1" fillId="5326" borderId="0" xfId="4" applyFill="1" applyAlignment="1">
      <alignment horizontal="center" vertical="center"/>
    </xf>
    <xf numFmtId="0" fontId="1" fillId="5327" borderId="0" xfId="4" applyFill="1" applyAlignment="1">
      <alignment horizontal="center" vertical="center"/>
    </xf>
    <xf numFmtId="0" fontId="1" fillId="5328" borderId="0" xfId="4" applyFill="1" applyAlignment="1">
      <alignment horizontal="center" vertical="center"/>
    </xf>
    <xf numFmtId="0" fontId="1" fillId="5329" borderId="0" xfId="4" applyFill="1" applyAlignment="1">
      <alignment horizontal="center" vertical="center"/>
    </xf>
    <xf numFmtId="0" fontId="1" fillId="5330" borderId="0" xfId="4" applyFill="1" applyAlignment="1">
      <alignment horizontal="center" vertical="center"/>
    </xf>
    <xf numFmtId="0" fontId="1" fillId="5331" borderId="0" xfId="4" applyFill="1" applyAlignment="1">
      <alignment horizontal="left" vertical="center"/>
    </xf>
    <xf numFmtId="0" fontId="1" fillId="5332" borderId="0" xfId="4" applyFill="1" applyAlignment="1">
      <alignment horizontal="center" vertical="center"/>
    </xf>
    <xf numFmtId="0" fontId="1" fillId="5333" borderId="0" xfId="4" applyFill="1" applyAlignment="1">
      <alignment horizontal="center" vertical="center"/>
    </xf>
    <xf numFmtId="0" fontId="1" fillId="5334" borderId="0" xfId="4" applyFill="1" applyAlignment="1">
      <alignment horizontal="left" vertical="center"/>
    </xf>
    <xf numFmtId="0" fontId="1" fillId="5335" borderId="0" xfId="4" applyFill="1" applyAlignment="1">
      <alignment horizontal="center" vertical="center"/>
    </xf>
    <xf numFmtId="0" fontId="1" fillId="5336" borderId="0" xfId="4" applyFill="1" applyAlignment="1">
      <alignment horizontal="center" vertical="center"/>
    </xf>
    <xf numFmtId="0" fontId="1" fillId="5337" borderId="0" xfId="4" applyFill="1" applyAlignment="1">
      <alignment horizontal="center" vertical="center"/>
    </xf>
    <xf numFmtId="0" fontId="1" fillId="5338" borderId="0" xfId="4" applyFill="1" applyAlignment="1">
      <alignment horizontal="center" vertical="center"/>
    </xf>
    <xf numFmtId="0" fontId="1" fillId="5339" borderId="0" xfId="4" applyFill="1" applyAlignment="1">
      <alignment horizontal="center" vertical="center"/>
    </xf>
    <xf numFmtId="0" fontId="1" fillId="907" borderId="0" xfId="4" applyFill="1" applyAlignment="1">
      <alignment horizontal="center" vertical="center"/>
    </xf>
    <xf numFmtId="0" fontId="1" fillId="807" borderId="0" xfId="4" applyFill="1" applyAlignment="1">
      <alignment horizontal="center" vertical="center"/>
    </xf>
    <xf numFmtId="0" fontId="1" fillId="5340" borderId="0" xfId="4" applyFill="1" applyAlignment="1">
      <alignment horizontal="center" vertical="center"/>
    </xf>
    <xf numFmtId="0" fontId="1" fillId="5341" borderId="0" xfId="4" applyFill="1" applyAlignment="1">
      <alignment horizontal="center" vertical="center"/>
    </xf>
    <xf numFmtId="0" fontId="1" fillId="5342" borderId="0" xfId="4" applyFill="1" applyAlignment="1">
      <alignment horizontal="center" vertical="center"/>
    </xf>
    <xf numFmtId="0" fontId="1" fillId="5343" borderId="0" xfId="4" applyFill="1" applyAlignment="1">
      <alignment horizontal="center" vertical="center"/>
    </xf>
    <xf numFmtId="0" fontId="1" fillId="5344" borderId="0" xfId="4" applyFill="1" applyAlignment="1">
      <alignment horizontal="center" vertical="center"/>
    </xf>
    <xf numFmtId="0" fontId="1" fillId="5345" borderId="0" xfId="4" applyFill="1" applyAlignment="1">
      <alignment horizontal="center" vertical="center"/>
    </xf>
    <xf numFmtId="0" fontId="1" fillId="5346" borderId="0" xfId="4" applyFill="1" applyAlignment="1">
      <alignment horizontal="center" vertical="center"/>
    </xf>
    <xf numFmtId="0" fontId="1" fillId="5347" borderId="0" xfId="4" applyFill="1" applyAlignment="1">
      <alignment horizontal="center" vertical="center"/>
    </xf>
    <xf numFmtId="0" fontId="1" fillId="5348" borderId="0" xfId="4" applyFill="1" applyAlignment="1">
      <alignment horizontal="center" vertical="center"/>
    </xf>
    <xf numFmtId="0" fontId="1" fillId="5349" borderId="0" xfId="4" applyFill="1" applyAlignment="1">
      <alignment horizontal="center" vertical="center"/>
    </xf>
    <xf numFmtId="0" fontId="1" fillId="5350" borderId="0" xfId="4" applyFill="1" applyAlignment="1">
      <alignment horizontal="center" vertical="center"/>
    </xf>
    <xf numFmtId="0" fontId="1" fillId="5351" borderId="0" xfId="4" applyFill="1" applyAlignment="1">
      <alignment horizontal="center" vertical="center"/>
    </xf>
    <xf numFmtId="0" fontId="1" fillId="5352" borderId="0" xfId="4" applyFill="1" applyAlignment="1">
      <alignment horizontal="center" vertical="center"/>
    </xf>
    <xf numFmtId="0" fontId="1" fillId="5353" borderId="0" xfId="4" applyFill="1" applyAlignment="1">
      <alignment horizontal="center" vertical="center"/>
    </xf>
    <xf numFmtId="0" fontId="1" fillId="5354" borderId="0" xfId="4" applyFill="1" applyAlignment="1">
      <alignment horizontal="center" vertical="center"/>
    </xf>
    <xf numFmtId="0" fontId="1" fillId="5355" borderId="0" xfId="4" applyFill="1" applyAlignment="1">
      <alignment horizontal="center" vertical="center"/>
    </xf>
    <xf numFmtId="0" fontId="1" fillId="5356" borderId="0" xfId="4" applyFill="1" applyAlignment="1">
      <alignment horizontal="center" vertical="center"/>
    </xf>
    <xf numFmtId="0" fontId="1" fillId="5357" borderId="0" xfId="4" applyFill="1" applyAlignment="1">
      <alignment horizontal="center" vertical="center"/>
    </xf>
    <xf numFmtId="0" fontId="1" fillId="5358" borderId="0" xfId="4" applyFill="1" applyAlignment="1">
      <alignment horizontal="center" vertical="center"/>
    </xf>
    <xf numFmtId="0" fontId="1" fillId="5359" borderId="0" xfId="4" applyFill="1" applyAlignment="1">
      <alignment horizontal="center" vertical="center"/>
    </xf>
    <xf numFmtId="0" fontId="1" fillId="1367" borderId="0" xfId="4" applyFill="1" applyAlignment="1">
      <alignment horizontal="center" vertical="center"/>
    </xf>
    <xf numFmtId="0" fontId="1" fillId="5360" borderId="0" xfId="4" applyFill="1" applyAlignment="1">
      <alignment horizontal="center" vertical="center"/>
    </xf>
    <xf numFmtId="0" fontId="1" fillId="5361" borderId="0" xfId="4" applyFill="1" applyAlignment="1">
      <alignment horizontal="center" vertical="center"/>
    </xf>
    <xf numFmtId="0" fontId="1" fillId="5362" borderId="0" xfId="4" applyFill="1" applyAlignment="1">
      <alignment horizontal="center" vertical="center"/>
    </xf>
    <xf numFmtId="0" fontId="1" fillId="5363" borderId="0" xfId="4" applyFill="1" applyAlignment="1">
      <alignment horizontal="left" vertical="center"/>
    </xf>
    <xf numFmtId="0" fontId="1" fillId="5364" borderId="0" xfId="4" applyFill="1" applyAlignment="1">
      <alignment horizontal="center" vertical="center"/>
    </xf>
    <xf numFmtId="0" fontId="1" fillId="5365" borderId="0" xfId="4" applyFill="1" applyAlignment="1">
      <alignment horizontal="center" vertical="center"/>
    </xf>
    <xf numFmtId="0" fontId="1" fillId="5366" borderId="0" xfId="4" applyFill="1" applyAlignment="1">
      <alignment horizontal="center" vertical="center"/>
    </xf>
    <xf numFmtId="0" fontId="1" fillId="5367" borderId="0" xfId="4" applyFill="1" applyAlignment="1">
      <alignment horizontal="center" vertical="center"/>
    </xf>
    <xf numFmtId="0" fontId="1" fillId="5368" borderId="0" xfId="4" applyFill="1" applyAlignment="1">
      <alignment horizontal="center" vertical="center"/>
    </xf>
    <xf numFmtId="0" fontId="1" fillId="5369" borderId="0" xfId="4" applyFill="1" applyAlignment="1">
      <alignment horizontal="center" vertical="center"/>
    </xf>
    <xf numFmtId="0" fontId="1" fillId="5370" borderId="0" xfId="4" applyFill="1" applyAlignment="1">
      <alignment horizontal="center" vertical="center"/>
    </xf>
    <xf numFmtId="0" fontId="1" fillId="5371" borderId="0" xfId="4" applyFill="1" applyAlignment="1">
      <alignment horizontal="center" vertical="center"/>
    </xf>
    <xf numFmtId="0" fontId="1" fillId="5372" borderId="0" xfId="4" applyFill="1" applyAlignment="1">
      <alignment horizontal="center" vertical="center"/>
    </xf>
    <xf numFmtId="0" fontId="1" fillId="5373" borderId="0" xfId="4" applyFill="1" applyAlignment="1">
      <alignment horizontal="center" vertical="center"/>
    </xf>
    <xf numFmtId="0" fontId="1" fillId="5374" borderId="0" xfId="4" applyFill="1" applyAlignment="1">
      <alignment horizontal="center" vertical="center"/>
    </xf>
    <xf numFmtId="0" fontId="1" fillId="5375" borderId="0" xfId="4" applyFill="1" applyAlignment="1">
      <alignment horizontal="center" vertical="center"/>
    </xf>
    <xf numFmtId="0" fontId="1" fillId="5376" borderId="0" xfId="4" applyFill="1" applyAlignment="1">
      <alignment horizontal="center" vertical="center"/>
    </xf>
    <xf numFmtId="0" fontId="1" fillId="5377" borderId="0" xfId="4" applyFill="1" applyAlignment="1">
      <alignment horizontal="center" vertical="center"/>
    </xf>
    <xf numFmtId="0" fontId="1" fillId="5378" borderId="0" xfId="4" applyFill="1" applyAlignment="1">
      <alignment horizontal="center" vertical="center"/>
    </xf>
    <xf numFmtId="0" fontId="1" fillId="5379" borderId="0" xfId="4" applyFill="1" applyAlignment="1">
      <alignment horizontal="center" vertical="center"/>
    </xf>
    <xf numFmtId="0" fontId="1" fillId="5380" borderId="0" xfId="4" applyFill="1" applyAlignment="1">
      <alignment horizontal="center" vertical="center"/>
    </xf>
    <xf numFmtId="0" fontId="1" fillId="5381" borderId="0" xfId="4" applyFill="1" applyAlignment="1">
      <alignment horizontal="center" vertical="center"/>
    </xf>
    <xf numFmtId="0" fontId="1" fillId="5382" borderId="0" xfId="4" applyFill="1" applyAlignment="1">
      <alignment horizontal="center" vertical="center"/>
    </xf>
    <xf numFmtId="0" fontId="1" fillId="5383" borderId="0" xfId="4" applyFill="1" applyAlignment="1">
      <alignment horizontal="center" vertical="center"/>
    </xf>
    <xf numFmtId="0" fontId="1" fillId="5384" borderId="0" xfId="4" applyFill="1" applyAlignment="1">
      <alignment horizontal="center" vertical="center"/>
    </xf>
    <xf numFmtId="0" fontId="1" fillId="5385" borderId="0" xfId="4" applyFill="1" applyAlignment="1">
      <alignment horizontal="center" vertical="center"/>
    </xf>
    <xf numFmtId="0" fontId="1" fillId="5386" borderId="0" xfId="4" applyFill="1" applyAlignment="1">
      <alignment horizontal="center" vertical="center"/>
    </xf>
    <xf numFmtId="0" fontId="1" fillId="5387" borderId="0" xfId="4" applyFill="1" applyAlignment="1">
      <alignment horizontal="left" vertical="center"/>
    </xf>
    <xf numFmtId="0" fontId="1" fillId="5388" borderId="0" xfId="4" applyFill="1" applyAlignment="1">
      <alignment horizontal="center" vertical="center"/>
    </xf>
    <xf numFmtId="0" fontId="1" fillId="5389" borderId="0" xfId="4" applyFill="1" applyAlignment="1">
      <alignment horizontal="center" vertical="center"/>
    </xf>
    <xf numFmtId="0" fontId="1" fillId="5390" borderId="0" xfId="4" applyFill="1" applyAlignment="1">
      <alignment horizontal="center" vertical="center"/>
    </xf>
    <xf numFmtId="0" fontId="1" fillId="5391" borderId="0" xfId="4" applyFill="1" applyAlignment="1">
      <alignment horizontal="center" vertical="center"/>
    </xf>
    <xf numFmtId="0" fontId="1" fillId="5392" borderId="0" xfId="4" applyFill="1" applyAlignment="1">
      <alignment horizontal="center" vertical="center"/>
    </xf>
    <xf numFmtId="0" fontId="1" fillId="5393" borderId="0" xfId="4" applyFill="1" applyAlignment="1">
      <alignment horizontal="center" vertical="center"/>
    </xf>
    <xf numFmtId="0" fontId="1" fillId="5394" borderId="0" xfId="4" applyFill="1" applyAlignment="1">
      <alignment horizontal="center" vertical="center"/>
    </xf>
    <xf numFmtId="0" fontId="1" fillId="5395" borderId="0" xfId="4" applyFill="1" applyAlignment="1">
      <alignment horizontal="center" vertical="center"/>
    </xf>
    <xf numFmtId="0" fontId="1" fillId="5396" borderId="0" xfId="4" applyFill="1" applyAlignment="1">
      <alignment horizontal="center" vertical="center"/>
    </xf>
    <xf numFmtId="0" fontId="1" fillId="5397" borderId="0" xfId="4" applyFill="1" applyAlignment="1">
      <alignment horizontal="center" vertical="center"/>
    </xf>
    <xf numFmtId="0" fontId="1" fillId="5398" borderId="0" xfId="4" applyFill="1" applyAlignment="1">
      <alignment horizontal="center" vertical="center"/>
    </xf>
    <xf numFmtId="0" fontId="1" fillId="5399" borderId="0" xfId="4" applyFill="1" applyAlignment="1">
      <alignment horizontal="center" vertical="center"/>
    </xf>
    <xf numFmtId="0" fontId="1" fillId="5400" borderId="0" xfId="4" applyFill="1" applyAlignment="1">
      <alignment horizontal="center" vertical="center"/>
    </xf>
    <xf numFmtId="0" fontId="1" fillId="5401" borderId="0" xfId="4" applyFill="1" applyAlignment="1">
      <alignment horizontal="center" vertical="center"/>
    </xf>
    <xf numFmtId="0" fontId="1" fillId="5402" borderId="0" xfId="4" applyFill="1" applyAlignment="1">
      <alignment horizontal="center" vertical="center"/>
    </xf>
    <xf numFmtId="0" fontId="1" fillId="5403" borderId="0" xfId="4" applyFill="1" applyAlignment="1">
      <alignment horizontal="center" vertical="center"/>
    </xf>
    <xf numFmtId="0" fontId="1" fillId="5404" borderId="0" xfId="4" applyFill="1" applyAlignment="1">
      <alignment horizontal="center" vertical="center"/>
    </xf>
    <xf numFmtId="0" fontId="1" fillId="5405" borderId="0" xfId="4" applyFill="1" applyAlignment="1">
      <alignment horizontal="center" vertical="center"/>
    </xf>
    <xf numFmtId="0" fontId="1" fillId="5406" borderId="0" xfId="4" applyFill="1" applyAlignment="1">
      <alignment horizontal="center" vertical="center"/>
    </xf>
    <xf numFmtId="0" fontId="1" fillId="5407" borderId="0" xfId="4" applyFill="1" applyAlignment="1">
      <alignment horizontal="left" vertical="center"/>
    </xf>
    <xf numFmtId="0" fontId="1" fillId="5408" borderId="0" xfId="4" applyFill="1" applyAlignment="1">
      <alignment horizontal="center" vertical="center"/>
    </xf>
    <xf numFmtId="0" fontId="1" fillId="5409" borderId="0" xfId="4" applyFill="1" applyAlignment="1">
      <alignment horizontal="center" vertical="center"/>
    </xf>
    <xf numFmtId="0" fontId="1" fillId="5410" borderId="0" xfId="4" applyFill="1" applyAlignment="1">
      <alignment horizontal="left" vertical="center"/>
    </xf>
    <xf numFmtId="0" fontId="1" fillId="5411" borderId="0" xfId="4" applyFill="1" applyAlignment="1">
      <alignment horizontal="center" vertical="center"/>
    </xf>
    <xf numFmtId="0" fontId="1" fillId="5412" borderId="0" xfId="4" applyFill="1" applyAlignment="1">
      <alignment horizontal="center" vertical="center"/>
    </xf>
    <xf numFmtId="0" fontId="1" fillId="5413" borderId="0" xfId="4" applyFill="1" applyAlignment="1">
      <alignment horizontal="center" vertical="center"/>
    </xf>
    <xf numFmtId="0" fontId="1" fillId="5414" borderId="0" xfId="4" applyFill="1" applyAlignment="1">
      <alignment horizontal="center" vertical="center"/>
    </xf>
    <xf numFmtId="0" fontId="1" fillId="5415" borderId="0" xfId="4" applyFill="1" applyAlignment="1">
      <alignment horizontal="center" vertical="center"/>
    </xf>
    <xf numFmtId="0" fontId="1" fillId="972" borderId="0" xfId="4" applyFill="1" applyAlignment="1">
      <alignment horizontal="center" vertical="center"/>
    </xf>
    <xf numFmtId="0" fontId="1" fillId="5416" borderId="0" xfId="4" applyFill="1" applyAlignment="1">
      <alignment horizontal="center" vertical="center"/>
    </xf>
    <xf numFmtId="0" fontId="1" fillId="5417" borderId="0" xfId="4" applyFill="1" applyAlignment="1">
      <alignment horizontal="center" vertical="center"/>
    </xf>
    <xf numFmtId="0" fontId="1" fillId="5418" borderId="0" xfId="4" applyFill="1" applyAlignment="1">
      <alignment horizontal="center" vertical="center"/>
    </xf>
    <xf numFmtId="0" fontId="1" fillId="5419" borderId="0" xfId="4" applyFill="1" applyAlignment="1">
      <alignment horizontal="center" vertical="center"/>
    </xf>
    <xf numFmtId="0" fontId="1" fillId="5420" borderId="0" xfId="4" applyFill="1" applyAlignment="1">
      <alignment horizontal="center" vertical="center"/>
    </xf>
    <xf numFmtId="0" fontId="1" fillId="5421" borderId="0" xfId="4" applyFill="1" applyAlignment="1">
      <alignment horizontal="center" vertical="center"/>
    </xf>
    <xf numFmtId="0" fontId="1" fillId="5422" borderId="0" xfId="4" applyFill="1" applyAlignment="1">
      <alignment horizontal="center" vertical="center"/>
    </xf>
    <xf numFmtId="0" fontId="1" fillId="1210" borderId="0" xfId="4" applyFill="1" applyAlignment="1">
      <alignment horizontal="center" vertical="center"/>
    </xf>
    <xf numFmtId="0" fontId="1" fillId="354" borderId="0" xfId="4" applyFill="1" applyAlignment="1">
      <alignment horizontal="center" vertical="center"/>
    </xf>
    <xf numFmtId="0" fontId="1" fillId="5423" borderId="0" xfId="4" applyFill="1" applyAlignment="1">
      <alignment horizontal="center" vertical="center"/>
    </xf>
    <xf numFmtId="0" fontId="1" fillId="5424" borderId="0" xfId="4" applyFill="1" applyAlignment="1">
      <alignment horizontal="center" vertical="center"/>
    </xf>
    <xf numFmtId="0" fontId="1" fillId="1266" borderId="0" xfId="4" applyFill="1" applyAlignment="1">
      <alignment horizontal="center" vertical="center"/>
    </xf>
    <xf numFmtId="0" fontId="1" fillId="1357" borderId="0" xfId="4" applyFill="1" applyAlignment="1">
      <alignment horizontal="center" vertical="center"/>
    </xf>
    <xf numFmtId="0" fontId="1" fillId="5425" borderId="0" xfId="4" applyFill="1" applyAlignment="1">
      <alignment horizontal="center" vertical="center"/>
    </xf>
    <xf numFmtId="0" fontId="1" fillId="5426" borderId="0" xfId="4" applyFill="1" applyAlignment="1">
      <alignment horizontal="center" vertical="center"/>
    </xf>
    <xf numFmtId="0" fontId="1" fillId="5427" borderId="0" xfId="4" applyFill="1" applyAlignment="1">
      <alignment horizontal="center" vertical="center"/>
    </xf>
    <xf numFmtId="0" fontId="1" fillId="5428" borderId="0" xfId="4" applyFill="1" applyAlignment="1">
      <alignment horizontal="center" vertical="center"/>
    </xf>
    <xf numFmtId="0" fontId="1" fillId="5429" borderId="0" xfId="4" applyFill="1" applyAlignment="1">
      <alignment horizontal="center" vertical="center"/>
    </xf>
    <xf numFmtId="0" fontId="1" fillId="5430" borderId="0" xfId="4" applyFill="1" applyAlignment="1">
      <alignment horizontal="center" vertical="center"/>
    </xf>
    <xf numFmtId="0" fontId="1" fillId="5431" borderId="0" xfId="4" applyFill="1" applyAlignment="1">
      <alignment horizontal="center" vertical="center"/>
    </xf>
    <xf numFmtId="0" fontId="1" fillId="5432" borderId="0" xfId="4" applyFill="1" applyAlignment="1">
      <alignment horizontal="center" vertical="center"/>
    </xf>
    <xf numFmtId="0" fontId="1" fillId="1361" borderId="0" xfId="4" applyFill="1" applyAlignment="1">
      <alignment horizontal="center" vertical="center"/>
    </xf>
    <xf numFmtId="0" fontId="1" fillId="5433" borderId="0" xfId="4" applyFill="1" applyAlignment="1">
      <alignment horizontal="center" vertical="center"/>
    </xf>
    <xf numFmtId="0" fontId="1" fillId="5434" borderId="0" xfId="4" applyFill="1" applyAlignment="1">
      <alignment horizontal="center" vertical="center"/>
    </xf>
    <xf numFmtId="0" fontId="1" fillId="5435" borderId="0" xfId="4" applyFill="1" applyAlignment="1">
      <alignment horizontal="center" vertical="center"/>
    </xf>
    <xf numFmtId="0" fontId="1" fillId="5436" borderId="0" xfId="4" applyFill="1" applyAlignment="1">
      <alignment horizontal="left" vertical="center"/>
    </xf>
    <xf numFmtId="0" fontId="1" fillId="5437" borderId="0" xfId="4" applyFill="1" applyAlignment="1">
      <alignment horizontal="center" vertical="center"/>
    </xf>
    <xf numFmtId="0" fontId="1" fillId="5438" borderId="0" xfId="4" applyFill="1" applyAlignment="1">
      <alignment horizontal="center" vertical="center"/>
    </xf>
    <xf numFmtId="0" fontId="1" fillId="5439" borderId="0" xfId="4" applyFill="1" applyAlignment="1">
      <alignment horizontal="center" vertical="center"/>
    </xf>
    <xf numFmtId="0" fontId="1" fillId="5440" borderId="0" xfId="4" applyFill="1" applyAlignment="1">
      <alignment horizontal="center" vertical="center"/>
    </xf>
    <xf numFmtId="0" fontId="1" fillId="5441" borderId="0" xfId="4" applyFill="1" applyAlignment="1">
      <alignment horizontal="center" vertical="center"/>
    </xf>
    <xf numFmtId="0" fontId="1" fillId="5442" borderId="0" xfId="4" applyFill="1" applyAlignment="1">
      <alignment horizontal="center" vertical="center"/>
    </xf>
    <xf numFmtId="0" fontId="1" fillId="5443" borderId="0" xfId="4" applyFill="1" applyAlignment="1">
      <alignment horizontal="center" vertical="center"/>
    </xf>
    <xf numFmtId="0" fontId="1" fillId="5444" borderId="0" xfId="4" applyFill="1" applyAlignment="1">
      <alignment horizontal="center" vertical="center"/>
    </xf>
    <xf numFmtId="0" fontId="1" fillId="5445" borderId="0" xfId="4" applyFill="1" applyAlignment="1">
      <alignment horizontal="center" vertical="center"/>
    </xf>
    <xf numFmtId="0" fontId="1" fillId="5446" borderId="0" xfId="4" applyFill="1" applyAlignment="1">
      <alignment horizontal="center" vertical="center"/>
    </xf>
    <xf numFmtId="0" fontId="1" fillId="5447" borderId="0" xfId="4" applyFill="1" applyAlignment="1">
      <alignment horizontal="center" vertical="center"/>
    </xf>
    <xf numFmtId="0" fontId="1" fillId="5448" borderId="0" xfId="4" applyFill="1" applyAlignment="1">
      <alignment horizontal="center" vertical="center"/>
    </xf>
    <xf numFmtId="0" fontId="1" fillId="5449" borderId="0" xfId="4" applyFill="1" applyAlignment="1">
      <alignment horizontal="center" vertical="center"/>
    </xf>
    <xf numFmtId="0" fontId="1" fillId="5450" borderId="0" xfId="4" applyFill="1" applyAlignment="1">
      <alignment horizontal="center" vertical="center"/>
    </xf>
    <xf numFmtId="0" fontId="1" fillId="5451" borderId="0" xfId="4" applyFill="1" applyAlignment="1">
      <alignment horizontal="center" vertical="center"/>
    </xf>
    <xf numFmtId="0" fontId="1" fillId="5452" borderId="0" xfId="4" applyFill="1" applyAlignment="1">
      <alignment horizontal="center" vertical="center"/>
    </xf>
    <xf numFmtId="0" fontId="1" fillId="5453" borderId="0" xfId="4" applyFill="1" applyAlignment="1">
      <alignment horizontal="center" vertical="center"/>
    </xf>
    <xf numFmtId="0" fontId="1" fillId="5454" borderId="0" xfId="4" applyFill="1" applyAlignment="1">
      <alignment horizontal="center" vertical="center"/>
    </xf>
    <xf numFmtId="0" fontId="1" fillId="5455" borderId="0" xfId="4" applyFill="1" applyAlignment="1">
      <alignment horizontal="center" vertical="center"/>
    </xf>
    <xf numFmtId="0" fontId="1" fillId="5456" borderId="0" xfId="4" applyFill="1" applyAlignment="1">
      <alignment horizontal="center" vertical="center"/>
    </xf>
    <xf numFmtId="0" fontId="1" fillId="5457" borderId="0" xfId="4" applyFill="1" applyAlignment="1">
      <alignment horizontal="center" vertical="center"/>
    </xf>
    <xf numFmtId="0" fontId="1" fillId="5458" borderId="0" xfId="4" applyFill="1" applyAlignment="1">
      <alignment horizontal="center" vertical="center"/>
    </xf>
    <xf numFmtId="0" fontId="1" fillId="5459" borderId="0" xfId="4" applyFill="1" applyAlignment="1">
      <alignment horizontal="center" vertical="center"/>
    </xf>
    <xf numFmtId="0" fontId="1" fillId="5460" borderId="0" xfId="4" applyFill="1" applyAlignment="1">
      <alignment horizontal="center" vertical="center"/>
    </xf>
    <xf numFmtId="0" fontId="1" fillId="5461" borderId="0" xfId="4" applyFill="1" applyAlignment="1">
      <alignment horizontal="center" vertical="center"/>
    </xf>
    <xf numFmtId="0" fontId="1" fillId="5462" borderId="0" xfId="4" applyFill="1" applyAlignment="1">
      <alignment horizontal="center" vertical="center"/>
    </xf>
    <xf numFmtId="0" fontId="1" fillId="5463" borderId="0" xfId="4" applyFill="1" applyAlignment="1">
      <alignment horizontal="center" vertical="center"/>
    </xf>
    <xf numFmtId="0" fontId="1" fillId="1045" borderId="0" xfId="4" applyFill="1" applyAlignment="1">
      <alignment horizontal="center" vertical="center"/>
    </xf>
    <xf numFmtId="0" fontId="1" fillId="5464" borderId="0" xfId="4" applyFill="1" applyAlignment="1">
      <alignment horizontal="left" vertical="center"/>
    </xf>
    <xf numFmtId="0" fontId="1" fillId="5465" borderId="0" xfId="4" applyFill="1" applyAlignment="1">
      <alignment horizontal="center" vertical="center"/>
    </xf>
    <xf numFmtId="0" fontId="1" fillId="5466" borderId="0" xfId="4" applyFill="1" applyAlignment="1">
      <alignment horizontal="center" vertical="center"/>
    </xf>
    <xf numFmtId="0" fontId="1" fillId="5467" borderId="0" xfId="4" applyFill="1" applyAlignment="1">
      <alignment horizontal="center" vertical="center"/>
    </xf>
    <xf numFmtId="0" fontId="1" fillId="5468" borderId="0" xfId="4" applyFill="1" applyAlignment="1">
      <alignment horizontal="center" vertical="center"/>
    </xf>
    <xf numFmtId="0" fontId="1" fillId="5469" borderId="0" xfId="4" applyFill="1" applyAlignment="1">
      <alignment horizontal="center" vertical="center"/>
    </xf>
    <xf numFmtId="0" fontId="1" fillId="5470" borderId="0" xfId="4" applyFill="1" applyAlignment="1">
      <alignment horizontal="center" vertical="center"/>
    </xf>
    <xf numFmtId="0" fontId="1" fillId="5471" borderId="0" xfId="4" applyFill="1" applyAlignment="1">
      <alignment horizontal="center" vertical="center"/>
    </xf>
    <xf numFmtId="0" fontId="1" fillId="5472" borderId="0" xfId="4" applyFill="1" applyAlignment="1">
      <alignment horizontal="center" vertical="center"/>
    </xf>
    <xf numFmtId="0" fontId="1" fillId="5473" borderId="0" xfId="4" applyFill="1" applyAlignment="1">
      <alignment horizontal="center" vertical="center"/>
    </xf>
    <xf numFmtId="0" fontId="1" fillId="5474" borderId="0" xfId="4" applyFill="1" applyAlignment="1">
      <alignment horizontal="center" vertical="center"/>
    </xf>
    <xf numFmtId="0" fontId="1" fillId="5475" borderId="0" xfId="4" applyFill="1" applyAlignment="1">
      <alignment horizontal="center" vertical="center"/>
    </xf>
    <xf numFmtId="0" fontId="1" fillId="5476" borderId="0" xfId="4" applyFill="1" applyAlignment="1">
      <alignment horizontal="center" vertical="center"/>
    </xf>
    <xf numFmtId="0" fontId="1" fillId="5477" borderId="0" xfId="4" applyFill="1" applyAlignment="1">
      <alignment horizontal="center" vertical="center"/>
    </xf>
    <xf numFmtId="0" fontId="1" fillId="5478" borderId="0" xfId="4" applyFill="1" applyAlignment="1">
      <alignment horizontal="center" vertical="center"/>
    </xf>
    <xf numFmtId="0" fontId="1" fillId="5479" borderId="0" xfId="4" applyFill="1" applyAlignment="1">
      <alignment horizontal="center" vertical="center"/>
    </xf>
    <xf numFmtId="0" fontId="1" fillId="5480" borderId="0" xfId="4" applyFill="1" applyAlignment="1">
      <alignment horizontal="center" vertical="center"/>
    </xf>
    <xf numFmtId="0" fontId="1" fillId="5481" borderId="0" xfId="4" applyFill="1" applyAlignment="1">
      <alignment horizontal="center" vertical="center"/>
    </xf>
    <xf numFmtId="0" fontId="1" fillId="5482" borderId="0" xfId="4" applyFill="1" applyAlignment="1">
      <alignment horizontal="left" vertical="center"/>
    </xf>
    <xf numFmtId="0" fontId="1" fillId="5410" borderId="0" xfId="4" applyFill="1" applyAlignment="1">
      <alignment horizontal="center" vertical="center"/>
    </xf>
    <xf numFmtId="0" fontId="1" fillId="5483" borderId="0" xfId="4" applyFill="1" applyAlignment="1">
      <alignment horizontal="center" vertical="center"/>
    </xf>
    <xf numFmtId="0" fontId="1" fillId="5484" borderId="0" xfId="4" applyFill="1" applyAlignment="1">
      <alignment horizontal="left" vertical="center"/>
    </xf>
    <xf numFmtId="0" fontId="1" fillId="5485" borderId="0" xfId="4" applyFill="1" applyAlignment="1">
      <alignment horizontal="center" vertical="center"/>
    </xf>
    <xf numFmtId="0" fontId="1" fillId="5486" borderId="0" xfId="4" applyFill="1" applyAlignment="1">
      <alignment horizontal="center" vertical="center"/>
    </xf>
    <xf numFmtId="0" fontId="1" fillId="1153" borderId="0" xfId="4" applyFill="1" applyAlignment="1">
      <alignment horizontal="center" vertical="center"/>
    </xf>
    <xf numFmtId="0" fontId="1" fillId="5487" borderId="0" xfId="4" applyFill="1" applyAlignment="1">
      <alignment horizontal="center" vertical="center"/>
    </xf>
    <xf numFmtId="0" fontId="1" fillId="5488" borderId="0" xfId="4" applyFill="1" applyAlignment="1">
      <alignment horizontal="center" vertical="center"/>
    </xf>
    <xf numFmtId="0" fontId="1" fillId="5489" borderId="0" xfId="4" applyFill="1" applyAlignment="1">
      <alignment horizontal="center" vertical="center"/>
    </xf>
    <xf numFmtId="0" fontId="1" fillId="5490" borderId="0" xfId="4" applyFill="1" applyAlignment="1">
      <alignment horizontal="center" vertical="center"/>
    </xf>
    <xf numFmtId="0" fontId="1" fillId="5491" borderId="0" xfId="4" applyFill="1" applyAlignment="1">
      <alignment horizontal="center" vertical="center"/>
    </xf>
    <xf numFmtId="0" fontId="1" fillId="5492" borderId="0" xfId="4" applyFill="1" applyAlignment="1">
      <alignment horizontal="center" vertical="center"/>
    </xf>
    <xf numFmtId="0" fontId="1" fillId="5493" borderId="0" xfId="4" applyFill="1" applyAlignment="1">
      <alignment horizontal="center" vertical="center"/>
    </xf>
    <xf numFmtId="0" fontId="1" fillId="5494" borderId="0" xfId="4" applyFill="1" applyAlignment="1">
      <alignment horizontal="center" vertical="center"/>
    </xf>
    <xf numFmtId="0" fontId="1" fillId="5495" borderId="0" xfId="4" applyFill="1" applyAlignment="1">
      <alignment horizontal="center" vertical="center"/>
    </xf>
    <xf numFmtId="0" fontId="1" fillId="287" borderId="0" xfId="4" applyFill="1" applyAlignment="1">
      <alignment horizontal="center" vertical="center"/>
    </xf>
    <xf numFmtId="0" fontId="1" fillId="5496" borderId="0" xfId="4" applyFill="1" applyAlignment="1">
      <alignment horizontal="center" vertical="center"/>
    </xf>
    <xf numFmtId="0" fontId="1" fillId="5497" borderId="0" xfId="4" applyFill="1" applyAlignment="1">
      <alignment horizontal="center" vertical="center"/>
    </xf>
    <xf numFmtId="0" fontId="1" fillId="5498" borderId="0" xfId="4" applyFill="1" applyAlignment="1">
      <alignment horizontal="center" vertical="center"/>
    </xf>
    <xf numFmtId="0" fontId="1" fillId="5499" borderId="0" xfId="4" applyFill="1" applyAlignment="1">
      <alignment horizontal="center" vertical="center"/>
    </xf>
    <xf numFmtId="0" fontId="1" fillId="5500" borderId="0" xfId="4" applyFill="1" applyAlignment="1">
      <alignment horizontal="center" vertical="center"/>
    </xf>
    <xf numFmtId="0" fontId="1" fillId="5501" borderId="0" xfId="4" applyFill="1" applyAlignment="1">
      <alignment horizontal="center" vertical="center"/>
    </xf>
    <xf numFmtId="0" fontId="1" fillId="5502" borderId="0" xfId="4" applyFill="1" applyAlignment="1">
      <alignment horizontal="center" vertical="center"/>
    </xf>
    <xf numFmtId="0" fontId="1" fillId="5503" borderId="0" xfId="4" applyFill="1" applyAlignment="1">
      <alignment horizontal="center" vertical="center"/>
    </xf>
    <xf numFmtId="0" fontId="1" fillId="5504" borderId="0" xfId="4" applyFill="1" applyAlignment="1">
      <alignment horizontal="center" vertical="center"/>
    </xf>
    <xf numFmtId="0" fontId="1" fillId="5505" borderId="0" xfId="4" applyFill="1" applyAlignment="1">
      <alignment horizontal="center" vertical="center"/>
    </xf>
    <xf numFmtId="0" fontId="1" fillId="5506" borderId="0" xfId="4" applyFill="1" applyAlignment="1">
      <alignment horizontal="center" vertical="center"/>
    </xf>
    <xf numFmtId="0" fontId="1" fillId="5507" borderId="0" xfId="4" applyFill="1" applyAlignment="1">
      <alignment horizontal="center" vertical="center"/>
    </xf>
    <xf numFmtId="0" fontId="1" fillId="5508" borderId="0" xfId="4" applyFill="1" applyAlignment="1">
      <alignment horizontal="center" vertical="center"/>
    </xf>
    <xf numFmtId="0" fontId="1" fillId="307" borderId="0" xfId="4" applyFill="1" applyAlignment="1">
      <alignment horizontal="center" vertical="center"/>
    </xf>
    <xf numFmtId="0" fontId="1" fillId="5509" borderId="0" xfId="4" applyFill="1" applyAlignment="1">
      <alignment horizontal="center" vertical="center"/>
    </xf>
    <xf numFmtId="0" fontId="1" fillId="5510" borderId="0" xfId="4" applyFill="1" applyAlignment="1">
      <alignment horizontal="center" vertical="center"/>
    </xf>
    <xf numFmtId="0" fontId="1" fillId="5511" borderId="0" xfId="4" applyFill="1" applyAlignment="1">
      <alignment horizontal="center" vertical="center"/>
    </xf>
    <xf numFmtId="0" fontId="1" fillId="5512" borderId="0" xfId="4" applyFill="1" applyAlignment="1">
      <alignment horizontal="center" vertical="center"/>
    </xf>
    <xf numFmtId="0" fontId="1" fillId="5513" borderId="0" xfId="4" applyFill="1" applyAlignment="1">
      <alignment horizontal="center" vertical="center"/>
    </xf>
    <xf numFmtId="0" fontId="1" fillId="5514" borderId="0" xfId="4" applyFill="1" applyAlignment="1">
      <alignment horizontal="center" vertical="center"/>
    </xf>
    <xf numFmtId="0" fontId="1" fillId="5515" borderId="0" xfId="4" applyFill="1" applyAlignment="1">
      <alignment horizontal="center" vertical="center"/>
    </xf>
    <xf numFmtId="0" fontId="1" fillId="5516" borderId="0" xfId="4" applyFill="1" applyAlignment="1">
      <alignment horizontal="left" vertical="center"/>
    </xf>
    <xf numFmtId="0" fontId="1" fillId="5517" borderId="0" xfId="4" applyFill="1" applyAlignment="1">
      <alignment horizontal="center" vertical="center"/>
    </xf>
    <xf numFmtId="0" fontId="1" fillId="5518" borderId="0" xfId="4" applyFill="1" applyAlignment="1">
      <alignment horizontal="center" vertical="center"/>
    </xf>
    <xf numFmtId="0" fontId="1" fillId="5519" borderId="0" xfId="4" applyFill="1" applyAlignment="1">
      <alignment horizontal="center" vertical="center"/>
    </xf>
    <xf numFmtId="0" fontId="1" fillId="5520" borderId="0" xfId="4" applyFill="1" applyAlignment="1">
      <alignment horizontal="center" vertical="center"/>
    </xf>
    <xf numFmtId="0" fontId="1" fillId="5521" borderId="0" xfId="4" applyFill="1" applyAlignment="1">
      <alignment horizontal="center" vertical="center"/>
    </xf>
    <xf numFmtId="0" fontId="1" fillId="5522" borderId="0" xfId="4" applyFill="1" applyAlignment="1">
      <alignment horizontal="center" vertical="center"/>
    </xf>
    <xf numFmtId="0" fontId="1" fillId="5523" borderId="0" xfId="4" applyFill="1" applyAlignment="1">
      <alignment horizontal="center" vertical="center"/>
    </xf>
    <xf numFmtId="0" fontId="1" fillId="5524" borderId="0" xfId="4" applyFill="1" applyAlignment="1">
      <alignment horizontal="center" vertical="center"/>
    </xf>
    <xf numFmtId="0" fontId="1" fillId="5525" borderId="0" xfId="4" applyFill="1" applyAlignment="1">
      <alignment horizontal="center" vertical="center"/>
    </xf>
    <xf numFmtId="0" fontId="1" fillId="5526" borderId="0" xfId="4" applyFill="1" applyAlignment="1">
      <alignment horizontal="center" vertical="center"/>
    </xf>
    <xf numFmtId="0" fontId="1" fillId="5527" borderId="0" xfId="4" applyFill="1" applyAlignment="1">
      <alignment horizontal="center" vertical="center"/>
    </xf>
    <xf numFmtId="0" fontId="1" fillId="5528" borderId="0" xfId="4" applyFill="1" applyAlignment="1">
      <alignment horizontal="center" vertical="center"/>
    </xf>
    <xf numFmtId="0" fontId="1" fillId="5529" borderId="0" xfId="4" applyFill="1" applyAlignment="1">
      <alignment horizontal="center" vertical="center"/>
    </xf>
    <xf numFmtId="0" fontId="1" fillId="5530" borderId="0" xfId="4" applyFill="1" applyAlignment="1">
      <alignment horizontal="center" vertical="center"/>
    </xf>
    <xf numFmtId="0" fontId="1" fillId="5531" borderId="0" xfId="4" applyFill="1" applyAlignment="1">
      <alignment horizontal="center" vertical="center"/>
    </xf>
    <xf numFmtId="0" fontId="1" fillId="5532" borderId="0" xfId="4" applyFill="1" applyAlignment="1">
      <alignment horizontal="center" vertical="center"/>
    </xf>
    <xf numFmtId="0" fontId="1" fillId="5533" borderId="0" xfId="4" applyFill="1" applyAlignment="1">
      <alignment horizontal="center" vertical="center"/>
    </xf>
    <xf numFmtId="0" fontId="1" fillId="5534" borderId="0" xfId="4" applyFill="1" applyAlignment="1">
      <alignment horizontal="center" vertical="center"/>
    </xf>
    <xf numFmtId="0" fontId="1" fillId="5535" borderId="0" xfId="4" applyFill="1" applyAlignment="1">
      <alignment horizontal="center" vertical="center"/>
    </xf>
    <xf numFmtId="0" fontId="1" fillId="5536" borderId="0" xfId="4" applyFill="1" applyAlignment="1">
      <alignment horizontal="center" vertical="center"/>
    </xf>
    <xf numFmtId="0" fontId="1" fillId="5537" borderId="0" xfId="4" applyFill="1" applyAlignment="1">
      <alignment horizontal="center" vertical="center"/>
    </xf>
    <xf numFmtId="0" fontId="1" fillId="5538" borderId="0" xfId="4" applyFill="1" applyAlignment="1">
      <alignment horizontal="center" vertical="center"/>
    </xf>
    <xf numFmtId="0" fontId="1" fillId="5539" borderId="0" xfId="4" applyFill="1" applyAlignment="1">
      <alignment horizontal="center" vertical="center"/>
    </xf>
    <xf numFmtId="0" fontId="1" fillId="5540" borderId="0" xfId="4" applyFill="1" applyAlignment="1">
      <alignment horizontal="center" vertical="center"/>
    </xf>
    <xf numFmtId="0" fontId="1" fillId="5541" borderId="0" xfId="4" applyFill="1" applyAlignment="1">
      <alignment horizontal="center" vertical="center"/>
    </xf>
    <xf numFmtId="0" fontId="1" fillId="5542" borderId="0" xfId="4" applyFill="1" applyAlignment="1">
      <alignment horizontal="center" vertical="center"/>
    </xf>
    <xf numFmtId="0" fontId="1" fillId="5543" borderId="0" xfId="4" applyFill="1" applyAlignment="1">
      <alignment horizontal="center" vertical="center"/>
    </xf>
    <xf numFmtId="0" fontId="1" fillId="5544" borderId="0" xfId="4" applyFill="1" applyAlignment="1">
      <alignment horizontal="center" vertical="center"/>
    </xf>
    <xf numFmtId="0" fontId="1" fillId="5545" borderId="0" xfId="4" applyFill="1" applyAlignment="1">
      <alignment horizontal="left" vertical="center"/>
    </xf>
    <xf numFmtId="0" fontId="1" fillId="5546" borderId="0" xfId="4" applyFill="1" applyAlignment="1">
      <alignment horizontal="center" vertical="center"/>
    </xf>
    <xf numFmtId="0" fontId="1" fillId="5547" borderId="0" xfId="4" applyFill="1" applyAlignment="1">
      <alignment horizontal="center" vertical="center"/>
    </xf>
    <xf numFmtId="0" fontId="1" fillId="5548" borderId="0" xfId="4" applyFill="1" applyAlignment="1">
      <alignment horizontal="center" vertical="center"/>
    </xf>
    <xf numFmtId="0" fontId="1" fillId="5549" borderId="0" xfId="4" applyFill="1" applyAlignment="1">
      <alignment horizontal="center" vertical="center"/>
    </xf>
    <xf numFmtId="0" fontId="1" fillId="5550" borderId="0" xfId="4" applyFill="1" applyAlignment="1">
      <alignment horizontal="center" vertical="center"/>
    </xf>
    <xf numFmtId="0" fontId="1" fillId="5551" borderId="0" xfId="4" applyFill="1" applyAlignment="1">
      <alignment horizontal="center" vertical="center"/>
    </xf>
    <xf numFmtId="0" fontId="1" fillId="5552" borderId="0" xfId="4" applyFill="1" applyAlignment="1">
      <alignment horizontal="center" vertical="center"/>
    </xf>
    <xf numFmtId="0" fontId="1" fillId="5553" borderId="0" xfId="4" applyFill="1" applyAlignment="1">
      <alignment horizontal="center" vertical="center"/>
    </xf>
    <xf numFmtId="0" fontId="1" fillId="5554" borderId="0" xfId="4" applyFill="1" applyAlignment="1">
      <alignment horizontal="center" vertical="center"/>
    </xf>
    <xf numFmtId="0" fontId="1" fillId="5555" borderId="0" xfId="4" applyFill="1" applyAlignment="1">
      <alignment horizontal="center" vertical="center"/>
    </xf>
    <xf numFmtId="0" fontId="1" fillId="5556" borderId="0" xfId="4" applyFill="1" applyAlignment="1">
      <alignment horizontal="center" vertical="center"/>
    </xf>
    <xf numFmtId="0" fontId="1" fillId="5557" borderId="0" xfId="4" applyFill="1" applyAlignment="1">
      <alignment horizontal="center" vertical="center"/>
    </xf>
    <xf numFmtId="0" fontId="1" fillId="5558" borderId="0" xfId="4" applyFill="1" applyAlignment="1">
      <alignment horizontal="center" vertical="center"/>
    </xf>
    <xf numFmtId="0" fontId="1" fillId="5559" borderId="0" xfId="4" applyFill="1" applyAlignment="1">
      <alignment horizontal="center" vertical="center"/>
    </xf>
    <xf numFmtId="0" fontId="1" fillId="5560" borderId="0" xfId="4" applyFill="1" applyAlignment="1">
      <alignment horizontal="center" vertical="center"/>
    </xf>
    <xf numFmtId="0" fontId="1" fillId="5561" borderId="0" xfId="4" applyFill="1" applyAlignment="1">
      <alignment horizontal="center" vertical="center"/>
    </xf>
    <xf numFmtId="0" fontId="1" fillId="5562" borderId="0" xfId="4" applyFill="1" applyAlignment="1">
      <alignment horizontal="center" vertical="center"/>
    </xf>
    <xf numFmtId="0" fontId="1" fillId="5563" borderId="0" xfId="4" applyFill="1" applyAlignment="1">
      <alignment horizontal="center" vertical="center"/>
    </xf>
    <xf numFmtId="0" fontId="1" fillId="5564" borderId="0" xfId="4" applyFill="1" applyAlignment="1">
      <alignment horizontal="center" vertical="center"/>
    </xf>
    <xf numFmtId="0" fontId="1" fillId="5565" borderId="0" xfId="4" applyFill="1" applyAlignment="1">
      <alignment horizontal="center" vertical="center"/>
    </xf>
    <xf numFmtId="0" fontId="1" fillId="5566" borderId="0" xfId="4" applyFill="1" applyAlignment="1">
      <alignment horizontal="left" vertical="center"/>
    </xf>
    <xf numFmtId="0" fontId="1" fillId="5567" borderId="0" xfId="4" applyFill="1" applyAlignment="1">
      <alignment horizontal="center" vertical="center"/>
    </xf>
    <xf numFmtId="0" fontId="1" fillId="1228" borderId="0" xfId="4" applyFill="1" applyAlignment="1">
      <alignment horizontal="center" vertical="center"/>
    </xf>
    <xf numFmtId="0" fontId="1" fillId="5568" borderId="0" xfId="4" applyFill="1" applyAlignment="1">
      <alignment horizontal="left" vertical="center"/>
    </xf>
    <xf numFmtId="0" fontId="1" fillId="5569" borderId="0" xfId="4" applyFill="1" applyAlignment="1">
      <alignment horizontal="center" vertical="center"/>
    </xf>
    <xf numFmtId="0" fontId="1" fillId="5570" borderId="0" xfId="4" applyFill="1" applyAlignment="1">
      <alignment horizontal="center" vertical="center"/>
    </xf>
    <xf numFmtId="0" fontId="1" fillId="5571" borderId="0" xfId="4" applyFill="1" applyAlignment="1">
      <alignment horizontal="center" vertical="center"/>
    </xf>
    <xf numFmtId="0" fontId="1" fillId="5572" borderId="0" xfId="4" applyFill="1" applyAlignment="1">
      <alignment horizontal="center" vertical="center"/>
    </xf>
    <xf numFmtId="0" fontId="1" fillId="5573" borderId="0" xfId="4" applyFill="1" applyAlignment="1">
      <alignment horizontal="center" vertical="center"/>
    </xf>
    <xf numFmtId="0" fontId="1" fillId="5574" borderId="0" xfId="4" applyFill="1" applyAlignment="1">
      <alignment horizontal="center" vertical="center"/>
    </xf>
    <xf numFmtId="0" fontId="1" fillId="5575" borderId="0" xfId="4" applyFill="1" applyAlignment="1">
      <alignment horizontal="center" vertical="center"/>
    </xf>
    <xf numFmtId="0" fontId="1" fillId="5576" borderId="0" xfId="4" applyFill="1" applyAlignment="1">
      <alignment horizontal="center" vertical="center"/>
    </xf>
    <xf numFmtId="0" fontId="1" fillId="5577" borderId="0" xfId="4" applyFill="1" applyAlignment="1">
      <alignment horizontal="center" vertical="center"/>
    </xf>
    <xf numFmtId="0" fontId="1" fillId="5578" borderId="0" xfId="4" applyFill="1" applyAlignment="1">
      <alignment horizontal="center" vertical="center"/>
    </xf>
    <xf numFmtId="0" fontId="1" fillId="5579" borderId="0" xfId="4" applyFill="1" applyAlignment="1">
      <alignment horizontal="center" vertical="center"/>
    </xf>
    <xf numFmtId="0" fontId="1" fillId="5580" borderId="0" xfId="4" applyFill="1" applyAlignment="1">
      <alignment horizontal="center" vertical="center"/>
    </xf>
    <xf numFmtId="0" fontId="1" fillId="5581" borderId="0" xfId="4" applyFill="1" applyAlignment="1">
      <alignment horizontal="center" vertical="center"/>
    </xf>
    <xf numFmtId="0" fontId="1" fillId="5582" borderId="0" xfId="4" applyFill="1" applyAlignment="1">
      <alignment horizontal="center" vertical="center"/>
    </xf>
    <xf numFmtId="0" fontId="1" fillId="5583" borderId="0" xfId="4" applyFill="1" applyAlignment="1">
      <alignment horizontal="center" vertical="center"/>
    </xf>
    <xf numFmtId="0" fontId="1" fillId="5584" borderId="0" xfId="4" applyFill="1" applyAlignment="1">
      <alignment horizontal="center" vertical="center"/>
    </xf>
    <xf numFmtId="0" fontId="1" fillId="5585" borderId="0" xfId="4" applyFill="1" applyAlignment="1">
      <alignment horizontal="center" vertical="center"/>
    </xf>
    <xf numFmtId="0" fontId="1" fillId="5586" borderId="0" xfId="4" applyFill="1" applyAlignment="1">
      <alignment horizontal="center" vertical="center"/>
    </xf>
    <xf numFmtId="0" fontId="1" fillId="5587" borderId="0" xfId="4" applyFill="1" applyAlignment="1">
      <alignment horizontal="center" vertical="center"/>
    </xf>
    <xf numFmtId="0" fontId="1" fillId="5588" borderId="0" xfId="4" applyFill="1" applyAlignment="1">
      <alignment horizontal="center" vertical="center"/>
    </xf>
    <xf numFmtId="0" fontId="1" fillId="5589" borderId="0" xfId="4" applyFill="1" applyAlignment="1">
      <alignment horizontal="center" vertical="center"/>
    </xf>
    <xf numFmtId="0" fontId="1" fillId="5590" borderId="0" xfId="4" applyFill="1" applyAlignment="1">
      <alignment horizontal="center" vertical="center"/>
    </xf>
    <xf numFmtId="0" fontId="1" fillId="5591" borderId="0" xfId="4" applyFill="1" applyAlignment="1">
      <alignment horizontal="center" vertical="center"/>
    </xf>
    <xf numFmtId="0" fontId="1" fillId="5592" borderId="0" xfId="4" applyFill="1" applyAlignment="1">
      <alignment horizontal="center" vertical="center"/>
    </xf>
    <xf numFmtId="0" fontId="1" fillId="5593" borderId="0" xfId="4" applyFill="1" applyAlignment="1">
      <alignment horizontal="center" vertical="center"/>
    </xf>
    <xf numFmtId="0" fontId="1" fillId="5594" borderId="0" xfId="4" applyFill="1" applyAlignment="1">
      <alignment horizontal="center" vertical="center"/>
    </xf>
    <xf numFmtId="0" fontId="1" fillId="5595" borderId="0" xfId="4" applyFill="1" applyAlignment="1">
      <alignment horizontal="center" vertical="center"/>
    </xf>
    <xf numFmtId="0" fontId="1" fillId="5596" borderId="0" xfId="4" applyFill="1" applyAlignment="1">
      <alignment horizontal="center" vertical="center"/>
    </xf>
    <xf numFmtId="0" fontId="1" fillId="5597" borderId="0" xfId="4" applyFill="1" applyAlignment="1">
      <alignment horizontal="center" vertical="center"/>
    </xf>
    <xf numFmtId="0" fontId="1" fillId="5598" borderId="0" xfId="4" applyFill="1" applyAlignment="1">
      <alignment horizontal="center" vertical="center"/>
    </xf>
    <xf numFmtId="0" fontId="1" fillId="5599" borderId="0" xfId="4" applyFill="1" applyAlignment="1">
      <alignment horizontal="center" vertical="center"/>
    </xf>
    <xf numFmtId="0" fontId="1" fillId="5600" borderId="0" xfId="4" applyFill="1" applyAlignment="1">
      <alignment horizontal="center" vertical="center"/>
    </xf>
    <xf numFmtId="0" fontId="1" fillId="5601" borderId="0" xfId="4" applyFill="1" applyAlignment="1">
      <alignment horizontal="center" vertical="center"/>
    </xf>
    <xf numFmtId="0" fontId="1" fillId="5602" borderId="0" xfId="4" applyFill="1" applyAlignment="1">
      <alignment horizontal="center" vertical="center"/>
    </xf>
    <xf numFmtId="0" fontId="1" fillId="5603" borderId="0" xfId="4" applyFill="1" applyAlignment="1">
      <alignment horizontal="center" vertical="center"/>
    </xf>
    <xf numFmtId="0" fontId="1" fillId="5604" borderId="0" xfId="4" applyFill="1" applyAlignment="1">
      <alignment horizontal="left" vertical="center"/>
    </xf>
    <xf numFmtId="0" fontId="1" fillId="5605" borderId="0" xfId="4" applyFill="1" applyAlignment="1">
      <alignment horizontal="center" vertical="center"/>
    </xf>
    <xf numFmtId="0" fontId="1" fillId="5606" borderId="0" xfId="4" applyFill="1" applyAlignment="1">
      <alignment horizontal="center" vertical="center"/>
    </xf>
    <xf numFmtId="0" fontId="1" fillId="5607" borderId="0" xfId="4" applyFill="1" applyAlignment="1">
      <alignment horizontal="center" vertical="center"/>
    </xf>
    <xf numFmtId="0" fontId="1" fillId="5608" borderId="0" xfId="4" applyFill="1" applyAlignment="1">
      <alignment horizontal="center" vertical="center"/>
    </xf>
    <xf numFmtId="0" fontId="1" fillId="5609" borderId="0" xfId="4" applyFill="1" applyAlignment="1">
      <alignment horizontal="center" vertical="center"/>
    </xf>
    <xf numFmtId="0" fontId="1" fillId="5610" borderId="0" xfId="4" applyFill="1" applyAlignment="1">
      <alignment horizontal="center" vertical="center"/>
    </xf>
    <xf numFmtId="0" fontId="1" fillId="5611" borderId="0" xfId="4" applyFill="1" applyAlignment="1">
      <alignment horizontal="center" vertical="center"/>
    </xf>
    <xf numFmtId="0" fontId="1" fillId="5612" borderId="0" xfId="4" applyFill="1" applyAlignment="1">
      <alignment horizontal="center" vertical="center"/>
    </xf>
    <xf numFmtId="0" fontId="1" fillId="5613" borderId="0" xfId="4" applyFill="1" applyAlignment="1">
      <alignment horizontal="center" vertical="center"/>
    </xf>
    <xf numFmtId="0" fontId="1" fillId="5614" borderId="0" xfId="4" applyFill="1" applyAlignment="1">
      <alignment horizontal="center" vertical="center"/>
    </xf>
    <xf numFmtId="0" fontId="1" fillId="5615" borderId="0" xfId="4" applyFill="1" applyAlignment="1">
      <alignment horizontal="center" vertical="center"/>
    </xf>
    <xf numFmtId="0" fontId="1" fillId="5616" borderId="0" xfId="4" applyFill="1" applyAlignment="1">
      <alignment horizontal="center" vertical="center"/>
    </xf>
    <xf numFmtId="0" fontId="1" fillId="5617" borderId="0" xfId="4" applyFill="1" applyAlignment="1">
      <alignment horizontal="center" vertical="center"/>
    </xf>
    <xf numFmtId="0" fontId="1" fillId="5618" borderId="0" xfId="4" applyFill="1" applyAlignment="1">
      <alignment horizontal="center" vertical="center"/>
    </xf>
    <xf numFmtId="0" fontId="1" fillId="5619" borderId="0" xfId="4" applyFill="1" applyAlignment="1">
      <alignment horizontal="center" vertical="center"/>
    </xf>
    <xf numFmtId="0" fontId="1" fillId="5620" borderId="0" xfId="4" applyFill="1" applyAlignment="1">
      <alignment horizontal="center" vertical="center"/>
    </xf>
    <xf numFmtId="0" fontId="1" fillId="5621" borderId="0" xfId="4" applyFill="1" applyAlignment="1">
      <alignment horizontal="center" vertical="center"/>
    </xf>
    <xf numFmtId="0" fontId="1" fillId="5622" borderId="0" xfId="4" applyFill="1" applyAlignment="1">
      <alignment horizontal="center" vertical="center"/>
    </xf>
    <xf numFmtId="0" fontId="1" fillId="5623" borderId="0" xfId="4" applyFill="1" applyAlignment="1">
      <alignment horizontal="center" vertical="center"/>
    </xf>
    <xf numFmtId="0" fontId="1" fillId="5624" borderId="0" xfId="4" applyFill="1" applyAlignment="1">
      <alignment horizontal="center" vertical="center"/>
    </xf>
    <xf numFmtId="0" fontId="1" fillId="5625" borderId="0" xfId="4" applyFill="1" applyAlignment="1">
      <alignment horizontal="center" vertical="center"/>
    </xf>
    <xf numFmtId="0" fontId="1" fillId="5626" borderId="0" xfId="4" applyFill="1" applyAlignment="1">
      <alignment horizontal="center" vertical="center"/>
    </xf>
    <xf numFmtId="0" fontId="1" fillId="5627" borderId="0" xfId="4" applyFill="1" applyAlignment="1">
      <alignment horizontal="center" vertical="center"/>
    </xf>
    <xf numFmtId="0" fontId="1" fillId="5628" borderId="0" xfId="4" applyFill="1" applyAlignment="1">
      <alignment horizontal="center" vertical="center"/>
    </xf>
    <xf numFmtId="0" fontId="1" fillId="5629" borderId="0" xfId="4" applyFill="1" applyAlignment="1">
      <alignment horizontal="center" vertical="center"/>
    </xf>
    <xf numFmtId="0" fontId="1" fillId="5630" borderId="0" xfId="4" applyFill="1" applyAlignment="1">
      <alignment horizontal="center" vertical="center"/>
    </xf>
    <xf numFmtId="0" fontId="1" fillId="5631" borderId="0" xfId="4" applyFill="1" applyAlignment="1">
      <alignment horizontal="center" vertical="center"/>
    </xf>
    <xf numFmtId="0" fontId="1" fillId="5632" borderId="0" xfId="4" applyFill="1" applyAlignment="1">
      <alignment horizontal="center" vertical="center"/>
    </xf>
    <xf numFmtId="0" fontId="1" fillId="5633" borderId="0" xfId="4" applyFill="1" applyAlignment="1">
      <alignment horizontal="center" vertical="center"/>
    </xf>
    <xf numFmtId="0" fontId="1" fillId="5634" borderId="0" xfId="4" applyFill="1" applyAlignment="1">
      <alignment horizontal="center" vertical="center"/>
    </xf>
    <xf numFmtId="0" fontId="1" fillId="1003" borderId="0" xfId="4" applyFill="1" applyAlignment="1">
      <alignment horizontal="center" vertical="center"/>
    </xf>
    <xf numFmtId="0" fontId="1" fillId="5635" borderId="0" xfId="4" applyFill="1" applyAlignment="1">
      <alignment horizontal="left" vertical="center"/>
    </xf>
    <xf numFmtId="0" fontId="1" fillId="5636" borderId="0" xfId="4" applyFill="1" applyAlignment="1">
      <alignment horizontal="center" vertical="center"/>
    </xf>
    <xf numFmtId="0" fontId="1" fillId="5637" borderId="0" xfId="4" applyFill="1" applyAlignment="1">
      <alignment horizontal="center" vertical="center"/>
    </xf>
    <xf numFmtId="0" fontId="1" fillId="5638" borderId="0" xfId="4" applyFill="1" applyAlignment="1">
      <alignment horizontal="center" vertical="center"/>
    </xf>
    <xf numFmtId="0" fontId="1" fillId="5639" borderId="0" xfId="4" applyFill="1" applyAlignment="1">
      <alignment horizontal="center" vertical="center"/>
    </xf>
    <xf numFmtId="0" fontId="1" fillId="5640" borderId="0" xfId="4" applyFill="1" applyAlignment="1">
      <alignment horizontal="center" vertical="center"/>
    </xf>
    <xf numFmtId="0" fontId="1" fillId="5641" borderId="0" xfId="4" applyFill="1" applyAlignment="1">
      <alignment horizontal="center" vertical="center"/>
    </xf>
    <xf numFmtId="0" fontId="1" fillId="5642" borderId="0" xfId="4" applyFill="1" applyAlignment="1">
      <alignment horizontal="center" vertical="center"/>
    </xf>
    <xf numFmtId="0" fontId="1" fillId="5643" borderId="0" xfId="4" applyFill="1" applyAlignment="1">
      <alignment horizontal="center" vertical="center"/>
    </xf>
    <xf numFmtId="0" fontId="1" fillId="5644" borderId="0" xfId="4" applyFill="1" applyAlignment="1">
      <alignment horizontal="center" vertical="center"/>
    </xf>
    <xf numFmtId="0" fontId="1" fillId="5645" borderId="0" xfId="4" applyFill="1" applyAlignment="1">
      <alignment horizontal="center" vertical="center"/>
    </xf>
    <xf numFmtId="0" fontId="1" fillId="5646" borderId="0" xfId="4" applyFill="1" applyAlignment="1">
      <alignment horizontal="center" vertical="center"/>
    </xf>
    <xf numFmtId="0" fontId="1" fillId="5647" borderId="0" xfId="4" applyFill="1" applyAlignment="1">
      <alignment horizontal="center" vertical="center"/>
    </xf>
    <xf numFmtId="0" fontId="1" fillId="5648" borderId="0" xfId="4" applyFill="1" applyAlignment="1">
      <alignment horizontal="center" vertical="center"/>
    </xf>
    <xf numFmtId="0" fontId="1" fillId="5649" borderId="0" xfId="4" applyFill="1" applyAlignment="1">
      <alignment horizontal="center" vertical="center"/>
    </xf>
    <xf numFmtId="0" fontId="1" fillId="5650" borderId="0" xfId="4" applyFill="1" applyAlignment="1">
      <alignment horizontal="center" vertical="center"/>
    </xf>
    <xf numFmtId="0" fontId="1" fillId="5651" borderId="0" xfId="4" applyFill="1" applyAlignment="1">
      <alignment horizontal="center" vertical="center"/>
    </xf>
    <xf numFmtId="0" fontId="1" fillId="5652" borderId="0" xfId="4" applyFill="1" applyAlignment="1">
      <alignment horizontal="center" vertical="center"/>
    </xf>
    <xf numFmtId="0" fontId="1" fillId="5653" borderId="0" xfId="4" applyFill="1" applyAlignment="1">
      <alignment horizontal="left" vertical="center"/>
    </xf>
    <xf numFmtId="0" fontId="1" fillId="5654" borderId="0" xfId="4" applyFill="1" applyAlignment="1">
      <alignment horizontal="center" vertical="center"/>
    </xf>
    <xf numFmtId="0" fontId="1" fillId="5655" borderId="0" xfId="4" applyFill="1" applyAlignment="1">
      <alignment horizontal="center" vertical="center"/>
    </xf>
    <xf numFmtId="0" fontId="1" fillId="5656" borderId="0" xfId="4" applyFill="1" applyAlignment="1">
      <alignment horizontal="left" vertical="center"/>
    </xf>
    <xf numFmtId="0" fontId="1" fillId="5657" borderId="0" xfId="4" applyFill="1" applyAlignment="1">
      <alignment horizontal="center" vertical="center"/>
    </xf>
    <xf numFmtId="0" fontId="1" fillId="5658" borderId="0" xfId="4" applyFill="1" applyAlignment="1">
      <alignment horizontal="center" vertical="center"/>
    </xf>
    <xf numFmtId="0" fontId="1" fillId="5659" borderId="0" xfId="4" applyFill="1" applyAlignment="1">
      <alignment horizontal="center" vertical="center"/>
    </xf>
    <xf numFmtId="0" fontId="1" fillId="5660" borderId="0" xfId="4" applyFill="1" applyAlignment="1">
      <alignment horizontal="center" vertical="center"/>
    </xf>
    <xf numFmtId="0" fontId="1" fillId="5661" borderId="0" xfId="4" applyFill="1" applyAlignment="1">
      <alignment horizontal="center" vertical="center"/>
    </xf>
    <xf numFmtId="0" fontId="1" fillId="5662" borderId="0" xfId="4" applyFill="1" applyAlignment="1">
      <alignment horizontal="center" vertical="center"/>
    </xf>
    <xf numFmtId="0" fontId="1" fillId="5663" borderId="0" xfId="4" applyFill="1" applyAlignment="1">
      <alignment horizontal="center" vertical="center"/>
    </xf>
    <xf numFmtId="0" fontId="1" fillId="5664" borderId="0" xfId="4" applyFill="1" applyAlignment="1">
      <alignment horizontal="center" vertical="center"/>
    </xf>
    <xf numFmtId="0" fontId="1" fillId="5665" borderId="0" xfId="4" applyFill="1" applyAlignment="1">
      <alignment horizontal="center" vertical="center"/>
    </xf>
    <xf numFmtId="0" fontId="1" fillId="5666" borderId="0" xfId="4" applyFill="1" applyAlignment="1">
      <alignment horizontal="center" vertical="center"/>
    </xf>
    <xf numFmtId="0" fontId="1" fillId="5667" borderId="0" xfId="4" applyFill="1" applyAlignment="1">
      <alignment horizontal="center" vertical="center"/>
    </xf>
    <xf numFmtId="0" fontId="1" fillId="5668" borderId="0" xfId="4" applyFill="1" applyAlignment="1">
      <alignment horizontal="center" vertical="center"/>
    </xf>
    <xf numFmtId="0" fontId="1" fillId="321" borderId="0" xfId="4" applyFill="1" applyAlignment="1">
      <alignment horizontal="center" vertical="center"/>
    </xf>
    <xf numFmtId="0" fontId="1" fillId="5669" borderId="0" xfId="4" applyFill="1" applyAlignment="1">
      <alignment horizontal="center" vertical="center"/>
    </xf>
    <xf numFmtId="0" fontId="1" fillId="5670" borderId="0" xfId="4" applyFill="1" applyAlignment="1">
      <alignment horizontal="center" vertical="center"/>
    </xf>
    <xf numFmtId="0" fontId="1" fillId="5671" borderId="0" xfId="4" applyFill="1" applyAlignment="1">
      <alignment horizontal="center" vertical="center"/>
    </xf>
    <xf numFmtId="0" fontId="1" fillId="5672" borderId="0" xfId="4" applyFill="1" applyAlignment="1">
      <alignment horizontal="center" vertical="center"/>
    </xf>
    <xf numFmtId="0" fontId="1" fillId="5673" borderId="0" xfId="4" applyFill="1" applyAlignment="1">
      <alignment horizontal="center" vertical="center"/>
    </xf>
    <xf numFmtId="0" fontId="1" fillId="5674" borderId="0" xfId="4" applyFill="1" applyAlignment="1">
      <alignment horizontal="center" vertical="center"/>
    </xf>
    <xf numFmtId="0" fontId="1" fillId="5675" borderId="0" xfId="4" applyFill="1" applyAlignment="1">
      <alignment horizontal="center" vertical="center"/>
    </xf>
    <xf numFmtId="0" fontId="1" fillId="5676" borderId="0" xfId="4" applyFill="1" applyAlignment="1">
      <alignment horizontal="center" vertical="center"/>
    </xf>
    <xf numFmtId="0" fontId="1" fillId="5677" borderId="0" xfId="4" applyFill="1" applyAlignment="1">
      <alignment horizontal="center" vertical="center"/>
    </xf>
    <xf numFmtId="0" fontId="1" fillId="5678" borderId="0" xfId="4" applyFill="1" applyAlignment="1">
      <alignment horizontal="center" vertical="center"/>
    </xf>
    <xf numFmtId="0" fontId="1" fillId="5679" borderId="0" xfId="4" applyFill="1" applyAlignment="1">
      <alignment horizontal="center" vertical="center"/>
    </xf>
    <xf numFmtId="0" fontId="1" fillId="5680" borderId="0" xfId="4" applyFill="1" applyAlignment="1">
      <alignment horizontal="center" vertical="center"/>
    </xf>
    <xf numFmtId="0" fontId="1" fillId="5681" borderId="0" xfId="4" applyFill="1" applyAlignment="1">
      <alignment horizontal="center" vertical="center"/>
    </xf>
    <xf numFmtId="0" fontId="1" fillId="5682" borderId="0" xfId="4" applyFill="1" applyAlignment="1">
      <alignment horizontal="center" vertical="center"/>
    </xf>
    <xf numFmtId="0" fontId="1" fillId="5683" borderId="0" xfId="4" applyFill="1" applyAlignment="1">
      <alignment horizontal="center" vertical="center"/>
    </xf>
    <xf numFmtId="0" fontId="1" fillId="5684" borderId="0" xfId="4" applyFill="1" applyAlignment="1">
      <alignment horizontal="center" vertical="center"/>
    </xf>
    <xf numFmtId="0" fontId="1" fillId="5685" borderId="0" xfId="4" applyFill="1" applyAlignment="1">
      <alignment horizontal="center" vertical="center"/>
    </xf>
    <xf numFmtId="0" fontId="1" fillId="5686" borderId="0" xfId="4" applyFill="1" applyAlignment="1">
      <alignment horizontal="center" vertical="center"/>
    </xf>
    <xf numFmtId="0" fontId="1" fillId="5687" borderId="0" xfId="4" applyFill="1" applyAlignment="1">
      <alignment horizontal="center" vertical="center"/>
    </xf>
    <xf numFmtId="0" fontId="1" fillId="5688" borderId="0" xfId="4" applyFill="1" applyAlignment="1">
      <alignment horizontal="center" vertical="center"/>
    </xf>
    <xf numFmtId="0" fontId="1" fillId="5689" borderId="0" xfId="4" applyFill="1" applyAlignment="1">
      <alignment horizontal="center" vertical="center"/>
    </xf>
    <xf numFmtId="0" fontId="1" fillId="5690" borderId="0" xfId="4" applyFill="1" applyAlignment="1">
      <alignment horizontal="center" vertical="center"/>
    </xf>
    <xf numFmtId="0" fontId="1" fillId="5691" borderId="0" xfId="4" applyFill="1" applyAlignment="1">
      <alignment horizontal="left" vertical="center"/>
    </xf>
    <xf numFmtId="0" fontId="1" fillId="5692" borderId="0" xfId="4" applyFill="1" applyAlignment="1">
      <alignment horizontal="center" vertical="center"/>
    </xf>
    <xf numFmtId="0" fontId="1" fillId="5693" borderId="0" xfId="4" applyFill="1" applyAlignment="1">
      <alignment horizontal="center" vertical="center"/>
    </xf>
    <xf numFmtId="0" fontId="1" fillId="5694" borderId="0" xfId="4" applyFill="1" applyAlignment="1">
      <alignment horizontal="center" vertical="center"/>
    </xf>
    <xf numFmtId="0" fontId="1" fillId="5695" borderId="0" xfId="4" applyFill="1" applyAlignment="1">
      <alignment horizontal="center" vertical="center"/>
    </xf>
    <xf numFmtId="0" fontId="1" fillId="5696" borderId="0" xfId="4" applyFill="1" applyAlignment="1">
      <alignment horizontal="center" vertical="center"/>
    </xf>
    <xf numFmtId="0" fontId="1" fillId="5697" borderId="0" xfId="4" applyFill="1" applyAlignment="1">
      <alignment horizontal="center" vertical="center"/>
    </xf>
    <xf numFmtId="0" fontId="1" fillId="5698" borderId="0" xfId="4" applyFill="1" applyAlignment="1">
      <alignment horizontal="center" vertical="center"/>
    </xf>
    <xf numFmtId="0" fontId="1" fillId="5699" borderId="0" xfId="4" applyFill="1" applyAlignment="1">
      <alignment horizontal="center" vertical="center"/>
    </xf>
    <xf numFmtId="0" fontId="1" fillId="5700" borderId="0" xfId="4" applyFill="1" applyAlignment="1">
      <alignment horizontal="center" vertical="center"/>
    </xf>
    <xf numFmtId="0" fontId="1" fillId="5701" borderId="0" xfId="4" applyFill="1" applyAlignment="1">
      <alignment horizontal="center" vertical="center"/>
    </xf>
    <xf numFmtId="0" fontId="1" fillId="5702" borderId="0" xfId="4" applyFill="1" applyAlignment="1">
      <alignment horizontal="center" vertical="center"/>
    </xf>
    <xf numFmtId="0" fontId="1" fillId="5703" borderId="0" xfId="4" applyFill="1" applyAlignment="1">
      <alignment horizontal="center" vertical="center"/>
    </xf>
    <xf numFmtId="0" fontId="1" fillId="5704" borderId="0" xfId="4" applyFill="1" applyAlignment="1">
      <alignment horizontal="center" vertical="center"/>
    </xf>
    <xf numFmtId="0" fontId="1" fillId="5705" borderId="0" xfId="4" applyFill="1" applyAlignment="1">
      <alignment horizontal="center" vertical="center"/>
    </xf>
    <xf numFmtId="0" fontId="1" fillId="5706" borderId="0" xfId="4" applyFill="1" applyAlignment="1">
      <alignment horizontal="center" vertical="center"/>
    </xf>
    <xf numFmtId="0" fontId="1" fillId="5707" borderId="0" xfId="4" applyFill="1" applyAlignment="1">
      <alignment horizontal="center" vertical="center"/>
    </xf>
    <xf numFmtId="0" fontId="1" fillId="5708" borderId="0" xfId="4" applyFill="1" applyAlignment="1">
      <alignment horizontal="center" vertical="center"/>
    </xf>
    <xf numFmtId="0" fontId="1" fillId="5709" borderId="0" xfId="4" applyFill="1" applyAlignment="1">
      <alignment horizontal="center" vertical="center"/>
    </xf>
    <xf numFmtId="0" fontId="1" fillId="5710" borderId="0" xfId="4" applyFill="1" applyAlignment="1">
      <alignment horizontal="center" vertical="center"/>
    </xf>
    <xf numFmtId="0" fontId="1" fillId="5711" borderId="0" xfId="4" applyFill="1" applyAlignment="1">
      <alignment horizontal="center" vertical="center"/>
    </xf>
    <xf numFmtId="0" fontId="1" fillId="5712" borderId="0" xfId="4" applyFill="1" applyAlignment="1">
      <alignment horizontal="center" vertical="center"/>
    </xf>
    <xf numFmtId="0" fontId="1" fillId="5713" borderId="0" xfId="4" applyFill="1" applyAlignment="1">
      <alignment horizontal="center" vertical="center"/>
    </xf>
    <xf numFmtId="0" fontId="1" fillId="5714" borderId="0" xfId="4" applyFill="1" applyAlignment="1">
      <alignment horizontal="center" vertical="center"/>
    </xf>
    <xf numFmtId="0" fontId="1" fillId="5715" borderId="0" xfId="4" applyFill="1" applyAlignment="1">
      <alignment horizontal="center" vertical="center"/>
    </xf>
    <xf numFmtId="0" fontId="1" fillId="5716" borderId="0" xfId="4" applyFill="1" applyAlignment="1">
      <alignment horizontal="center" vertical="center"/>
    </xf>
    <xf numFmtId="0" fontId="1" fillId="5717" borderId="0" xfId="4" applyFill="1" applyAlignment="1">
      <alignment horizontal="center" vertical="center"/>
    </xf>
    <xf numFmtId="0" fontId="1" fillId="5718" borderId="0" xfId="4" applyFill="1" applyAlignment="1">
      <alignment horizontal="center" vertical="center"/>
    </xf>
    <xf numFmtId="0" fontId="1" fillId="5719" borderId="0" xfId="4" applyFill="1" applyAlignment="1">
      <alignment horizontal="center" vertical="center"/>
    </xf>
    <xf numFmtId="0" fontId="1" fillId="5720" borderId="0" xfId="4" applyFill="1" applyAlignment="1">
      <alignment horizontal="center" vertical="center"/>
    </xf>
    <xf numFmtId="0" fontId="1" fillId="5721" borderId="0" xfId="4" applyFill="1" applyAlignment="1">
      <alignment horizontal="center" vertical="center"/>
    </xf>
    <xf numFmtId="0" fontId="1" fillId="936" borderId="0" xfId="4" applyFill="1" applyAlignment="1">
      <alignment horizontal="center" vertical="center"/>
    </xf>
    <xf numFmtId="0" fontId="1" fillId="5722" borderId="0" xfId="4" applyFill="1" applyAlignment="1">
      <alignment horizontal="left" vertical="center"/>
    </xf>
    <xf numFmtId="0" fontId="1" fillId="5723" borderId="0" xfId="4" applyFill="1" applyAlignment="1">
      <alignment horizontal="center" vertical="center"/>
    </xf>
    <xf numFmtId="0" fontId="1" fillId="5724" borderId="0" xfId="4" applyFill="1" applyAlignment="1">
      <alignment horizontal="center" vertical="center"/>
    </xf>
    <xf numFmtId="0" fontId="1" fillId="5725" borderId="0" xfId="4" applyFill="1" applyAlignment="1">
      <alignment horizontal="center" vertical="center"/>
    </xf>
    <xf numFmtId="0" fontId="1" fillId="5726" borderId="0" xfId="4" applyFill="1" applyAlignment="1">
      <alignment horizontal="center" vertical="center"/>
    </xf>
    <xf numFmtId="0" fontId="1" fillId="5727" borderId="0" xfId="4" applyFill="1" applyAlignment="1">
      <alignment horizontal="center" vertical="center"/>
    </xf>
    <xf numFmtId="0" fontId="1" fillId="5728" borderId="0" xfId="4" applyFill="1" applyAlignment="1">
      <alignment horizontal="center" vertical="center"/>
    </xf>
    <xf numFmtId="0" fontId="1" fillId="5729" borderId="0" xfId="4" applyFill="1" applyAlignment="1">
      <alignment horizontal="center" vertical="center"/>
    </xf>
    <xf numFmtId="0" fontId="1" fillId="5730" borderId="0" xfId="4" applyFill="1" applyAlignment="1">
      <alignment horizontal="center" vertical="center"/>
    </xf>
    <xf numFmtId="0" fontId="1" fillId="5731" borderId="0" xfId="4" applyFill="1" applyAlignment="1">
      <alignment horizontal="center" vertical="center"/>
    </xf>
    <xf numFmtId="0" fontId="1" fillId="5732" borderId="0" xfId="4" applyFill="1" applyAlignment="1">
      <alignment horizontal="center" vertical="center"/>
    </xf>
    <xf numFmtId="0" fontId="1" fillId="5733" borderId="0" xfId="4" applyFill="1" applyAlignment="1">
      <alignment horizontal="center" vertical="center"/>
    </xf>
    <xf numFmtId="0" fontId="1" fillId="5734" borderId="0" xfId="4" applyFill="1" applyAlignment="1">
      <alignment horizontal="center" vertical="center"/>
    </xf>
    <xf numFmtId="0" fontId="1" fillId="5735" borderId="0" xfId="4" applyFill="1" applyAlignment="1">
      <alignment horizontal="center" vertical="center"/>
    </xf>
    <xf numFmtId="0" fontId="1" fillId="5736" borderId="0" xfId="4" applyFill="1" applyAlignment="1">
      <alignment horizontal="center" vertical="center"/>
    </xf>
    <xf numFmtId="0" fontId="1" fillId="5737" borderId="0" xfId="4" applyFill="1" applyAlignment="1">
      <alignment horizontal="center" vertical="center"/>
    </xf>
    <xf numFmtId="0" fontId="1" fillId="5738" borderId="0" xfId="4" applyFill="1" applyAlignment="1">
      <alignment horizontal="center" vertical="center"/>
    </xf>
    <xf numFmtId="0" fontId="1" fillId="5739" borderId="0" xfId="4" applyFill="1" applyAlignment="1">
      <alignment horizontal="center" vertical="center"/>
    </xf>
    <xf numFmtId="0" fontId="1" fillId="5740" borderId="0" xfId="4" applyFill="1" applyAlignment="1">
      <alignment horizontal="center" vertical="center"/>
    </xf>
    <xf numFmtId="0" fontId="1" fillId="5741" borderId="0" xfId="4" applyFill="1" applyAlignment="1">
      <alignment horizontal="left" vertical="center"/>
    </xf>
    <xf numFmtId="0" fontId="1" fillId="5742" borderId="0" xfId="4" applyFill="1" applyAlignment="1">
      <alignment horizontal="center" vertical="center"/>
    </xf>
    <xf numFmtId="0" fontId="1" fillId="5743" borderId="0" xfId="4" applyFill="1" applyAlignment="1">
      <alignment horizontal="left" vertical="center"/>
    </xf>
    <xf numFmtId="0" fontId="1" fillId="5744" borderId="0" xfId="4" applyFill="1" applyAlignment="1">
      <alignment horizontal="center" vertical="center"/>
    </xf>
    <xf numFmtId="0" fontId="1" fillId="5745" borderId="0" xfId="4" applyFill="1" applyAlignment="1">
      <alignment horizontal="center" vertical="center"/>
    </xf>
    <xf numFmtId="0" fontId="1" fillId="1152" borderId="0" xfId="4" applyFill="1" applyAlignment="1">
      <alignment horizontal="center" vertical="center"/>
    </xf>
    <xf numFmtId="0" fontId="1" fillId="5746" borderId="0" xfId="4" applyFill="1" applyAlignment="1">
      <alignment horizontal="center" vertical="center"/>
    </xf>
    <xf numFmtId="0" fontId="1" fillId="5747" borderId="0" xfId="4" applyFill="1" applyAlignment="1">
      <alignment horizontal="center" vertical="center"/>
    </xf>
    <xf numFmtId="0" fontId="1" fillId="5748" borderId="0" xfId="4" applyFill="1" applyAlignment="1">
      <alignment horizontal="center" vertical="center"/>
    </xf>
    <xf numFmtId="0" fontId="1" fillId="5749" borderId="0" xfId="4" applyFill="1" applyAlignment="1">
      <alignment horizontal="center" vertical="center"/>
    </xf>
    <xf numFmtId="0" fontId="1" fillId="5750" borderId="0" xfId="4" applyFill="1" applyAlignment="1">
      <alignment horizontal="center" vertical="center"/>
    </xf>
    <xf numFmtId="0" fontId="1" fillId="5751" borderId="0" xfId="4" applyFill="1" applyAlignment="1">
      <alignment horizontal="center" vertical="center"/>
    </xf>
    <xf numFmtId="0" fontId="1" fillId="1248" borderId="0" xfId="4" applyFill="1" applyAlignment="1">
      <alignment horizontal="center" vertical="center"/>
    </xf>
    <xf numFmtId="0" fontId="1" fillId="5752" borderId="0" xfId="4" applyFill="1" applyAlignment="1">
      <alignment horizontal="center" vertical="center"/>
    </xf>
    <xf numFmtId="0" fontId="1" fillId="5753" borderId="0" xfId="4" applyFill="1" applyAlignment="1">
      <alignment horizontal="center" vertical="center"/>
    </xf>
    <xf numFmtId="0" fontId="1" fillId="5754" borderId="0" xfId="4" applyFill="1" applyAlignment="1">
      <alignment horizontal="center" vertical="center"/>
    </xf>
    <xf numFmtId="0" fontId="1" fillId="5755" borderId="0" xfId="4" applyFill="1" applyAlignment="1">
      <alignment horizontal="center" vertical="center"/>
    </xf>
    <xf numFmtId="0" fontId="1" fillId="5756" borderId="0" xfId="4" applyFill="1" applyAlignment="1">
      <alignment horizontal="center" vertical="center"/>
    </xf>
    <xf numFmtId="0" fontId="1" fillId="5757" borderId="0" xfId="4" applyFill="1" applyAlignment="1">
      <alignment horizontal="center" vertical="center"/>
    </xf>
    <xf numFmtId="0" fontId="1" fillId="5758" borderId="0" xfId="4" applyFill="1" applyAlignment="1">
      <alignment horizontal="center" vertical="center"/>
    </xf>
    <xf numFmtId="0" fontId="1" fillId="5759" borderId="0" xfId="4" applyFill="1" applyAlignment="1">
      <alignment horizontal="center" vertical="center"/>
    </xf>
    <xf numFmtId="0" fontId="1" fillId="5760" borderId="0" xfId="4" applyFill="1" applyAlignment="1">
      <alignment horizontal="center" vertical="center"/>
    </xf>
    <xf numFmtId="0" fontId="1" fillId="5761" borderId="0" xfId="4" applyFill="1" applyAlignment="1">
      <alignment horizontal="center" vertical="center"/>
    </xf>
    <xf numFmtId="0" fontId="1" fillId="5762" borderId="0" xfId="4" applyFill="1" applyAlignment="1">
      <alignment horizontal="center" vertical="center"/>
    </xf>
    <xf numFmtId="0" fontId="1" fillId="5763" borderId="0" xfId="4" applyFill="1" applyAlignment="1">
      <alignment horizontal="center" vertical="center"/>
    </xf>
    <xf numFmtId="0" fontId="1" fillId="5764" borderId="0" xfId="4" applyFill="1" applyAlignment="1">
      <alignment horizontal="center" vertical="center"/>
    </xf>
    <xf numFmtId="0" fontId="1" fillId="5765" borderId="0" xfId="4" applyFill="1" applyAlignment="1">
      <alignment horizontal="center" vertical="center"/>
    </xf>
    <xf numFmtId="0" fontId="1" fillId="5766" borderId="0" xfId="4" applyFill="1" applyAlignment="1">
      <alignment horizontal="center" vertical="center"/>
    </xf>
    <xf numFmtId="0" fontId="1" fillId="5767" borderId="0" xfId="4" applyFill="1" applyAlignment="1">
      <alignment horizontal="center" vertical="center"/>
    </xf>
    <xf numFmtId="0" fontId="1" fillId="5768" borderId="0" xfId="4" applyFill="1" applyAlignment="1">
      <alignment horizontal="center" vertical="center"/>
    </xf>
    <xf numFmtId="0" fontId="1" fillId="5769" borderId="0" xfId="4" applyFill="1" applyAlignment="1">
      <alignment horizontal="center" vertical="center"/>
    </xf>
    <xf numFmtId="0" fontId="1" fillId="5770" borderId="0" xfId="4" applyFill="1" applyAlignment="1">
      <alignment horizontal="center" vertical="center"/>
    </xf>
    <xf numFmtId="0" fontId="1" fillId="5771" borderId="0" xfId="4" applyFill="1" applyAlignment="1">
      <alignment horizontal="center" vertical="center"/>
    </xf>
    <xf numFmtId="0" fontId="1" fillId="5772" borderId="0" xfId="4" applyFill="1" applyAlignment="1">
      <alignment horizontal="center" vertical="center"/>
    </xf>
    <xf numFmtId="0" fontId="1" fillId="5773" borderId="0" xfId="4" applyFill="1" applyAlignment="1">
      <alignment horizontal="center" vertical="center"/>
    </xf>
    <xf numFmtId="0" fontId="1" fillId="5774" borderId="0" xfId="4" applyFill="1" applyAlignment="1">
      <alignment horizontal="center" vertical="center"/>
    </xf>
    <xf numFmtId="0" fontId="1" fillId="5775" borderId="0" xfId="4" applyFill="1" applyAlignment="1">
      <alignment horizontal="center" vertical="center"/>
    </xf>
    <xf numFmtId="0" fontId="1" fillId="5776" borderId="0" xfId="4" applyFill="1" applyAlignment="1">
      <alignment horizontal="center" vertical="center"/>
    </xf>
    <xf numFmtId="0" fontId="1" fillId="5777" borderId="0" xfId="4" applyFill="1" applyAlignment="1">
      <alignment horizontal="center" vertical="center"/>
    </xf>
    <xf numFmtId="0" fontId="1" fillId="5778" borderId="0" xfId="4" applyFill="1" applyAlignment="1">
      <alignment horizontal="left" vertical="center"/>
    </xf>
    <xf numFmtId="0" fontId="1" fillId="5779" borderId="0" xfId="4" applyFill="1" applyAlignment="1">
      <alignment horizontal="center" vertical="center"/>
    </xf>
    <xf numFmtId="0" fontId="1" fillId="5780" borderId="0" xfId="4" applyFill="1" applyAlignment="1">
      <alignment horizontal="center" vertical="center"/>
    </xf>
    <xf numFmtId="0" fontId="1" fillId="5781" borderId="0" xfId="4" applyFill="1" applyAlignment="1">
      <alignment horizontal="center" vertical="center"/>
    </xf>
    <xf numFmtId="0" fontId="1" fillId="5782" borderId="0" xfId="4" applyFill="1" applyAlignment="1">
      <alignment horizontal="center" vertical="center"/>
    </xf>
    <xf numFmtId="0" fontId="1" fillId="5783" borderId="0" xfId="4" applyFill="1" applyAlignment="1">
      <alignment horizontal="center" vertical="center"/>
    </xf>
    <xf numFmtId="0" fontId="1" fillId="5784" borderId="0" xfId="4" applyFill="1" applyAlignment="1">
      <alignment horizontal="center" vertical="center"/>
    </xf>
    <xf numFmtId="0" fontId="1" fillId="5785" borderId="0" xfId="4" applyFill="1" applyAlignment="1">
      <alignment horizontal="center" vertical="center"/>
    </xf>
    <xf numFmtId="0" fontId="1" fillId="5786" borderId="0" xfId="4" applyFill="1" applyAlignment="1">
      <alignment horizontal="center" vertical="center"/>
    </xf>
    <xf numFmtId="0" fontId="1" fillId="5787" borderId="0" xfId="4" applyFill="1" applyAlignment="1">
      <alignment horizontal="center" vertical="center"/>
    </xf>
    <xf numFmtId="0" fontId="1" fillId="5788" borderId="0" xfId="4" applyFill="1" applyAlignment="1">
      <alignment horizontal="center" vertical="center"/>
    </xf>
    <xf numFmtId="0" fontId="1" fillId="5789" borderId="0" xfId="4" applyFill="1" applyAlignment="1">
      <alignment horizontal="center" vertical="center"/>
    </xf>
    <xf numFmtId="0" fontId="1" fillId="5790" borderId="0" xfId="4" applyFill="1" applyAlignment="1">
      <alignment horizontal="center" vertical="center"/>
    </xf>
    <xf numFmtId="0" fontId="1" fillId="5791" borderId="0" xfId="4" applyFill="1" applyAlignment="1">
      <alignment horizontal="center" vertical="center"/>
    </xf>
    <xf numFmtId="0" fontId="1" fillId="5792" borderId="0" xfId="4" applyFill="1" applyAlignment="1">
      <alignment horizontal="center" vertical="center"/>
    </xf>
    <xf numFmtId="0" fontId="1" fillId="5793" borderId="0" xfId="4" applyFill="1" applyAlignment="1">
      <alignment horizontal="center" vertical="center"/>
    </xf>
    <xf numFmtId="0" fontId="1" fillId="5794" borderId="0" xfId="4" applyFill="1" applyAlignment="1">
      <alignment horizontal="center" vertical="center"/>
    </xf>
    <xf numFmtId="0" fontId="1" fillId="5795" borderId="0" xfId="4" applyFill="1" applyAlignment="1">
      <alignment horizontal="center" vertical="center"/>
    </xf>
    <xf numFmtId="0" fontId="1" fillId="5796" borderId="0" xfId="4" applyFill="1" applyAlignment="1">
      <alignment horizontal="center" vertical="center"/>
    </xf>
    <xf numFmtId="0" fontId="1" fillId="5797" borderId="0" xfId="4" applyFill="1" applyAlignment="1">
      <alignment horizontal="center" vertical="center"/>
    </xf>
    <xf numFmtId="0" fontId="1" fillId="5798" borderId="0" xfId="4" applyFill="1" applyAlignment="1">
      <alignment horizontal="center" vertical="center"/>
    </xf>
    <xf numFmtId="0" fontId="1" fillId="5799" borderId="0" xfId="4" applyFill="1" applyAlignment="1">
      <alignment horizontal="center" vertical="center"/>
    </xf>
    <xf numFmtId="0" fontId="1" fillId="5800" borderId="0" xfId="4" applyFill="1" applyAlignment="1">
      <alignment horizontal="center" vertical="center"/>
    </xf>
    <xf numFmtId="0" fontId="1" fillId="5801" borderId="0" xfId="4" applyFill="1" applyAlignment="1">
      <alignment horizontal="center" vertical="center"/>
    </xf>
    <xf numFmtId="0" fontId="1" fillId="5802" borderId="0" xfId="4" applyFill="1" applyAlignment="1">
      <alignment horizontal="center" vertical="center"/>
    </xf>
    <xf numFmtId="0" fontId="1" fillId="5803" borderId="0" xfId="4" applyFill="1" applyAlignment="1">
      <alignment horizontal="center" vertical="center"/>
    </xf>
    <xf numFmtId="0" fontId="1" fillId="5804" borderId="0" xfId="4" applyFill="1" applyAlignment="1">
      <alignment horizontal="center" vertical="center"/>
    </xf>
    <xf numFmtId="0" fontId="1" fillId="5805" borderId="0" xfId="4" applyFill="1" applyAlignment="1">
      <alignment horizontal="center" vertical="center"/>
    </xf>
    <xf numFmtId="0" fontId="1" fillId="5806" borderId="0" xfId="4" applyFill="1" applyAlignment="1">
      <alignment horizontal="center" vertical="center"/>
    </xf>
    <xf numFmtId="0" fontId="1" fillId="5807" borderId="0" xfId="4" applyFill="1" applyAlignment="1">
      <alignment horizontal="center" vertical="center"/>
    </xf>
    <xf numFmtId="0" fontId="1" fillId="5808" borderId="0" xfId="4" applyFill="1" applyAlignment="1">
      <alignment horizontal="left" vertical="center"/>
    </xf>
    <xf numFmtId="0" fontId="1" fillId="5809" borderId="0" xfId="4" applyFill="1" applyAlignment="1">
      <alignment horizontal="center" vertical="center"/>
    </xf>
    <xf numFmtId="0" fontId="1" fillId="5810" borderId="0" xfId="4" applyFill="1" applyAlignment="1">
      <alignment horizontal="center" vertical="center"/>
    </xf>
    <xf numFmtId="0" fontId="1" fillId="5811" borderId="0" xfId="4" applyFill="1" applyAlignment="1">
      <alignment horizontal="center" vertical="center"/>
    </xf>
    <xf numFmtId="0" fontId="1" fillId="5812" borderId="0" xfId="4" applyFill="1" applyAlignment="1">
      <alignment horizontal="center" vertical="center"/>
    </xf>
    <xf numFmtId="0" fontId="1" fillId="5813" borderId="0" xfId="4" applyFill="1" applyAlignment="1">
      <alignment horizontal="center" vertical="center"/>
    </xf>
    <xf numFmtId="0" fontId="1" fillId="5814" borderId="0" xfId="4" applyFill="1" applyAlignment="1">
      <alignment horizontal="center" vertical="center"/>
    </xf>
    <xf numFmtId="0" fontId="1" fillId="5815" borderId="0" xfId="4" applyFill="1" applyAlignment="1">
      <alignment horizontal="center" vertical="center"/>
    </xf>
    <xf numFmtId="0" fontId="1" fillId="5816" borderId="0" xfId="4" applyFill="1" applyAlignment="1">
      <alignment horizontal="center" vertical="center"/>
    </xf>
    <xf numFmtId="0" fontId="1" fillId="5817" borderId="0" xfId="4" applyFill="1" applyAlignment="1">
      <alignment horizontal="center" vertical="center"/>
    </xf>
    <xf numFmtId="0" fontId="1" fillId="5818" borderId="0" xfId="4" applyFill="1" applyAlignment="1">
      <alignment horizontal="center" vertical="center"/>
    </xf>
    <xf numFmtId="0" fontId="1" fillId="5819" borderId="0" xfId="4" applyFill="1" applyAlignment="1">
      <alignment horizontal="center" vertical="center"/>
    </xf>
    <xf numFmtId="0" fontId="1" fillId="5820" borderId="0" xfId="4" applyFill="1" applyAlignment="1">
      <alignment horizontal="center" vertical="center"/>
    </xf>
    <xf numFmtId="0" fontId="1" fillId="5821" borderId="0" xfId="4" applyFill="1" applyAlignment="1">
      <alignment horizontal="center" vertical="center"/>
    </xf>
    <xf numFmtId="0" fontId="1" fillId="5822" borderId="0" xfId="4" applyFill="1" applyAlignment="1">
      <alignment horizontal="center" vertical="center"/>
    </xf>
    <xf numFmtId="0" fontId="1" fillId="5823" borderId="0" xfId="4" applyFill="1" applyAlignment="1">
      <alignment horizontal="center" vertical="center"/>
    </xf>
    <xf numFmtId="0" fontId="1" fillId="5824" borderId="0" xfId="4" applyFill="1" applyAlignment="1">
      <alignment horizontal="center" vertical="center"/>
    </xf>
    <xf numFmtId="0" fontId="1" fillId="5825" borderId="0" xfId="4" applyFill="1" applyAlignment="1">
      <alignment horizontal="center" vertical="center"/>
    </xf>
    <xf numFmtId="0" fontId="1" fillId="5826" borderId="0" xfId="4" applyFill="1" applyAlignment="1">
      <alignment horizontal="center" vertical="center"/>
    </xf>
    <xf numFmtId="0" fontId="1" fillId="5827" borderId="0" xfId="4" applyFill="1" applyAlignment="1">
      <alignment horizontal="center" vertical="center"/>
    </xf>
    <xf numFmtId="0" fontId="1" fillId="5828" borderId="0" xfId="4" applyFill="1" applyAlignment="1">
      <alignment horizontal="center" vertical="center"/>
    </xf>
    <xf numFmtId="0" fontId="1" fillId="5829" borderId="0" xfId="4" applyFill="1" applyAlignment="1">
      <alignment horizontal="left" vertical="center"/>
    </xf>
    <xf numFmtId="0" fontId="1" fillId="5743" borderId="0" xfId="4" applyFill="1" applyAlignment="1">
      <alignment horizontal="center" vertical="center"/>
    </xf>
    <xf numFmtId="0" fontId="1" fillId="5830" borderId="0" xfId="4" applyFill="1" applyAlignment="1">
      <alignment horizontal="center" vertical="center"/>
    </xf>
    <xf numFmtId="0" fontId="1" fillId="5550" borderId="0" xfId="4" applyFill="1" applyAlignment="1">
      <alignment horizontal="left" vertical="center"/>
    </xf>
    <xf numFmtId="0" fontId="1" fillId="5831" borderId="0" xfId="4" applyFill="1" applyAlignment="1">
      <alignment horizontal="center" vertical="center"/>
    </xf>
    <xf numFmtId="0" fontId="1" fillId="5832" borderId="0" xfId="4" applyFill="1" applyAlignment="1">
      <alignment horizontal="center" vertical="center"/>
    </xf>
    <xf numFmtId="0" fontId="1" fillId="5833" borderId="0" xfId="4" applyFill="1" applyAlignment="1">
      <alignment horizontal="center" vertical="center"/>
    </xf>
    <xf numFmtId="0" fontId="1" fillId="5834" borderId="0" xfId="4" applyFill="1" applyAlignment="1">
      <alignment horizontal="center" vertical="center"/>
    </xf>
    <xf numFmtId="0" fontId="1" fillId="5835" borderId="0" xfId="4" applyFill="1" applyAlignment="1">
      <alignment horizontal="center" vertical="center"/>
    </xf>
    <xf numFmtId="0" fontId="1" fillId="5836" borderId="0" xfId="4" applyFill="1" applyAlignment="1">
      <alignment horizontal="center" vertical="center"/>
    </xf>
    <xf numFmtId="0" fontId="1" fillId="5837" borderId="0" xfId="4" applyFill="1" applyAlignment="1">
      <alignment horizontal="center" vertical="center"/>
    </xf>
    <xf numFmtId="0" fontId="1" fillId="5838" borderId="0" xfId="4" applyFill="1" applyAlignment="1">
      <alignment horizontal="center" vertical="center"/>
    </xf>
    <xf numFmtId="0" fontId="1" fillId="5839" borderId="0" xfId="4" applyFill="1" applyAlignment="1">
      <alignment horizontal="center" vertical="center"/>
    </xf>
    <xf numFmtId="0" fontId="1" fillId="5840" borderId="0" xfId="4" applyFill="1" applyAlignment="1">
      <alignment horizontal="center" vertical="center"/>
    </xf>
    <xf numFmtId="0" fontId="1" fillId="5841" borderId="0" xfId="4" applyFill="1" applyAlignment="1">
      <alignment horizontal="center" vertical="center"/>
    </xf>
    <xf numFmtId="0" fontId="1" fillId="5842" borderId="0" xfId="4" applyFill="1" applyAlignment="1">
      <alignment horizontal="center" vertical="center"/>
    </xf>
    <xf numFmtId="0" fontId="1" fillId="5843" borderId="0" xfId="4" applyFill="1" applyAlignment="1">
      <alignment horizontal="center" vertical="center"/>
    </xf>
    <xf numFmtId="0" fontId="1" fillId="5844" borderId="0" xfId="4" applyFill="1" applyAlignment="1">
      <alignment horizontal="center" vertical="center"/>
    </xf>
    <xf numFmtId="0" fontId="1" fillId="5845" borderId="0" xfId="4" applyFill="1" applyAlignment="1">
      <alignment horizontal="center" vertical="center"/>
    </xf>
    <xf numFmtId="0" fontId="1" fillId="5846" borderId="0" xfId="4" applyFill="1" applyAlignment="1">
      <alignment horizontal="center" vertical="center"/>
    </xf>
    <xf numFmtId="0" fontId="1" fillId="5847" borderId="0" xfId="4" applyFill="1" applyAlignment="1">
      <alignment horizontal="center" vertical="center"/>
    </xf>
    <xf numFmtId="0" fontId="1" fillId="5848" borderId="0" xfId="4" applyFill="1" applyAlignment="1">
      <alignment horizontal="center" vertical="center"/>
    </xf>
    <xf numFmtId="0" fontId="1" fillId="5849" borderId="0" xfId="4" applyFill="1" applyAlignment="1">
      <alignment horizontal="center" vertical="center"/>
    </xf>
    <xf numFmtId="0" fontId="1" fillId="5850" borderId="0" xfId="4" applyFill="1" applyAlignment="1">
      <alignment horizontal="center" vertical="center"/>
    </xf>
    <xf numFmtId="0" fontId="1" fillId="5851" borderId="0" xfId="4" applyFill="1" applyAlignment="1">
      <alignment horizontal="center" vertical="center"/>
    </xf>
    <xf numFmtId="0" fontId="1" fillId="5852" borderId="0" xfId="4" applyFill="1" applyAlignment="1">
      <alignment horizontal="center" vertical="center"/>
    </xf>
    <xf numFmtId="0" fontId="1" fillId="5853" borderId="0" xfId="4" applyFill="1" applyAlignment="1">
      <alignment horizontal="center" vertical="center"/>
    </xf>
    <xf numFmtId="0" fontId="1" fillId="5854" borderId="0" xfId="4" applyFill="1" applyAlignment="1">
      <alignment horizontal="center" vertical="center"/>
    </xf>
    <xf numFmtId="0" fontId="1" fillId="5855" borderId="0" xfId="4" applyFill="1" applyAlignment="1">
      <alignment horizontal="center" vertical="center"/>
    </xf>
    <xf numFmtId="0" fontId="1" fillId="5856" borderId="0" xfId="4" applyFill="1" applyAlignment="1">
      <alignment horizontal="center" vertical="center"/>
    </xf>
    <xf numFmtId="0" fontId="1" fillId="5857" borderId="0" xfId="4" applyFill="1" applyAlignment="1">
      <alignment horizontal="center" vertical="center"/>
    </xf>
    <xf numFmtId="0" fontId="1" fillId="5858" borderId="0" xfId="4" applyFill="1" applyAlignment="1">
      <alignment horizontal="center" vertical="center"/>
    </xf>
    <xf numFmtId="0" fontId="1" fillId="5859" borderId="0" xfId="4" applyFill="1" applyAlignment="1">
      <alignment horizontal="center" vertical="center"/>
    </xf>
    <xf numFmtId="0" fontId="1" fillId="5860" borderId="0" xfId="4" applyFill="1" applyAlignment="1">
      <alignment horizontal="center" vertical="center"/>
    </xf>
    <xf numFmtId="0" fontId="1" fillId="5861" borderId="0" xfId="4" applyFill="1" applyAlignment="1">
      <alignment horizontal="center" vertical="center"/>
    </xf>
    <xf numFmtId="0" fontId="1" fillId="5862" borderId="0" xfId="4" applyFill="1" applyAlignment="1">
      <alignment horizontal="center" vertical="center"/>
    </xf>
    <xf numFmtId="0" fontId="1" fillId="5863" borderId="0" xfId="4" applyFill="1" applyAlignment="1">
      <alignment horizontal="center" vertical="center"/>
    </xf>
    <xf numFmtId="0" fontId="1" fillId="5864" borderId="0" xfId="4" applyFill="1" applyAlignment="1">
      <alignment horizontal="center" vertical="center"/>
    </xf>
    <xf numFmtId="0" fontId="1" fillId="5865" borderId="0" xfId="4" applyFill="1" applyAlignment="1">
      <alignment horizontal="center" vertical="center"/>
    </xf>
    <xf numFmtId="0" fontId="1" fillId="5866" borderId="0" xfId="4" applyFill="1" applyAlignment="1">
      <alignment horizontal="center" vertical="center"/>
    </xf>
    <xf numFmtId="0" fontId="1" fillId="5867" borderId="0" xfId="4" applyFill="1" applyAlignment="1">
      <alignment horizontal="left" vertical="center"/>
    </xf>
    <xf numFmtId="0" fontId="1" fillId="5868" borderId="0" xfId="4" applyFill="1" applyAlignment="1">
      <alignment horizontal="center" vertical="center"/>
    </xf>
    <xf numFmtId="0" fontId="1" fillId="5869" borderId="0" xfId="4" applyFill="1" applyAlignment="1">
      <alignment horizontal="center" vertical="center"/>
    </xf>
    <xf numFmtId="0" fontId="1" fillId="5870" borderId="0" xfId="4" applyFill="1" applyAlignment="1">
      <alignment horizontal="center" vertical="center"/>
    </xf>
    <xf numFmtId="0" fontId="1" fillId="5871" borderId="0" xfId="4" applyFill="1" applyAlignment="1">
      <alignment horizontal="center" vertical="center"/>
    </xf>
    <xf numFmtId="0" fontId="1" fillId="5872" borderId="0" xfId="4" applyFill="1" applyAlignment="1">
      <alignment horizontal="center" vertical="center"/>
    </xf>
    <xf numFmtId="0" fontId="1" fillId="5873" borderId="0" xfId="4" applyFill="1" applyAlignment="1">
      <alignment horizontal="center" vertical="center"/>
    </xf>
    <xf numFmtId="0" fontId="1" fillId="5874" borderId="0" xfId="4" applyFill="1" applyAlignment="1">
      <alignment horizontal="center" vertical="center"/>
    </xf>
    <xf numFmtId="0" fontId="1" fillId="5875" borderId="0" xfId="4" applyFill="1" applyAlignment="1">
      <alignment horizontal="center" vertical="center"/>
    </xf>
    <xf numFmtId="0" fontId="1" fillId="5876" borderId="0" xfId="4" applyFill="1" applyAlignment="1">
      <alignment horizontal="center" vertical="center"/>
    </xf>
    <xf numFmtId="0" fontId="1" fillId="5877" borderId="0" xfId="4" applyFill="1" applyAlignment="1">
      <alignment horizontal="center" vertical="center"/>
    </xf>
    <xf numFmtId="0" fontId="1" fillId="5878" borderId="0" xfId="4" applyFill="1" applyAlignment="1">
      <alignment horizontal="center" vertical="center"/>
    </xf>
    <xf numFmtId="0" fontId="1" fillId="5879" borderId="0" xfId="4" applyFill="1" applyAlignment="1">
      <alignment horizontal="center" vertical="center"/>
    </xf>
    <xf numFmtId="0" fontId="1" fillId="5880" borderId="0" xfId="4" applyFill="1" applyAlignment="1">
      <alignment horizontal="center" vertical="center"/>
    </xf>
    <xf numFmtId="0" fontId="1" fillId="5881" borderId="0" xfId="4" applyFill="1" applyAlignment="1">
      <alignment horizontal="center" vertical="center"/>
    </xf>
    <xf numFmtId="0" fontId="1" fillId="5882" borderId="0" xfId="4" applyFill="1" applyAlignment="1">
      <alignment horizontal="center" vertical="center"/>
    </xf>
    <xf numFmtId="0" fontId="1" fillId="5883" borderId="0" xfId="4" applyFill="1" applyAlignment="1">
      <alignment horizontal="center" vertical="center"/>
    </xf>
    <xf numFmtId="0" fontId="1" fillId="5884" borderId="0" xfId="4" applyFill="1" applyAlignment="1">
      <alignment horizontal="center" vertical="center"/>
    </xf>
    <xf numFmtId="0" fontId="1" fillId="5885" borderId="0" xfId="4" applyFill="1" applyAlignment="1">
      <alignment horizontal="center" vertical="center"/>
    </xf>
    <xf numFmtId="0" fontId="1" fillId="5886" borderId="0" xfId="4" applyFill="1" applyAlignment="1">
      <alignment horizontal="center" vertical="center"/>
    </xf>
    <xf numFmtId="0" fontId="1" fillId="5887" borderId="0" xfId="4" applyFill="1" applyAlignment="1">
      <alignment horizontal="center" vertical="center"/>
    </xf>
    <xf numFmtId="0" fontId="1" fillId="5888" borderId="0" xfId="4" applyFill="1" applyAlignment="1">
      <alignment horizontal="center" vertical="center"/>
    </xf>
    <xf numFmtId="0" fontId="1" fillId="5889" borderId="0" xfId="4" applyFill="1" applyAlignment="1">
      <alignment horizontal="center" vertical="center"/>
    </xf>
    <xf numFmtId="0" fontId="1" fillId="5890" borderId="0" xfId="4" applyFill="1" applyAlignment="1">
      <alignment horizontal="center" vertical="center"/>
    </xf>
    <xf numFmtId="0" fontId="1" fillId="5891" borderId="0" xfId="4" applyFill="1" applyAlignment="1">
      <alignment horizontal="center" vertical="center"/>
    </xf>
    <xf numFmtId="0" fontId="1" fillId="5892" borderId="0" xfId="4" applyFill="1" applyAlignment="1">
      <alignment horizontal="center" vertical="center"/>
    </xf>
    <xf numFmtId="0" fontId="1" fillId="5893" borderId="0" xfId="4" applyFill="1" applyAlignment="1">
      <alignment horizontal="center" vertical="center"/>
    </xf>
    <xf numFmtId="0" fontId="1" fillId="5894" borderId="0" xfId="4" applyFill="1" applyAlignment="1">
      <alignment horizontal="center" vertical="center"/>
    </xf>
    <xf numFmtId="0" fontId="1" fillId="5895" borderId="0" xfId="4" applyFill="1" applyAlignment="1">
      <alignment horizontal="center" vertical="center"/>
    </xf>
    <xf numFmtId="0" fontId="1" fillId="5896" borderId="0" xfId="4" applyFill="1" applyAlignment="1">
      <alignment horizontal="left" vertical="center"/>
    </xf>
    <xf numFmtId="0" fontId="1" fillId="5897" borderId="0" xfId="4" applyFill="1" applyAlignment="1">
      <alignment horizontal="center" vertical="center"/>
    </xf>
    <xf numFmtId="0" fontId="1" fillId="5898" borderId="0" xfId="4" applyFill="1" applyAlignment="1">
      <alignment horizontal="center" vertical="center"/>
    </xf>
    <xf numFmtId="0" fontId="1" fillId="5899" borderId="0" xfId="4" applyFill="1" applyAlignment="1">
      <alignment horizontal="center" vertical="center"/>
    </xf>
    <xf numFmtId="0" fontId="1" fillId="5900" borderId="0" xfId="4" applyFill="1" applyAlignment="1">
      <alignment horizontal="center" vertical="center"/>
    </xf>
    <xf numFmtId="0" fontId="1" fillId="5901" borderId="0" xfId="4" applyFill="1" applyAlignment="1">
      <alignment horizontal="center" vertical="center"/>
    </xf>
    <xf numFmtId="0" fontId="1" fillId="5902" borderId="0" xfId="4" applyFill="1" applyAlignment="1">
      <alignment horizontal="center" vertical="center"/>
    </xf>
    <xf numFmtId="0" fontId="1" fillId="5903" borderId="0" xfId="4" applyFill="1" applyAlignment="1">
      <alignment horizontal="center" vertical="center"/>
    </xf>
    <xf numFmtId="0" fontId="1" fillId="5904" borderId="0" xfId="4" applyFill="1" applyAlignment="1">
      <alignment horizontal="center" vertical="center"/>
    </xf>
    <xf numFmtId="0" fontId="1" fillId="5905" borderId="0" xfId="4" applyFill="1" applyAlignment="1">
      <alignment horizontal="center" vertical="center"/>
    </xf>
    <xf numFmtId="0" fontId="1" fillId="5906" borderId="0" xfId="4" applyFill="1" applyAlignment="1">
      <alignment horizontal="center" vertical="center"/>
    </xf>
    <xf numFmtId="0" fontId="1" fillId="5907" borderId="0" xfId="4" applyFill="1" applyAlignment="1">
      <alignment horizontal="center" vertical="center"/>
    </xf>
    <xf numFmtId="0" fontId="1" fillId="5908" borderId="0" xfId="4" applyFill="1" applyAlignment="1">
      <alignment horizontal="center" vertical="center"/>
    </xf>
    <xf numFmtId="0" fontId="1" fillId="5909" borderId="0" xfId="4" applyFill="1" applyAlignment="1">
      <alignment horizontal="center" vertical="center"/>
    </xf>
    <xf numFmtId="0" fontId="1" fillId="5910" borderId="0" xfId="4" applyFill="1" applyAlignment="1">
      <alignment horizontal="center" vertical="center"/>
    </xf>
    <xf numFmtId="0" fontId="1" fillId="5911" borderId="0" xfId="4" applyFill="1" applyAlignment="1">
      <alignment horizontal="center" vertical="center"/>
    </xf>
    <xf numFmtId="0" fontId="1" fillId="5912" borderId="0" xfId="4" applyFill="1" applyAlignment="1">
      <alignment horizontal="center" vertical="center"/>
    </xf>
    <xf numFmtId="0" fontId="1" fillId="5913" borderId="0" xfId="4" applyFill="1" applyAlignment="1">
      <alignment horizontal="center" vertical="center"/>
    </xf>
    <xf numFmtId="0" fontId="1" fillId="5914" borderId="0" xfId="4" applyFill="1" applyAlignment="1">
      <alignment horizontal="left" vertical="center"/>
    </xf>
    <xf numFmtId="0" fontId="1" fillId="5915" borderId="0" xfId="4" applyFill="1" applyAlignment="1">
      <alignment horizontal="center" vertical="center"/>
    </xf>
    <xf numFmtId="0" fontId="1" fillId="844" borderId="0" xfId="4" applyFill="1" applyAlignment="1">
      <alignment horizontal="left" vertical="center"/>
    </xf>
    <xf numFmtId="0" fontId="1" fillId="5916" borderId="0" xfId="4" applyFill="1" applyAlignment="1">
      <alignment horizontal="center" vertical="center"/>
    </xf>
    <xf numFmtId="0" fontId="1" fillId="5917" borderId="0" xfId="4" applyFill="1" applyAlignment="1">
      <alignment horizontal="center" vertical="center"/>
    </xf>
    <xf numFmtId="0" fontId="1" fillId="5918" borderId="0" xfId="4" applyFill="1" applyAlignment="1">
      <alignment horizontal="center" vertical="center"/>
    </xf>
    <xf numFmtId="0" fontId="1" fillId="5919" borderId="0" xfId="4" applyFill="1" applyAlignment="1">
      <alignment horizontal="center" vertical="center"/>
    </xf>
    <xf numFmtId="0" fontId="1" fillId="5920" borderId="0" xfId="4" applyFill="1" applyAlignment="1">
      <alignment horizontal="center" vertical="center"/>
    </xf>
    <xf numFmtId="0" fontId="1" fillId="5921" borderId="0" xfId="4" applyFill="1" applyAlignment="1">
      <alignment horizontal="center" vertical="center"/>
    </xf>
    <xf numFmtId="0" fontId="1" fillId="5922" borderId="0" xfId="4" applyFill="1" applyAlignment="1">
      <alignment horizontal="center" vertical="center"/>
    </xf>
    <xf numFmtId="0" fontId="1" fillId="5923" borderId="0" xfId="4" applyFill="1" applyAlignment="1">
      <alignment horizontal="center" vertical="center"/>
    </xf>
    <xf numFmtId="0" fontId="1" fillId="5924" borderId="0" xfId="4" applyFill="1" applyAlignment="1">
      <alignment horizontal="center" vertical="center"/>
    </xf>
    <xf numFmtId="0" fontId="1" fillId="5925" borderId="0" xfId="4" applyFill="1" applyAlignment="1">
      <alignment horizontal="center" vertical="center"/>
    </xf>
    <xf numFmtId="0" fontId="1" fillId="5926" borderId="0" xfId="4" applyFill="1" applyAlignment="1">
      <alignment horizontal="center" vertical="center"/>
    </xf>
    <xf numFmtId="0" fontId="1" fillId="5927" borderId="0" xfId="4" applyFill="1" applyAlignment="1">
      <alignment horizontal="center" vertical="center"/>
    </xf>
    <xf numFmtId="0" fontId="1" fillId="5928" borderId="0" xfId="4" applyFill="1" applyAlignment="1">
      <alignment horizontal="center" vertical="center"/>
    </xf>
    <xf numFmtId="0" fontId="1" fillId="5929" borderId="0" xfId="4" applyFill="1" applyAlignment="1">
      <alignment horizontal="center" vertical="center"/>
    </xf>
    <xf numFmtId="0" fontId="1" fillId="5930" borderId="0" xfId="4" applyFill="1" applyAlignment="1">
      <alignment horizontal="center" vertical="center"/>
    </xf>
    <xf numFmtId="0" fontId="1" fillId="5931" borderId="0" xfId="4" applyFill="1" applyAlignment="1">
      <alignment horizontal="center" vertical="center"/>
    </xf>
    <xf numFmtId="0" fontId="1" fillId="5932" borderId="0" xfId="4" applyFill="1" applyAlignment="1">
      <alignment horizontal="center" vertical="center"/>
    </xf>
    <xf numFmtId="0" fontId="1" fillId="5933" borderId="0" xfId="4" applyFill="1" applyAlignment="1">
      <alignment horizontal="center" vertical="center"/>
    </xf>
    <xf numFmtId="0" fontId="1" fillId="5934" borderId="0" xfId="4" applyFill="1" applyAlignment="1">
      <alignment horizontal="center" vertical="center"/>
    </xf>
    <xf numFmtId="0" fontId="1" fillId="5935" borderId="0" xfId="4" applyFill="1" applyAlignment="1">
      <alignment horizontal="center" vertical="center"/>
    </xf>
    <xf numFmtId="0" fontId="1" fillId="5936" borderId="0" xfId="4" applyFill="1" applyAlignment="1">
      <alignment horizontal="center" vertical="center"/>
    </xf>
    <xf numFmtId="0" fontId="1" fillId="5937" borderId="0" xfId="4" applyFill="1" applyAlignment="1">
      <alignment horizontal="center" vertical="center"/>
    </xf>
    <xf numFmtId="0" fontId="1" fillId="5938" borderId="0" xfId="4" applyFill="1" applyAlignment="1">
      <alignment horizontal="center" vertical="center"/>
    </xf>
    <xf numFmtId="0" fontId="1" fillId="5939" borderId="0" xfId="4" applyFill="1" applyAlignment="1">
      <alignment horizontal="center" vertical="center"/>
    </xf>
    <xf numFmtId="0" fontId="1" fillId="5940" borderId="0" xfId="4" applyFill="1" applyAlignment="1">
      <alignment horizontal="center" vertical="center"/>
    </xf>
    <xf numFmtId="0" fontId="1" fillId="5941" borderId="0" xfId="4" applyFill="1" applyAlignment="1">
      <alignment horizontal="center" vertical="center"/>
    </xf>
    <xf numFmtId="0" fontId="1" fillId="5942" borderId="0" xfId="4" applyFill="1" applyAlignment="1">
      <alignment horizontal="center" vertical="center"/>
    </xf>
    <xf numFmtId="0" fontId="1" fillId="5943" borderId="0" xfId="4" applyFill="1" applyAlignment="1">
      <alignment horizontal="center" vertical="center"/>
    </xf>
    <xf numFmtId="0" fontId="1" fillId="5944" borderId="0" xfId="4" applyFill="1" applyAlignment="1">
      <alignment horizontal="center" vertical="center"/>
    </xf>
    <xf numFmtId="0" fontId="1" fillId="5945" borderId="0" xfId="4" applyFill="1" applyAlignment="1">
      <alignment horizontal="center" vertical="center"/>
    </xf>
    <xf numFmtId="0" fontId="1" fillId="5946" borderId="0" xfId="4" applyFill="1" applyAlignment="1">
      <alignment horizontal="center" vertical="center"/>
    </xf>
    <xf numFmtId="0" fontId="1" fillId="5947" borderId="0" xfId="4" applyFill="1" applyAlignment="1">
      <alignment horizontal="center" vertical="center"/>
    </xf>
    <xf numFmtId="0" fontId="1" fillId="5948" borderId="0" xfId="4" applyFill="1" applyAlignment="1">
      <alignment horizontal="center" vertical="center"/>
    </xf>
    <xf numFmtId="0" fontId="1" fillId="5949" borderId="0" xfId="4" applyFill="1" applyAlignment="1">
      <alignment horizontal="center" vertical="center"/>
    </xf>
    <xf numFmtId="0" fontId="1" fillId="5950" borderId="0" xfId="4" applyFill="1" applyAlignment="1">
      <alignment horizontal="center" vertical="center"/>
    </xf>
    <xf numFmtId="0" fontId="1" fillId="5951" borderId="0" xfId="4" applyFill="1" applyAlignment="1">
      <alignment horizontal="center" vertical="center"/>
    </xf>
    <xf numFmtId="0" fontId="1" fillId="5952" borderId="0" xfId="4" applyFill="1" applyAlignment="1">
      <alignment horizontal="left" vertical="center"/>
    </xf>
    <xf numFmtId="0" fontId="1" fillId="5953" borderId="0" xfId="4" applyFill="1" applyAlignment="1">
      <alignment horizontal="center" vertical="center"/>
    </xf>
    <xf numFmtId="0" fontId="1" fillId="5954" borderId="0" xfId="4" applyFill="1" applyAlignment="1">
      <alignment horizontal="center" vertical="center"/>
    </xf>
    <xf numFmtId="0" fontId="1" fillId="5955" borderId="0" xfId="4" applyFill="1" applyAlignment="1">
      <alignment horizontal="center" vertical="center"/>
    </xf>
    <xf numFmtId="0" fontId="1" fillId="5956" borderId="0" xfId="4" applyFill="1" applyAlignment="1">
      <alignment horizontal="center" vertical="center"/>
    </xf>
    <xf numFmtId="0" fontId="1" fillId="5957" borderId="0" xfId="4" applyFill="1" applyAlignment="1">
      <alignment horizontal="center" vertical="center"/>
    </xf>
    <xf numFmtId="0" fontId="1" fillId="5958" borderId="0" xfId="4" applyFill="1" applyAlignment="1">
      <alignment horizontal="center" vertical="center"/>
    </xf>
    <xf numFmtId="0" fontId="1" fillId="5959" borderId="0" xfId="4" applyFill="1" applyAlignment="1">
      <alignment horizontal="center" vertical="center"/>
    </xf>
    <xf numFmtId="0" fontId="1" fillId="5960" borderId="0" xfId="4" applyFill="1" applyAlignment="1">
      <alignment horizontal="center" vertical="center"/>
    </xf>
    <xf numFmtId="0" fontId="1" fillId="5961" borderId="0" xfId="4" applyFill="1" applyAlignment="1">
      <alignment horizontal="center" vertical="center"/>
    </xf>
    <xf numFmtId="0" fontId="1" fillId="5962" borderId="0" xfId="4" applyFill="1" applyAlignment="1">
      <alignment horizontal="center" vertical="center"/>
    </xf>
    <xf numFmtId="0" fontId="1" fillId="5963" borderId="0" xfId="4" applyFill="1" applyAlignment="1">
      <alignment horizontal="center" vertical="center"/>
    </xf>
    <xf numFmtId="0" fontId="1" fillId="5964" borderId="0" xfId="4" applyFill="1" applyAlignment="1">
      <alignment horizontal="center" vertical="center"/>
    </xf>
    <xf numFmtId="0" fontId="1" fillId="5965" borderId="0" xfId="4" applyFill="1" applyAlignment="1">
      <alignment horizontal="center" vertical="center"/>
    </xf>
    <xf numFmtId="0" fontId="1" fillId="5966" borderId="0" xfId="4" applyFill="1" applyAlignment="1">
      <alignment horizontal="center" vertical="center"/>
    </xf>
    <xf numFmtId="0" fontId="1" fillId="5967" borderId="0" xfId="4" applyFill="1" applyAlignment="1">
      <alignment horizontal="center" vertical="center"/>
    </xf>
    <xf numFmtId="0" fontId="1" fillId="5968" borderId="0" xfId="4" applyFill="1" applyAlignment="1">
      <alignment horizontal="center" vertical="center"/>
    </xf>
    <xf numFmtId="0" fontId="1" fillId="5969" borderId="0" xfId="4" applyFill="1" applyAlignment="1">
      <alignment horizontal="center" vertical="center"/>
    </xf>
    <xf numFmtId="0" fontId="1" fillId="5970" borderId="0" xfId="4" applyFill="1" applyAlignment="1">
      <alignment horizontal="center" vertical="center"/>
    </xf>
    <xf numFmtId="0" fontId="1" fillId="5971" borderId="0" xfId="4" applyFill="1" applyAlignment="1">
      <alignment horizontal="center" vertical="center"/>
    </xf>
    <xf numFmtId="0" fontId="1" fillId="5972" borderId="0" xfId="4" applyFill="1" applyAlignment="1">
      <alignment horizontal="center" vertical="center"/>
    </xf>
    <xf numFmtId="0" fontId="1" fillId="5973" borderId="0" xfId="4" applyFill="1" applyAlignment="1">
      <alignment horizontal="center" vertical="center"/>
    </xf>
    <xf numFmtId="0" fontId="1" fillId="5974" borderId="0" xfId="4" applyFill="1" applyAlignment="1">
      <alignment horizontal="center" vertical="center"/>
    </xf>
    <xf numFmtId="0" fontId="1" fillId="5975" borderId="0" xfId="4" applyFill="1" applyAlignment="1">
      <alignment horizontal="center" vertical="center"/>
    </xf>
    <xf numFmtId="0" fontId="1" fillId="5976" borderId="0" xfId="4" applyFill="1" applyAlignment="1">
      <alignment horizontal="center" vertical="center"/>
    </xf>
    <xf numFmtId="0" fontId="1" fillId="5977" borderId="0" xfId="4" applyFill="1" applyAlignment="1">
      <alignment horizontal="center" vertical="center"/>
    </xf>
    <xf numFmtId="0" fontId="1" fillId="5978" borderId="0" xfId="4" applyFill="1" applyAlignment="1">
      <alignment horizontal="center" vertical="center"/>
    </xf>
    <xf numFmtId="0" fontId="1" fillId="5979" borderId="0" xfId="4" applyFill="1" applyAlignment="1">
      <alignment horizontal="center" vertical="center"/>
    </xf>
    <xf numFmtId="0" fontId="1" fillId="5980" borderId="0" xfId="4" applyFill="1" applyAlignment="1">
      <alignment horizontal="left" vertical="center"/>
    </xf>
    <xf numFmtId="0" fontId="1" fillId="5981" borderId="0" xfId="4" applyFill="1" applyAlignment="1">
      <alignment horizontal="center" vertical="center"/>
    </xf>
    <xf numFmtId="0" fontId="1" fillId="5982" borderId="0" xfId="4" applyFill="1" applyAlignment="1">
      <alignment horizontal="center" vertical="center"/>
    </xf>
    <xf numFmtId="0" fontId="1" fillId="5983" borderId="0" xfId="4" applyFill="1" applyAlignment="1">
      <alignment horizontal="center" vertical="center"/>
    </xf>
    <xf numFmtId="0" fontId="1" fillId="5984" borderId="0" xfId="4" applyFill="1" applyAlignment="1">
      <alignment horizontal="center" vertical="center"/>
    </xf>
    <xf numFmtId="0" fontId="1" fillId="5985" borderId="0" xfId="4" applyFill="1" applyAlignment="1">
      <alignment horizontal="center" vertical="center"/>
    </xf>
    <xf numFmtId="0" fontId="1" fillId="5986" borderId="0" xfId="4" applyFill="1" applyAlignment="1">
      <alignment horizontal="center" vertical="center"/>
    </xf>
    <xf numFmtId="0" fontId="1" fillId="5987" borderId="0" xfId="4" applyFill="1" applyAlignment="1">
      <alignment horizontal="center" vertical="center"/>
    </xf>
    <xf numFmtId="0" fontId="1" fillId="5988" borderId="0" xfId="4" applyFill="1" applyAlignment="1">
      <alignment horizontal="center" vertical="center"/>
    </xf>
    <xf numFmtId="0" fontId="1" fillId="5989" borderId="0" xfId="4" applyFill="1" applyAlignment="1">
      <alignment horizontal="center" vertical="center"/>
    </xf>
    <xf numFmtId="0" fontId="1" fillId="5990" borderId="0" xfId="4" applyFill="1" applyAlignment="1">
      <alignment horizontal="center" vertical="center"/>
    </xf>
    <xf numFmtId="0" fontId="1" fillId="5991" borderId="0" xfId="4" applyFill="1" applyAlignment="1">
      <alignment horizontal="center" vertical="center"/>
    </xf>
    <xf numFmtId="0" fontId="1" fillId="5992" borderId="0" xfId="4" applyFill="1" applyAlignment="1">
      <alignment horizontal="center" vertical="center"/>
    </xf>
    <xf numFmtId="0" fontId="1" fillId="5993" borderId="0" xfId="4" applyFill="1" applyAlignment="1">
      <alignment horizontal="center" vertical="center"/>
    </xf>
    <xf numFmtId="0" fontId="1" fillId="5994" borderId="0" xfId="4" applyFill="1" applyAlignment="1">
      <alignment horizontal="center" vertical="center"/>
    </xf>
    <xf numFmtId="0" fontId="1" fillId="5995" borderId="0" xfId="4" applyFill="1" applyAlignment="1">
      <alignment horizontal="center" vertical="center"/>
    </xf>
    <xf numFmtId="0" fontId="1" fillId="5996" borderId="0" xfId="4" applyFill="1" applyAlignment="1">
      <alignment horizontal="center" vertical="center"/>
    </xf>
    <xf numFmtId="0" fontId="1" fillId="5997" borderId="0" xfId="4" applyFill="1" applyAlignment="1">
      <alignment horizontal="center" vertical="center"/>
    </xf>
    <xf numFmtId="0" fontId="1" fillId="5998" borderId="0" xfId="4" applyFill="1" applyAlignment="1">
      <alignment horizontal="center" vertical="center"/>
    </xf>
    <xf numFmtId="0" fontId="1" fillId="5999" borderId="0" xfId="4" applyFill="1" applyAlignment="1">
      <alignment horizontal="left" vertical="center"/>
    </xf>
    <xf numFmtId="0" fontId="1" fillId="6000" borderId="0" xfId="4" applyFill="1" applyAlignment="1">
      <alignment horizontal="center" vertical="center"/>
    </xf>
    <xf numFmtId="0" fontId="1" fillId="6001" borderId="0" xfId="4" applyFill="1" applyAlignment="1">
      <alignment horizontal="center" vertical="center"/>
    </xf>
    <xf numFmtId="0" fontId="1" fillId="6002" borderId="0" xfId="4" applyFill="1" applyAlignment="1">
      <alignment horizontal="left" vertical="center"/>
    </xf>
    <xf numFmtId="0" fontId="1" fillId="6003" borderId="0" xfId="4" applyFill="1" applyAlignment="1">
      <alignment horizontal="center" vertical="center"/>
    </xf>
    <xf numFmtId="0" fontId="1" fillId="6004" borderId="0" xfId="4" applyFill="1" applyAlignment="1">
      <alignment horizontal="center" vertical="center"/>
    </xf>
    <xf numFmtId="0" fontId="1" fillId="6005" borderId="0" xfId="4" applyFill="1" applyAlignment="1">
      <alignment horizontal="center" vertical="center"/>
    </xf>
    <xf numFmtId="0" fontId="1" fillId="6006" borderId="0" xfId="4" applyFill="1" applyAlignment="1">
      <alignment horizontal="center" vertical="center"/>
    </xf>
    <xf numFmtId="0" fontId="1" fillId="6007" borderId="0" xfId="4" applyFill="1" applyAlignment="1">
      <alignment horizontal="center" vertical="center"/>
    </xf>
    <xf numFmtId="0" fontId="1" fillId="6008" borderId="0" xfId="4" applyFill="1" applyAlignment="1">
      <alignment horizontal="center" vertical="center"/>
    </xf>
    <xf numFmtId="0" fontId="1" fillId="6009" borderId="0" xfId="4" applyFill="1" applyAlignment="1">
      <alignment horizontal="center" vertical="center"/>
    </xf>
    <xf numFmtId="0" fontId="1" fillId="6010" borderId="0" xfId="4" applyFill="1" applyAlignment="1">
      <alignment horizontal="center" vertical="center"/>
    </xf>
    <xf numFmtId="0" fontId="1" fillId="6011" borderId="0" xfId="4" applyFill="1" applyAlignment="1">
      <alignment horizontal="center" vertical="center"/>
    </xf>
    <xf numFmtId="0" fontId="1" fillId="6012" borderId="0" xfId="4" applyFill="1" applyAlignment="1">
      <alignment horizontal="center" vertical="center"/>
    </xf>
    <xf numFmtId="0" fontId="1" fillId="6013" borderId="0" xfId="4" applyFill="1" applyAlignment="1">
      <alignment horizontal="center" vertical="center"/>
    </xf>
    <xf numFmtId="0" fontId="1" fillId="6014" borderId="0" xfId="4" applyFill="1" applyAlignment="1">
      <alignment horizontal="center" vertical="center"/>
    </xf>
    <xf numFmtId="0" fontId="1" fillId="6015" borderId="0" xfId="4" applyFill="1" applyAlignment="1">
      <alignment horizontal="center" vertical="center"/>
    </xf>
    <xf numFmtId="0" fontId="1" fillId="6016" borderId="0" xfId="4" applyFill="1" applyAlignment="1">
      <alignment horizontal="center" vertical="center"/>
    </xf>
    <xf numFmtId="0" fontId="1" fillId="6017" borderId="0" xfId="4" applyFill="1" applyAlignment="1">
      <alignment horizontal="center" vertical="center"/>
    </xf>
    <xf numFmtId="0" fontId="1" fillId="6018" borderId="0" xfId="4" applyFill="1" applyAlignment="1">
      <alignment horizontal="center" vertical="center"/>
    </xf>
    <xf numFmtId="0" fontId="1" fillId="6019" borderId="0" xfId="4" applyFill="1" applyAlignment="1">
      <alignment horizontal="center" vertical="center"/>
    </xf>
    <xf numFmtId="0" fontId="1" fillId="6020" borderId="0" xfId="4" applyFill="1" applyAlignment="1">
      <alignment horizontal="center" vertical="center"/>
    </xf>
    <xf numFmtId="0" fontId="1" fillId="6021" borderId="0" xfId="4" applyFill="1" applyAlignment="1">
      <alignment horizontal="center" vertical="center"/>
    </xf>
    <xf numFmtId="0" fontId="1" fillId="6022" borderId="0" xfId="4" applyFill="1" applyAlignment="1">
      <alignment horizontal="center" vertical="center"/>
    </xf>
    <xf numFmtId="0" fontId="1" fillId="6023" borderId="0" xfId="4" applyFill="1" applyAlignment="1">
      <alignment horizontal="center" vertical="center"/>
    </xf>
    <xf numFmtId="0" fontId="1" fillId="6024" borderId="0" xfId="4" applyFill="1" applyAlignment="1">
      <alignment horizontal="center" vertical="center"/>
    </xf>
    <xf numFmtId="0" fontId="1" fillId="6025" borderId="0" xfId="4" applyFill="1" applyAlignment="1">
      <alignment horizontal="center" vertical="center"/>
    </xf>
    <xf numFmtId="0" fontId="1" fillId="6026" borderId="0" xfId="4" applyFill="1" applyAlignment="1">
      <alignment horizontal="center" vertical="center"/>
    </xf>
    <xf numFmtId="0" fontId="1" fillId="6027" borderId="0" xfId="4" applyFill="1" applyAlignment="1">
      <alignment horizontal="center" vertical="center"/>
    </xf>
    <xf numFmtId="0" fontId="1" fillId="6028" borderId="0" xfId="4" applyFill="1" applyAlignment="1">
      <alignment horizontal="center" vertical="center"/>
    </xf>
    <xf numFmtId="0" fontId="1" fillId="6029" borderId="0" xfId="4" applyFill="1" applyAlignment="1">
      <alignment horizontal="center" vertical="center"/>
    </xf>
    <xf numFmtId="0" fontId="1" fillId="6030" borderId="0" xfId="4" applyFill="1" applyAlignment="1">
      <alignment horizontal="center" vertical="center"/>
    </xf>
    <xf numFmtId="0" fontId="1" fillId="6031" borderId="0" xfId="4" applyFill="1" applyAlignment="1">
      <alignment horizontal="center" vertical="center"/>
    </xf>
    <xf numFmtId="0" fontId="1" fillId="6032" borderId="0" xfId="4" applyFill="1" applyAlignment="1">
      <alignment horizontal="center" vertical="center"/>
    </xf>
    <xf numFmtId="0" fontId="1" fillId="6033" borderId="0" xfId="4" applyFill="1" applyAlignment="1">
      <alignment horizontal="center" vertical="center"/>
    </xf>
    <xf numFmtId="0" fontId="1" fillId="6034" borderId="0" xfId="4" applyFill="1" applyAlignment="1">
      <alignment horizontal="center" vertical="center"/>
    </xf>
    <xf numFmtId="0" fontId="1" fillId="6035" borderId="0" xfId="4" applyFill="1" applyAlignment="1">
      <alignment horizontal="center" vertical="center"/>
    </xf>
    <xf numFmtId="0" fontId="1" fillId="6036" borderId="0" xfId="4" applyFill="1" applyAlignment="1">
      <alignment horizontal="left" vertical="center"/>
    </xf>
    <xf numFmtId="0" fontId="1" fillId="6037" borderId="0" xfId="4" applyFill="1" applyAlignment="1">
      <alignment horizontal="center" vertical="center"/>
    </xf>
    <xf numFmtId="0" fontId="1" fillId="10" borderId="0" xfId="4" applyFill="1" applyAlignment="1">
      <alignment horizontal="center" vertical="center"/>
    </xf>
    <xf numFmtId="0" fontId="1" fillId="6038" borderId="0" xfId="4" applyFill="1" applyAlignment="1">
      <alignment horizontal="center" vertical="center"/>
    </xf>
    <xf numFmtId="0" fontId="1" fillId="6039" borderId="0" xfId="4" applyFill="1" applyAlignment="1">
      <alignment horizontal="center" vertical="center"/>
    </xf>
    <xf numFmtId="0" fontId="1" fillId="6040" borderId="0" xfId="4" applyFill="1" applyAlignment="1">
      <alignment horizontal="center" vertical="center"/>
    </xf>
    <xf numFmtId="0" fontId="1" fillId="6041" borderId="0" xfId="4" applyFill="1" applyAlignment="1">
      <alignment horizontal="center" vertical="center"/>
    </xf>
    <xf numFmtId="0" fontId="1" fillId="6042" borderId="0" xfId="4" applyFill="1" applyAlignment="1">
      <alignment horizontal="center" vertical="center"/>
    </xf>
    <xf numFmtId="0" fontId="1" fillId="6043" borderId="0" xfId="4" applyFill="1" applyAlignment="1">
      <alignment horizontal="center" vertical="center"/>
    </xf>
    <xf numFmtId="0" fontId="1" fillId="6044" borderId="0" xfId="4" applyFill="1" applyAlignment="1">
      <alignment horizontal="center" vertical="center"/>
    </xf>
    <xf numFmtId="0" fontId="1" fillId="6045" borderId="0" xfId="4" applyFill="1" applyAlignment="1">
      <alignment horizontal="center" vertical="center"/>
    </xf>
    <xf numFmtId="0" fontId="1" fillId="6046" borderId="0" xfId="4" applyFill="1" applyAlignment="1">
      <alignment horizontal="center" vertical="center"/>
    </xf>
    <xf numFmtId="0" fontId="1" fillId="6047" borderId="0" xfId="4" applyFill="1" applyAlignment="1">
      <alignment horizontal="center" vertical="center"/>
    </xf>
    <xf numFmtId="0" fontId="1" fillId="6048" borderId="0" xfId="4" applyFill="1" applyAlignment="1">
      <alignment horizontal="center" vertical="center"/>
    </xf>
    <xf numFmtId="0" fontId="1" fillId="6049" borderId="0" xfId="4" applyFill="1" applyAlignment="1">
      <alignment horizontal="center" vertical="center"/>
    </xf>
    <xf numFmtId="0" fontId="1" fillId="6050" borderId="0" xfId="4" applyFill="1" applyAlignment="1">
      <alignment horizontal="center" vertical="center"/>
    </xf>
    <xf numFmtId="0" fontId="1" fillId="6051" borderId="0" xfId="4" applyFill="1" applyAlignment="1">
      <alignment horizontal="center" vertical="center"/>
    </xf>
    <xf numFmtId="0" fontId="1" fillId="6052" borderId="0" xfId="4" applyFill="1" applyAlignment="1">
      <alignment horizontal="center" vertical="center"/>
    </xf>
    <xf numFmtId="0" fontId="1" fillId="6053" borderId="0" xfId="4" applyFill="1" applyAlignment="1">
      <alignment horizontal="center" vertical="center"/>
    </xf>
    <xf numFmtId="0" fontId="1" fillId="6054" borderId="0" xfId="4" applyFill="1" applyAlignment="1">
      <alignment horizontal="center" vertical="center"/>
    </xf>
    <xf numFmtId="0" fontId="1" fillId="6055" borderId="0" xfId="4" applyFill="1" applyAlignment="1">
      <alignment horizontal="center" vertical="center"/>
    </xf>
    <xf numFmtId="0" fontId="1" fillId="6056" borderId="0" xfId="4" applyFill="1" applyAlignment="1">
      <alignment horizontal="center" vertical="center"/>
    </xf>
    <xf numFmtId="0" fontId="1" fillId="6057" borderId="0" xfId="4" applyFill="1" applyAlignment="1">
      <alignment horizontal="center" vertical="center"/>
    </xf>
    <xf numFmtId="0" fontId="1" fillId="6058" borderId="0" xfId="4" applyFill="1" applyAlignment="1">
      <alignment horizontal="center" vertical="center"/>
    </xf>
    <xf numFmtId="0" fontId="1" fillId="6059" borderId="0" xfId="4" applyFill="1" applyAlignment="1">
      <alignment horizontal="center" vertical="center"/>
    </xf>
    <xf numFmtId="0" fontId="1" fillId="6060" borderId="0" xfId="4" applyFill="1" applyAlignment="1">
      <alignment horizontal="center" vertical="center"/>
    </xf>
    <xf numFmtId="0" fontId="1" fillId="6061" borderId="0" xfId="4" applyFill="1" applyAlignment="1">
      <alignment horizontal="center" vertical="center"/>
    </xf>
    <xf numFmtId="0" fontId="1" fillId="6062" borderId="0" xfId="4" applyFill="1" applyAlignment="1">
      <alignment horizontal="center" vertical="center"/>
    </xf>
    <xf numFmtId="0" fontId="1" fillId="6063" borderId="0" xfId="4" applyFill="1" applyAlignment="1">
      <alignment horizontal="center" vertical="center"/>
    </xf>
    <xf numFmtId="0" fontId="1" fillId="6064" borderId="0" xfId="4" applyFill="1" applyAlignment="1">
      <alignment horizontal="center" vertical="center"/>
    </xf>
    <xf numFmtId="0" fontId="1" fillId="6065" borderId="0" xfId="4" applyFill="1" applyAlignment="1">
      <alignment horizontal="center" vertical="center"/>
    </xf>
    <xf numFmtId="0" fontId="1" fillId="6066" borderId="0" xfId="4" applyFill="1" applyAlignment="1">
      <alignment horizontal="center" vertical="center"/>
    </xf>
    <xf numFmtId="0" fontId="1" fillId="6067" borderId="0" xfId="4" applyFill="1" applyAlignment="1">
      <alignment horizontal="center" vertical="center"/>
    </xf>
    <xf numFmtId="0" fontId="1" fillId="6068" borderId="0" xfId="4" applyFill="1" applyAlignment="1">
      <alignment horizontal="center" vertical="center"/>
    </xf>
    <xf numFmtId="0" fontId="1" fillId="6069" borderId="0" xfId="4" applyFill="1" applyAlignment="1">
      <alignment horizontal="left" vertical="center"/>
    </xf>
    <xf numFmtId="0" fontId="1" fillId="6070" borderId="0" xfId="4" applyFill="1" applyAlignment="1">
      <alignment horizontal="center" vertical="center"/>
    </xf>
    <xf numFmtId="0" fontId="1" fillId="6071" borderId="0" xfId="4" applyFill="1" applyAlignment="1">
      <alignment horizontal="center" vertical="center"/>
    </xf>
    <xf numFmtId="0" fontId="1" fillId="6072" borderId="0" xfId="4" applyFill="1" applyAlignment="1">
      <alignment horizontal="center" vertical="center"/>
    </xf>
    <xf numFmtId="0" fontId="1" fillId="6073" borderId="0" xfId="4" applyFill="1" applyAlignment="1">
      <alignment horizontal="center" vertical="center"/>
    </xf>
    <xf numFmtId="0" fontId="1" fillId="6074" borderId="0" xfId="4" applyFill="1" applyAlignment="1">
      <alignment horizontal="center" vertical="center"/>
    </xf>
    <xf numFmtId="0" fontId="1" fillId="6075" borderId="0" xfId="4" applyFill="1" applyAlignment="1">
      <alignment horizontal="center" vertical="center"/>
    </xf>
    <xf numFmtId="0" fontId="1" fillId="6076" borderId="0" xfId="4" applyFill="1" applyAlignment="1">
      <alignment horizontal="center" vertical="center"/>
    </xf>
    <xf numFmtId="0" fontId="1" fillId="6077" borderId="0" xfId="4" applyFill="1" applyAlignment="1">
      <alignment horizontal="center" vertical="center"/>
    </xf>
    <xf numFmtId="0" fontId="1" fillId="6078" borderId="0" xfId="4" applyFill="1" applyAlignment="1">
      <alignment horizontal="center" vertical="center"/>
    </xf>
    <xf numFmtId="0" fontId="1" fillId="6079" borderId="0" xfId="4" applyFill="1" applyAlignment="1">
      <alignment horizontal="center" vertical="center"/>
    </xf>
    <xf numFmtId="0" fontId="1" fillId="6080" borderId="0" xfId="4" applyFill="1" applyAlignment="1">
      <alignment horizontal="center" vertical="center"/>
    </xf>
    <xf numFmtId="0" fontId="1" fillId="6081" borderId="0" xfId="4" applyFill="1" applyAlignment="1">
      <alignment horizontal="center" vertical="center"/>
    </xf>
    <xf numFmtId="0" fontId="1" fillId="6082" borderId="0" xfId="4" applyFill="1" applyAlignment="1">
      <alignment horizontal="center" vertical="center"/>
    </xf>
    <xf numFmtId="0" fontId="1" fillId="6083" borderId="0" xfId="4" applyFill="1" applyAlignment="1">
      <alignment horizontal="center" vertical="center"/>
    </xf>
    <xf numFmtId="0" fontId="1" fillId="6084" borderId="0" xfId="4" applyFill="1" applyAlignment="1">
      <alignment horizontal="center" vertical="center"/>
    </xf>
    <xf numFmtId="0" fontId="1" fillId="6085" borderId="0" xfId="4" applyFill="1" applyAlignment="1">
      <alignment horizontal="center" vertical="center"/>
    </xf>
    <xf numFmtId="0" fontId="1" fillId="6086" borderId="0" xfId="4" applyFill="1" applyAlignment="1">
      <alignment horizontal="center" vertical="center"/>
    </xf>
    <xf numFmtId="0" fontId="1" fillId="6087" borderId="0" xfId="4" applyFill="1" applyAlignment="1">
      <alignment horizontal="center" vertical="center"/>
    </xf>
    <xf numFmtId="0" fontId="1" fillId="6088" borderId="0" xfId="4" applyFill="1" applyAlignment="1">
      <alignment horizontal="center" vertical="center"/>
    </xf>
    <xf numFmtId="0" fontId="1" fillId="6089" borderId="0" xfId="4" applyFill="1" applyAlignment="1">
      <alignment horizontal="center" vertical="center"/>
    </xf>
    <xf numFmtId="0" fontId="1" fillId="6090" borderId="0" xfId="4" applyFill="1" applyAlignment="1">
      <alignment horizontal="left" vertical="center"/>
    </xf>
    <xf numFmtId="0" fontId="1" fillId="6091" borderId="0" xfId="4" applyFill="1" applyAlignment="1">
      <alignment horizontal="center" vertical="center"/>
    </xf>
    <xf numFmtId="0" fontId="1" fillId="6092" borderId="0" xfId="4" applyFill="1" applyAlignment="1">
      <alignment horizontal="center" vertical="center"/>
    </xf>
    <xf numFmtId="0" fontId="1" fillId="6093" borderId="0" xfId="4" applyFill="1" applyAlignment="1">
      <alignment horizontal="left" vertical="center"/>
    </xf>
    <xf numFmtId="0" fontId="1" fillId="6094" borderId="0" xfId="4" applyFill="1" applyAlignment="1">
      <alignment horizontal="center" vertical="center"/>
    </xf>
    <xf numFmtId="0" fontId="1" fillId="6095" borderId="0" xfId="4" applyFill="1" applyAlignment="1">
      <alignment horizontal="center" vertical="center"/>
    </xf>
    <xf numFmtId="0" fontId="1" fillId="6096" borderId="0" xfId="4" applyFill="1" applyAlignment="1">
      <alignment horizontal="center" vertical="center"/>
    </xf>
    <xf numFmtId="0" fontId="1" fillId="6097" borderId="0" xfId="4" applyFill="1" applyAlignment="1">
      <alignment horizontal="center" vertical="center"/>
    </xf>
    <xf numFmtId="0" fontId="1" fillId="1150" borderId="0" xfId="4" applyFill="1" applyAlignment="1">
      <alignment horizontal="center" vertical="center"/>
    </xf>
    <xf numFmtId="0" fontId="1" fillId="6098" borderId="0" xfId="4" applyFill="1" applyAlignment="1">
      <alignment horizontal="center" vertical="center"/>
    </xf>
    <xf numFmtId="0" fontId="1" fillId="6099" borderId="0" xfId="4" applyFill="1" applyAlignment="1">
      <alignment horizontal="center" vertical="center"/>
    </xf>
    <xf numFmtId="0" fontId="1" fillId="6100" borderId="0" xfId="4" applyFill="1" applyAlignment="1">
      <alignment horizontal="center" vertical="center"/>
    </xf>
    <xf numFmtId="0" fontId="1" fillId="6101" borderId="0" xfId="4" applyFill="1" applyAlignment="1">
      <alignment horizontal="center" vertical="center"/>
    </xf>
    <xf numFmtId="0" fontId="1" fillId="6102" borderId="0" xfId="4" applyFill="1" applyAlignment="1">
      <alignment horizontal="center" vertical="center"/>
    </xf>
    <xf numFmtId="0" fontId="1" fillId="6103" borderId="0" xfId="4" applyFill="1" applyAlignment="1">
      <alignment horizontal="center" vertical="center"/>
    </xf>
    <xf numFmtId="0" fontId="1" fillId="6104" borderId="0" xfId="4" applyFill="1" applyAlignment="1">
      <alignment horizontal="center" vertical="center"/>
    </xf>
    <xf numFmtId="0" fontId="1" fillId="6105" borderId="0" xfId="4" applyFill="1" applyAlignment="1">
      <alignment horizontal="center" vertical="center"/>
    </xf>
    <xf numFmtId="0" fontId="1" fillId="6106" borderId="0" xfId="4" applyFill="1" applyAlignment="1">
      <alignment horizontal="center" vertical="center"/>
    </xf>
    <xf numFmtId="0" fontId="1" fillId="6107" borderId="0" xfId="4" applyFill="1" applyAlignment="1">
      <alignment horizontal="center" vertical="center"/>
    </xf>
    <xf numFmtId="0" fontId="1" fillId="6108" borderId="0" xfId="4" applyFill="1" applyAlignment="1">
      <alignment horizontal="center" vertical="center"/>
    </xf>
    <xf numFmtId="0" fontId="1" fillId="6109" borderId="0" xfId="4" applyFill="1" applyAlignment="1">
      <alignment horizontal="center" vertical="center"/>
    </xf>
    <xf numFmtId="0" fontId="1" fillId="6110" borderId="0" xfId="4" applyFill="1" applyAlignment="1">
      <alignment horizontal="center" vertical="center"/>
    </xf>
    <xf numFmtId="0" fontId="1" fillId="6111" borderId="0" xfId="4" applyFill="1" applyAlignment="1">
      <alignment horizontal="center" vertical="center"/>
    </xf>
    <xf numFmtId="0" fontId="1" fillId="6112" borderId="0" xfId="4" applyFill="1" applyAlignment="1">
      <alignment horizontal="center" vertical="center"/>
    </xf>
    <xf numFmtId="0" fontId="1" fillId="6113" borderId="0" xfId="4" applyFill="1" applyAlignment="1">
      <alignment horizontal="center" vertical="center"/>
    </xf>
    <xf numFmtId="0" fontId="1" fillId="6114" borderId="0" xfId="4" applyFill="1" applyAlignment="1">
      <alignment horizontal="center" vertical="center"/>
    </xf>
    <xf numFmtId="0" fontId="1" fillId="6115" borderId="0" xfId="4" applyFill="1" applyAlignment="1">
      <alignment horizontal="center" vertical="center"/>
    </xf>
    <xf numFmtId="0" fontId="1" fillId="6116" borderId="0" xfId="4" applyFill="1" applyAlignment="1">
      <alignment horizontal="center" vertical="center"/>
    </xf>
    <xf numFmtId="0" fontId="1" fillId="6117" borderId="0" xfId="4" applyFill="1" applyAlignment="1">
      <alignment horizontal="center" vertical="center"/>
    </xf>
    <xf numFmtId="0" fontId="1" fillId="6118" borderId="0" xfId="4" applyFill="1" applyAlignment="1">
      <alignment horizontal="center" vertical="center"/>
    </xf>
    <xf numFmtId="0" fontId="1" fillId="6119" borderId="0" xfId="4" applyFill="1" applyAlignment="1">
      <alignment horizontal="center" vertical="center"/>
    </xf>
    <xf numFmtId="0" fontId="1" fillId="6120" borderId="0" xfId="4" applyFill="1" applyAlignment="1">
      <alignment horizontal="center" vertical="center"/>
    </xf>
    <xf numFmtId="0" fontId="1" fillId="6121" borderId="0" xfId="4" applyFill="1" applyAlignment="1">
      <alignment horizontal="center" vertical="center"/>
    </xf>
    <xf numFmtId="0" fontId="1" fillId="6122" borderId="0" xfId="4" applyFill="1" applyAlignment="1">
      <alignment horizontal="center" vertical="center"/>
    </xf>
    <xf numFmtId="0" fontId="1" fillId="6123" borderId="0" xfId="4" applyFill="1" applyAlignment="1">
      <alignment horizontal="center" vertical="center"/>
    </xf>
    <xf numFmtId="0" fontId="1" fillId="6124" borderId="0" xfId="4" applyFill="1" applyAlignment="1">
      <alignment horizontal="center" vertical="center"/>
    </xf>
    <xf numFmtId="0" fontId="1" fillId="6125" borderId="0" xfId="4" applyFill="1" applyAlignment="1">
      <alignment horizontal="center" vertical="center"/>
    </xf>
    <xf numFmtId="0" fontId="1" fillId="6126" borderId="0" xfId="4" applyFill="1" applyAlignment="1">
      <alignment horizontal="left" vertical="center"/>
    </xf>
    <xf numFmtId="0" fontId="1" fillId="6127" borderId="0" xfId="4" applyFill="1" applyAlignment="1">
      <alignment horizontal="center" vertical="center"/>
    </xf>
    <xf numFmtId="0" fontId="1" fillId="6128" borderId="0" xfId="4" applyFill="1" applyAlignment="1">
      <alignment horizontal="center" vertical="center"/>
    </xf>
    <xf numFmtId="0" fontId="1" fillId="6129" borderId="0" xfId="4" applyFill="1" applyAlignment="1">
      <alignment horizontal="center" vertical="center"/>
    </xf>
    <xf numFmtId="0" fontId="1" fillId="6130" borderId="0" xfId="4" applyFill="1" applyAlignment="1">
      <alignment horizontal="center" vertical="center"/>
    </xf>
    <xf numFmtId="0" fontId="1" fillId="6131" borderId="0" xfId="4" applyFill="1" applyAlignment="1">
      <alignment horizontal="center" vertical="center"/>
    </xf>
    <xf numFmtId="0" fontId="1" fillId="6132" borderId="0" xfId="4" applyFill="1" applyAlignment="1">
      <alignment horizontal="center" vertical="center"/>
    </xf>
    <xf numFmtId="0" fontId="1" fillId="6133" borderId="0" xfId="4" applyFill="1" applyAlignment="1">
      <alignment horizontal="center" vertical="center"/>
    </xf>
    <xf numFmtId="0" fontId="1" fillId="6134" borderId="0" xfId="4" applyFill="1" applyAlignment="1">
      <alignment horizontal="center" vertical="center"/>
    </xf>
    <xf numFmtId="0" fontId="1" fillId="6135" borderId="0" xfId="4" applyFill="1" applyAlignment="1">
      <alignment horizontal="center" vertical="center"/>
    </xf>
    <xf numFmtId="0" fontId="1" fillId="6136" borderId="0" xfId="4" applyFill="1" applyAlignment="1">
      <alignment horizontal="center" vertical="center"/>
    </xf>
    <xf numFmtId="0" fontId="1" fillId="6137" borderId="0" xfId="4" applyFill="1" applyAlignment="1">
      <alignment horizontal="center" vertical="center"/>
    </xf>
    <xf numFmtId="0" fontId="1" fillId="6138" borderId="0" xfId="4" applyFill="1" applyAlignment="1">
      <alignment horizontal="center" vertical="center"/>
    </xf>
    <xf numFmtId="0" fontId="1" fillId="6139" borderId="0" xfId="4" applyFill="1" applyAlignment="1">
      <alignment horizontal="center" vertical="center"/>
    </xf>
    <xf numFmtId="0" fontId="1" fillId="6140" borderId="0" xfId="4" applyFill="1" applyAlignment="1">
      <alignment horizontal="center" vertical="center"/>
    </xf>
    <xf numFmtId="0" fontId="1" fillId="6141" borderId="0" xfId="4" applyFill="1" applyAlignment="1">
      <alignment horizontal="center" vertical="center"/>
    </xf>
    <xf numFmtId="0" fontId="1" fillId="6142" borderId="0" xfId="4" applyFill="1" applyAlignment="1">
      <alignment horizontal="center" vertical="center"/>
    </xf>
    <xf numFmtId="0" fontId="1" fillId="6143" borderId="0" xfId="4" applyFill="1" applyAlignment="1">
      <alignment horizontal="center" vertical="center"/>
    </xf>
    <xf numFmtId="0" fontId="1" fillId="6144" borderId="0" xfId="4" applyFill="1" applyAlignment="1">
      <alignment horizontal="center" vertical="center"/>
    </xf>
    <xf numFmtId="0" fontId="1" fillId="6145" borderId="0" xfId="4" applyFill="1" applyAlignment="1">
      <alignment horizontal="center" vertical="center"/>
    </xf>
    <xf numFmtId="0" fontId="1" fillId="6146" borderId="0" xfId="4" applyFill="1" applyAlignment="1">
      <alignment horizontal="center" vertical="center"/>
    </xf>
    <xf numFmtId="0" fontId="1" fillId="6147" borderId="0" xfId="4" applyFill="1" applyAlignment="1">
      <alignment horizontal="center" vertical="center"/>
    </xf>
    <xf numFmtId="0" fontId="1" fillId="6148" borderId="0" xfId="4" applyFill="1" applyAlignment="1">
      <alignment horizontal="center" vertical="center"/>
    </xf>
    <xf numFmtId="0" fontId="1" fillId="6149" borderId="0" xfId="4" applyFill="1" applyAlignment="1">
      <alignment horizontal="center" vertical="center"/>
    </xf>
    <xf numFmtId="0" fontId="1" fillId="6150" borderId="0" xfId="4" applyFill="1" applyAlignment="1">
      <alignment horizontal="center" vertical="center"/>
    </xf>
    <xf numFmtId="0" fontId="1" fillId="6151" borderId="0" xfId="4" applyFill="1" applyAlignment="1">
      <alignment horizontal="center" vertical="center"/>
    </xf>
    <xf numFmtId="0" fontId="1" fillId="6152" borderId="0" xfId="4" applyFill="1" applyAlignment="1">
      <alignment horizontal="center" vertical="center"/>
    </xf>
    <xf numFmtId="0" fontId="1" fillId="6153" borderId="0" xfId="4" applyFill="1" applyAlignment="1">
      <alignment horizontal="center" vertical="center"/>
    </xf>
    <xf numFmtId="0" fontId="1" fillId="6154" borderId="0" xfId="4" applyFill="1" applyAlignment="1">
      <alignment horizontal="center" vertical="center"/>
    </xf>
    <xf numFmtId="0" fontId="1" fillId="6155" borderId="0" xfId="4" applyFill="1" applyAlignment="1">
      <alignment horizontal="center" vertical="center"/>
    </xf>
    <xf numFmtId="0" fontId="1" fillId="6156" borderId="0" xfId="4" applyFill="1" applyAlignment="1">
      <alignment horizontal="center" vertical="center"/>
    </xf>
    <xf numFmtId="0" fontId="1" fillId="6157" borderId="0" xfId="4" applyFill="1" applyAlignment="1">
      <alignment horizontal="center" vertical="center"/>
    </xf>
    <xf numFmtId="0" fontId="1" fillId="6158" borderId="0" xfId="4" applyFill="1" applyAlignment="1">
      <alignment horizontal="center" vertical="center"/>
    </xf>
    <xf numFmtId="0" fontId="1" fillId="6159" borderId="0" xfId="4" applyFill="1" applyAlignment="1">
      <alignment horizontal="center" vertical="center"/>
    </xf>
    <xf numFmtId="0" fontId="1" fillId="6160" borderId="0" xfId="4" applyFill="1" applyAlignment="1">
      <alignment horizontal="left" vertical="center"/>
    </xf>
    <xf numFmtId="0" fontId="1" fillId="6161" borderId="0" xfId="4" applyFill="1" applyAlignment="1">
      <alignment horizontal="center" vertical="center"/>
    </xf>
    <xf numFmtId="0" fontId="1" fillId="6162" borderId="0" xfId="4" applyFill="1" applyAlignment="1">
      <alignment horizontal="center" vertical="center"/>
    </xf>
    <xf numFmtId="0" fontId="1" fillId="6163" borderId="0" xfId="4" applyFill="1" applyAlignment="1">
      <alignment horizontal="center" vertical="center"/>
    </xf>
    <xf numFmtId="0" fontId="1" fillId="6164" borderId="0" xfId="4" applyFill="1" applyAlignment="1">
      <alignment horizontal="center" vertical="center"/>
    </xf>
    <xf numFmtId="0" fontId="1" fillId="6165" borderId="0" xfId="4" applyFill="1" applyAlignment="1">
      <alignment horizontal="center" vertical="center"/>
    </xf>
    <xf numFmtId="0" fontId="1" fillId="6166" borderId="0" xfId="4" applyFill="1" applyAlignment="1">
      <alignment horizontal="center" vertical="center"/>
    </xf>
    <xf numFmtId="0" fontId="1" fillId="6167" borderId="0" xfId="4" applyFill="1" applyAlignment="1">
      <alignment horizontal="center" vertical="center"/>
    </xf>
    <xf numFmtId="0" fontId="1" fillId="6168" borderId="0" xfId="4" applyFill="1" applyAlignment="1">
      <alignment horizontal="center" vertical="center"/>
    </xf>
    <xf numFmtId="0" fontId="1" fillId="6169" borderId="0" xfId="4" applyFill="1" applyAlignment="1">
      <alignment horizontal="center" vertical="center"/>
    </xf>
    <xf numFmtId="0" fontId="1" fillId="6170" borderId="0" xfId="4" applyFill="1" applyAlignment="1">
      <alignment horizontal="center" vertical="center"/>
    </xf>
    <xf numFmtId="0" fontId="1" fillId="6171" borderId="0" xfId="4" applyFill="1" applyAlignment="1">
      <alignment horizontal="center" vertical="center"/>
    </xf>
    <xf numFmtId="0" fontId="1" fillId="6172" borderId="0" xfId="4" applyFill="1" applyAlignment="1">
      <alignment horizontal="center" vertical="center"/>
    </xf>
    <xf numFmtId="0" fontId="1" fillId="6173" borderId="0" xfId="4" applyFill="1" applyAlignment="1">
      <alignment horizontal="center" vertical="center"/>
    </xf>
    <xf numFmtId="0" fontId="1" fillId="6174" borderId="0" xfId="4" applyFill="1" applyAlignment="1">
      <alignment horizontal="center" vertical="center"/>
    </xf>
    <xf numFmtId="0" fontId="1" fillId="6175" borderId="0" xfId="4" applyFill="1" applyAlignment="1">
      <alignment horizontal="center" vertical="center"/>
    </xf>
    <xf numFmtId="0" fontId="1" fillId="6176" borderId="0" xfId="4" applyFill="1" applyAlignment="1">
      <alignment horizontal="center" vertical="center"/>
    </xf>
    <xf numFmtId="0" fontId="1" fillId="6177" borderId="0" xfId="4" applyFill="1" applyAlignment="1">
      <alignment horizontal="center" vertical="center"/>
    </xf>
    <xf numFmtId="0" fontId="1" fillId="6178" borderId="0" xfId="4" applyFill="1" applyAlignment="1">
      <alignment horizontal="center" vertical="center"/>
    </xf>
    <xf numFmtId="0" fontId="1" fillId="6179" borderId="0" xfId="4" applyFill="1" applyAlignment="1">
      <alignment horizontal="center" vertical="center"/>
    </xf>
    <xf numFmtId="0" fontId="1" fillId="6180" borderId="0" xfId="4" applyFill="1" applyAlignment="1">
      <alignment horizontal="center" vertical="center"/>
    </xf>
    <xf numFmtId="0" fontId="1" fillId="6181" borderId="0" xfId="4" applyFill="1" applyAlignment="1">
      <alignment horizontal="left" vertical="center"/>
    </xf>
    <xf numFmtId="0" fontId="1" fillId="6182" borderId="0" xfId="4" applyFill="1" applyAlignment="1">
      <alignment horizontal="center" vertical="center"/>
    </xf>
    <xf numFmtId="0" fontId="1" fillId="6183" borderId="0" xfId="4" applyFill="1" applyAlignment="1">
      <alignment horizontal="center" vertical="center"/>
    </xf>
    <xf numFmtId="0" fontId="1" fillId="6184" borderId="0" xfId="4" applyFill="1" applyAlignment="1">
      <alignment horizontal="left" vertical="center"/>
    </xf>
    <xf numFmtId="0" fontId="1" fillId="6185" borderId="0" xfId="4" applyFill="1" applyAlignment="1">
      <alignment horizontal="center" vertical="center"/>
    </xf>
    <xf numFmtId="0" fontId="1" fillId="6186" borderId="0" xfId="4" applyFill="1" applyAlignment="1">
      <alignment horizontal="center" vertical="center"/>
    </xf>
    <xf numFmtId="0" fontId="1" fillId="6187" borderId="0" xfId="4" applyFill="1" applyAlignment="1">
      <alignment horizontal="center" vertical="center"/>
    </xf>
    <xf numFmtId="0" fontId="1" fillId="6188" borderId="0" xfId="4" applyFill="1" applyAlignment="1">
      <alignment horizontal="center" vertical="center"/>
    </xf>
    <xf numFmtId="0" fontId="1" fillId="6189" borderId="0" xfId="4" applyFill="1" applyAlignment="1">
      <alignment horizontal="center" vertical="center"/>
    </xf>
    <xf numFmtId="0" fontId="1" fillId="6190" borderId="0" xfId="4" applyFill="1" applyAlignment="1">
      <alignment horizontal="center" vertical="center"/>
    </xf>
    <xf numFmtId="0" fontId="1" fillId="6191" borderId="0" xfId="4" applyFill="1" applyAlignment="1">
      <alignment horizontal="center" vertical="center"/>
    </xf>
    <xf numFmtId="0" fontId="1" fillId="6192" borderId="0" xfId="4" applyFill="1" applyAlignment="1">
      <alignment horizontal="center" vertical="center"/>
    </xf>
    <xf numFmtId="0" fontId="1" fillId="6193" borderId="0" xfId="4" applyFill="1" applyAlignment="1">
      <alignment horizontal="center" vertical="center"/>
    </xf>
    <xf numFmtId="0" fontId="1" fillId="6194" borderId="0" xfId="4" applyFill="1" applyAlignment="1">
      <alignment horizontal="center" vertical="center"/>
    </xf>
    <xf numFmtId="0" fontId="1" fillId="6195" borderId="0" xfId="4" applyFill="1" applyAlignment="1">
      <alignment horizontal="center" vertical="center"/>
    </xf>
    <xf numFmtId="0" fontId="1" fillId="6196" borderId="0" xfId="4" applyFill="1" applyAlignment="1">
      <alignment horizontal="center" vertical="center"/>
    </xf>
    <xf numFmtId="0" fontId="1" fillId="6197" borderId="0" xfId="4" applyFill="1" applyAlignment="1">
      <alignment horizontal="center" vertical="center"/>
    </xf>
    <xf numFmtId="0" fontId="1" fillId="6198" borderId="0" xfId="4" applyFill="1" applyAlignment="1">
      <alignment horizontal="center" vertical="center"/>
    </xf>
    <xf numFmtId="0" fontId="1" fillId="6199" borderId="0" xfId="4" applyFill="1" applyAlignment="1">
      <alignment horizontal="center" vertical="center"/>
    </xf>
    <xf numFmtId="0" fontId="1" fillId="6200" borderId="0" xfId="4" applyFill="1" applyAlignment="1">
      <alignment horizontal="center" vertical="center"/>
    </xf>
    <xf numFmtId="0" fontId="1" fillId="6201" borderId="0" xfId="4" applyFill="1" applyAlignment="1">
      <alignment horizontal="center" vertical="center"/>
    </xf>
    <xf numFmtId="0" fontId="1" fillId="6202" borderId="0" xfId="4" applyFill="1" applyAlignment="1">
      <alignment horizontal="center" vertical="center"/>
    </xf>
    <xf numFmtId="0" fontId="1" fillId="6203" borderId="0" xfId="4" applyFill="1" applyAlignment="1">
      <alignment horizontal="center" vertical="center"/>
    </xf>
    <xf numFmtId="0" fontId="1" fillId="6204" borderId="0" xfId="4" applyFill="1" applyAlignment="1">
      <alignment horizontal="center" vertical="center"/>
    </xf>
    <xf numFmtId="0" fontId="1" fillId="6205" borderId="0" xfId="4" applyFill="1" applyAlignment="1">
      <alignment horizontal="center" vertical="center"/>
    </xf>
    <xf numFmtId="0" fontId="1" fillId="6206" borderId="0" xfId="4" applyFill="1" applyAlignment="1">
      <alignment horizontal="center" vertical="center"/>
    </xf>
    <xf numFmtId="0" fontId="1" fillId="6207" borderId="0" xfId="4" applyFill="1" applyAlignment="1">
      <alignment horizontal="center" vertical="center"/>
    </xf>
    <xf numFmtId="0" fontId="1" fillId="6208" borderId="0" xfId="4" applyFill="1" applyAlignment="1">
      <alignment horizontal="center" vertical="center"/>
    </xf>
    <xf numFmtId="0" fontId="1" fillId="6209" borderId="0" xfId="4" applyFill="1" applyAlignment="1">
      <alignment horizontal="center" vertical="center"/>
    </xf>
    <xf numFmtId="0" fontId="1" fillId="6210" borderId="0" xfId="4" applyFill="1" applyAlignment="1">
      <alignment horizontal="center" vertical="center"/>
    </xf>
    <xf numFmtId="0" fontId="1" fillId="6211" borderId="0" xfId="4" applyFill="1" applyAlignment="1">
      <alignment horizontal="center" vertical="center"/>
    </xf>
    <xf numFmtId="0" fontId="1" fillId="6212" borderId="0" xfId="4" applyFill="1" applyAlignment="1">
      <alignment horizontal="center" vertical="center"/>
    </xf>
    <xf numFmtId="0" fontId="1" fillId="6213" borderId="0" xfId="4" applyFill="1" applyAlignment="1">
      <alignment horizontal="center" vertical="center"/>
    </xf>
    <xf numFmtId="0" fontId="1" fillId="6214" borderId="0" xfId="4" applyFill="1" applyAlignment="1">
      <alignment horizontal="center" vertical="center"/>
    </xf>
    <xf numFmtId="0" fontId="1" fillId="6215" borderId="0" xfId="4" applyFill="1" applyAlignment="1">
      <alignment horizontal="center" vertical="center"/>
    </xf>
    <xf numFmtId="0" fontId="1" fillId="6216" borderId="0" xfId="4" applyFill="1" applyAlignment="1">
      <alignment horizontal="center" vertical="center"/>
    </xf>
    <xf numFmtId="0" fontId="1" fillId="6217" borderId="0" xfId="4" applyFill="1" applyAlignment="1">
      <alignment horizontal="center" vertical="center"/>
    </xf>
    <xf numFmtId="0" fontId="1" fillId="6218" borderId="0" xfId="4" applyFill="1" applyAlignment="1">
      <alignment horizontal="center" vertical="center"/>
    </xf>
    <xf numFmtId="0" fontId="1" fillId="6219" borderId="0" xfId="4" applyFill="1" applyAlignment="1">
      <alignment horizontal="center" vertical="center"/>
    </xf>
    <xf numFmtId="0" fontId="1" fillId="6220" borderId="0" xfId="4" applyFill="1" applyAlignment="1">
      <alignment horizontal="left" vertical="center"/>
    </xf>
    <xf numFmtId="0" fontId="1" fillId="6221" borderId="0" xfId="4" applyFill="1" applyAlignment="1">
      <alignment horizontal="center" vertical="center"/>
    </xf>
    <xf numFmtId="0" fontId="1" fillId="6222" borderId="0" xfId="4" applyFill="1" applyAlignment="1">
      <alignment horizontal="center" vertical="center"/>
    </xf>
    <xf numFmtId="0" fontId="1" fillId="6223" borderId="0" xfId="4" applyFill="1" applyAlignment="1">
      <alignment horizontal="center" vertical="center"/>
    </xf>
    <xf numFmtId="0" fontId="1" fillId="6224" borderId="0" xfId="4" applyFill="1" applyAlignment="1">
      <alignment horizontal="center" vertical="center"/>
    </xf>
    <xf numFmtId="0" fontId="1" fillId="6225" borderId="0" xfId="4" applyFill="1" applyAlignment="1">
      <alignment horizontal="center" vertical="center"/>
    </xf>
    <xf numFmtId="0" fontId="1" fillId="6226" borderId="0" xfId="4" applyFill="1" applyAlignment="1">
      <alignment horizontal="center" vertical="center"/>
    </xf>
    <xf numFmtId="0" fontId="1" fillId="6227" borderId="0" xfId="4" applyFill="1" applyAlignment="1">
      <alignment horizontal="center" vertical="center"/>
    </xf>
    <xf numFmtId="0" fontId="1" fillId="6228" borderId="0" xfId="4" applyFill="1" applyAlignment="1">
      <alignment horizontal="center" vertical="center"/>
    </xf>
    <xf numFmtId="0" fontId="1" fillId="6229" borderId="0" xfId="4" applyFill="1" applyAlignment="1">
      <alignment horizontal="center" vertical="center"/>
    </xf>
    <xf numFmtId="0" fontId="1" fillId="6230" borderId="0" xfId="4" applyFill="1" applyAlignment="1">
      <alignment horizontal="center" vertical="center"/>
    </xf>
    <xf numFmtId="0" fontId="1" fillId="6231" borderId="0" xfId="4" applyFill="1" applyAlignment="1">
      <alignment horizontal="center" vertical="center"/>
    </xf>
    <xf numFmtId="0" fontId="1" fillId="6232" borderId="0" xfId="4" applyFill="1" applyAlignment="1">
      <alignment horizontal="center" vertical="center"/>
    </xf>
    <xf numFmtId="0" fontId="1" fillId="6233" borderId="0" xfId="4" applyFill="1" applyAlignment="1">
      <alignment horizontal="center" vertical="center"/>
    </xf>
    <xf numFmtId="0" fontId="1" fillId="6234" borderId="0" xfId="4" applyFill="1" applyAlignment="1">
      <alignment horizontal="center" vertical="center"/>
    </xf>
    <xf numFmtId="0" fontId="1" fillId="6235" borderId="0" xfId="4" applyFill="1" applyAlignment="1">
      <alignment horizontal="center" vertical="center"/>
    </xf>
    <xf numFmtId="0" fontId="1" fillId="6236" borderId="0" xfId="4" applyFill="1" applyAlignment="1">
      <alignment horizontal="center" vertical="center"/>
    </xf>
    <xf numFmtId="0" fontId="1" fillId="6237" borderId="0" xfId="4" applyFill="1" applyAlignment="1">
      <alignment horizontal="center" vertical="center"/>
    </xf>
    <xf numFmtId="0" fontId="1" fillId="6238" borderId="0" xfId="4" applyFill="1" applyAlignment="1">
      <alignment horizontal="center" vertical="center"/>
    </xf>
    <xf numFmtId="0" fontId="1" fillId="6239" borderId="0" xfId="4" applyFill="1" applyAlignment="1">
      <alignment horizontal="center" vertical="center"/>
    </xf>
    <xf numFmtId="0" fontId="1" fillId="6240" borderId="0" xfId="4" applyFill="1" applyAlignment="1">
      <alignment horizontal="center" vertical="center"/>
    </xf>
    <xf numFmtId="0" fontId="1" fillId="6241" borderId="0" xfId="4" applyFill="1" applyAlignment="1">
      <alignment horizontal="center" vertical="center"/>
    </xf>
    <xf numFmtId="0" fontId="1" fillId="6242" borderId="0" xfId="4" applyFill="1" applyAlignment="1">
      <alignment horizontal="center" vertical="center"/>
    </xf>
    <xf numFmtId="0" fontId="1" fillId="6243" borderId="0" xfId="4" applyFill="1" applyAlignment="1">
      <alignment horizontal="center" vertical="center"/>
    </xf>
    <xf numFmtId="0" fontId="1" fillId="6244" borderId="0" xfId="4" applyFill="1" applyAlignment="1">
      <alignment horizontal="center" vertical="center"/>
    </xf>
    <xf numFmtId="0" fontId="1" fillId="6245" borderId="0" xfId="4" applyFill="1" applyAlignment="1">
      <alignment horizontal="center" vertical="center"/>
    </xf>
    <xf numFmtId="0" fontId="1" fillId="6246" borderId="0" xfId="4" applyFill="1" applyAlignment="1">
      <alignment horizontal="center" vertical="center"/>
    </xf>
    <xf numFmtId="0" fontId="1" fillId="6247" borderId="0" xfId="4" applyFill="1" applyAlignment="1">
      <alignment horizontal="center" vertical="center"/>
    </xf>
    <xf numFmtId="0" fontId="1" fillId="6248" borderId="0" xfId="4" applyFill="1" applyAlignment="1">
      <alignment horizontal="center" vertical="center"/>
    </xf>
    <xf numFmtId="0" fontId="1" fillId="6249" borderId="0" xfId="4" applyFill="1" applyAlignment="1">
      <alignment horizontal="center" vertical="center"/>
    </xf>
    <xf numFmtId="0" fontId="1" fillId="6250" borderId="0" xfId="4" applyFill="1" applyAlignment="1">
      <alignment horizontal="center" vertical="center"/>
    </xf>
    <xf numFmtId="0" fontId="1" fillId="6251" borderId="0" xfId="4" applyFill="1" applyAlignment="1">
      <alignment horizontal="left" vertical="center"/>
    </xf>
    <xf numFmtId="0" fontId="1" fillId="6252" borderId="0" xfId="4" applyFill="1" applyAlignment="1">
      <alignment horizontal="center" vertical="center"/>
    </xf>
    <xf numFmtId="0" fontId="1" fillId="6253" borderId="0" xfId="4" applyFill="1" applyAlignment="1">
      <alignment horizontal="center" vertical="center"/>
    </xf>
    <xf numFmtId="0" fontId="1" fillId="6254" borderId="0" xfId="4" applyFill="1" applyAlignment="1">
      <alignment horizontal="center" vertical="center"/>
    </xf>
    <xf numFmtId="0" fontId="1" fillId="6255" borderId="0" xfId="4" applyFill="1" applyAlignment="1">
      <alignment horizontal="center" vertical="center"/>
    </xf>
    <xf numFmtId="0" fontId="1" fillId="6256" borderId="0" xfId="4" applyFill="1" applyAlignment="1">
      <alignment horizontal="center" vertical="center"/>
    </xf>
    <xf numFmtId="0" fontId="1" fillId="6257" borderId="0" xfId="4" applyFill="1" applyAlignment="1">
      <alignment horizontal="center" vertical="center"/>
    </xf>
    <xf numFmtId="0" fontId="1" fillId="6258" borderId="0" xfId="4" applyFill="1" applyAlignment="1">
      <alignment horizontal="center" vertical="center"/>
    </xf>
    <xf numFmtId="0" fontId="1" fillId="6259" borderId="0" xfId="4" applyFill="1" applyAlignment="1">
      <alignment horizontal="center" vertical="center"/>
    </xf>
    <xf numFmtId="0" fontId="1" fillId="6260" borderId="0" xfId="4" applyFill="1" applyAlignment="1">
      <alignment horizontal="center" vertical="center"/>
    </xf>
    <xf numFmtId="0" fontId="1" fillId="6261" borderId="0" xfId="4" applyFill="1" applyAlignment="1">
      <alignment horizontal="center" vertical="center"/>
    </xf>
    <xf numFmtId="0" fontId="1" fillId="6262" borderId="0" xfId="4" applyFill="1" applyAlignment="1">
      <alignment horizontal="center" vertical="center"/>
    </xf>
    <xf numFmtId="0" fontId="1" fillId="6263" borderId="0" xfId="4" applyFill="1" applyAlignment="1">
      <alignment horizontal="center" vertical="center"/>
    </xf>
    <xf numFmtId="0" fontId="1" fillId="6264" borderId="0" xfId="4" applyFill="1" applyAlignment="1">
      <alignment horizontal="center" vertical="center"/>
    </xf>
    <xf numFmtId="0" fontId="1" fillId="6265" borderId="0" xfId="4" applyFill="1" applyAlignment="1">
      <alignment horizontal="center" vertical="center"/>
    </xf>
    <xf numFmtId="0" fontId="1" fillId="6266" borderId="0" xfId="4" applyFill="1" applyAlignment="1">
      <alignment horizontal="center" vertical="center"/>
    </xf>
    <xf numFmtId="0" fontId="1" fillId="6267" borderId="0" xfId="4" applyFill="1" applyAlignment="1">
      <alignment horizontal="center" vertical="center"/>
    </xf>
    <xf numFmtId="0" fontId="1" fillId="6268" borderId="0" xfId="4" applyFill="1" applyAlignment="1">
      <alignment horizontal="center" vertical="center"/>
    </xf>
    <xf numFmtId="0" fontId="1" fillId="6269" borderId="0" xfId="4" applyFill="1" applyAlignment="1">
      <alignment horizontal="center" vertical="center"/>
    </xf>
    <xf numFmtId="0" fontId="1" fillId="6270" borderId="0" xfId="4" applyFill="1" applyAlignment="1">
      <alignment horizontal="center" vertical="center"/>
    </xf>
    <xf numFmtId="0" fontId="1" fillId="6271" borderId="0" xfId="4" applyFill="1" applyAlignment="1">
      <alignment horizontal="center" vertical="center"/>
    </xf>
    <xf numFmtId="0" fontId="1" fillId="6272" borderId="0" xfId="4" applyFill="1" applyAlignment="1">
      <alignment horizontal="left" vertical="center"/>
    </xf>
    <xf numFmtId="0" fontId="1" fillId="6273" borderId="0" xfId="4" applyFill="1" applyAlignment="1">
      <alignment horizontal="center" vertical="center"/>
    </xf>
    <xf numFmtId="0" fontId="1" fillId="6274" borderId="0" xfId="4" applyFill="1" applyAlignment="1">
      <alignment horizontal="center" vertical="center"/>
    </xf>
    <xf numFmtId="0" fontId="1" fillId="6275" borderId="0" xfId="4" applyFill="1" applyAlignment="1">
      <alignment horizontal="left" vertical="center"/>
    </xf>
    <xf numFmtId="0" fontId="1" fillId="6276" borderId="0" xfId="4" applyFill="1" applyAlignment="1">
      <alignment horizontal="center" vertical="center"/>
    </xf>
    <xf numFmtId="0" fontId="1" fillId="6277" borderId="0" xfId="4" applyFill="1" applyAlignment="1">
      <alignment horizontal="center" vertical="center"/>
    </xf>
    <xf numFmtId="0" fontId="1" fillId="6278" borderId="0" xfId="4" applyFill="1" applyAlignment="1">
      <alignment horizontal="center" vertical="center"/>
    </xf>
    <xf numFmtId="0" fontId="1" fillId="6279" borderId="0" xfId="4" applyFill="1" applyAlignment="1">
      <alignment horizontal="center" vertical="center"/>
    </xf>
    <xf numFmtId="0" fontId="1" fillId="6280" borderId="0" xfId="4" applyFill="1" applyAlignment="1">
      <alignment horizontal="center" vertical="center"/>
    </xf>
    <xf numFmtId="0" fontId="1" fillId="6281" borderId="0" xfId="4" applyFill="1" applyAlignment="1">
      <alignment horizontal="center" vertical="center"/>
    </xf>
    <xf numFmtId="0" fontId="1" fillId="6282" borderId="0" xfId="4" applyFill="1" applyAlignment="1">
      <alignment horizontal="center" vertical="center"/>
    </xf>
    <xf numFmtId="0" fontId="1" fillId="6283" borderId="0" xfId="4" applyFill="1" applyAlignment="1">
      <alignment horizontal="center" vertical="center"/>
    </xf>
    <xf numFmtId="0" fontId="1" fillId="6284" borderId="0" xfId="4" applyFill="1" applyAlignment="1">
      <alignment horizontal="center" vertical="center"/>
    </xf>
    <xf numFmtId="0" fontId="1" fillId="6285" borderId="0" xfId="4" applyFill="1" applyAlignment="1">
      <alignment horizontal="center" vertical="center"/>
    </xf>
    <xf numFmtId="0" fontId="1" fillId="6286" borderId="0" xfId="4" applyFill="1" applyAlignment="1">
      <alignment horizontal="center" vertical="center"/>
    </xf>
    <xf numFmtId="0" fontId="1" fillId="6287" borderId="0" xfId="4" applyFill="1" applyAlignment="1">
      <alignment horizontal="center" vertical="center"/>
    </xf>
    <xf numFmtId="0" fontId="1" fillId="6288" borderId="0" xfId="4" applyFill="1" applyAlignment="1">
      <alignment horizontal="center" vertical="center"/>
    </xf>
    <xf numFmtId="0" fontId="1" fillId="6289" borderId="0" xfId="4" applyFill="1" applyAlignment="1">
      <alignment horizontal="center" vertical="center"/>
    </xf>
    <xf numFmtId="0" fontId="1" fillId="6290" borderId="0" xfId="4" applyFill="1" applyAlignment="1">
      <alignment horizontal="center" vertical="center"/>
    </xf>
    <xf numFmtId="0" fontId="1" fillId="6291" borderId="0" xfId="4" applyFill="1" applyAlignment="1">
      <alignment horizontal="center" vertical="center"/>
    </xf>
    <xf numFmtId="0" fontId="1" fillId="6292" borderId="0" xfId="4" applyFill="1" applyAlignment="1">
      <alignment horizontal="center" vertical="center"/>
    </xf>
    <xf numFmtId="0" fontId="1" fillId="6293" borderId="0" xfId="4" applyFill="1" applyAlignment="1">
      <alignment horizontal="center" vertical="center"/>
    </xf>
    <xf numFmtId="0" fontId="1" fillId="6294" borderId="0" xfId="4" applyFill="1" applyAlignment="1">
      <alignment horizontal="center" vertical="center"/>
    </xf>
    <xf numFmtId="0" fontId="1" fillId="6295" borderId="0" xfId="4" applyFill="1" applyAlignment="1">
      <alignment horizontal="center" vertical="center"/>
    </xf>
    <xf numFmtId="0" fontId="1" fillId="6296" borderId="0" xfId="4" applyFill="1" applyAlignment="1">
      <alignment horizontal="center" vertical="center"/>
    </xf>
    <xf numFmtId="0" fontId="1" fillId="6297" borderId="0" xfId="4" applyFill="1" applyAlignment="1">
      <alignment horizontal="center" vertical="center"/>
    </xf>
    <xf numFmtId="0" fontId="1" fillId="6298" borderId="0" xfId="4" applyFill="1" applyAlignment="1">
      <alignment horizontal="center" vertical="center"/>
    </xf>
    <xf numFmtId="0" fontId="1" fillId="6299" borderId="0" xfId="4" applyFill="1" applyAlignment="1">
      <alignment horizontal="center" vertical="center"/>
    </xf>
    <xf numFmtId="0" fontId="1" fillId="6300" borderId="0" xfId="4" applyFill="1" applyAlignment="1">
      <alignment horizontal="center" vertical="center"/>
    </xf>
    <xf numFmtId="0" fontId="1" fillId="6301" borderId="0" xfId="4" applyFill="1" applyAlignment="1">
      <alignment horizontal="center" vertical="center"/>
    </xf>
    <xf numFmtId="0" fontId="1" fillId="6302" borderId="0" xfId="4" applyFill="1" applyAlignment="1">
      <alignment horizontal="center" vertical="center"/>
    </xf>
    <xf numFmtId="0" fontId="1" fillId="6303" borderId="0" xfId="4" applyFill="1" applyAlignment="1">
      <alignment horizontal="center" vertical="center"/>
    </xf>
    <xf numFmtId="0" fontId="1" fillId="6304" borderId="0" xfId="4" applyFill="1" applyAlignment="1">
      <alignment horizontal="center" vertical="center"/>
    </xf>
    <xf numFmtId="0" fontId="1" fillId="6305" borderId="0" xfId="4" applyFill="1" applyAlignment="1">
      <alignment horizontal="center" vertical="center"/>
    </xf>
    <xf numFmtId="0" fontId="1" fillId="6306" borderId="0" xfId="4" applyFill="1" applyAlignment="1">
      <alignment horizontal="center" vertical="center"/>
    </xf>
    <xf numFmtId="0" fontId="1" fillId="6307" borderId="0" xfId="4" applyFill="1" applyAlignment="1">
      <alignment horizontal="center" vertical="center"/>
    </xf>
    <xf numFmtId="0" fontId="1" fillId="6308" borderId="0" xfId="4" applyFill="1" applyAlignment="1">
      <alignment horizontal="center" vertical="center"/>
    </xf>
    <xf numFmtId="0" fontId="1" fillId="6309" borderId="0" xfId="4" applyFill="1" applyAlignment="1">
      <alignment horizontal="center" vertical="center"/>
    </xf>
    <xf numFmtId="0" fontId="1" fillId="6310" borderId="0" xfId="4" applyFill="1" applyAlignment="1">
      <alignment horizontal="center" vertical="center"/>
    </xf>
    <xf numFmtId="0" fontId="1" fillId="6311" borderId="0" xfId="4" applyFill="1" applyAlignment="1">
      <alignment horizontal="left" vertical="center"/>
    </xf>
    <xf numFmtId="0" fontId="1" fillId="6312" borderId="0" xfId="4" applyFill="1" applyAlignment="1">
      <alignment horizontal="center" vertical="center"/>
    </xf>
    <xf numFmtId="0" fontId="1" fillId="6313" borderId="0" xfId="4" applyFill="1" applyAlignment="1">
      <alignment horizontal="center" vertical="center"/>
    </xf>
    <xf numFmtId="0" fontId="1" fillId="6314" borderId="0" xfId="4" applyFill="1" applyAlignment="1">
      <alignment horizontal="center" vertical="center"/>
    </xf>
    <xf numFmtId="0" fontId="1" fillId="6315" borderId="0" xfId="4" applyFill="1" applyAlignment="1">
      <alignment horizontal="center" vertical="center"/>
    </xf>
    <xf numFmtId="0" fontId="1" fillId="6316" borderId="0" xfId="4" applyFill="1" applyAlignment="1">
      <alignment horizontal="center" vertical="center"/>
    </xf>
    <xf numFmtId="0" fontId="1" fillId="6317" borderId="0" xfId="4" applyFill="1" applyAlignment="1">
      <alignment horizontal="center" vertical="center"/>
    </xf>
    <xf numFmtId="0" fontId="1" fillId="6318" borderId="0" xfId="4" applyFill="1" applyAlignment="1">
      <alignment horizontal="center" vertical="center"/>
    </xf>
    <xf numFmtId="0" fontId="1" fillId="6319" borderId="0" xfId="4" applyFill="1" applyAlignment="1">
      <alignment horizontal="center" vertical="center"/>
    </xf>
    <xf numFmtId="0" fontId="1" fillId="6320" borderId="0" xfId="4" applyFill="1" applyAlignment="1">
      <alignment horizontal="center" vertical="center"/>
    </xf>
    <xf numFmtId="0" fontId="1" fillId="6321" borderId="0" xfId="4" applyFill="1" applyAlignment="1">
      <alignment horizontal="center" vertical="center"/>
    </xf>
    <xf numFmtId="0" fontId="1" fillId="6322" borderId="0" xfId="4" applyFill="1" applyAlignment="1">
      <alignment horizontal="center" vertical="center"/>
    </xf>
    <xf numFmtId="0" fontId="1" fillId="6323" borderId="0" xfId="4" applyFill="1" applyAlignment="1">
      <alignment horizontal="center" vertical="center"/>
    </xf>
    <xf numFmtId="0" fontId="1" fillId="6324" borderId="0" xfId="4" applyFill="1" applyAlignment="1">
      <alignment horizontal="center" vertical="center"/>
    </xf>
    <xf numFmtId="0" fontId="1" fillId="6325" borderId="0" xfId="4" applyFill="1" applyAlignment="1">
      <alignment horizontal="center" vertical="center"/>
    </xf>
    <xf numFmtId="0" fontId="1" fillId="6326" borderId="0" xfId="4" applyFill="1" applyAlignment="1">
      <alignment horizontal="center" vertical="center"/>
    </xf>
    <xf numFmtId="0" fontId="1" fillId="6327" borderId="0" xfId="4" applyFill="1" applyAlignment="1">
      <alignment horizontal="center" vertical="center"/>
    </xf>
    <xf numFmtId="0" fontId="1" fillId="6328" borderId="0" xfId="4" applyFill="1" applyAlignment="1">
      <alignment horizontal="center" vertical="center"/>
    </xf>
    <xf numFmtId="0" fontId="1" fillId="6329" borderId="0" xfId="4" applyFill="1" applyAlignment="1">
      <alignment horizontal="center" vertical="center"/>
    </xf>
    <xf numFmtId="0" fontId="1" fillId="6330" borderId="0" xfId="4" applyFill="1" applyAlignment="1">
      <alignment horizontal="center" vertical="center"/>
    </xf>
    <xf numFmtId="0" fontId="1" fillId="6331" borderId="0" xfId="4" applyFill="1" applyAlignment="1">
      <alignment horizontal="center" vertical="center"/>
    </xf>
    <xf numFmtId="0" fontId="1" fillId="6332" borderId="0" xfId="4" applyFill="1" applyAlignment="1">
      <alignment horizontal="center" vertical="center"/>
    </xf>
    <xf numFmtId="0" fontId="1" fillId="6333" borderId="0" xfId="4" applyFill="1" applyAlignment="1">
      <alignment horizontal="center" vertical="center"/>
    </xf>
    <xf numFmtId="0" fontId="1" fillId="6334" borderId="0" xfId="4" applyFill="1" applyAlignment="1">
      <alignment horizontal="center" vertical="center"/>
    </xf>
    <xf numFmtId="0" fontId="1" fillId="6335" borderId="0" xfId="4" applyFill="1" applyAlignment="1">
      <alignment horizontal="center" vertical="center"/>
    </xf>
    <xf numFmtId="0" fontId="1" fillId="6336" borderId="0" xfId="4" applyFill="1" applyAlignment="1">
      <alignment horizontal="center" vertical="center"/>
    </xf>
    <xf numFmtId="0" fontId="1" fillId="6337" borderId="0" xfId="4" applyFill="1" applyAlignment="1">
      <alignment horizontal="center" vertical="center"/>
    </xf>
    <xf numFmtId="0" fontId="1" fillId="6338" borderId="0" xfId="4" applyFill="1" applyAlignment="1">
      <alignment horizontal="center" vertical="center"/>
    </xf>
    <xf numFmtId="0" fontId="1" fillId="6339" borderId="0" xfId="4" applyFill="1" applyAlignment="1">
      <alignment horizontal="center" vertical="center"/>
    </xf>
    <xf numFmtId="0" fontId="1" fillId="6340" borderId="0" xfId="4" applyFill="1" applyAlignment="1">
      <alignment horizontal="center" vertical="center"/>
    </xf>
    <xf numFmtId="0" fontId="1" fillId="6341" borderId="0" xfId="4" applyFill="1" applyAlignment="1">
      <alignment horizontal="left" vertical="center"/>
    </xf>
    <xf numFmtId="0" fontId="1" fillId="6342" borderId="0" xfId="4" applyFill="1" applyAlignment="1">
      <alignment horizontal="center" vertical="center"/>
    </xf>
    <xf numFmtId="0" fontId="1" fillId="6343" borderId="0" xfId="4" applyFill="1" applyAlignment="1">
      <alignment horizontal="center" vertical="center"/>
    </xf>
    <xf numFmtId="0" fontId="1" fillId="6344" borderId="0" xfId="4" applyFill="1" applyAlignment="1">
      <alignment horizontal="center" vertical="center"/>
    </xf>
    <xf numFmtId="0" fontId="1" fillId="6345" borderId="0" xfId="4" applyFill="1" applyAlignment="1">
      <alignment horizontal="center" vertical="center"/>
    </xf>
    <xf numFmtId="0" fontId="1" fillId="6346" borderId="0" xfId="4" applyFill="1" applyAlignment="1">
      <alignment horizontal="center" vertical="center"/>
    </xf>
    <xf numFmtId="0" fontId="1" fillId="6347" borderId="0" xfId="4" applyFill="1" applyAlignment="1">
      <alignment horizontal="center" vertical="center"/>
    </xf>
    <xf numFmtId="0" fontId="1" fillId="6348" borderId="0" xfId="4" applyFill="1" applyAlignment="1">
      <alignment horizontal="center" vertical="center"/>
    </xf>
    <xf numFmtId="0" fontId="1" fillId="6349" borderId="0" xfId="4" applyFill="1" applyAlignment="1">
      <alignment horizontal="center" vertical="center"/>
    </xf>
    <xf numFmtId="0" fontId="1" fillId="6350" borderId="0" xfId="4" applyFill="1" applyAlignment="1">
      <alignment horizontal="center" vertical="center"/>
    </xf>
    <xf numFmtId="0" fontId="1" fillId="6351" borderId="0" xfId="4" applyFill="1" applyAlignment="1">
      <alignment horizontal="center" vertical="center"/>
    </xf>
    <xf numFmtId="0" fontId="1" fillId="6352" borderId="0" xfId="4" applyFill="1" applyAlignment="1">
      <alignment horizontal="center" vertical="center"/>
    </xf>
    <xf numFmtId="0" fontId="1" fillId="6353" borderId="0" xfId="4" applyFill="1" applyAlignment="1">
      <alignment horizontal="center" vertical="center"/>
    </xf>
    <xf numFmtId="0" fontId="1" fillId="6354" borderId="0" xfId="4" applyFill="1" applyAlignment="1">
      <alignment horizontal="center" vertical="center"/>
    </xf>
    <xf numFmtId="0" fontId="1" fillId="6355" borderId="0" xfId="4" applyFill="1" applyAlignment="1">
      <alignment horizontal="center" vertical="center"/>
    </xf>
    <xf numFmtId="0" fontId="1" fillId="6356" borderId="0" xfId="4" applyFill="1" applyAlignment="1">
      <alignment horizontal="center" vertical="center"/>
    </xf>
    <xf numFmtId="0" fontId="1" fillId="6357" borderId="0" xfId="4" applyFill="1" applyAlignment="1">
      <alignment horizontal="center" vertical="center"/>
    </xf>
    <xf numFmtId="0" fontId="1" fillId="6358" borderId="0" xfId="4" applyFill="1" applyAlignment="1">
      <alignment horizontal="center" vertical="center"/>
    </xf>
    <xf numFmtId="0" fontId="1" fillId="6359" borderId="0" xfId="4" applyFill="1" applyAlignment="1">
      <alignment horizontal="center" vertical="center"/>
    </xf>
    <xf numFmtId="0" fontId="1" fillId="6360" borderId="0" xfId="4" applyFill="1" applyAlignment="1">
      <alignment horizontal="center" vertical="center"/>
    </xf>
    <xf numFmtId="0" fontId="1" fillId="6361" borderId="0" xfId="4" applyFill="1" applyAlignment="1">
      <alignment horizontal="left" vertical="center"/>
    </xf>
    <xf numFmtId="0" fontId="1" fillId="6362" borderId="0" xfId="4" applyFill="1" applyAlignment="1">
      <alignment horizontal="center" vertical="center"/>
    </xf>
    <xf numFmtId="0" fontId="1" fillId="6363" borderId="0" xfId="4" applyFill="1" applyAlignment="1">
      <alignment horizontal="center" vertical="center"/>
    </xf>
    <xf numFmtId="0" fontId="1" fillId="6364" borderId="0" xfId="4" applyFill="1" applyAlignment="1">
      <alignment horizontal="left" vertical="center"/>
    </xf>
    <xf numFmtId="0" fontId="1" fillId="6365" borderId="0" xfId="4" applyFill="1" applyAlignment="1">
      <alignment horizontal="center" vertical="center"/>
    </xf>
    <xf numFmtId="0" fontId="1" fillId="6366" borderId="0" xfId="4" applyFill="1" applyAlignment="1">
      <alignment horizontal="center" vertical="center"/>
    </xf>
    <xf numFmtId="0" fontId="1" fillId="6367" borderId="0" xfId="4" applyFill="1" applyAlignment="1">
      <alignment horizontal="center" vertical="center"/>
    </xf>
    <xf numFmtId="0" fontId="1" fillId="6368" borderId="0" xfId="4" applyFill="1" applyAlignment="1">
      <alignment horizontal="center" vertical="center"/>
    </xf>
    <xf numFmtId="0" fontId="1" fillId="6369" borderId="0" xfId="4" applyFill="1" applyAlignment="1">
      <alignment horizontal="center" vertical="center"/>
    </xf>
    <xf numFmtId="0" fontId="1" fillId="6370" borderId="0" xfId="4" applyFill="1" applyAlignment="1">
      <alignment horizontal="center" vertical="center"/>
    </xf>
    <xf numFmtId="0" fontId="1" fillId="6371" borderId="0" xfId="4" applyFill="1" applyAlignment="1">
      <alignment horizontal="center" vertical="center"/>
    </xf>
    <xf numFmtId="0" fontId="1" fillId="6372" borderId="0" xfId="4" applyFill="1" applyAlignment="1">
      <alignment horizontal="center" vertical="center"/>
    </xf>
    <xf numFmtId="0" fontId="1" fillId="6373" borderId="0" xfId="4" applyFill="1" applyAlignment="1">
      <alignment horizontal="center" vertical="center"/>
    </xf>
    <xf numFmtId="0" fontId="1" fillId="6374" borderId="0" xfId="4" applyFill="1" applyAlignment="1">
      <alignment horizontal="center" vertical="center"/>
    </xf>
    <xf numFmtId="0" fontId="1" fillId="6375" borderId="0" xfId="4" applyFill="1" applyAlignment="1">
      <alignment horizontal="center" vertical="center"/>
    </xf>
    <xf numFmtId="0" fontId="1" fillId="6376" borderId="0" xfId="4" applyFill="1" applyAlignment="1">
      <alignment horizontal="center" vertical="center"/>
    </xf>
    <xf numFmtId="0" fontId="1" fillId="6377" borderId="0" xfId="4" applyFill="1" applyAlignment="1">
      <alignment horizontal="center" vertical="center"/>
    </xf>
    <xf numFmtId="0" fontId="1" fillId="6378" borderId="0" xfId="4" applyFill="1" applyAlignment="1">
      <alignment horizontal="center" vertical="center"/>
    </xf>
    <xf numFmtId="0" fontId="1" fillId="6379" borderId="0" xfId="4" applyFill="1" applyAlignment="1">
      <alignment horizontal="center" vertical="center"/>
    </xf>
    <xf numFmtId="0" fontId="1" fillId="6380" borderId="0" xfId="4" applyFill="1" applyAlignment="1">
      <alignment horizontal="center" vertical="center"/>
    </xf>
    <xf numFmtId="0" fontId="1" fillId="6381" borderId="0" xfId="4" applyFill="1" applyAlignment="1">
      <alignment horizontal="center" vertical="center"/>
    </xf>
    <xf numFmtId="0" fontId="1" fillId="6382" borderId="0" xfId="4" applyFill="1" applyAlignment="1">
      <alignment horizontal="center" vertical="center"/>
    </xf>
    <xf numFmtId="0" fontId="1" fillId="6383" borderId="0" xfId="4" applyFill="1" applyAlignment="1">
      <alignment horizontal="center" vertical="center"/>
    </xf>
    <xf numFmtId="0" fontId="1" fillId="6384" borderId="0" xfId="4" applyFill="1" applyAlignment="1">
      <alignment horizontal="center" vertical="center"/>
    </xf>
    <xf numFmtId="0" fontId="1" fillId="6385" borderId="0" xfId="4" applyFill="1" applyAlignment="1">
      <alignment horizontal="center" vertical="center"/>
    </xf>
    <xf numFmtId="0" fontId="1" fillId="6386" borderId="0" xfId="4" applyFill="1" applyAlignment="1">
      <alignment horizontal="center" vertical="center"/>
    </xf>
    <xf numFmtId="0" fontId="1" fillId="6387" borderId="0" xfId="4" applyFill="1" applyAlignment="1">
      <alignment horizontal="center" vertical="center"/>
    </xf>
    <xf numFmtId="0" fontId="1" fillId="6388" borderId="0" xfId="4" applyFill="1" applyAlignment="1">
      <alignment horizontal="center" vertical="center"/>
    </xf>
    <xf numFmtId="0" fontId="1" fillId="6389" borderId="0" xfId="4" applyFill="1" applyAlignment="1">
      <alignment horizontal="center" vertical="center"/>
    </xf>
    <xf numFmtId="0" fontId="1" fillId="6390" borderId="0" xfId="4" applyFill="1" applyAlignment="1">
      <alignment horizontal="center" vertical="center"/>
    </xf>
    <xf numFmtId="0" fontId="1" fillId="6391" borderId="0" xfId="4" applyFill="1" applyAlignment="1">
      <alignment horizontal="center" vertical="center"/>
    </xf>
    <xf numFmtId="0" fontId="1" fillId="6392" borderId="0" xfId="4" applyFill="1" applyAlignment="1">
      <alignment horizontal="center" vertical="center"/>
    </xf>
    <xf numFmtId="0" fontId="1" fillId="6393" borderId="0" xfId="4" applyFill="1" applyAlignment="1">
      <alignment horizontal="center" vertical="center"/>
    </xf>
    <xf numFmtId="0" fontId="1" fillId="6394" borderId="0" xfId="4" applyFill="1" applyAlignment="1">
      <alignment horizontal="center" vertical="center"/>
    </xf>
    <xf numFmtId="0" fontId="1" fillId="6395" borderId="0" xfId="4" applyFill="1" applyAlignment="1">
      <alignment horizontal="center" vertical="center"/>
    </xf>
    <xf numFmtId="0" fontId="1" fillId="6396" borderId="0" xfId="4" applyFill="1" applyAlignment="1">
      <alignment horizontal="center" vertical="center"/>
    </xf>
    <xf numFmtId="0" fontId="1" fillId="6397" borderId="0" xfId="4" applyFill="1" applyAlignment="1">
      <alignment horizontal="center" vertical="center"/>
    </xf>
    <xf numFmtId="0" fontId="1" fillId="6398" borderId="0" xfId="4" applyFill="1" applyAlignment="1">
      <alignment horizontal="center" vertical="center"/>
    </xf>
    <xf numFmtId="0" fontId="1" fillId="6399" borderId="0" xfId="4" applyFill="1" applyAlignment="1">
      <alignment horizontal="center" vertical="center"/>
    </xf>
    <xf numFmtId="0" fontId="1" fillId="6400" borderId="0" xfId="4" applyFill="1" applyAlignment="1">
      <alignment horizontal="left" vertical="center"/>
    </xf>
    <xf numFmtId="0" fontId="1" fillId="6401" borderId="0" xfId="4" applyFill="1" applyAlignment="1">
      <alignment horizontal="center" vertical="center"/>
    </xf>
    <xf numFmtId="0" fontId="1" fillId="6402" borderId="0" xfId="4" applyFill="1" applyAlignment="1">
      <alignment horizontal="center" vertical="center"/>
    </xf>
    <xf numFmtId="0" fontId="1" fillId="6403" borderId="0" xfId="4" applyFill="1" applyAlignment="1">
      <alignment horizontal="center" vertical="center"/>
    </xf>
    <xf numFmtId="0" fontId="1" fillId="6404" borderId="0" xfId="4" applyFill="1" applyAlignment="1">
      <alignment horizontal="center" vertical="center"/>
    </xf>
    <xf numFmtId="0" fontId="1" fillId="6405" borderId="0" xfId="4" applyFill="1" applyAlignment="1">
      <alignment horizontal="center" vertical="center"/>
    </xf>
    <xf numFmtId="0" fontId="1" fillId="6406" borderId="0" xfId="4" applyFill="1" applyAlignment="1">
      <alignment horizontal="center" vertical="center"/>
    </xf>
    <xf numFmtId="0" fontId="1" fillId="6407" borderId="0" xfId="4" applyFill="1" applyAlignment="1">
      <alignment horizontal="center" vertical="center"/>
    </xf>
    <xf numFmtId="0" fontId="1" fillId="6408" borderId="0" xfId="4" applyFill="1" applyAlignment="1">
      <alignment horizontal="center" vertical="center"/>
    </xf>
    <xf numFmtId="0" fontId="1" fillId="6409" borderId="0" xfId="4" applyFill="1" applyAlignment="1">
      <alignment horizontal="center" vertical="center"/>
    </xf>
    <xf numFmtId="0" fontId="1" fillId="6410" borderId="0" xfId="4" applyFill="1" applyAlignment="1">
      <alignment horizontal="center" vertical="center"/>
    </xf>
    <xf numFmtId="0" fontId="1" fillId="6411" borderId="0" xfId="4" applyFill="1" applyAlignment="1">
      <alignment horizontal="center" vertical="center"/>
    </xf>
    <xf numFmtId="0" fontId="1" fillId="6412" borderId="0" xfId="4" applyFill="1" applyAlignment="1">
      <alignment horizontal="center" vertical="center"/>
    </xf>
    <xf numFmtId="0" fontId="1" fillId="6413" borderId="0" xfId="4" applyFill="1" applyAlignment="1">
      <alignment horizontal="center" vertical="center"/>
    </xf>
    <xf numFmtId="0" fontId="1" fillId="6414" borderId="0" xfId="4" applyFill="1" applyAlignment="1">
      <alignment horizontal="center" vertical="center"/>
    </xf>
    <xf numFmtId="0" fontId="1" fillId="6415" borderId="0" xfId="4" applyFill="1" applyAlignment="1">
      <alignment horizontal="center" vertical="center"/>
    </xf>
    <xf numFmtId="0" fontId="1" fillId="6416" borderId="0" xfId="4" applyFill="1" applyAlignment="1">
      <alignment horizontal="center" vertical="center"/>
    </xf>
    <xf numFmtId="0" fontId="1" fillId="6417" borderId="0" xfId="4" applyFill="1" applyAlignment="1">
      <alignment horizontal="center" vertical="center"/>
    </xf>
    <xf numFmtId="0" fontId="1" fillId="6418" borderId="0" xfId="4" applyFill="1" applyAlignment="1">
      <alignment horizontal="center" vertical="center"/>
    </xf>
    <xf numFmtId="0" fontId="1" fillId="6419" borderId="0" xfId="4" applyFill="1" applyAlignment="1">
      <alignment horizontal="center" vertical="center"/>
    </xf>
    <xf numFmtId="0" fontId="1" fillId="6420" borderId="0" xfId="4" applyFill="1" applyAlignment="1">
      <alignment horizontal="center" vertical="center"/>
    </xf>
    <xf numFmtId="0" fontId="1" fillId="6421" borderId="0" xfId="4" applyFill="1" applyAlignment="1">
      <alignment horizontal="center" vertical="center"/>
    </xf>
    <xf numFmtId="0" fontId="1" fillId="6422" borderId="0" xfId="4" applyFill="1" applyAlignment="1">
      <alignment horizontal="center" vertical="center"/>
    </xf>
    <xf numFmtId="0" fontId="1" fillId="6423" borderId="0" xfId="4" applyFill="1" applyAlignment="1">
      <alignment horizontal="center" vertical="center"/>
    </xf>
    <xf numFmtId="0" fontId="1" fillId="6424" borderId="0" xfId="4" applyFill="1" applyAlignment="1">
      <alignment horizontal="center" vertical="center"/>
    </xf>
    <xf numFmtId="0" fontId="1" fillId="6425" borderId="0" xfId="4" applyFill="1" applyAlignment="1">
      <alignment horizontal="center" vertical="center"/>
    </xf>
    <xf numFmtId="0" fontId="1" fillId="6426" borderId="0" xfId="4" applyFill="1" applyAlignment="1">
      <alignment horizontal="center" vertical="center"/>
    </xf>
    <xf numFmtId="0" fontId="1" fillId="6427" borderId="0" xfId="4" applyFill="1" applyAlignment="1">
      <alignment horizontal="center" vertical="center"/>
    </xf>
    <xf numFmtId="0" fontId="1" fillId="6428" borderId="0" xfId="4" applyFill="1" applyAlignment="1">
      <alignment horizontal="center" vertical="center"/>
    </xf>
    <xf numFmtId="0" fontId="1" fillId="6429" borderId="0" xfId="4" applyFill="1" applyAlignment="1">
      <alignment horizontal="center" vertical="center"/>
    </xf>
    <xf numFmtId="0" fontId="1" fillId="6430" borderId="0" xfId="4" applyFill="1" applyAlignment="1">
      <alignment horizontal="center" vertical="center"/>
    </xf>
    <xf numFmtId="0" fontId="1" fillId="6431" borderId="0" xfId="4" applyFill="1" applyAlignment="1">
      <alignment horizontal="center" vertical="center"/>
    </xf>
    <xf numFmtId="0" fontId="1" fillId="6432" borderId="0" xfId="4" applyFill="1" applyAlignment="1">
      <alignment horizontal="left" vertical="center"/>
    </xf>
    <xf numFmtId="0" fontId="1" fillId="6433" borderId="0" xfId="4" applyFill="1" applyAlignment="1">
      <alignment horizontal="center" vertical="center"/>
    </xf>
    <xf numFmtId="0" fontId="1" fillId="6434" borderId="0" xfId="4" applyFill="1" applyAlignment="1">
      <alignment horizontal="center" vertical="center"/>
    </xf>
    <xf numFmtId="0" fontId="1" fillId="6435" borderId="0" xfId="4" applyFill="1" applyAlignment="1">
      <alignment horizontal="center" vertical="center"/>
    </xf>
    <xf numFmtId="0" fontId="1" fillId="6436" borderId="0" xfId="4" applyFill="1" applyAlignment="1">
      <alignment horizontal="center" vertical="center"/>
    </xf>
    <xf numFmtId="0" fontId="1" fillId="6437" borderId="0" xfId="4" applyFill="1" applyAlignment="1">
      <alignment horizontal="center" vertical="center"/>
    </xf>
    <xf numFmtId="0" fontId="1" fillId="6438" borderId="0" xfId="4" applyFill="1" applyAlignment="1">
      <alignment horizontal="center" vertical="center"/>
    </xf>
    <xf numFmtId="0" fontId="1" fillId="6439" borderId="0" xfId="4" applyFill="1" applyAlignment="1">
      <alignment horizontal="center" vertical="center"/>
    </xf>
    <xf numFmtId="0" fontId="1" fillId="6440" borderId="0" xfId="4" applyFill="1" applyAlignment="1">
      <alignment horizontal="center" vertical="center"/>
    </xf>
    <xf numFmtId="0" fontId="1" fillId="6441" borderId="0" xfId="4" applyFill="1" applyAlignment="1">
      <alignment horizontal="center" vertical="center"/>
    </xf>
    <xf numFmtId="0" fontId="1" fillId="6442" borderId="0" xfId="4" applyFill="1" applyAlignment="1">
      <alignment horizontal="center" vertical="center"/>
    </xf>
    <xf numFmtId="0" fontId="1" fillId="6443" borderId="0" xfId="4" applyFill="1" applyAlignment="1">
      <alignment horizontal="center" vertical="center"/>
    </xf>
    <xf numFmtId="0" fontId="1" fillId="6444" borderId="0" xfId="4" applyFill="1" applyAlignment="1">
      <alignment horizontal="center" vertical="center"/>
    </xf>
    <xf numFmtId="0" fontId="1" fillId="6445" borderId="0" xfId="4" applyFill="1" applyAlignment="1">
      <alignment horizontal="center" vertical="center"/>
    </xf>
    <xf numFmtId="0" fontId="1" fillId="6446" borderId="0" xfId="4" applyFill="1" applyAlignment="1">
      <alignment horizontal="center" vertical="center"/>
    </xf>
    <xf numFmtId="0" fontId="1" fillId="6447" borderId="0" xfId="4" applyFill="1" applyAlignment="1">
      <alignment horizontal="center" vertical="center"/>
    </xf>
    <xf numFmtId="0" fontId="1" fillId="6448" borderId="0" xfId="4" applyFill="1" applyAlignment="1">
      <alignment horizontal="center" vertical="center"/>
    </xf>
    <xf numFmtId="0" fontId="1" fillId="6449" borderId="0" xfId="4" applyFill="1" applyAlignment="1">
      <alignment horizontal="center" vertical="center"/>
    </xf>
    <xf numFmtId="0" fontId="1" fillId="6450" borderId="0" xfId="4" applyFill="1" applyAlignment="1">
      <alignment horizontal="center" vertical="center"/>
    </xf>
    <xf numFmtId="0" fontId="1" fillId="6451" borderId="0" xfId="4" applyFill="1" applyAlignment="1">
      <alignment horizontal="center" vertical="center"/>
    </xf>
    <xf numFmtId="0" fontId="1" fillId="6452" borderId="0" xfId="4" applyFill="1" applyAlignment="1">
      <alignment horizontal="center" vertical="center"/>
    </xf>
    <xf numFmtId="0" fontId="1" fillId="6453" borderId="0" xfId="4" applyFill="1" applyAlignment="1">
      <alignment horizontal="left" vertical="center"/>
    </xf>
    <xf numFmtId="0" fontId="1" fillId="6454" borderId="0" xfId="4" applyFill="1" applyAlignment="1">
      <alignment horizontal="center" vertical="center"/>
    </xf>
    <xf numFmtId="0" fontId="1" fillId="6455" borderId="0" xfId="4" applyFill="1" applyAlignment="1">
      <alignment horizontal="center" vertical="center"/>
    </xf>
    <xf numFmtId="0" fontId="1" fillId="6456" borderId="0" xfId="4" applyFill="1" applyAlignment="1">
      <alignment horizontal="left" vertical="center"/>
    </xf>
    <xf numFmtId="0" fontId="1" fillId="6457" borderId="0" xfId="4" applyFill="1" applyAlignment="1">
      <alignment horizontal="center" vertical="center"/>
    </xf>
    <xf numFmtId="0" fontId="1" fillId="6458" borderId="0" xfId="4" applyFill="1" applyAlignment="1">
      <alignment horizontal="center" vertical="center"/>
    </xf>
    <xf numFmtId="0" fontId="1" fillId="6459" borderId="0" xfId="4" applyFill="1" applyAlignment="1">
      <alignment horizontal="center" vertical="center"/>
    </xf>
    <xf numFmtId="0" fontId="1" fillId="6460" borderId="0" xfId="4" applyFill="1" applyAlignment="1">
      <alignment horizontal="center" vertical="center"/>
    </xf>
    <xf numFmtId="0" fontId="1" fillId="6461" borderId="0" xfId="4" applyFill="1" applyAlignment="1">
      <alignment horizontal="center" vertical="center"/>
    </xf>
    <xf numFmtId="0" fontId="1" fillId="6462" borderId="0" xfId="4" applyFill="1" applyAlignment="1">
      <alignment horizontal="center" vertical="center"/>
    </xf>
    <xf numFmtId="0" fontId="1" fillId="6463" borderId="0" xfId="4" applyFill="1" applyAlignment="1">
      <alignment horizontal="center" vertical="center"/>
    </xf>
    <xf numFmtId="0" fontId="1" fillId="6464" borderId="0" xfId="4" applyFill="1" applyAlignment="1">
      <alignment horizontal="center" vertical="center"/>
    </xf>
    <xf numFmtId="0" fontId="1" fillId="6465" borderId="0" xfId="4" applyFill="1" applyAlignment="1">
      <alignment horizontal="center" vertical="center"/>
    </xf>
    <xf numFmtId="0" fontId="1" fillId="6466" borderId="0" xfId="4" applyFill="1" applyAlignment="1">
      <alignment horizontal="center" vertical="center"/>
    </xf>
    <xf numFmtId="0" fontId="1" fillId="6467" borderId="0" xfId="4" applyFill="1" applyAlignment="1">
      <alignment horizontal="center" vertical="center"/>
    </xf>
    <xf numFmtId="0" fontId="1" fillId="6468" borderId="0" xfId="4" applyFill="1" applyAlignment="1">
      <alignment horizontal="center" vertical="center"/>
    </xf>
    <xf numFmtId="0" fontId="1" fillId="6469" borderId="0" xfId="4" applyFill="1" applyAlignment="1">
      <alignment horizontal="center" vertical="center"/>
    </xf>
    <xf numFmtId="0" fontId="1" fillId="6470" borderId="0" xfId="4" applyFill="1" applyAlignment="1">
      <alignment horizontal="center" vertical="center"/>
    </xf>
    <xf numFmtId="0" fontId="1" fillId="6471" borderId="0" xfId="4" applyFill="1" applyAlignment="1">
      <alignment horizontal="center" vertical="center"/>
    </xf>
    <xf numFmtId="0" fontId="1" fillId="6472" borderId="0" xfId="4" applyFill="1" applyAlignment="1">
      <alignment horizontal="center" vertical="center"/>
    </xf>
    <xf numFmtId="0" fontId="1" fillId="6473" borderId="0" xfId="4" applyFill="1" applyAlignment="1">
      <alignment horizontal="center" vertical="center"/>
    </xf>
    <xf numFmtId="0" fontId="1" fillId="6474" borderId="0" xfId="4" applyFill="1" applyAlignment="1">
      <alignment horizontal="center" vertical="center"/>
    </xf>
    <xf numFmtId="0" fontId="1" fillId="6475" borderId="0" xfId="4" applyFill="1" applyAlignment="1">
      <alignment horizontal="center" vertical="center"/>
    </xf>
    <xf numFmtId="0" fontId="1" fillId="6476" borderId="0" xfId="4" applyFill="1" applyAlignment="1">
      <alignment horizontal="center" vertical="center"/>
    </xf>
    <xf numFmtId="0" fontId="1" fillId="6477" borderId="0" xfId="4" applyFill="1" applyAlignment="1">
      <alignment horizontal="center" vertical="center"/>
    </xf>
    <xf numFmtId="0" fontId="1" fillId="6478" borderId="0" xfId="4" applyFill="1" applyAlignment="1">
      <alignment horizontal="center" vertical="center"/>
    </xf>
    <xf numFmtId="0" fontId="1" fillId="6479" borderId="0" xfId="4" applyFill="1" applyAlignment="1">
      <alignment horizontal="center" vertical="center"/>
    </xf>
    <xf numFmtId="0" fontId="1" fillId="6480" borderId="0" xfId="4" applyFill="1" applyAlignment="1">
      <alignment horizontal="center" vertical="center"/>
    </xf>
    <xf numFmtId="0" fontId="1" fillId="6481" borderId="0" xfId="4" applyFill="1" applyAlignment="1">
      <alignment horizontal="center" vertical="center"/>
    </xf>
    <xf numFmtId="0" fontId="1" fillId="6482" borderId="0" xfId="4" applyFill="1" applyAlignment="1">
      <alignment horizontal="center" vertical="center"/>
    </xf>
    <xf numFmtId="0" fontId="1" fillId="6483" borderId="0" xfId="4" applyFill="1" applyAlignment="1">
      <alignment horizontal="center" vertical="center"/>
    </xf>
    <xf numFmtId="0" fontId="1" fillId="6484" borderId="0" xfId="4" applyFill="1" applyAlignment="1">
      <alignment horizontal="center" vertical="center"/>
    </xf>
    <xf numFmtId="0" fontId="1" fillId="6485" borderId="0" xfId="4" applyFill="1" applyAlignment="1">
      <alignment horizontal="center" vertical="center"/>
    </xf>
    <xf numFmtId="0" fontId="1" fillId="6486" borderId="0" xfId="4" applyFill="1" applyAlignment="1">
      <alignment horizontal="center" vertical="center"/>
    </xf>
    <xf numFmtId="0" fontId="1" fillId="6487" borderId="0" xfId="4" applyFill="1" applyAlignment="1">
      <alignment horizontal="center" vertical="center"/>
    </xf>
    <xf numFmtId="0" fontId="1" fillId="6488" borderId="0" xfId="4" applyFill="1" applyAlignment="1">
      <alignment horizontal="center" vertical="center"/>
    </xf>
    <xf numFmtId="0" fontId="1" fillId="6489" borderId="0" xfId="4" applyFill="1" applyAlignment="1">
      <alignment horizontal="center" vertical="center"/>
    </xf>
    <xf numFmtId="0" fontId="1" fillId="6490" borderId="0" xfId="4" applyFill="1" applyAlignment="1">
      <alignment horizontal="center" vertical="center"/>
    </xf>
    <xf numFmtId="0" fontId="1" fillId="6491" borderId="0" xfId="4" applyFill="1" applyAlignment="1">
      <alignment horizontal="center" vertical="center"/>
    </xf>
    <xf numFmtId="0" fontId="1" fillId="6492" borderId="0" xfId="4" applyFill="1" applyAlignment="1">
      <alignment horizontal="left" vertical="center"/>
    </xf>
    <xf numFmtId="0" fontId="1" fillId="6493" borderId="0" xfId="4" applyFill="1" applyAlignment="1">
      <alignment horizontal="center" vertical="center"/>
    </xf>
    <xf numFmtId="0" fontId="1" fillId="6494" borderId="0" xfId="4" applyFill="1" applyAlignment="1">
      <alignment horizontal="center" vertical="center"/>
    </xf>
    <xf numFmtId="0" fontId="1" fillId="6495" borderId="0" xfId="4" applyFill="1" applyAlignment="1">
      <alignment horizontal="center" vertical="center"/>
    </xf>
    <xf numFmtId="0" fontId="1" fillId="6496" borderId="0" xfId="4" applyFill="1" applyAlignment="1">
      <alignment horizontal="center" vertical="center"/>
    </xf>
    <xf numFmtId="0" fontId="1" fillId="6497" borderId="0" xfId="4" applyFill="1" applyAlignment="1">
      <alignment horizontal="center" vertical="center"/>
    </xf>
    <xf numFmtId="0" fontId="1" fillId="6498" borderId="0" xfId="4" applyFill="1" applyAlignment="1">
      <alignment horizontal="center" vertical="center"/>
    </xf>
    <xf numFmtId="0" fontId="1" fillId="6499" borderId="0" xfId="4" applyFill="1" applyAlignment="1">
      <alignment horizontal="center" vertical="center"/>
    </xf>
    <xf numFmtId="0" fontId="1" fillId="6500" borderId="0" xfId="4" applyFill="1" applyAlignment="1">
      <alignment horizontal="center" vertical="center"/>
    </xf>
    <xf numFmtId="0" fontId="1" fillId="6501" borderId="0" xfId="4" applyFill="1" applyAlignment="1">
      <alignment horizontal="center" vertical="center"/>
    </xf>
    <xf numFmtId="0" fontId="1" fillId="6502" borderId="0" xfId="4" applyFill="1" applyAlignment="1">
      <alignment horizontal="center" vertical="center"/>
    </xf>
    <xf numFmtId="0" fontId="1" fillId="6503" borderId="0" xfId="4" applyFill="1" applyAlignment="1">
      <alignment horizontal="center" vertical="center"/>
    </xf>
    <xf numFmtId="0" fontId="1" fillId="6504" borderId="0" xfId="4" applyFill="1" applyAlignment="1">
      <alignment horizontal="center" vertical="center"/>
    </xf>
    <xf numFmtId="0" fontId="1" fillId="6505" borderId="0" xfId="4" applyFill="1" applyAlignment="1">
      <alignment horizontal="center" vertical="center"/>
    </xf>
    <xf numFmtId="0" fontId="1" fillId="6506" borderId="0" xfId="4" applyFill="1" applyAlignment="1">
      <alignment horizontal="center" vertical="center"/>
    </xf>
    <xf numFmtId="0" fontId="1" fillId="6507" borderId="0" xfId="4" applyFill="1" applyAlignment="1">
      <alignment horizontal="center" vertical="center"/>
    </xf>
    <xf numFmtId="0" fontId="1" fillId="6508" borderId="0" xfId="4" applyFill="1" applyAlignment="1">
      <alignment horizontal="center" vertical="center"/>
    </xf>
    <xf numFmtId="0" fontId="1" fillId="6509" borderId="0" xfId="4" applyFill="1" applyAlignment="1">
      <alignment horizontal="center" vertical="center"/>
    </xf>
    <xf numFmtId="0" fontId="1" fillId="6510" borderId="0" xfId="4" applyFill="1" applyAlignment="1">
      <alignment horizontal="center" vertical="center"/>
    </xf>
    <xf numFmtId="0" fontId="1" fillId="6511" borderId="0" xfId="4" applyFill="1" applyAlignment="1">
      <alignment horizontal="center" vertical="center"/>
    </xf>
    <xf numFmtId="0" fontId="1" fillId="6512" borderId="0" xfId="4" applyFill="1" applyAlignment="1">
      <alignment horizontal="center" vertical="center"/>
    </xf>
    <xf numFmtId="0" fontId="1" fillId="6513" borderId="0" xfId="4" applyFill="1" applyAlignment="1">
      <alignment horizontal="center" vertical="center"/>
    </xf>
    <xf numFmtId="0" fontId="1" fillId="6514" borderId="0" xfId="4" applyFill="1" applyAlignment="1">
      <alignment horizontal="center" vertical="center"/>
    </xf>
    <xf numFmtId="0" fontId="1" fillId="6515" borderId="0" xfId="4" applyFill="1" applyAlignment="1">
      <alignment horizontal="center" vertical="center"/>
    </xf>
    <xf numFmtId="0" fontId="1" fillId="6516" borderId="0" xfId="4" applyFill="1" applyAlignment="1">
      <alignment horizontal="center" vertical="center"/>
    </xf>
    <xf numFmtId="0" fontId="1" fillId="6517" borderId="0" xfId="4" applyFill="1" applyAlignment="1">
      <alignment horizontal="center" vertical="center"/>
    </xf>
    <xf numFmtId="0" fontId="1" fillId="6518" borderId="0" xfId="4" applyFill="1" applyAlignment="1">
      <alignment horizontal="center" vertical="center"/>
    </xf>
    <xf numFmtId="0" fontId="1" fillId="6519" borderId="0" xfId="4" applyFill="1" applyAlignment="1">
      <alignment horizontal="center" vertical="center"/>
    </xf>
    <xf numFmtId="0" fontId="1" fillId="6520" borderId="0" xfId="4" applyFill="1" applyAlignment="1">
      <alignment horizontal="center" vertical="center"/>
    </xf>
    <xf numFmtId="0" fontId="1" fillId="6521" borderId="0" xfId="4" applyFill="1" applyAlignment="1">
      <alignment horizontal="center" vertical="center"/>
    </xf>
    <xf numFmtId="0" fontId="1" fillId="6522" borderId="0" xfId="4" applyFill="1" applyAlignment="1">
      <alignment horizontal="center" vertical="center"/>
    </xf>
    <xf numFmtId="0" fontId="1" fillId="6523" borderId="0" xfId="4" applyFill="1" applyAlignment="1">
      <alignment horizontal="left" vertical="center"/>
    </xf>
    <xf numFmtId="0" fontId="1" fillId="6524" borderId="0" xfId="4" applyFill="1" applyAlignment="1">
      <alignment horizontal="center" vertical="center"/>
    </xf>
    <xf numFmtId="0" fontId="1" fillId="6525" borderId="0" xfId="4" applyFill="1" applyAlignment="1">
      <alignment horizontal="center" vertical="center"/>
    </xf>
    <xf numFmtId="0" fontId="1" fillId="6526" borderId="0" xfId="4" applyFill="1" applyAlignment="1">
      <alignment horizontal="center" vertical="center"/>
    </xf>
    <xf numFmtId="0" fontId="1" fillId="6527" borderId="0" xfId="4" applyFill="1" applyAlignment="1">
      <alignment horizontal="center" vertical="center"/>
    </xf>
    <xf numFmtId="0" fontId="1" fillId="6528" borderId="0" xfId="4" applyFill="1" applyAlignment="1">
      <alignment horizontal="center" vertical="center"/>
    </xf>
    <xf numFmtId="0" fontId="1" fillId="6529" borderId="0" xfId="4" applyFill="1" applyAlignment="1">
      <alignment horizontal="center" vertical="center"/>
    </xf>
    <xf numFmtId="0" fontId="1" fillId="6530" borderId="0" xfId="4" applyFill="1" applyAlignment="1">
      <alignment horizontal="center" vertical="center"/>
    </xf>
    <xf numFmtId="0" fontId="1" fillId="6531" borderId="0" xfId="4" applyFill="1" applyAlignment="1">
      <alignment horizontal="center" vertical="center"/>
    </xf>
    <xf numFmtId="0" fontId="1" fillId="6532" borderId="0" xfId="4" applyFill="1" applyAlignment="1">
      <alignment horizontal="center" vertical="center"/>
    </xf>
    <xf numFmtId="0" fontId="1" fillId="6533" borderId="0" xfId="4" applyFill="1" applyAlignment="1">
      <alignment horizontal="center" vertical="center"/>
    </xf>
    <xf numFmtId="0" fontId="1" fillId="6534" borderId="0" xfId="4" applyFill="1" applyAlignment="1">
      <alignment horizontal="center" vertical="center"/>
    </xf>
    <xf numFmtId="0" fontId="1" fillId="6535" borderId="0" xfId="4" applyFill="1" applyAlignment="1">
      <alignment horizontal="center" vertical="center"/>
    </xf>
    <xf numFmtId="0" fontId="1" fillId="6536" borderId="0" xfId="4" applyFill="1" applyAlignment="1">
      <alignment horizontal="center" vertical="center"/>
    </xf>
    <xf numFmtId="0" fontId="1" fillId="6537" borderId="0" xfId="4" applyFill="1" applyAlignment="1">
      <alignment horizontal="center" vertical="center"/>
    </xf>
    <xf numFmtId="0" fontId="1" fillId="6538" borderId="0" xfId="4" applyFill="1" applyAlignment="1">
      <alignment horizontal="center" vertical="center"/>
    </xf>
    <xf numFmtId="0" fontId="1" fillId="6539" borderId="0" xfId="4" applyFill="1" applyAlignment="1">
      <alignment horizontal="center" vertical="center"/>
    </xf>
    <xf numFmtId="0" fontId="1" fillId="6540" borderId="0" xfId="4" applyFill="1" applyAlignment="1">
      <alignment horizontal="center" vertical="center"/>
    </xf>
    <xf numFmtId="0" fontId="1" fillId="6541" borderId="0" xfId="4" applyFill="1" applyAlignment="1">
      <alignment horizontal="center" vertical="center"/>
    </xf>
    <xf numFmtId="0" fontId="1" fillId="6542" borderId="0" xfId="4" applyFill="1" applyAlignment="1">
      <alignment horizontal="center" vertical="center"/>
    </xf>
    <xf numFmtId="0" fontId="1" fillId="6543" borderId="0" xfId="4" applyFill="1" applyAlignment="1">
      <alignment horizontal="center" vertical="center"/>
    </xf>
    <xf numFmtId="0" fontId="1" fillId="6544" borderId="0" xfId="4" applyFill="1" applyAlignment="1">
      <alignment horizontal="left" vertical="center"/>
    </xf>
    <xf numFmtId="0" fontId="1" fillId="6545" borderId="0" xfId="4" applyFill="1" applyAlignment="1">
      <alignment horizontal="center" vertical="center"/>
    </xf>
    <xf numFmtId="0" fontId="1" fillId="6546" borderId="0" xfId="4" applyFill="1" applyAlignment="1">
      <alignment horizontal="center" vertical="center"/>
    </xf>
    <xf numFmtId="0" fontId="1" fillId="6547" borderId="0" xfId="4" applyFill="1" applyAlignment="1">
      <alignment horizontal="left" vertical="center"/>
    </xf>
    <xf numFmtId="0" fontId="1" fillId="6548" borderId="0" xfId="4" applyFill="1" applyAlignment="1">
      <alignment horizontal="center" vertical="center"/>
    </xf>
    <xf numFmtId="0" fontId="1" fillId="6549" borderId="0" xfId="4" applyFill="1" applyAlignment="1">
      <alignment horizontal="center" vertical="center"/>
    </xf>
    <xf numFmtId="0" fontId="1" fillId="6550" borderId="0" xfId="4" applyFill="1" applyAlignment="1">
      <alignment horizontal="center" vertical="center"/>
    </xf>
    <xf numFmtId="0" fontId="1" fillId="6551" borderId="0" xfId="4" applyFill="1" applyAlignment="1">
      <alignment horizontal="center" vertical="center"/>
    </xf>
    <xf numFmtId="0" fontId="1" fillId="6552" borderId="0" xfId="4" applyFill="1" applyAlignment="1">
      <alignment horizontal="center" vertical="center"/>
    </xf>
    <xf numFmtId="0" fontId="1" fillId="6553" borderId="0" xfId="4" applyFill="1" applyAlignment="1">
      <alignment horizontal="center" vertical="center"/>
    </xf>
    <xf numFmtId="0" fontId="1" fillId="6554" borderId="0" xfId="4" applyFill="1" applyAlignment="1">
      <alignment horizontal="center" vertical="center"/>
    </xf>
    <xf numFmtId="0" fontId="1" fillId="6555" borderId="0" xfId="4" applyFill="1" applyAlignment="1">
      <alignment horizontal="center" vertical="center"/>
    </xf>
    <xf numFmtId="0" fontId="1" fillId="6556" borderId="0" xfId="4" applyFill="1" applyAlignment="1">
      <alignment horizontal="center" vertical="center"/>
    </xf>
    <xf numFmtId="0" fontId="1" fillId="6557" borderId="0" xfId="4" applyFill="1" applyAlignment="1">
      <alignment horizontal="center" vertical="center"/>
    </xf>
    <xf numFmtId="0" fontId="1" fillId="6558" borderId="0" xfId="4" applyFill="1" applyAlignment="1">
      <alignment horizontal="center" vertical="center"/>
    </xf>
    <xf numFmtId="0" fontId="1" fillId="6559" borderId="0" xfId="4" applyFill="1" applyAlignment="1">
      <alignment horizontal="center" vertical="center"/>
    </xf>
    <xf numFmtId="0" fontId="1" fillId="6560" borderId="0" xfId="4" applyFill="1" applyAlignment="1">
      <alignment horizontal="center" vertical="center"/>
    </xf>
    <xf numFmtId="0" fontId="1" fillId="6561" borderId="0" xfId="4" applyFill="1" applyAlignment="1">
      <alignment horizontal="center" vertical="center"/>
    </xf>
    <xf numFmtId="0" fontId="1" fillId="6562" borderId="0" xfId="4" applyFill="1" applyAlignment="1">
      <alignment horizontal="center" vertical="center"/>
    </xf>
    <xf numFmtId="0" fontId="1" fillId="6563" borderId="0" xfId="4" applyFill="1" applyAlignment="1">
      <alignment horizontal="center" vertical="center"/>
    </xf>
    <xf numFmtId="0" fontId="1" fillId="6564" borderId="0" xfId="4" applyFill="1" applyAlignment="1">
      <alignment horizontal="center" vertical="center"/>
    </xf>
    <xf numFmtId="0" fontId="1" fillId="6565" borderId="0" xfId="4" applyFill="1" applyAlignment="1">
      <alignment horizontal="center" vertical="center"/>
    </xf>
    <xf numFmtId="0" fontId="1" fillId="6566" borderId="0" xfId="4" applyFill="1" applyAlignment="1">
      <alignment horizontal="center" vertical="center"/>
    </xf>
    <xf numFmtId="0" fontId="1" fillId="6567" borderId="0" xfId="4" applyFill="1" applyAlignment="1">
      <alignment horizontal="center" vertical="center"/>
    </xf>
    <xf numFmtId="0" fontId="1" fillId="6568" borderId="0" xfId="4" applyFill="1" applyAlignment="1">
      <alignment horizontal="center" vertical="center"/>
    </xf>
    <xf numFmtId="0" fontId="1" fillId="6569" borderId="0" xfId="4" applyFill="1" applyAlignment="1">
      <alignment horizontal="center" vertical="center"/>
    </xf>
    <xf numFmtId="0" fontId="1" fillId="6570" borderId="0" xfId="4" applyFill="1" applyAlignment="1">
      <alignment horizontal="center" vertical="center"/>
    </xf>
    <xf numFmtId="0" fontId="1" fillId="6571" borderId="0" xfId="4" applyFill="1" applyAlignment="1">
      <alignment horizontal="center" vertical="center"/>
    </xf>
    <xf numFmtId="0" fontId="1" fillId="6572" borderId="0" xfId="4" applyFill="1" applyAlignment="1">
      <alignment horizontal="center" vertical="center"/>
    </xf>
    <xf numFmtId="0" fontId="1" fillId="6573" borderId="0" xfId="4" applyFill="1" applyAlignment="1">
      <alignment horizontal="center" vertical="center"/>
    </xf>
    <xf numFmtId="0" fontId="1" fillId="6574" borderId="0" xfId="4" applyFill="1" applyAlignment="1">
      <alignment horizontal="center" vertical="center"/>
    </xf>
    <xf numFmtId="0" fontId="1" fillId="6575" borderId="0" xfId="4" applyFill="1" applyAlignment="1">
      <alignment horizontal="center" vertical="center"/>
    </xf>
    <xf numFmtId="0" fontId="1" fillId="6576" borderId="0" xfId="4" applyFill="1" applyAlignment="1">
      <alignment horizontal="center" vertical="center"/>
    </xf>
    <xf numFmtId="0" fontId="1" fillId="6577" borderId="0" xfId="4" applyFill="1" applyAlignment="1">
      <alignment horizontal="center" vertical="center"/>
    </xf>
    <xf numFmtId="0" fontId="1" fillId="6578" borderId="0" xfId="4" applyFill="1" applyAlignment="1">
      <alignment horizontal="center" vertical="center"/>
    </xf>
    <xf numFmtId="0" fontId="1" fillId="6579" borderId="0" xfId="4" applyFill="1" applyAlignment="1">
      <alignment horizontal="center" vertical="center"/>
    </xf>
    <xf numFmtId="0" fontId="1" fillId="6580" borderId="0" xfId="4" applyFill="1" applyAlignment="1">
      <alignment horizontal="center" vertical="center"/>
    </xf>
    <xf numFmtId="0" fontId="1" fillId="6581" borderId="0" xfId="4" applyFill="1" applyAlignment="1">
      <alignment horizontal="center" vertical="center"/>
    </xf>
    <xf numFmtId="0" fontId="1" fillId="6582" borderId="0" xfId="4" applyFill="1" applyAlignment="1">
      <alignment horizontal="left" vertical="center"/>
    </xf>
    <xf numFmtId="0" fontId="1" fillId="6583" borderId="0" xfId="4" applyFill="1" applyAlignment="1">
      <alignment horizontal="center" vertical="center"/>
    </xf>
    <xf numFmtId="0" fontId="1" fillId="6584" borderId="0" xfId="4" applyFill="1" applyAlignment="1">
      <alignment horizontal="center" vertical="center"/>
    </xf>
    <xf numFmtId="0" fontId="1" fillId="6585" borderId="0" xfId="4" applyFill="1" applyAlignment="1">
      <alignment horizontal="center" vertical="center"/>
    </xf>
    <xf numFmtId="0" fontId="1" fillId="6586" borderId="0" xfId="4" applyFill="1" applyAlignment="1">
      <alignment horizontal="center" vertical="center"/>
    </xf>
    <xf numFmtId="0" fontId="1" fillId="6587" borderId="0" xfId="4" applyFill="1" applyAlignment="1">
      <alignment horizontal="center" vertical="center"/>
    </xf>
    <xf numFmtId="0" fontId="1" fillId="6588" borderId="0" xfId="4" applyFill="1" applyAlignment="1">
      <alignment horizontal="center" vertical="center"/>
    </xf>
    <xf numFmtId="0" fontId="1" fillId="6589" borderId="0" xfId="4" applyFill="1" applyAlignment="1">
      <alignment horizontal="center" vertical="center"/>
    </xf>
    <xf numFmtId="0" fontId="1" fillId="6590" borderId="0" xfId="4" applyFill="1" applyAlignment="1">
      <alignment horizontal="center" vertical="center"/>
    </xf>
    <xf numFmtId="0" fontId="1" fillId="6591" borderId="0" xfId="4" applyFill="1" applyAlignment="1">
      <alignment horizontal="center" vertical="center"/>
    </xf>
    <xf numFmtId="0" fontId="1" fillId="6592" borderId="0" xfId="4" applyFill="1" applyAlignment="1">
      <alignment horizontal="center" vertical="center"/>
    </xf>
    <xf numFmtId="0" fontId="1" fillId="6593" borderId="0" xfId="4" applyFill="1" applyAlignment="1">
      <alignment horizontal="center" vertical="center"/>
    </xf>
    <xf numFmtId="0" fontId="1" fillId="6594" borderId="0" xfId="4" applyFill="1" applyAlignment="1">
      <alignment horizontal="center" vertical="center"/>
    </xf>
    <xf numFmtId="0" fontId="1" fillId="6595" borderId="0" xfId="4" applyFill="1" applyAlignment="1">
      <alignment horizontal="center" vertical="center"/>
    </xf>
    <xf numFmtId="0" fontId="1" fillId="6596" borderId="0" xfId="4" applyFill="1" applyAlignment="1">
      <alignment horizontal="center" vertical="center"/>
    </xf>
    <xf numFmtId="0" fontId="1" fillId="6597" borderId="0" xfId="4" applyFill="1" applyAlignment="1">
      <alignment horizontal="center" vertical="center"/>
    </xf>
    <xf numFmtId="0" fontId="1" fillId="6598" borderId="0" xfId="4" applyFill="1" applyAlignment="1">
      <alignment horizontal="center" vertical="center"/>
    </xf>
    <xf numFmtId="0" fontId="1" fillId="6599" borderId="0" xfId="4" applyFill="1" applyAlignment="1">
      <alignment horizontal="center" vertical="center"/>
    </xf>
    <xf numFmtId="0" fontId="1" fillId="6600" borderId="0" xfId="4" applyFill="1" applyAlignment="1">
      <alignment horizontal="center" vertical="center"/>
    </xf>
    <xf numFmtId="0" fontId="1" fillId="6601" borderId="0" xfId="4" applyFill="1" applyAlignment="1">
      <alignment horizontal="center" vertical="center"/>
    </xf>
    <xf numFmtId="0" fontId="1" fillId="6602" borderId="0" xfId="4" applyFill="1" applyAlignment="1">
      <alignment horizontal="center" vertical="center"/>
    </xf>
    <xf numFmtId="0" fontId="1" fillId="6603" borderId="0" xfId="4" applyFill="1" applyAlignment="1">
      <alignment horizontal="center" vertical="center"/>
    </xf>
    <xf numFmtId="0" fontId="1" fillId="6604" borderId="0" xfId="4" applyFill="1" applyAlignment="1">
      <alignment horizontal="center" vertical="center"/>
    </xf>
    <xf numFmtId="0" fontId="1" fillId="6605" borderId="0" xfId="4" applyFill="1" applyAlignment="1">
      <alignment horizontal="center" vertical="center"/>
    </xf>
    <xf numFmtId="0" fontId="1" fillId="6606" borderId="0" xfId="4" applyFill="1" applyAlignment="1">
      <alignment horizontal="center" vertical="center"/>
    </xf>
    <xf numFmtId="0" fontId="1" fillId="6607" borderId="0" xfId="4" applyFill="1" applyAlignment="1">
      <alignment horizontal="center" vertical="center"/>
    </xf>
    <xf numFmtId="0" fontId="1" fillId="6608" borderId="0" xfId="4" applyFill="1" applyAlignment="1">
      <alignment horizontal="center" vertical="center"/>
    </xf>
    <xf numFmtId="0" fontId="1" fillId="6609" borderId="0" xfId="4" applyFill="1" applyAlignment="1">
      <alignment horizontal="center" vertical="center"/>
    </xf>
    <xf numFmtId="0" fontId="1" fillId="6610" borderId="0" xfId="4" applyFill="1" applyAlignment="1">
      <alignment horizontal="center" vertical="center"/>
    </xf>
    <xf numFmtId="0" fontId="1" fillId="6611" borderId="0" xfId="4" applyFill="1" applyAlignment="1">
      <alignment horizontal="center" vertical="center"/>
    </xf>
    <xf numFmtId="0" fontId="1" fillId="6612" borderId="0" xfId="4" applyFill="1" applyAlignment="1">
      <alignment horizontal="left" vertical="center"/>
    </xf>
    <xf numFmtId="0" fontId="1" fillId="6613" borderId="0" xfId="4" applyFill="1" applyAlignment="1">
      <alignment horizontal="center" vertical="center"/>
    </xf>
    <xf numFmtId="0" fontId="1" fillId="6614" borderId="0" xfId="4" applyFill="1" applyAlignment="1">
      <alignment horizontal="center" vertical="center"/>
    </xf>
    <xf numFmtId="0" fontId="1" fillId="6615" borderId="0" xfId="4" applyFill="1" applyAlignment="1">
      <alignment horizontal="center" vertical="center"/>
    </xf>
    <xf numFmtId="0" fontId="1" fillId="6616" borderId="0" xfId="4" applyFill="1" applyAlignment="1">
      <alignment horizontal="center" vertical="center"/>
    </xf>
    <xf numFmtId="0" fontId="1" fillId="6617" borderId="0" xfId="4" applyFill="1" applyAlignment="1">
      <alignment horizontal="center" vertical="center"/>
    </xf>
    <xf numFmtId="0" fontId="1" fillId="6618" borderId="0" xfId="4" applyFill="1" applyAlignment="1">
      <alignment horizontal="center" vertical="center"/>
    </xf>
    <xf numFmtId="0" fontId="1" fillId="6619" borderId="0" xfId="4" applyFill="1" applyAlignment="1">
      <alignment horizontal="center" vertical="center"/>
    </xf>
    <xf numFmtId="0" fontId="1" fillId="6620" borderId="0" xfId="4" applyFill="1" applyAlignment="1">
      <alignment horizontal="center" vertical="center"/>
    </xf>
    <xf numFmtId="0" fontId="1" fillId="6621" borderId="0" xfId="4" applyFill="1" applyAlignment="1">
      <alignment horizontal="center" vertical="center"/>
    </xf>
    <xf numFmtId="0" fontId="1" fillId="6622" borderId="0" xfId="4" applyFill="1" applyAlignment="1">
      <alignment horizontal="center" vertical="center"/>
    </xf>
    <xf numFmtId="0" fontId="1" fillId="6623" borderId="0" xfId="4" applyFill="1" applyAlignment="1">
      <alignment horizontal="center" vertical="center"/>
    </xf>
    <xf numFmtId="0" fontId="1" fillId="6624" borderId="0" xfId="4" applyFill="1" applyAlignment="1">
      <alignment horizontal="center" vertical="center"/>
    </xf>
    <xf numFmtId="0" fontId="1" fillId="6625" borderId="0" xfId="4" applyFill="1" applyAlignment="1">
      <alignment horizontal="center" vertical="center"/>
    </xf>
    <xf numFmtId="0" fontId="1" fillId="6626" borderId="0" xfId="4" applyFill="1" applyAlignment="1">
      <alignment horizontal="center" vertical="center"/>
    </xf>
    <xf numFmtId="0" fontId="1" fillId="6627" borderId="0" xfId="4" applyFill="1" applyAlignment="1">
      <alignment horizontal="center" vertical="center"/>
    </xf>
    <xf numFmtId="0" fontId="1" fillId="6628" borderId="0" xfId="4" applyFill="1" applyAlignment="1">
      <alignment horizontal="center" vertical="center"/>
    </xf>
    <xf numFmtId="0" fontId="1" fillId="6629" borderId="0" xfId="4" applyFill="1" applyAlignment="1">
      <alignment horizontal="center" vertical="center"/>
    </xf>
    <xf numFmtId="0" fontId="1" fillId="6630" borderId="0" xfId="4" applyFill="1" applyAlignment="1">
      <alignment horizontal="center" vertical="center"/>
    </xf>
    <xf numFmtId="0" fontId="1" fillId="6631" borderId="0" xfId="4" applyFill="1" applyAlignment="1">
      <alignment horizontal="center" vertical="center"/>
    </xf>
    <xf numFmtId="0" fontId="1" fillId="6632" borderId="0" xfId="4" applyFill="1" applyAlignment="1">
      <alignment horizontal="center" vertical="center"/>
    </xf>
    <xf numFmtId="0" fontId="1" fillId="6633" borderId="0" xfId="4" applyFill="1" applyAlignment="1">
      <alignment horizontal="left" vertical="center"/>
    </xf>
    <xf numFmtId="0" fontId="1" fillId="6634" borderId="0" xfId="4" applyFill="1" applyAlignment="1">
      <alignment horizontal="center" vertical="center"/>
    </xf>
    <xf numFmtId="0" fontId="1" fillId="6635" borderId="0" xfId="4" applyFill="1" applyAlignment="1">
      <alignment horizontal="center" vertical="center"/>
    </xf>
    <xf numFmtId="0" fontId="1" fillId="6636" borderId="0" xfId="4" applyFill="1" applyAlignment="1">
      <alignment horizontal="left" vertical="center"/>
    </xf>
    <xf numFmtId="0" fontId="1" fillId="6637" borderId="0" xfId="4" applyFill="1" applyAlignment="1">
      <alignment horizontal="center" vertical="center"/>
    </xf>
    <xf numFmtId="0" fontId="1" fillId="6638" borderId="0" xfId="4" applyFill="1" applyAlignment="1">
      <alignment horizontal="center" vertical="center"/>
    </xf>
    <xf numFmtId="0" fontId="1" fillId="6639" borderId="0" xfId="4" applyFill="1" applyAlignment="1">
      <alignment horizontal="center" vertical="center"/>
    </xf>
    <xf numFmtId="0" fontId="1" fillId="6640" borderId="0" xfId="4" applyFill="1" applyAlignment="1">
      <alignment horizontal="center" vertical="center"/>
    </xf>
    <xf numFmtId="0" fontId="1" fillId="6641" borderId="0" xfId="4" applyFill="1" applyAlignment="1">
      <alignment horizontal="center" vertical="center"/>
    </xf>
    <xf numFmtId="0" fontId="1" fillId="6642" borderId="0" xfId="4" applyFill="1" applyAlignment="1">
      <alignment horizontal="center" vertical="center"/>
    </xf>
    <xf numFmtId="0" fontId="1" fillId="6643" borderId="0" xfId="4" applyFill="1" applyAlignment="1">
      <alignment horizontal="center" vertical="center"/>
    </xf>
    <xf numFmtId="0" fontId="1" fillId="6644" borderId="0" xfId="4" applyFill="1" applyAlignment="1">
      <alignment horizontal="center" vertical="center"/>
    </xf>
    <xf numFmtId="0" fontId="1" fillId="6645" borderId="0" xfId="4" applyFill="1" applyAlignment="1">
      <alignment horizontal="center" vertical="center"/>
    </xf>
    <xf numFmtId="0" fontId="1" fillId="6646" borderId="0" xfId="4" applyFill="1" applyAlignment="1">
      <alignment horizontal="center" vertical="center"/>
    </xf>
    <xf numFmtId="0" fontId="1" fillId="6647" borderId="0" xfId="4" applyFill="1" applyAlignment="1">
      <alignment horizontal="center" vertical="center"/>
    </xf>
    <xf numFmtId="0" fontId="1" fillId="6648" borderId="0" xfId="4" applyFill="1" applyAlignment="1">
      <alignment horizontal="center" vertical="center"/>
    </xf>
    <xf numFmtId="0" fontId="1" fillId="6649" borderId="0" xfId="4" applyFill="1" applyAlignment="1">
      <alignment horizontal="center" vertical="center"/>
    </xf>
    <xf numFmtId="0" fontId="1" fillId="6650" borderId="0" xfId="4" applyFill="1" applyAlignment="1">
      <alignment horizontal="center" vertical="center"/>
    </xf>
    <xf numFmtId="0" fontId="1" fillId="6651" borderId="0" xfId="4" applyFill="1" applyAlignment="1">
      <alignment horizontal="center" vertical="center"/>
    </xf>
    <xf numFmtId="0" fontId="1" fillId="6652" borderId="0" xfId="4" applyFill="1" applyAlignment="1">
      <alignment horizontal="center" vertical="center"/>
    </xf>
    <xf numFmtId="0" fontId="1" fillId="6653" borderId="0" xfId="4" applyFill="1" applyAlignment="1">
      <alignment horizontal="center" vertical="center"/>
    </xf>
    <xf numFmtId="0" fontId="1" fillId="6654" borderId="0" xfId="4" applyFill="1" applyAlignment="1">
      <alignment horizontal="center" vertical="center"/>
    </xf>
    <xf numFmtId="0" fontId="1" fillId="6655" borderId="0" xfId="4" applyFill="1" applyAlignment="1">
      <alignment horizontal="center" vertical="center"/>
    </xf>
    <xf numFmtId="0" fontId="1" fillId="6656" borderId="0" xfId="4" applyFill="1" applyAlignment="1">
      <alignment horizontal="center" vertical="center"/>
    </xf>
    <xf numFmtId="0" fontId="1" fillId="6657" borderId="0" xfId="4" applyFill="1" applyAlignment="1">
      <alignment horizontal="center" vertical="center"/>
    </xf>
    <xf numFmtId="0" fontId="1" fillId="6658" borderId="0" xfId="4" applyFill="1" applyAlignment="1">
      <alignment horizontal="center" vertical="center"/>
    </xf>
    <xf numFmtId="0" fontId="1" fillId="6659" borderId="0" xfId="4" applyFill="1" applyAlignment="1">
      <alignment horizontal="center" vertical="center"/>
    </xf>
    <xf numFmtId="0" fontId="1" fillId="6660" borderId="0" xfId="4" applyFill="1" applyAlignment="1">
      <alignment horizontal="center" vertical="center"/>
    </xf>
    <xf numFmtId="0" fontId="1" fillId="6661" borderId="0" xfId="4" applyFill="1" applyAlignment="1">
      <alignment horizontal="center" vertical="center"/>
    </xf>
    <xf numFmtId="0" fontId="1" fillId="6662" borderId="0" xfId="4" applyFill="1" applyAlignment="1">
      <alignment horizontal="center" vertical="center"/>
    </xf>
    <xf numFmtId="0" fontId="1" fillId="6663" borderId="0" xfId="4" applyFill="1" applyAlignment="1">
      <alignment horizontal="center" vertical="center"/>
    </xf>
    <xf numFmtId="0" fontId="1" fillId="6664" borderId="0" xfId="4" applyFill="1" applyAlignment="1">
      <alignment horizontal="center" vertical="center"/>
    </xf>
    <xf numFmtId="0" fontId="1" fillId="6665" borderId="0" xfId="4" applyFill="1" applyAlignment="1">
      <alignment horizontal="center" vertical="center"/>
    </xf>
    <xf numFmtId="0" fontId="1" fillId="6666" borderId="0" xfId="4" applyFill="1" applyAlignment="1">
      <alignment horizontal="center" vertical="center"/>
    </xf>
    <xf numFmtId="0" fontId="1" fillId="6667" borderId="0" xfId="4" applyFill="1" applyAlignment="1">
      <alignment horizontal="center" vertical="center"/>
    </xf>
    <xf numFmtId="0" fontId="1" fillId="6668" borderId="0" xfId="4" applyFill="1" applyAlignment="1">
      <alignment horizontal="center" vertical="center"/>
    </xf>
    <xf numFmtId="0" fontId="1" fillId="6669" borderId="0" xfId="4" applyFill="1" applyAlignment="1">
      <alignment horizontal="center" vertical="center"/>
    </xf>
    <xf numFmtId="0" fontId="1" fillId="6670" borderId="0" xfId="4" applyFill="1" applyAlignment="1">
      <alignment horizontal="center" vertical="center"/>
    </xf>
    <xf numFmtId="0" fontId="1" fillId="6671" borderId="0" xfId="4" applyFill="1" applyAlignment="1">
      <alignment horizontal="center" vertical="center"/>
    </xf>
    <xf numFmtId="0" fontId="1" fillId="6672" borderId="0" xfId="4" applyFill="1" applyAlignment="1">
      <alignment horizontal="left" vertical="center"/>
    </xf>
    <xf numFmtId="0" fontId="1" fillId="6673" borderId="0" xfId="4" applyFill="1" applyAlignment="1">
      <alignment horizontal="center" vertical="center"/>
    </xf>
    <xf numFmtId="0" fontId="1" fillId="6674" borderId="0" xfId="4" applyFill="1" applyAlignment="1">
      <alignment horizontal="center" vertical="center"/>
    </xf>
    <xf numFmtId="0" fontId="1" fillId="6675" borderId="0" xfId="4" applyFill="1" applyAlignment="1">
      <alignment horizontal="center" vertical="center"/>
    </xf>
    <xf numFmtId="0" fontId="1" fillId="6676" borderId="0" xfId="4" applyFill="1" applyAlignment="1">
      <alignment horizontal="center" vertical="center"/>
    </xf>
    <xf numFmtId="0" fontId="1" fillId="6677" borderId="0" xfId="4" applyFill="1" applyAlignment="1">
      <alignment horizontal="center" vertical="center"/>
    </xf>
    <xf numFmtId="0" fontId="1" fillId="6678" borderId="0" xfId="4" applyFill="1" applyAlignment="1">
      <alignment horizontal="center" vertical="center"/>
    </xf>
    <xf numFmtId="0" fontId="1" fillId="6679" borderId="0" xfId="4" applyFill="1" applyAlignment="1">
      <alignment horizontal="center" vertical="center"/>
    </xf>
    <xf numFmtId="0" fontId="1" fillId="6680" borderId="0" xfId="4" applyFill="1" applyAlignment="1">
      <alignment horizontal="center" vertical="center"/>
    </xf>
    <xf numFmtId="0" fontId="1" fillId="6681" borderId="0" xfId="4" applyFill="1" applyAlignment="1">
      <alignment horizontal="center" vertical="center"/>
    </xf>
    <xf numFmtId="0" fontId="1" fillId="6682" borderId="0" xfId="4" applyFill="1" applyAlignment="1">
      <alignment horizontal="center" vertical="center"/>
    </xf>
    <xf numFmtId="0" fontId="1" fillId="6683" borderId="0" xfId="4" applyFill="1" applyAlignment="1">
      <alignment horizontal="center" vertical="center"/>
    </xf>
    <xf numFmtId="0" fontId="1" fillId="6684" borderId="0" xfId="4" applyFill="1" applyAlignment="1">
      <alignment horizontal="center" vertical="center"/>
    </xf>
    <xf numFmtId="0" fontId="1" fillId="6685" borderId="0" xfId="4" applyFill="1" applyAlignment="1">
      <alignment horizontal="center" vertical="center"/>
    </xf>
    <xf numFmtId="0" fontId="1" fillId="6686" borderId="0" xfId="4" applyFill="1" applyAlignment="1">
      <alignment horizontal="center" vertical="center"/>
    </xf>
    <xf numFmtId="0" fontId="1" fillId="6687" borderId="0" xfId="4" applyFill="1" applyAlignment="1">
      <alignment horizontal="center" vertical="center"/>
    </xf>
    <xf numFmtId="0" fontId="1" fillId="6688" borderId="0" xfId="4" applyFill="1" applyAlignment="1">
      <alignment horizontal="center" vertical="center"/>
    </xf>
    <xf numFmtId="0" fontId="1" fillId="6689" borderId="0" xfId="4" applyFill="1" applyAlignment="1">
      <alignment horizontal="center" vertical="center"/>
    </xf>
    <xf numFmtId="0" fontId="1" fillId="6690" borderId="0" xfId="4" applyFill="1" applyAlignment="1">
      <alignment horizontal="center" vertical="center"/>
    </xf>
    <xf numFmtId="0" fontId="1" fillId="6691" borderId="0" xfId="4" applyFill="1" applyAlignment="1">
      <alignment horizontal="center" vertical="center"/>
    </xf>
    <xf numFmtId="0" fontId="1" fillId="6692" borderId="0" xfId="4" applyFill="1" applyAlignment="1">
      <alignment horizontal="center" vertical="center"/>
    </xf>
    <xf numFmtId="0" fontId="1" fillId="6693" borderId="0" xfId="4" applyFill="1" applyAlignment="1">
      <alignment horizontal="center" vertical="center"/>
    </xf>
    <xf numFmtId="0" fontId="1" fillId="6694" borderId="0" xfId="4" applyFill="1" applyAlignment="1">
      <alignment horizontal="center" vertical="center"/>
    </xf>
    <xf numFmtId="0" fontId="1" fillId="6695" borderId="0" xfId="4" applyFill="1" applyAlignment="1">
      <alignment horizontal="center" vertical="center"/>
    </xf>
    <xf numFmtId="0" fontId="1" fillId="6696" borderId="0" xfId="4" applyFill="1" applyAlignment="1">
      <alignment horizontal="center" vertical="center"/>
    </xf>
    <xf numFmtId="0" fontId="1" fillId="6697" borderId="0" xfId="4" applyFill="1" applyAlignment="1">
      <alignment horizontal="center" vertical="center"/>
    </xf>
    <xf numFmtId="0" fontId="1" fillId="6698" borderId="0" xfId="4" applyFill="1" applyAlignment="1">
      <alignment horizontal="center" vertical="center"/>
    </xf>
    <xf numFmtId="0" fontId="1" fillId="6699" borderId="0" xfId="4" applyFill="1" applyAlignment="1">
      <alignment horizontal="center" vertical="center"/>
    </xf>
    <xf numFmtId="0" fontId="1" fillId="6700" borderId="0" xfId="4" applyFill="1" applyAlignment="1">
      <alignment horizontal="center" vertical="center"/>
    </xf>
    <xf numFmtId="0" fontId="1" fillId="6701" borderId="0" xfId="4" applyFill="1" applyAlignment="1">
      <alignment horizontal="left" vertical="center"/>
    </xf>
    <xf numFmtId="0" fontId="1" fillId="6702" borderId="0" xfId="4" applyFill="1" applyAlignment="1">
      <alignment horizontal="center" vertical="center"/>
    </xf>
    <xf numFmtId="0" fontId="1" fillId="6703" borderId="0" xfId="4" applyFill="1" applyAlignment="1">
      <alignment horizontal="center" vertical="center"/>
    </xf>
    <xf numFmtId="0" fontId="1" fillId="6704" borderId="0" xfId="4" applyFill="1" applyAlignment="1">
      <alignment horizontal="center" vertical="center"/>
    </xf>
    <xf numFmtId="0" fontId="1" fillId="6705" borderId="0" xfId="4" applyFill="1" applyAlignment="1">
      <alignment horizontal="center" vertical="center"/>
    </xf>
    <xf numFmtId="0" fontId="1" fillId="6706" borderId="0" xfId="4" applyFill="1" applyAlignment="1">
      <alignment horizontal="center" vertical="center"/>
    </xf>
    <xf numFmtId="0" fontId="1" fillId="6707" borderId="0" xfId="4" applyFill="1" applyAlignment="1">
      <alignment horizontal="center" vertical="center"/>
    </xf>
    <xf numFmtId="0" fontId="1" fillId="6708" borderId="0" xfId="4" applyFill="1" applyAlignment="1">
      <alignment horizontal="center" vertical="center"/>
    </xf>
    <xf numFmtId="0" fontId="1" fillId="6709" borderId="0" xfId="4" applyFill="1" applyAlignment="1">
      <alignment horizontal="center" vertical="center"/>
    </xf>
    <xf numFmtId="0" fontId="1" fillId="6710" borderId="0" xfId="4" applyFill="1" applyAlignment="1">
      <alignment horizontal="center" vertical="center"/>
    </xf>
    <xf numFmtId="0" fontId="1" fillId="6711" borderId="0" xfId="4" applyFill="1" applyAlignment="1">
      <alignment horizontal="center" vertical="center"/>
    </xf>
    <xf numFmtId="0" fontId="1" fillId="6712" borderId="0" xfId="4" applyFill="1" applyAlignment="1">
      <alignment horizontal="center" vertical="center"/>
    </xf>
    <xf numFmtId="0" fontId="1" fillId="6713" borderId="0" xfId="4" applyFill="1" applyAlignment="1">
      <alignment horizontal="center" vertical="center"/>
    </xf>
    <xf numFmtId="0" fontId="1" fillId="6714" borderId="0" xfId="4" applyFill="1" applyAlignment="1">
      <alignment horizontal="center" vertical="center"/>
    </xf>
    <xf numFmtId="0" fontId="1" fillId="6715" borderId="0" xfId="4" applyFill="1" applyAlignment="1">
      <alignment horizontal="center" vertical="center"/>
    </xf>
    <xf numFmtId="0" fontId="1" fillId="6716" borderId="0" xfId="4" applyFill="1" applyAlignment="1">
      <alignment horizontal="center" vertical="center"/>
    </xf>
    <xf numFmtId="0" fontId="1" fillId="6717" borderId="0" xfId="4" applyFill="1" applyAlignment="1">
      <alignment horizontal="center" vertical="center"/>
    </xf>
    <xf numFmtId="0" fontId="1" fillId="6718" borderId="0" xfId="4" applyFill="1" applyAlignment="1">
      <alignment horizontal="center" vertical="center"/>
    </xf>
    <xf numFmtId="0" fontId="1" fillId="6719" borderId="0" xfId="4" applyFill="1" applyAlignment="1">
      <alignment horizontal="center" vertical="center"/>
    </xf>
    <xf numFmtId="0" fontId="1" fillId="6720" borderId="0" xfId="4" applyFill="1" applyAlignment="1">
      <alignment horizontal="center" vertical="center"/>
    </xf>
    <xf numFmtId="0" fontId="1" fillId="6721" borderId="0" xfId="4" applyFill="1" applyAlignment="1">
      <alignment horizontal="center" vertical="center"/>
    </xf>
    <xf numFmtId="0" fontId="1" fillId="6722" borderId="0" xfId="4" applyFill="1" applyAlignment="1">
      <alignment horizontal="left" vertical="center"/>
    </xf>
    <xf numFmtId="0" fontId="1" fillId="6723" borderId="0" xfId="4" applyFill="1" applyAlignment="1">
      <alignment horizontal="center" vertical="center"/>
    </xf>
    <xf numFmtId="0" fontId="1" fillId="6724" borderId="0" xfId="4" applyFill="1" applyAlignment="1">
      <alignment horizontal="center" vertical="center"/>
    </xf>
    <xf numFmtId="0" fontId="1" fillId="6725" borderId="0" xfId="4" applyFill="1" applyAlignment="1">
      <alignment horizontal="left" vertical="center"/>
    </xf>
    <xf numFmtId="0" fontId="1" fillId="6726" borderId="0" xfId="4" applyFill="1" applyAlignment="1">
      <alignment horizontal="center" vertical="center"/>
    </xf>
    <xf numFmtId="0" fontId="1" fillId="6727" borderId="0" xfId="4" applyFill="1" applyAlignment="1">
      <alignment horizontal="center" vertical="center"/>
    </xf>
    <xf numFmtId="0" fontId="1" fillId="6728" borderId="0" xfId="4" applyFill="1" applyAlignment="1">
      <alignment horizontal="center" vertical="center"/>
    </xf>
    <xf numFmtId="0" fontId="1" fillId="6729" borderId="0" xfId="4" applyFill="1" applyAlignment="1">
      <alignment horizontal="center" vertical="center"/>
    </xf>
    <xf numFmtId="0" fontId="1" fillId="6730" borderId="0" xfId="4" applyFill="1" applyAlignment="1">
      <alignment horizontal="center" vertical="center"/>
    </xf>
    <xf numFmtId="0" fontId="1" fillId="6731" borderId="0" xfId="4" applyFill="1" applyAlignment="1">
      <alignment horizontal="center" vertical="center"/>
    </xf>
    <xf numFmtId="0" fontId="1" fillId="6732" borderId="0" xfId="4" applyFill="1" applyAlignment="1">
      <alignment horizontal="center" vertical="center"/>
    </xf>
    <xf numFmtId="0" fontId="1" fillId="6733" borderId="0" xfId="4" applyFill="1" applyAlignment="1">
      <alignment horizontal="center" vertical="center"/>
    </xf>
    <xf numFmtId="0" fontId="1" fillId="6734" borderId="0" xfId="4" applyFill="1" applyAlignment="1">
      <alignment horizontal="center" vertical="center"/>
    </xf>
    <xf numFmtId="0" fontId="1" fillId="6735" borderId="0" xfId="4" applyFill="1" applyAlignment="1">
      <alignment horizontal="center" vertical="center"/>
    </xf>
    <xf numFmtId="0" fontId="1" fillId="6736" borderId="0" xfId="4" applyFill="1" applyAlignment="1">
      <alignment horizontal="center" vertical="center"/>
    </xf>
    <xf numFmtId="0" fontId="1" fillId="6737" borderId="0" xfId="4" applyFill="1" applyAlignment="1">
      <alignment horizontal="center" vertical="center"/>
    </xf>
    <xf numFmtId="0" fontId="1" fillId="6738" borderId="0" xfId="4" applyFill="1" applyAlignment="1">
      <alignment horizontal="center" vertical="center"/>
    </xf>
    <xf numFmtId="0" fontId="1" fillId="6739" borderId="0" xfId="4" applyFill="1" applyAlignment="1">
      <alignment horizontal="center" vertical="center"/>
    </xf>
    <xf numFmtId="0" fontId="1" fillId="6740" borderId="0" xfId="4" applyFill="1" applyAlignment="1">
      <alignment horizontal="center" vertical="center"/>
    </xf>
    <xf numFmtId="0" fontId="1" fillId="6741" borderId="0" xfId="4" applyFill="1" applyAlignment="1">
      <alignment horizontal="center" vertical="center"/>
    </xf>
    <xf numFmtId="0" fontId="1" fillId="6742" borderId="0" xfId="4" applyFill="1" applyAlignment="1">
      <alignment horizontal="center" vertical="center"/>
    </xf>
    <xf numFmtId="0" fontId="1" fillId="6743" borderId="0" xfId="4" applyFill="1" applyAlignment="1">
      <alignment horizontal="center" vertical="center"/>
    </xf>
    <xf numFmtId="0" fontId="1" fillId="6744" borderId="0" xfId="4" applyFill="1" applyAlignment="1">
      <alignment horizontal="center" vertical="center"/>
    </xf>
    <xf numFmtId="0" fontId="1" fillId="6745" borderId="0" xfId="4" applyFill="1" applyAlignment="1">
      <alignment horizontal="center" vertical="center"/>
    </xf>
    <xf numFmtId="0" fontId="1" fillId="6746" borderId="0" xfId="4" applyFill="1" applyAlignment="1">
      <alignment horizontal="center" vertical="center"/>
    </xf>
    <xf numFmtId="0" fontId="1" fillId="6747" borderId="0" xfId="4" applyFill="1" applyAlignment="1">
      <alignment horizontal="center" vertical="center"/>
    </xf>
    <xf numFmtId="0" fontId="1" fillId="6748" borderId="0" xfId="4" applyFill="1" applyAlignment="1">
      <alignment horizontal="center" vertical="center"/>
    </xf>
    <xf numFmtId="0" fontId="1" fillId="6749" borderId="0" xfId="4" applyFill="1" applyAlignment="1">
      <alignment horizontal="center" vertical="center"/>
    </xf>
    <xf numFmtId="0" fontId="1" fillId="6750" borderId="0" xfId="4" applyFill="1" applyAlignment="1">
      <alignment horizontal="center" vertical="center"/>
    </xf>
    <xf numFmtId="0" fontId="1" fillId="6751" borderId="0" xfId="4" applyFill="1" applyAlignment="1">
      <alignment horizontal="center" vertical="center"/>
    </xf>
    <xf numFmtId="0" fontId="1" fillId="6752" borderId="0" xfId="4" applyFill="1" applyAlignment="1">
      <alignment horizontal="center" vertical="center"/>
    </xf>
    <xf numFmtId="0" fontId="1" fillId="6753" borderId="0" xfId="4" applyFill="1" applyAlignment="1">
      <alignment horizontal="center" vertical="center"/>
    </xf>
    <xf numFmtId="0" fontId="1" fillId="6754" borderId="0" xfId="4" applyFill="1" applyAlignment="1">
      <alignment horizontal="center" vertical="center"/>
    </xf>
    <xf numFmtId="0" fontId="1" fillId="6755" borderId="0" xfId="4" applyFill="1" applyAlignment="1">
      <alignment horizontal="center" vertical="center"/>
    </xf>
    <xf numFmtId="0" fontId="1" fillId="6756" borderId="0" xfId="4" applyFill="1" applyAlignment="1">
      <alignment horizontal="center" vertical="center"/>
    </xf>
    <xf numFmtId="0" fontId="1" fillId="6757" borderId="0" xfId="4" applyFill="1" applyAlignment="1">
      <alignment horizontal="center" vertical="center"/>
    </xf>
    <xf numFmtId="0" fontId="1" fillId="6758" borderId="0" xfId="4" applyFill="1" applyAlignment="1">
      <alignment horizontal="center" vertical="center"/>
    </xf>
    <xf numFmtId="0" fontId="1" fillId="6759" borderId="0" xfId="4" applyFill="1" applyAlignment="1">
      <alignment horizontal="center" vertical="center"/>
    </xf>
    <xf numFmtId="0" fontId="1" fillId="6760" borderId="0" xfId="4" applyFill="1" applyAlignment="1">
      <alignment horizontal="center" vertical="center"/>
    </xf>
    <xf numFmtId="0" fontId="1" fillId="6761" borderId="0" xfId="4" applyFill="1" applyAlignment="1">
      <alignment horizontal="center" vertical="center"/>
    </xf>
    <xf numFmtId="0" fontId="1" fillId="6762" borderId="0" xfId="4" applyFill="1" applyAlignment="1">
      <alignment horizontal="center" vertical="center"/>
    </xf>
    <xf numFmtId="0" fontId="1" fillId="6763" borderId="0" xfId="4" applyFill="1" applyAlignment="1">
      <alignment horizontal="center" vertical="center"/>
    </xf>
    <xf numFmtId="0" fontId="1" fillId="6764" borderId="0" xfId="4" applyFill="1" applyAlignment="1">
      <alignment horizontal="center" vertical="center"/>
    </xf>
    <xf numFmtId="0" fontId="1" fillId="6765" borderId="0" xfId="4" applyFill="1" applyAlignment="1">
      <alignment horizontal="center" vertical="center"/>
    </xf>
    <xf numFmtId="0" fontId="1" fillId="6766" borderId="0" xfId="4" applyFill="1" applyAlignment="1">
      <alignment horizontal="center" vertical="center"/>
    </xf>
    <xf numFmtId="0" fontId="1" fillId="6767" borderId="0" xfId="4" applyFill="1" applyAlignment="1">
      <alignment horizontal="center" vertical="center"/>
    </xf>
    <xf numFmtId="0" fontId="1" fillId="6768" borderId="0" xfId="4" applyFill="1" applyAlignment="1">
      <alignment horizontal="center" vertical="center"/>
    </xf>
    <xf numFmtId="0" fontId="1" fillId="6769" borderId="0" xfId="4" applyFill="1" applyAlignment="1">
      <alignment horizontal="center" vertical="center"/>
    </xf>
    <xf numFmtId="0" fontId="1" fillId="6770" borderId="0" xfId="4" applyFill="1" applyAlignment="1">
      <alignment horizontal="center" vertical="center"/>
    </xf>
    <xf numFmtId="0" fontId="1" fillId="6771" borderId="0" xfId="4" applyFill="1" applyAlignment="1">
      <alignment horizontal="center" vertical="center"/>
    </xf>
    <xf numFmtId="0" fontId="1" fillId="6772" borderId="0" xfId="4" applyFill="1" applyAlignment="1">
      <alignment horizontal="center" vertical="center"/>
    </xf>
    <xf numFmtId="0" fontId="1" fillId="6773" borderId="0" xfId="4" applyFill="1" applyAlignment="1">
      <alignment horizontal="center" vertical="center"/>
    </xf>
    <xf numFmtId="0" fontId="1" fillId="6774" borderId="0" xfId="4" applyFill="1" applyAlignment="1">
      <alignment horizontal="center" vertical="center"/>
    </xf>
    <xf numFmtId="0" fontId="1" fillId="6775" borderId="0" xfId="4" applyFill="1" applyAlignment="1">
      <alignment horizontal="center" vertical="center"/>
    </xf>
    <xf numFmtId="0" fontId="1" fillId="6776" borderId="0" xfId="4" applyFill="1" applyAlignment="1">
      <alignment horizontal="center" vertical="center"/>
    </xf>
    <xf numFmtId="0" fontId="1" fillId="6777" borderId="0" xfId="4" applyFill="1" applyAlignment="1">
      <alignment horizontal="center" vertical="center"/>
    </xf>
    <xf numFmtId="0" fontId="1" fillId="6778" borderId="0" xfId="4" applyFill="1" applyAlignment="1">
      <alignment horizontal="center" vertical="center"/>
    </xf>
    <xf numFmtId="0" fontId="1" fillId="6779" borderId="0" xfId="4" applyFill="1" applyAlignment="1">
      <alignment horizontal="center" vertical="center"/>
    </xf>
    <xf numFmtId="0" fontId="1" fillId="6780" borderId="0" xfId="4" applyFill="1" applyAlignment="1">
      <alignment horizontal="center" vertical="center"/>
    </xf>
    <xf numFmtId="0" fontId="1" fillId="6781" borderId="0" xfId="4" applyFill="1" applyAlignment="1">
      <alignment horizontal="center" vertical="center"/>
    </xf>
    <xf numFmtId="0" fontId="1" fillId="6782" borderId="0" xfId="4" applyFill="1" applyAlignment="1">
      <alignment horizontal="center" vertical="center"/>
    </xf>
    <xf numFmtId="0" fontId="1" fillId="6783" borderId="0" xfId="4" applyFill="1" applyAlignment="1">
      <alignment horizontal="center" vertical="center"/>
    </xf>
    <xf numFmtId="0" fontId="1" fillId="6784" borderId="0" xfId="4" applyFill="1" applyAlignment="1">
      <alignment horizontal="center" vertical="center"/>
    </xf>
    <xf numFmtId="0" fontId="1" fillId="6785" borderId="0" xfId="4" applyFill="1" applyAlignment="1">
      <alignment horizontal="center" vertical="center"/>
    </xf>
    <xf numFmtId="0" fontId="1" fillId="6786" borderId="0" xfId="4" applyFill="1" applyAlignment="1">
      <alignment horizontal="center" vertical="center"/>
    </xf>
    <xf numFmtId="0" fontId="1" fillId="6787" borderId="0" xfId="4" applyFill="1" applyAlignment="1">
      <alignment horizontal="center" vertical="center"/>
    </xf>
    <xf numFmtId="0" fontId="1" fillId="6788" borderId="0" xfId="4" applyFill="1" applyAlignment="1">
      <alignment horizontal="center" vertical="center"/>
    </xf>
    <xf numFmtId="0" fontId="1" fillId="6789" borderId="0" xfId="4" applyFill="1" applyAlignment="1">
      <alignment horizontal="center" vertical="center"/>
    </xf>
    <xf numFmtId="0" fontId="1" fillId="6790" borderId="0" xfId="4" applyFill="1" applyAlignment="1">
      <alignment horizontal="center" vertical="center"/>
    </xf>
    <xf numFmtId="0" fontId="1" fillId="6791" borderId="0" xfId="4" applyFill="1" applyAlignment="1">
      <alignment horizontal="left" vertical="center"/>
    </xf>
    <xf numFmtId="0" fontId="1" fillId="6792" borderId="0" xfId="4" applyFill="1" applyAlignment="1">
      <alignment horizontal="center" vertical="center"/>
    </xf>
    <xf numFmtId="0" fontId="1" fillId="6793" borderId="0" xfId="4" applyFill="1" applyAlignment="1">
      <alignment horizontal="center" vertical="center"/>
    </xf>
    <xf numFmtId="0" fontId="1" fillId="6794" borderId="0" xfId="4" applyFill="1" applyAlignment="1">
      <alignment horizontal="center" vertical="center"/>
    </xf>
    <xf numFmtId="0" fontId="1" fillId="6795" borderId="0" xfId="4" applyFill="1" applyAlignment="1">
      <alignment horizontal="center" vertical="center"/>
    </xf>
    <xf numFmtId="0" fontId="1" fillId="6796" borderId="0" xfId="4" applyFill="1" applyAlignment="1">
      <alignment horizontal="center" vertical="center"/>
    </xf>
    <xf numFmtId="0" fontId="1" fillId="6797" borderId="0" xfId="4" applyFill="1" applyAlignment="1">
      <alignment horizontal="center" vertical="center"/>
    </xf>
    <xf numFmtId="0" fontId="1" fillId="6798" borderId="0" xfId="4" applyFill="1" applyAlignment="1">
      <alignment horizontal="center" vertical="center"/>
    </xf>
    <xf numFmtId="0" fontId="1" fillId="6799" borderId="0" xfId="4" applyFill="1" applyAlignment="1">
      <alignment horizontal="center" vertical="center"/>
    </xf>
    <xf numFmtId="0" fontId="1" fillId="6800" borderId="0" xfId="4" applyFill="1" applyAlignment="1">
      <alignment horizontal="center" vertical="center"/>
    </xf>
    <xf numFmtId="0" fontId="1" fillId="6801" borderId="0" xfId="4" applyFill="1" applyAlignment="1">
      <alignment horizontal="center" vertical="center"/>
    </xf>
    <xf numFmtId="0" fontId="1" fillId="6802" borderId="0" xfId="4" applyFill="1" applyAlignment="1">
      <alignment horizontal="center" vertical="center"/>
    </xf>
    <xf numFmtId="0" fontId="1" fillId="6803" borderId="0" xfId="4" applyFill="1" applyAlignment="1">
      <alignment horizontal="center" vertical="center"/>
    </xf>
    <xf numFmtId="0" fontId="1" fillId="6804" borderId="0" xfId="4" applyFill="1" applyAlignment="1">
      <alignment horizontal="center" vertical="center"/>
    </xf>
    <xf numFmtId="0" fontId="1" fillId="6805" borderId="0" xfId="4" applyFill="1" applyAlignment="1">
      <alignment horizontal="center" vertical="center"/>
    </xf>
    <xf numFmtId="0" fontId="1" fillId="6806" borderId="0" xfId="4" applyFill="1" applyAlignment="1">
      <alignment horizontal="center" vertical="center"/>
    </xf>
    <xf numFmtId="0" fontId="1" fillId="6807" borderId="0" xfId="4" applyFill="1" applyAlignment="1">
      <alignment horizontal="center" vertical="center"/>
    </xf>
    <xf numFmtId="0" fontId="1" fillId="6808" borderId="0" xfId="4" applyFill="1" applyAlignment="1">
      <alignment horizontal="center" vertical="center"/>
    </xf>
    <xf numFmtId="0" fontId="1" fillId="6809" borderId="0" xfId="4" applyFill="1" applyAlignment="1">
      <alignment horizontal="center" vertical="center"/>
    </xf>
    <xf numFmtId="0" fontId="1" fillId="6810" borderId="0" xfId="4" applyFill="1" applyAlignment="1">
      <alignment horizontal="center" vertical="center"/>
    </xf>
    <xf numFmtId="0" fontId="1" fillId="6811" borderId="0" xfId="4" applyFill="1" applyAlignment="1">
      <alignment horizontal="center" vertical="center"/>
    </xf>
    <xf numFmtId="0" fontId="1" fillId="6812" borderId="0" xfId="4" applyFill="1" applyAlignment="1">
      <alignment horizontal="left" vertical="center"/>
    </xf>
    <xf numFmtId="0" fontId="1" fillId="6813" borderId="0" xfId="4" applyFill="1" applyAlignment="1">
      <alignment horizontal="center" vertical="center"/>
    </xf>
    <xf numFmtId="0" fontId="1" fillId="6814" borderId="0" xfId="4" applyFill="1" applyAlignment="1">
      <alignment horizontal="center" vertical="center"/>
    </xf>
    <xf numFmtId="0" fontId="1" fillId="6815" borderId="0" xfId="4" applyFill="1" applyAlignment="1">
      <alignment horizontal="left" vertical="center"/>
    </xf>
    <xf numFmtId="0" fontId="1" fillId="6816" borderId="0" xfId="4" applyFill="1" applyAlignment="1">
      <alignment horizontal="center" vertical="center"/>
    </xf>
    <xf numFmtId="0" fontId="1" fillId="6817" borderId="0" xfId="4" applyFill="1" applyAlignment="1">
      <alignment horizontal="center" vertical="center"/>
    </xf>
    <xf numFmtId="0" fontId="1" fillId="6818" borderId="0" xfId="4" applyFill="1" applyAlignment="1">
      <alignment horizontal="center" vertical="center"/>
    </xf>
    <xf numFmtId="0" fontId="1" fillId="6819" borderId="0" xfId="4" applyFill="1" applyAlignment="1">
      <alignment horizontal="center" vertical="center"/>
    </xf>
    <xf numFmtId="0" fontId="1" fillId="6820" borderId="0" xfId="4" applyFill="1" applyAlignment="1">
      <alignment horizontal="center" vertical="center"/>
    </xf>
    <xf numFmtId="0" fontId="1" fillId="6821" borderId="0" xfId="4" applyFill="1" applyAlignment="1">
      <alignment horizontal="center" vertical="center"/>
    </xf>
    <xf numFmtId="0" fontId="1" fillId="6822" borderId="0" xfId="4" applyFill="1" applyAlignment="1">
      <alignment horizontal="center" vertical="center"/>
    </xf>
    <xf numFmtId="0" fontId="1" fillId="6823" borderId="0" xfId="4" applyFill="1" applyAlignment="1">
      <alignment horizontal="center" vertical="center"/>
    </xf>
    <xf numFmtId="0" fontId="1" fillId="6824" borderId="0" xfId="4" applyFill="1" applyAlignment="1">
      <alignment horizontal="center" vertical="center"/>
    </xf>
    <xf numFmtId="0" fontId="1" fillId="6825" borderId="0" xfId="4" applyFill="1" applyAlignment="1">
      <alignment horizontal="center" vertical="center"/>
    </xf>
    <xf numFmtId="0" fontId="1" fillId="6826" borderId="0" xfId="4" applyFill="1" applyAlignment="1">
      <alignment horizontal="center" vertical="center"/>
    </xf>
    <xf numFmtId="0" fontId="1" fillId="6827" borderId="0" xfId="4" applyFill="1" applyAlignment="1">
      <alignment horizontal="center" vertical="center"/>
    </xf>
    <xf numFmtId="0" fontId="1" fillId="6828" borderId="0" xfId="4" applyFill="1" applyAlignment="1">
      <alignment horizontal="center" vertical="center"/>
    </xf>
    <xf numFmtId="0" fontId="1" fillId="6829" borderId="0" xfId="4" applyFill="1" applyAlignment="1">
      <alignment horizontal="center" vertical="center"/>
    </xf>
    <xf numFmtId="0" fontId="1" fillId="6830" borderId="0" xfId="4" applyFill="1" applyAlignment="1">
      <alignment horizontal="center" vertical="center"/>
    </xf>
    <xf numFmtId="0" fontId="1" fillId="6831" borderId="0" xfId="4" applyFill="1" applyAlignment="1">
      <alignment horizontal="center" vertical="center"/>
    </xf>
    <xf numFmtId="0" fontId="1" fillId="6832" borderId="0" xfId="4" applyFill="1" applyAlignment="1">
      <alignment horizontal="center" vertical="center"/>
    </xf>
    <xf numFmtId="0" fontId="1" fillId="6833" borderId="0" xfId="4" applyFill="1" applyAlignment="1">
      <alignment horizontal="center" vertical="center"/>
    </xf>
    <xf numFmtId="0" fontId="1" fillId="6834" borderId="0" xfId="4" applyFill="1" applyAlignment="1">
      <alignment horizontal="center" vertical="center"/>
    </xf>
    <xf numFmtId="0" fontId="1" fillId="6835" borderId="0" xfId="4" applyFill="1" applyAlignment="1">
      <alignment horizontal="center" vertical="center"/>
    </xf>
    <xf numFmtId="0" fontId="1" fillId="6836" borderId="0" xfId="4" applyFill="1" applyAlignment="1">
      <alignment horizontal="center" vertical="center"/>
    </xf>
    <xf numFmtId="0" fontId="1" fillId="6837" borderId="0" xfId="4" applyFill="1" applyAlignment="1">
      <alignment horizontal="center" vertical="center"/>
    </xf>
    <xf numFmtId="0" fontId="1" fillId="6838" borderId="0" xfId="4" applyFill="1" applyAlignment="1">
      <alignment horizontal="center" vertical="center"/>
    </xf>
    <xf numFmtId="0" fontId="1" fillId="6839" borderId="0" xfId="4" applyFill="1" applyAlignment="1">
      <alignment horizontal="center" vertical="center"/>
    </xf>
    <xf numFmtId="0" fontId="1" fillId="6840" borderId="0" xfId="4" applyFill="1" applyAlignment="1">
      <alignment horizontal="center" vertical="center"/>
    </xf>
    <xf numFmtId="0" fontId="1" fillId="6841" borderId="0" xfId="4" applyFill="1" applyAlignment="1">
      <alignment horizontal="center" vertical="center"/>
    </xf>
    <xf numFmtId="0" fontId="1" fillId="6842" borderId="0" xfId="4" applyFill="1" applyAlignment="1">
      <alignment horizontal="center" vertical="center"/>
    </xf>
    <xf numFmtId="0" fontId="1" fillId="6843" borderId="0" xfId="4" applyFill="1" applyAlignment="1">
      <alignment horizontal="center" vertical="center"/>
    </xf>
    <xf numFmtId="0" fontId="1" fillId="6844" borderId="0" xfId="4" applyFill="1" applyAlignment="1">
      <alignment horizontal="center" vertical="center"/>
    </xf>
    <xf numFmtId="0" fontId="1" fillId="6845" borderId="0" xfId="4" applyFill="1" applyAlignment="1">
      <alignment horizontal="center" vertical="center"/>
    </xf>
    <xf numFmtId="0" fontId="1" fillId="6846" borderId="0" xfId="4" applyFill="1" applyAlignment="1">
      <alignment horizontal="center" vertical="center"/>
    </xf>
    <xf numFmtId="0" fontId="1" fillId="6847" borderId="0" xfId="4" applyFill="1" applyAlignment="1">
      <alignment horizontal="center" vertical="center"/>
    </xf>
    <xf numFmtId="0" fontId="1" fillId="6848" borderId="0" xfId="4" applyFill="1" applyAlignment="1">
      <alignment horizontal="center" vertical="center"/>
    </xf>
    <xf numFmtId="0" fontId="1" fillId="6849" borderId="0" xfId="4" applyFill="1" applyAlignment="1">
      <alignment horizontal="center" vertical="center"/>
    </xf>
    <xf numFmtId="0" fontId="1" fillId="6850" borderId="0" xfId="4" applyFill="1" applyAlignment="1">
      <alignment horizontal="left" vertical="center"/>
    </xf>
    <xf numFmtId="0" fontId="1" fillId="6851" borderId="0" xfId="4" applyFill="1" applyAlignment="1">
      <alignment horizontal="center" vertical="center"/>
    </xf>
    <xf numFmtId="0" fontId="1" fillId="6852" borderId="0" xfId="4" applyFill="1" applyAlignment="1">
      <alignment horizontal="center" vertical="center"/>
    </xf>
    <xf numFmtId="0" fontId="1" fillId="6853" borderId="0" xfId="4" applyFill="1" applyAlignment="1">
      <alignment horizontal="center" vertical="center"/>
    </xf>
    <xf numFmtId="0" fontId="1" fillId="6854" borderId="0" xfId="4" applyFill="1" applyAlignment="1">
      <alignment horizontal="center" vertical="center"/>
    </xf>
    <xf numFmtId="0" fontId="1" fillId="6855" borderId="0" xfId="4" applyFill="1" applyAlignment="1">
      <alignment horizontal="center" vertical="center"/>
    </xf>
    <xf numFmtId="0" fontId="1" fillId="6856" borderId="0" xfId="4" applyFill="1" applyAlignment="1">
      <alignment horizontal="center" vertical="center"/>
    </xf>
    <xf numFmtId="0" fontId="1" fillId="6857" borderId="0" xfId="4" applyFill="1" applyAlignment="1">
      <alignment horizontal="center" vertical="center"/>
    </xf>
    <xf numFmtId="0" fontId="1" fillId="6858" borderId="0" xfId="4" applyFill="1" applyAlignment="1">
      <alignment horizontal="center" vertical="center"/>
    </xf>
    <xf numFmtId="0" fontId="1" fillId="6859" borderId="0" xfId="4" applyFill="1" applyAlignment="1">
      <alignment horizontal="center" vertical="center"/>
    </xf>
    <xf numFmtId="0" fontId="1" fillId="6860" borderId="0" xfId="4" applyFill="1" applyAlignment="1">
      <alignment horizontal="center" vertical="center"/>
    </xf>
    <xf numFmtId="0" fontId="1" fillId="6861" borderId="0" xfId="4" applyFill="1" applyAlignment="1">
      <alignment horizontal="center" vertical="center"/>
    </xf>
    <xf numFmtId="0" fontId="1" fillId="6862" borderId="0" xfId="4" applyFill="1" applyAlignment="1">
      <alignment horizontal="center" vertical="center"/>
    </xf>
    <xf numFmtId="0" fontId="1" fillId="6863" borderId="0" xfId="4" applyFill="1" applyAlignment="1">
      <alignment horizontal="center" vertical="center"/>
    </xf>
    <xf numFmtId="0" fontId="1" fillId="6864" borderId="0" xfId="4" applyFill="1" applyAlignment="1">
      <alignment horizontal="center" vertical="center"/>
    </xf>
    <xf numFmtId="0" fontId="1" fillId="6865" borderId="0" xfId="4" applyFill="1" applyAlignment="1">
      <alignment horizontal="center" vertical="center"/>
    </xf>
    <xf numFmtId="0" fontId="1" fillId="6866" borderId="0" xfId="4" applyFill="1" applyAlignment="1">
      <alignment horizontal="center" vertical="center"/>
    </xf>
    <xf numFmtId="0" fontId="1" fillId="6867" borderId="0" xfId="4" applyFill="1" applyAlignment="1">
      <alignment horizontal="center" vertical="center"/>
    </xf>
    <xf numFmtId="0" fontId="1" fillId="6868" borderId="0" xfId="4" applyFill="1" applyAlignment="1">
      <alignment horizontal="center" vertical="center"/>
    </xf>
    <xf numFmtId="0" fontId="1" fillId="6869" borderId="0" xfId="4" applyFill="1" applyAlignment="1">
      <alignment horizontal="center" vertical="center"/>
    </xf>
    <xf numFmtId="0" fontId="1" fillId="6870" borderId="0" xfId="4" applyFill="1" applyAlignment="1">
      <alignment horizontal="center" vertical="center"/>
    </xf>
    <xf numFmtId="0" fontId="1" fillId="6871" borderId="0" xfId="4" applyFill="1" applyAlignment="1">
      <alignment horizontal="center" vertical="center"/>
    </xf>
    <xf numFmtId="0" fontId="1" fillId="6872" borderId="0" xfId="4" applyFill="1" applyAlignment="1">
      <alignment horizontal="center" vertical="center"/>
    </xf>
    <xf numFmtId="0" fontId="1" fillId="6873" borderId="0" xfId="4" applyFill="1" applyAlignment="1">
      <alignment horizontal="center" vertical="center"/>
    </xf>
    <xf numFmtId="0" fontId="1" fillId="6874" borderId="0" xfId="4" applyFill="1" applyAlignment="1">
      <alignment horizontal="center" vertical="center"/>
    </xf>
    <xf numFmtId="0" fontId="1" fillId="6875" borderId="0" xfId="4" applyFill="1" applyAlignment="1">
      <alignment horizontal="center" vertical="center"/>
    </xf>
    <xf numFmtId="0" fontId="1" fillId="6876" borderId="0" xfId="4" applyFill="1" applyAlignment="1">
      <alignment horizontal="center" vertical="center"/>
    </xf>
    <xf numFmtId="0" fontId="1" fillId="6877" borderId="0" xfId="4" applyFill="1" applyAlignment="1">
      <alignment horizontal="center" vertical="center"/>
    </xf>
    <xf numFmtId="0" fontId="1" fillId="6878" borderId="0" xfId="4" applyFill="1" applyAlignment="1">
      <alignment horizontal="center" vertical="center"/>
    </xf>
    <xf numFmtId="0" fontId="1" fillId="6879" borderId="0" xfId="4" applyFill="1" applyAlignment="1">
      <alignment horizontal="center" vertical="center"/>
    </xf>
    <xf numFmtId="0" fontId="1" fillId="6880" borderId="0" xfId="4" applyFill="1" applyAlignment="1">
      <alignment horizontal="center" vertical="center"/>
    </xf>
    <xf numFmtId="0" fontId="1" fillId="6881" borderId="0" xfId="4" applyFill="1" applyAlignment="1">
      <alignment horizontal="center" vertical="center"/>
    </xf>
    <xf numFmtId="0" fontId="1" fillId="6882" borderId="0" xfId="4" applyFill="1" applyAlignment="1">
      <alignment horizontal="left" vertical="center"/>
    </xf>
    <xf numFmtId="0" fontId="1" fillId="6883" borderId="0" xfId="4" applyFill="1" applyAlignment="1">
      <alignment horizontal="center" vertical="center"/>
    </xf>
    <xf numFmtId="0" fontId="1" fillId="6884" borderId="0" xfId="4" applyFill="1" applyAlignment="1">
      <alignment horizontal="center" vertical="center"/>
    </xf>
    <xf numFmtId="0" fontId="1" fillId="6885" borderId="0" xfId="4" applyFill="1" applyAlignment="1">
      <alignment horizontal="center" vertical="center"/>
    </xf>
    <xf numFmtId="0" fontId="1" fillId="6886" borderId="0" xfId="4" applyFill="1" applyAlignment="1">
      <alignment horizontal="center" vertical="center"/>
    </xf>
    <xf numFmtId="0" fontId="1" fillId="1086" borderId="0" xfId="4" applyFill="1" applyAlignment="1">
      <alignment horizontal="center" vertical="center"/>
    </xf>
    <xf numFmtId="0" fontId="1" fillId="6887" borderId="0" xfId="4" applyFill="1" applyAlignment="1">
      <alignment horizontal="center" vertical="center"/>
    </xf>
    <xf numFmtId="0" fontId="1" fillId="6888" borderId="0" xfId="4" applyFill="1" applyAlignment="1">
      <alignment horizontal="center" vertical="center"/>
    </xf>
    <xf numFmtId="0" fontId="1" fillId="6889" borderId="0" xfId="4" applyFill="1" applyAlignment="1">
      <alignment horizontal="center" vertical="center"/>
    </xf>
    <xf numFmtId="0" fontId="1" fillId="6890" borderId="0" xfId="4" applyFill="1" applyAlignment="1">
      <alignment horizontal="center" vertical="center"/>
    </xf>
    <xf numFmtId="0" fontId="1" fillId="6891" borderId="0" xfId="4" applyFill="1" applyAlignment="1">
      <alignment horizontal="center" vertical="center"/>
    </xf>
    <xf numFmtId="0" fontId="1" fillId="6892" borderId="0" xfId="4" applyFill="1" applyAlignment="1">
      <alignment horizontal="center" vertical="center"/>
    </xf>
    <xf numFmtId="0" fontId="1" fillId="6893" borderId="0" xfId="4" applyFill="1" applyAlignment="1">
      <alignment horizontal="center" vertical="center"/>
    </xf>
    <xf numFmtId="0" fontId="1" fillId="6894" borderId="0" xfId="4" applyFill="1" applyAlignment="1">
      <alignment horizontal="center" vertical="center"/>
    </xf>
    <xf numFmtId="0" fontId="1" fillId="6895" borderId="0" xfId="4" applyFill="1" applyAlignment="1">
      <alignment horizontal="center" vertical="center"/>
    </xf>
    <xf numFmtId="0" fontId="1" fillId="6896" borderId="0" xfId="4" applyFill="1" applyAlignment="1">
      <alignment horizontal="center" vertical="center"/>
    </xf>
    <xf numFmtId="0" fontId="1" fillId="6897" borderId="0" xfId="4" applyFill="1" applyAlignment="1">
      <alignment horizontal="center" vertical="center"/>
    </xf>
    <xf numFmtId="0" fontId="1" fillId="6898" borderId="0" xfId="4" applyFill="1" applyAlignment="1">
      <alignment horizontal="center" vertical="center"/>
    </xf>
    <xf numFmtId="0" fontId="1" fillId="6899" borderId="0" xfId="4" applyFill="1" applyAlignment="1">
      <alignment horizontal="center" vertical="center"/>
    </xf>
    <xf numFmtId="0" fontId="1" fillId="6900" borderId="0" xfId="4" applyFill="1" applyAlignment="1">
      <alignment horizontal="center" vertical="center"/>
    </xf>
    <xf numFmtId="0" fontId="1" fillId="6901" borderId="0" xfId="4" applyFill="1" applyAlignment="1">
      <alignment horizontal="center" vertical="center"/>
    </xf>
    <xf numFmtId="0" fontId="1" fillId="6902" borderId="0" xfId="4" applyFill="1" applyAlignment="1">
      <alignment horizontal="left" vertical="center"/>
    </xf>
    <xf numFmtId="0" fontId="1" fillId="6903" borderId="0" xfId="4" applyFill="1" applyAlignment="1">
      <alignment horizontal="center" vertical="center"/>
    </xf>
    <xf numFmtId="0" fontId="1" fillId="6904" borderId="0" xfId="4" applyFill="1" applyAlignment="1">
      <alignment horizontal="center" vertical="center"/>
    </xf>
    <xf numFmtId="0" fontId="1" fillId="6905" borderId="0" xfId="4" applyFill="1" applyAlignment="1">
      <alignment horizontal="left" vertical="center"/>
    </xf>
    <xf numFmtId="0" fontId="1" fillId="6906" borderId="0" xfId="4" applyFill="1" applyAlignment="1">
      <alignment horizontal="center" vertical="center"/>
    </xf>
    <xf numFmtId="0" fontId="1" fillId="6907" borderId="0" xfId="4" applyFill="1" applyAlignment="1">
      <alignment horizontal="center" vertical="center"/>
    </xf>
    <xf numFmtId="0" fontId="1" fillId="6908" borderId="0" xfId="4" applyFill="1" applyAlignment="1">
      <alignment horizontal="center" vertical="center"/>
    </xf>
    <xf numFmtId="0" fontId="1" fillId="6909" borderId="0" xfId="4" applyFill="1" applyAlignment="1">
      <alignment horizontal="center" vertical="center"/>
    </xf>
    <xf numFmtId="0" fontId="1" fillId="6910" borderId="0" xfId="4" applyFill="1" applyAlignment="1">
      <alignment horizontal="center" vertical="center"/>
    </xf>
    <xf numFmtId="0" fontId="1" fillId="6911" borderId="0" xfId="4" applyFill="1" applyAlignment="1">
      <alignment horizontal="center" vertical="center"/>
    </xf>
    <xf numFmtId="0" fontId="1" fillId="6912" borderId="0" xfId="4" applyFill="1" applyAlignment="1">
      <alignment horizontal="center" vertical="center"/>
    </xf>
    <xf numFmtId="0" fontId="1" fillId="6913" borderId="0" xfId="4" applyFill="1" applyAlignment="1">
      <alignment horizontal="center" vertical="center"/>
    </xf>
    <xf numFmtId="0" fontId="1" fillId="6914" borderId="0" xfId="4" applyFill="1" applyAlignment="1">
      <alignment horizontal="center" vertical="center"/>
    </xf>
    <xf numFmtId="0" fontId="1" fillId="6915" borderId="0" xfId="4" applyFill="1" applyAlignment="1">
      <alignment horizontal="center" vertical="center"/>
    </xf>
    <xf numFmtId="0" fontId="1" fillId="6916" borderId="0" xfId="4" applyFill="1" applyAlignment="1">
      <alignment horizontal="center" vertical="center"/>
    </xf>
    <xf numFmtId="0" fontId="1" fillId="6917" borderId="0" xfId="4" applyFill="1" applyAlignment="1">
      <alignment horizontal="center" vertical="center"/>
    </xf>
    <xf numFmtId="0" fontId="1" fillId="6918" borderId="0" xfId="4" applyFill="1" applyAlignment="1">
      <alignment horizontal="center" vertical="center"/>
    </xf>
    <xf numFmtId="0" fontId="1" fillId="6919" borderId="0" xfId="4" applyFill="1" applyAlignment="1">
      <alignment horizontal="center" vertical="center"/>
    </xf>
    <xf numFmtId="0" fontId="1" fillId="6920" borderId="0" xfId="4" applyFill="1" applyAlignment="1">
      <alignment horizontal="center" vertical="center"/>
    </xf>
    <xf numFmtId="0" fontId="1" fillId="6921" borderId="0" xfId="4" applyFill="1" applyAlignment="1">
      <alignment horizontal="center" vertical="center"/>
    </xf>
    <xf numFmtId="0" fontId="1" fillId="6922" borderId="0" xfId="4" applyFill="1" applyAlignment="1">
      <alignment horizontal="center" vertical="center"/>
    </xf>
    <xf numFmtId="0" fontId="1" fillId="6923" borderId="0" xfId="4" applyFill="1" applyAlignment="1">
      <alignment horizontal="center" vertical="center"/>
    </xf>
    <xf numFmtId="0" fontId="1" fillId="6924" borderId="0" xfId="4" applyFill="1" applyAlignment="1">
      <alignment horizontal="center" vertical="center"/>
    </xf>
    <xf numFmtId="0" fontId="1" fillId="6925" borderId="0" xfId="4" applyFill="1" applyAlignment="1">
      <alignment horizontal="center" vertical="center"/>
    </xf>
    <xf numFmtId="0" fontId="1" fillId="6926" borderId="0" xfId="4" applyFill="1" applyAlignment="1">
      <alignment horizontal="center" vertical="center"/>
    </xf>
    <xf numFmtId="0" fontId="1" fillId="6927" borderId="0" xfId="4" applyFill="1" applyAlignment="1">
      <alignment horizontal="center" vertical="center"/>
    </xf>
    <xf numFmtId="0" fontId="1" fillId="6928" borderId="0" xfId="4" applyFill="1" applyAlignment="1">
      <alignment horizontal="center" vertical="center"/>
    </xf>
    <xf numFmtId="0" fontId="1" fillId="6929" borderId="0" xfId="4" applyFill="1" applyAlignment="1">
      <alignment horizontal="center" vertical="center"/>
    </xf>
    <xf numFmtId="0" fontId="1" fillId="6930" borderId="0" xfId="4" applyFill="1" applyAlignment="1">
      <alignment horizontal="center" vertical="center"/>
    </xf>
    <xf numFmtId="0" fontId="1" fillId="6931" borderId="0" xfId="4" applyFill="1" applyAlignment="1">
      <alignment horizontal="center" vertical="center"/>
    </xf>
    <xf numFmtId="0" fontId="1" fillId="6932" borderId="0" xfId="4" applyFill="1" applyAlignment="1">
      <alignment horizontal="center" vertical="center"/>
    </xf>
    <xf numFmtId="0" fontId="1" fillId="6933" borderId="0" xfId="4" applyFill="1" applyAlignment="1">
      <alignment horizontal="center" vertical="center"/>
    </xf>
    <xf numFmtId="0" fontId="1" fillId="6934" borderId="0" xfId="4" applyFill="1" applyAlignment="1">
      <alignment horizontal="center" vertical="center"/>
    </xf>
    <xf numFmtId="0" fontId="1" fillId="6935" borderId="0" xfId="4" applyFill="1" applyAlignment="1">
      <alignment horizontal="center" vertical="center"/>
    </xf>
    <xf numFmtId="0" fontId="1" fillId="6936" borderId="0" xfId="4" applyFill="1" applyAlignment="1">
      <alignment horizontal="center" vertical="center"/>
    </xf>
    <xf numFmtId="0" fontId="1" fillId="6937" borderId="0" xfId="4" applyFill="1" applyAlignment="1">
      <alignment horizontal="center" vertical="center"/>
    </xf>
    <xf numFmtId="0" fontId="1" fillId="6938" borderId="0" xfId="4" applyFill="1" applyAlignment="1">
      <alignment horizontal="center" vertical="center"/>
    </xf>
    <xf numFmtId="0" fontId="1" fillId="6939" borderId="0" xfId="4" applyFill="1" applyAlignment="1">
      <alignment horizontal="center" vertical="center"/>
    </xf>
    <xf numFmtId="0" fontId="1" fillId="6940" borderId="0" xfId="4" applyFill="1" applyAlignment="1">
      <alignment horizontal="left" vertical="center"/>
    </xf>
    <xf numFmtId="0" fontId="1" fillId="6941" borderId="0" xfId="4" applyFill="1" applyAlignment="1">
      <alignment horizontal="center" vertical="center"/>
    </xf>
    <xf numFmtId="0" fontId="1" fillId="6942" borderId="0" xfId="4" applyFill="1" applyAlignment="1">
      <alignment horizontal="center" vertical="center"/>
    </xf>
    <xf numFmtId="0" fontId="1" fillId="6943" borderId="0" xfId="4" applyFill="1" applyAlignment="1">
      <alignment horizontal="center" vertical="center"/>
    </xf>
    <xf numFmtId="0" fontId="1" fillId="6944" borderId="0" xfId="4" applyFill="1" applyAlignment="1">
      <alignment horizontal="center" vertical="center"/>
    </xf>
    <xf numFmtId="0" fontId="1" fillId="6945" borderId="0" xfId="4" applyFill="1" applyAlignment="1">
      <alignment horizontal="center" vertical="center"/>
    </xf>
    <xf numFmtId="0" fontId="1" fillId="6946" borderId="0" xfId="4" applyFill="1" applyAlignment="1">
      <alignment horizontal="center" vertical="center"/>
    </xf>
    <xf numFmtId="0" fontId="1" fillId="6947" borderId="0" xfId="4" applyFill="1" applyAlignment="1">
      <alignment horizontal="center" vertical="center"/>
    </xf>
    <xf numFmtId="0" fontId="1" fillId="6948" borderId="0" xfId="4" applyFill="1" applyAlignment="1">
      <alignment horizontal="center" vertical="center"/>
    </xf>
    <xf numFmtId="0" fontId="1" fillId="6949" borderId="0" xfId="4" applyFill="1" applyAlignment="1">
      <alignment horizontal="center" vertical="center"/>
    </xf>
    <xf numFmtId="0" fontId="1" fillId="6950" borderId="0" xfId="4" applyFill="1" applyAlignment="1">
      <alignment horizontal="center" vertical="center"/>
    </xf>
    <xf numFmtId="0" fontId="1" fillId="6951" borderId="0" xfId="4" applyFill="1" applyAlignment="1">
      <alignment horizontal="center" vertical="center"/>
    </xf>
    <xf numFmtId="0" fontId="1" fillId="6952" borderId="0" xfId="4" applyFill="1" applyAlignment="1">
      <alignment horizontal="center" vertical="center"/>
    </xf>
    <xf numFmtId="0" fontId="1" fillId="6953" borderId="0" xfId="4" applyFill="1" applyAlignment="1">
      <alignment horizontal="center" vertical="center"/>
    </xf>
    <xf numFmtId="0" fontId="1" fillId="6954" borderId="0" xfId="4" applyFill="1" applyAlignment="1">
      <alignment horizontal="center" vertical="center"/>
    </xf>
    <xf numFmtId="0" fontId="1" fillId="6955" borderId="0" xfId="4" applyFill="1" applyAlignment="1">
      <alignment horizontal="center" vertical="center"/>
    </xf>
    <xf numFmtId="0" fontId="1" fillId="6956" borderId="0" xfId="4" applyFill="1" applyAlignment="1">
      <alignment horizontal="center" vertical="center"/>
    </xf>
    <xf numFmtId="0" fontId="1" fillId="6957" borderId="0" xfId="4" applyFill="1" applyAlignment="1">
      <alignment horizontal="center" vertical="center"/>
    </xf>
    <xf numFmtId="0" fontId="1" fillId="6958" borderId="0" xfId="4" applyFill="1" applyAlignment="1">
      <alignment horizontal="center" vertical="center"/>
    </xf>
    <xf numFmtId="0" fontId="1" fillId="6959" borderId="0" xfId="4" applyFill="1" applyAlignment="1">
      <alignment horizontal="center" vertical="center"/>
    </xf>
    <xf numFmtId="0" fontId="1" fillId="6960" borderId="0" xfId="4" applyFill="1" applyAlignment="1">
      <alignment horizontal="center" vertical="center"/>
    </xf>
    <xf numFmtId="0" fontId="1" fillId="6961" borderId="0" xfId="4" applyFill="1" applyAlignment="1">
      <alignment horizontal="center" vertical="center"/>
    </xf>
    <xf numFmtId="0" fontId="1" fillId="6962" borderId="0" xfId="4" applyFill="1" applyAlignment="1">
      <alignment horizontal="center" vertical="center"/>
    </xf>
    <xf numFmtId="0" fontId="1" fillId="6963" borderId="0" xfId="4" applyFill="1" applyAlignment="1">
      <alignment horizontal="center" vertical="center"/>
    </xf>
    <xf numFmtId="0" fontId="1" fillId="6964" borderId="0" xfId="4" applyFill="1" applyAlignment="1">
      <alignment horizontal="center" vertical="center"/>
    </xf>
    <xf numFmtId="0" fontId="1" fillId="6965" borderId="0" xfId="4" applyFill="1" applyAlignment="1">
      <alignment horizontal="center" vertical="center"/>
    </xf>
    <xf numFmtId="0" fontId="1" fillId="6966" borderId="0" xfId="4" applyFill="1" applyAlignment="1">
      <alignment horizontal="center" vertical="center"/>
    </xf>
    <xf numFmtId="0" fontId="1" fillId="6967" borderId="0" xfId="4" applyFill="1" applyAlignment="1">
      <alignment horizontal="center" vertical="center"/>
    </xf>
    <xf numFmtId="0" fontId="1" fillId="6968" borderId="0" xfId="4" applyFill="1" applyAlignment="1">
      <alignment horizontal="center" vertical="center"/>
    </xf>
    <xf numFmtId="0" fontId="1" fillId="6969" borderId="0" xfId="4" applyFill="1" applyAlignment="1">
      <alignment horizontal="center" vertical="center"/>
    </xf>
    <xf numFmtId="0" fontId="1" fillId="6970" borderId="0" xfId="4" applyFill="1" applyAlignment="1">
      <alignment horizontal="center" vertical="center"/>
    </xf>
    <xf numFmtId="0" fontId="1" fillId="6971" borderId="0" xfId="4" applyFill="1" applyAlignment="1">
      <alignment horizontal="center" vertical="center"/>
    </xf>
    <xf numFmtId="0" fontId="1" fillId="6972" borderId="0" xfId="4" applyFill="1" applyAlignment="1">
      <alignment horizontal="left" vertical="center"/>
    </xf>
    <xf numFmtId="0" fontId="1" fillId="6973" borderId="0" xfId="4" applyFill="1" applyAlignment="1">
      <alignment horizontal="center" vertical="center"/>
    </xf>
    <xf numFmtId="0" fontId="1" fillId="6974" borderId="0" xfId="4" applyFill="1" applyAlignment="1">
      <alignment horizontal="center" vertical="center"/>
    </xf>
    <xf numFmtId="0" fontId="1" fillId="6975" borderId="0" xfId="4" applyFill="1" applyAlignment="1">
      <alignment horizontal="center" vertical="center"/>
    </xf>
    <xf numFmtId="0" fontId="1" fillId="6976" borderId="0" xfId="4" applyFill="1" applyAlignment="1">
      <alignment horizontal="center" vertical="center"/>
    </xf>
    <xf numFmtId="0" fontId="1" fillId="6977" borderId="0" xfId="4" applyFill="1" applyAlignment="1">
      <alignment horizontal="center" vertical="center"/>
    </xf>
    <xf numFmtId="0" fontId="1" fillId="6978" borderId="0" xfId="4" applyFill="1" applyAlignment="1">
      <alignment horizontal="center" vertical="center"/>
    </xf>
    <xf numFmtId="0" fontId="1" fillId="6979" borderId="0" xfId="4" applyFill="1" applyAlignment="1">
      <alignment horizontal="center" vertical="center"/>
    </xf>
    <xf numFmtId="0" fontId="1" fillId="6980" borderId="0" xfId="4" applyFill="1" applyAlignment="1">
      <alignment horizontal="center" vertical="center"/>
    </xf>
    <xf numFmtId="0" fontId="1" fillId="6981" borderId="0" xfId="4" applyFill="1" applyAlignment="1">
      <alignment horizontal="center" vertical="center"/>
    </xf>
    <xf numFmtId="0" fontId="1" fillId="6982" borderId="0" xfId="4" applyFill="1" applyAlignment="1">
      <alignment horizontal="center" vertical="center"/>
    </xf>
    <xf numFmtId="0" fontId="1" fillId="6983" borderId="0" xfId="4" applyFill="1" applyAlignment="1">
      <alignment horizontal="center" vertical="center"/>
    </xf>
    <xf numFmtId="0" fontId="1" fillId="6984" borderId="0" xfId="4" applyFill="1" applyAlignment="1">
      <alignment horizontal="center" vertical="center"/>
    </xf>
    <xf numFmtId="0" fontId="1" fillId="6985" borderId="0" xfId="4" applyFill="1" applyAlignment="1">
      <alignment horizontal="center" vertical="center"/>
    </xf>
    <xf numFmtId="0" fontId="1" fillId="6986" borderId="0" xfId="4" applyFill="1" applyAlignment="1">
      <alignment horizontal="center" vertical="center"/>
    </xf>
    <xf numFmtId="0" fontId="1" fillId="6987" borderId="0" xfId="4" applyFill="1" applyAlignment="1">
      <alignment horizontal="center" vertical="center"/>
    </xf>
    <xf numFmtId="0" fontId="1" fillId="6988" borderId="0" xfId="4" applyFill="1" applyAlignment="1">
      <alignment horizontal="center" vertical="center"/>
    </xf>
    <xf numFmtId="0" fontId="1" fillId="6989" borderId="0" xfId="4" applyFill="1" applyAlignment="1">
      <alignment horizontal="center" vertical="center"/>
    </xf>
    <xf numFmtId="0" fontId="1" fillId="6990" borderId="0" xfId="4" applyFill="1" applyAlignment="1">
      <alignment horizontal="center" vertical="center"/>
    </xf>
    <xf numFmtId="0" fontId="1" fillId="6991" borderId="0" xfId="4" applyFill="1" applyAlignment="1">
      <alignment horizontal="center" vertical="center"/>
    </xf>
    <xf numFmtId="0" fontId="1" fillId="6992" borderId="0" xfId="4" applyFill="1" applyAlignment="1">
      <alignment horizontal="center" vertical="center"/>
    </xf>
    <xf numFmtId="0" fontId="1" fillId="6993" borderId="0" xfId="4" applyFill="1" applyAlignment="1">
      <alignment horizontal="left" vertical="center"/>
    </xf>
    <xf numFmtId="0" fontId="1" fillId="6994" borderId="0" xfId="4" applyFill="1" applyAlignment="1">
      <alignment horizontal="center" vertical="center"/>
    </xf>
    <xf numFmtId="0" fontId="1" fillId="6995" borderId="0" xfId="4" applyFill="1" applyAlignment="1">
      <alignment horizontal="center" vertical="center"/>
    </xf>
    <xf numFmtId="0" fontId="1" fillId="6996" borderId="0" xfId="4" applyFill="1" applyAlignment="1">
      <alignment horizontal="left" vertical="center"/>
    </xf>
    <xf numFmtId="0" fontId="1" fillId="6997" borderId="0" xfId="4" applyFill="1" applyAlignment="1">
      <alignment horizontal="center" vertical="center"/>
    </xf>
    <xf numFmtId="0" fontId="1" fillId="6998" borderId="0" xfId="4" applyFill="1" applyAlignment="1">
      <alignment horizontal="center" vertical="center"/>
    </xf>
    <xf numFmtId="0" fontId="1" fillId="6999" borderId="0" xfId="4" applyFill="1" applyAlignment="1">
      <alignment horizontal="center" vertical="center"/>
    </xf>
    <xf numFmtId="0" fontId="1" fillId="7000" borderId="0" xfId="4" applyFill="1" applyAlignment="1">
      <alignment horizontal="center" vertical="center"/>
    </xf>
    <xf numFmtId="0" fontId="1" fillId="7001" borderId="0" xfId="4" applyFill="1" applyAlignment="1">
      <alignment horizontal="center" vertical="center"/>
    </xf>
    <xf numFmtId="0" fontId="1" fillId="7002" borderId="0" xfId="4" applyFill="1" applyAlignment="1">
      <alignment horizontal="center" vertical="center"/>
    </xf>
    <xf numFmtId="0" fontId="1" fillId="7003" borderId="0" xfId="4" applyFill="1" applyAlignment="1">
      <alignment horizontal="center" vertical="center"/>
    </xf>
    <xf numFmtId="0" fontId="1" fillId="7004" borderId="0" xfId="4" applyFill="1" applyAlignment="1">
      <alignment horizontal="center" vertical="center"/>
    </xf>
    <xf numFmtId="0" fontId="1" fillId="7005" borderId="0" xfId="4" applyFill="1" applyAlignment="1">
      <alignment horizontal="center" vertical="center"/>
    </xf>
    <xf numFmtId="0" fontId="1" fillId="7006" borderId="0" xfId="4" applyFill="1" applyAlignment="1">
      <alignment horizontal="center" vertical="center"/>
    </xf>
    <xf numFmtId="0" fontId="1" fillId="7007" borderId="0" xfId="4" applyFill="1" applyAlignment="1">
      <alignment horizontal="center" vertical="center"/>
    </xf>
    <xf numFmtId="0" fontId="1" fillId="7008" borderId="0" xfId="4" applyFill="1" applyAlignment="1">
      <alignment horizontal="center" vertical="center"/>
    </xf>
    <xf numFmtId="0" fontId="1" fillId="7009" borderId="0" xfId="4" applyFill="1" applyAlignment="1">
      <alignment horizontal="center" vertical="center"/>
    </xf>
    <xf numFmtId="0" fontId="1" fillId="7010" borderId="0" xfId="4" applyFill="1" applyAlignment="1">
      <alignment horizontal="center" vertical="center"/>
    </xf>
    <xf numFmtId="0" fontId="1" fillId="7011" borderId="0" xfId="4" applyFill="1" applyAlignment="1">
      <alignment horizontal="center" vertical="center"/>
    </xf>
    <xf numFmtId="0" fontId="1" fillId="7012" borderId="0" xfId="4" applyFill="1" applyAlignment="1">
      <alignment horizontal="center" vertical="center"/>
    </xf>
    <xf numFmtId="0" fontId="1" fillId="7013" borderId="0" xfId="4" applyFill="1" applyAlignment="1">
      <alignment horizontal="center" vertical="center"/>
    </xf>
    <xf numFmtId="0" fontId="1" fillId="7014" borderId="0" xfId="4" applyFill="1" applyAlignment="1">
      <alignment horizontal="center" vertical="center"/>
    </xf>
    <xf numFmtId="0" fontId="1" fillId="7015" borderId="0" xfId="4" applyFill="1" applyAlignment="1">
      <alignment horizontal="center" vertical="center"/>
    </xf>
    <xf numFmtId="0" fontId="1" fillId="7016" borderId="0" xfId="4" applyFill="1" applyAlignment="1">
      <alignment horizontal="center" vertical="center"/>
    </xf>
    <xf numFmtId="0" fontId="1" fillId="7017" borderId="0" xfId="4" applyFill="1" applyAlignment="1">
      <alignment horizontal="center" vertical="center"/>
    </xf>
    <xf numFmtId="0" fontId="1" fillId="7018" borderId="0" xfId="4" applyFill="1" applyAlignment="1">
      <alignment horizontal="center" vertical="center"/>
    </xf>
    <xf numFmtId="0" fontId="1" fillId="7019" borderId="0" xfId="4" applyFill="1" applyAlignment="1">
      <alignment horizontal="center" vertical="center"/>
    </xf>
    <xf numFmtId="0" fontId="1" fillId="7020" borderId="0" xfId="4" applyFill="1" applyAlignment="1">
      <alignment horizontal="center" vertical="center"/>
    </xf>
    <xf numFmtId="0" fontId="1" fillId="7021" borderId="0" xfId="4" applyFill="1" applyAlignment="1">
      <alignment horizontal="center" vertical="center"/>
    </xf>
    <xf numFmtId="0" fontId="1" fillId="7022" borderId="0" xfId="4" applyFill="1" applyAlignment="1">
      <alignment horizontal="center" vertical="center"/>
    </xf>
    <xf numFmtId="0" fontId="1" fillId="7023" borderId="0" xfId="4" applyFill="1" applyAlignment="1">
      <alignment horizontal="center" vertical="center"/>
    </xf>
    <xf numFmtId="0" fontId="1" fillId="7024" borderId="0" xfId="4" applyFill="1" applyAlignment="1">
      <alignment horizontal="center" vertical="center"/>
    </xf>
    <xf numFmtId="0" fontId="1" fillId="7025" borderId="0" xfId="4" applyFill="1" applyAlignment="1">
      <alignment horizontal="center" vertical="center"/>
    </xf>
    <xf numFmtId="0" fontId="1" fillId="7026" borderId="0" xfId="4" applyFill="1" applyAlignment="1">
      <alignment horizontal="center" vertical="center"/>
    </xf>
    <xf numFmtId="0" fontId="1" fillId="7027" borderId="0" xfId="4" applyFill="1" applyAlignment="1">
      <alignment horizontal="center" vertical="center"/>
    </xf>
    <xf numFmtId="0" fontId="1" fillId="7028" borderId="0" xfId="4" applyFill="1" applyAlignment="1">
      <alignment horizontal="left" vertical="center"/>
    </xf>
    <xf numFmtId="0" fontId="1" fillId="7029" borderId="0" xfId="4" applyFill="1" applyAlignment="1">
      <alignment horizontal="center" vertical="center"/>
    </xf>
    <xf numFmtId="0" fontId="1" fillId="7030" borderId="0" xfId="4" applyFill="1" applyAlignment="1">
      <alignment horizontal="center" vertical="center"/>
    </xf>
    <xf numFmtId="0" fontId="1" fillId="7031" borderId="0" xfId="4" applyFill="1" applyAlignment="1">
      <alignment horizontal="center" vertical="center"/>
    </xf>
    <xf numFmtId="0" fontId="1" fillId="7032" borderId="0" xfId="4" applyFill="1" applyAlignment="1">
      <alignment horizontal="center" vertical="center"/>
    </xf>
    <xf numFmtId="0" fontId="1" fillId="7033" borderId="0" xfId="4" applyFill="1" applyAlignment="1">
      <alignment horizontal="center" vertical="center"/>
    </xf>
    <xf numFmtId="0" fontId="1" fillId="7034" borderId="0" xfId="4" applyFill="1" applyAlignment="1">
      <alignment horizontal="center" vertical="center"/>
    </xf>
    <xf numFmtId="0" fontId="1" fillId="7035" borderId="0" xfId="4" applyFill="1" applyAlignment="1">
      <alignment horizontal="center" vertical="center"/>
    </xf>
    <xf numFmtId="0" fontId="1" fillId="7036" borderId="0" xfId="4" applyFill="1" applyAlignment="1">
      <alignment horizontal="center" vertical="center"/>
    </xf>
    <xf numFmtId="0" fontId="1" fillId="7037" borderId="0" xfId="4" applyFill="1" applyAlignment="1">
      <alignment horizontal="center" vertical="center"/>
    </xf>
    <xf numFmtId="0" fontId="1" fillId="7038" borderId="0" xfId="4" applyFill="1" applyAlignment="1">
      <alignment horizontal="center" vertical="center"/>
    </xf>
    <xf numFmtId="0" fontId="1" fillId="7039" borderId="0" xfId="4" applyFill="1" applyAlignment="1">
      <alignment horizontal="center" vertical="center"/>
    </xf>
    <xf numFmtId="0" fontId="1" fillId="7040" borderId="0" xfId="4" applyFill="1" applyAlignment="1">
      <alignment horizontal="center" vertical="center"/>
    </xf>
    <xf numFmtId="0" fontId="1" fillId="7041" borderId="0" xfId="4" applyFill="1" applyAlignment="1">
      <alignment horizontal="center" vertical="center"/>
    </xf>
    <xf numFmtId="0" fontId="1" fillId="7042" borderId="0" xfId="4" applyFill="1" applyAlignment="1">
      <alignment horizontal="center" vertical="center"/>
    </xf>
    <xf numFmtId="0" fontId="1" fillId="7043" borderId="0" xfId="4" applyFill="1" applyAlignment="1">
      <alignment horizontal="center" vertical="center"/>
    </xf>
    <xf numFmtId="0" fontId="1" fillId="7044" borderId="0" xfId="4" applyFill="1" applyAlignment="1">
      <alignment horizontal="center" vertical="center"/>
    </xf>
    <xf numFmtId="0" fontId="1" fillId="7045" borderId="0" xfId="4" applyFill="1" applyAlignment="1">
      <alignment horizontal="center" vertical="center"/>
    </xf>
    <xf numFmtId="0" fontId="1" fillId="7046" borderId="0" xfId="4" applyFill="1" applyAlignment="1">
      <alignment horizontal="center" vertical="center"/>
    </xf>
    <xf numFmtId="0" fontId="1" fillId="7047" borderId="0" xfId="4" applyFill="1" applyAlignment="1">
      <alignment horizontal="center" vertical="center"/>
    </xf>
    <xf numFmtId="0" fontId="1" fillId="7048" borderId="0" xfId="4" applyFill="1" applyAlignment="1">
      <alignment horizontal="center" vertical="center"/>
    </xf>
    <xf numFmtId="0" fontId="1" fillId="7049" borderId="0" xfId="4" applyFill="1" applyAlignment="1">
      <alignment horizontal="center" vertical="center"/>
    </xf>
    <xf numFmtId="0" fontId="1" fillId="7050" borderId="0" xfId="4" applyFill="1" applyAlignment="1">
      <alignment horizontal="center" vertical="center"/>
    </xf>
    <xf numFmtId="0" fontId="1" fillId="7051" borderId="0" xfId="4" applyFill="1" applyAlignment="1">
      <alignment horizontal="center" vertical="center"/>
    </xf>
    <xf numFmtId="0" fontId="1" fillId="7052" borderId="0" xfId="4" applyFill="1" applyAlignment="1">
      <alignment horizontal="center" vertical="center"/>
    </xf>
    <xf numFmtId="0" fontId="1" fillId="7053" borderId="0" xfId="4" applyFill="1" applyAlignment="1">
      <alignment horizontal="center" vertical="center"/>
    </xf>
    <xf numFmtId="0" fontId="1" fillId="7054" borderId="0" xfId="4" applyFill="1" applyAlignment="1">
      <alignment horizontal="center" vertical="center"/>
    </xf>
    <xf numFmtId="0" fontId="1" fillId="7055" borderId="0" xfId="4" applyFill="1" applyAlignment="1">
      <alignment horizontal="center" vertical="center"/>
    </xf>
    <xf numFmtId="0" fontId="1" fillId="7056" borderId="0" xfId="4" applyFill="1" applyAlignment="1">
      <alignment horizontal="center" vertical="center"/>
    </xf>
    <xf numFmtId="0" fontId="1" fillId="7057" borderId="0" xfId="4" applyFill="1" applyAlignment="1">
      <alignment horizontal="center" vertical="center"/>
    </xf>
    <xf numFmtId="0" fontId="1" fillId="7058" borderId="0" xfId="4" applyFill="1" applyAlignment="1">
      <alignment horizontal="center" vertical="center"/>
    </xf>
    <xf numFmtId="0" fontId="1" fillId="7059" borderId="0" xfId="4" applyFill="1" applyAlignment="1">
      <alignment horizontal="left" vertical="center"/>
    </xf>
    <xf numFmtId="0" fontId="1" fillId="7060" borderId="0" xfId="4" applyFill="1" applyAlignment="1">
      <alignment horizontal="center" vertical="center"/>
    </xf>
    <xf numFmtId="0" fontId="1" fillId="7061" borderId="0" xfId="4" applyFill="1" applyAlignment="1">
      <alignment horizontal="center" vertical="center"/>
    </xf>
    <xf numFmtId="0" fontId="1" fillId="7062" borderId="0" xfId="4" applyFill="1" applyAlignment="1">
      <alignment horizontal="center" vertical="center"/>
    </xf>
    <xf numFmtId="0" fontId="1" fillId="7063" borderId="0" xfId="4" applyFill="1" applyAlignment="1">
      <alignment horizontal="center" vertical="center"/>
    </xf>
    <xf numFmtId="0" fontId="1" fillId="7064" borderId="0" xfId="4" applyFill="1" applyAlignment="1">
      <alignment horizontal="center" vertical="center"/>
    </xf>
    <xf numFmtId="0" fontId="1" fillId="7065" borderId="0" xfId="4" applyFill="1" applyAlignment="1">
      <alignment horizontal="center" vertical="center"/>
    </xf>
    <xf numFmtId="0" fontId="1" fillId="7066" borderId="0" xfId="4" applyFill="1" applyAlignment="1">
      <alignment horizontal="center" vertical="center"/>
    </xf>
    <xf numFmtId="0" fontId="1" fillId="7067" borderId="0" xfId="4" applyFill="1" applyAlignment="1">
      <alignment horizontal="center" vertical="center"/>
    </xf>
    <xf numFmtId="0" fontId="1" fillId="7068" borderId="0" xfId="4" applyFill="1" applyAlignment="1">
      <alignment horizontal="center" vertical="center"/>
    </xf>
    <xf numFmtId="0" fontId="1" fillId="7069" borderId="0" xfId="4" applyFill="1" applyAlignment="1">
      <alignment horizontal="center" vertical="center"/>
    </xf>
    <xf numFmtId="0" fontId="1" fillId="7070" borderId="0" xfId="4" applyFill="1" applyAlignment="1">
      <alignment horizontal="center" vertical="center"/>
    </xf>
    <xf numFmtId="0" fontId="1" fillId="7071" borderId="0" xfId="4" applyFill="1" applyAlignment="1">
      <alignment horizontal="center" vertical="center"/>
    </xf>
    <xf numFmtId="0" fontId="1" fillId="7072" borderId="0" xfId="4" applyFill="1" applyAlignment="1">
      <alignment horizontal="center" vertical="center"/>
    </xf>
    <xf numFmtId="0" fontId="1" fillId="7073" borderId="0" xfId="4" applyFill="1" applyAlignment="1">
      <alignment horizontal="center" vertical="center"/>
    </xf>
    <xf numFmtId="0" fontId="1" fillId="7074" borderId="0" xfId="4" applyFill="1" applyAlignment="1">
      <alignment horizontal="center" vertical="center"/>
    </xf>
    <xf numFmtId="0" fontId="1" fillId="7075" borderId="0" xfId="4" applyFill="1" applyAlignment="1">
      <alignment horizontal="center" vertical="center"/>
    </xf>
    <xf numFmtId="0" fontId="1" fillId="7076" borderId="0" xfId="4" applyFill="1" applyAlignment="1">
      <alignment horizontal="center" vertical="center"/>
    </xf>
    <xf numFmtId="0" fontId="1" fillId="7077" borderId="0" xfId="4" applyFill="1" applyAlignment="1">
      <alignment horizontal="center" vertical="center"/>
    </xf>
    <xf numFmtId="0" fontId="1" fillId="7078" borderId="0" xfId="4" applyFill="1" applyAlignment="1">
      <alignment horizontal="center" vertical="center"/>
    </xf>
    <xf numFmtId="0" fontId="1" fillId="7079" borderId="0" xfId="4" applyFill="1" applyAlignment="1">
      <alignment horizontal="center" vertical="center"/>
    </xf>
    <xf numFmtId="0" fontId="1" fillId="7080" borderId="0" xfId="4" applyFill="1" applyAlignment="1">
      <alignment horizontal="center" vertical="center"/>
    </xf>
    <xf numFmtId="0" fontId="1" fillId="7081" borderId="0" xfId="4" applyFill="1" applyAlignment="1">
      <alignment horizontal="center" vertical="center"/>
    </xf>
    <xf numFmtId="0" fontId="1" fillId="7082" borderId="0" xfId="4" applyFill="1" applyAlignment="1">
      <alignment horizontal="left" vertical="center"/>
    </xf>
    <xf numFmtId="0" fontId="1" fillId="7083" borderId="0" xfId="4" applyFill="1" applyAlignment="1">
      <alignment horizontal="center" vertical="center"/>
    </xf>
    <xf numFmtId="0" fontId="1" fillId="7084" borderId="0" xfId="4" applyFill="1" applyAlignment="1">
      <alignment horizontal="center" vertical="center"/>
    </xf>
    <xf numFmtId="0" fontId="1" fillId="7085" borderId="0" xfId="4" applyFill="1" applyAlignment="1">
      <alignment horizontal="center" vertical="center"/>
    </xf>
    <xf numFmtId="0" fontId="1" fillId="7086" borderId="0" xfId="4" applyFill="1" applyAlignment="1">
      <alignment horizontal="center" vertical="center"/>
    </xf>
    <xf numFmtId="0" fontId="1" fillId="7087" borderId="0" xfId="4" applyFill="1" applyAlignment="1">
      <alignment horizontal="center" vertical="center"/>
    </xf>
    <xf numFmtId="0" fontId="1" fillId="7088" borderId="0" xfId="4" applyFill="1" applyAlignment="1">
      <alignment horizontal="center" vertical="center"/>
    </xf>
    <xf numFmtId="0" fontId="1" fillId="7089" borderId="0" xfId="4" applyFill="1" applyAlignment="1">
      <alignment horizontal="center" vertical="center"/>
    </xf>
    <xf numFmtId="0" fontId="1" fillId="7090" borderId="0" xfId="4" applyFill="1" applyAlignment="1">
      <alignment horizontal="center" vertical="center"/>
    </xf>
    <xf numFmtId="0" fontId="1" fillId="7091" borderId="0" xfId="4" applyFill="1" applyAlignment="1">
      <alignment horizontal="center" vertical="center"/>
    </xf>
    <xf numFmtId="0" fontId="1" fillId="7092" borderId="0" xfId="4" applyFill="1" applyAlignment="1">
      <alignment horizontal="center" vertical="center"/>
    </xf>
    <xf numFmtId="0" fontId="1" fillId="7093" borderId="0" xfId="4" applyFill="1" applyAlignment="1">
      <alignment horizontal="center" vertical="center"/>
    </xf>
    <xf numFmtId="0" fontId="1" fillId="7094" borderId="0" xfId="4" applyFill="1" applyAlignment="1">
      <alignment horizontal="center" vertical="center"/>
    </xf>
    <xf numFmtId="0" fontId="1" fillId="7095" borderId="0" xfId="4" applyFill="1" applyAlignment="1">
      <alignment horizontal="center" vertical="center"/>
    </xf>
    <xf numFmtId="0" fontId="1" fillId="7096" borderId="0" xfId="4" applyFill="1" applyAlignment="1">
      <alignment horizontal="center" vertical="center"/>
    </xf>
    <xf numFmtId="0" fontId="1" fillId="7097" borderId="0" xfId="4" applyFill="1" applyAlignment="1">
      <alignment horizontal="center" vertical="center"/>
    </xf>
    <xf numFmtId="0" fontId="1" fillId="7098" borderId="0" xfId="4" applyFill="1" applyAlignment="1">
      <alignment horizontal="center" vertical="center"/>
    </xf>
    <xf numFmtId="0" fontId="1" fillId="7099" borderId="0" xfId="4" applyFill="1" applyAlignment="1">
      <alignment horizontal="center" vertical="center"/>
    </xf>
    <xf numFmtId="0" fontId="1" fillId="7100" borderId="0" xfId="4" applyFill="1" applyAlignment="1">
      <alignment horizontal="center" vertical="center"/>
    </xf>
    <xf numFmtId="0" fontId="1" fillId="7101" borderId="0" xfId="4" applyFill="1" applyAlignment="1">
      <alignment horizontal="center" vertical="center"/>
    </xf>
    <xf numFmtId="0" fontId="1" fillId="7102" borderId="0" xfId="4" applyFill="1" applyAlignment="1">
      <alignment horizontal="center" vertical="center"/>
    </xf>
    <xf numFmtId="0" fontId="1" fillId="7103" borderId="0" xfId="4" applyFill="1" applyAlignment="1">
      <alignment horizontal="center" vertical="center"/>
    </xf>
    <xf numFmtId="0" fontId="1" fillId="7104" borderId="0" xfId="4" applyFill="1" applyAlignment="1">
      <alignment horizontal="center" vertical="center"/>
    </xf>
    <xf numFmtId="0" fontId="1" fillId="7105" borderId="0" xfId="4" applyFill="1" applyAlignment="1">
      <alignment horizontal="center" vertical="center"/>
    </xf>
    <xf numFmtId="0" fontId="1" fillId="7106" borderId="0" xfId="4" applyFill="1" applyAlignment="1">
      <alignment horizontal="center" vertical="center"/>
    </xf>
    <xf numFmtId="0" fontId="1" fillId="7107" borderId="0" xfId="4" applyFill="1" applyAlignment="1">
      <alignment horizontal="center" vertical="center"/>
    </xf>
    <xf numFmtId="0" fontId="1" fillId="7108" borderId="0" xfId="4" applyFill="1" applyAlignment="1">
      <alignment horizontal="center" vertical="center"/>
    </xf>
    <xf numFmtId="0" fontId="1" fillId="7109" borderId="0" xfId="4" applyFill="1" applyAlignment="1">
      <alignment horizontal="center" vertical="center"/>
    </xf>
    <xf numFmtId="0" fontId="1" fillId="7110" borderId="0" xfId="4" applyFill="1" applyAlignment="1">
      <alignment horizontal="center" vertical="center"/>
    </xf>
    <xf numFmtId="0" fontId="1" fillId="7111" borderId="0" xfId="4" applyFill="1" applyAlignment="1">
      <alignment horizontal="center" vertical="center"/>
    </xf>
    <xf numFmtId="0" fontId="1" fillId="7112" borderId="0" xfId="4" applyFill="1" applyAlignment="1">
      <alignment horizontal="center" vertical="center"/>
    </xf>
    <xf numFmtId="0" fontId="1" fillId="7113" borderId="0" xfId="4" applyFill="1" applyAlignment="1">
      <alignment horizontal="center" vertical="center"/>
    </xf>
    <xf numFmtId="0" fontId="1" fillId="7114" borderId="0" xfId="4" applyFill="1" applyAlignment="1">
      <alignment horizontal="center" vertical="center"/>
    </xf>
    <xf numFmtId="0" fontId="1" fillId="7115" borderId="0" xfId="4" applyFill="1" applyAlignment="1">
      <alignment horizontal="center" vertical="center"/>
    </xf>
    <xf numFmtId="0" fontId="1" fillId="7116" borderId="0" xfId="4" applyFill="1" applyAlignment="1">
      <alignment horizontal="center" vertical="center"/>
    </xf>
    <xf numFmtId="0" fontId="1" fillId="7117" borderId="0" xfId="4" applyFill="1" applyAlignment="1">
      <alignment horizontal="center" vertical="center"/>
    </xf>
    <xf numFmtId="0" fontId="1" fillId="7118" borderId="0" xfId="4" applyFill="1" applyAlignment="1">
      <alignment horizontal="left" vertical="center"/>
    </xf>
    <xf numFmtId="0" fontId="1" fillId="7119" borderId="0" xfId="4" applyFill="1" applyAlignment="1">
      <alignment horizontal="center" vertical="center"/>
    </xf>
    <xf numFmtId="0" fontId="1" fillId="7120" borderId="0" xfId="4" applyFill="1" applyAlignment="1">
      <alignment horizontal="center" vertical="center"/>
    </xf>
    <xf numFmtId="0" fontId="1" fillId="7121" borderId="0" xfId="4" applyFill="1" applyAlignment="1">
      <alignment horizontal="center" vertical="center"/>
    </xf>
    <xf numFmtId="0" fontId="1" fillId="7122" borderId="0" xfId="4" applyFill="1" applyAlignment="1">
      <alignment horizontal="center" vertical="center"/>
    </xf>
    <xf numFmtId="0" fontId="1" fillId="7123" borderId="0" xfId="4" applyFill="1" applyAlignment="1">
      <alignment horizontal="center" vertical="center"/>
    </xf>
    <xf numFmtId="0" fontId="1" fillId="7124" borderId="0" xfId="4" applyFill="1" applyAlignment="1">
      <alignment horizontal="center" vertical="center"/>
    </xf>
    <xf numFmtId="0" fontId="1" fillId="7125" borderId="0" xfId="4" applyFill="1" applyAlignment="1">
      <alignment horizontal="center" vertical="center"/>
    </xf>
    <xf numFmtId="0" fontId="1" fillId="7126" borderId="0" xfId="4" applyFill="1" applyAlignment="1">
      <alignment horizontal="center" vertical="center"/>
    </xf>
    <xf numFmtId="0" fontId="1" fillId="7127" borderId="0" xfId="4" applyFill="1" applyAlignment="1">
      <alignment horizontal="center" vertical="center"/>
    </xf>
    <xf numFmtId="0" fontId="1" fillId="7128" borderId="0" xfId="4" applyFill="1" applyAlignment="1">
      <alignment horizontal="center" vertical="center"/>
    </xf>
    <xf numFmtId="0" fontId="1" fillId="7129" borderId="0" xfId="4" applyFill="1" applyAlignment="1">
      <alignment horizontal="center" vertical="center"/>
    </xf>
    <xf numFmtId="0" fontId="1" fillId="7130" borderId="0" xfId="4" applyFill="1" applyAlignment="1">
      <alignment horizontal="center" vertical="center"/>
    </xf>
    <xf numFmtId="0" fontId="1" fillId="7131" borderId="0" xfId="4" applyFill="1" applyAlignment="1">
      <alignment horizontal="center" vertical="center"/>
    </xf>
    <xf numFmtId="0" fontId="1" fillId="7132" borderId="0" xfId="4" applyFill="1" applyAlignment="1">
      <alignment horizontal="center" vertical="center"/>
    </xf>
    <xf numFmtId="0" fontId="1" fillId="7133" borderId="0" xfId="4" applyFill="1" applyAlignment="1">
      <alignment horizontal="center" vertical="center"/>
    </xf>
    <xf numFmtId="0" fontId="1" fillId="7134" borderId="0" xfId="4" applyFill="1" applyAlignment="1">
      <alignment horizontal="center" vertical="center"/>
    </xf>
    <xf numFmtId="0" fontId="1" fillId="7135" borderId="0" xfId="4" applyFill="1" applyAlignment="1">
      <alignment horizontal="center" vertical="center"/>
    </xf>
    <xf numFmtId="0" fontId="1" fillId="7136" borderId="0" xfId="4" applyFill="1" applyAlignment="1">
      <alignment horizontal="center" vertical="center"/>
    </xf>
    <xf numFmtId="0" fontId="1" fillId="7137" borderId="0" xfId="4" applyFill="1" applyAlignment="1">
      <alignment horizontal="center" vertical="center"/>
    </xf>
    <xf numFmtId="0" fontId="1" fillId="7138" borderId="0" xfId="4" applyFill="1" applyAlignment="1">
      <alignment horizontal="center" vertical="center"/>
    </xf>
    <xf numFmtId="0" fontId="1" fillId="7139" borderId="0" xfId="4" applyFill="1" applyAlignment="1">
      <alignment horizontal="center" vertical="center"/>
    </xf>
    <xf numFmtId="0" fontId="1" fillId="7140" borderId="0" xfId="4" applyFill="1" applyAlignment="1">
      <alignment horizontal="center" vertical="center"/>
    </xf>
    <xf numFmtId="0" fontId="1" fillId="7141" borderId="0" xfId="4" applyFill="1" applyAlignment="1">
      <alignment horizontal="center" vertical="center"/>
    </xf>
    <xf numFmtId="0" fontId="1" fillId="7142" borderId="0" xfId="4" applyFill="1" applyAlignment="1">
      <alignment horizontal="center" vertical="center"/>
    </xf>
    <xf numFmtId="0" fontId="1" fillId="7143" borderId="0" xfId="4" applyFill="1" applyAlignment="1">
      <alignment horizontal="center" vertical="center"/>
    </xf>
    <xf numFmtId="0" fontId="1" fillId="7144" borderId="0" xfId="4" applyFill="1" applyAlignment="1">
      <alignment horizontal="center" vertical="center"/>
    </xf>
    <xf numFmtId="0" fontId="1" fillId="7145" borderId="0" xfId="4" applyFill="1" applyAlignment="1">
      <alignment horizontal="center" vertical="center"/>
    </xf>
    <xf numFmtId="0" fontId="1" fillId="7146" borderId="0" xfId="4" applyFill="1" applyAlignment="1">
      <alignment horizontal="center" vertical="center"/>
    </xf>
    <xf numFmtId="0" fontId="1" fillId="7147" borderId="0" xfId="4" applyFill="1" applyAlignment="1">
      <alignment horizontal="center" vertical="center"/>
    </xf>
    <xf numFmtId="0" fontId="1" fillId="7148" borderId="0" xfId="4" applyFill="1" applyAlignment="1">
      <alignment horizontal="center" vertical="center"/>
    </xf>
    <xf numFmtId="0" fontId="1" fillId="7149" borderId="0" xfId="4" applyFill="1" applyAlignment="1">
      <alignment horizontal="center" vertical="center"/>
    </xf>
    <xf numFmtId="0" fontId="1" fillId="7150" borderId="0" xfId="4" applyFill="1" applyAlignment="1">
      <alignment horizontal="center" vertical="center"/>
    </xf>
    <xf numFmtId="0" fontId="1" fillId="7151" borderId="0" xfId="4" applyFill="1" applyAlignment="1">
      <alignment horizontal="left" vertical="center"/>
    </xf>
    <xf numFmtId="0" fontId="1" fillId="7152" borderId="0" xfId="4" applyFill="1" applyAlignment="1">
      <alignment horizontal="center" vertical="center"/>
    </xf>
    <xf numFmtId="0" fontId="1" fillId="7153" borderId="0" xfId="4" applyFill="1" applyAlignment="1">
      <alignment horizontal="center" vertical="center"/>
    </xf>
    <xf numFmtId="0" fontId="1" fillId="7154" borderId="0" xfId="4" applyFill="1" applyAlignment="1">
      <alignment horizontal="center" vertical="center"/>
    </xf>
    <xf numFmtId="0" fontId="1" fillId="7155" borderId="0" xfId="4" applyFill="1" applyAlignment="1">
      <alignment horizontal="center" vertical="center"/>
    </xf>
    <xf numFmtId="0" fontId="1" fillId="7156" borderId="0" xfId="4" applyFill="1" applyAlignment="1">
      <alignment horizontal="center" vertical="center"/>
    </xf>
    <xf numFmtId="0" fontId="1" fillId="7157" borderId="0" xfId="4" applyFill="1" applyAlignment="1">
      <alignment horizontal="center" vertical="center"/>
    </xf>
    <xf numFmtId="0" fontId="1" fillId="7158" borderId="0" xfId="4" applyFill="1" applyAlignment="1">
      <alignment horizontal="center" vertical="center"/>
    </xf>
    <xf numFmtId="0" fontId="1" fillId="7159" borderId="0" xfId="4" applyFill="1" applyAlignment="1">
      <alignment horizontal="center" vertical="center"/>
    </xf>
    <xf numFmtId="0" fontId="1" fillId="7160" borderId="0" xfId="4" applyFill="1" applyAlignment="1">
      <alignment horizontal="center" vertical="center"/>
    </xf>
    <xf numFmtId="0" fontId="1" fillId="7161" borderId="0" xfId="4" applyFill="1" applyAlignment="1">
      <alignment horizontal="center" vertical="center"/>
    </xf>
    <xf numFmtId="0" fontId="1" fillId="7162" borderId="0" xfId="4" applyFill="1" applyAlignment="1">
      <alignment horizontal="center" vertical="center"/>
    </xf>
    <xf numFmtId="0" fontId="1" fillId="7163" borderId="0" xfId="4" applyFill="1" applyAlignment="1">
      <alignment horizontal="center" vertical="center"/>
    </xf>
    <xf numFmtId="0" fontId="1" fillId="7164" borderId="0" xfId="4" applyFill="1" applyAlignment="1">
      <alignment horizontal="center" vertical="center"/>
    </xf>
    <xf numFmtId="0" fontId="1" fillId="7165" borderId="0" xfId="4" applyFill="1" applyAlignment="1">
      <alignment horizontal="center" vertical="center"/>
    </xf>
    <xf numFmtId="0" fontId="1" fillId="7166" borderId="0" xfId="4" applyFill="1" applyAlignment="1">
      <alignment horizontal="center" vertical="center"/>
    </xf>
    <xf numFmtId="0" fontId="1" fillId="7167" borderId="0" xfId="4" applyFill="1" applyAlignment="1">
      <alignment horizontal="center" vertical="center"/>
    </xf>
    <xf numFmtId="0" fontId="1" fillId="7168" borderId="0" xfId="4" applyFill="1" applyAlignment="1">
      <alignment horizontal="center" vertical="center"/>
    </xf>
    <xf numFmtId="0" fontId="1" fillId="7169" borderId="0" xfId="4" applyFill="1" applyAlignment="1">
      <alignment horizontal="center" vertical="center"/>
    </xf>
    <xf numFmtId="0" fontId="1" fillId="7170" borderId="0" xfId="4" applyFill="1" applyAlignment="1">
      <alignment horizontal="center" vertical="center"/>
    </xf>
    <xf numFmtId="0" fontId="1" fillId="7171" borderId="0" xfId="4" applyFill="1" applyAlignment="1">
      <alignment horizontal="center" vertical="center"/>
    </xf>
    <xf numFmtId="0" fontId="1" fillId="7175" borderId="0" xfId="4" applyFill="1" applyAlignment="1">
      <alignment horizontal="center" vertical="center"/>
    </xf>
    <xf numFmtId="0" fontId="1" fillId="7176" borderId="0" xfId="4" applyFill="1" applyAlignment="1">
      <alignment horizontal="center" vertical="center"/>
    </xf>
    <xf numFmtId="0" fontId="1" fillId="7177" borderId="0" xfId="4" applyFill="1" applyAlignment="1">
      <alignment horizontal="center" vertical="center"/>
    </xf>
    <xf numFmtId="0" fontId="1" fillId="7178" borderId="0" xfId="4" applyFill="1" applyAlignment="1">
      <alignment horizontal="center" vertical="center"/>
    </xf>
    <xf numFmtId="0" fontId="1" fillId="7179" borderId="0" xfId="4" applyFill="1" applyAlignment="1">
      <alignment horizontal="center" vertical="center"/>
    </xf>
    <xf numFmtId="0" fontId="1" fillId="7180" borderId="0" xfId="4" applyFill="1" applyAlignment="1">
      <alignment horizontal="center" vertical="center"/>
    </xf>
    <xf numFmtId="0" fontId="1" fillId="7181" borderId="0" xfId="4" applyFill="1" applyAlignment="1">
      <alignment horizontal="center" vertical="center"/>
    </xf>
    <xf numFmtId="0" fontId="1" fillId="7182" borderId="0" xfId="4" applyFill="1" applyAlignment="1">
      <alignment horizontal="center" vertical="center"/>
    </xf>
    <xf numFmtId="0" fontId="1" fillId="7183" borderId="0" xfId="4" applyFill="1" applyAlignment="1">
      <alignment horizontal="center" vertical="center"/>
    </xf>
    <xf numFmtId="0" fontId="1" fillId="7184" borderId="0" xfId="4" applyFill="1" applyAlignment="1">
      <alignment horizontal="center" vertical="center"/>
    </xf>
    <xf numFmtId="0" fontId="1" fillId="7185" borderId="0" xfId="4" applyFill="1" applyAlignment="1">
      <alignment horizontal="center" vertical="center"/>
    </xf>
    <xf numFmtId="0" fontId="1" fillId="7186" borderId="0" xfId="4" applyFill="1" applyAlignment="1">
      <alignment horizontal="center" vertical="center"/>
    </xf>
    <xf numFmtId="0" fontId="1" fillId="7187" borderId="0" xfId="4" applyFill="1" applyAlignment="1">
      <alignment horizontal="center" vertical="center"/>
    </xf>
    <xf numFmtId="0" fontId="1" fillId="7188" borderId="0" xfId="4" applyFill="1" applyAlignment="1">
      <alignment horizontal="center" vertical="center"/>
    </xf>
    <xf numFmtId="0" fontId="1" fillId="7189" borderId="0" xfId="4" applyFill="1" applyAlignment="1">
      <alignment horizontal="center" vertical="center"/>
    </xf>
    <xf numFmtId="0" fontId="1" fillId="7190" borderId="0" xfId="4" applyFill="1" applyAlignment="1">
      <alignment horizontal="center" vertical="center"/>
    </xf>
    <xf numFmtId="0" fontId="1" fillId="7191" borderId="0" xfId="4" applyFill="1" applyAlignment="1">
      <alignment horizontal="center" vertical="center"/>
    </xf>
    <xf numFmtId="0" fontId="1" fillId="7192" borderId="0" xfId="4" applyFill="1" applyAlignment="1">
      <alignment horizontal="center" vertical="center"/>
    </xf>
    <xf numFmtId="0" fontId="1" fillId="7193" borderId="0" xfId="4" applyFill="1" applyAlignment="1">
      <alignment horizontal="center" vertical="center"/>
    </xf>
    <xf numFmtId="0" fontId="1" fillId="7194" borderId="0" xfId="4" applyFill="1" applyAlignment="1">
      <alignment horizontal="center" vertical="center"/>
    </xf>
    <xf numFmtId="0" fontId="1" fillId="7195" borderId="0" xfId="4" applyFill="1" applyAlignment="1">
      <alignment horizontal="center" vertical="center"/>
    </xf>
    <xf numFmtId="0" fontId="1" fillId="7196" borderId="0" xfId="4" applyFill="1" applyAlignment="1">
      <alignment horizontal="center" vertical="center"/>
    </xf>
    <xf numFmtId="0" fontId="1" fillId="7197" borderId="0" xfId="4" applyFill="1" applyAlignment="1">
      <alignment horizontal="center" vertical="center"/>
    </xf>
    <xf numFmtId="0" fontId="1" fillId="7198" borderId="0" xfId="4" applyFill="1" applyAlignment="1">
      <alignment horizontal="center" vertical="center"/>
    </xf>
    <xf numFmtId="0" fontId="1" fillId="7199" borderId="0" xfId="4" applyFill="1" applyAlignment="1">
      <alignment horizontal="center" vertical="center"/>
    </xf>
    <xf numFmtId="0" fontId="1" fillId="7200" borderId="0" xfId="4" applyFill="1" applyAlignment="1">
      <alignment horizontal="center" vertical="center"/>
    </xf>
    <xf numFmtId="0" fontId="1" fillId="7201" borderId="0" xfId="4" applyFill="1" applyAlignment="1">
      <alignment horizontal="center" vertical="center"/>
    </xf>
    <xf numFmtId="0" fontId="1" fillId="7202" borderId="0" xfId="4" applyFill="1" applyAlignment="1">
      <alignment horizontal="center" vertical="center"/>
    </xf>
    <xf numFmtId="0" fontId="1" fillId="7203" borderId="0" xfId="4" applyFill="1" applyAlignment="1">
      <alignment horizontal="center" vertical="center"/>
    </xf>
    <xf numFmtId="0" fontId="1" fillId="7204" borderId="0" xfId="4" applyFill="1" applyAlignment="1">
      <alignment horizontal="center" vertical="center"/>
    </xf>
    <xf numFmtId="0" fontId="1" fillId="7205" borderId="0" xfId="4" applyFill="1" applyAlignment="1">
      <alignment horizontal="center" vertical="center"/>
    </xf>
    <xf numFmtId="0" fontId="1" fillId="7206" borderId="0" xfId="4" applyFill="1" applyAlignment="1">
      <alignment horizontal="left" vertical="center"/>
    </xf>
    <xf numFmtId="0" fontId="1" fillId="7207" borderId="0" xfId="4" applyFill="1" applyAlignment="1">
      <alignment horizontal="center" vertical="center"/>
    </xf>
    <xf numFmtId="0" fontId="1" fillId="7208" borderId="0" xfId="4" applyFill="1" applyAlignment="1">
      <alignment horizontal="center" vertical="center"/>
    </xf>
    <xf numFmtId="0" fontId="1" fillId="7209" borderId="0" xfId="4" applyFill="1" applyAlignment="1">
      <alignment horizontal="center" vertical="center"/>
    </xf>
    <xf numFmtId="0" fontId="1" fillId="7210" borderId="0" xfId="4" applyFill="1" applyAlignment="1">
      <alignment horizontal="center" vertical="center"/>
    </xf>
    <xf numFmtId="0" fontId="1" fillId="7211" borderId="0" xfId="4" applyFill="1" applyAlignment="1">
      <alignment horizontal="center" vertical="center"/>
    </xf>
    <xf numFmtId="0" fontId="1" fillId="7212" borderId="0" xfId="4" applyFill="1" applyAlignment="1">
      <alignment horizontal="center" vertical="center"/>
    </xf>
    <xf numFmtId="0" fontId="1" fillId="7213" borderId="0" xfId="4" applyFill="1" applyAlignment="1">
      <alignment horizontal="center" vertical="center"/>
    </xf>
    <xf numFmtId="0" fontId="1" fillId="7214" borderId="0" xfId="4" applyFill="1" applyAlignment="1">
      <alignment horizontal="center" vertical="center"/>
    </xf>
    <xf numFmtId="0" fontId="1" fillId="7215" borderId="0" xfId="4" applyFill="1" applyAlignment="1">
      <alignment horizontal="center" vertical="center"/>
    </xf>
    <xf numFmtId="0" fontId="1" fillId="7216" borderId="0" xfId="4" applyFill="1" applyAlignment="1">
      <alignment horizontal="center" vertical="center"/>
    </xf>
    <xf numFmtId="0" fontId="1" fillId="7217" borderId="0" xfId="4" applyFill="1" applyAlignment="1">
      <alignment horizontal="center" vertical="center"/>
    </xf>
    <xf numFmtId="0" fontId="1" fillId="7218" borderId="0" xfId="4" applyFill="1" applyAlignment="1">
      <alignment horizontal="center" vertical="center"/>
    </xf>
    <xf numFmtId="0" fontId="1" fillId="7219" borderId="0" xfId="4" applyFill="1" applyAlignment="1">
      <alignment horizontal="center" vertical="center"/>
    </xf>
    <xf numFmtId="0" fontId="1" fillId="7220" borderId="0" xfId="4" applyFill="1" applyAlignment="1">
      <alignment horizontal="center" vertical="center"/>
    </xf>
    <xf numFmtId="0" fontId="1" fillId="7221" borderId="0" xfId="4" applyFill="1" applyAlignment="1">
      <alignment horizontal="center" vertical="center"/>
    </xf>
    <xf numFmtId="0" fontId="1" fillId="7222" borderId="0" xfId="4" applyFill="1" applyAlignment="1">
      <alignment horizontal="center" vertical="center"/>
    </xf>
    <xf numFmtId="0" fontId="1" fillId="7223" borderId="0" xfId="4" applyFill="1" applyAlignment="1">
      <alignment horizontal="center" vertical="center"/>
    </xf>
    <xf numFmtId="0" fontId="1" fillId="7224" borderId="0" xfId="4" applyFill="1" applyAlignment="1">
      <alignment horizontal="center" vertical="center"/>
    </xf>
    <xf numFmtId="0" fontId="1" fillId="7225" borderId="0" xfId="4" applyFill="1" applyAlignment="1">
      <alignment horizontal="center" vertical="center"/>
    </xf>
    <xf numFmtId="0" fontId="1" fillId="7226" borderId="0" xfId="4" applyFill="1" applyAlignment="1">
      <alignment horizontal="center" vertical="center"/>
    </xf>
    <xf numFmtId="0" fontId="1" fillId="7227" borderId="0" xfId="4" applyFill="1" applyAlignment="1">
      <alignment horizontal="center" vertical="center"/>
    </xf>
    <xf numFmtId="0" fontId="1" fillId="7228" borderId="0" xfId="4" applyFill="1" applyAlignment="1">
      <alignment horizontal="center" vertical="center"/>
    </xf>
    <xf numFmtId="0" fontId="1" fillId="7229" borderId="0" xfId="4" applyFill="1" applyAlignment="1">
      <alignment horizontal="center" vertical="center"/>
    </xf>
    <xf numFmtId="0" fontId="1" fillId="7230" borderId="0" xfId="4" applyFill="1" applyAlignment="1">
      <alignment horizontal="center" vertical="center"/>
    </xf>
    <xf numFmtId="0" fontId="1" fillId="7231" borderId="0" xfId="4" applyFill="1" applyAlignment="1">
      <alignment horizontal="center" vertical="center"/>
    </xf>
    <xf numFmtId="0" fontId="1" fillId="7232" borderId="0" xfId="4" applyFill="1" applyAlignment="1">
      <alignment horizontal="center" vertical="center"/>
    </xf>
    <xf numFmtId="0" fontId="1" fillId="7233" borderId="0" xfId="4" applyFill="1" applyAlignment="1">
      <alignment horizontal="center" vertical="center"/>
    </xf>
    <xf numFmtId="0" fontId="1" fillId="7234" borderId="0" xfId="4" applyFill="1" applyAlignment="1">
      <alignment horizontal="center" vertical="center"/>
    </xf>
    <xf numFmtId="0" fontId="1" fillId="7235" borderId="0" xfId="4" applyFill="1" applyAlignment="1">
      <alignment horizontal="center" vertical="center"/>
    </xf>
    <xf numFmtId="0" fontId="1" fillId="7236" borderId="0" xfId="4" applyFill="1" applyAlignment="1">
      <alignment horizontal="center" vertical="center"/>
    </xf>
    <xf numFmtId="0" fontId="1" fillId="7237" borderId="0" xfId="4" applyFill="1" applyAlignment="1">
      <alignment horizontal="left" vertical="center"/>
    </xf>
    <xf numFmtId="0" fontId="1" fillId="7238" borderId="0" xfId="4" applyFill="1" applyAlignment="1">
      <alignment horizontal="center" vertical="center"/>
    </xf>
    <xf numFmtId="0" fontId="1" fillId="7239" borderId="0" xfId="4" applyFill="1" applyAlignment="1">
      <alignment horizontal="center" vertical="center"/>
    </xf>
    <xf numFmtId="0" fontId="1" fillId="7240" borderId="0" xfId="4" applyFill="1" applyAlignment="1">
      <alignment horizontal="center" vertical="center"/>
    </xf>
    <xf numFmtId="0" fontId="1" fillId="7241" borderId="0" xfId="4" applyFill="1" applyAlignment="1">
      <alignment horizontal="center" vertical="center"/>
    </xf>
    <xf numFmtId="0" fontId="1" fillId="7242" borderId="0" xfId="4" applyFill="1" applyAlignment="1">
      <alignment horizontal="center" vertical="center"/>
    </xf>
    <xf numFmtId="0" fontId="1" fillId="7243" borderId="0" xfId="4" applyFill="1" applyAlignment="1">
      <alignment horizontal="center" vertical="center"/>
    </xf>
    <xf numFmtId="0" fontId="1" fillId="7244" borderId="0" xfId="4" applyFill="1" applyAlignment="1">
      <alignment horizontal="center" vertical="center"/>
    </xf>
    <xf numFmtId="0" fontId="1" fillId="7245" borderId="0" xfId="4" applyFill="1" applyAlignment="1">
      <alignment horizontal="center" vertical="center"/>
    </xf>
    <xf numFmtId="0" fontId="1" fillId="7246" borderId="0" xfId="4" applyFill="1" applyAlignment="1">
      <alignment horizontal="center" vertical="center"/>
    </xf>
    <xf numFmtId="0" fontId="1" fillId="7247" borderId="0" xfId="4" applyFill="1" applyAlignment="1">
      <alignment horizontal="center" vertical="center"/>
    </xf>
    <xf numFmtId="0" fontId="1" fillId="7248" borderId="0" xfId="4" applyFill="1" applyAlignment="1">
      <alignment horizontal="center" vertical="center"/>
    </xf>
    <xf numFmtId="0" fontId="1" fillId="7249" borderId="0" xfId="4" applyFill="1" applyAlignment="1">
      <alignment horizontal="center" vertical="center"/>
    </xf>
    <xf numFmtId="0" fontId="1" fillId="7250" borderId="0" xfId="4" applyFill="1" applyAlignment="1">
      <alignment horizontal="center" vertical="center"/>
    </xf>
    <xf numFmtId="0" fontId="1" fillId="7251" borderId="0" xfId="4" applyFill="1" applyAlignment="1">
      <alignment horizontal="center" vertical="center"/>
    </xf>
    <xf numFmtId="0" fontId="1" fillId="7252" borderId="0" xfId="4" applyFill="1" applyAlignment="1">
      <alignment horizontal="center" vertical="center"/>
    </xf>
    <xf numFmtId="0" fontId="1" fillId="7253" borderId="0" xfId="4" applyFill="1" applyAlignment="1">
      <alignment horizontal="center" vertical="center"/>
    </xf>
    <xf numFmtId="0" fontId="1" fillId="7254" borderId="0" xfId="4" applyFill="1" applyAlignment="1">
      <alignment horizontal="center" vertical="center"/>
    </xf>
    <xf numFmtId="0" fontId="1" fillId="7255" borderId="0" xfId="4" applyFill="1" applyAlignment="1">
      <alignment horizontal="center" vertical="center"/>
    </xf>
    <xf numFmtId="0" fontId="1" fillId="7173" borderId="0" xfId="4" applyFill="1" applyAlignment="1">
      <alignment horizontal="center" vertical="center"/>
    </xf>
    <xf numFmtId="0" fontId="1" fillId="7258" borderId="0" xfId="4" applyFill="1" applyAlignment="1">
      <alignment horizontal="center" vertical="center"/>
    </xf>
    <xf numFmtId="0" fontId="1" fillId="7261" borderId="0" xfId="4" applyFill="1" applyAlignment="1">
      <alignment horizontal="center" vertical="center"/>
    </xf>
    <xf numFmtId="0" fontId="1" fillId="7262" borderId="0" xfId="4" applyFill="1" applyAlignment="1">
      <alignment horizontal="center" vertical="center"/>
    </xf>
    <xf numFmtId="0" fontId="1" fillId="7263" borderId="0" xfId="4" applyFill="1" applyAlignment="1">
      <alignment horizontal="center" vertical="center"/>
    </xf>
    <xf numFmtId="0" fontId="1" fillId="7264" borderId="0" xfId="4" applyFill="1" applyAlignment="1">
      <alignment horizontal="center" vertical="center"/>
    </xf>
    <xf numFmtId="0" fontId="1" fillId="7265" borderId="0" xfId="4" applyFill="1" applyAlignment="1">
      <alignment horizontal="center" vertical="center"/>
    </xf>
    <xf numFmtId="0" fontId="1" fillId="7266" borderId="0" xfId="4" applyFill="1" applyAlignment="1">
      <alignment horizontal="center" vertical="center"/>
    </xf>
    <xf numFmtId="0" fontId="1" fillId="7267" borderId="0" xfId="4" applyFill="1" applyAlignment="1">
      <alignment horizontal="center" vertical="center"/>
    </xf>
    <xf numFmtId="0" fontId="1" fillId="7268" borderId="0" xfId="4" applyFill="1" applyAlignment="1">
      <alignment horizontal="center" vertical="center"/>
    </xf>
    <xf numFmtId="0" fontId="1" fillId="7269" borderId="0" xfId="4" applyFill="1" applyAlignment="1">
      <alignment horizontal="center" vertical="center"/>
    </xf>
    <xf numFmtId="0" fontId="1" fillId="7270" borderId="0" xfId="4" applyFill="1" applyAlignment="1">
      <alignment horizontal="center" vertical="center"/>
    </xf>
    <xf numFmtId="0" fontId="1" fillId="7271" borderId="0" xfId="4" applyFill="1" applyAlignment="1">
      <alignment horizontal="center" vertical="center"/>
    </xf>
    <xf numFmtId="0" fontId="1" fillId="7272" borderId="0" xfId="4" applyFill="1" applyAlignment="1">
      <alignment horizontal="center" vertical="center"/>
    </xf>
    <xf numFmtId="0" fontId="1" fillId="7273" borderId="0" xfId="4" applyFill="1" applyAlignment="1">
      <alignment horizontal="center" vertical="center"/>
    </xf>
    <xf numFmtId="0" fontId="1" fillId="7274" borderId="0" xfId="4" applyFill="1" applyAlignment="1">
      <alignment horizontal="center" vertical="center"/>
    </xf>
    <xf numFmtId="0" fontId="1" fillId="7275" borderId="0" xfId="4" applyFill="1" applyAlignment="1">
      <alignment horizontal="center" vertical="center"/>
    </xf>
    <xf numFmtId="0" fontId="1" fillId="7276" borderId="0" xfId="4" applyFill="1" applyAlignment="1">
      <alignment horizontal="center" vertical="center"/>
    </xf>
    <xf numFmtId="0" fontId="1" fillId="7277" borderId="0" xfId="4" applyFill="1" applyAlignment="1">
      <alignment horizontal="center" vertical="center"/>
    </xf>
    <xf numFmtId="0" fontId="1" fillId="7278" borderId="0" xfId="4" applyFill="1" applyAlignment="1">
      <alignment horizontal="center" vertical="center"/>
    </xf>
    <xf numFmtId="0" fontId="1" fillId="7279" borderId="0" xfId="4" applyFill="1" applyAlignment="1">
      <alignment horizontal="center" vertical="center"/>
    </xf>
    <xf numFmtId="0" fontId="1" fillId="7280" borderId="0" xfId="4" applyFill="1" applyAlignment="1">
      <alignment horizontal="center" vertical="center"/>
    </xf>
    <xf numFmtId="0" fontId="1" fillId="7281" borderId="0" xfId="4" applyFill="1" applyAlignment="1">
      <alignment horizontal="center" vertical="center"/>
    </xf>
    <xf numFmtId="0" fontId="1" fillId="7282" borderId="0" xfId="4" applyFill="1" applyAlignment="1">
      <alignment horizontal="center" vertical="center"/>
    </xf>
    <xf numFmtId="0" fontId="1" fillId="7283" borderId="0" xfId="4" applyFill="1" applyAlignment="1">
      <alignment horizontal="center" vertical="center"/>
    </xf>
    <xf numFmtId="0" fontId="1" fillId="7284" borderId="0" xfId="4" applyFill="1" applyAlignment="1">
      <alignment horizontal="center" vertical="center"/>
    </xf>
    <xf numFmtId="0" fontId="1" fillId="7285" borderId="0" xfId="4" applyFill="1" applyAlignment="1">
      <alignment horizontal="center" vertical="center"/>
    </xf>
    <xf numFmtId="0" fontId="1" fillId="7286" borderId="0" xfId="4" applyFill="1" applyAlignment="1">
      <alignment horizontal="center" vertical="center"/>
    </xf>
    <xf numFmtId="0" fontId="1" fillId="7287" borderId="0" xfId="4" applyFill="1" applyAlignment="1">
      <alignment horizontal="center" vertical="center"/>
    </xf>
    <xf numFmtId="0" fontId="1" fillId="7288" borderId="0" xfId="4" applyFill="1" applyAlignment="1">
      <alignment horizontal="center" vertical="center"/>
    </xf>
    <xf numFmtId="0" fontId="1" fillId="7289" borderId="0" xfId="4" applyFill="1" applyAlignment="1">
      <alignment horizontal="center" vertical="center"/>
    </xf>
    <xf numFmtId="0" fontId="1" fillId="7290" borderId="0" xfId="4" applyFill="1" applyAlignment="1">
      <alignment horizontal="center" vertical="center"/>
    </xf>
    <xf numFmtId="0" fontId="1" fillId="7291" borderId="0" xfId="4" applyFill="1" applyAlignment="1">
      <alignment horizontal="left" vertical="center"/>
    </xf>
    <xf numFmtId="0" fontId="1" fillId="7292" borderId="0" xfId="4" applyFill="1" applyAlignment="1">
      <alignment horizontal="center" vertical="center"/>
    </xf>
    <xf numFmtId="0" fontId="1" fillId="7293" borderId="0" xfId="4" applyFill="1" applyAlignment="1">
      <alignment horizontal="center" vertical="center"/>
    </xf>
    <xf numFmtId="0" fontId="1" fillId="7294" borderId="0" xfId="4" applyFill="1" applyAlignment="1">
      <alignment horizontal="center" vertical="center"/>
    </xf>
    <xf numFmtId="0" fontId="1" fillId="7295" borderId="0" xfId="4" applyFill="1" applyAlignment="1">
      <alignment horizontal="center" vertical="center"/>
    </xf>
    <xf numFmtId="0" fontId="1" fillId="7296" borderId="0" xfId="4" applyFill="1" applyAlignment="1">
      <alignment horizontal="center" vertical="center"/>
    </xf>
    <xf numFmtId="0" fontId="1" fillId="7297" borderId="0" xfId="4" applyFill="1" applyAlignment="1">
      <alignment horizontal="center" vertical="center"/>
    </xf>
    <xf numFmtId="0" fontId="1" fillId="7298" borderId="0" xfId="4" applyFill="1" applyAlignment="1">
      <alignment horizontal="center" vertical="center"/>
    </xf>
    <xf numFmtId="0" fontId="1" fillId="7299" borderId="0" xfId="4" applyFill="1" applyAlignment="1">
      <alignment horizontal="center" vertical="center"/>
    </xf>
    <xf numFmtId="0" fontId="1" fillId="7300" borderId="0" xfId="4" applyFill="1" applyAlignment="1">
      <alignment horizontal="center" vertical="center"/>
    </xf>
    <xf numFmtId="0" fontId="1" fillId="7301" borderId="0" xfId="4" applyFill="1" applyAlignment="1">
      <alignment horizontal="center" vertical="center"/>
    </xf>
    <xf numFmtId="0" fontId="1" fillId="7302" borderId="0" xfId="4" applyFill="1" applyAlignment="1">
      <alignment horizontal="center" vertical="center"/>
    </xf>
    <xf numFmtId="0" fontId="1" fillId="7303" borderId="0" xfId="4" applyFill="1" applyAlignment="1">
      <alignment horizontal="center" vertical="center"/>
    </xf>
    <xf numFmtId="0" fontId="1" fillId="7304" borderId="0" xfId="4" applyFill="1" applyAlignment="1">
      <alignment horizontal="center" vertical="center"/>
    </xf>
    <xf numFmtId="0" fontId="1" fillId="7305" borderId="0" xfId="4" applyFill="1" applyAlignment="1">
      <alignment horizontal="center" vertical="center"/>
    </xf>
    <xf numFmtId="0" fontId="1" fillId="7306" borderId="0" xfId="4" applyFill="1" applyAlignment="1">
      <alignment horizontal="center" vertical="center"/>
    </xf>
    <xf numFmtId="0" fontId="1" fillId="7307" borderId="0" xfId="4" applyFill="1" applyAlignment="1">
      <alignment horizontal="center" vertical="center"/>
    </xf>
    <xf numFmtId="0" fontId="1" fillId="7308" borderId="0" xfId="4" applyFill="1" applyAlignment="1">
      <alignment horizontal="center" vertical="center"/>
    </xf>
    <xf numFmtId="0" fontId="1" fillId="7309" borderId="0" xfId="4" applyFill="1" applyAlignment="1">
      <alignment horizontal="center" vertical="center"/>
    </xf>
    <xf numFmtId="0" fontId="1" fillId="7310" borderId="0" xfId="4" applyFill="1" applyAlignment="1">
      <alignment horizontal="center" vertical="center"/>
    </xf>
    <xf numFmtId="0" fontId="1" fillId="7311" borderId="0" xfId="4" applyFill="1" applyAlignment="1">
      <alignment horizontal="center" vertical="center"/>
    </xf>
    <xf numFmtId="0" fontId="1" fillId="7312" borderId="0" xfId="4" applyFill="1" applyAlignment="1">
      <alignment horizontal="center" vertical="center"/>
    </xf>
    <xf numFmtId="0" fontId="1" fillId="7313" borderId="0" xfId="4" applyFill="1" applyAlignment="1">
      <alignment horizontal="center" vertical="center"/>
    </xf>
    <xf numFmtId="0" fontId="1" fillId="7314" borderId="0" xfId="4" applyFill="1" applyAlignment="1">
      <alignment horizontal="center" vertical="center"/>
    </xf>
    <xf numFmtId="0" fontId="1" fillId="7315" borderId="0" xfId="4" applyFill="1" applyAlignment="1">
      <alignment horizontal="center" vertical="center"/>
    </xf>
    <xf numFmtId="0" fontId="1" fillId="7316" borderId="0" xfId="4" applyFill="1" applyAlignment="1">
      <alignment horizontal="center" vertical="center"/>
    </xf>
    <xf numFmtId="0" fontId="1" fillId="7317" borderId="0" xfId="4" applyFill="1" applyAlignment="1">
      <alignment horizontal="center" vertical="center"/>
    </xf>
    <xf numFmtId="0" fontId="1" fillId="7318" borderId="0" xfId="4" applyFill="1" applyAlignment="1">
      <alignment horizontal="center" vertical="center"/>
    </xf>
    <xf numFmtId="0" fontId="1" fillId="7319" borderId="0" xfId="4" applyFill="1" applyAlignment="1">
      <alignment horizontal="center" vertical="center"/>
    </xf>
    <xf numFmtId="0" fontId="1" fillId="7320" borderId="0" xfId="4" applyFill="1" applyAlignment="1">
      <alignment horizontal="center" vertical="center"/>
    </xf>
    <xf numFmtId="0" fontId="1" fillId="7321" borderId="0" xfId="4" applyFill="1" applyAlignment="1">
      <alignment horizontal="center" vertical="center"/>
    </xf>
    <xf numFmtId="0" fontId="1" fillId="7322" borderId="0" xfId="4" applyFill="1" applyAlignment="1">
      <alignment horizontal="center" vertical="center"/>
    </xf>
    <xf numFmtId="0" fontId="1" fillId="7323" borderId="0" xfId="4" applyFill="1" applyAlignment="1">
      <alignment horizontal="center" vertical="center"/>
    </xf>
    <xf numFmtId="0" fontId="1" fillId="7324" borderId="0" xfId="4" applyFill="1" applyAlignment="1">
      <alignment horizontal="center" vertical="center"/>
    </xf>
    <xf numFmtId="0" fontId="1" fillId="7325" borderId="0" xfId="4" applyFill="1" applyAlignment="1">
      <alignment horizontal="left" vertical="center"/>
    </xf>
    <xf numFmtId="0" fontId="1" fillId="7326" borderId="0" xfId="4" applyFill="1" applyAlignment="1">
      <alignment horizontal="center" vertical="center"/>
    </xf>
    <xf numFmtId="0" fontId="1" fillId="7327" borderId="0" xfId="4" applyFill="1" applyAlignment="1">
      <alignment horizontal="center" vertical="center"/>
    </xf>
    <xf numFmtId="0" fontId="1" fillId="7328" borderId="0" xfId="4" applyFill="1" applyAlignment="1">
      <alignment horizontal="center" vertical="center"/>
    </xf>
    <xf numFmtId="0" fontId="1" fillId="7329" borderId="0" xfId="4" applyFill="1" applyAlignment="1">
      <alignment horizontal="center" vertical="center"/>
    </xf>
    <xf numFmtId="0" fontId="1" fillId="7330" borderId="0" xfId="4" applyFill="1" applyAlignment="1">
      <alignment horizontal="center" vertical="center"/>
    </xf>
    <xf numFmtId="0" fontId="1" fillId="7331" borderId="0" xfId="4" applyFill="1" applyAlignment="1">
      <alignment horizontal="center" vertical="center"/>
    </xf>
    <xf numFmtId="0" fontId="1" fillId="7332" borderId="0" xfId="4" applyFill="1" applyAlignment="1">
      <alignment horizontal="center" vertical="center"/>
    </xf>
    <xf numFmtId="0" fontId="1" fillId="7333" borderId="0" xfId="4" applyFill="1" applyAlignment="1">
      <alignment horizontal="center" vertical="center"/>
    </xf>
    <xf numFmtId="0" fontId="1" fillId="7334" borderId="0" xfId="4" applyFill="1" applyAlignment="1">
      <alignment horizontal="center" vertical="center"/>
    </xf>
    <xf numFmtId="0" fontId="1" fillId="7335" borderId="0" xfId="4" applyFill="1" applyAlignment="1">
      <alignment horizontal="center" vertical="center"/>
    </xf>
    <xf numFmtId="0" fontId="1" fillId="7336" borderId="0" xfId="4" applyFill="1" applyAlignment="1">
      <alignment horizontal="center" vertical="center"/>
    </xf>
    <xf numFmtId="0" fontId="1" fillId="7337" borderId="0" xfId="4" applyFill="1" applyAlignment="1">
      <alignment horizontal="center" vertical="center"/>
    </xf>
    <xf numFmtId="0" fontId="1" fillId="7338" borderId="0" xfId="4" applyFill="1" applyAlignment="1">
      <alignment horizontal="center" vertical="center"/>
    </xf>
    <xf numFmtId="0" fontId="1" fillId="7339" borderId="0" xfId="4" applyFill="1" applyAlignment="1">
      <alignment horizontal="center" vertical="center"/>
    </xf>
    <xf numFmtId="0" fontId="1" fillId="7340" borderId="0" xfId="4" applyFill="1" applyAlignment="1">
      <alignment horizontal="center" vertical="center"/>
    </xf>
    <xf numFmtId="0" fontId="1" fillId="7341" borderId="0" xfId="4" applyFill="1" applyAlignment="1">
      <alignment horizontal="center" vertical="center"/>
    </xf>
    <xf numFmtId="0" fontId="1" fillId="7342" borderId="0" xfId="4" applyFill="1" applyAlignment="1">
      <alignment horizontal="center" vertical="center"/>
    </xf>
    <xf numFmtId="0" fontId="1" fillId="7343" borderId="0" xfId="4" applyFill="1" applyAlignment="1">
      <alignment horizontal="center" vertical="center"/>
    </xf>
    <xf numFmtId="0" fontId="1" fillId="7344" borderId="0" xfId="4" applyFill="1" applyAlignment="1">
      <alignment horizontal="center" vertical="center"/>
    </xf>
    <xf numFmtId="0" fontId="1" fillId="7345" borderId="0" xfId="4" applyFill="1" applyAlignment="1">
      <alignment horizontal="center" vertical="center"/>
    </xf>
    <xf numFmtId="0" fontId="1" fillId="7348" borderId="0" xfId="4" applyFill="1" applyAlignment="1">
      <alignment horizontal="center" vertical="center"/>
    </xf>
    <xf numFmtId="0" fontId="1" fillId="7349" borderId="0" xfId="4" applyFill="1" applyAlignment="1">
      <alignment horizontal="center" vertical="center"/>
    </xf>
    <xf numFmtId="0" fontId="1" fillId="7350" borderId="0" xfId="4" applyFill="1" applyAlignment="1">
      <alignment horizontal="center" vertical="center"/>
    </xf>
    <xf numFmtId="0" fontId="1" fillId="7351" borderId="0" xfId="4" applyFill="1" applyAlignment="1">
      <alignment horizontal="center" vertical="center"/>
    </xf>
    <xf numFmtId="0" fontId="1" fillId="7352" borderId="0" xfId="4" applyFill="1" applyAlignment="1">
      <alignment horizontal="center" vertical="center"/>
    </xf>
    <xf numFmtId="0" fontId="1" fillId="7353" borderId="0" xfId="4" applyFill="1" applyAlignment="1">
      <alignment horizontal="center" vertical="center"/>
    </xf>
    <xf numFmtId="0" fontId="1" fillId="7354" borderId="0" xfId="4" applyFill="1" applyAlignment="1">
      <alignment horizontal="center" vertical="center"/>
    </xf>
    <xf numFmtId="0" fontId="1" fillId="7355" borderId="0" xfId="4" applyFill="1" applyAlignment="1">
      <alignment horizontal="center" vertical="center"/>
    </xf>
    <xf numFmtId="0" fontId="1" fillId="7356" borderId="0" xfId="4" applyFill="1" applyAlignment="1">
      <alignment horizontal="center" vertical="center"/>
    </xf>
    <xf numFmtId="0" fontId="1" fillId="7357" borderId="0" xfId="4" applyFill="1" applyAlignment="1">
      <alignment horizontal="center" vertical="center"/>
    </xf>
    <xf numFmtId="0" fontId="1" fillId="7358" borderId="0" xfId="4" applyFill="1" applyAlignment="1">
      <alignment horizontal="center" vertical="center"/>
    </xf>
    <xf numFmtId="0" fontId="1" fillId="7359" borderId="0" xfId="4" applyFill="1" applyAlignment="1">
      <alignment horizontal="center" vertical="center"/>
    </xf>
    <xf numFmtId="0" fontId="1" fillId="7360" borderId="0" xfId="4" applyFill="1" applyAlignment="1">
      <alignment horizontal="center" vertical="center"/>
    </xf>
    <xf numFmtId="0" fontId="1" fillId="7361" borderId="0" xfId="4" applyFill="1" applyAlignment="1">
      <alignment horizontal="center" vertical="center"/>
    </xf>
    <xf numFmtId="0" fontId="1" fillId="7362" borderId="0" xfId="4" applyFill="1" applyAlignment="1">
      <alignment horizontal="center" vertical="center"/>
    </xf>
    <xf numFmtId="0" fontId="1" fillId="7363" borderId="0" xfId="4" applyFill="1" applyAlignment="1">
      <alignment horizontal="center" vertical="center"/>
    </xf>
    <xf numFmtId="0" fontId="1" fillId="7364" borderId="0" xfId="4" applyFill="1" applyAlignment="1">
      <alignment horizontal="center" vertical="center"/>
    </xf>
    <xf numFmtId="0" fontId="1" fillId="7365" borderId="0" xfId="4" applyFill="1" applyAlignment="1">
      <alignment horizontal="center" vertical="center"/>
    </xf>
    <xf numFmtId="0" fontId="1" fillId="7366" borderId="0" xfId="4" applyFill="1" applyAlignment="1">
      <alignment horizontal="center" vertical="center"/>
    </xf>
    <xf numFmtId="0" fontId="1" fillId="7367" borderId="0" xfId="4" applyFill="1" applyAlignment="1">
      <alignment horizontal="center" vertical="center"/>
    </xf>
    <xf numFmtId="0" fontId="1" fillId="7368" borderId="0" xfId="4" applyFill="1" applyAlignment="1">
      <alignment horizontal="center" vertical="center"/>
    </xf>
    <xf numFmtId="0" fontId="1" fillId="7369" borderId="0" xfId="4" applyFill="1" applyAlignment="1">
      <alignment horizontal="center" vertical="center"/>
    </xf>
    <xf numFmtId="0" fontId="1" fillId="7370" borderId="0" xfId="4" applyFill="1" applyAlignment="1">
      <alignment horizontal="center" vertical="center"/>
    </xf>
    <xf numFmtId="0" fontId="1" fillId="7371" borderId="0" xfId="4" applyFill="1" applyAlignment="1">
      <alignment horizontal="center" vertical="center"/>
    </xf>
    <xf numFmtId="0" fontId="1" fillId="7372" borderId="0" xfId="4" applyFill="1" applyAlignment="1">
      <alignment horizontal="center" vertical="center"/>
    </xf>
    <xf numFmtId="0" fontId="1" fillId="7373" borderId="0" xfId="4" applyFill="1" applyAlignment="1">
      <alignment horizontal="center" vertical="center"/>
    </xf>
    <xf numFmtId="0" fontId="1" fillId="7374" borderId="0" xfId="4" applyFill="1" applyAlignment="1">
      <alignment horizontal="center" vertical="center"/>
    </xf>
    <xf numFmtId="0" fontId="1" fillId="7375" borderId="0" xfId="4" applyFill="1" applyAlignment="1">
      <alignment horizontal="center" vertical="center"/>
    </xf>
    <xf numFmtId="0" fontId="1" fillId="7376" borderId="0" xfId="4" applyFill="1" applyAlignment="1">
      <alignment horizontal="center" vertical="center"/>
    </xf>
    <xf numFmtId="0" fontId="1" fillId="7377" borderId="0" xfId="4" applyFill="1" applyAlignment="1">
      <alignment horizontal="center" vertical="center"/>
    </xf>
    <xf numFmtId="0" fontId="1" fillId="7378" borderId="0" xfId="4" applyFill="1" applyAlignment="1">
      <alignment horizontal="center" vertical="center"/>
    </xf>
    <xf numFmtId="0" fontId="1" fillId="7379" borderId="0" xfId="4" applyFill="1" applyAlignment="1">
      <alignment horizontal="left" vertical="center"/>
    </xf>
    <xf numFmtId="0" fontId="1" fillId="7380" borderId="0" xfId="4" applyFill="1" applyAlignment="1">
      <alignment horizontal="center" vertical="center"/>
    </xf>
    <xf numFmtId="0" fontId="1" fillId="7381" borderId="0" xfId="4" applyFill="1" applyAlignment="1">
      <alignment horizontal="center" vertical="center"/>
    </xf>
    <xf numFmtId="0" fontId="1" fillId="7382" borderId="0" xfId="4" applyFill="1" applyAlignment="1">
      <alignment horizontal="center" vertical="center"/>
    </xf>
    <xf numFmtId="0" fontId="1" fillId="7383" borderId="0" xfId="4" applyFill="1" applyAlignment="1">
      <alignment horizontal="center" vertical="center"/>
    </xf>
    <xf numFmtId="0" fontId="1" fillId="7384" borderId="0" xfId="4" applyFill="1" applyAlignment="1">
      <alignment horizontal="center" vertical="center"/>
    </xf>
    <xf numFmtId="0" fontId="1" fillId="7385" borderId="0" xfId="4" applyFill="1" applyAlignment="1">
      <alignment horizontal="center" vertical="center"/>
    </xf>
    <xf numFmtId="0" fontId="1" fillId="7386" borderId="0" xfId="4" applyFill="1" applyAlignment="1">
      <alignment horizontal="center" vertical="center"/>
    </xf>
    <xf numFmtId="0" fontId="1" fillId="7387" borderId="0" xfId="4" applyFill="1" applyAlignment="1">
      <alignment horizontal="center" vertical="center"/>
    </xf>
    <xf numFmtId="0" fontId="1" fillId="7388" borderId="0" xfId="4" applyFill="1" applyAlignment="1">
      <alignment horizontal="center" vertical="center"/>
    </xf>
    <xf numFmtId="0" fontId="1" fillId="7389" borderId="0" xfId="4" applyFill="1" applyAlignment="1">
      <alignment horizontal="center" vertical="center"/>
    </xf>
    <xf numFmtId="0" fontId="1" fillId="7390" borderId="0" xfId="4" applyFill="1" applyAlignment="1">
      <alignment horizontal="center" vertical="center"/>
    </xf>
    <xf numFmtId="0" fontId="1" fillId="7391" borderId="0" xfId="4" applyFill="1" applyAlignment="1">
      <alignment horizontal="center" vertical="center"/>
    </xf>
    <xf numFmtId="0" fontId="1" fillId="7392" borderId="0" xfId="4" applyFill="1" applyAlignment="1">
      <alignment horizontal="center" vertical="center"/>
    </xf>
    <xf numFmtId="0" fontId="1" fillId="7393" borderId="0" xfId="4" applyFill="1" applyAlignment="1">
      <alignment horizontal="center" vertical="center"/>
    </xf>
    <xf numFmtId="0" fontId="1" fillId="7394" borderId="0" xfId="4" applyFill="1" applyAlignment="1">
      <alignment horizontal="center" vertical="center"/>
    </xf>
    <xf numFmtId="0" fontId="1" fillId="7395" borderId="0" xfId="4" applyFill="1" applyAlignment="1">
      <alignment horizontal="center" vertical="center"/>
    </xf>
    <xf numFmtId="0" fontId="1" fillId="7396" borderId="0" xfId="4" applyFill="1" applyAlignment="1">
      <alignment horizontal="center" vertical="center"/>
    </xf>
    <xf numFmtId="0" fontId="1" fillId="7397" borderId="0" xfId="4" applyFill="1" applyAlignment="1">
      <alignment horizontal="center" vertical="center"/>
    </xf>
    <xf numFmtId="0" fontId="1" fillId="7398" borderId="0" xfId="4" applyFill="1" applyAlignment="1">
      <alignment horizontal="center" vertical="center"/>
    </xf>
    <xf numFmtId="0" fontId="1" fillId="7399" borderId="0" xfId="4" applyFill="1" applyAlignment="1">
      <alignment horizontal="center" vertical="center"/>
    </xf>
    <xf numFmtId="0" fontId="1" fillId="7400" borderId="0" xfId="4" applyFill="1" applyAlignment="1">
      <alignment horizontal="center" vertical="center"/>
    </xf>
    <xf numFmtId="0" fontId="1" fillId="7401" borderId="0" xfId="4" applyFill="1" applyAlignment="1">
      <alignment horizontal="center" vertical="center"/>
    </xf>
    <xf numFmtId="0" fontId="1" fillId="7402" borderId="0" xfId="4" applyFill="1" applyAlignment="1">
      <alignment horizontal="center" vertical="center"/>
    </xf>
    <xf numFmtId="0" fontId="1" fillId="7403" borderId="0" xfId="4" applyFill="1" applyAlignment="1">
      <alignment horizontal="center" vertical="center"/>
    </xf>
    <xf numFmtId="0" fontId="1" fillId="7404" borderId="0" xfId="4" applyFill="1" applyAlignment="1">
      <alignment horizontal="center" vertical="center"/>
    </xf>
    <xf numFmtId="0" fontId="1" fillId="7405" borderId="0" xfId="4" applyFill="1" applyAlignment="1">
      <alignment horizontal="center" vertical="center"/>
    </xf>
    <xf numFmtId="0" fontId="1" fillId="7406" borderId="0" xfId="4" applyFill="1" applyAlignment="1">
      <alignment horizontal="center" vertical="center"/>
    </xf>
    <xf numFmtId="0" fontId="1" fillId="7407" borderId="0" xfId="4" applyFill="1" applyAlignment="1">
      <alignment horizontal="center" vertical="center"/>
    </xf>
    <xf numFmtId="0" fontId="1" fillId="7408" borderId="0" xfId="4" applyFill="1" applyAlignment="1">
      <alignment horizontal="center" vertical="center"/>
    </xf>
    <xf numFmtId="0" fontId="1" fillId="7409" borderId="0" xfId="4" applyFill="1" applyAlignment="1">
      <alignment horizontal="center" vertical="center"/>
    </xf>
    <xf numFmtId="0" fontId="1" fillId="7410" borderId="0" xfId="4" applyFill="1" applyAlignment="1">
      <alignment horizontal="center" vertical="center"/>
    </xf>
    <xf numFmtId="0" fontId="1" fillId="7411" borderId="0" xfId="4" applyFill="1" applyAlignment="1">
      <alignment horizontal="left" vertical="center"/>
    </xf>
    <xf numFmtId="0" fontId="1" fillId="7412" borderId="0" xfId="4" applyFill="1" applyAlignment="1">
      <alignment horizontal="center" vertical="center"/>
    </xf>
    <xf numFmtId="0" fontId="1" fillId="7413" borderId="0" xfId="4" applyFill="1" applyAlignment="1">
      <alignment horizontal="center" vertical="center"/>
    </xf>
    <xf numFmtId="0" fontId="1" fillId="7414" borderId="0" xfId="4" applyFill="1" applyAlignment="1">
      <alignment horizontal="center" vertical="center"/>
    </xf>
    <xf numFmtId="0" fontId="1" fillId="7415" borderId="0" xfId="4" applyFill="1" applyAlignment="1">
      <alignment horizontal="center" vertical="center"/>
    </xf>
    <xf numFmtId="0" fontId="1" fillId="7416" borderId="0" xfId="4" applyFill="1" applyAlignment="1">
      <alignment horizontal="center" vertical="center"/>
    </xf>
    <xf numFmtId="0" fontId="1" fillId="7417" borderId="0" xfId="4" applyFill="1" applyAlignment="1">
      <alignment horizontal="center" vertical="center"/>
    </xf>
    <xf numFmtId="0" fontId="1" fillId="7418" borderId="0" xfId="4" applyFill="1" applyAlignment="1">
      <alignment horizontal="center" vertical="center"/>
    </xf>
    <xf numFmtId="0" fontId="1" fillId="7419" borderId="0" xfId="4" applyFill="1" applyAlignment="1">
      <alignment horizontal="center" vertical="center"/>
    </xf>
    <xf numFmtId="0" fontId="1" fillId="7420" borderId="0" xfId="4" applyFill="1" applyAlignment="1">
      <alignment horizontal="center" vertical="center"/>
    </xf>
    <xf numFmtId="0" fontId="1" fillId="7421" borderId="0" xfId="4" applyFill="1" applyAlignment="1">
      <alignment horizontal="center" vertical="center"/>
    </xf>
    <xf numFmtId="0" fontId="1" fillId="7422" borderId="0" xfId="4" applyFill="1" applyAlignment="1">
      <alignment horizontal="center" vertical="center"/>
    </xf>
    <xf numFmtId="0" fontId="1" fillId="7423" borderId="0" xfId="4" applyFill="1" applyAlignment="1">
      <alignment horizontal="center" vertical="center"/>
    </xf>
    <xf numFmtId="0" fontId="1" fillId="7424" borderId="0" xfId="4" applyFill="1" applyAlignment="1">
      <alignment horizontal="center" vertical="center"/>
    </xf>
    <xf numFmtId="0" fontId="1" fillId="7425" borderId="0" xfId="4" applyFill="1" applyAlignment="1">
      <alignment horizontal="center" vertical="center"/>
    </xf>
    <xf numFmtId="0" fontId="1" fillId="7426" borderId="0" xfId="4" applyFill="1" applyAlignment="1">
      <alignment horizontal="center" vertical="center"/>
    </xf>
    <xf numFmtId="0" fontId="1" fillId="7427" borderId="0" xfId="4" applyFill="1" applyAlignment="1">
      <alignment horizontal="center" vertical="center"/>
    </xf>
    <xf numFmtId="0" fontId="1" fillId="7428" borderId="0" xfId="4" applyFill="1" applyAlignment="1">
      <alignment horizontal="center" vertical="center"/>
    </xf>
    <xf numFmtId="0" fontId="1" fillId="7429" borderId="0" xfId="4" applyFill="1" applyAlignment="1">
      <alignment horizontal="center" vertical="center"/>
    </xf>
    <xf numFmtId="0" fontId="1" fillId="7430" borderId="0" xfId="4" applyFill="1" applyAlignment="1">
      <alignment horizontal="center" vertical="center"/>
    </xf>
    <xf numFmtId="0" fontId="1" fillId="7431" borderId="0" xfId="4" applyFill="1" applyAlignment="1">
      <alignment horizontal="center" vertical="center"/>
    </xf>
    <xf numFmtId="0" fontId="1" fillId="7435" borderId="0" xfId="4" applyFill="1" applyAlignment="1">
      <alignment horizontal="center" vertical="center"/>
    </xf>
    <xf numFmtId="0" fontId="1" fillId="7436" borderId="0" xfId="4" applyFill="1" applyAlignment="1">
      <alignment horizontal="center" vertical="center"/>
    </xf>
    <xf numFmtId="0" fontId="1" fillId="7437" borderId="0" xfId="4" applyFill="1" applyAlignment="1">
      <alignment horizontal="center" vertical="center"/>
    </xf>
    <xf numFmtId="0" fontId="1" fillId="7438" borderId="0" xfId="4" applyFill="1" applyAlignment="1">
      <alignment horizontal="center" vertical="center"/>
    </xf>
    <xf numFmtId="0" fontId="1" fillId="7439" borderId="0" xfId="4" applyFill="1" applyAlignment="1">
      <alignment horizontal="center" vertical="center"/>
    </xf>
    <xf numFmtId="0" fontId="1" fillId="7440" borderId="0" xfId="4" applyFill="1" applyAlignment="1">
      <alignment horizontal="center" vertical="center"/>
    </xf>
    <xf numFmtId="0" fontId="1" fillId="7441" borderId="0" xfId="4" applyFill="1" applyAlignment="1">
      <alignment horizontal="center" vertical="center"/>
    </xf>
    <xf numFmtId="0" fontId="1" fillId="7442" borderId="0" xfId="4" applyFill="1" applyAlignment="1">
      <alignment horizontal="center" vertical="center"/>
    </xf>
    <xf numFmtId="0" fontId="1" fillId="7443" borderId="0" xfId="4" applyFill="1" applyAlignment="1">
      <alignment horizontal="center" vertical="center"/>
    </xf>
    <xf numFmtId="0" fontId="1" fillId="7444" borderId="0" xfId="4" applyFill="1" applyAlignment="1">
      <alignment horizontal="center" vertical="center"/>
    </xf>
    <xf numFmtId="0" fontId="1" fillId="7445" borderId="0" xfId="4" applyFill="1" applyAlignment="1">
      <alignment horizontal="center" vertical="center"/>
    </xf>
    <xf numFmtId="0" fontId="1" fillId="7446" borderId="0" xfId="4" applyFill="1" applyAlignment="1">
      <alignment horizontal="center" vertical="center"/>
    </xf>
    <xf numFmtId="0" fontId="1" fillId="7447" borderId="0" xfId="4" applyFill="1" applyAlignment="1">
      <alignment horizontal="center" vertical="center"/>
    </xf>
    <xf numFmtId="0" fontId="1" fillId="7448" borderId="0" xfId="4" applyFill="1" applyAlignment="1">
      <alignment horizontal="center" vertical="center"/>
    </xf>
    <xf numFmtId="0" fontId="1" fillId="7449" borderId="0" xfId="4" applyFill="1" applyAlignment="1">
      <alignment horizontal="center" vertical="center"/>
    </xf>
    <xf numFmtId="0" fontId="1" fillId="7450" borderId="0" xfId="4" applyFill="1" applyAlignment="1">
      <alignment horizontal="center" vertical="center"/>
    </xf>
    <xf numFmtId="0" fontId="1" fillId="7451" borderId="0" xfId="4" applyFill="1" applyAlignment="1">
      <alignment horizontal="center" vertical="center"/>
    </xf>
    <xf numFmtId="0" fontId="1" fillId="7452" borderId="0" xfId="4" applyFill="1" applyAlignment="1">
      <alignment horizontal="center" vertical="center"/>
    </xf>
    <xf numFmtId="0" fontId="1" fillId="7453" borderId="0" xfId="4" applyFill="1" applyAlignment="1">
      <alignment horizontal="center" vertical="center"/>
    </xf>
    <xf numFmtId="0" fontId="1" fillId="7454" borderId="0" xfId="4" applyFill="1" applyAlignment="1">
      <alignment horizontal="center" vertical="center"/>
    </xf>
    <xf numFmtId="0" fontId="1" fillId="7455" borderId="0" xfId="4" applyFill="1" applyAlignment="1">
      <alignment horizontal="center" vertical="center"/>
    </xf>
    <xf numFmtId="0" fontId="1" fillId="7456" borderId="0" xfId="4" applyFill="1" applyAlignment="1">
      <alignment horizontal="center" vertical="center"/>
    </xf>
    <xf numFmtId="0" fontId="1" fillId="7457" borderId="0" xfId="4" applyFill="1" applyAlignment="1">
      <alignment horizontal="center" vertical="center"/>
    </xf>
    <xf numFmtId="0" fontId="1" fillId="7458" borderId="0" xfId="4" applyFill="1" applyAlignment="1">
      <alignment horizontal="center" vertical="center"/>
    </xf>
    <xf numFmtId="0" fontId="1" fillId="7459" borderId="0" xfId="4" applyFill="1" applyAlignment="1">
      <alignment horizontal="center" vertical="center"/>
    </xf>
    <xf numFmtId="0" fontId="1" fillId="7460" borderId="0" xfId="4" applyFill="1" applyAlignment="1">
      <alignment horizontal="center" vertical="center"/>
    </xf>
    <xf numFmtId="0" fontId="1" fillId="7461" borderId="0" xfId="4" applyFill="1" applyAlignment="1">
      <alignment horizontal="center" vertical="center"/>
    </xf>
    <xf numFmtId="0" fontId="1" fillId="7462" borderId="0" xfId="4" applyFill="1" applyAlignment="1">
      <alignment horizontal="center" vertical="center"/>
    </xf>
    <xf numFmtId="0" fontId="1" fillId="7463" borderId="0" xfId="4" applyFill="1" applyAlignment="1">
      <alignment horizontal="center" vertical="center"/>
    </xf>
    <xf numFmtId="0" fontId="1" fillId="7464" borderId="0" xfId="4" applyFill="1" applyAlignment="1">
      <alignment horizontal="center" vertical="center"/>
    </xf>
    <xf numFmtId="0" fontId="1" fillId="7465" borderId="0" xfId="4" applyFill="1" applyAlignment="1">
      <alignment horizontal="center" vertical="center"/>
    </xf>
    <xf numFmtId="0" fontId="1" fillId="7466" borderId="0" xfId="4" applyFill="1" applyAlignment="1">
      <alignment horizontal="left" vertical="center"/>
    </xf>
    <xf numFmtId="0" fontId="1" fillId="7467" borderId="0" xfId="4" applyFill="1" applyAlignment="1">
      <alignment horizontal="center" vertical="center"/>
    </xf>
    <xf numFmtId="0" fontId="1" fillId="7468" borderId="0" xfId="4" applyFill="1" applyAlignment="1">
      <alignment horizontal="center" vertical="center"/>
    </xf>
    <xf numFmtId="0" fontId="1" fillId="7469" borderId="0" xfId="4" applyFill="1" applyAlignment="1">
      <alignment horizontal="center" vertical="center"/>
    </xf>
    <xf numFmtId="0" fontId="1" fillId="7470" borderId="0" xfId="4" applyFill="1" applyAlignment="1">
      <alignment horizontal="center" vertical="center"/>
    </xf>
    <xf numFmtId="0" fontId="1" fillId="7471" borderId="0" xfId="4" applyFill="1" applyAlignment="1">
      <alignment horizontal="center" vertical="center"/>
    </xf>
    <xf numFmtId="0" fontId="1" fillId="7472" borderId="0" xfId="4" applyFill="1" applyAlignment="1">
      <alignment horizontal="center" vertical="center"/>
    </xf>
    <xf numFmtId="0" fontId="1" fillId="7473" borderId="0" xfId="4" applyFill="1" applyAlignment="1">
      <alignment horizontal="center" vertical="center"/>
    </xf>
    <xf numFmtId="0" fontId="1" fillId="7474" borderId="0" xfId="4" applyFill="1" applyAlignment="1">
      <alignment horizontal="center" vertical="center"/>
    </xf>
    <xf numFmtId="0" fontId="1" fillId="7475" borderId="0" xfId="4" applyFill="1" applyAlignment="1">
      <alignment horizontal="center" vertical="center"/>
    </xf>
    <xf numFmtId="0" fontId="1" fillId="7476" borderId="0" xfId="4" applyFill="1" applyAlignment="1">
      <alignment horizontal="center" vertical="center"/>
    </xf>
    <xf numFmtId="0" fontId="1" fillId="7477" borderId="0" xfId="4" applyFill="1" applyAlignment="1">
      <alignment horizontal="center" vertical="center"/>
    </xf>
    <xf numFmtId="0" fontId="1" fillId="7478" borderId="0" xfId="4" applyFill="1" applyAlignment="1">
      <alignment horizontal="center" vertical="center"/>
    </xf>
    <xf numFmtId="0" fontId="1" fillId="7479" borderId="0" xfId="4" applyFill="1" applyAlignment="1">
      <alignment horizontal="center" vertical="center"/>
    </xf>
    <xf numFmtId="0" fontId="1" fillId="7480" borderId="0" xfId="4" applyFill="1" applyAlignment="1">
      <alignment horizontal="center" vertical="center"/>
    </xf>
    <xf numFmtId="0" fontId="1" fillId="7481" borderId="0" xfId="4" applyFill="1" applyAlignment="1">
      <alignment horizontal="center" vertical="center"/>
    </xf>
    <xf numFmtId="0" fontId="1" fillId="7482" borderId="0" xfId="4" applyFill="1" applyAlignment="1">
      <alignment horizontal="center" vertical="center"/>
    </xf>
    <xf numFmtId="0" fontId="1" fillId="7483" borderId="0" xfId="4" applyFill="1" applyAlignment="1">
      <alignment horizontal="center" vertical="center"/>
    </xf>
    <xf numFmtId="0" fontId="1" fillId="7484" borderId="0" xfId="4" applyFill="1" applyAlignment="1">
      <alignment horizontal="center" vertical="center"/>
    </xf>
    <xf numFmtId="0" fontId="1" fillId="7485" borderId="0" xfId="4" applyFill="1" applyAlignment="1">
      <alignment horizontal="center" vertical="center"/>
    </xf>
    <xf numFmtId="0" fontId="1" fillId="7486" borderId="0" xfId="4" applyFill="1" applyAlignment="1">
      <alignment horizontal="center" vertical="center"/>
    </xf>
    <xf numFmtId="0" fontId="1" fillId="7487" borderId="0" xfId="4" applyFill="1" applyAlignment="1">
      <alignment horizontal="center" vertical="center"/>
    </xf>
    <xf numFmtId="0" fontId="1" fillId="7488" borderId="0" xfId="4" applyFill="1" applyAlignment="1">
      <alignment horizontal="center" vertical="center"/>
    </xf>
    <xf numFmtId="0" fontId="1" fillId="7489" borderId="0" xfId="4" applyFill="1" applyAlignment="1">
      <alignment horizontal="center" vertical="center"/>
    </xf>
    <xf numFmtId="0" fontId="1" fillId="7490" borderId="0" xfId="4" applyFill="1" applyAlignment="1">
      <alignment horizontal="center" vertical="center"/>
    </xf>
    <xf numFmtId="0" fontId="1" fillId="7491" borderId="0" xfId="4" applyFill="1" applyAlignment="1">
      <alignment horizontal="center" vertical="center"/>
    </xf>
    <xf numFmtId="0" fontId="1" fillId="7492" borderId="0" xfId="4" applyFill="1" applyAlignment="1">
      <alignment horizontal="center" vertical="center"/>
    </xf>
    <xf numFmtId="0" fontId="1" fillId="7493" borderId="0" xfId="4" applyFill="1" applyAlignment="1">
      <alignment horizontal="center" vertical="center"/>
    </xf>
    <xf numFmtId="0" fontId="1" fillId="7494" borderId="0" xfId="4" applyFill="1" applyAlignment="1">
      <alignment horizontal="center" vertical="center"/>
    </xf>
    <xf numFmtId="0" fontId="1" fillId="7495" borderId="0" xfId="4" applyFill="1" applyAlignment="1">
      <alignment horizontal="center" vertical="center"/>
    </xf>
    <xf numFmtId="0" fontId="1" fillId="7496" borderId="0" xfId="4" applyFill="1" applyAlignment="1">
      <alignment horizontal="center" vertical="center"/>
    </xf>
    <xf numFmtId="0" fontId="1" fillId="7497" borderId="0" xfId="4" applyFill="1" applyAlignment="1">
      <alignment horizontal="center" vertical="center"/>
    </xf>
    <xf numFmtId="0" fontId="1" fillId="7498" borderId="0" xfId="4" applyFill="1" applyAlignment="1">
      <alignment horizontal="left" vertical="center"/>
    </xf>
    <xf numFmtId="0" fontId="1" fillId="7499" borderId="0" xfId="4" applyFill="1" applyAlignment="1">
      <alignment horizontal="center" vertical="center"/>
    </xf>
    <xf numFmtId="0" fontId="1" fillId="7500" borderId="0" xfId="4" applyFill="1" applyAlignment="1">
      <alignment horizontal="center" vertical="center"/>
    </xf>
    <xf numFmtId="0" fontId="1" fillId="7501" borderId="0" xfId="4" applyFill="1" applyAlignment="1">
      <alignment horizontal="center" vertical="center"/>
    </xf>
    <xf numFmtId="0" fontId="1" fillId="7502" borderId="0" xfId="4" applyFill="1" applyAlignment="1">
      <alignment horizontal="center" vertical="center"/>
    </xf>
    <xf numFmtId="0" fontId="1" fillId="7503" borderId="0" xfId="4" applyFill="1" applyAlignment="1">
      <alignment horizontal="center" vertical="center"/>
    </xf>
    <xf numFmtId="0" fontId="1" fillId="7504" borderId="0" xfId="4" applyFill="1" applyAlignment="1">
      <alignment horizontal="center" vertical="center"/>
    </xf>
    <xf numFmtId="0" fontId="1" fillId="7505" borderId="0" xfId="4" applyFill="1" applyAlignment="1">
      <alignment horizontal="center" vertical="center"/>
    </xf>
    <xf numFmtId="0" fontId="1" fillId="7506" borderId="0" xfId="4" applyFill="1" applyAlignment="1">
      <alignment horizontal="center" vertical="center"/>
    </xf>
    <xf numFmtId="0" fontId="1" fillId="7507" borderId="0" xfId="4" applyFill="1" applyAlignment="1">
      <alignment horizontal="center" vertical="center"/>
    </xf>
    <xf numFmtId="0" fontId="1" fillId="7508" borderId="0" xfId="4" applyFill="1" applyAlignment="1">
      <alignment horizontal="center" vertical="center"/>
    </xf>
    <xf numFmtId="0" fontId="1" fillId="7509" borderId="0" xfId="4" applyFill="1" applyAlignment="1">
      <alignment horizontal="center" vertical="center"/>
    </xf>
    <xf numFmtId="0" fontId="1" fillId="7510" borderId="0" xfId="4" applyFill="1" applyAlignment="1">
      <alignment horizontal="center" vertical="center"/>
    </xf>
    <xf numFmtId="0" fontId="1" fillId="7511" borderId="0" xfId="4" applyFill="1" applyAlignment="1">
      <alignment horizontal="center" vertical="center"/>
    </xf>
    <xf numFmtId="0" fontId="1" fillId="7512" borderId="0" xfId="4" applyFill="1" applyAlignment="1">
      <alignment horizontal="center" vertical="center"/>
    </xf>
    <xf numFmtId="0" fontId="1" fillId="7513" borderId="0" xfId="4" applyFill="1" applyAlignment="1">
      <alignment horizontal="center" vertical="center"/>
    </xf>
    <xf numFmtId="0" fontId="1" fillId="7514" borderId="0" xfId="4" applyFill="1" applyAlignment="1">
      <alignment horizontal="center" vertical="center"/>
    </xf>
    <xf numFmtId="0" fontId="1" fillId="7515" borderId="0" xfId="4" applyFill="1" applyAlignment="1">
      <alignment horizontal="center" vertical="center"/>
    </xf>
    <xf numFmtId="0" fontId="1" fillId="7516" borderId="0" xfId="4" applyFill="1" applyAlignment="1">
      <alignment horizontal="center" vertical="center"/>
    </xf>
    <xf numFmtId="0" fontId="1" fillId="7517" borderId="0" xfId="4" applyFill="1" applyAlignment="1">
      <alignment horizontal="center" vertical="center"/>
    </xf>
    <xf numFmtId="0" fontId="1" fillId="7519" borderId="0" xfId="4" applyFill="1" applyAlignment="1">
      <alignment horizontal="center" vertical="center"/>
    </xf>
    <xf numFmtId="0" fontId="1" fillId="7520" borderId="0" xfId="4" applyFill="1" applyAlignment="1">
      <alignment horizontal="center" vertical="center"/>
    </xf>
    <xf numFmtId="0" fontId="1" fillId="7521" borderId="0" xfId="4" applyFill="1" applyAlignment="1">
      <alignment horizontal="center" vertical="center"/>
    </xf>
    <xf numFmtId="0" fontId="1" fillId="7522" borderId="0" xfId="4" applyFill="1" applyAlignment="1">
      <alignment horizontal="center" vertical="center"/>
    </xf>
    <xf numFmtId="0" fontId="1" fillId="7523" borderId="0" xfId="4" applyFill="1" applyAlignment="1">
      <alignment horizontal="center" vertical="center"/>
    </xf>
    <xf numFmtId="0" fontId="1" fillId="7524" borderId="0" xfId="4" applyFill="1" applyAlignment="1">
      <alignment horizontal="center" vertical="center"/>
    </xf>
    <xf numFmtId="0" fontId="1" fillId="7525" borderId="0" xfId="4" applyFill="1" applyAlignment="1">
      <alignment horizontal="center" vertical="center"/>
    </xf>
    <xf numFmtId="0" fontId="1" fillId="7526" borderId="0" xfId="4" applyFill="1" applyAlignment="1">
      <alignment horizontal="center" vertical="center"/>
    </xf>
    <xf numFmtId="0" fontId="1" fillId="7527" borderId="0" xfId="4" applyFill="1" applyAlignment="1">
      <alignment horizontal="center" vertical="center"/>
    </xf>
    <xf numFmtId="0" fontId="1" fillId="7528" borderId="0" xfId="4" applyFill="1" applyAlignment="1">
      <alignment horizontal="center" vertical="center"/>
    </xf>
    <xf numFmtId="0" fontId="1" fillId="7529" borderId="0" xfId="4" applyFill="1" applyAlignment="1">
      <alignment horizontal="center" vertical="center"/>
    </xf>
    <xf numFmtId="0" fontId="1" fillId="7530" borderId="0" xfId="4" applyFill="1" applyAlignment="1">
      <alignment horizontal="center" vertical="center"/>
    </xf>
    <xf numFmtId="0" fontId="1" fillId="7531" borderId="0" xfId="4" applyFill="1" applyAlignment="1">
      <alignment horizontal="center" vertical="center"/>
    </xf>
    <xf numFmtId="0" fontId="1" fillId="7532" borderId="0" xfId="4" applyFill="1" applyAlignment="1">
      <alignment horizontal="center" vertical="center"/>
    </xf>
    <xf numFmtId="0" fontId="1" fillId="7533" borderId="0" xfId="4" applyFill="1" applyAlignment="1">
      <alignment horizontal="center" vertical="center"/>
    </xf>
    <xf numFmtId="0" fontId="1" fillId="7534" borderId="0" xfId="4" applyFill="1" applyAlignment="1">
      <alignment horizontal="center" vertical="center"/>
    </xf>
    <xf numFmtId="0" fontId="1" fillId="7535" borderId="0" xfId="4" applyFill="1" applyAlignment="1">
      <alignment horizontal="center" vertical="center"/>
    </xf>
    <xf numFmtId="0" fontId="1" fillId="7536" borderId="0" xfId="4" applyFill="1" applyAlignment="1">
      <alignment horizontal="center" vertical="center"/>
    </xf>
    <xf numFmtId="0" fontId="1" fillId="7537" borderId="0" xfId="4" applyFill="1" applyAlignment="1">
      <alignment horizontal="center" vertical="center"/>
    </xf>
    <xf numFmtId="0" fontId="1" fillId="7538" borderId="0" xfId="4" applyFill="1" applyAlignment="1">
      <alignment horizontal="center" vertical="center"/>
    </xf>
    <xf numFmtId="0" fontId="1" fillId="7539" borderId="0" xfId="4" applyFill="1" applyAlignment="1">
      <alignment horizontal="center" vertical="center"/>
    </xf>
    <xf numFmtId="0" fontId="1" fillId="7540" borderId="0" xfId="4" applyFill="1" applyAlignment="1">
      <alignment horizontal="center" vertical="center"/>
    </xf>
    <xf numFmtId="0" fontId="1" fillId="7541" borderId="0" xfId="4" applyFill="1" applyAlignment="1">
      <alignment horizontal="center" vertical="center"/>
    </xf>
    <xf numFmtId="0" fontId="1" fillId="7542" borderId="0" xfId="4" applyFill="1" applyAlignment="1">
      <alignment horizontal="center" vertical="center"/>
    </xf>
    <xf numFmtId="0" fontId="1" fillId="7543" borderId="0" xfId="4" applyFill="1" applyAlignment="1">
      <alignment horizontal="center" vertical="center"/>
    </xf>
    <xf numFmtId="0" fontId="1" fillId="7544" borderId="0" xfId="4" applyFill="1" applyAlignment="1">
      <alignment horizontal="center" vertical="center"/>
    </xf>
    <xf numFmtId="0" fontId="1" fillId="7545" borderId="0" xfId="4" applyFill="1" applyAlignment="1">
      <alignment horizontal="center" vertical="center"/>
    </xf>
    <xf numFmtId="0" fontId="1" fillId="7546" borderId="0" xfId="4" applyFill="1" applyAlignment="1">
      <alignment horizontal="center" vertical="center"/>
    </xf>
    <xf numFmtId="0" fontId="1" fillId="7547" borderId="0" xfId="4" applyFill="1" applyAlignment="1">
      <alignment horizontal="center" vertical="center"/>
    </xf>
    <xf numFmtId="0" fontId="1" fillId="7548" borderId="0" xfId="4" applyFill="1" applyAlignment="1">
      <alignment horizontal="center" vertical="center"/>
    </xf>
    <xf numFmtId="0" fontId="1" fillId="7549" borderId="0" xfId="4" applyFill="1" applyAlignment="1">
      <alignment horizontal="center" vertical="center"/>
    </xf>
    <xf numFmtId="0" fontId="1" fillId="7550" borderId="0" xfId="4" applyFill="1" applyAlignment="1">
      <alignment horizontal="center" vertical="center"/>
    </xf>
    <xf numFmtId="0" fontId="1" fillId="7551" borderId="0" xfId="4" applyFill="1" applyAlignment="1">
      <alignment horizontal="left" vertical="center"/>
    </xf>
    <xf numFmtId="0" fontId="1" fillId="7552" borderId="0" xfId="4" applyFill="1" applyAlignment="1">
      <alignment horizontal="center" vertical="center"/>
    </xf>
    <xf numFmtId="0" fontId="1" fillId="7553" borderId="0" xfId="4" applyFill="1" applyAlignment="1">
      <alignment horizontal="center" vertical="center"/>
    </xf>
    <xf numFmtId="0" fontId="1" fillId="7554" borderId="0" xfId="4" applyFill="1" applyAlignment="1">
      <alignment horizontal="center" vertical="center"/>
    </xf>
    <xf numFmtId="0" fontId="1" fillId="7555" borderId="0" xfId="4" applyFill="1" applyAlignment="1">
      <alignment horizontal="center" vertical="center"/>
    </xf>
    <xf numFmtId="0" fontId="1" fillId="7556" borderId="0" xfId="4" applyFill="1" applyAlignment="1">
      <alignment horizontal="center" vertical="center"/>
    </xf>
    <xf numFmtId="0" fontId="1" fillId="7557" borderId="0" xfId="4" applyFill="1" applyAlignment="1">
      <alignment horizontal="center" vertical="center"/>
    </xf>
    <xf numFmtId="0" fontId="1" fillId="7558" borderId="0" xfId="4" applyFill="1" applyAlignment="1">
      <alignment horizontal="center" vertical="center"/>
    </xf>
    <xf numFmtId="0" fontId="1" fillId="7559" borderId="0" xfId="4" applyFill="1" applyAlignment="1">
      <alignment horizontal="center" vertical="center"/>
    </xf>
    <xf numFmtId="0" fontId="1" fillId="7560" borderId="0" xfId="4" applyFill="1" applyAlignment="1">
      <alignment horizontal="center" vertical="center"/>
    </xf>
    <xf numFmtId="0" fontId="1" fillId="7561" borderId="0" xfId="4" applyFill="1" applyAlignment="1">
      <alignment horizontal="center" vertical="center"/>
    </xf>
    <xf numFmtId="0" fontId="1" fillId="7562" borderId="0" xfId="4" applyFill="1" applyAlignment="1">
      <alignment horizontal="center" vertical="center"/>
    </xf>
    <xf numFmtId="0" fontId="1" fillId="7563" borderId="0" xfId="4" applyFill="1" applyAlignment="1">
      <alignment horizontal="center" vertical="center"/>
    </xf>
    <xf numFmtId="0" fontId="1" fillId="7564" borderId="0" xfId="4" applyFill="1" applyAlignment="1">
      <alignment horizontal="center" vertical="center"/>
    </xf>
    <xf numFmtId="0" fontId="1" fillId="7565" borderId="0" xfId="4" applyFill="1" applyAlignment="1">
      <alignment horizontal="center" vertical="center"/>
    </xf>
    <xf numFmtId="0" fontId="1" fillId="7566" borderId="0" xfId="4" applyFill="1" applyAlignment="1">
      <alignment horizontal="center" vertical="center"/>
    </xf>
    <xf numFmtId="0" fontId="1" fillId="7567" borderId="0" xfId="4" applyFill="1" applyAlignment="1">
      <alignment horizontal="center" vertical="center"/>
    </xf>
    <xf numFmtId="0" fontId="1" fillId="7568" borderId="0" xfId="4" applyFill="1" applyAlignment="1">
      <alignment horizontal="center" vertical="center"/>
    </xf>
    <xf numFmtId="0" fontId="1" fillId="7569" borderId="0" xfId="4" applyFill="1" applyAlignment="1">
      <alignment horizontal="center" vertical="center"/>
    </xf>
    <xf numFmtId="0" fontId="1" fillId="7570" borderId="0" xfId="4" applyFill="1" applyAlignment="1">
      <alignment horizontal="center" vertical="center"/>
    </xf>
    <xf numFmtId="0" fontId="1" fillId="7571" borderId="0" xfId="4" applyFill="1" applyAlignment="1">
      <alignment horizontal="center" vertical="center"/>
    </xf>
    <xf numFmtId="0" fontId="1" fillId="7572" borderId="0" xfId="4" applyFill="1" applyAlignment="1">
      <alignment horizontal="center" vertical="center"/>
    </xf>
    <xf numFmtId="0" fontId="1" fillId="7573" borderId="0" xfId="4" applyFill="1" applyAlignment="1">
      <alignment horizontal="center" vertical="center"/>
    </xf>
    <xf numFmtId="0" fontId="1" fillId="7574" borderId="0" xfId="4" applyFill="1" applyAlignment="1">
      <alignment horizontal="center" vertical="center"/>
    </xf>
    <xf numFmtId="0" fontId="1" fillId="7575" borderId="0" xfId="4" applyFill="1" applyAlignment="1">
      <alignment horizontal="center" vertical="center"/>
    </xf>
    <xf numFmtId="0" fontId="1" fillId="7576" borderId="0" xfId="4" applyFill="1" applyAlignment="1">
      <alignment horizontal="center" vertical="center"/>
    </xf>
    <xf numFmtId="0" fontId="1" fillId="7577" borderId="0" xfId="4" applyFill="1" applyAlignment="1">
      <alignment horizontal="center" vertical="center"/>
    </xf>
    <xf numFmtId="0" fontId="1" fillId="7578" borderId="0" xfId="4" applyFill="1" applyAlignment="1">
      <alignment horizontal="center" vertical="center"/>
    </xf>
    <xf numFmtId="0" fontId="1" fillId="7579" borderId="0" xfId="4" applyFill="1" applyAlignment="1">
      <alignment horizontal="center" vertical="center"/>
    </xf>
    <xf numFmtId="0" fontId="1" fillId="7580" borderId="0" xfId="4" applyFill="1" applyAlignment="1">
      <alignment horizontal="center" vertical="center"/>
    </xf>
    <xf numFmtId="0" fontId="1" fillId="7581" borderId="0" xfId="4" applyFill="1" applyAlignment="1">
      <alignment horizontal="center" vertical="center"/>
    </xf>
    <xf numFmtId="0" fontId="1" fillId="7582" borderId="0" xfId="4" applyFill="1" applyAlignment="1">
      <alignment horizontal="center" vertical="center"/>
    </xf>
    <xf numFmtId="0" fontId="1" fillId="7583" borderId="0" xfId="4" applyFill="1" applyAlignment="1">
      <alignment horizontal="center" vertical="center"/>
    </xf>
    <xf numFmtId="0" fontId="1" fillId="7584" borderId="0" xfId="4" applyFill="1" applyAlignment="1">
      <alignment horizontal="left" vertical="center"/>
    </xf>
    <xf numFmtId="0" fontId="1" fillId="7585" borderId="0" xfId="4" applyFill="1" applyAlignment="1">
      <alignment horizontal="center" vertical="center"/>
    </xf>
    <xf numFmtId="0" fontId="1" fillId="7586" borderId="0" xfId="4" applyFill="1" applyAlignment="1">
      <alignment horizontal="center" vertical="center"/>
    </xf>
    <xf numFmtId="0" fontId="1" fillId="7587" borderId="0" xfId="4" applyFill="1" applyAlignment="1">
      <alignment horizontal="center" vertical="center"/>
    </xf>
    <xf numFmtId="0" fontId="1" fillId="7588" borderId="0" xfId="4" applyFill="1" applyAlignment="1">
      <alignment horizontal="center" vertical="center"/>
    </xf>
    <xf numFmtId="0" fontId="1" fillId="7589" borderId="0" xfId="4" applyFill="1" applyAlignment="1">
      <alignment horizontal="center" vertical="center"/>
    </xf>
    <xf numFmtId="0" fontId="1" fillId="7590" borderId="0" xfId="4" applyFill="1" applyAlignment="1">
      <alignment horizontal="center" vertical="center"/>
    </xf>
    <xf numFmtId="0" fontId="1" fillId="7591" borderId="0" xfId="4" applyFill="1" applyAlignment="1">
      <alignment horizontal="center" vertical="center"/>
    </xf>
    <xf numFmtId="0" fontId="1" fillId="7592" borderId="0" xfId="4" applyFill="1" applyAlignment="1">
      <alignment horizontal="center" vertical="center"/>
    </xf>
    <xf numFmtId="0" fontId="1" fillId="7593" borderId="0" xfId="4" applyFill="1" applyAlignment="1">
      <alignment horizontal="center" vertical="center"/>
    </xf>
    <xf numFmtId="0" fontId="1" fillId="7594" borderId="0" xfId="4" applyFill="1" applyAlignment="1">
      <alignment horizontal="center" vertical="center"/>
    </xf>
    <xf numFmtId="0" fontId="1" fillId="7595" borderId="0" xfId="4" applyFill="1" applyAlignment="1">
      <alignment horizontal="center" vertical="center"/>
    </xf>
    <xf numFmtId="0" fontId="1" fillId="7596" borderId="0" xfId="4" applyFill="1" applyAlignment="1">
      <alignment horizontal="center" vertical="center"/>
    </xf>
    <xf numFmtId="0" fontId="1" fillId="7597" borderId="0" xfId="4" applyFill="1" applyAlignment="1">
      <alignment horizontal="center" vertical="center"/>
    </xf>
    <xf numFmtId="0" fontId="1" fillId="7598" borderId="0" xfId="4" applyFill="1" applyAlignment="1">
      <alignment horizontal="center" vertical="center"/>
    </xf>
    <xf numFmtId="0" fontId="1" fillId="7599" borderId="0" xfId="4" applyFill="1" applyAlignment="1">
      <alignment horizontal="center" vertical="center"/>
    </xf>
    <xf numFmtId="0" fontId="1" fillId="7600" borderId="0" xfId="4" applyFill="1" applyAlignment="1">
      <alignment horizontal="center" vertical="center"/>
    </xf>
    <xf numFmtId="0" fontId="1" fillId="7601" borderId="0" xfId="4" applyFill="1" applyAlignment="1">
      <alignment horizontal="center" vertical="center"/>
    </xf>
    <xf numFmtId="0" fontId="1" fillId="7602" borderId="0" xfId="4" applyFill="1" applyAlignment="1">
      <alignment horizontal="center" vertical="center"/>
    </xf>
    <xf numFmtId="0" fontId="1" fillId="7603" borderId="0" xfId="4" applyFill="1" applyAlignment="1">
      <alignment horizontal="center" vertical="center"/>
    </xf>
    <xf numFmtId="0" fontId="1" fillId="7604" borderId="0" xfId="4" applyFill="1" applyAlignment="1">
      <alignment horizontal="center" vertical="center"/>
    </xf>
    <xf numFmtId="0" fontId="1" fillId="7605" borderId="0" xfId="4" applyFill="1" applyAlignment="1">
      <alignment horizontal="center" vertical="center"/>
    </xf>
    <xf numFmtId="0" fontId="1" fillId="7172" borderId="0" xfId="4" applyFill="1" applyAlignment="1">
      <alignment horizontal="center" vertical="center"/>
    </xf>
    <xf numFmtId="0" fontId="1" fillId="7606" borderId="0" xfId="4" applyFill="1" applyAlignment="1">
      <alignment horizontal="center" vertical="center"/>
    </xf>
    <xf numFmtId="0" fontId="1" fillId="7607" borderId="0" xfId="4" applyFill="1" applyAlignment="1">
      <alignment horizontal="center" vertical="center"/>
    </xf>
    <xf numFmtId="0" fontId="1" fillId="7608" borderId="0" xfId="4" applyFill="1" applyAlignment="1">
      <alignment horizontal="center" vertical="center"/>
    </xf>
    <xf numFmtId="0" fontId="1" fillId="7609" borderId="0" xfId="4" applyFill="1" applyAlignment="1">
      <alignment horizontal="center" vertical="center"/>
    </xf>
    <xf numFmtId="0" fontId="1" fillId="7610" borderId="0" xfId="4" applyFill="1" applyAlignment="1">
      <alignment horizontal="center" vertical="center"/>
    </xf>
    <xf numFmtId="0" fontId="1" fillId="7611" borderId="0" xfId="4" applyFill="1" applyAlignment="1">
      <alignment horizontal="center" vertical="center"/>
    </xf>
    <xf numFmtId="0" fontId="1" fillId="7612" borderId="0" xfId="4" applyFill="1" applyAlignment="1">
      <alignment horizontal="center" vertical="center"/>
    </xf>
    <xf numFmtId="0" fontId="1" fillId="7613" borderId="0" xfId="4" applyFill="1" applyAlignment="1">
      <alignment horizontal="center" vertical="center"/>
    </xf>
    <xf numFmtId="0" fontId="1" fillId="7614" borderId="0" xfId="4" applyFill="1" applyAlignment="1">
      <alignment horizontal="center" vertical="center"/>
    </xf>
    <xf numFmtId="0" fontId="1" fillId="7615" borderId="0" xfId="4" applyFill="1" applyAlignment="1">
      <alignment horizontal="center" vertical="center"/>
    </xf>
    <xf numFmtId="0" fontId="1" fillId="7616" borderId="0" xfId="4" applyFill="1" applyAlignment="1">
      <alignment horizontal="center" vertical="center"/>
    </xf>
    <xf numFmtId="0" fontId="1" fillId="7617" borderId="0" xfId="4" applyFill="1" applyAlignment="1">
      <alignment horizontal="center" vertical="center"/>
    </xf>
    <xf numFmtId="0" fontId="1" fillId="7618" borderId="0" xfId="4" applyFill="1" applyAlignment="1">
      <alignment horizontal="center" vertical="center"/>
    </xf>
    <xf numFmtId="0" fontId="1" fillId="7619" borderId="0" xfId="4" applyFill="1" applyAlignment="1">
      <alignment horizontal="center" vertical="center"/>
    </xf>
    <xf numFmtId="0" fontId="1" fillId="7620" borderId="0" xfId="4" applyFill="1" applyAlignment="1">
      <alignment horizontal="center" vertical="center"/>
    </xf>
    <xf numFmtId="0" fontId="1" fillId="7621" borderId="0" xfId="4" applyFill="1" applyAlignment="1">
      <alignment horizontal="center" vertical="center"/>
    </xf>
    <xf numFmtId="0" fontId="1" fillId="7622" borderId="0" xfId="4" applyFill="1" applyAlignment="1">
      <alignment horizontal="center" vertical="center"/>
    </xf>
    <xf numFmtId="0" fontId="1" fillId="7623" borderId="0" xfId="4" applyFill="1" applyAlignment="1">
      <alignment horizontal="center" vertical="center"/>
    </xf>
    <xf numFmtId="0" fontId="1" fillId="7624" borderId="0" xfId="4" applyFill="1" applyAlignment="1">
      <alignment horizontal="center" vertical="center"/>
    </xf>
    <xf numFmtId="0" fontId="1" fillId="7625" borderId="0" xfId="4" applyFill="1" applyAlignment="1">
      <alignment horizontal="center" vertical="center"/>
    </xf>
    <xf numFmtId="0" fontId="1" fillId="7626" borderId="0" xfId="4" applyFill="1" applyAlignment="1">
      <alignment horizontal="center" vertical="center"/>
    </xf>
    <xf numFmtId="0" fontId="1" fillId="7627" borderId="0" xfId="4" applyFill="1" applyAlignment="1">
      <alignment horizontal="center" vertical="center"/>
    </xf>
    <xf numFmtId="0" fontId="1" fillId="7628" borderId="0" xfId="4" applyFill="1" applyAlignment="1">
      <alignment horizontal="center" vertical="center"/>
    </xf>
    <xf numFmtId="0" fontId="1" fillId="7629" borderId="0" xfId="4" applyFill="1" applyAlignment="1">
      <alignment horizontal="center" vertical="center"/>
    </xf>
    <xf numFmtId="0" fontId="1" fillId="7630" borderId="0" xfId="4" applyFill="1" applyAlignment="1">
      <alignment horizontal="center" vertical="center"/>
    </xf>
    <xf numFmtId="0" fontId="1" fillId="7631" borderId="0" xfId="4" applyFill="1" applyAlignment="1">
      <alignment horizontal="center" vertical="center"/>
    </xf>
    <xf numFmtId="0" fontId="1" fillId="7632" borderId="0" xfId="4" applyFill="1" applyAlignment="1">
      <alignment horizontal="center" vertical="center"/>
    </xf>
    <xf numFmtId="0" fontId="1" fillId="7633" borderId="0" xfId="4" applyFill="1" applyAlignment="1">
      <alignment horizontal="center" vertical="center"/>
    </xf>
    <xf numFmtId="0" fontId="1" fillId="7634" borderId="0" xfId="4" applyFill="1" applyAlignment="1">
      <alignment horizontal="center" vertical="center"/>
    </xf>
    <xf numFmtId="0" fontId="1" fillId="7635" borderId="0" xfId="4" applyFill="1" applyAlignment="1">
      <alignment horizontal="center" vertical="center"/>
    </xf>
    <xf numFmtId="0" fontId="1" fillId="7636" borderId="0" xfId="4" applyFill="1" applyAlignment="1">
      <alignment horizontal="center" vertical="center"/>
    </xf>
    <xf numFmtId="0" fontId="1" fillId="7637" borderId="0" xfId="4" applyFill="1" applyAlignment="1">
      <alignment horizontal="center" vertical="center"/>
    </xf>
    <xf numFmtId="0" fontId="1" fillId="7638" borderId="0" xfId="4" applyFill="1" applyAlignment="1">
      <alignment horizontal="center" vertical="center"/>
    </xf>
    <xf numFmtId="0" fontId="1" fillId="7639" borderId="0" xfId="4" applyFill="1" applyAlignment="1">
      <alignment horizontal="left" vertical="center"/>
    </xf>
    <xf numFmtId="0" fontId="1" fillId="7640" borderId="0" xfId="4" applyFill="1" applyAlignment="1">
      <alignment horizontal="center" vertical="center"/>
    </xf>
    <xf numFmtId="0" fontId="1" fillId="7641" borderId="0" xfId="4" applyFill="1" applyAlignment="1">
      <alignment horizontal="center" vertical="center"/>
    </xf>
    <xf numFmtId="0" fontId="1" fillId="7642" borderId="0" xfId="4" applyFill="1" applyAlignment="1">
      <alignment horizontal="center" vertical="center"/>
    </xf>
    <xf numFmtId="0" fontId="1" fillId="7643" borderId="0" xfId="4" applyFill="1" applyAlignment="1">
      <alignment horizontal="center" vertical="center"/>
    </xf>
    <xf numFmtId="0" fontId="1" fillId="7644" borderId="0" xfId="4" applyFill="1" applyAlignment="1">
      <alignment horizontal="center" vertical="center"/>
    </xf>
    <xf numFmtId="0" fontId="1" fillId="7645" borderId="0" xfId="4" applyFill="1" applyAlignment="1">
      <alignment horizontal="center" vertical="center"/>
    </xf>
    <xf numFmtId="0" fontId="1" fillId="7646" borderId="0" xfId="4" applyFill="1" applyAlignment="1">
      <alignment horizontal="center" vertical="center"/>
    </xf>
    <xf numFmtId="0" fontId="1" fillId="7647" borderId="0" xfId="4" applyFill="1" applyAlignment="1">
      <alignment horizontal="center" vertical="center"/>
    </xf>
    <xf numFmtId="0" fontId="1" fillId="7648" borderId="0" xfId="4" applyFill="1" applyAlignment="1">
      <alignment horizontal="center" vertical="center"/>
    </xf>
    <xf numFmtId="0" fontId="1" fillId="7649" borderId="0" xfId="4" applyFill="1" applyAlignment="1">
      <alignment horizontal="center" vertical="center"/>
    </xf>
    <xf numFmtId="0" fontId="1" fillId="7650" borderId="0" xfId="4" applyFill="1" applyAlignment="1">
      <alignment horizontal="center" vertical="center"/>
    </xf>
    <xf numFmtId="0" fontId="1" fillId="7651" borderId="0" xfId="4" applyFill="1" applyAlignment="1">
      <alignment horizontal="center" vertical="center"/>
    </xf>
    <xf numFmtId="0" fontId="1" fillId="7652" borderId="0" xfId="4" applyFill="1" applyAlignment="1">
      <alignment horizontal="center" vertical="center"/>
    </xf>
    <xf numFmtId="0" fontId="1" fillId="7653" borderId="0" xfId="4" applyFill="1" applyAlignment="1">
      <alignment horizontal="center" vertical="center"/>
    </xf>
    <xf numFmtId="0" fontId="1" fillId="7654" borderId="0" xfId="4" applyFill="1" applyAlignment="1">
      <alignment horizontal="center" vertical="center"/>
    </xf>
    <xf numFmtId="0" fontId="1" fillId="7655" borderId="0" xfId="4" applyFill="1" applyAlignment="1">
      <alignment horizontal="center" vertical="center"/>
    </xf>
    <xf numFmtId="0" fontId="1" fillId="7656" borderId="0" xfId="4" applyFill="1" applyAlignment="1">
      <alignment horizontal="center" vertical="center"/>
    </xf>
    <xf numFmtId="0" fontId="1" fillId="7657" borderId="0" xfId="4" applyFill="1" applyAlignment="1">
      <alignment horizontal="center" vertical="center"/>
    </xf>
    <xf numFmtId="0" fontId="1" fillId="7658" borderId="0" xfId="4" applyFill="1" applyAlignment="1">
      <alignment horizontal="center" vertical="center"/>
    </xf>
    <xf numFmtId="0" fontId="1" fillId="7659" borderId="0" xfId="4" applyFill="1" applyAlignment="1">
      <alignment horizontal="center" vertical="center"/>
    </xf>
    <xf numFmtId="0" fontId="1" fillId="7660" borderId="0" xfId="4" applyFill="1" applyAlignment="1">
      <alignment horizontal="center" vertical="center"/>
    </xf>
    <xf numFmtId="0" fontId="1" fillId="7661" borderId="0" xfId="4" applyFill="1" applyAlignment="1">
      <alignment horizontal="center" vertical="center"/>
    </xf>
    <xf numFmtId="0" fontId="1" fillId="7662" borderId="0" xfId="4" applyFill="1" applyAlignment="1">
      <alignment horizontal="center" vertical="center"/>
    </xf>
    <xf numFmtId="0" fontId="1" fillId="7663" borderId="0" xfId="4" applyFill="1" applyAlignment="1">
      <alignment horizontal="center" vertical="center"/>
    </xf>
    <xf numFmtId="0" fontId="1" fillId="7664" borderId="0" xfId="4" applyFill="1" applyAlignment="1">
      <alignment horizontal="center" vertical="center"/>
    </xf>
    <xf numFmtId="0" fontId="1" fillId="7665" borderId="0" xfId="4" applyFill="1" applyAlignment="1">
      <alignment horizontal="center" vertical="center"/>
    </xf>
    <xf numFmtId="0" fontId="1" fillId="7666" borderId="0" xfId="4" applyFill="1" applyAlignment="1">
      <alignment horizontal="center" vertical="center"/>
    </xf>
    <xf numFmtId="0" fontId="1" fillId="7667" borderId="0" xfId="4" applyFill="1" applyAlignment="1">
      <alignment horizontal="center" vertical="center"/>
    </xf>
    <xf numFmtId="0" fontId="1" fillId="7668" borderId="0" xfId="4" applyFill="1" applyAlignment="1">
      <alignment horizontal="center" vertical="center"/>
    </xf>
    <xf numFmtId="0" fontId="1" fillId="7669" borderId="0" xfId="4" applyFill="1" applyAlignment="1">
      <alignment horizontal="center" vertical="center"/>
    </xf>
    <xf numFmtId="0" fontId="1" fillId="7670" borderId="0" xfId="4" applyFill="1" applyAlignment="1">
      <alignment horizontal="center" vertical="center"/>
    </xf>
    <xf numFmtId="0" fontId="1" fillId="7671" borderId="0" xfId="4" applyFill="1" applyAlignment="1">
      <alignment horizontal="left" vertical="center"/>
    </xf>
    <xf numFmtId="0" fontId="1" fillId="7672" borderId="0" xfId="4" applyFill="1" applyAlignment="1">
      <alignment horizontal="center" vertical="center"/>
    </xf>
    <xf numFmtId="0" fontId="1" fillId="7673" borderId="0" xfId="4" applyFill="1" applyAlignment="1">
      <alignment horizontal="center" vertical="center"/>
    </xf>
    <xf numFmtId="0" fontId="1" fillId="7674" borderId="0" xfId="4" applyFill="1" applyAlignment="1">
      <alignment horizontal="center" vertical="center"/>
    </xf>
    <xf numFmtId="0" fontId="1" fillId="7675" borderId="0" xfId="4" applyFill="1" applyAlignment="1">
      <alignment horizontal="center" vertical="center"/>
    </xf>
    <xf numFmtId="0" fontId="1" fillId="7676" borderId="0" xfId="4" applyFill="1" applyAlignment="1">
      <alignment horizontal="center" vertical="center"/>
    </xf>
    <xf numFmtId="0" fontId="1" fillId="7677" borderId="0" xfId="4" applyFill="1" applyAlignment="1">
      <alignment horizontal="center" vertical="center"/>
    </xf>
    <xf numFmtId="0" fontId="1" fillId="7678" borderId="0" xfId="4" applyFill="1" applyAlignment="1">
      <alignment horizontal="center" vertical="center"/>
    </xf>
    <xf numFmtId="0" fontId="1" fillId="7679" borderId="0" xfId="4" applyFill="1" applyAlignment="1">
      <alignment horizontal="center" vertical="center"/>
    </xf>
    <xf numFmtId="0" fontId="1" fillId="7680" borderId="0" xfId="4" applyFill="1" applyAlignment="1">
      <alignment horizontal="center" vertical="center"/>
    </xf>
    <xf numFmtId="0" fontId="1" fillId="7681" borderId="0" xfId="4" applyFill="1" applyAlignment="1">
      <alignment horizontal="center" vertical="center"/>
    </xf>
    <xf numFmtId="0" fontId="1" fillId="7682" borderId="0" xfId="4" applyFill="1" applyAlignment="1">
      <alignment horizontal="center" vertical="center"/>
    </xf>
    <xf numFmtId="0" fontId="1" fillId="7683" borderId="0" xfId="4" applyFill="1" applyAlignment="1">
      <alignment horizontal="center" vertical="center"/>
    </xf>
    <xf numFmtId="0" fontId="1" fillId="7684" borderId="0" xfId="4" applyFill="1" applyAlignment="1">
      <alignment horizontal="center" vertical="center"/>
    </xf>
    <xf numFmtId="0" fontId="1" fillId="7685" borderId="0" xfId="4" applyFill="1" applyAlignment="1">
      <alignment horizontal="center" vertical="center"/>
    </xf>
    <xf numFmtId="0" fontId="1" fillId="7686" borderId="0" xfId="4" applyFill="1" applyAlignment="1">
      <alignment horizontal="center" vertical="center"/>
    </xf>
    <xf numFmtId="0" fontId="1" fillId="7687" borderId="0" xfId="4" applyFill="1" applyAlignment="1">
      <alignment horizontal="center" vertical="center"/>
    </xf>
    <xf numFmtId="0" fontId="1" fillId="7688" borderId="0" xfId="4" applyFill="1" applyAlignment="1">
      <alignment horizontal="center" vertical="center"/>
    </xf>
    <xf numFmtId="0" fontId="1" fillId="7689" borderId="0" xfId="4" applyFill="1" applyAlignment="1">
      <alignment horizontal="center" vertical="center"/>
    </xf>
    <xf numFmtId="0" fontId="1" fillId="7690" borderId="0" xfId="4" applyFill="1" applyAlignment="1">
      <alignment horizontal="center" vertical="center"/>
    </xf>
    <xf numFmtId="0" fontId="1" fillId="7691" borderId="0" xfId="4" applyFill="1" applyAlignment="1">
      <alignment horizontal="center" vertical="center"/>
    </xf>
    <xf numFmtId="0" fontId="1" fillId="7434" borderId="0" xfId="4" applyFill="1" applyAlignment="1">
      <alignment horizontal="center" vertical="center"/>
    </xf>
    <xf numFmtId="0" fontId="1" fillId="7692" borderId="0" xfId="4" applyFill="1" applyAlignment="1">
      <alignment horizontal="center" vertical="center"/>
    </xf>
    <xf numFmtId="0" fontId="1" fillId="7693" borderId="0" xfId="4" applyFill="1" applyAlignment="1">
      <alignment horizontal="center" vertical="center"/>
    </xf>
    <xf numFmtId="0" fontId="1" fillId="7694" borderId="0" xfId="4" applyFill="1" applyAlignment="1">
      <alignment horizontal="center" vertical="center"/>
    </xf>
    <xf numFmtId="0" fontId="1" fillId="7695" borderId="0" xfId="4" applyFill="1" applyAlignment="1">
      <alignment horizontal="center" vertical="center"/>
    </xf>
    <xf numFmtId="0" fontId="1" fillId="7696" borderId="0" xfId="4" applyFill="1" applyAlignment="1">
      <alignment horizontal="center" vertical="center"/>
    </xf>
    <xf numFmtId="0" fontId="1" fillId="7697" borderId="0" xfId="4" applyFill="1" applyAlignment="1">
      <alignment horizontal="center" vertical="center"/>
    </xf>
    <xf numFmtId="0" fontId="1" fillId="7698" borderId="0" xfId="4" applyFill="1" applyAlignment="1">
      <alignment horizontal="center" vertical="center"/>
    </xf>
    <xf numFmtId="0" fontId="1" fillId="7699" borderId="0" xfId="4" applyFill="1" applyAlignment="1">
      <alignment horizontal="center" vertical="center"/>
    </xf>
    <xf numFmtId="0" fontId="1" fillId="7700" borderId="0" xfId="4" applyFill="1" applyAlignment="1">
      <alignment horizontal="center" vertical="center"/>
    </xf>
    <xf numFmtId="0" fontId="1" fillId="7701" borderId="0" xfId="4" applyFill="1" applyAlignment="1">
      <alignment horizontal="center" vertical="center"/>
    </xf>
    <xf numFmtId="0" fontId="1" fillId="7702" borderId="0" xfId="4" applyFill="1" applyAlignment="1">
      <alignment horizontal="center" vertical="center"/>
    </xf>
    <xf numFmtId="0" fontId="1" fillId="7703" borderId="0" xfId="4" applyFill="1" applyAlignment="1">
      <alignment horizontal="center" vertical="center"/>
    </xf>
    <xf numFmtId="0" fontId="1" fillId="7704" borderId="0" xfId="4" applyFill="1" applyAlignment="1">
      <alignment horizontal="center" vertical="center"/>
    </xf>
    <xf numFmtId="0" fontId="1" fillId="7705" borderId="0" xfId="4" applyFill="1" applyAlignment="1">
      <alignment horizontal="center" vertical="center"/>
    </xf>
    <xf numFmtId="0" fontId="1" fillId="7706" borderId="0" xfId="4" applyFill="1" applyAlignment="1">
      <alignment horizontal="center" vertical="center"/>
    </xf>
    <xf numFmtId="0" fontId="1" fillId="7707" borderId="0" xfId="4" applyFill="1" applyAlignment="1">
      <alignment horizontal="center" vertical="center"/>
    </xf>
    <xf numFmtId="0" fontId="1" fillId="7708" borderId="0" xfId="4" applyFill="1" applyAlignment="1">
      <alignment horizontal="center" vertical="center"/>
    </xf>
    <xf numFmtId="0" fontId="1" fillId="7709" borderId="0" xfId="4" applyFill="1" applyAlignment="1">
      <alignment horizontal="center" vertical="center"/>
    </xf>
    <xf numFmtId="0" fontId="1" fillId="7710" borderId="0" xfId="4" applyFill="1" applyAlignment="1">
      <alignment horizontal="center" vertical="center"/>
    </xf>
    <xf numFmtId="0" fontId="1" fillId="7711" borderId="0" xfId="4" applyFill="1" applyAlignment="1">
      <alignment horizontal="center" vertical="center"/>
    </xf>
    <xf numFmtId="0" fontId="1" fillId="7712" borderId="0" xfId="4" applyFill="1" applyAlignment="1">
      <alignment horizontal="center" vertical="center"/>
    </xf>
    <xf numFmtId="0" fontId="1" fillId="7713" borderId="0" xfId="4" applyFill="1" applyAlignment="1">
      <alignment horizontal="center" vertical="center"/>
    </xf>
    <xf numFmtId="0" fontId="1" fillId="7714" borderId="0" xfId="4" applyFill="1" applyAlignment="1">
      <alignment horizontal="center" vertical="center"/>
    </xf>
    <xf numFmtId="0" fontId="1" fillId="7715" borderId="0" xfId="4" applyFill="1" applyAlignment="1">
      <alignment horizontal="center" vertical="center"/>
    </xf>
    <xf numFmtId="0" fontId="1" fillId="7716" borderId="0" xfId="4" applyFill="1" applyAlignment="1">
      <alignment horizontal="center" vertical="center"/>
    </xf>
    <xf numFmtId="0" fontId="1" fillId="7717" borderId="0" xfId="4" applyFill="1" applyAlignment="1">
      <alignment horizontal="center" vertical="center"/>
    </xf>
    <xf numFmtId="0" fontId="1" fillId="7718" borderId="0" xfId="4" applyFill="1" applyAlignment="1">
      <alignment horizontal="center" vertical="center"/>
    </xf>
    <xf numFmtId="0" fontId="1" fillId="7719" borderId="0" xfId="4" applyFill="1" applyAlignment="1">
      <alignment horizontal="center" vertical="center"/>
    </xf>
    <xf numFmtId="0" fontId="1" fillId="7720" borderId="0" xfId="4" applyFill="1" applyAlignment="1">
      <alignment horizontal="center" vertical="center"/>
    </xf>
    <xf numFmtId="0" fontId="1" fillId="7721" borderId="0" xfId="4" applyFill="1" applyAlignment="1">
      <alignment horizontal="center" vertical="center"/>
    </xf>
    <xf numFmtId="0" fontId="1" fillId="7722" borderId="0" xfId="4" applyFill="1" applyAlignment="1">
      <alignment horizontal="left" vertical="center"/>
    </xf>
    <xf numFmtId="0" fontId="1" fillId="7723" borderId="0" xfId="4" applyFill="1" applyAlignment="1">
      <alignment horizontal="center" vertical="center"/>
    </xf>
    <xf numFmtId="0" fontId="1" fillId="7724" borderId="0" xfId="4" applyFill="1" applyAlignment="1">
      <alignment horizontal="center" vertical="center"/>
    </xf>
    <xf numFmtId="0" fontId="1" fillId="7725" borderId="0" xfId="4" applyFill="1" applyAlignment="1">
      <alignment horizontal="center" vertical="center"/>
    </xf>
    <xf numFmtId="0" fontId="1" fillId="7726" borderId="0" xfId="4" applyFill="1" applyAlignment="1">
      <alignment horizontal="center" vertical="center"/>
    </xf>
    <xf numFmtId="0" fontId="1" fillId="7727" borderId="0" xfId="4" applyFill="1" applyAlignment="1">
      <alignment horizontal="center" vertical="center"/>
    </xf>
    <xf numFmtId="0" fontId="1" fillId="7728" borderId="0" xfId="4" applyFill="1" applyAlignment="1">
      <alignment horizontal="center" vertical="center"/>
    </xf>
    <xf numFmtId="0" fontId="1" fillId="7729" borderId="0" xfId="4" applyFill="1" applyAlignment="1">
      <alignment horizontal="center" vertical="center"/>
    </xf>
    <xf numFmtId="0" fontId="1" fillId="7730" borderId="0" xfId="4" applyFill="1" applyAlignment="1">
      <alignment horizontal="center" vertical="center"/>
    </xf>
    <xf numFmtId="0" fontId="1" fillId="7731" borderId="0" xfId="4" applyFill="1" applyAlignment="1">
      <alignment horizontal="center" vertical="center"/>
    </xf>
    <xf numFmtId="0" fontId="1" fillId="7732" borderId="0" xfId="4" applyFill="1" applyAlignment="1">
      <alignment horizontal="center" vertical="center"/>
    </xf>
    <xf numFmtId="0" fontId="1" fillId="7733" borderId="0" xfId="4" applyFill="1" applyAlignment="1">
      <alignment horizontal="center" vertical="center"/>
    </xf>
    <xf numFmtId="0" fontId="1" fillId="7734" borderId="0" xfId="4" applyFill="1" applyAlignment="1">
      <alignment horizontal="center" vertical="center"/>
    </xf>
    <xf numFmtId="0" fontId="1" fillId="7735" borderId="0" xfId="4" applyFill="1" applyAlignment="1">
      <alignment horizontal="center" vertical="center"/>
    </xf>
    <xf numFmtId="0" fontId="1" fillId="7736" borderId="0" xfId="4" applyFill="1" applyAlignment="1">
      <alignment horizontal="center" vertical="center"/>
    </xf>
    <xf numFmtId="0" fontId="1" fillId="7737" borderId="0" xfId="4" applyFill="1" applyAlignment="1">
      <alignment horizontal="center" vertical="center"/>
    </xf>
    <xf numFmtId="0" fontId="1" fillId="7738" borderId="0" xfId="4" applyFill="1" applyAlignment="1">
      <alignment horizontal="center" vertical="center"/>
    </xf>
    <xf numFmtId="0" fontId="1" fillId="7739" borderId="0" xfId="4" applyFill="1" applyAlignment="1">
      <alignment horizontal="center" vertical="center"/>
    </xf>
    <xf numFmtId="0" fontId="1" fillId="7740" borderId="0" xfId="4" applyFill="1" applyAlignment="1">
      <alignment horizontal="center" vertical="center"/>
    </xf>
    <xf numFmtId="0" fontId="1" fillId="7741" borderId="0" xfId="4" applyFill="1" applyAlignment="1">
      <alignment horizontal="center" vertical="center"/>
    </xf>
    <xf numFmtId="0" fontId="1" fillId="7742" borderId="0" xfId="4" applyFill="1" applyAlignment="1">
      <alignment horizontal="center" vertical="center"/>
    </xf>
    <xf numFmtId="0" fontId="1" fillId="7743" borderId="0" xfId="4" applyFill="1" applyAlignment="1">
      <alignment horizontal="center" vertical="center"/>
    </xf>
    <xf numFmtId="0" fontId="1" fillId="7744" borderId="0" xfId="4" applyFill="1" applyAlignment="1">
      <alignment horizontal="center" vertical="center"/>
    </xf>
    <xf numFmtId="0" fontId="1" fillId="7745" borderId="0" xfId="4" applyFill="1" applyAlignment="1">
      <alignment horizontal="center" vertical="center"/>
    </xf>
    <xf numFmtId="0" fontId="1" fillId="7746" borderId="0" xfId="4" applyFill="1" applyAlignment="1">
      <alignment horizontal="center" vertical="center"/>
    </xf>
    <xf numFmtId="0" fontId="1" fillId="7747" borderId="0" xfId="4" applyFill="1" applyAlignment="1">
      <alignment horizontal="center" vertical="center"/>
    </xf>
    <xf numFmtId="0" fontId="1" fillId="7748" borderId="0" xfId="4" applyFill="1" applyAlignment="1">
      <alignment horizontal="center" vertical="center"/>
    </xf>
    <xf numFmtId="0" fontId="1" fillId="7749" borderId="0" xfId="4" applyFill="1" applyAlignment="1">
      <alignment horizontal="center" vertical="center"/>
    </xf>
    <xf numFmtId="0" fontId="1" fillId="7750" borderId="0" xfId="4" applyFill="1" applyAlignment="1">
      <alignment horizontal="center" vertical="center"/>
    </xf>
    <xf numFmtId="0" fontId="1" fillId="7751" borderId="0" xfId="4" applyFill="1" applyAlignment="1">
      <alignment horizontal="center" vertical="center"/>
    </xf>
    <xf numFmtId="0" fontId="1" fillId="7752" borderId="0" xfId="4" applyFill="1" applyAlignment="1">
      <alignment horizontal="center" vertical="center"/>
    </xf>
    <xf numFmtId="0" fontId="1" fillId="7753" borderId="0" xfId="4" applyFill="1" applyAlignment="1">
      <alignment horizontal="left" vertical="center"/>
    </xf>
    <xf numFmtId="0" fontId="1" fillId="7754" borderId="0" xfId="4" applyFill="1" applyAlignment="1">
      <alignment horizontal="center" vertical="center"/>
    </xf>
    <xf numFmtId="0" fontId="1" fillId="7755" borderId="0" xfId="4" applyFill="1" applyAlignment="1">
      <alignment horizontal="center" vertical="center"/>
    </xf>
    <xf numFmtId="0" fontId="1" fillId="7756" borderId="0" xfId="4" applyFill="1" applyAlignment="1">
      <alignment horizontal="center" vertical="center"/>
    </xf>
    <xf numFmtId="0" fontId="1" fillId="7757" borderId="0" xfId="4" applyFill="1" applyAlignment="1">
      <alignment horizontal="center" vertical="center"/>
    </xf>
    <xf numFmtId="0" fontId="1" fillId="7758" borderId="0" xfId="4" applyFill="1" applyAlignment="1">
      <alignment horizontal="center" vertical="center"/>
    </xf>
    <xf numFmtId="0" fontId="1" fillId="7759" borderId="0" xfId="4" applyFill="1" applyAlignment="1">
      <alignment horizontal="center" vertical="center"/>
    </xf>
    <xf numFmtId="0" fontId="1" fillId="7760" borderId="0" xfId="4" applyFill="1" applyAlignment="1">
      <alignment horizontal="center" vertical="center"/>
    </xf>
    <xf numFmtId="0" fontId="1" fillId="7761" borderId="0" xfId="4" applyFill="1" applyAlignment="1">
      <alignment horizontal="center" vertical="center"/>
    </xf>
    <xf numFmtId="0" fontId="1" fillId="7762" borderId="0" xfId="4" applyFill="1" applyAlignment="1">
      <alignment horizontal="center" vertical="center"/>
    </xf>
    <xf numFmtId="0" fontId="1" fillId="7763" borderId="0" xfId="4" applyFill="1" applyAlignment="1">
      <alignment horizontal="center" vertical="center"/>
    </xf>
    <xf numFmtId="0" fontId="1" fillId="7764" borderId="0" xfId="4" applyFill="1" applyAlignment="1">
      <alignment horizontal="center" vertical="center"/>
    </xf>
    <xf numFmtId="0" fontId="1" fillId="7765" borderId="0" xfId="4" applyFill="1" applyAlignment="1">
      <alignment horizontal="center" vertical="center"/>
    </xf>
    <xf numFmtId="0" fontId="1" fillId="7766" borderId="0" xfId="4" applyFill="1" applyAlignment="1">
      <alignment horizontal="center" vertical="center"/>
    </xf>
    <xf numFmtId="0" fontId="1" fillId="7767" borderId="0" xfId="4" applyFill="1" applyAlignment="1">
      <alignment horizontal="center" vertical="center"/>
    </xf>
    <xf numFmtId="0" fontId="1" fillId="7768" borderId="0" xfId="4" applyFill="1" applyAlignment="1">
      <alignment horizontal="center" vertical="center"/>
    </xf>
    <xf numFmtId="0" fontId="1" fillId="7769" borderId="0" xfId="4" applyFill="1" applyAlignment="1">
      <alignment horizontal="center" vertical="center"/>
    </xf>
    <xf numFmtId="0" fontId="1" fillId="7770" borderId="0" xfId="4" applyFill="1" applyAlignment="1">
      <alignment horizontal="center" vertical="center"/>
    </xf>
    <xf numFmtId="0" fontId="1" fillId="7771" borderId="0" xfId="4" applyFill="1" applyAlignment="1">
      <alignment horizontal="center" vertical="center"/>
    </xf>
    <xf numFmtId="0" fontId="1" fillId="7772" borderId="0" xfId="4" applyFill="1" applyAlignment="1">
      <alignment horizontal="center" vertical="center"/>
    </xf>
    <xf numFmtId="0" fontId="1" fillId="7773" borderId="0" xfId="4" applyFill="1" applyAlignment="1">
      <alignment horizontal="center" vertical="center"/>
    </xf>
    <xf numFmtId="0" fontId="1" fillId="7774" borderId="0" xfId="4" applyFill="1" applyAlignment="1">
      <alignment horizontal="center" vertical="center"/>
    </xf>
    <xf numFmtId="0" fontId="1" fillId="7775" borderId="0" xfId="4" applyFill="1" applyAlignment="1">
      <alignment horizontal="center" vertical="center"/>
    </xf>
    <xf numFmtId="0" fontId="1" fillId="7776" borderId="0" xfId="4" applyFill="1" applyAlignment="1">
      <alignment horizontal="center" vertical="center"/>
    </xf>
    <xf numFmtId="0" fontId="1" fillId="7777" borderId="0" xfId="4" applyFill="1" applyAlignment="1">
      <alignment horizontal="center" vertical="center"/>
    </xf>
    <xf numFmtId="0" fontId="1" fillId="7778" borderId="0" xfId="4" applyFill="1" applyAlignment="1">
      <alignment horizontal="center" vertical="center"/>
    </xf>
    <xf numFmtId="0" fontId="1" fillId="7779" borderId="0" xfId="4" applyFill="1" applyAlignment="1">
      <alignment horizontal="center" vertical="center"/>
    </xf>
    <xf numFmtId="0" fontId="1" fillId="7780" borderId="0" xfId="4" applyFill="1" applyAlignment="1">
      <alignment horizontal="center" vertical="center"/>
    </xf>
    <xf numFmtId="0" fontId="1" fillId="7781" borderId="0" xfId="4" applyFill="1" applyAlignment="1">
      <alignment horizontal="center" vertical="center"/>
    </xf>
    <xf numFmtId="0" fontId="1" fillId="7782" borderId="0" xfId="4" applyFill="1" applyAlignment="1">
      <alignment horizontal="center" vertical="center"/>
    </xf>
    <xf numFmtId="0" fontId="1" fillId="7783" borderId="0" xfId="4" applyFill="1" applyAlignment="1">
      <alignment horizontal="center" vertical="center"/>
    </xf>
    <xf numFmtId="0" fontId="1" fillId="7784" borderId="0" xfId="4" applyFill="1" applyAlignment="1">
      <alignment horizontal="center" vertical="center"/>
    </xf>
    <xf numFmtId="0" fontId="1" fillId="7785" borderId="0" xfId="4" applyFill="1" applyAlignment="1">
      <alignment horizontal="center" vertical="center"/>
    </xf>
    <xf numFmtId="0" fontId="1" fillId="7786" borderId="0" xfId="4" applyFill="1" applyAlignment="1">
      <alignment horizontal="center" vertical="center"/>
    </xf>
    <xf numFmtId="0" fontId="1" fillId="7787" borderId="0" xfId="4" applyFill="1" applyAlignment="1">
      <alignment horizontal="center" vertical="center"/>
    </xf>
    <xf numFmtId="0" fontId="1" fillId="7788" borderId="0" xfId="4" applyFill="1" applyAlignment="1">
      <alignment horizontal="center" vertical="center"/>
    </xf>
    <xf numFmtId="0" fontId="1" fillId="7789" borderId="0" xfId="4" applyFill="1" applyAlignment="1">
      <alignment horizontal="center" vertical="center"/>
    </xf>
    <xf numFmtId="0" fontId="1" fillId="7790" borderId="0" xfId="4" applyFill="1" applyAlignment="1">
      <alignment horizontal="center" vertical="center"/>
    </xf>
    <xf numFmtId="0" fontId="1" fillId="7791" borderId="0" xfId="4" applyFill="1" applyAlignment="1">
      <alignment horizontal="center" vertical="center"/>
    </xf>
    <xf numFmtId="0" fontId="1" fillId="7792" borderId="0" xfId="4" applyFill="1" applyAlignment="1">
      <alignment horizontal="center" vertical="center"/>
    </xf>
    <xf numFmtId="0" fontId="1" fillId="7793" borderId="0" xfId="4" applyFill="1" applyAlignment="1">
      <alignment horizontal="center" vertical="center"/>
    </xf>
    <xf numFmtId="0" fontId="1" fillId="7794" borderId="0" xfId="4" applyFill="1" applyAlignment="1">
      <alignment horizontal="center" vertical="center"/>
    </xf>
    <xf numFmtId="0" fontId="1" fillId="7795" borderId="0" xfId="4" applyFill="1" applyAlignment="1">
      <alignment horizontal="center" vertical="center"/>
    </xf>
    <xf numFmtId="0" fontId="1" fillId="7796" borderId="0" xfId="4" applyFill="1" applyAlignment="1">
      <alignment horizontal="center" vertical="center"/>
    </xf>
    <xf numFmtId="0" fontId="1" fillId="7797" borderId="0" xfId="4" applyFill="1" applyAlignment="1">
      <alignment horizontal="center" vertical="center"/>
    </xf>
    <xf numFmtId="0" fontId="1" fillId="7798" borderId="0" xfId="4" applyFill="1" applyAlignment="1">
      <alignment horizontal="center" vertical="center"/>
    </xf>
    <xf numFmtId="0" fontId="1" fillId="7799" borderId="0" xfId="4" applyFill="1" applyAlignment="1">
      <alignment horizontal="center" vertical="center"/>
    </xf>
    <xf numFmtId="0" fontId="1" fillId="7800" borderId="0" xfId="4" applyFill="1" applyAlignment="1">
      <alignment horizontal="center" vertical="center"/>
    </xf>
    <xf numFmtId="0" fontId="1" fillId="7801" borderId="0" xfId="4" applyFill="1" applyAlignment="1">
      <alignment horizontal="center" vertical="center"/>
    </xf>
    <xf numFmtId="0" fontId="1" fillId="7802" borderId="0" xfId="4" applyFill="1" applyAlignment="1">
      <alignment horizontal="center" vertical="center"/>
    </xf>
    <xf numFmtId="0" fontId="1" fillId="7803" borderId="0" xfId="4" applyFill="1" applyAlignment="1">
      <alignment horizontal="left" vertical="center"/>
    </xf>
    <xf numFmtId="0" fontId="1" fillId="7804" borderId="0" xfId="4" applyFill="1" applyAlignment="1">
      <alignment horizontal="center" vertical="center"/>
    </xf>
    <xf numFmtId="0" fontId="1" fillId="7805" borderId="0" xfId="4" applyFill="1" applyAlignment="1">
      <alignment horizontal="center" vertical="center"/>
    </xf>
    <xf numFmtId="0" fontId="1" fillId="7806" borderId="0" xfId="4" applyFill="1" applyAlignment="1">
      <alignment horizontal="center" vertical="center"/>
    </xf>
    <xf numFmtId="0" fontId="1" fillId="7807" borderId="0" xfId="4" applyFill="1" applyAlignment="1">
      <alignment horizontal="center" vertical="center"/>
    </xf>
    <xf numFmtId="0" fontId="1" fillId="7808" borderId="0" xfId="4" applyFill="1" applyAlignment="1">
      <alignment horizontal="center" vertical="center"/>
    </xf>
    <xf numFmtId="0" fontId="1" fillId="7809" borderId="0" xfId="4" applyFill="1" applyAlignment="1">
      <alignment horizontal="center" vertical="center"/>
    </xf>
    <xf numFmtId="0" fontId="1" fillId="7810" borderId="0" xfId="4" applyFill="1" applyAlignment="1">
      <alignment horizontal="center" vertical="center"/>
    </xf>
    <xf numFmtId="0" fontId="1" fillId="7811" borderId="0" xfId="4" applyFill="1" applyAlignment="1">
      <alignment horizontal="center" vertical="center"/>
    </xf>
    <xf numFmtId="0" fontId="1" fillId="7812" borderId="0" xfId="4" applyFill="1" applyAlignment="1">
      <alignment horizontal="center" vertical="center"/>
    </xf>
    <xf numFmtId="0" fontId="1" fillId="7813" borderId="0" xfId="4" applyFill="1" applyAlignment="1">
      <alignment horizontal="center" vertical="center"/>
    </xf>
    <xf numFmtId="0" fontId="1" fillId="7814" borderId="0" xfId="4" applyFill="1" applyAlignment="1">
      <alignment horizontal="center" vertical="center"/>
    </xf>
    <xf numFmtId="0" fontId="1" fillId="7815" borderId="0" xfId="4" applyFill="1" applyAlignment="1">
      <alignment horizontal="center" vertical="center"/>
    </xf>
    <xf numFmtId="0" fontId="1" fillId="7816" borderId="0" xfId="4" applyFill="1" applyAlignment="1">
      <alignment horizontal="center" vertical="center"/>
    </xf>
    <xf numFmtId="0" fontId="1" fillId="7817" borderId="0" xfId="4" applyFill="1" applyAlignment="1">
      <alignment horizontal="center" vertical="center"/>
    </xf>
    <xf numFmtId="0" fontId="1" fillId="7818" borderId="0" xfId="4" applyFill="1" applyAlignment="1">
      <alignment horizontal="center" vertical="center"/>
    </xf>
    <xf numFmtId="0" fontId="1" fillId="7819" borderId="0" xfId="4" applyFill="1" applyAlignment="1">
      <alignment horizontal="center" vertical="center"/>
    </xf>
    <xf numFmtId="0" fontId="1" fillId="7820" borderId="0" xfId="4" applyFill="1" applyAlignment="1">
      <alignment horizontal="center" vertical="center"/>
    </xf>
    <xf numFmtId="0" fontId="1" fillId="7821" borderId="0" xfId="4" applyFill="1" applyAlignment="1">
      <alignment horizontal="center" vertical="center"/>
    </xf>
    <xf numFmtId="0" fontId="1" fillId="7822" borderId="0" xfId="4" applyFill="1" applyAlignment="1">
      <alignment horizontal="center" vertical="center"/>
    </xf>
    <xf numFmtId="0" fontId="1" fillId="7823" borderId="0" xfId="4" applyFill="1" applyAlignment="1">
      <alignment horizontal="center" vertical="center"/>
    </xf>
    <xf numFmtId="0" fontId="1" fillId="7824" borderId="0" xfId="4" applyFill="1" applyAlignment="1">
      <alignment horizontal="center" vertical="center"/>
    </xf>
    <xf numFmtId="0" fontId="1" fillId="7825" borderId="0" xfId="4" applyFill="1" applyAlignment="1">
      <alignment horizontal="center" vertical="center"/>
    </xf>
    <xf numFmtId="0" fontId="1" fillId="7826" borderId="0" xfId="4" applyFill="1" applyAlignment="1">
      <alignment horizontal="center" vertical="center"/>
    </xf>
    <xf numFmtId="0" fontId="1" fillId="7827" borderId="0" xfId="4" applyFill="1" applyAlignment="1">
      <alignment horizontal="center" vertical="center"/>
    </xf>
    <xf numFmtId="0" fontId="1" fillId="7828" borderId="0" xfId="4" applyFill="1" applyAlignment="1">
      <alignment horizontal="center" vertical="center"/>
    </xf>
    <xf numFmtId="0" fontId="1" fillId="7829" borderId="0" xfId="4" applyFill="1" applyAlignment="1">
      <alignment horizontal="center" vertical="center"/>
    </xf>
    <xf numFmtId="0" fontId="1" fillId="7830" borderId="0" xfId="4" applyFill="1" applyAlignment="1">
      <alignment horizontal="center" vertical="center"/>
    </xf>
    <xf numFmtId="0" fontId="1" fillId="7831" borderId="0" xfId="4" applyFill="1" applyAlignment="1">
      <alignment horizontal="center" vertical="center"/>
    </xf>
    <xf numFmtId="0" fontId="1" fillId="7832" borderId="0" xfId="4" applyFill="1" applyAlignment="1">
      <alignment horizontal="left" vertical="center"/>
    </xf>
    <xf numFmtId="0" fontId="1" fillId="7833" borderId="0" xfId="4" applyFill="1" applyAlignment="1">
      <alignment horizontal="center" vertical="center"/>
    </xf>
    <xf numFmtId="0" fontId="1" fillId="7834" borderId="0" xfId="4" applyFill="1" applyAlignment="1">
      <alignment horizontal="center" vertical="center"/>
    </xf>
    <xf numFmtId="0" fontId="1" fillId="7835" borderId="0" xfId="4" applyFill="1" applyAlignment="1">
      <alignment horizontal="center" vertical="center"/>
    </xf>
    <xf numFmtId="0" fontId="1" fillId="7836" borderId="0" xfId="4" applyFill="1" applyAlignment="1">
      <alignment horizontal="center" vertical="center"/>
    </xf>
    <xf numFmtId="0" fontId="1" fillId="7837" borderId="0" xfId="4" applyFill="1" applyAlignment="1">
      <alignment horizontal="center" vertical="center"/>
    </xf>
    <xf numFmtId="0" fontId="1" fillId="7838" borderId="0" xfId="4" applyFill="1" applyAlignment="1">
      <alignment horizontal="center" vertical="center"/>
    </xf>
    <xf numFmtId="0" fontId="1" fillId="7839" borderId="0" xfId="4" applyFill="1" applyAlignment="1">
      <alignment horizontal="center" vertical="center"/>
    </xf>
    <xf numFmtId="0" fontId="1" fillId="7840" borderId="0" xfId="4" applyFill="1" applyAlignment="1">
      <alignment horizontal="center" vertical="center"/>
    </xf>
    <xf numFmtId="0" fontId="1" fillId="7841" borderId="0" xfId="4" applyFill="1" applyAlignment="1">
      <alignment horizontal="center" vertical="center"/>
    </xf>
    <xf numFmtId="0" fontId="1" fillId="7842" borderId="0" xfId="4" applyFill="1" applyAlignment="1">
      <alignment horizontal="center" vertical="center"/>
    </xf>
    <xf numFmtId="0" fontId="1" fillId="7843" borderId="0" xfId="4" applyFill="1" applyAlignment="1">
      <alignment horizontal="center" vertical="center"/>
    </xf>
    <xf numFmtId="0" fontId="1" fillId="7844" borderId="0" xfId="4" applyFill="1" applyAlignment="1">
      <alignment horizontal="center" vertical="center"/>
    </xf>
    <xf numFmtId="0" fontId="1" fillId="7845" borderId="0" xfId="4" applyFill="1" applyAlignment="1">
      <alignment horizontal="center" vertical="center"/>
    </xf>
    <xf numFmtId="0" fontId="1" fillId="7846" borderId="0" xfId="4" applyFill="1" applyAlignment="1">
      <alignment horizontal="center" vertical="center"/>
    </xf>
    <xf numFmtId="0" fontId="1" fillId="7847" borderId="0" xfId="4" applyFill="1" applyAlignment="1">
      <alignment horizontal="center" vertical="center"/>
    </xf>
    <xf numFmtId="0" fontId="1" fillId="7848" borderId="0" xfId="4" applyFill="1" applyAlignment="1">
      <alignment horizontal="center" vertical="center"/>
    </xf>
    <xf numFmtId="0" fontId="1" fillId="7849" borderId="0" xfId="4" applyFill="1" applyAlignment="1">
      <alignment horizontal="center" vertical="center"/>
    </xf>
    <xf numFmtId="0" fontId="1" fillId="7850" borderId="0" xfId="4" applyFill="1" applyAlignment="1">
      <alignment horizontal="center" vertical="center"/>
    </xf>
    <xf numFmtId="0" fontId="1" fillId="7851" borderId="0" xfId="4" applyFill="1" applyAlignment="1">
      <alignment horizontal="center" vertical="center"/>
    </xf>
    <xf numFmtId="0" fontId="1" fillId="7852" borderId="0" xfId="4" applyFill="1" applyAlignment="1">
      <alignment horizontal="center" vertical="center"/>
    </xf>
    <xf numFmtId="0" fontId="1" fillId="7853" borderId="0" xfId="4" applyFill="1" applyAlignment="1">
      <alignment horizontal="center" vertical="center"/>
    </xf>
    <xf numFmtId="0" fontId="1" fillId="7854" borderId="0" xfId="4" applyFill="1" applyAlignment="1">
      <alignment horizontal="center" vertical="center"/>
    </xf>
    <xf numFmtId="0" fontId="1" fillId="7855" borderId="0" xfId="4" applyFill="1" applyAlignment="1">
      <alignment horizontal="center" vertical="center"/>
    </xf>
    <xf numFmtId="0" fontId="1" fillId="7856" borderId="0" xfId="4" applyFill="1" applyAlignment="1">
      <alignment horizontal="center" vertical="center"/>
    </xf>
    <xf numFmtId="0" fontId="1" fillId="7857" borderId="0" xfId="4" applyFill="1" applyAlignment="1">
      <alignment horizontal="center" vertical="center"/>
    </xf>
    <xf numFmtId="0" fontId="1" fillId="7858" borderId="0" xfId="4" applyFill="1" applyAlignment="1">
      <alignment horizontal="center" vertical="center"/>
    </xf>
    <xf numFmtId="0" fontId="1" fillId="7859" borderId="0" xfId="4" applyFill="1" applyAlignment="1">
      <alignment horizontal="center" vertical="center"/>
    </xf>
    <xf numFmtId="0" fontId="1" fillId="7860" borderId="0" xfId="4" applyFill="1" applyAlignment="1">
      <alignment horizontal="center" vertical="center"/>
    </xf>
    <xf numFmtId="0" fontId="1" fillId="7861" borderId="0" xfId="4" applyFill="1" applyAlignment="1">
      <alignment horizontal="center" vertical="center"/>
    </xf>
    <xf numFmtId="0" fontId="1" fillId="7862" borderId="0" xfId="4" applyFill="1" applyAlignment="1">
      <alignment horizontal="center" vertical="center"/>
    </xf>
    <xf numFmtId="0" fontId="1" fillId="7863" borderId="0" xfId="4" applyFill="1" applyAlignment="1">
      <alignment horizontal="center" vertical="center"/>
    </xf>
    <xf numFmtId="0" fontId="1" fillId="7864" borderId="0" xfId="4" applyFill="1" applyAlignment="1">
      <alignment horizontal="center" vertical="center"/>
    </xf>
    <xf numFmtId="0" fontId="1" fillId="7865" borderId="0" xfId="4" applyFill="1" applyAlignment="1">
      <alignment horizontal="center" vertical="center"/>
    </xf>
    <xf numFmtId="0" fontId="1" fillId="7866" borderId="0" xfId="4" applyFill="1" applyAlignment="1">
      <alignment horizontal="center" vertical="center"/>
    </xf>
    <xf numFmtId="0" fontId="1" fillId="7867" borderId="0" xfId="4" applyFill="1" applyAlignment="1">
      <alignment horizontal="center" vertical="center"/>
    </xf>
    <xf numFmtId="0" fontId="1" fillId="7868" borderId="0" xfId="4" applyFill="1" applyAlignment="1">
      <alignment horizontal="center" vertical="center"/>
    </xf>
    <xf numFmtId="0" fontId="1" fillId="7869" borderId="0" xfId="4" applyFill="1" applyAlignment="1">
      <alignment horizontal="center" vertical="center"/>
    </xf>
    <xf numFmtId="0" fontId="1" fillId="7870" borderId="0" xfId="4" applyFill="1" applyAlignment="1">
      <alignment horizontal="center" vertical="center"/>
    </xf>
    <xf numFmtId="0" fontId="1" fillId="7871" borderId="0" xfId="4" applyFill="1" applyAlignment="1">
      <alignment horizontal="center" vertical="center"/>
    </xf>
    <xf numFmtId="0" fontId="1" fillId="7872" borderId="0" xfId="4" applyFill="1" applyAlignment="1">
      <alignment horizontal="center" vertical="center"/>
    </xf>
    <xf numFmtId="0" fontId="1" fillId="7873" borderId="0" xfId="4" applyFill="1" applyAlignment="1">
      <alignment horizontal="center" vertical="center"/>
    </xf>
    <xf numFmtId="0" fontId="1" fillId="7874" borderId="0" xfId="4" applyFill="1" applyAlignment="1">
      <alignment horizontal="center" vertical="center"/>
    </xf>
    <xf numFmtId="0" fontId="1" fillId="7875" borderId="0" xfId="4" applyFill="1" applyAlignment="1">
      <alignment horizontal="center" vertical="center"/>
    </xf>
    <xf numFmtId="0" fontId="1" fillId="7876" borderId="0" xfId="4" applyFill="1" applyAlignment="1">
      <alignment horizontal="center" vertical="center"/>
    </xf>
    <xf numFmtId="0" fontId="1" fillId="7877" borderId="0" xfId="4" applyFill="1" applyAlignment="1">
      <alignment horizontal="center" vertical="center"/>
    </xf>
    <xf numFmtId="0" fontId="1" fillId="7878" borderId="0" xfId="4" applyFill="1" applyAlignment="1">
      <alignment horizontal="center" vertical="center"/>
    </xf>
    <xf numFmtId="0" fontId="1" fillId="7879" borderId="0" xfId="4" applyFill="1" applyAlignment="1">
      <alignment horizontal="center" vertical="center"/>
    </xf>
    <xf numFmtId="0" fontId="1" fillId="7880" borderId="0" xfId="4" applyFill="1" applyAlignment="1">
      <alignment horizontal="center" vertical="center"/>
    </xf>
    <xf numFmtId="0" fontId="1" fillId="7881" borderId="0" xfId="4" applyFill="1" applyAlignment="1">
      <alignment horizontal="center" vertical="center"/>
    </xf>
    <xf numFmtId="0" fontId="1" fillId="7882" borderId="0" xfId="4" applyFill="1" applyAlignment="1">
      <alignment horizontal="center" vertical="center"/>
    </xf>
    <xf numFmtId="0" fontId="1" fillId="7883" borderId="0" xfId="4" applyFill="1" applyAlignment="1">
      <alignment horizontal="center" vertical="center"/>
    </xf>
    <xf numFmtId="0" fontId="1" fillId="7884" borderId="0" xfId="4" applyFill="1" applyAlignment="1">
      <alignment horizontal="left" vertical="center"/>
    </xf>
    <xf numFmtId="0" fontId="1" fillId="7885" borderId="0" xfId="4" applyFill="1" applyAlignment="1">
      <alignment horizontal="center" vertical="center"/>
    </xf>
    <xf numFmtId="0" fontId="1" fillId="7886" borderId="0" xfId="4" applyFill="1" applyAlignment="1">
      <alignment horizontal="center" vertical="center"/>
    </xf>
    <xf numFmtId="0" fontId="1" fillId="7887" borderId="0" xfId="4" applyFill="1" applyAlignment="1">
      <alignment horizontal="center" vertical="center"/>
    </xf>
    <xf numFmtId="0" fontId="1" fillId="7888" borderId="0" xfId="4" applyFill="1" applyAlignment="1">
      <alignment horizontal="center" vertical="center"/>
    </xf>
    <xf numFmtId="0" fontId="1" fillId="7889" borderId="0" xfId="4" applyFill="1" applyAlignment="1">
      <alignment horizontal="center" vertical="center"/>
    </xf>
    <xf numFmtId="0" fontId="1" fillId="7890" borderId="0" xfId="4" applyFill="1" applyAlignment="1">
      <alignment horizontal="center" vertical="center"/>
    </xf>
    <xf numFmtId="0" fontId="1" fillId="7891" borderId="0" xfId="4" applyFill="1" applyAlignment="1">
      <alignment horizontal="center" vertical="center"/>
    </xf>
    <xf numFmtId="0" fontId="1" fillId="7892" borderId="0" xfId="4" applyFill="1" applyAlignment="1">
      <alignment horizontal="center" vertical="center"/>
    </xf>
    <xf numFmtId="0" fontId="1" fillId="7893" borderId="0" xfId="4" applyFill="1" applyAlignment="1">
      <alignment horizontal="center" vertical="center"/>
    </xf>
    <xf numFmtId="0" fontId="1" fillId="7894" borderId="0" xfId="4" applyFill="1" applyAlignment="1">
      <alignment horizontal="center" vertical="center"/>
    </xf>
    <xf numFmtId="0" fontId="1" fillId="7895" borderId="0" xfId="4" applyFill="1" applyAlignment="1">
      <alignment horizontal="center" vertical="center"/>
    </xf>
    <xf numFmtId="0" fontId="1" fillId="7896" borderId="0" xfId="4" applyFill="1" applyAlignment="1">
      <alignment horizontal="center" vertical="center"/>
    </xf>
    <xf numFmtId="0" fontId="1" fillId="7897" borderId="0" xfId="4" applyFill="1" applyAlignment="1">
      <alignment horizontal="center" vertical="center"/>
    </xf>
    <xf numFmtId="0" fontId="1" fillId="7898" borderId="0" xfId="4" applyFill="1" applyAlignment="1">
      <alignment horizontal="center" vertical="center"/>
    </xf>
    <xf numFmtId="0" fontId="1" fillId="7899" borderId="0" xfId="4" applyFill="1" applyAlignment="1">
      <alignment horizontal="center" vertical="center"/>
    </xf>
    <xf numFmtId="0" fontId="1" fillId="7900" borderId="0" xfId="4" applyFill="1" applyAlignment="1">
      <alignment horizontal="center" vertical="center"/>
    </xf>
    <xf numFmtId="0" fontId="1" fillId="7901" borderId="0" xfId="4" applyFill="1" applyAlignment="1">
      <alignment horizontal="center" vertical="center"/>
    </xf>
    <xf numFmtId="0" fontId="1" fillId="7902" borderId="0" xfId="4" applyFill="1" applyAlignment="1">
      <alignment horizontal="center" vertical="center"/>
    </xf>
    <xf numFmtId="0" fontId="1" fillId="7903" borderId="0" xfId="4" applyFill="1" applyAlignment="1">
      <alignment horizontal="center" vertical="center"/>
    </xf>
    <xf numFmtId="0" fontId="1" fillId="7904" borderId="0" xfId="4" applyFill="1" applyAlignment="1">
      <alignment horizontal="center" vertical="center"/>
    </xf>
    <xf numFmtId="0" fontId="1" fillId="7905" borderId="0" xfId="4" applyFill="1" applyAlignment="1">
      <alignment horizontal="center" vertical="center"/>
    </xf>
    <xf numFmtId="0" fontId="1" fillId="7906" borderId="0" xfId="4" applyFill="1" applyAlignment="1">
      <alignment horizontal="center" vertical="center"/>
    </xf>
    <xf numFmtId="0" fontId="1" fillId="7907" borderId="0" xfId="4" applyFill="1" applyAlignment="1">
      <alignment horizontal="center" vertical="center"/>
    </xf>
    <xf numFmtId="0" fontId="1" fillId="7908" borderId="0" xfId="4" applyFill="1" applyAlignment="1">
      <alignment horizontal="center" vertical="center"/>
    </xf>
    <xf numFmtId="0" fontId="1" fillId="7909" borderId="0" xfId="4" applyFill="1" applyAlignment="1">
      <alignment horizontal="center" vertical="center"/>
    </xf>
    <xf numFmtId="0" fontId="1" fillId="7910" borderId="0" xfId="4" applyFill="1" applyAlignment="1">
      <alignment horizontal="center" vertical="center"/>
    </xf>
    <xf numFmtId="0" fontId="1" fillId="7911" borderId="0" xfId="4" applyFill="1" applyAlignment="1">
      <alignment horizontal="center" vertical="center"/>
    </xf>
    <xf numFmtId="0" fontId="1" fillId="7912" borderId="0" xfId="4" applyFill="1" applyAlignment="1">
      <alignment horizontal="center" vertical="center"/>
    </xf>
    <xf numFmtId="0" fontId="1" fillId="7913" borderId="0" xfId="4" applyFill="1" applyAlignment="1">
      <alignment horizontal="center" vertical="center"/>
    </xf>
    <xf numFmtId="0" fontId="1" fillId="7914" borderId="0" xfId="4" applyFill="1" applyAlignment="1">
      <alignment horizontal="center" vertical="center"/>
    </xf>
    <xf numFmtId="0" fontId="1" fillId="7915" borderId="0" xfId="4" applyFill="1" applyAlignment="1">
      <alignment horizontal="center" vertical="center"/>
    </xf>
    <xf numFmtId="0" fontId="1" fillId="7916" borderId="0" xfId="4" applyFill="1" applyAlignment="1">
      <alignment horizontal="center" vertical="center"/>
    </xf>
    <xf numFmtId="0" fontId="1" fillId="7917" borderId="0" xfId="4" applyFill="1" applyAlignment="1">
      <alignment horizontal="center" vertical="center"/>
    </xf>
    <xf numFmtId="0" fontId="1" fillId="3605" borderId="0" xfId="4" applyFill="1" applyAlignment="1">
      <alignment horizontal="left" vertical="center"/>
    </xf>
    <xf numFmtId="0" fontId="1" fillId="7918" borderId="0" xfId="4" applyFill="1" applyAlignment="1">
      <alignment horizontal="center" vertical="center"/>
    </xf>
    <xf numFmtId="0" fontId="1" fillId="7919" borderId="0" xfId="4" applyFill="1" applyAlignment="1">
      <alignment horizontal="center" vertical="center"/>
    </xf>
    <xf numFmtId="0" fontId="1" fillId="7920" borderId="0" xfId="4" applyFill="1" applyAlignment="1">
      <alignment horizontal="center" vertical="center"/>
    </xf>
    <xf numFmtId="0" fontId="1" fillId="7921" borderId="0" xfId="4" applyFill="1" applyAlignment="1">
      <alignment horizontal="center" vertical="center"/>
    </xf>
    <xf numFmtId="0" fontId="1" fillId="7922" borderId="0" xfId="4" applyFill="1" applyAlignment="1">
      <alignment horizontal="center" vertical="center"/>
    </xf>
    <xf numFmtId="0" fontId="1" fillId="7923" borderId="0" xfId="4" applyFill="1" applyAlignment="1">
      <alignment horizontal="center" vertical="center"/>
    </xf>
    <xf numFmtId="0" fontId="1" fillId="7924" borderId="0" xfId="4" applyFill="1" applyAlignment="1">
      <alignment horizontal="center" vertical="center"/>
    </xf>
    <xf numFmtId="0" fontId="1" fillId="7925" borderId="0" xfId="4" applyFill="1" applyAlignment="1">
      <alignment horizontal="center" vertical="center"/>
    </xf>
    <xf numFmtId="0" fontId="1" fillId="7926" borderId="0" xfId="4" applyFill="1" applyAlignment="1">
      <alignment horizontal="center" vertical="center"/>
    </xf>
    <xf numFmtId="0" fontId="1" fillId="7927" borderId="0" xfId="4" applyFill="1" applyAlignment="1">
      <alignment horizontal="center" vertical="center"/>
    </xf>
    <xf numFmtId="0" fontId="1" fillId="7928" borderId="0" xfId="4" applyFill="1" applyAlignment="1">
      <alignment horizontal="center" vertical="center"/>
    </xf>
    <xf numFmtId="0" fontId="1" fillId="7929" borderId="0" xfId="4" applyFill="1" applyAlignment="1">
      <alignment horizontal="center" vertical="center"/>
    </xf>
    <xf numFmtId="0" fontId="1" fillId="7930" borderId="0" xfId="4" applyFill="1" applyAlignment="1">
      <alignment horizontal="center" vertical="center"/>
    </xf>
    <xf numFmtId="0" fontId="1" fillId="7931" borderId="0" xfId="4" applyFill="1" applyAlignment="1">
      <alignment horizontal="center" vertical="center"/>
    </xf>
    <xf numFmtId="0" fontId="1" fillId="7932" borderId="0" xfId="4" applyFill="1" applyAlignment="1">
      <alignment horizontal="center" vertical="center"/>
    </xf>
    <xf numFmtId="0" fontId="1" fillId="7933" borderId="0" xfId="4" applyFill="1" applyAlignment="1">
      <alignment horizontal="center" vertical="center"/>
    </xf>
    <xf numFmtId="0" fontId="1" fillId="7934" borderId="0" xfId="4" applyFill="1" applyAlignment="1">
      <alignment horizontal="center" vertical="center"/>
    </xf>
    <xf numFmtId="0" fontId="1" fillId="7935" borderId="0" xfId="4" applyFill="1" applyAlignment="1">
      <alignment horizontal="center" vertical="center"/>
    </xf>
    <xf numFmtId="0" fontId="1" fillId="7936" borderId="0" xfId="4" applyFill="1" applyAlignment="1">
      <alignment horizontal="center" vertical="center"/>
    </xf>
    <xf numFmtId="0" fontId="1" fillId="7937" borderId="0" xfId="4" applyFill="1" applyAlignment="1">
      <alignment horizontal="center" vertical="center"/>
    </xf>
    <xf numFmtId="0" fontId="1" fillId="7938" borderId="0" xfId="4" applyFill="1" applyAlignment="1">
      <alignment horizontal="center" vertical="center"/>
    </xf>
    <xf numFmtId="0" fontId="1" fillId="7939" borderId="0" xfId="4" applyFill="1" applyAlignment="1">
      <alignment horizontal="center" vertical="center"/>
    </xf>
    <xf numFmtId="0" fontId="1" fillId="7940" borderId="0" xfId="4" applyFill="1" applyAlignment="1">
      <alignment horizontal="center" vertical="center"/>
    </xf>
    <xf numFmtId="0" fontId="1" fillId="7941" borderId="0" xfId="4" applyFill="1" applyAlignment="1">
      <alignment horizontal="center" vertical="center"/>
    </xf>
    <xf numFmtId="0" fontId="1" fillId="7942" borderId="0" xfId="4" applyFill="1" applyAlignment="1">
      <alignment horizontal="center" vertical="center"/>
    </xf>
    <xf numFmtId="0" fontId="1" fillId="7943" borderId="0" xfId="4" applyFill="1" applyAlignment="1">
      <alignment horizontal="center" vertical="center"/>
    </xf>
    <xf numFmtId="0" fontId="1" fillId="7944" borderId="0" xfId="4" applyFill="1" applyAlignment="1">
      <alignment horizontal="center" vertical="center"/>
    </xf>
    <xf numFmtId="0" fontId="1" fillId="7945" borderId="0" xfId="4" applyFill="1" applyAlignment="1">
      <alignment horizontal="center" vertical="center"/>
    </xf>
    <xf numFmtId="0" fontId="1" fillId="7946" borderId="0" xfId="4" applyFill="1" applyAlignment="1">
      <alignment horizontal="center" vertical="center"/>
    </xf>
    <xf numFmtId="0" fontId="1" fillId="7947" borderId="0" xfId="4" applyFill="1" applyAlignment="1">
      <alignment horizontal="center" vertical="center"/>
    </xf>
    <xf numFmtId="0" fontId="1" fillId="7948" borderId="0" xfId="4" applyFill="1" applyAlignment="1">
      <alignment horizontal="center" vertical="center"/>
    </xf>
    <xf numFmtId="0" fontId="1" fillId="7949" borderId="0" xfId="4" applyFill="1" applyAlignment="1">
      <alignment horizontal="center" vertical="center"/>
    </xf>
    <xf numFmtId="0" fontId="1" fillId="7950" borderId="0" xfId="4" applyFill="1" applyAlignment="1">
      <alignment horizontal="center" vertical="center"/>
    </xf>
    <xf numFmtId="0" fontId="1" fillId="7951" borderId="0" xfId="4" applyFill="1" applyAlignment="1">
      <alignment horizontal="center" vertical="center"/>
    </xf>
    <xf numFmtId="0" fontId="1" fillId="7952" borderId="0" xfId="4" applyFill="1" applyAlignment="1">
      <alignment horizontal="center" vertical="center"/>
    </xf>
    <xf numFmtId="0" fontId="1" fillId="7953" borderId="0" xfId="4" applyFill="1" applyAlignment="1">
      <alignment horizontal="center" vertical="center"/>
    </xf>
    <xf numFmtId="0" fontId="1" fillId="7954" borderId="0" xfId="4" applyFill="1" applyAlignment="1">
      <alignment horizontal="center" vertical="center"/>
    </xf>
    <xf numFmtId="0" fontId="1" fillId="7955" borderId="0" xfId="4" applyFill="1" applyAlignment="1">
      <alignment horizontal="center" vertical="center"/>
    </xf>
    <xf numFmtId="0" fontId="1" fillId="7956" borderId="0" xfId="4" applyFill="1" applyAlignment="1">
      <alignment horizontal="center" vertical="center"/>
    </xf>
    <xf numFmtId="0" fontId="1" fillId="7957" borderId="0" xfId="4" applyFill="1" applyAlignment="1">
      <alignment horizontal="center" vertical="center"/>
    </xf>
    <xf numFmtId="0" fontId="1" fillId="7958" borderId="0" xfId="4" applyFill="1" applyAlignment="1">
      <alignment horizontal="center" vertical="center"/>
    </xf>
    <xf numFmtId="0" fontId="1" fillId="7959" borderId="0" xfId="4" applyFill="1" applyAlignment="1">
      <alignment horizontal="center" vertical="center"/>
    </xf>
    <xf numFmtId="0" fontId="1" fillId="7960" borderId="0" xfId="4" applyFill="1" applyAlignment="1">
      <alignment horizontal="center" vertical="center"/>
    </xf>
    <xf numFmtId="0" fontId="1" fillId="7961" borderId="0" xfId="4" applyFill="1" applyAlignment="1">
      <alignment horizontal="center" vertical="center"/>
    </xf>
    <xf numFmtId="0" fontId="1" fillId="7962" borderId="0" xfId="4" applyFill="1" applyAlignment="1">
      <alignment horizontal="center" vertical="center"/>
    </xf>
    <xf numFmtId="0" fontId="1" fillId="7963" borderId="0" xfId="4" applyFill="1" applyAlignment="1">
      <alignment horizontal="center" vertical="center"/>
    </xf>
    <xf numFmtId="0" fontId="1" fillId="7964" borderId="0" xfId="4" applyFill="1" applyAlignment="1">
      <alignment horizontal="left" vertical="center"/>
    </xf>
    <xf numFmtId="0" fontId="1" fillId="7965" borderId="0" xfId="4" applyFill="1" applyAlignment="1">
      <alignment horizontal="center" vertical="center"/>
    </xf>
    <xf numFmtId="0" fontId="1" fillId="7966" borderId="0" xfId="4" applyFill="1" applyAlignment="1">
      <alignment horizontal="center" vertical="center"/>
    </xf>
    <xf numFmtId="0" fontId="1" fillId="7967" borderId="0" xfId="4" applyFill="1" applyAlignment="1">
      <alignment horizontal="center" vertical="center"/>
    </xf>
    <xf numFmtId="0" fontId="1" fillId="7968" borderId="0" xfId="4" applyFill="1" applyAlignment="1">
      <alignment horizontal="center" vertical="center"/>
    </xf>
    <xf numFmtId="0" fontId="1" fillId="7969" borderId="0" xfId="4" applyFill="1" applyAlignment="1">
      <alignment horizontal="center" vertical="center"/>
    </xf>
    <xf numFmtId="0" fontId="1" fillId="7970" borderId="0" xfId="4" applyFill="1" applyAlignment="1">
      <alignment horizontal="center" vertical="center"/>
    </xf>
    <xf numFmtId="0" fontId="1" fillId="7971" borderId="0" xfId="4" applyFill="1" applyAlignment="1">
      <alignment horizontal="center" vertical="center"/>
    </xf>
    <xf numFmtId="0" fontId="1" fillId="7972" borderId="0" xfId="4" applyFill="1" applyAlignment="1">
      <alignment horizontal="center" vertical="center"/>
    </xf>
    <xf numFmtId="0" fontId="1" fillId="7973" borderId="0" xfId="4" applyFill="1" applyAlignment="1">
      <alignment horizontal="center" vertical="center"/>
    </xf>
    <xf numFmtId="0" fontId="1" fillId="7974" borderId="0" xfId="4" applyFill="1" applyAlignment="1">
      <alignment horizontal="center" vertical="center"/>
    </xf>
    <xf numFmtId="0" fontId="1" fillId="7975" borderId="0" xfId="4" applyFill="1" applyAlignment="1">
      <alignment horizontal="center" vertical="center"/>
    </xf>
    <xf numFmtId="0" fontId="1" fillId="7976" borderId="0" xfId="4" applyFill="1" applyAlignment="1">
      <alignment horizontal="center" vertical="center"/>
    </xf>
    <xf numFmtId="0" fontId="1" fillId="7977" borderId="0" xfId="4" applyFill="1" applyAlignment="1">
      <alignment horizontal="center" vertical="center"/>
    </xf>
    <xf numFmtId="0" fontId="1" fillId="7978" borderId="0" xfId="4" applyFill="1" applyAlignment="1">
      <alignment horizontal="center" vertical="center"/>
    </xf>
    <xf numFmtId="0" fontId="1" fillId="7979" borderId="0" xfId="4" applyFill="1" applyAlignment="1">
      <alignment horizontal="center" vertical="center"/>
    </xf>
    <xf numFmtId="0" fontId="1" fillId="7980" borderId="0" xfId="4" applyFill="1" applyAlignment="1">
      <alignment horizontal="center" vertical="center"/>
    </xf>
    <xf numFmtId="0" fontId="1" fillId="7981" borderId="0" xfId="4" applyFill="1" applyAlignment="1">
      <alignment horizontal="center" vertical="center"/>
    </xf>
    <xf numFmtId="0" fontId="1" fillId="7982" borderId="0" xfId="4" applyFill="1" applyAlignment="1">
      <alignment horizontal="center" vertical="center"/>
    </xf>
    <xf numFmtId="0" fontId="1" fillId="7983" borderId="0" xfId="4" applyFill="1" applyAlignment="1">
      <alignment horizontal="center" vertical="center"/>
    </xf>
    <xf numFmtId="0" fontId="1" fillId="7984" borderId="0" xfId="4" applyFill="1" applyAlignment="1">
      <alignment horizontal="center" vertical="center"/>
    </xf>
    <xf numFmtId="0" fontId="1" fillId="7985" borderId="0" xfId="4" applyFill="1" applyAlignment="1">
      <alignment horizontal="center" vertical="center"/>
    </xf>
    <xf numFmtId="0" fontId="1" fillId="7986" borderId="0" xfId="4" applyFill="1" applyAlignment="1">
      <alignment horizontal="center" vertical="center"/>
    </xf>
    <xf numFmtId="0" fontId="1" fillId="7987" borderId="0" xfId="4" applyFill="1" applyAlignment="1">
      <alignment horizontal="center" vertical="center"/>
    </xf>
    <xf numFmtId="0" fontId="1" fillId="7988" borderId="0" xfId="4" applyFill="1" applyAlignment="1">
      <alignment horizontal="center" vertical="center"/>
    </xf>
    <xf numFmtId="0" fontId="1" fillId="7989" borderId="0" xfId="4" applyFill="1" applyAlignment="1">
      <alignment horizontal="center" vertical="center"/>
    </xf>
    <xf numFmtId="0" fontId="1" fillId="7990" borderId="0" xfId="4" applyFill="1" applyAlignment="1">
      <alignment horizontal="center" vertical="center"/>
    </xf>
    <xf numFmtId="0" fontId="1" fillId="7991" borderId="0" xfId="4" applyFill="1" applyAlignment="1">
      <alignment horizontal="center" vertical="center"/>
    </xf>
    <xf numFmtId="0" fontId="1" fillId="7992" borderId="0" xfId="4" applyFill="1" applyAlignment="1">
      <alignment horizontal="center" vertical="center"/>
    </xf>
    <xf numFmtId="0" fontId="1" fillId="7993" borderId="0" xfId="4" applyFill="1" applyAlignment="1">
      <alignment horizontal="center" vertical="center"/>
    </xf>
    <xf numFmtId="0" fontId="1" fillId="7994" borderId="0" xfId="4" applyFill="1" applyAlignment="1">
      <alignment horizontal="center" vertical="center"/>
    </xf>
    <xf numFmtId="0" fontId="1" fillId="7995" borderId="0" xfId="4" applyFill="1" applyAlignment="1">
      <alignment horizontal="center" vertical="center"/>
    </xf>
    <xf numFmtId="0" fontId="1" fillId="7996" borderId="0" xfId="4" applyFill="1" applyAlignment="1">
      <alignment horizontal="center" vertical="center"/>
    </xf>
    <xf numFmtId="0" fontId="1" fillId="7997" borderId="0" xfId="4" applyFill="1" applyAlignment="1">
      <alignment horizontal="left" vertical="center"/>
    </xf>
    <xf numFmtId="0" fontId="1" fillId="7998" borderId="0" xfId="4" applyFill="1" applyAlignment="1">
      <alignment horizontal="center" vertical="center"/>
    </xf>
    <xf numFmtId="0" fontId="1" fillId="7999" borderId="0" xfId="4" applyFill="1" applyAlignment="1">
      <alignment horizontal="center" vertical="center"/>
    </xf>
    <xf numFmtId="0" fontId="1" fillId="8000" borderId="0" xfId="4" applyFill="1" applyAlignment="1">
      <alignment horizontal="center" vertical="center"/>
    </xf>
    <xf numFmtId="0" fontId="1" fillId="8001" borderId="0" xfId="4" applyFill="1" applyAlignment="1">
      <alignment horizontal="center" vertical="center"/>
    </xf>
    <xf numFmtId="0" fontId="1" fillId="8002" borderId="0" xfId="4" applyFill="1" applyAlignment="1">
      <alignment horizontal="center" vertical="center"/>
    </xf>
    <xf numFmtId="0" fontId="1" fillId="8003" borderId="0" xfId="4" applyFill="1" applyAlignment="1">
      <alignment horizontal="center" vertical="center"/>
    </xf>
    <xf numFmtId="0" fontId="1" fillId="8004" borderId="0" xfId="4" applyFill="1" applyAlignment="1">
      <alignment horizontal="center" vertical="center"/>
    </xf>
    <xf numFmtId="0" fontId="1" fillId="8005" borderId="0" xfId="4" applyFill="1" applyAlignment="1">
      <alignment horizontal="center" vertical="center"/>
    </xf>
    <xf numFmtId="0" fontId="1" fillId="8006" borderId="0" xfId="4" applyFill="1" applyAlignment="1">
      <alignment horizontal="center" vertical="center"/>
    </xf>
    <xf numFmtId="0" fontId="1" fillId="8007" borderId="0" xfId="4" applyFill="1" applyAlignment="1">
      <alignment horizontal="center" vertical="center"/>
    </xf>
    <xf numFmtId="0" fontId="1" fillId="8008" borderId="0" xfId="4" applyFill="1" applyAlignment="1">
      <alignment horizontal="center" vertical="center"/>
    </xf>
    <xf numFmtId="0" fontId="1" fillId="8009" borderId="0" xfId="4" applyFill="1" applyAlignment="1">
      <alignment horizontal="center" vertical="center"/>
    </xf>
    <xf numFmtId="0" fontId="1" fillId="8010" borderId="0" xfId="4" applyFill="1" applyAlignment="1">
      <alignment horizontal="center" vertical="center"/>
    </xf>
    <xf numFmtId="0" fontId="1" fillId="8011" borderId="0" xfId="4" applyFill="1" applyAlignment="1">
      <alignment horizontal="center" vertical="center"/>
    </xf>
    <xf numFmtId="0" fontId="1" fillId="8012" borderId="0" xfId="4" applyFill="1" applyAlignment="1">
      <alignment horizontal="center" vertical="center"/>
    </xf>
    <xf numFmtId="0" fontId="1" fillId="8013" borderId="0" xfId="4" applyFill="1" applyAlignment="1">
      <alignment horizontal="center" vertical="center"/>
    </xf>
    <xf numFmtId="0" fontId="1" fillId="8014" borderId="0" xfId="4" applyFill="1" applyAlignment="1">
      <alignment horizontal="center" vertical="center"/>
    </xf>
    <xf numFmtId="0" fontId="1" fillId="8015" borderId="0" xfId="4" applyFill="1" applyAlignment="1">
      <alignment horizontal="center" vertical="center"/>
    </xf>
    <xf numFmtId="0" fontId="1" fillId="8016" borderId="0" xfId="4" applyFill="1" applyAlignment="1">
      <alignment horizontal="center" vertical="center"/>
    </xf>
    <xf numFmtId="0" fontId="1" fillId="8017" borderId="0" xfId="4" applyFill="1" applyAlignment="1">
      <alignment horizontal="center" vertical="center"/>
    </xf>
    <xf numFmtId="0" fontId="1" fillId="8018" borderId="0" xfId="4" applyFill="1" applyAlignment="1">
      <alignment horizontal="center" vertical="center"/>
    </xf>
    <xf numFmtId="0" fontId="1" fillId="8019" borderId="0" xfId="4" applyFill="1" applyAlignment="1">
      <alignment horizontal="center" vertical="center"/>
    </xf>
    <xf numFmtId="0" fontId="1" fillId="8020" borderId="0" xfId="4" applyFill="1" applyAlignment="1">
      <alignment horizontal="center" vertical="center"/>
    </xf>
    <xf numFmtId="0" fontId="1" fillId="8021" borderId="0" xfId="4" applyFill="1" applyAlignment="1">
      <alignment horizontal="center" vertical="center"/>
    </xf>
    <xf numFmtId="0" fontId="1" fillId="8022" borderId="0" xfId="4" applyFill="1" applyAlignment="1">
      <alignment horizontal="center" vertical="center"/>
    </xf>
    <xf numFmtId="0" fontId="1" fillId="8023" borderId="0" xfId="4" applyFill="1" applyAlignment="1">
      <alignment horizontal="center" vertical="center"/>
    </xf>
    <xf numFmtId="0" fontId="1" fillId="8024" borderId="0" xfId="4" applyFill="1" applyAlignment="1">
      <alignment horizontal="center" vertical="center"/>
    </xf>
    <xf numFmtId="0" fontId="1" fillId="8025" borderId="0" xfId="4" applyFill="1" applyAlignment="1">
      <alignment horizontal="center" vertical="center"/>
    </xf>
    <xf numFmtId="0" fontId="1" fillId="8026" borderId="0" xfId="4" applyFill="1" applyAlignment="1">
      <alignment horizontal="center" vertical="center"/>
    </xf>
    <xf numFmtId="0" fontId="1" fillId="8027" borderId="0" xfId="4" applyFill="1" applyAlignment="1">
      <alignment horizontal="center" vertical="center"/>
    </xf>
    <xf numFmtId="0" fontId="1" fillId="8028" borderId="0" xfId="4" applyFill="1" applyAlignment="1">
      <alignment horizontal="center" vertical="center"/>
    </xf>
    <xf numFmtId="0" fontId="1" fillId="8029" borderId="0" xfId="4" applyFill="1" applyAlignment="1">
      <alignment horizontal="center" vertical="center"/>
    </xf>
    <xf numFmtId="0" fontId="1" fillId="8030" borderId="0" xfId="4" applyFill="1" applyAlignment="1">
      <alignment horizontal="center" vertical="center"/>
    </xf>
    <xf numFmtId="0" fontId="1" fillId="8031" borderId="0" xfId="4" applyFill="1" applyAlignment="1">
      <alignment horizontal="center" vertical="center"/>
    </xf>
    <xf numFmtId="0" fontId="1" fillId="8032" borderId="0" xfId="4" applyFill="1" applyAlignment="1">
      <alignment horizontal="center" vertical="center"/>
    </xf>
    <xf numFmtId="0" fontId="1" fillId="8033" borderId="0" xfId="4" applyFill="1" applyAlignment="1">
      <alignment horizontal="center" vertical="center"/>
    </xf>
    <xf numFmtId="0" fontId="1" fillId="8034" borderId="0" xfId="4" applyFill="1" applyAlignment="1">
      <alignment horizontal="center" vertical="center"/>
    </xf>
    <xf numFmtId="0" fontId="1" fillId="8035" borderId="0" xfId="4" applyFill="1" applyAlignment="1">
      <alignment horizontal="center" vertical="center"/>
    </xf>
    <xf numFmtId="0" fontId="1" fillId="8036" borderId="0" xfId="4" applyFill="1" applyAlignment="1">
      <alignment horizontal="center" vertical="center"/>
    </xf>
    <xf numFmtId="0" fontId="1" fillId="8037" borderId="0" xfId="4" applyFill="1" applyAlignment="1">
      <alignment horizontal="center" vertical="center"/>
    </xf>
    <xf numFmtId="0" fontId="1" fillId="8038" borderId="0" xfId="4" applyFill="1" applyAlignment="1">
      <alignment horizontal="center" vertical="center"/>
    </xf>
    <xf numFmtId="0" fontId="1" fillId="8039" borderId="0" xfId="4" applyFill="1" applyAlignment="1">
      <alignment horizontal="center" vertical="center"/>
    </xf>
    <xf numFmtId="0" fontId="1" fillId="8040" borderId="0" xfId="4" applyFill="1" applyAlignment="1">
      <alignment horizontal="center" vertical="center"/>
    </xf>
    <xf numFmtId="0" fontId="1" fillId="8041" borderId="0" xfId="4" applyFill="1" applyAlignment="1">
      <alignment horizontal="center" vertical="center"/>
    </xf>
    <xf numFmtId="0" fontId="1" fillId="8042" borderId="0" xfId="4" applyFill="1" applyAlignment="1">
      <alignment horizontal="center" vertical="center"/>
    </xf>
    <xf numFmtId="0" fontId="1" fillId="8043" borderId="0" xfId="4" applyFill="1" applyAlignment="1">
      <alignment horizontal="center" vertical="center"/>
    </xf>
    <xf numFmtId="0" fontId="1" fillId="8044" borderId="0" xfId="4" applyFill="1" applyAlignment="1">
      <alignment horizontal="center" vertical="center"/>
    </xf>
    <xf numFmtId="0" fontId="1" fillId="8045" borderId="0" xfId="4" applyFill="1" applyAlignment="1">
      <alignment horizontal="center" vertical="center"/>
    </xf>
    <xf numFmtId="0" fontId="1" fillId="8046" borderId="0" xfId="4" applyFill="1" applyAlignment="1">
      <alignment horizontal="center" vertical="center"/>
    </xf>
    <xf numFmtId="0" fontId="1" fillId="8047" borderId="0" xfId="4" applyFill="1" applyAlignment="1">
      <alignment horizontal="center" vertical="center"/>
    </xf>
    <xf numFmtId="0" fontId="1" fillId="8048" borderId="0" xfId="4" applyFill="1" applyAlignment="1">
      <alignment horizontal="left" vertical="center"/>
    </xf>
    <xf numFmtId="0" fontId="1" fillId="8049" borderId="0" xfId="4" applyFill="1" applyAlignment="1">
      <alignment horizontal="center" vertical="center"/>
    </xf>
    <xf numFmtId="0" fontId="1" fillId="8050" borderId="0" xfId="4" applyFill="1" applyAlignment="1">
      <alignment horizontal="center" vertical="center"/>
    </xf>
    <xf numFmtId="0" fontId="1" fillId="8051" borderId="0" xfId="4" applyFill="1" applyAlignment="1">
      <alignment horizontal="center" vertical="center"/>
    </xf>
    <xf numFmtId="0" fontId="1" fillId="8052" borderId="0" xfId="4" applyFill="1" applyAlignment="1">
      <alignment horizontal="center" vertical="center"/>
    </xf>
    <xf numFmtId="0" fontId="1" fillId="8053" borderId="0" xfId="4" applyFill="1" applyAlignment="1">
      <alignment horizontal="center" vertical="center"/>
    </xf>
    <xf numFmtId="0" fontId="1" fillId="8054" borderId="0" xfId="4" applyFill="1" applyAlignment="1">
      <alignment horizontal="center" vertical="center"/>
    </xf>
    <xf numFmtId="0" fontId="1" fillId="8055" borderId="0" xfId="4" applyFill="1" applyAlignment="1">
      <alignment horizontal="center" vertical="center"/>
    </xf>
    <xf numFmtId="0" fontId="1" fillId="8056" borderId="0" xfId="4" applyFill="1" applyAlignment="1">
      <alignment horizontal="center" vertical="center"/>
    </xf>
    <xf numFmtId="0" fontId="1" fillId="8057" borderId="0" xfId="4" applyFill="1" applyAlignment="1">
      <alignment horizontal="center" vertical="center"/>
    </xf>
    <xf numFmtId="0" fontId="1" fillId="8058" borderId="0" xfId="4" applyFill="1" applyAlignment="1">
      <alignment horizontal="center" vertical="center"/>
    </xf>
    <xf numFmtId="0" fontId="1" fillId="8059" borderId="0" xfId="4" applyFill="1" applyAlignment="1">
      <alignment horizontal="center" vertical="center"/>
    </xf>
    <xf numFmtId="0" fontId="1" fillId="8060" borderId="0" xfId="4" applyFill="1" applyAlignment="1">
      <alignment horizontal="center" vertical="center"/>
    </xf>
    <xf numFmtId="0" fontId="1" fillId="8061" borderId="0" xfId="4" applyFill="1" applyAlignment="1">
      <alignment horizontal="center" vertical="center"/>
    </xf>
    <xf numFmtId="0" fontId="1" fillId="8062" borderId="0" xfId="4" applyFill="1" applyAlignment="1">
      <alignment horizontal="center" vertical="center"/>
    </xf>
    <xf numFmtId="0" fontId="1" fillId="8063" borderId="0" xfId="4" applyFill="1" applyAlignment="1">
      <alignment horizontal="center" vertical="center"/>
    </xf>
    <xf numFmtId="0" fontId="1" fillId="8064" borderId="0" xfId="4" applyFill="1" applyAlignment="1">
      <alignment horizontal="center" vertical="center"/>
    </xf>
    <xf numFmtId="0" fontId="1" fillId="8065" borderId="0" xfId="4" applyFill="1" applyAlignment="1">
      <alignment horizontal="center" vertical="center"/>
    </xf>
    <xf numFmtId="0" fontId="1" fillId="8066" borderId="0" xfId="4" applyFill="1" applyAlignment="1">
      <alignment horizontal="center" vertical="center"/>
    </xf>
    <xf numFmtId="0" fontId="1" fillId="8067" borderId="0" xfId="4" applyFill="1" applyAlignment="1">
      <alignment horizontal="center" vertical="center"/>
    </xf>
    <xf numFmtId="0" fontId="1" fillId="8068" borderId="0" xfId="4" applyFill="1" applyAlignment="1">
      <alignment horizontal="center" vertical="center"/>
    </xf>
    <xf numFmtId="0" fontId="1" fillId="8069" borderId="0" xfId="4" applyFill="1" applyAlignment="1">
      <alignment horizontal="center" vertical="center"/>
    </xf>
    <xf numFmtId="0" fontId="1" fillId="8070" borderId="0" xfId="4" applyFill="1" applyAlignment="1">
      <alignment horizontal="center" vertical="center"/>
    </xf>
    <xf numFmtId="0" fontId="1" fillId="8071" borderId="0" xfId="4" applyFill="1" applyAlignment="1">
      <alignment horizontal="center" vertical="center"/>
    </xf>
    <xf numFmtId="0" fontId="1" fillId="8072" borderId="0" xfId="4" applyFill="1" applyAlignment="1">
      <alignment horizontal="center" vertical="center"/>
    </xf>
    <xf numFmtId="0" fontId="1" fillId="8073" borderId="0" xfId="4" applyFill="1" applyAlignment="1">
      <alignment horizontal="center" vertical="center"/>
    </xf>
    <xf numFmtId="0" fontId="1" fillId="8074" borderId="0" xfId="4" applyFill="1" applyAlignment="1">
      <alignment horizontal="center" vertical="center"/>
    </xf>
    <xf numFmtId="0" fontId="1" fillId="8075" borderId="0" xfId="4" applyFill="1" applyAlignment="1">
      <alignment horizontal="center" vertical="center"/>
    </xf>
    <xf numFmtId="0" fontId="1" fillId="8076" borderId="0" xfId="4" applyFill="1" applyAlignment="1">
      <alignment horizontal="center" vertical="center"/>
    </xf>
    <xf numFmtId="0" fontId="1" fillId="8077" borderId="0" xfId="4" applyFill="1" applyAlignment="1">
      <alignment horizontal="left" vertical="center"/>
    </xf>
    <xf numFmtId="0" fontId="1" fillId="8078" borderId="0" xfId="4" applyFill="1" applyAlignment="1">
      <alignment horizontal="center" vertical="center"/>
    </xf>
    <xf numFmtId="0" fontId="1" fillId="8079" borderId="0" xfId="4" applyFill="1" applyAlignment="1">
      <alignment horizontal="center" vertical="center"/>
    </xf>
    <xf numFmtId="0" fontId="1" fillId="8080" borderId="0" xfId="4" applyFill="1" applyAlignment="1">
      <alignment horizontal="center" vertical="center"/>
    </xf>
    <xf numFmtId="0" fontId="1" fillId="8081" borderId="0" xfId="4" applyFill="1" applyAlignment="1">
      <alignment horizontal="center" vertical="center"/>
    </xf>
    <xf numFmtId="0" fontId="1" fillId="8082" borderId="0" xfId="4" applyFill="1" applyAlignment="1">
      <alignment horizontal="center" vertical="center"/>
    </xf>
    <xf numFmtId="0" fontId="1" fillId="8083" borderId="0" xfId="4" applyFill="1" applyAlignment="1">
      <alignment horizontal="center" vertical="center"/>
    </xf>
    <xf numFmtId="0" fontId="1" fillId="8084" borderId="0" xfId="4" applyFill="1" applyAlignment="1">
      <alignment horizontal="center" vertical="center"/>
    </xf>
    <xf numFmtId="0" fontId="1" fillId="8085" borderId="0" xfId="4" applyFill="1" applyAlignment="1">
      <alignment horizontal="center" vertical="center"/>
    </xf>
    <xf numFmtId="0" fontId="1" fillId="8086" borderId="0" xfId="4" applyFill="1" applyAlignment="1">
      <alignment horizontal="center" vertical="center"/>
    </xf>
    <xf numFmtId="0" fontId="1" fillId="8087" borderId="0" xfId="4" applyFill="1" applyAlignment="1">
      <alignment horizontal="center" vertical="center"/>
    </xf>
    <xf numFmtId="0" fontId="1" fillId="8088" borderId="0" xfId="4" applyFill="1" applyAlignment="1">
      <alignment horizontal="center" vertical="center"/>
    </xf>
    <xf numFmtId="0" fontId="1" fillId="8089" borderId="0" xfId="4" applyFill="1" applyAlignment="1">
      <alignment horizontal="center" vertical="center"/>
    </xf>
    <xf numFmtId="0" fontId="1" fillId="8090" borderId="0" xfId="4" applyFill="1" applyAlignment="1">
      <alignment horizontal="center" vertical="center"/>
    </xf>
    <xf numFmtId="0" fontId="1" fillId="8091" borderId="0" xfId="4" applyFill="1" applyAlignment="1">
      <alignment horizontal="center" vertical="center"/>
    </xf>
    <xf numFmtId="0" fontId="1" fillId="8092" borderId="0" xfId="4" applyFill="1" applyAlignment="1">
      <alignment horizontal="center" vertical="center"/>
    </xf>
    <xf numFmtId="0" fontId="1" fillId="8093" borderId="0" xfId="4" applyFill="1" applyAlignment="1">
      <alignment horizontal="center" vertical="center"/>
    </xf>
    <xf numFmtId="0" fontId="1" fillId="8094" borderId="0" xfId="4" applyFill="1" applyAlignment="1">
      <alignment horizontal="center" vertical="center"/>
    </xf>
    <xf numFmtId="0" fontId="1" fillId="8095" borderId="0" xfId="4" applyFill="1" applyAlignment="1">
      <alignment horizontal="center" vertical="center"/>
    </xf>
    <xf numFmtId="0" fontId="1" fillId="8096" borderId="0" xfId="4" applyFill="1" applyAlignment="1">
      <alignment horizontal="center" vertical="center"/>
    </xf>
    <xf numFmtId="0" fontId="1" fillId="8097" borderId="0" xfId="4" applyFill="1" applyAlignment="1">
      <alignment horizontal="center" vertical="center"/>
    </xf>
    <xf numFmtId="0" fontId="1" fillId="8098" borderId="0" xfId="4" applyFill="1" applyAlignment="1">
      <alignment horizontal="center" vertical="center"/>
    </xf>
    <xf numFmtId="0" fontId="1" fillId="8099" borderId="0" xfId="4" applyFill="1" applyAlignment="1">
      <alignment horizontal="center" vertical="center"/>
    </xf>
    <xf numFmtId="0" fontId="1" fillId="8100" borderId="0" xfId="4" applyFill="1" applyAlignment="1">
      <alignment horizontal="center" vertical="center"/>
    </xf>
    <xf numFmtId="0" fontId="1" fillId="8101" borderId="0" xfId="4" applyFill="1" applyAlignment="1">
      <alignment horizontal="center" vertical="center"/>
    </xf>
    <xf numFmtId="0" fontId="1" fillId="8102" borderId="0" xfId="4" applyFill="1" applyAlignment="1">
      <alignment horizontal="center" vertical="center"/>
    </xf>
    <xf numFmtId="0" fontId="1" fillId="8103" borderId="0" xfId="4" applyFill="1" applyAlignment="1">
      <alignment horizontal="center" vertical="center"/>
    </xf>
    <xf numFmtId="0" fontId="1" fillId="8104" borderId="0" xfId="4" applyFill="1" applyAlignment="1">
      <alignment horizontal="center" vertical="center"/>
    </xf>
    <xf numFmtId="0" fontId="1" fillId="8105" borderId="0" xfId="4" applyFill="1" applyAlignment="1">
      <alignment horizontal="center" vertical="center"/>
    </xf>
    <xf numFmtId="0" fontId="1" fillId="8106" borderId="0" xfId="4" applyFill="1" applyAlignment="1">
      <alignment horizontal="center" vertical="center"/>
    </xf>
    <xf numFmtId="0" fontId="1" fillId="8107" borderId="0" xfId="4" applyFill="1" applyAlignment="1">
      <alignment horizontal="center" vertical="center"/>
    </xf>
    <xf numFmtId="0" fontId="1" fillId="8108" borderId="0" xfId="4" applyFill="1" applyAlignment="1">
      <alignment horizontal="center" vertical="center"/>
    </xf>
    <xf numFmtId="0" fontId="1" fillId="8109" borderId="0" xfId="4" applyFill="1" applyAlignment="1">
      <alignment horizontal="center" vertical="center"/>
    </xf>
    <xf numFmtId="0" fontId="1" fillId="8110" borderId="0" xfId="4" applyFill="1" applyAlignment="1">
      <alignment horizontal="center" vertical="center"/>
    </xf>
    <xf numFmtId="0" fontId="1" fillId="8111" borderId="0" xfId="4" applyFill="1" applyAlignment="1">
      <alignment horizontal="center" vertical="center"/>
    </xf>
    <xf numFmtId="0" fontId="1" fillId="8112" borderId="0" xfId="4" applyFill="1" applyAlignment="1">
      <alignment horizontal="center" vertical="center"/>
    </xf>
    <xf numFmtId="0" fontId="1" fillId="8113" borderId="0" xfId="4" applyFill="1" applyAlignment="1">
      <alignment horizontal="center" vertical="center"/>
    </xf>
    <xf numFmtId="0" fontId="1" fillId="8114" borderId="0" xfId="4" applyFill="1" applyAlignment="1">
      <alignment horizontal="center" vertical="center"/>
    </xf>
    <xf numFmtId="0" fontId="1" fillId="8115" borderId="0" xfId="4" applyFill="1" applyAlignment="1">
      <alignment horizontal="center" vertical="center"/>
    </xf>
    <xf numFmtId="0" fontId="1" fillId="8116" borderId="0" xfId="4" applyFill="1" applyAlignment="1">
      <alignment horizontal="center" vertical="center"/>
    </xf>
    <xf numFmtId="0" fontId="1" fillId="8117" borderId="0" xfId="4" applyFill="1" applyAlignment="1">
      <alignment horizontal="center" vertical="center"/>
    </xf>
    <xf numFmtId="0" fontId="1" fillId="8118" borderId="0" xfId="4" applyFill="1" applyAlignment="1">
      <alignment horizontal="center" vertical="center"/>
    </xf>
    <xf numFmtId="0" fontId="1" fillId="8119" borderId="0" xfId="4" applyFill="1" applyAlignment="1">
      <alignment horizontal="center" vertical="center"/>
    </xf>
    <xf numFmtId="0" fontId="1" fillId="8120" borderId="0" xfId="4" applyFill="1" applyAlignment="1">
      <alignment horizontal="center" vertical="center"/>
    </xf>
    <xf numFmtId="0" fontId="1" fillId="8121" borderId="0" xfId="4" applyFill="1" applyAlignment="1">
      <alignment horizontal="center" vertical="center"/>
    </xf>
    <xf numFmtId="0" fontId="1" fillId="8122" borderId="0" xfId="4" applyFill="1" applyAlignment="1">
      <alignment horizontal="center" vertical="center"/>
    </xf>
    <xf numFmtId="0" fontId="1" fillId="8123" borderId="0" xfId="4" applyFill="1" applyAlignment="1">
      <alignment horizontal="left" vertical="center"/>
    </xf>
    <xf numFmtId="0" fontId="1" fillId="8124" borderId="0" xfId="4" applyFill="1" applyAlignment="1">
      <alignment horizontal="center" vertical="center"/>
    </xf>
    <xf numFmtId="0" fontId="1" fillId="8125" borderId="0" xfId="4" applyFill="1" applyAlignment="1">
      <alignment horizontal="center" vertical="center"/>
    </xf>
    <xf numFmtId="0" fontId="1" fillId="8126" borderId="0" xfId="4" applyFill="1" applyAlignment="1">
      <alignment horizontal="center" vertical="center"/>
    </xf>
    <xf numFmtId="0" fontId="1" fillId="8127" borderId="0" xfId="4" applyFill="1" applyAlignment="1">
      <alignment horizontal="center" vertical="center"/>
    </xf>
    <xf numFmtId="0" fontId="1" fillId="8128" borderId="0" xfId="4" applyFill="1" applyAlignment="1">
      <alignment horizontal="center" vertical="center"/>
    </xf>
    <xf numFmtId="0" fontId="1" fillId="8129" borderId="0" xfId="4" applyFill="1" applyAlignment="1">
      <alignment horizontal="center" vertical="center"/>
    </xf>
    <xf numFmtId="0" fontId="1" fillId="8130" borderId="0" xfId="4" applyFill="1" applyAlignment="1">
      <alignment horizontal="center" vertical="center"/>
    </xf>
    <xf numFmtId="0" fontId="1" fillId="8131" borderId="0" xfId="4" applyFill="1" applyAlignment="1">
      <alignment horizontal="center" vertical="center"/>
    </xf>
    <xf numFmtId="0" fontId="1" fillId="8132" borderId="0" xfId="4" applyFill="1" applyAlignment="1">
      <alignment horizontal="center" vertical="center"/>
    </xf>
    <xf numFmtId="0" fontId="1" fillId="8133" borderId="0" xfId="4" applyFill="1" applyAlignment="1">
      <alignment horizontal="center" vertical="center"/>
    </xf>
    <xf numFmtId="0" fontId="1" fillId="8134" borderId="0" xfId="4" applyFill="1" applyAlignment="1">
      <alignment horizontal="center" vertical="center"/>
    </xf>
    <xf numFmtId="0" fontId="1" fillId="8135" borderId="0" xfId="4" applyFill="1" applyAlignment="1">
      <alignment horizontal="center" vertical="center"/>
    </xf>
    <xf numFmtId="0" fontId="1" fillId="8136" borderId="0" xfId="4" applyFill="1" applyAlignment="1">
      <alignment horizontal="center" vertical="center"/>
    </xf>
    <xf numFmtId="0" fontId="1" fillId="8137" borderId="0" xfId="4" applyFill="1" applyAlignment="1">
      <alignment horizontal="center" vertical="center"/>
    </xf>
    <xf numFmtId="0" fontId="1" fillId="5999" borderId="0" xfId="4" applyFill="1" applyAlignment="1">
      <alignment horizontal="center" vertical="center"/>
    </xf>
    <xf numFmtId="0" fontId="1" fillId="8138" borderId="0" xfId="4" applyFill="1" applyAlignment="1">
      <alignment horizontal="center" vertical="center"/>
    </xf>
    <xf numFmtId="0" fontId="1" fillId="8139" borderId="0" xfId="4" applyFill="1" applyAlignment="1">
      <alignment horizontal="center" vertical="center"/>
    </xf>
    <xf numFmtId="0" fontId="1" fillId="8140" borderId="0" xfId="4" applyFill="1" applyAlignment="1">
      <alignment horizontal="center" vertical="center"/>
    </xf>
    <xf numFmtId="0" fontId="1" fillId="8141" borderId="0" xfId="4" applyFill="1" applyAlignment="1">
      <alignment horizontal="center" vertical="center"/>
    </xf>
    <xf numFmtId="0" fontId="1" fillId="8142" borderId="0" xfId="4" applyFill="1" applyAlignment="1">
      <alignment horizontal="center" vertical="center"/>
    </xf>
    <xf numFmtId="0" fontId="1" fillId="8143" borderId="0" xfId="4" applyFill="1" applyAlignment="1">
      <alignment horizontal="center" vertical="center"/>
    </xf>
    <xf numFmtId="0" fontId="1" fillId="8144" borderId="0" xfId="4" applyFill="1" applyAlignment="1">
      <alignment horizontal="center" vertical="center"/>
    </xf>
    <xf numFmtId="0" fontId="1" fillId="8145" borderId="0" xfId="4" applyFill="1" applyAlignment="1">
      <alignment horizontal="center" vertical="center"/>
    </xf>
    <xf numFmtId="0" fontId="1" fillId="8146" borderId="0" xfId="4" applyFill="1" applyAlignment="1">
      <alignment horizontal="center" vertical="center"/>
    </xf>
    <xf numFmtId="0" fontId="1" fillId="8147" borderId="0" xfId="4" applyFill="1" applyAlignment="1">
      <alignment horizontal="center" vertical="center"/>
    </xf>
    <xf numFmtId="0" fontId="1" fillId="8148" borderId="0" xfId="4" applyFill="1" applyAlignment="1">
      <alignment horizontal="center" vertical="center"/>
    </xf>
    <xf numFmtId="0" fontId="1" fillId="8149" borderId="0" xfId="4" applyFill="1" applyAlignment="1">
      <alignment horizontal="center" vertical="center"/>
    </xf>
    <xf numFmtId="0" fontId="1" fillId="8150" borderId="0" xfId="4" applyFill="1" applyAlignment="1">
      <alignment horizontal="center" vertical="center"/>
    </xf>
    <xf numFmtId="0" fontId="1" fillId="8151" borderId="0" xfId="4" applyFill="1" applyAlignment="1">
      <alignment horizontal="center" vertical="center"/>
    </xf>
    <xf numFmtId="0" fontId="1" fillId="8152" borderId="0" xfId="4" applyFill="1" applyAlignment="1">
      <alignment horizontal="center" vertical="center"/>
    </xf>
    <xf numFmtId="0" fontId="1" fillId="8153" borderId="0" xfId="4" applyFill="1" applyAlignment="1">
      <alignment horizontal="center" vertical="center"/>
    </xf>
    <xf numFmtId="0" fontId="1" fillId="8154" borderId="0" xfId="4" applyFill="1" applyAlignment="1">
      <alignment horizontal="left" vertical="center"/>
    </xf>
    <xf numFmtId="0" fontId="1" fillId="8155" borderId="0" xfId="4" applyFill="1" applyAlignment="1">
      <alignment horizontal="center" vertical="center"/>
    </xf>
    <xf numFmtId="0" fontId="1" fillId="8156" borderId="0" xfId="4" applyFill="1" applyAlignment="1">
      <alignment horizontal="center" vertical="center"/>
    </xf>
    <xf numFmtId="0" fontId="1" fillId="8157" borderId="0" xfId="4" applyFill="1" applyAlignment="1">
      <alignment horizontal="center" vertical="center"/>
    </xf>
    <xf numFmtId="0" fontId="1" fillId="8158" borderId="0" xfId="4" applyFill="1" applyAlignment="1">
      <alignment horizontal="center" vertical="center"/>
    </xf>
    <xf numFmtId="0" fontId="1" fillId="8159" borderId="0" xfId="4" applyFill="1" applyAlignment="1">
      <alignment horizontal="center" vertical="center"/>
    </xf>
    <xf numFmtId="0" fontId="1" fillId="8160" borderId="0" xfId="4" applyFill="1" applyAlignment="1">
      <alignment horizontal="center" vertical="center"/>
    </xf>
    <xf numFmtId="0" fontId="1" fillId="8161" borderId="0" xfId="4" applyFill="1" applyAlignment="1">
      <alignment horizontal="center" vertical="center"/>
    </xf>
    <xf numFmtId="0" fontId="1" fillId="8162" borderId="0" xfId="4" applyFill="1" applyAlignment="1">
      <alignment horizontal="center" vertical="center"/>
    </xf>
    <xf numFmtId="0" fontId="1" fillId="8163" borderId="0" xfId="4" applyFill="1" applyAlignment="1">
      <alignment horizontal="center" vertical="center"/>
    </xf>
    <xf numFmtId="0" fontId="1" fillId="8164" borderId="0" xfId="4" applyFill="1" applyAlignment="1">
      <alignment horizontal="center" vertical="center"/>
    </xf>
    <xf numFmtId="0" fontId="1" fillId="8165" borderId="0" xfId="4" applyFill="1" applyAlignment="1">
      <alignment horizontal="center" vertical="center"/>
    </xf>
    <xf numFmtId="0" fontId="1" fillId="8166" borderId="0" xfId="4" applyFill="1" applyAlignment="1">
      <alignment horizontal="center" vertical="center"/>
    </xf>
    <xf numFmtId="0" fontId="1" fillId="8167" borderId="0" xfId="4" applyFill="1" applyAlignment="1">
      <alignment horizontal="center" vertical="center"/>
    </xf>
    <xf numFmtId="0" fontId="1" fillId="8168" borderId="0" xfId="4" applyFill="1" applyAlignment="1">
      <alignment horizontal="center" vertical="center"/>
    </xf>
    <xf numFmtId="0" fontId="1" fillId="8169" borderId="0" xfId="4" applyFill="1" applyAlignment="1">
      <alignment horizontal="center" vertical="center"/>
    </xf>
    <xf numFmtId="0" fontId="1" fillId="8170" borderId="0" xfId="4" applyFill="1" applyAlignment="1">
      <alignment horizontal="center" vertical="center"/>
    </xf>
    <xf numFmtId="0" fontId="1" fillId="8171" borderId="0" xfId="4" applyFill="1" applyAlignment="1">
      <alignment horizontal="center" vertical="center"/>
    </xf>
    <xf numFmtId="0" fontId="1" fillId="8172" borderId="0" xfId="4" applyFill="1" applyAlignment="1">
      <alignment horizontal="center" vertical="center"/>
    </xf>
    <xf numFmtId="0" fontId="1" fillId="8173" borderId="0" xfId="4" applyFill="1" applyAlignment="1">
      <alignment horizontal="center" vertical="center"/>
    </xf>
    <xf numFmtId="0" fontId="1" fillId="8174" borderId="0" xfId="4" applyFill="1" applyAlignment="1">
      <alignment horizontal="center" vertical="center"/>
    </xf>
    <xf numFmtId="0" fontId="1" fillId="8175" borderId="0" xfId="4" applyFill="1" applyAlignment="1">
      <alignment horizontal="center" vertical="center"/>
    </xf>
    <xf numFmtId="0" fontId="1" fillId="8176" borderId="0" xfId="4" applyFill="1" applyAlignment="1">
      <alignment horizontal="center" vertical="center"/>
    </xf>
    <xf numFmtId="0" fontId="1" fillId="8177" borderId="0" xfId="4" applyFill="1" applyAlignment="1">
      <alignment horizontal="center" vertical="center"/>
    </xf>
    <xf numFmtId="0" fontId="1" fillId="8178" borderId="0" xfId="4" applyFill="1" applyAlignment="1">
      <alignment horizontal="center" vertical="center"/>
    </xf>
    <xf numFmtId="0" fontId="1" fillId="8179" borderId="0" xfId="4" applyFill="1" applyAlignment="1">
      <alignment horizontal="center" vertical="center"/>
    </xf>
    <xf numFmtId="0" fontId="1" fillId="8180" borderId="0" xfId="4" applyFill="1" applyAlignment="1">
      <alignment horizontal="center" vertical="center"/>
    </xf>
    <xf numFmtId="0" fontId="1" fillId="8181" borderId="0" xfId="4" applyFill="1" applyAlignment="1">
      <alignment horizontal="center" vertical="center"/>
    </xf>
    <xf numFmtId="0" fontId="1" fillId="8182" borderId="0" xfId="4" applyFill="1" applyAlignment="1">
      <alignment horizontal="center" vertical="center"/>
    </xf>
    <xf numFmtId="0" fontId="1" fillId="8183" borderId="0" xfId="4" applyFill="1" applyAlignment="1">
      <alignment horizontal="center" vertical="center"/>
    </xf>
    <xf numFmtId="0" fontId="1" fillId="8184" borderId="0" xfId="4" applyFill="1" applyAlignment="1">
      <alignment horizontal="center" vertical="center"/>
    </xf>
    <xf numFmtId="0" fontId="1" fillId="8185" borderId="0" xfId="4" applyFill="1" applyAlignment="1">
      <alignment horizontal="center" vertical="center"/>
    </xf>
    <xf numFmtId="0" fontId="1" fillId="8186" borderId="0" xfId="4" applyFill="1" applyAlignment="1">
      <alignment horizontal="center" vertical="center"/>
    </xf>
    <xf numFmtId="0" fontId="1" fillId="8187" borderId="0" xfId="4" applyFill="1" applyAlignment="1">
      <alignment horizontal="center" vertical="center"/>
    </xf>
    <xf numFmtId="0" fontId="1" fillId="8188" borderId="0" xfId="4" applyFill="1" applyAlignment="1">
      <alignment horizontal="center" vertical="center"/>
    </xf>
    <xf numFmtId="0" fontId="1" fillId="8189" borderId="0" xfId="4" applyFill="1" applyAlignment="1">
      <alignment horizontal="center" vertical="center"/>
    </xf>
    <xf numFmtId="0" fontId="1" fillId="8190" borderId="0" xfId="4" applyFill="1" applyAlignment="1">
      <alignment horizontal="center" vertical="center"/>
    </xf>
    <xf numFmtId="0" fontId="1" fillId="8191" borderId="0" xfId="4" applyFill="1" applyAlignment="1">
      <alignment horizontal="center" vertical="center"/>
    </xf>
    <xf numFmtId="0" fontId="1" fillId="8192" borderId="0" xfId="4" applyFill="1" applyAlignment="1">
      <alignment horizontal="center" vertical="center"/>
    </xf>
    <xf numFmtId="0" fontId="1" fillId="8193" borderId="0" xfId="4" applyFill="1" applyAlignment="1">
      <alignment horizontal="center" vertical="center"/>
    </xf>
    <xf numFmtId="0" fontId="1" fillId="8194" borderId="0" xfId="4" applyFill="1" applyAlignment="1">
      <alignment horizontal="center" vertical="center"/>
    </xf>
    <xf numFmtId="0" fontId="1" fillId="8195" borderId="0" xfId="4" applyFill="1" applyAlignment="1">
      <alignment horizontal="center" vertical="center"/>
    </xf>
    <xf numFmtId="0" fontId="1" fillId="8196" borderId="0" xfId="4" applyFill="1" applyAlignment="1">
      <alignment horizontal="center" vertical="center"/>
    </xf>
    <xf numFmtId="0" fontId="1" fillId="8197" borderId="0" xfId="4" applyFill="1" applyAlignment="1">
      <alignment horizontal="center" vertical="center"/>
    </xf>
    <xf numFmtId="0" fontId="1" fillId="8198" borderId="0" xfId="4" applyFill="1" applyAlignment="1">
      <alignment horizontal="center" vertical="center"/>
    </xf>
    <xf numFmtId="0" fontId="1" fillId="8199" borderId="0" xfId="4" applyFill="1" applyAlignment="1">
      <alignment horizontal="center" vertical="center"/>
    </xf>
    <xf numFmtId="0" fontId="1" fillId="8200" borderId="0" xfId="4" applyFill="1" applyAlignment="1">
      <alignment horizontal="center" vertical="center"/>
    </xf>
    <xf numFmtId="0" fontId="1" fillId="8201" borderId="0" xfId="4" applyFill="1" applyAlignment="1">
      <alignment horizontal="center" vertical="center"/>
    </xf>
    <xf numFmtId="0" fontId="1" fillId="8202" borderId="0" xfId="4" applyFill="1" applyAlignment="1">
      <alignment horizontal="center" vertical="center"/>
    </xf>
    <xf numFmtId="0" fontId="1" fillId="8203" borderId="0" xfId="4" applyFill="1" applyAlignment="1">
      <alignment horizontal="left" vertical="center"/>
    </xf>
    <xf numFmtId="0" fontId="1" fillId="8204" borderId="0" xfId="4" applyFill="1" applyAlignment="1">
      <alignment horizontal="center" vertical="center"/>
    </xf>
    <xf numFmtId="0" fontId="1" fillId="8205" borderId="0" xfId="4" applyFill="1" applyAlignment="1">
      <alignment horizontal="center" vertical="center"/>
    </xf>
    <xf numFmtId="0" fontId="1" fillId="8206" borderId="0" xfId="4" applyFill="1" applyAlignment="1">
      <alignment horizontal="center" vertical="center"/>
    </xf>
    <xf numFmtId="0" fontId="1" fillId="8207" borderId="0" xfId="4" applyFill="1" applyAlignment="1">
      <alignment horizontal="center" vertical="center"/>
    </xf>
    <xf numFmtId="0" fontId="1" fillId="8208" borderId="0" xfId="4" applyFill="1" applyAlignment="1">
      <alignment horizontal="center" vertical="center"/>
    </xf>
    <xf numFmtId="0" fontId="1" fillId="8209" borderId="0" xfId="4" applyFill="1" applyAlignment="1">
      <alignment horizontal="center" vertical="center"/>
    </xf>
    <xf numFmtId="0" fontId="1" fillId="8210" borderId="0" xfId="4" applyFill="1" applyAlignment="1">
      <alignment horizontal="center" vertical="center"/>
    </xf>
    <xf numFmtId="0" fontId="1" fillId="8211" borderId="0" xfId="4" applyFill="1" applyAlignment="1">
      <alignment horizontal="center" vertical="center"/>
    </xf>
    <xf numFmtId="0" fontId="1" fillId="8212" borderId="0" xfId="4" applyFill="1" applyAlignment="1">
      <alignment horizontal="center" vertical="center"/>
    </xf>
    <xf numFmtId="0" fontId="1" fillId="8213" borderId="0" xfId="4" applyFill="1" applyAlignment="1">
      <alignment horizontal="center" vertical="center"/>
    </xf>
    <xf numFmtId="0" fontId="1" fillId="8214" borderId="0" xfId="4" applyFill="1" applyAlignment="1">
      <alignment horizontal="center" vertical="center"/>
    </xf>
    <xf numFmtId="0" fontId="1" fillId="8215" borderId="0" xfId="4" applyFill="1" applyAlignment="1">
      <alignment horizontal="center" vertical="center"/>
    </xf>
    <xf numFmtId="0" fontId="1" fillId="8216" borderId="0" xfId="4" applyFill="1" applyAlignment="1">
      <alignment horizontal="center" vertical="center"/>
    </xf>
    <xf numFmtId="0" fontId="1" fillId="8217" borderId="0" xfId="4" applyFill="1" applyAlignment="1">
      <alignment horizontal="center" vertical="center"/>
    </xf>
    <xf numFmtId="0" fontId="1" fillId="8218" borderId="0" xfId="4" applyFill="1" applyAlignment="1">
      <alignment horizontal="center" vertical="center"/>
    </xf>
    <xf numFmtId="0" fontId="1" fillId="8219" borderId="0" xfId="4" applyFill="1" applyAlignment="1">
      <alignment horizontal="center" vertical="center"/>
    </xf>
    <xf numFmtId="0" fontId="1" fillId="8220" borderId="0" xfId="4" applyFill="1" applyAlignment="1">
      <alignment horizontal="center" vertical="center"/>
    </xf>
    <xf numFmtId="0" fontId="1" fillId="8221" borderId="0" xfId="4" applyFill="1" applyAlignment="1">
      <alignment horizontal="center" vertical="center"/>
    </xf>
    <xf numFmtId="0" fontId="1" fillId="8222" borderId="0" xfId="4" applyFill="1" applyAlignment="1">
      <alignment horizontal="center" vertical="center"/>
    </xf>
    <xf numFmtId="0" fontId="1" fillId="8223" borderId="0" xfId="4" applyFill="1" applyAlignment="1">
      <alignment horizontal="center" vertical="center"/>
    </xf>
    <xf numFmtId="0" fontId="1" fillId="8224" borderId="0" xfId="4" applyFill="1" applyAlignment="1">
      <alignment horizontal="center" vertical="center"/>
    </xf>
    <xf numFmtId="0" fontId="1" fillId="8225" borderId="0" xfId="4" applyFill="1" applyAlignment="1">
      <alignment horizontal="center" vertical="center"/>
    </xf>
    <xf numFmtId="0" fontId="1" fillId="8226" borderId="0" xfId="4" applyFill="1" applyAlignment="1">
      <alignment horizontal="center" vertical="center"/>
    </xf>
    <xf numFmtId="0" fontId="1" fillId="8227" borderId="0" xfId="4" applyFill="1" applyAlignment="1">
      <alignment horizontal="center" vertical="center"/>
    </xf>
    <xf numFmtId="0" fontId="1" fillId="8228" borderId="0" xfId="4" applyFill="1" applyAlignment="1">
      <alignment horizontal="center" vertical="center"/>
    </xf>
    <xf numFmtId="0" fontId="1" fillId="8229" borderId="0" xfId="4" applyFill="1" applyAlignment="1">
      <alignment horizontal="center" vertical="center"/>
    </xf>
    <xf numFmtId="0" fontId="1" fillId="8230" borderId="0" xfId="4" applyFill="1" applyAlignment="1">
      <alignment horizontal="center" vertical="center"/>
    </xf>
    <xf numFmtId="0" fontId="1" fillId="8231" borderId="0" xfId="4" applyFill="1" applyAlignment="1">
      <alignment horizontal="center" vertical="center"/>
    </xf>
    <xf numFmtId="0" fontId="1" fillId="8232" borderId="0" xfId="4" applyFill="1" applyAlignment="1">
      <alignment horizontal="center" vertical="center"/>
    </xf>
    <xf numFmtId="0" fontId="1" fillId="8233" borderId="0" xfId="4" applyFill="1" applyAlignment="1">
      <alignment horizontal="center" vertical="center"/>
    </xf>
    <xf numFmtId="0" fontId="1" fillId="8234" borderId="0" xfId="4" applyFill="1" applyAlignment="1">
      <alignment horizontal="center" vertical="center"/>
    </xf>
    <xf numFmtId="0" fontId="1" fillId="8235" borderId="0" xfId="4" applyFill="1" applyAlignment="1">
      <alignment horizontal="left" vertical="center"/>
    </xf>
    <xf numFmtId="0" fontId="1" fillId="8236" borderId="0" xfId="4" applyFill="1" applyAlignment="1">
      <alignment horizontal="center" vertical="center"/>
    </xf>
    <xf numFmtId="0" fontId="1" fillId="8237" borderId="0" xfId="4" applyFill="1" applyAlignment="1">
      <alignment horizontal="center" vertical="center"/>
    </xf>
    <xf numFmtId="0" fontId="1" fillId="8238" borderId="0" xfId="4" applyFill="1" applyAlignment="1">
      <alignment horizontal="center" vertical="center"/>
    </xf>
    <xf numFmtId="0" fontId="1" fillId="8239" borderId="0" xfId="4" applyFill="1" applyAlignment="1">
      <alignment horizontal="center" vertical="center"/>
    </xf>
    <xf numFmtId="0" fontId="1" fillId="8240" borderId="0" xfId="4" applyFill="1" applyAlignment="1">
      <alignment horizontal="center" vertical="center"/>
    </xf>
    <xf numFmtId="0" fontId="1" fillId="8241" borderId="0" xfId="4" applyFill="1" applyAlignment="1">
      <alignment horizontal="center" vertical="center"/>
    </xf>
    <xf numFmtId="0" fontId="1" fillId="8242" borderId="0" xfId="4" applyFill="1" applyAlignment="1">
      <alignment horizontal="center" vertical="center"/>
    </xf>
    <xf numFmtId="0" fontId="1" fillId="8243" borderId="0" xfId="4" applyFill="1" applyAlignment="1">
      <alignment horizontal="center" vertical="center"/>
    </xf>
    <xf numFmtId="0" fontId="1" fillId="8244" borderId="0" xfId="4" applyFill="1" applyAlignment="1">
      <alignment horizontal="center" vertical="center"/>
    </xf>
    <xf numFmtId="0" fontId="1" fillId="8245" borderId="0" xfId="4" applyFill="1" applyAlignment="1">
      <alignment horizontal="center" vertical="center"/>
    </xf>
    <xf numFmtId="0" fontId="1" fillId="8246" borderId="0" xfId="4" applyFill="1" applyAlignment="1">
      <alignment horizontal="center" vertical="center"/>
    </xf>
    <xf numFmtId="0" fontId="1" fillId="8247" borderId="0" xfId="4" applyFill="1" applyAlignment="1">
      <alignment horizontal="center" vertical="center"/>
    </xf>
    <xf numFmtId="0" fontId="1" fillId="8248" borderId="0" xfId="4" applyFill="1" applyAlignment="1">
      <alignment horizontal="center" vertical="center"/>
    </xf>
    <xf numFmtId="0" fontId="1" fillId="8249" borderId="0" xfId="4" applyFill="1" applyAlignment="1">
      <alignment horizontal="center" vertical="center"/>
    </xf>
    <xf numFmtId="0" fontId="1" fillId="8250" borderId="0" xfId="4" applyFill="1" applyAlignment="1">
      <alignment horizontal="center" vertical="center"/>
    </xf>
    <xf numFmtId="0" fontId="1" fillId="8251" borderId="0" xfId="4" applyFill="1" applyAlignment="1">
      <alignment horizontal="center" vertical="center"/>
    </xf>
    <xf numFmtId="0" fontId="1" fillId="8252" borderId="0" xfId="4" applyFill="1" applyAlignment="1">
      <alignment horizontal="center" vertical="center"/>
    </xf>
    <xf numFmtId="0" fontId="1" fillId="8253" borderId="0" xfId="4" applyFill="1" applyAlignment="1">
      <alignment horizontal="center" vertical="center"/>
    </xf>
    <xf numFmtId="0" fontId="1" fillId="8254" borderId="0" xfId="4" applyFill="1" applyAlignment="1">
      <alignment horizontal="center" vertical="center"/>
    </xf>
    <xf numFmtId="0" fontId="1" fillId="8255" borderId="0" xfId="4" applyFill="1" applyAlignment="1">
      <alignment horizontal="center" vertical="center"/>
    </xf>
    <xf numFmtId="0" fontId="1" fillId="8256" borderId="0" xfId="4" applyFill="1" applyAlignment="1">
      <alignment horizontal="center" vertical="center"/>
    </xf>
    <xf numFmtId="0" fontId="1" fillId="8257" borderId="0" xfId="4" applyFill="1" applyAlignment="1">
      <alignment horizontal="center" vertical="center"/>
    </xf>
    <xf numFmtId="0" fontId="1" fillId="8258" borderId="0" xfId="4" applyFill="1" applyAlignment="1">
      <alignment horizontal="center" vertical="center"/>
    </xf>
    <xf numFmtId="0" fontId="1" fillId="8259" borderId="0" xfId="4" applyFill="1" applyAlignment="1">
      <alignment horizontal="center" vertical="center"/>
    </xf>
    <xf numFmtId="0" fontId="1" fillId="8260" borderId="0" xfId="4" applyFill="1" applyAlignment="1">
      <alignment horizontal="center" vertical="center"/>
    </xf>
    <xf numFmtId="0" fontId="1" fillId="8261" borderId="0" xfId="4" applyFill="1" applyAlignment="1">
      <alignment horizontal="center" vertical="center"/>
    </xf>
    <xf numFmtId="0" fontId="1" fillId="8262" borderId="0" xfId="4" applyFill="1" applyAlignment="1">
      <alignment horizontal="center" vertical="center"/>
    </xf>
    <xf numFmtId="0" fontId="1" fillId="8263" borderId="0" xfId="4" applyFill="1" applyAlignment="1">
      <alignment horizontal="center" vertical="center"/>
    </xf>
    <xf numFmtId="0" fontId="1" fillId="8264" borderId="0" xfId="4" applyFill="1" applyAlignment="1">
      <alignment horizontal="center" vertical="center"/>
    </xf>
    <xf numFmtId="0" fontId="1" fillId="8265" borderId="0" xfId="4" applyFill="1" applyAlignment="1">
      <alignment horizontal="center" vertical="center"/>
    </xf>
    <xf numFmtId="0" fontId="1" fillId="8266" borderId="0" xfId="4" applyFill="1" applyAlignment="1">
      <alignment horizontal="center" vertical="center"/>
    </xf>
    <xf numFmtId="0" fontId="1" fillId="8267" borderId="0" xfId="4" applyFill="1" applyAlignment="1">
      <alignment horizontal="center" vertical="center"/>
    </xf>
    <xf numFmtId="0" fontId="1" fillId="8268" borderId="0" xfId="4" applyFill="1" applyAlignment="1">
      <alignment horizontal="center" vertical="center"/>
    </xf>
    <xf numFmtId="0" fontId="1" fillId="8269" borderId="0" xfId="4" applyFill="1" applyAlignment="1">
      <alignment horizontal="center" vertical="center"/>
    </xf>
    <xf numFmtId="0" fontId="1" fillId="8270" borderId="0" xfId="4" applyFill="1" applyAlignment="1">
      <alignment horizontal="center" vertical="center"/>
    </xf>
    <xf numFmtId="0" fontId="1" fillId="8271" borderId="0" xfId="4" applyFill="1" applyAlignment="1">
      <alignment horizontal="center" vertical="center"/>
    </xf>
    <xf numFmtId="0" fontId="1" fillId="8272" borderId="0" xfId="4" applyFill="1" applyAlignment="1">
      <alignment horizontal="center" vertical="center"/>
    </xf>
    <xf numFmtId="0" fontId="1" fillId="8273" borderId="0" xfId="4" applyFill="1" applyAlignment="1">
      <alignment horizontal="center" vertical="center"/>
    </xf>
    <xf numFmtId="0" fontId="1" fillId="8274" borderId="0" xfId="4" applyFill="1" applyAlignment="1">
      <alignment horizontal="center" vertical="center"/>
    </xf>
    <xf numFmtId="0" fontId="1" fillId="8275" borderId="0" xfId="4" applyFill="1" applyAlignment="1">
      <alignment horizontal="center" vertical="center"/>
    </xf>
    <xf numFmtId="0" fontId="1" fillId="8276" borderId="0" xfId="4" applyFill="1" applyAlignment="1">
      <alignment horizontal="center" vertical="center"/>
    </xf>
    <xf numFmtId="0" fontId="1" fillId="8277" borderId="0" xfId="4" applyFill="1" applyAlignment="1">
      <alignment horizontal="center" vertical="center"/>
    </xf>
    <xf numFmtId="0" fontId="1" fillId="8278" borderId="0" xfId="4" applyFill="1" applyAlignment="1">
      <alignment horizontal="center" vertical="center"/>
    </xf>
    <xf numFmtId="0" fontId="1" fillId="8279" borderId="0" xfId="4" applyFill="1" applyAlignment="1">
      <alignment horizontal="center" vertical="center"/>
    </xf>
    <xf numFmtId="0" fontId="1" fillId="8280" borderId="0" xfId="4" applyFill="1" applyAlignment="1">
      <alignment horizontal="center" vertical="center"/>
    </xf>
    <xf numFmtId="0" fontId="1" fillId="8281" borderId="0" xfId="4" applyFill="1" applyAlignment="1">
      <alignment horizontal="center" vertical="center"/>
    </xf>
    <xf numFmtId="0" fontId="1" fillId="8282" borderId="0" xfId="4" applyFill="1" applyAlignment="1">
      <alignment horizontal="center" vertical="center"/>
    </xf>
    <xf numFmtId="0" fontId="1" fillId="8283" borderId="0" xfId="4" applyFill="1" applyAlignment="1">
      <alignment horizontal="center" vertical="center"/>
    </xf>
    <xf numFmtId="0" fontId="1" fillId="8284" borderId="0" xfId="4" applyFill="1" applyAlignment="1">
      <alignment horizontal="center" vertical="center"/>
    </xf>
    <xf numFmtId="0" fontId="1" fillId="8285" borderId="0" xfId="4" applyFill="1" applyAlignment="1">
      <alignment horizontal="center" vertical="center"/>
    </xf>
    <xf numFmtId="0" fontId="1" fillId="8286" borderId="0" xfId="4" applyFill="1" applyAlignment="1">
      <alignment horizontal="center" vertical="center"/>
    </xf>
    <xf numFmtId="0" fontId="1" fillId="8287" borderId="0" xfId="4" applyFill="1" applyAlignment="1">
      <alignment horizontal="center" vertical="center"/>
    </xf>
    <xf numFmtId="0" fontId="1" fillId="8288" borderId="0" xfId="4" applyFill="1" applyAlignment="1">
      <alignment horizontal="center" vertical="center"/>
    </xf>
    <xf numFmtId="0" fontId="1" fillId="8289" borderId="0" xfId="4" applyFill="1" applyAlignment="1">
      <alignment horizontal="left" vertical="center"/>
    </xf>
    <xf numFmtId="0" fontId="1" fillId="8290" borderId="0" xfId="4" applyFill="1" applyAlignment="1">
      <alignment horizontal="center" vertical="center"/>
    </xf>
    <xf numFmtId="0" fontId="1" fillId="8291" borderId="0" xfId="4" applyFill="1" applyAlignment="1">
      <alignment horizontal="center" vertical="center"/>
    </xf>
    <xf numFmtId="0" fontId="1" fillId="8292" borderId="0" xfId="4" applyFill="1" applyAlignment="1">
      <alignment horizontal="center" vertical="center"/>
    </xf>
    <xf numFmtId="0" fontId="1" fillId="8293" borderId="0" xfId="4" applyFill="1" applyAlignment="1">
      <alignment horizontal="center" vertical="center"/>
    </xf>
    <xf numFmtId="0" fontId="1" fillId="8294" borderId="0" xfId="4" applyFill="1" applyAlignment="1">
      <alignment horizontal="center" vertical="center"/>
    </xf>
    <xf numFmtId="0" fontId="1" fillId="8295" borderId="0" xfId="4" applyFill="1" applyAlignment="1">
      <alignment horizontal="center" vertical="center"/>
    </xf>
    <xf numFmtId="0" fontId="1" fillId="8296" borderId="0" xfId="4" applyFill="1" applyAlignment="1">
      <alignment horizontal="center" vertical="center"/>
    </xf>
    <xf numFmtId="0" fontId="1" fillId="8297" borderId="0" xfId="4" applyFill="1" applyAlignment="1">
      <alignment horizontal="center" vertical="center"/>
    </xf>
    <xf numFmtId="0" fontId="1" fillId="8298" borderId="0" xfId="4" applyFill="1" applyAlignment="1">
      <alignment horizontal="center" vertical="center"/>
    </xf>
    <xf numFmtId="0" fontId="1" fillId="8299" borderId="0" xfId="4" applyFill="1" applyAlignment="1">
      <alignment horizontal="center" vertical="center"/>
    </xf>
    <xf numFmtId="0" fontId="1" fillId="8300" borderId="0" xfId="4" applyFill="1" applyAlignment="1">
      <alignment horizontal="center" vertical="center"/>
    </xf>
    <xf numFmtId="0" fontId="1" fillId="8301" borderId="0" xfId="4" applyFill="1" applyAlignment="1">
      <alignment horizontal="center" vertical="center"/>
    </xf>
    <xf numFmtId="0" fontId="1" fillId="8302" borderId="0" xfId="4" applyFill="1" applyAlignment="1">
      <alignment horizontal="center" vertical="center"/>
    </xf>
    <xf numFmtId="0" fontId="1" fillId="8303" borderId="0" xfId="4" applyFill="1" applyAlignment="1">
      <alignment horizontal="center" vertical="center"/>
    </xf>
    <xf numFmtId="0" fontId="1" fillId="8304" borderId="0" xfId="4" applyFill="1" applyAlignment="1">
      <alignment horizontal="center" vertical="center"/>
    </xf>
    <xf numFmtId="0" fontId="1" fillId="8305" borderId="0" xfId="4" applyFill="1" applyAlignment="1">
      <alignment horizontal="center" vertical="center"/>
    </xf>
    <xf numFmtId="0" fontId="1" fillId="8306" borderId="0" xfId="4" applyFill="1" applyAlignment="1">
      <alignment horizontal="center" vertical="center"/>
    </xf>
    <xf numFmtId="0" fontId="1" fillId="8307" borderId="0" xfId="4" applyFill="1" applyAlignment="1">
      <alignment horizontal="center" vertical="center"/>
    </xf>
    <xf numFmtId="0" fontId="1" fillId="8308" borderId="0" xfId="4" applyFill="1" applyAlignment="1">
      <alignment horizontal="center" vertical="center"/>
    </xf>
    <xf numFmtId="0" fontId="1" fillId="8309" borderId="0" xfId="4" applyFill="1" applyAlignment="1">
      <alignment horizontal="center" vertical="center"/>
    </xf>
    <xf numFmtId="0" fontId="1" fillId="8310" borderId="0" xfId="4" applyFill="1" applyAlignment="1">
      <alignment horizontal="center" vertical="center"/>
    </xf>
    <xf numFmtId="0" fontId="1" fillId="8311" borderId="0" xfId="4" applyFill="1" applyAlignment="1">
      <alignment horizontal="center" vertical="center"/>
    </xf>
    <xf numFmtId="0" fontId="1" fillId="8312" borderId="0" xfId="4" applyFill="1" applyAlignment="1">
      <alignment horizontal="center" vertical="center"/>
    </xf>
    <xf numFmtId="0" fontId="1" fillId="8313" borderId="0" xfId="4" applyFill="1" applyAlignment="1">
      <alignment horizontal="center" vertical="center"/>
    </xf>
    <xf numFmtId="0" fontId="1" fillId="8314" borderId="0" xfId="4" applyFill="1" applyAlignment="1">
      <alignment horizontal="center" vertical="center"/>
    </xf>
    <xf numFmtId="0" fontId="1" fillId="8315" borderId="0" xfId="4" applyFill="1" applyAlignment="1">
      <alignment horizontal="center" vertical="center"/>
    </xf>
    <xf numFmtId="0" fontId="1" fillId="8316" borderId="0" xfId="4" applyFill="1" applyAlignment="1">
      <alignment horizontal="center" vertical="center"/>
    </xf>
    <xf numFmtId="0" fontId="1" fillId="8317" borderId="0" xfId="4" applyFill="1" applyAlignment="1">
      <alignment horizontal="center" vertical="center"/>
    </xf>
    <xf numFmtId="0" fontId="1" fillId="8318" borderId="0" xfId="4" applyFill="1" applyAlignment="1">
      <alignment horizontal="center" vertical="center"/>
    </xf>
    <xf numFmtId="0" fontId="1" fillId="8319" borderId="0" xfId="4" applyFill="1" applyAlignment="1">
      <alignment horizontal="center" vertical="center"/>
    </xf>
    <xf numFmtId="0" fontId="1" fillId="8320" borderId="0" xfId="4" applyFill="1" applyAlignment="1">
      <alignment horizontal="center" vertical="center"/>
    </xf>
    <xf numFmtId="0" fontId="1" fillId="8321" borderId="0" xfId="4" applyFill="1" applyAlignment="1">
      <alignment horizontal="left" vertical="center"/>
    </xf>
    <xf numFmtId="0" fontId="1" fillId="8322" borderId="0" xfId="4" applyFill="1" applyAlignment="1">
      <alignment horizontal="center" vertical="center"/>
    </xf>
    <xf numFmtId="0" fontId="1" fillId="8323" borderId="0" xfId="4" applyFill="1" applyAlignment="1">
      <alignment horizontal="center" vertical="center"/>
    </xf>
    <xf numFmtId="0" fontId="1" fillId="8324" borderId="0" xfId="4" applyFill="1" applyAlignment="1">
      <alignment horizontal="center" vertical="center"/>
    </xf>
    <xf numFmtId="0" fontId="1" fillId="8325" borderId="0" xfId="4" applyFill="1" applyAlignment="1">
      <alignment horizontal="center" vertical="center"/>
    </xf>
    <xf numFmtId="0" fontId="1" fillId="8326" borderId="0" xfId="4" applyFill="1" applyAlignment="1">
      <alignment horizontal="center" vertical="center"/>
    </xf>
    <xf numFmtId="0" fontId="1" fillId="8327" borderId="0" xfId="4" applyFill="1" applyAlignment="1">
      <alignment horizontal="center" vertical="center"/>
    </xf>
    <xf numFmtId="0" fontId="1" fillId="8328" borderId="0" xfId="4" applyFill="1" applyAlignment="1">
      <alignment horizontal="center" vertical="center"/>
    </xf>
    <xf numFmtId="0" fontId="1" fillId="8329" borderId="0" xfId="4" applyFill="1" applyAlignment="1">
      <alignment horizontal="center" vertical="center"/>
    </xf>
    <xf numFmtId="0" fontId="1" fillId="8330" borderId="0" xfId="4" applyFill="1" applyAlignment="1">
      <alignment horizontal="center" vertical="center"/>
    </xf>
    <xf numFmtId="0" fontId="1" fillId="8331" borderId="0" xfId="4" applyFill="1" applyAlignment="1">
      <alignment horizontal="center" vertical="center"/>
    </xf>
    <xf numFmtId="0" fontId="1" fillId="8332" borderId="0" xfId="4" applyFill="1" applyAlignment="1">
      <alignment horizontal="center" vertical="center"/>
    </xf>
    <xf numFmtId="0" fontId="1" fillId="8333" borderId="0" xfId="4" applyFill="1" applyAlignment="1">
      <alignment horizontal="center" vertical="center"/>
    </xf>
    <xf numFmtId="0" fontId="1" fillId="8334" borderId="0" xfId="4" applyFill="1" applyAlignment="1">
      <alignment horizontal="center" vertical="center"/>
    </xf>
    <xf numFmtId="0" fontId="1" fillId="8335" borderId="0" xfId="4" applyFill="1" applyAlignment="1">
      <alignment horizontal="center" vertical="center"/>
    </xf>
    <xf numFmtId="0" fontId="1" fillId="8336" borderId="0" xfId="4" applyFill="1" applyAlignment="1">
      <alignment horizontal="center" vertical="center"/>
    </xf>
    <xf numFmtId="0" fontId="1" fillId="8337" borderId="0" xfId="4" applyFill="1" applyAlignment="1">
      <alignment horizontal="center" vertical="center"/>
    </xf>
    <xf numFmtId="0" fontId="1" fillId="8338" borderId="0" xfId="4" applyFill="1" applyAlignment="1">
      <alignment horizontal="center" vertical="center"/>
    </xf>
    <xf numFmtId="0" fontId="1" fillId="8339" borderId="0" xfId="4" applyFill="1" applyAlignment="1">
      <alignment horizontal="center" vertical="center"/>
    </xf>
    <xf numFmtId="0" fontId="1" fillId="8340" borderId="0" xfId="4" applyFill="1" applyAlignment="1">
      <alignment horizontal="center" vertical="center"/>
    </xf>
    <xf numFmtId="0" fontId="1" fillId="8341" borderId="0" xfId="4" applyFill="1" applyAlignment="1">
      <alignment horizontal="center" vertical="center"/>
    </xf>
    <xf numFmtId="0" fontId="1" fillId="8342" borderId="0" xfId="4" applyFill="1" applyAlignment="1">
      <alignment horizontal="center" vertical="center"/>
    </xf>
    <xf numFmtId="0" fontId="1" fillId="8343" borderId="0" xfId="4" applyFill="1" applyAlignment="1">
      <alignment horizontal="center" vertical="center"/>
    </xf>
    <xf numFmtId="0" fontId="1" fillId="8344" borderId="0" xfId="4" applyFill="1" applyAlignment="1">
      <alignment horizontal="center" vertical="center"/>
    </xf>
    <xf numFmtId="0" fontId="1" fillId="8345" borderId="0" xfId="4" applyFill="1" applyAlignment="1">
      <alignment horizontal="center" vertical="center"/>
    </xf>
    <xf numFmtId="0" fontId="1" fillId="8346" borderId="0" xfId="4" applyFill="1" applyAlignment="1">
      <alignment horizontal="center" vertical="center"/>
    </xf>
    <xf numFmtId="0" fontId="1" fillId="8347" borderId="0" xfId="4" applyFill="1" applyAlignment="1">
      <alignment horizontal="center" vertical="center"/>
    </xf>
    <xf numFmtId="0" fontId="1" fillId="8348" borderId="0" xfId="4" applyFill="1" applyAlignment="1">
      <alignment horizontal="center" vertical="center"/>
    </xf>
    <xf numFmtId="0" fontId="1" fillId="8349" borderId="0" xfId="4" applyFill="1" applyAlignment="1">
      <alignment horizontal="center" vertical="center"/>
    </xf>
    <xf numFmtId="0" fontId="1" fillId="8350" borderId="0" xfId="4" applyFill="1" applyAlignment="1">
      <alignment horizontal="center" vertical="center"/>
    </xf>
    <xf numFmtId="0" fontId="1" fillId="8351" borderId="0" xfId="4" applyFill="1" applyAlignment="1">
      <alignment horizontal="center" vertical="center"/>
    </xf>
    <xf numFmtId="0" fontId="1" fillId="8352" borderId="0" xfId="4" applyFill="1" applyAlignment="1">
      <alignment horizontal="center" vertical="center"/>
    </xf>
    <xf numFmtId="0" fontId="1" fillId="8353" borderId="0" xfId="4" applyFill="1" applyAlignment="1">
      <alignment horizontal="center" vertical="center"/>
    </xf>
    <xf numFmtId="0" fontId="1" fillId="8354" borderId="0" xfId="4" applyFill="1" applyAlignment="1">
      <alignment horizontal="center" vertical="center"/>
    </xf>
    <xf numFmtId="0" fontId="1" fillId="8355" borderId="0" xfId="4" applyFill="1" applyAlignment="1">
      <alignment horizontal="center" vertical="center"/>
    </xf>
    <xf numFmtId="0" fontId="1" fillId="8356" borderId="0" xfId="4" applyFill="1" applyAlignment="1">
      <alignment horizontal="center" vertical="center"/>
    </xf>
    <xf numFmtId="0" fontId="1" fillId="8357" borderId="0" xfId="4" applyFill="1" applyAlignment="1">
      <alignment horizontal="center" vertical="center"/>
    </xf>
    <xf numFmtId="0" fontId="1" fillId="8358" borderId="0" xfId="4" applyFill="1" applyAlignment="1">
      <alignment horizontal="center" vertical="center"/>
    </xf>
    <xf numFmtId="0" fontId="1" fillId="8359" borderId="0" xfId="4" applyFill="1" applyAlignment="1">
      <alignment horizontal="center" vertical="center"/>
    </xf>
    <xf numFmtId="0" fontId="1" fillId="8360" borderId="0" xfId="4" applyFill="1" applyAlignment="1">
      <alignment horizontal="center" vertical="center"/>
    </xf>
    <xf numFmtId="0" fontId="1" fillId="8361" borderId="0" xfId="4" applyFill="1" applyAlignment="1">
      <alignment horizontal="center" vertical="center"/>
    </xf>
    <xf numFmtId="0" fontId="1" fillId="8362" borderId="0" xfId="4" applyFill="1" applyAlignment="1">
      <alignment horizontal="center" vertical="center"/>
    </xf>
    <xf numFmtId="0" fontId="1" fillId="8363" borderId="0" xfId="4" applyFill="1" applyAlignment="1">
      <alignment horizontal="center" vertical="center"/>
    </xf>
    <xf numFmtId="0" fontId="1" fillId="8364" borderId="0" xfId="4" applyFill="1" applyAlignment="1">
      <alignment horizontal="center" vertical="center"/>
    </xf>
    <xf numFmtId="0" fontId="1" fillId="8365" borderId="0" xfId="4" applyFill="1" applyAlignment="1">
      <alignment horizontal="center" vertical="center"/>
    </xf>
    <xf numFmtId="0" fontId="1" fillId="8366" borderId="0" xfId="4" applyFill="1" applyAlignment="1">
      <alignment horizontal="center" vertical="center"/>
    </xf>
    <xf numFmtId="0" fontId="1" fillId="8367" borderId="0" xfId="4" applyFill="1" applyAlignment="1">
      <alignment horizontal="center" vertical="center"/>
    </xf>
    <xf numFmtId="0" fontId="1" fillId="8368" borderId="0" xfId="4" applyFill="1" applyAlignment="1">
      <alignment horizontal="center" vertical="center"/>
    </xf>
    <xf numFmtId="0" fontId="1" fillId="8369" borderId="0" xfId="4" applyFill="1" applyAlignment="1">
      <alignment horizontal="center" vertical="center"/>
    </xf>
    <xf numFmtId="0" fontId="1" fillId="8370" borderId="0" xfId="4" applyFill="1" applyAlignment="1">
      <alignment horizontal="center" vertical="center"/>
    </xf>
    <xf numFmtId="0" fontId="1" fillId="8371" borderId="0" xfId="4" applyFill="1" applyAlignment="1">
      <alignment horizontal="left" vertical="center"/>
    </xf>
    <xf numFmtId="0" fontId="1" fillId="8372" borderId="0" xfId="4" applyFill="1" applyAlignment="1">
      <alignment horizontal="center" vertical="center"/>
    </xf>
    <xf numFmtId="0" fontId="1" fillId="8373" borderId="0" xfId="4" applyFill="1" applyAlignment="1">
      <alignment horizontal="center" vertical="center"/>
    </xf>
    <xf numFmtId="0" fontId="1" fillId="8374" borderId="0" xfId="4" applyFill="1" applyAlignment="1">
      <alignment horizontal="center" vertical="center"/>
    </xf>
    <xf numFmtId="0" fontId="1" fillId="8375" borderId="0" xfId="4" applyFill="1" applyAlignment="1">
      <alignment horizontal="center" vertical="center"/>
    </xf>
    <xf numFmtId="0" fontId="1" fillId="8376" borderId="0" xfId="4" applyFill="1" applyAlignment="1">
      <alignment horizontal="center" vertical="center"/>
    </xf>
    <xf numFmtId="0" fontId="1" fillId="8377" borderId="0" xfId="4" applyFill="1" applyAlignment="1">
      <alignment horizontal="center" vertical="center"/>
    </xf>
    <xf numFmtId="0" fontId="1" fillId="8378" borderId="0" xfId="4" applyFill="1" applyAlignment="1">
      <alignment horizontal="center" vertical="center"/>
    </xf>
    <xf numFmtId="0" fontId="1" fillId="8379" borderId="0" xfId="4" applyFill="1" applyAlignment="1">
      <alignment horizontal="center" vertical="center"/>
    </xf>
    <xf numFmtId="0" fontId="1" fillId="8380" borderId="0" xfId="4" applyFill="1" applyAlignment="1">
      <alignment horizontal="center" vertical="center"/>
    </xf>
    <xf numFmtId="0" fontId="1" fillId="8381" borderId="0" xfId="4" applyFill="1" applyAlignment="1">
      <alignment horizontal="center" vertical="center"/>
    </xf>
    <xf numFmtId="0" fontId="1" fillId="8382" borderId="0" xfId="4" applyFill="1" applyAlignment="1">
      <alignment horizontal="center" vertical="center"/>
    </xf>
    <xf numFmtId="0" fontId="1" fillId="8383" borderId="0" xfId="4" applyFill="1" applyAlignment="1">
      <alignment horizontal="center" vertical="center"/>
    </xf>
    <xf numFmtId="0" fontId="1" fillId="8384" borderId="0" xfId="4" applyFill="1" applyAlignment="1">
      <alignment horizontal="center" vertical="center"/>
    </xf>
    <xf numFmtId="0" fontId="1" fillId="8385" borderId="0" xfId="4" applyFill="1" applyAlignment="1">
      <alignment horizontal="center" vertical="center"/>
    </xf>
    <xf numFmtId="0" fontId="1" fillId="8386" borderId="0" xfId="4" applyFill="1" applyAlignment="1">
      <alignment horizontal="center" vertical="center"/>
    </xf>
    <xf numFmtId="0" fontId="1" fillId="8387" borderId="0" xfId="4" applyFill="1" applyAlignment="1">
      <alignment horizontal="center" vertical="center"/>
    </xf>
    <xf numFmtId="0" fontId="1" fillId="8388" borderId="0" xfId="4" applyFill="1" applyAlignment="1">
      <alignment horizontal="center" vertical="center"/>
    </xf>
    <xf numFmtId="0" fontId="1" fillId="8389" borderId="0" xfId="4" applyFill="1" applyAlignment="1">
      <alignment horizontal="center" vertical="center"/>
    </xf>
    <xf numFmtId="0" fontId="1" fillId="8390" borderId="0" xfId="4" applyFill="1" applyAlignment="1">
      <alignment horizontal="center" vertical="center"/>
    </xf>
    <xf numFmtId="0" fontId="1" fillId="8391" borderId="0" xfId="4" applyFill="1" applyAlignment="1">
      <alignment horizontal="center" vertical="center"/>
    </xf>
    <xf numFmtId="0" fontId="1" fillId="8392" borderId="0" xfId="4" applyFill="1" applyAlignment="1">
      <alignment horizontal="center" vertical="center"/>
    </xf>
    <xf numFmtId="0" fontId="1" fillId="8393" borderId="0" xfId="4" applyFill="1" applyAlignment="1">
      <alignment horizontal="center" vertical="center"/>
    </xf>
    <xf numFmtId="0" fontId="1" fillId="8394" borderId="0" xfId="4" applyFill="1" applyAlignment="1">
      <alignment horizontal="center" vertical="center"/>
    </xf>
    <xf numFmtId="0" fontId="1" fillId="8395" borderId="0" xfId="4" applyFill="1" applyAlignment="1">
      <alignment horizontal="center" vertical="center"/>
    </xf>
    <xf numFmtId="0" fontId="1" fillId="8396" borderId="0" xfId="4" applyFill="1" applyAlignment="1">
      <alignment horizontal="center" vertical="center"/>
    </xf>
    <xf numFmtId="0" fontId="1" fillId="8397" borderId="0" xfId="4" applyFill="1" applyAlignment="1">
      <alignment horizontal="center" vertical="center"/>
    </xf>
    <xf numFmtId="0" fontId="1" fillId="8398" borderId="0" xfId="4" applyFill="1" applyAlignment="1">
      <alignment horizontal="center" vertical="center"/>
    </xf>
    <xf numFmtId="0" fontId="1" fillId="8399" borderId="0" xfId="4" applyFill="1" applyAlignment="1">
      <alignment horizontal="center" vertical="center"/>
    </xf>
    <xf numFmtId="0" fontId="1" fillId="8400" borderId="0" xfId="4" applyFill="1" applyAlignment="1">
      <alignment horizontal="center" vertical="center"/>
    </xf>
    <xf numFmtId="0" fontId="1" fillId="8401" borderId="0" xfId="4" applyFill="1" applyAlignment="1">
      <alignment horizontal="left" vertical="center"/>
    </xf>
    <xf numFmtId="0" fontId="1" fillId="8402" borderId="0" xfId="4" applyFill="1" applyAlignment="1">
      <alignment horizontal="center" vertical="center"/>
    </xf>
    <xf numFmtId="0" fontId="1" fillId="6093" borderId="0" xfId="4" applyFill="1" applyAlignment="1">
      <alignment horizontal="center" vertical="center"/>
    </xf>
    <xf numFmtId="0" fontId="1" fillId="8403" borderId="0" xfId="4" applyFill="1" applyAlignment="1">
      <alignment horizontal="center" vertical="center"/>
    </xf>
    <xf numFmtId="0" fontId="1" fillId="8404" borderId="0" xfId="4" applyFill="1" applyAlignment="1">
      <alignment horizontal="center" vertical="center"/>
    </xf>
    <xf numFmtId="0" fontId="1" fillId="8405" borderId="0" xfId="4" applyFill="1" applyAlignment="1">
      <alignment horizontal="center" vertical="center"/>
    </xf>
    <xf numFmtId="0" fontId="1" fillId="8406" borderId="0" xfId="4" applyFill="1" applyAlignment="1">
      <alignment horizontal="center" vertical="center"/>
    </xf>
    <xf numFmtId="0" fontId="1" fillId="8407" borderId="0" xfId="4" applyFill="1" applyAlignment="1">
      <alignment horizontal="center" vertical="center"/>
    </xf>
    <xf numFmtId="0" fontId="1" fillId="8408" borderId="0" xfId="4" applyFill="1" applyAlignment="1">
      <alignment horizontal="center" vertical="center"/>
    </xf>
    <xf numFmtId="0" fontId="1" fillId="8409" borderId="0" xfId="4" applyFill="1" applyAlignment="1">
      <alignment horizontal="center" vertical="center"/>
    </xf>
    <xf numFmtId="0" fontId="1" fillId="8410" borderId="0" xfId="4" applyFill="1" applyAlignment="1">
      <alignment horizontal="center" vertical="center"/>
    </xf>
    <xf numFmtId="0" fontId="1" fillId="8411" borderId="0" xfId="4" applyFill="1" applyAlignment="1">
      <alignment horizontal="center" vertical="center"/>
    </xf>
    <xf numFmtId="0" fontId="1" fillId="8412" borderId="0" xfId="4" applyFill="1" applyAlignment="1">
      <alignment horizontal="center" vertical="center"/>
    </xf>
    <xf numFmtId="0" fontId="1" fillId="8413" borderId="0" xfId="4" applyFill="1" applyAlignment="1">
      <alignment horizontal="center" vertical="center"/>
    </xf>
    <xf numFmtId="0" fontId="1" fillId="8414" borderId="0" xfId="4" applyFill="1" applyAlignment="1">
      <alignment horizontal="center" vertical="center"/>
    </xf>
    <xf numFmtId="0" fontId="1" fillId="8415" borderId="0" xfId="4" applyFill="1" applyAlignment="1">
      <alignment horizontal="center" vertical="center"/>
    </xf>
    <xf numFmtId="0" fontId="1" fillId="8416" borderId="0" xfId="4" applyFill="1" applyAlignment="1">
      <alignment horizontal="center" vertical="center"/>
    </xf>
    <xf numFmtId="0" fontId="1" fillId="8417" borderId="0" xfId="4" applyFill="1" applyAlignment="1">
      <alignment horizontal="center" vertical="center"/>
    </xf>
    <xf numFmtId="0" fontId="1" fillId="8418" borderId="0" xfId="4" applyFill="1" applyAlignment="1">
      <alignment horizontal="center" vertical="center"/>
    </xf>
    <xf numFmtId="0" fontId="1" fillId="8419" borderId="0" xfId="4" applyFill="1" applyAlignment="1">
      <alignment horizontal="center" vertical="center"/>
    </xf>
    <xf numFmtId="0" fontId="1" fillId="8420" borderId="0" xfId="4" applyFill="1" applyAlignment="1">
      <alignment horizontal="center" vertical="center"/>
    </xf>
    <xf numFmtId="0" fontId="1" fillId="8421" borderId="0" xfId="4" applyFill="1" applyAlignment="1">
      <alignment horizontal="center" vertical="center"/>
    </xf>
    <xf numFmtId="0" fontId="1" fillId="8422" borderId="0" xfId="4" applyFill="1" applyAlignment="1">
      <alignment horizontal="center" vertical="center"/>
    </xf>
    <xf numFmtId="0" fontId="1" fillId="8423" borderId="0" xfId="4" applyFill="1" applyAlignment="1">
      <alignment horizontal="center" vertical="center"/>
    </xf>
    <xf numFmtId="0" fontId="1" fillId="8424" borderId="0" xfId="4" applyFill="1" applyAlignment="1">
      <alignment horizontal="center" vertical="center"/>
    </xf>
    <xf numFmtId="0" fontId="1" fillId="8425" borderId="0" xfId="4" applyFill="1" applyAlignment="1">
      <alignment horizontal="center" vertical="center"/>
    </xf>
    <xf numFmtId="0" fontId="1" fillId="8426" borderId="0" xfId="4" applyFill="1" applyAlignment="1">
      <alignment horizontal="center" vertical="center"/>
    </xf>
    <xf numFmtId="0" fontId="1" fillId="8427" borderId="0" xfId="4" applyFill="1" applyAlignment="1">
      <alignment horizontal="center" vertical="center"/>
    </xf>
    <xf numFmtId="0" fontId="1" fillId="8428" borderId="0" xfId="4" applyFill="1" applyAlignment="1">
      <alignment horizontal="center" vertical="center"/>
    </xf>
    <xf numFmtId="0" fontId="1" fillId="8429" borderId="0" xfId="4" applyFill="1" applyAlignment="1">
      <alignment horizontal="center" vertical="center"/>
    </xf>
    <xf numFmtId="0" fontId="1" fillId="8430" borderId="0" xfId="4" applyFill="1" applyAlignment="1">
      <alignment horizontal="center" vertical="center"/>
    </xf>
    <xf numFmtId="0" fontId="1" fillId="8431" borderId="0" xfId="4" applyFill="1" applyAlignment="1">
      <alignment horizontal="center" vertical="center"/>
    </xf>
    <xf numFmtId="0" fontId="1" fillId="8432" borderId="0" xfId="4" applyFill="1" applyAlignment="1">
      <alignment horizontal="center" vertical="center"/>
    </xf>
    <xf numFmtId="0" fontId="1" fillId="8433" borderId="0" xfId="4" applyFill="1" applyAlignment="1">
      <alignment horizontal="center" vertical="center"/>
    </xf>
    <xf numFmtId="0" fontId="1" fillId="8434" borderId="0" xfId="4" applyFill="1" applyAlignment="1">
      <alignment horizontal="center" vertical="center"/>
    </xf>
    <xf numFmtId="0" fontId="1" fillId="8435" borderId="0" xfId="4" applyFill="1" applyAlignment="1">
      <alignment horizontal="center" vertical="center"/>
    </xf>
    <xf numFmtId="0" fontId="1" fillId="8436" borderId="0" xfId="4" applyFill="1" applyAlignment="1">
      <alignment horizontal="center" vertical="center"/>
    </xf>
    <xf numFmtId="0" fontId="1" fillId="8437" borderId="0" xfId="4" applyFill="1" applyAlignment="1">
      <alignment horizontal="center" vertical="center"/>
    </xf>
    <xf numFmtId="0" fontId="1" fillId="8438" borderId="0" xfId="4" applyFill="1" applyAlignment="1">
      <alignment horizontal="center" vertical="center"/>
    </xf>
    <xf numFmtId="0" fontId="1" fillId="8439" borderId="0" xfId="4" applyFill="1" applyAlignment="1">
      <alignment horizontal="center" vertical="center"/>
    </xf>
    <xf numFmtId="0" fontId="1" fillId="8440" borderId="0" xfId="4" applyFill="1" applyAlignment="1">
      <alignment horizontal="center" vertical="center"/>
    </xf>
    <xf numFmtId="0" fontId="1" fillId="8441" borderId="0" xfId="4" applyFill="1" applyAlignment="1">
      <alignment horizontal="center" vertical="center"/>
    </xf>
    <xf numFmtId="0" fontId="1" fillId="8442" borderId="0" xfId="4" applyFill="1" applyAlignment="1">
      <alignment horizontal="center" vertical="center"/>
    </xf>
    <xf numFmtId="0" fontId="1" fillId="8443" borderId="0" xfId="4" applyFill="1" applyAlignment="1">
      <alignment horizontal="center" vertical="center"/>
    </xf>
    <xf numFmtId="0" fontId="1" fillId="8444" borderId="0" xfId="4" applyFill="1" applyAlignment="1">
      <alignment horizontal="center" vertical="center"/>
    </xf>
    <xf numFmtId="0" fontId="1" fillId="8445" borderId="0" xfId="4" applyFill="1" applyAlignment="1">
      <alignment horizontal="center" vertical="center"/>
    </xf>
    <xf numFmtId="0" fontId="1" fillId="8446" borderId="0" xfId="4" applyFill="1" applyAlignment="1">
      <alignment horizontal="center" vertical="center"/>
    </xf>
    <xf numFmtId="0" fontId="1" fillId="8447" borderId="0" xfId="4" applyFill="1" applyAlignment="1">
      <alignment horizontal="left" vertical="center"/>
    </xf>
    <xf numFmtId="0" fontId="1" fillId="8448" borderId="0" xfId="4" applyFill="1" applyAlignment="1">
      <alignment horizontal="center" vertical="center"/>
    </xf>
    <xf numFmtId="0" fontId="1" fillId="8449" borderId="0" xfId="4" applyFill="1" applyAlignment="1">
      <alignment horizontal="center" vertical="center"/>
    </xf>
    <xf numFmtId="0" fontId="1" fillId="8450" borderId="0" xfId="4" applyFill="1" applyAlignment="1">
      <alignment horizontal="center" vertical="center"/>
    </xf>
    <xf numFmtId="0" fontId="1" fillId="8451" borderId="0" xfId="4" applyFill="1" applyAlignment="1">
      <alignment horizontal="center" vertical="center"/>
    </xf>
    <xf numFmtId="0" fontId="1" fillId="8452" borderId="0" xfId="4" applyFill="1" applyAlignment="1">
      <alignment horizontal="center" vertical="center"/>
    </xf>
    <xf numFmtId="0" fontId="1" fillId="8453" borderId="0" xfId="4" applyFill="1" applyAlignment="1">
      <alignment horizontal="center" vertical="center"/>
    </xf>
    <xf numFmtId="0" fontId="1" fillId="8454" borderId="0" xfId="4" applyFill="1" applyAlignment="1">
      <alignment horizontal="center" vertical="center"/>
    </xf>
    <xf numFmtId="0" fontId="1" fillId="8455" borderId="0" xfId="4" applyFill="1" applyAlignment="1">
      <alignment horizontal="center" vertical="center"/>
    </xf>
    <xf numFmtId="0" fontId="1" fillId="8456" borderId="0" xfId="4" applyFill="1" applyAlignment="1">
      <alignment horizontal="center" vertical="center"/>
    </xf>
    <xf numFmtId="0" fontId="1" fillId="8457" borderId="0" xfId="4" applyFill="1" applyAlignment="1">
      <alignment horizontal="center" vertical="center"/>
    </xf>
    <xf numFmtId="0" fontId="1" fillId="8458" borderId="0" xfId="4" applyFill="1" applyAlignment="1">
      <alignment horizontal="center" vertical="center"/>
    </xf>
    <xf numFmtId="0" fontId="1" fillId="8459" borderId="0" xfId="4" applyFill="1" applyAlignment="1">
      <alignment horizontal="center" vertical="center"/>
    </xf>
    <xf numFmtId="0" fontId="1" fillId="8460" borderId="0" xfId="4" applyFill="1" applyAlignment="1">
      <alignment horizontal="center" vertical="center"/>
    </xf>
    <xf numFmtId="0" fontId="1" fillId="8461" borderId="0" xfId="4" applyFill="1" applyAlignment="1">
      <alignment horizontal="center" vertical="center"/>
    </xf>
    <xf numFmtId="0" fontId="1" fillId="8462" borderId="0" xfId="4" applyFill="1" applyAlignment="1">
      <alignment horizontal="center" vertical="center"/>
    </xf>
    <xf numFmtId="0" fontId="1" fillId="8463" borderId="0" xfId="4" applyFill="1" applyAlignment="1">
      <alignment horizontal="center" vertical="center"/>
    </xf>
    <xf numFmtId="0" fontId="1" fillId="8464" borderId="0" xfId="4" applyFill="1" applyAlignment="1">
      <alignment horizontal="center" vertical="center"/>
    </xf>
    <xf numFmtId="0" fontId="1" fillId="8465" borderId="0" xfId="4" applyFill="1" applyAlignment="1">
      <alignment horizontal="center" vertical="center"/>
    </xf>
    <xf numFmtId="0" fontId="1" fillId="8466" borderId="0" xfId="4" applyFill="1" applyAlignment="1">
      <alignment horizontal="center" vertical="center"/>
    </xf>
    <xf numFmtId="0" fontId="1" fillId="8467" borderId="0" xfId="4" applyFill="1" applyAlignment="1">
      <alignment horizontal="center" vertical="center"/>
    </xf>
    <xf numFmtId="0" fontId="1" fillId="8468" borderId="0" xfId="4" applyFill="1" applyAlignment="1">
      <alignment horizontal="center" vertical="center"/>
    </xf>
    <xf numFmtId="0" fontId="1" fillId="8469" borderId="0" xfId="4" applyFill="1" applyAlignment="1">
      <alignment horizontal="center" vertical="center"/>
    </xf>
    <xf numFmtId="0" fontId="1" fillId="8470" borderId="0" xfId="4" applyFill="1" applyAlignment="1">
      <alignment horizontal="center" vertical="center"/>
    </xf>
    <xf numFmtId="0" fontId="1" fillId="8471" borderId="0" xfId="4" applyFill="1" applyAlignment="1">
      <alignment horizontal="center" vertical="center"/>
    </xf>
    <xf numFmtId="0" fontId="1" fillId="8472" borderId="0" xfId="4" applyFill="1" applyAlignment="1">
      <alignment horizontal="center" vertical="center"/>
    </xf>
    <xf numFmtId="0" fontId="1" fillId="8473" borderId="0" xfId="4" applyFill="1" applyAlignment="1">
      <alignment horizontal="center" vertical="center"/>
    </xf>
    <xf numFmtId="0" fontId="1" fillId="8474" borderId="0" xfId="4" applyFill="1" applyAlignment="1">
      <alignment horizontal="center" vertical="center"/>
    </xf>
    <xf numFmtId="0" fontId="1" fillId="8475" borderId="0" xfId="4" applyFill="1" applyAlignment="1">
      <alignment horizontal="center" vertical="center"/>
    </xf>
    <xf numFmtId="0" fontId="1" fillId="8476" borderId="0" xfId="4" applyFill="1" applyAlignment="1">
      <alignment horizontal="center" vertical="center"/>
    </xf>
    <xf numFmtId="0" fontId="1" fillId="8477" borderId="0" xfId="4" applyFill="1" applyAlignment="1">
      <alignment horizontal="center" vertical="center"/>
    </xf>
    <xf numFmtId="0" fontId="1" fillId="8478" borderId="0" xfId="4" applyFill="1" applyAlignment="1">
      <alignment horizontal="center" vertical="center"/>
    </xf>
    <xf numFmtId="0" fontId="1" fillId="8479" borderId="0" xfId="4" applyFill="1" applyAlignment="1">
      <alignment horizontal="center" vertical="center"/>
    </xf>
    <xf numFmtId="0" fontId="1" fillId="8480" borderId="0" xfId="4" applyFill="1" applyAlignment="1">
      <alignment horizontal="center" vertical="center"/>
    </xf>
    <xf numFmtId="0" fontId="1" fillId="8481" borderId="0" xfId="4" applyFill="1" applyAlignment="1">
      <alignment horizontal="center" vertical="center"/>
    </xf>
    <xf numFmtId="0" fontId="1" fillId="8482" borderId="0" xfId="4" applyFill="1" applyAlignment="1">
      <alignment horizontal="left" vertical="center"/>
    </xf>
    <xf numFmtId="0" fontId="1" fillId="8483" borderId="0" xfId="4" applyFill="1" applyAlignment="1">
      <alignment horizontal="center" vertical="center"/>
    </xf>
    <xf numFmtId="0" fontId="1" fillId="8484" borderId="0" xfId="4" applyFill="1" applyAlignment="1">
      <alignment horizontal="center" vertical="center"/>
    </xf>
    <xf numFmtId="0" fontId="1" fillId="8485" borderId="0" xfId="4" applyFill="1" applyAlignment="1">
      <alignment horizontal="center" vertical="center"/>
    </xf>
    <xf numFmtId="0" fontId="1" fillId="8486" borderId="0" xfId="4" applyFill="1" applyAlignment="1">
      <alignment horizontal="center" vertical="center"/>
    </xf>
    <xf numFmtId="0" fontId="1" fillId="8487" borderId="0" xfId="4" applyFill="1" applyAlignment="1">
      <alignment horizontal="center" vertical="center"/>
    </xf>
    <xf numFmtId="0" fontId="1" fillId="8488" borderId="0" xfId="4" applyFill="1" applyAlignment="1">
      <alignment horizontal="center" vertical="center"/>
    </xf>
    <xf numFmtId="0" fontId="1" fillId="8489" borderId="0" xfId="4" applyFill="1" applyAlignment="1">
      <alignment horizontal="center" vertical="center"/>
    </xf>
    <xf numFmtId="0" fontId="1" fillId="8490" borderId="0" xfId="4" applyFill="1" applyAlignment="1">
      <alignment horizontal="center" vertical="center"/>
    </xf>
    <xf numFmtId="0" fontId="1" fillId="8491" borderId="0" xfId="4" applyFill="1" applyAlignment="1">
      <alignment horizontal="center" vertical="center"/>
    </xf>
    <xf numFmtId="0" fontId="1" fillId="8492" borderId="0" xfId="4" applyFill="1" applyAlignment="1">
      <alignment horizontal="center" vertical="center"/>
    </xf>
    <xf numFmtId="0" fontId="1" fillId="8493" borderId="0" xfId="4" applyFill="1" applyAlignment="1">
      <alignment horizontal="center" vertical="center"/>
    </xf>
    <xf numFmtId="0" fontId="1" fillId="8494" borderId="0" xfId="4" applyFill="1" applyAlignment="1">
      <alignment horizontal="center" vertical="center"/>
    </xf>
    <xf numFmtId="0" fontId="1" fillId="8495" borderId="0" xfId="4" applyFill="1" applyAlignment="1">
      <alignment horizontal="center" vertical="center"/>
    </xf>
    <xf numFmtId="0" fontId="1" fillId="8496" borderId="0" xfId="4" applyFill="1" applyAlignment="1">
      <alignment horizontal="center" vertical="center"/>
    </xf>
    <xf numFmtId="0" fontId="1" fillId="8497" borderId="0" xfId="4" applyFill="1" applyAlignment="1">
      <alignment horizontal="center" vertical="center"/>
    </xf>
    <xf numFmtId="0" fontId="1" fillId="8498" borderId="0" xfId="4" applyFill="1" applyAlignment="1">
      <alignment horizontal="center" vertical="center"/>
    </xf>
    <xf numFmtId="0" fontId="1" fillId="8499" borderId="0" xfId="4" applyFill="1" applyAlignment="1">
      <alignment horizontal="center" vertical="center"/>
    </xf>
    <xf numFmtId="0" fontId="1" fillId="8500" borderId="0" xfId="4" applyFill="1" applyAlignment="1">
      <alignment horizontal="center" vertical="center"/>
    </xf>
    <xf numFmtId="0" fontId="1" fillId="8501" borderId="0" xfId="4" applyFill="1" applyAlignment="1">
      <alignment horizontal="center" vertical="center"/>
    </xf>
    <xf numFmtId="0" fontId="1" fillId="8502" borderId="0" xfId="4" applyFill="1" applyAlignment="1">
      <alignment horizontal="center" vertical="center"/>
    </xf>
    <xf numFmtId="0" fontId="1" fillId="8503" borderId="0" xfId="4" applyFill="1" applyAlignment="1">
      <alignment horizontal="center" vertical="center"/>
    </xf>
    <xf numFmtId="0" fontId="1" fillId="8504" borderId="0" xfId="4" applyFill="1" applyAlignment="1">
      <alignment horizontal="center" vertical="center"/>
    </xf>
    <xf numFmtId="0" fontId="1" fillId="8505" borderId="0" xfId="4" applyFill="1" applyAlignment="1">
      <alignment horizontal="center" vertical="center"/>
    </xf>
    <xf numFmtId="0" fontId="1" fillId="8506" borderId="0" xfId="4" applyFill="1" applyAlignment="1">
      <alignment horizontal="center" vertical="center"/>
    </xf>
    <xf numFmtId="0" fontId="1" fillId="8507" borderId="0" xfId="4" applyFill="1" applyAlignment="1">
      <alignment horizontal="center" vertical="center"/>
    </xf>
    <xf numFmtId="0" fontId="1" fillId="8508" borderId="0" xfId="4" applyFill="1" applyAlignment="1">
      <alignment horizontal="center" vertical="center"/>
    </xf>
    <xf numFmtId="0" fontId="1" fillId="8509" borderId="0" xfId="4" applyFill="1" applyAlignment="1">
      <alignment horizontal="center" vertical="center"/>
    </xf>
    <xf numFmtId="0" fontId="1" fillId="8510" borderId="0" xfId="4" applyFill="1" applyAlignment="1">
      <alignment horizontal="center" vertical="center"/>
    </xf>
    <xf numFmtId="0" fontId="1" fillId="8511" borderId="0" xfId="4" applyFill="1" applyAlignment="1">
      <alignment horizontal="center" vertical="center"/>
    </xf>
    <xf numFmtId="0" fontId="1" fillId="8512" borderId="0" xfId="4" applyFill="1" applyAlignment="1">
      <alignment horizontal="center" vertical="center"/>
    </xf>
    <xf numFmtId="0" fontId="1" fillId="8513" borderId="0" xfId="4" applyFill="1" applyAlignment="1">
      <alignment horizontal="center" vertical="center"/>
    </xf>
    <xf numFmtId="0" fontId="1" fillId="8514" borderId="0" xfId="4" applyFill="1" applyAlignment="1">
      <alignment horizontal="center" vertical="center"/>
    </xf>
    <xf numFmtId="0" fontId="1" fillId="8515" borderId="0" xfId="4" applyFill="1" applyAlignment="1">
      <alignment horizontal="center" vertical="center"/>
    </xf>
    <xf numFmtId="0" fontId="1" fillId="8516" borderId="0" xfId="4" applyFill="1" applyAlignment="1">
      <alignment horizontal="center" vertical="center"/>
    </xf>
    <xf numFmtId="0" fontId="1" fillId="8517" borderId="0" xfId="4" applyFill="1" applyAlignment="1">
      <alignment horizontal="center" vertical="center"/>
    </xf>
    <xf numFmtId="0" fontId="1" fillId="8518" borderId="0" xfId="4" applyFill="1" applyAlignment="1">
      <alignment horizontal="center" vertical="center"/>
    </xf>
    <xf numFmtId="0" fontId="1" fillId="8519" borderId="0" xfId="4" applyFill="1" applyAlignment="1">
      <alignment horizontal="center" vertical="center"/>
    </xf>
    <xf numFmtId="0" fontId="1" fillId="8520" borderId="0" xfId="4" applyFill="1" applyAlignment="1">
      <alignment horizontal="center" vertical="center"/>
    </xf>
    <xf numFmtId="0" fontId="1" fillId="8521" borderId="0" xfId="4" applyFill="1" applyAlignment="1">
      <alignment horizontal="center" vertical="center"/>
    </xf>
    <xf numFmtId="0" fontId="1" fillId="8522" borderId="0" xfId="4" applyFill="1" applyAlignment="1">
      <alignment horizontal="center" vertical="center"/>
    </xf>
    <xf numFmtId="0" fontId="1" fillId="8523" borderId="0" xfId="4" applyFill="1" applyAlignment="1">
      <alignment horizontal="center" vertical="center"/>
    </xf>
    <xf numFmtId="0" fontId="1" fillId="8524" borderId="0" xfId="4" applyFill="1" applyAlignment="1">
      <alignment horizontal="center" vertical="center"/>
    </xf>
    <xf numFmtId="0" fontId="1" fillId="8525" borderId="0" xfId="4" applyFill="1" applyAlignment="1">
      <alignment horizontal="center" vertical="center"/>
    </xf>
    <xf numFmtId="0" fontId="1" fillId="8526" borderId="0" xfId="4" applyFill="1" applyAlignment="1">
      <alignment horizontal="center" vertical="center"/>
    </xf>
    <xf numFmtId="0" fontId="1" fillId="8527" borderId="0" xfId="4" applyFill="1" applyAlignment="1">
      <alignment horizontal="center" vertical="center"/>
    </xf>
    <xf numFmtId="0" fontId="1" fillId="8528" borderId="0" xfId="4" applyFill="1" applyAlignment="1">
      <alignment horizontal="center" vertical="center"/>
    </xf>
    <xf numFmtId="0" fontId="1" fillId="8529" borderId="0" xfId="4" applyFill="1" applyAlignment="1">
      <alignment horizontal="center" vertical="center"/>
    </xf>
    <xf numFmtId="0" fontId="1" fillId="8530" borderId="0" xfId="4" applyFill="1" applyAlignment="1">
      <alignment horizontal="center" vertical="center"/>
    </xf>
    <xf numFmtId="0" fontId="1" fillId="8531" borderId="0" xfId="4" applyFill="1" applyAlignment="1">
      <alignment horizontal="left" vertical="center"/>
    </xf>
    <xf numFmtId="0" fontId="1" fillId="8532" borderId="0" xfId="4" applyFill="1" applyAlignment="1">
      <alignment horizontal="center" vertical="center"/>
    </xf>
    <xf numFmtId="0" fontId="1" fillId="8533" borderId="0" xfId="4" applyFill="1" applyAlignment="1">
      <alignment horizontal="center" vertical="center"/>
    </xf>
    <xf numFmtId="0" fontId="1" fillId="8534" borderId="0" xfId="4" applyFill="1" applyAlignment="1">
      <alignment horizontal="center" vertical="center"/>
    </xf>
    <xf numFmtId="0" fontId="1" fillId="8535" borderId="0" xfId="4" applyFill="1" applyAlignment="1">
      <alignment horizontal="center" vertical="center"/>
    </xf>
    <xf numFmtId="0" fontId="1" fillId="8536" borderId="0" xfId="4" applyFill="1" applyAlignment="1">
      <alignment horizontal="center" vertical="center"/>
    </xf>
    <xf numFmtId="0" fontId="1" fillId="8537" borderId="0" xfId="4" applyFill="1" applyAlignment="1">
      <alignment horizontal="center" vertical="center"/>
    </xf>
    <xf numFmtId="0" fontId="1" fillId="8538" borderId="0" xfId="4" applyFill="1" applyAlignment="1">
      <alignment horizontal="center" vertical="center"/>
    </xf>
    <xf numFmtId="0" fontId="1" fillId="8539" borderId="0" xfId="4" applyFill="1" applyAlignment="1">
      <alignment horizontal="center" vertical="center"/>
    </xf>
    <xf numFmtId="0" fontId="1" fillId="8540" borderId="0" xfId="4" applyFill="1" applyAlignment="1">
      <alignment horizontal="center" vertical="center"/>
    </xf>
    <xf numFmtId="0" fontId="1" fillId="8541" borderId="0" xfId="4" applyFill="1" applyAlignment="1">
      <alignment horizontal="center" vertical="center"/>
    </xf>
    <xf numFmtId="0" fontId="1" fillId="8542" borderId="0" xfId="4" applyFill="1" applyAlignment="1">
      <alignment horizontal="center" vertical="center"/>
    </xf>
    <xf numFmtId="0" fontId="1" fillId="8543" borderId="0" xfId="4" applyFill="1" applyAlignment="1">
      <alignment horizontal="center" vertical="center"/>
    </xf>
    <xf numFmtId="0" fontId="1" fillId="8544" borderId="0" xfId="4" applyFill="1" applyAlignment="1">
      <alignment horizontal="center" vertical="center"/>
    </xf>
    <xf numFmtId="0" fontId="1" fillId="8545" borderId="0" xfId="4" applyFill="1" applyAlignment="1">
      <alignment horizontal="center" vertical="center"/>
    </xf>
    <xf numFmtId="0" fontId="1" fillId="8546" borderId="0" xfId="4" applyFill="1" applyAlignment="1">
      <alignment horizontal="center" vertical="center"/>
    </xf>
    <xf numFmtId="0" fontId="1" fillId="8547" borderId="0" xfId="4" applyFill="1" applyAlignment="1">
      <alignment horizontal="center" vertical="center"/>
    </xf>
    <xf numFmtId="0" fontId="1" fillId="8548" borderId="0" xfId="4" applyFill="1" applyAlignment="1">
      <alignment horizontal="center" vertical="center"/>
    </xf>
    <xf numFmtId="0" fontId="1" fillId="8549" borderId="0" xfId="4" applyFill="1" applyAlignment="1">
      <alignment horizontal="center" vertical="center"/>
    </xf>
    <xf numFmtId="0" fontId="1" fillId="8550" borderId="0" xfId="4" applyFill="1" applyAlignment="1">
      <alignment horizontal="center" vertical="center"/>
    </xf>
    <xf numFmtId="0" fontId="1" fillId="8551" borderId="0" xfId="4" applyFill="1" applyAlignment="1">
      <alignment horizontal="center" vertical="center"/>
    </xf>
    <xf numFmtId="0" fontId="1" fillId="8552" borderId="0" xfId="4" applyFill="1" applyAlignment="1">
      <alignment horizontal="center" vertical="center"/>
    </xf>
    <xf numFmtId="0" fontId="1" fillId="8553" borderId="0" xfId="4" applyFill="1" applyAlignment="1">
      <alignment horizontal="center" vertical="center"/>
    </xf>
    <xf numFmtId="0" fontId="1" fillId="8554" borderId="0" xfId="4" applyFill="1" applyAlignment="1">
      <alignment horizontal="center" vertical="center"/>
    </xf>
    <xf numFmtId="0" fontId="1" fillId="8555" borderId="0" xfId="4" applyFill="1" applyAlignment="1">
      <alignment horizontal="center" vertical="center"/>
    </xf>
    <xf numFmtId="0" fontId="1" fillId="8556" borderId="0" xfId="4" applyFill="1" applyAlignment="1">
      <alignment horizontal="center" vertical="center"/>
    </xf>
    <xf numFmtId="0" fontId="1" fillId="8557" borderId="0" xfId="4" applyFill="1" applyAlignment="1">
      <alignment horizontal="center" vertical="center"/>
    </xf>
    <xf numFmtId="0" fontId="1" fillId="8558" borderId="0" xfId="4" applyFill="1" applyAlignment="1">
      <alignment horizontal="center" vertical="center"/>
    </xf>
    <xf numFmtId="0" fontId="1" fillId="8559" borderId="0" xfId="4" applyFill="1" applyAlignment="1">
      <alignment horizontal="center" vertical="center"/>
    </xf>
    <xf numFmtId="0" fontId="1" fillId="8560" borderId="0" xfId="4" applyFill="1" applyAlignment="1">
      <alignment horizontal="center" vertical="center"/>
    </xf>
    <xf numFmtId="0" fontId="1" fillId="8561" borderId="0" xfId="4" applyFill="1" applyAlignment="1">
      <alignment horizontal="left" vertical="center"/>
    </xf>
    <xf numFmtId="0" fontId="1" fillId="8562" borderId="0" xfId="4" applyFill="1" applyAlignment="1">
      <alignment horizontal="center" vertical="center"/>
    </xf>
    <xf numFmtId="0" fontId="1" fillId="8563" borderId="0" xfId="4" applyFill="1" applyAlignment="1">
      <alignment horizontal="center" vertical="center"/>
    </xf>
    <xf numFmtId="0" fontId="1" fillId="8564" borderId="0" xfId="4" applyFill="1" applyAlignment="1">
      <alignment horizontal="center" vertical="center"/>
    </xf>
    <xf numFmtId="0" fontId="1" fillId="8565" borderId="0" xfId="4" applyFill="1" applyAlignment="1">
      <alignment horizontal="center" vertical="center"/>
    </xf>
    <xf numFmtId="0" fontId="1" fillId="8566" borderId="0" xfId="4" applyFill="1" applyAlignment="1">
      <alignment horizontal="center" vertical="center"/>
    </xf>
    <xf numFmtId="0" fontId="1" fillId="8567" borderId="0" xfId="4" applyFill="1" applyAlignment="1">
      <alignment horizontal="center" vertical="center"/>
    </xf>
    <xf numFmtId="0" fontId="1" fillId="8568" borderId="0" xfId="4" applyFill="1" applyAlignment="1">
      <alignment horizontal="center" vertical="center"/>
    </xf>
    <xf numFmtId="0" fontId="1" fillId="8569" borderId="0" xfId="4" applyFill="1" applyAlignment="1">
      <alignment horizontal="center" vertical="center"/>
    </xf>
    <xf numFmtId="0" fontId="1" fillId="8570" borderId="0" xfId="4" applyFill="1" applyAlignment="1">
      <alignment horizontal="center" vertical="center"/>
    </xf>
    <xf numFmtId="0" fontId="1" fillId="8571" borderId="0" xfId="4" applyFill="1" applyAlignment="1">
      <alignment horizontal="center" vertical="center"/>
    </xf>
    <xf numFmtId="0" fontId="1" fillId="8572" borderId="0" xfId="4" applyFill="1" applyAlignment="1">
      <alignment horizontal="center" vertical="center"/>
    </xf>
    <xf numFmtId="0" fontId="1" fillId="8573" borderId="0" xfId="4" applyFill="1" applyAlignment="1">
      <alignment horizontal="center" vertical="center"/>
    </xf>
    <xf numFmtId="0" fontId="1" fillId="8574" borderId="0" xfId="4" applyFill="1" applyAlignment="1">
      <alignment horizontal="center" vertical="center"/>
    </xf>
    <xf numFmtId="0" fontId="1" fillId="8575" borderId="0" xfId="4" applyFill="1" applyAlignment="1">
      <alignment horizontal="center" vertical="center"/>
    </xf>
    <xf numFmtId="0" fontId="1" fillId="8576" borderId="0" xfId="4" applyFill="1" applyAlignment="1">
      <alignment horizontal="center" vertical="center"/>
    </xf>
    <xf numFmtId="0" fontId="1" fillId="8577" borderId="0" xfId="4" applyFill="1" applyAlignment="1">
      <alignment horizontal="center" vertical="center"/>
    </xf>
    <xf numFmtId="0" fontId="1" fillId="8578" borderId="0" xfId="4" applyFill="1" applyAlignment="1">
      <alignment horizontal="center" vertical="center"/>
    </xf>
    <xf numFmtId="0" fontId="1" fillId="8579" borderId="0" xfId="4" applyFill="1" applyAlignment="1">
      <alignment horizontal="center" vertical="center"/>
    </xf>
    <xf numFmtId="0" fontId="1" fillId="8580" borderId="0" xfId="4" applyFill="1" applyAlignment="1">
      <alignment horizontal="center" vertical="center"/>
    </xf>
    <xf numFmtId="0" fontId="1" fillId="8581" borderId="0" xfId="4" applyFill="1" applyAlignment="1">
      <alignment horizontal="center" vertical="center"/>
    </xf>
    <xf numFmtId="0" fontId="1" fillId="8582" borderId="0" xfId="4" applyFill="1" applyAlignment="1">
      <alignment horizontal="center" vertical="center"/>
    </xf>
    <xf numFmtId="0" fontId="1" fillId="8583" borderId="0" xfId="4" applyFill="1" applyAlignment="1">
      <alignment horizontal="center" vertical="center"/>
    </xf>
    <xf numFmtId="0" fontId="1" fillId="8584" borderId="0" xfId="4" applyFill="1" applyAlignment="1">
      <alignment horizontal="center" vertical="center"/>
    </xf>
    <xf numFmtId="0" fontId="1" fillId="8585" borderId="0" xfId="4" applyFill="1" applyAlignment="1">
      <alignment horizontal="center" vertical="center"/>
    </xf>
    <xf numFmtId="0" fontId="1" fillId="8586" borderId="0" xfId="4" applyFill="1" applyAlignment="1">
      <alignment horizontal="center" vertical="center"/>
    </xf>
    <xf numFmtId="0" fontId="1" fillId="8587" borderId="0" xfId="4" applyFill="1" applyAlignment="1">
      <alignment horizontal="center" vertical="center"/>
    </xf>
    <xf numFmtId="0" fontId="1" fillId="8588" borderId="0" xfId="4" applyFill="1" applyAlignment="1">
      <alignment horizontal="center" vertical="center"/>
    </xf>
    <xf numFmtId="0" fontId="1" fillId="8589" borderId="0" xfId="4" applyFill="1" applyAlignment="1">
      <alignment horizontal="center" vertical="center"/>
    </xf>
    <xf numFmtId="0" fontId="1" fillId="8590" borderId="0" xfId="4" applyFill="1" applyAlignment="1">
      <alignment horizontal="center" vertical="center"/>
    </xf>
    <xf numFmtId="0" fontId="1" fillId="8591" borderId="0" xfId="4" applyFill="1" applyAlignment="1">
      <alignment horizontal="center" vertical="center"/>
    </xf>
    <xf numFmtId="0" fontId="1" fillId="8592" borderId="0" xfId="4" applyFill="1" applyAlignment="1">
      <alignment horizontal="center" vertical="center"/>
    </xf>
    <xf numFmtId="0" fontId="1" fillId="8593" borderId="0" xfId="4" applyFill="1" applyAlignment="1">
      <alignment horizontal="center" vertical="center"/>
    </xf>
    <xf numFmtId="0" fontId="1" fillId="8594" borderId="0" xfId="4" applyFill="1" applyAlignment="1">
      <alignment horizontal="center" vertical="center"/>
    </xf>
    <xf numFmtId="0" fontId="1" fillId="8595" borderId="0" xfId="4" applyFill="1" applyAlignment="1">
      <alignment horizontal="center" vertical="center"/>
    </xf>
    <xf numFmtId="0" fontId="1" fillId="8596" borderId="0" xfId="4" applyFill="1" applyAlignment="1">
      <alignment horizontal="center" vertical="center"/>
    </xf>
    <xf numFmtId="0" fontId="1" fillId="8597" borderId="0" xfId="4" applyFill="1" applyAlignment="1">
      <alignment horizontal="center" vertical="center"/>
    </xf>
    <xf numFmtId="0" fontId="1" fillId="8598" borderId="0" xfId="4" applyFill="1" applyAlignment="1">
      <alignment horizontal="center" vertical="center"/>
    </xf>
    <xf numFmtId="0" fontId="1" fillId="8599" borderId="0" xfId="4" applyFill="1" applyAlignment="1">
      <alignment horizontal="center" vertical="center"/>
    </xf>
    <xf numFmtId="0" fontId="1" fillId="8600" borderId="0" xfId="4" applyFill="1" applyAlignment="1">
      <alignment horizontal="center" vertical="center"/>
    </xf>
    <xf numFmtId="0" fontId="1" fillId="8601" borderId="0" xfId="4" applyFill="1" applyAlignment="1">
      <alignment horizontal="center" vertical="center"/>
    </xf>
    <xf numFmtId="0" fontId="1" fillId="8602" borderId="0" xfId="4" applyFill="1" applyAlignment="1">
      <alignment horizontal="center" vertical="center"/>
    </xf>
    <xf numFmtId="0" fontId="1" fillId="8603" borderId="0" xfId="4" applyFill="1" applyAlignment="1">
      <alignment horizontal="center" vertical="center"/>
    </xf>
    <xf numFmtId="0" fontId="1" fillId="8604" borderId="0" xfId="4" applyFill="1" applyAlignment="1">
      <alignment horizontal="center" vertical="center"/>
    </xf>
    <xf numFmtId="0" fontId="1" fillId="8605" borderId="0" xfId="4" applyFill="1" applyAlignment="1">
      <alignment horizontal="center" vertical="center"/>
    </xf>
    <xf numFmtId="0" fontId="1" fillId="8606" borderId="0" xfId="4" applyFill="1" applyAlignment="1">
      <alignment horizontal="center" vertical="center"/>
    </xf>
    <xf numFmtId="0" fontId="1" fillId="8607" borderId="0" xfId="4" applyFill="1" applyAlignment="1">
      <alignment horizontal="center" vertical="center"/>
    </xf>
    <xf numFmtId="0" fontId="1" fillId="8608" borderId="0" xfId="4" applyFill="1" applyAlignment="1">
      <alignment horizontal="center" vertical="center"/>
    </xf>
    <xf numFmtId="0" fontId="1" fillId="8609" borderId="0" xfId="4" applyFill="1" applyAlignment="1">
      <alignment horizontal="center" vertical="center"/>
    </xf>
    <xf numFmtId="0" fontId="1" fillId="8610" borderId="0" xfId="4" applyFill="1" applyAlignment="1">
      <alignment horizontal="left" vertical="center"/>
    </xf>
    <xf numFmtId="0" fontId="1" fillId="8611" borderId="0" xfId="4" applyFill="1" applyAlignment="1">
      <alignment horizontal="center" vertical="center"/>
    </xf>
    <xf numFmtId="0" fontId="1" fillId="8612" borderId="0" xfId="4" applyFill="1" applyAlignment="1">
      <alignment horizontal="center" vertical="center"/>
    </xf>
    <xf numFmtId="0" fontId="1" fillId="8613" borderId="0" xfId="4" applyFill="1" applyAlignment="1">
      <alignment horizontal="center" vertical="center"/>
    </xf>
    <xf numFmtId="0" fontId="1" fillId="8614" borderId="0" xfId="4" applyFill="1" applyAlignment="1">
      <alignment horizontal="center" vertical="center"/>
    </xf>
    <xf numFmtId="0" fontId="1" fillId="8615" borderId="0" xfId="4" applyFill="1" applyAlignment="1">
      <alignment horizontal="center" vertical="center"/>
    </xf>
    <xf numFmtId="0" fontId="1" fillId="8616" borderId="0" xfId="4" applyFill="1" applyAlignment="1">
      <alignment horizontal="center" vertical="center"/>
    </xf>
    <xf numFmtId="0" fontId="1" fillId="8617" borderId="0" xfId="4" applyFill="1" applyAlignment="1">
      <alignment horizontal="center" vertical="center"/>
    </xf>
    <xf numFmtId="0" fontId="1" fillId="8618" borderId="0" xfId="4" applyFill="1" applyAlignment="1">
      <alignment horizontal="center" vertical="center"/>
    </xf>
    <xf numFmtId="0" fontId="1" fillId="8619" borderId="0" xfId="4" applyFill="1" applyAlignment="1">
      <alignment horizontal="center" vertical="center"/>
    </xf>
    <xf numFmtId="0" fontId="1" fillId="8620" borderId="0" xfId="4" applyFill="1" applyAlignment="1">
      <alignment horizontal="center" vertical="center"/>
    </xf>
    <xf numFmtId="0" fontId="1" fillId="8621" borderId="0" xfId="4" applyFill="1" applyAlignment="1">
      <alignment horizontal="center" vertical="center"/>
    </xf>
    <xf numFmtId="0" fontId="1" fillId="8622" borderId="0" xfId="4" applyFill="1" applyAlignment="1">
      <alignment horizontal="center" vertical="center"/>
    </xf>
    <xf numFmtId="0" fontId="1" fillId="8623" borderId="0" xfId="4" applyFill="1" applyAlignment="1">
      <alignment horizontal="center" vertical="center"/>
    </xf>
    <xf numFmtId="0" fontId="1" fillId="8624" borderId="0" xfId="4" applyFill="1" applyAlignment="1">
      <alignment horizontal="center" vertical="center"/>
    </xf>
    <xf numFmtId="0" fontId="1" fillId="8625" borderId="0" xfId="4" applyFill="1" applyAlignment="1">
      <alignment horizontal="center" vertical="center"/>
    </xf>
    <xf numFmtId="0" fontId="1" fillId="8626" borderId="0" xfId="4" applyFill="1" applyAlignment="1">
      <alignment horizontal="center" vertical="center"/>
    </xf>
    <xf numFmtId="0" fontId="1" fillId="8627" borderId="0" xfId="4" applyFill="1" applyAlignment="1">
      <alignment horizontal="center" vertical="center"/>
    </xf>
    <xf numFmtId="0" fontId="1" fillId="8628" borderId="0" xfId="4" applyFill="1" applyAlignment="1">
      <alignment horizontal="center" vertical="center"/>
    </xf>
    <xf numFmtId="0" fontId="1" fillId="8629" borderId="0" xfId="4" applyFill="1" applyAlignment="1">
      <alignment horizontal="center" vertical="center"/>
    </xf>
    <xf numFmtId="0" fontId="1" fillId="8630" borderId="0" xfId="4" applyFill="1" applyAlignment="1">
      <alignment horizontal="center" vertical="center"/>
    </xf>
    <xf numFmtId="0" fontId="1" fillId="8631" borderId="0" xfId="4" applyFill="1" applyAlignment="1">
      <alignment horizontal="center" vertical="center"/>
    </xf>
    <xf numFmtId="0" fontId="1" fillId="8632" borderId="0" xfId="4" applyFill="1" applyAlignment="1">
      <alignment horizontal="center" vertical="center"/>
    </xf>
    <xf numFmtId="0" fontId="1" fillId="8633" borderId="0" xfId="4" applyFill="1" applyAlignment="1">
      <alignment horizontal="center" vertical="center"/>
    </xf>
    <xf numFmtId="0" fontId="1" fillId="8634" borderId="0" xfId="4" applyFill="1" applyAlignment="1">
      <alignment horizontal="center" vertical="center"/>
    </xf>
    <xf numFmtId="0" fontId="1" fillId="8635" borderId="0" xfId="4" applyFill="1" applyAlignment="1">
      <alignment horizontal="center" vertical="center"/>
    </xf>
    <xf numFmtId="0" fontId="1" fillId="8636" borderId="0" xfId="4" applyFill="1" applyAlignment="1">
      <alignment horizontal="center" vertical="center"/>
    </xf>
    <xf numFmtId="0" fontId="1" fillId="8637" borderId="0" xfId="4" applyFill="1" applyAlignment="1">
      <alignment horizontal="center" vertical="center"/>
    </xf>
    <xf numFmtId="0" fontId="1" fillId="8638" borderId="0" xfId="4" applyFill="1" applyAlignment="1">
      <alignment horizontal="center" vertical="center"/>
    </xf>
    <xf numFmtId="0" fontId="1" fillId="8639" borderId="0" xfId="4" applyFill="1" applyAlignment="1">
      <alignment horizontal="left" vertical="center"/>
    </xf>
    <xf numFmtId="0" fontId="1" fillId="8640" borderId="0" xfId="4" applyFill="1" applyAlignment="1">
      <alignment horizontal="center" vertical="center"/>
    </xf>
    <xf numFmtId="0" fontId="1" fillId="8641" borderId="0" xfId="4" applyFill="1" applyAlignment="1">
      <alignment horizontal="center" vertical="center"/>
    </xf>
    <xf numFmtId="0" fontId="1" fillId="8642" borderId="0" xfId="4" applyFill="1" applyAlignment="1">
      <alignment horizontal="center" vertical="center"/>
    </xf>
    <xf numFmtId="0" fontId="1" fillId="8643" borderId="0" xfId="4" applyFill="1" applyAlignment="1">
      <alignment horizontal="center" vertical="center"/>
    </xf>
    <xf numFmtId="0" fontId="1" fillId="8644" borderId="0" xfId="4" applyFill="1" applyAlignment="1">
      <alignment horizontal="center" vertical="center"/>
    </xf>
    <xf numFmtId="0" fontId="1" fillId="8645" borderId="0" xfId="4" applyFill="1" applyAlignment="1">
      <alignment horizontal="center" vertical="center"/>
    </xf>
    <xf numFmtId="0" fontId="1" fillId="8646" borderId="0" xfId="4" applyFill="1" applyAlignment="1">
      <alignment horizontal="center" vertical="center"/>
    </xf>
    <xf numFmtId="0" fontId="1" fillId="8647" borderId="0" xfId="4" applyFill="1" applyAlignment="1">
      <alignment horizontal="center" vertical="center"/>
    </xf>
    <xf numFmtId="0" fontId="1" fillId="8648" borderId="0" xfId="4" applyFill="1" applyAlignment="1">
      <alignment horizontal="center" vertical="center"/>
    </xf>
    <xf numFmtId="0" fontId="1" fillId="8649" borderId="0" xfId="4" applyFill="1" applyAlignment="1">
      <alignment horizontal="center" vertical="center"/>
    </xf>
    <xf numFmtId="0" fontId="1" fillId="8650" borderId="0" xfId="4" applyFill="1" applyAlignment="1">
      <alignment horizontal="center" vertical="center"/>
    </xf>
    <xf numFmtId="0" fontId="1" fillId="8651" borderId="0" xfId="4" applyFill="1" applyAlignment="1">
      <alignment horizontal="center" vertical="center"/>
    </xf>
    <xf numFmtId="0" fontId="1" fillId="8652" borderId="0" xfId="4" applyFill="1" applyAlignment="1">
      <alignment horizontal="center" vertical="center"/>
    </xf>
    <xf numFmtId="0" fontId="1" fillId="8653" borderId="0" xfId="4" applyFill="1" applyAlignment="1">
      <alignment horizontal="center" vertical="center"/>
    </xf>
    <xf numFmtId="0" fontId="1" fillId="8654" borderId="0" xfId="4" applyFill="1" applyAlignment="1">
      <alignment horizontal="center" vertical="center"/>
    </xf>
    <xf numFmtId="0" fontId="1" fillId="8655" borderId="0" xfId="4" applyFill="1" applyAlignment="1">
      <alignment horizontal="center" vertical="center"/>
    </xf>
    <xf numFmtId="0" fontId="1" fillId="8656" borderId="0" xfId="4" applyFill="1" applyAlignment="1">
      <alignment horizontal="center" vertical="center"/>
    </xf>
    <xf numFmtId="0" fontId="1" fillId="8657" borderId="0" xfId="4" applyFill="1" applyAlignment="1">
      <alignment horizontal="center" vertical="center"/>
    </xf>
    <xf numFmtId="0" fontId="1" fillId="8658" borderId="0" xfId="4" applyFill="1" applyAlignment="1">
      <alignment horizontal="center" vertical="center"/>
    </xf>
    <xf numFmtId="0" fontId="1" fillId="8659" borderId="0" xfId="4" applyFill="1" applyAlignment="1">
      <alignment horizontal="center" vertical="center"/>
    </xf>
    <xf numFmtId="0" fontId="1" fillId="8660" borderId="0" xfId="4" applyFill="1" applyAlignment="1">
      <alignment horizontal="center" vertical="center"/>
    </xf>
    <xf numFmtId="0" fontId="1" fillId="8661" borderId="0" xfId="4" applyFill="1" applyAlignment="1">
      <alignment horizontal="center" vertical="center"/>
    </xf>
    <xf numFmtId="0" fontId="1" fillId="8662" borderId="0" xfId="4" applyFill="1" applyAlignment="1">
      <alignment horizontal="center" vertical="center"/>
    </xf>
    <xf numFmtId="0" fontId="1" fillId="8663" borderId="0" xfId="4" applyFill="1" applyAlignment="1">
      <alignment horizontal="center" vertical="center"/>
    </xf>
    <xf numFmtId="0" fontId="1" fillId="8664" borderId="0" xfId="4" applyFill="1" applyAlignment="1">
      <alignment horizontal="center" vertical="center"/>
    </xf>
    <xf numFmtId="0" fontId="1" fillId="8665" borderId="0" xfId="4" applyFill="1" applyAlignment="1">
      <alignment horizontal="center" vertical="center"/>
    </xf>
    <xf numFmtId="0" fontId="1" fillId="8666" borderId="0" xfId="4" applyFill="1" applyAlignment="1">
      <alignment horizontal="center" vertical="center"/>
    </xf>
    <xf numFmtId="0" fontId="1" fillId="8667" borderId="0" xfId="4" applyFill="1" applyAlignment="1">
      <alignment horizontal="center" vertical="center"/>
    </xf>
    <xf numFmtId="0" fontId="1" fillId="8668" borderId="0" xfId="4" applyFill="1" applyAlignment="1">
      <alignment horizontal="center" vertical="center"/>
    </xf>
    <xf numFmtId="0" fontId="1" fillId="8669" borderId="0" xfId="4" applyFill="1" applyAlignment="1">
      <alignment horizontal="center" vertical="center"/>
    </xf>
    <xf numFmtId="0" fontId="1" fillId="8670" borderId="0" xfId="4" applyFill="1" applyAlignment="1">
      <alignment horizontal="center" vertical="center"/>
    </xf>
    <xf numFmtId="0" fontId="1" fillId="8671" borderId="0" xfId="4" applyFill="1" applyAlignment="1">
      <alignment horizontal="center" vertical="center"/>
    </xf>
    <xf numFmtId="0" fontId="1" fillId="8672" borderId="0" xfId="4" applyFill="1" applyAlignment="1">
      <alignment horizontal="center" vertical="center"/>
    </xf>
    <xf numFmtId="0" fontId="1" fillId="8673" borderId="0" xfId="4" applyFill="1" applyAlignment="1">
      <alignment horizontal="center" vertical="center"/>
    </xf>
    <xf numFmtId="0" fontId="1" fillId="8674" borderId="0" xfId="4" applyFill="1" applyAlignment="1">
      <alignment horizontal="center" vertical="center"/>
    </xf>
    <xf numFmtId="0" fontId="1" fillId="8675" borderId="0" xfId="4" applyFill="1" applyAlignment="1">
      <alignment horizontal="center" vertical="center"/>
    </xf>
    <xf numFmtId="0" fontId="1" fillId="8676" borderId="0" xfId="4" applyFill="1" applyAlignment="1">
      <alignment horizontal="center" vertical="center"/>
    </xf>
    <xf numFmtId="0" fontId="1" fillId="8677" borderId="0" xfId="4" applyFill="1" applyAlignment="1">
      <alignment horizontal="center" vertical="center"/>
    </xf>
    <xf numFmtId="0" fontId="1" fillId="8678" borderId="0" xfId="4" applyFill="1" applyAlignment="1">
      <alignment horizontal="center" vertical="center"/>
    </xf>
    <xf numFmtId="0" fontId="1" fillId="8679" borderId="0" xfId="4" applyFill="1" applyAlignment="1">
      <alignment horizontal="center" vertical="center"/>
    </xf>
    <xf numFmtId="0" fontId="1" fillId="8680" borderId="0" xfId="4" applyFill="1" applyAlignment="1">
      <alignment horizontal="center" vertical="center"/>
    </xf>
    <xf numFmtId="0" fontId="1" fillId="8681" borderId="0" xfId="4" applyFill="1" applyAlignment="1">
      <alignment horizontal="center" vertical="center"/>
    </xf>
    <xf numFmtId="0" fontId="1" fillId="8682" borderId="0" xfId="4" applyFill="1" applyAlignment="1">
      <alignment horizontal="center" vertical="center"/>
    </xf>
    <xf numFmtId="0" fontId="1" fillId="8683" borderId="0" xfId="4" applyFill="1" applyAlignment="1">
      <alignment horizontal="center" vertical="center"/>
    </xf>
    <xf numFmtId="0" fontId="1" fillId="8684" borderId="0" xfId="4" applyFill="1" applyAlignment="1">
      <alignment horizontal="center" vertical="center"/>
    </xf>
    <xf numFmtId="0" fontId="1" fillId="8685" borderId="0" xfId="4" applyFill="1" applyAlignment="1">
      <alignment horizontal="center" vertical="center"/>
    </xf>
    <xf numFmtId="0" fontId="1" fillId="8686" borderId="0" xfId="4" applyFill="1" applyAlignment="1">
      <alignment horizontal="center" vertical="center"/>
    </xf>
    <xf numFmtId="0" fontId="1" fillId="8687" borderId="0" xfId="4" applyFill="1" applyAlignment="1">
      <alignment horizontal="center" vertical="center"/>
    </xf>
    <xf numFmtId="0" fontId="1" fillId="8688" borderId="0" xfId="4" applyFill="1" applyAlignment="1">
      <alignment horizontal="left" vertical="center"/>
    </xf>
    <xf numFmtId="0" fontId="1" fillId="8689" borderId="0" xfId="4" applyFill="1" applyAlignment="1">
      <alignment horizontal="center" vertical="center"/>
    </xf>
    <xf numFmtId="0" fontId="1" fillId="8690" borderId="0" xfId="4" applyFill="1" applyAlignment="1">
      <alignment horizontal="center" vertical="center"/>
    </xf>
    <xf numFmtId="0" fontId="1" fillId="8691" borderId="0" xfId="4" applyFill="1" applyAlignment="1">
      <alignment horizontal="center" vertical="center"/>
    </xf>
    <xf numFmtId="0" fontId="1" fillId="8692" borderId="0" xfId="4" applyFill="1" applyAlignment="1">
      <alignment horizontal="center" vertical="center"/>
    </xf>
    <xf numFmtId="0" fontId="1" fillId="8693" borderId="0" xfId="4" applyFill="1" applyAlignment="1">
      <alignment horizontal="center" vertical="center"/>
    </xf>
    <xf numFmtId="0" fontId="1" fillId="8694" borderId="0" xfId="4" applyFill="1" applyAlignment="1">
      <alignment horizontal="center" vertical="center"/>
    </xf>
    <xf numFmtId="0" fontId="1" fillId="8695" borderId="0" xfId="4" applyFill="1" applyAlignment="1">
      <alignment horizontal="center" vertical="center"/>
    </xf>
    <xf numFmtId="0" fontId="1" fillId="8696" borderId="0" xfId="4" applyFill="1" applyAlignment="1">
      <alignment horizontal="center" vertical="center"/>
    </xf>
    <xf numFmtId="0" fontId="1" fillId="8697" borderId="0" xfId="4" applyFill="1" applyAlignment="1">
      <alignment horizontal="center" vertical="center"/>
    </xf>
    <xf numFmtId="0" fontId="1" fillId="8698" borderId="0" xfId="4" applyFill="1" applyAlignment="1">
      <alignment horizontal="center" vertical="center"/>
    </xf>
    <xf numFmtId="0" fontId="1" fillId="8699" borderId="0" xfId="4" applyFill="1" applyAlignment="1">
      <alignment horizontal="center" vertical="center"/>
    </xf>
    <xf numFmtId="0" fontId="1" fillId="8700" borderId="0" xfId="4" applyFill="1" applyAlignment="1">
      <alignment horizontal="center" vertical="center"/>
    </xf>
    <xf numFmtId="0" fontId="1" fillId="8701" borderId="0" xfId="4" applyFill="1" applyAlignment="1">
      <alignment horizontal="center" vertical="center"/>
    </xf>
    <xf numFmtId="0" fontId="1" fillId="8702" borderId="0" xfId="4" applyFill="1" applyAlignment="1">
      <alignment horizontal="center" vertical="center"/>
    </xf>
    <xf numFmtId="0" fontId="1" fillId="8703" borderId="0" xfId="4" applyFill="1" applyAlignment="1">
      <alignment horizontal="center" vertical="center"/>
    </xf>
    <xf numFmtId="0" fontId="1" fillId="8704" borderId="0" xfId="4" applyFill="1" applyAlignment="1">
      <alignment horizontal="center" vertical="center"/>
    </xf>
    <xf numFmtId="0" fontId="1" fillId="8705" borderId="0" xfId="4" applyFill="1" applyAlignment="1">
      <alignment horizontal="center" vertical="center"/>
    </xf>
    <xf numFmtId="0" fontId="1" fillId="8706" borderId="0" xfId="4" applyFill="1" applyAlignment="1">
      <alignment horizontal="center" vertical="center"/>
    </xf>
    <xf numFmtId="0" fontId="1" fillId="8707" borderId="0" xfId="4" applyFill="1" applyAlignment="1">
      <alignment horizontal="center" vertical="center"/>
    </xf>
    <xf numFmtId="0" fontId="1" fillId="8708" borderId="0" xfId="4" applyFill="1" applyAlignment="1">
      <alignment horizontal="center" vertical="center"/>
    </xf>
    <xf numFmtId="0" fontId="1" fillId="8709" borderId="0" xfId="4" applyFill="1" applyAlignment="1">
      <alignment horizontal="center" vertical="center"/>
    </xf>
    <xf numFmtId="0" fontId="1" fillId="8710" borderId="0" xfId="4" applyFill="1" applyAlignment="1">
      <alignment horizontal="center" vertical="center"/>
    </xf>
    <xf numFmtId="0" fontId="1" fillId="8711" borderId="0" xfId="4" applyFill="1" applyAlignment="1">
      <alignment horizontal="center" vertical="center"/>
    </xf>
    <xf numFmtId="0" fontId="1" fillId="8712" borderId="0" xfId="4" applyFill="1" applyAlignment="1">
      <alignment horizontal="center" vertical="center"/>
    </xf>
    <xf numFmtId="0" fontId="1" fillId="8713" borderId="0" xfId="4" applyFill="1" applyAlignment="1">
      <alignment horizontal="center" vertical="center"/>
    </xf>
    <xf numFmtId="0" fontId="1" fillId="8714" borderId="0" xfId="4" applyFill="1" applyAlignment="1">
      <alignment horizontal="center" vertical="center"/>
    </xf>
    <xf numFmtId="0" fontId="1" fillId="8715" borderId="0" xfId="4" applyFill="1" applyAlignment="1">
      <alignment horizontal="center" vertical="center"/>
    </xf>
    <xf numFmtId="0" fontId="1" fillId="8716" borderId="0" xfId="4" applyFill="1" applyAlignment="1">
      <alignment horizontal="left" vertical="center"/>
    </xf>
    <xf numFmtId="0" fontId="1" fillId="8717" borderId="0" xfId="4" applyFill="1" applyAlignment="1">
      <alignment horizontal="center" vertical="center"/>
    </xf>
    <xf numFmtId="0" fontId="1" fillId="8718" borderId="0" xfId="4" applyFill="1" applyAlignment="1">
      <alignment horizontal="center" vertical="center"/>
    </xf>
    <xf numFmtId="0" fontId="1" fillId="8719" borderId="0" xfId="4" applyFill="1" applyAlignment="1">
      <alignment horizontal="center" vertical="center"/>
    </xf>
    <xf numFmtId="0" fontId="1" fillId="8720" borderId="0" xfId="4" applyFill="1" applyAlignment="1">
      <alignment horizontal="center" vertical="center"/>
    </xf>
    <xf numFmtId="0" fontId="1" fillId="8721" borderId="0" xfId="4" applyFill="1" applyAlignment="1">
      <alignment horizontal="center" vertical="center"/>
    </xf>
    <xf numFmtId="0" fontId="1" fillId="8722" borderId="0" xfId="4" applyFill="1" applyAlignment="1">
      <alignment horizontal="center" vertical="center"/>
    </xf>
    <xf numFmtId="0" fontId="1" fillId="8723" borderId="0" xfId="4" applyFill="1" applyAlignment="1">
      <alignment horizontal="center" vertical="center"/>
    </xf>
    <xf numFmtId="0" fontId="1" fillId="8724" borderId="0" xfId="4" applyFill="1" applyAlignment="1">
      <alignment horizontal="center" vertical="center"/>
    </xf>
    <xf numFmtId="0" fontId="1" fillId="8725" borderId="0" xfId="4" applyFill="1" applyAlignment="1">
      <alignment horizontal="center" vertical="center"/>
    </xf>
    <xf numFmtId="0" fontId="1" fillId="8726" borderId="0" xfId="4" applyFill="1" applyAlignment="1">
      <alignment horizontal="center" vertical="center"/>
    </xf>
    <xf numFmtId="0" fontId="1" fillId="8727" borderId="0" xfId="4" applyFill="1" applyAlignment="1">
      <alignment horizontal="center" vertical="center"/>
    </xf>
    <xf numFmtId="0" fontId="1" fillId="8728" borderId="0" xfId="4" applyFill="1" applyAlignment="1">
      <alignment horizontal="center" vertical="center"/>
    </xf>
    <xf numFmtId="0" fontId="1" fillId="8729" borderId="0" xfId="4" applyFill="1" applyAlignment="1">
      <alignment horizontal="center" vertical="center"/>
    </xf>
    <xf numFmtId="0" fontId="1" fillId="8730" borderId="0" xfId="4" applyFill="1" applyAlignment="1">
      <alignment horizontal="center" vertical="center"/>
    </xf>
    <xf numFmtId="0" fontId="1" fillId="8731" borderId="0" xfId="4" applyFill="1" applyAlignment="1">
      <alignment horizontal="center" vertical="center"/>
    </xf>
    <xf numFmtId="0" fontId="1" fillId="8732" borderId="0" xfId="4" applyFill="1" applyAlignment="1">
      <alignment horizontal="center" vertical="center"/>
    </xf>
    <xf numFmtId="0" fontId="1" fillId="8733" borderId="0" xfId="4" applyFill="1" applyAlignment="1">
      <alignment horizontal="center" vertical="center"/>
    </xf>
    <xf numFmtId="0" fontId="1" fillId="8734" borderId="0" xfId="4" applyFill="1" applyAlignment="1">
      <alignment horizontal="center" vertical="center"/>
    </xf>
    <xf numFmtId="0" fontId="1" fillId="8735" borderId="0" xfId="4" applyFill="1" applyAlignment="1">
      <alignment horizontal="center" vertical="center"/>
    </xf>
    <xf numFmtId="0" fontId="1" fillId="8736" borderId="0" xfId="4" applyFill="1" applyAlignment="1">
      <alignment horizontal="center" vertical="center"/>
    </xf>
    <xf numFmtId="0" fontId="1" fillId="8737" borderId="0" xfId="4" applyFill="1" applyAlignment="1">
      <alignment horizontal="center" vertical="center"/>
    </xf>
    <xf numFmtId="0" fontId="1" fillId="8738" borderId="0" xfId="4" applyFill="1" applyAlignment="1">
      <alignment horizontal="center" vertical="center"/>
    </xf>
    <xf numFmtId="0" fontId="1" fillId="8739" borderId="0" xfId="4" applyFill="1" applyAlignment="1">
      <alignment horizontal="center" vertical="center"/>
    </xf>
    <xf numFmtId="0" fontId="1" fillId="8740" borderId="0" xfId="4" applyFill="1" applyAlignment="1">
      <alignment horizontal="center" vertical="center"/>
    </xf>
    <xf numFmtId="0" fontId="1" fillId="8741" borderId="0" xfId="4" applyFill="1" applyAlignment="1">
      <alignment horizontal="center" vertical="center"/>
    </xf>
    <xf numFmtId="0" fontId="1" fillId="8742" borderId="0" xfId="4" applyFill="1" applyAlignment="1">
      <alignment horizontal="center" vertical="center"/>
    </xf>
    <xf numFmtId="0" fontId="1" fillId="8743" borderId="0" xfId="4" applyFill="1" applyAlignment="1">
      <alignment horizontal="center" vertical="center"/>
    </xf>
    <xf numFmtId="0" fontId="1" fillId="8744" borderId="0" xfId="4" applyFill="1" applyAlignment="1">
      <alignment horizontal="center" vertical="center"/>
    </xf>
    <xf numFmtId="0" fontId="1" fillId="8745" borderId="0" xfId="4" applyFill="1" applyAlignment="1">
      <alignment horizontal="center" vertical="center"/>
    </xf>
    <xf numFmtId="0" fontId="1" fillId="8746" borderId="0" xfId="4" applyFill="1" applyAlignment="1">
      <alignment horizontal="center" vertical="center"/>
    </xf>
    <xf numFmtId="0" fontId="1" fillId="8747" borderId="0" xfId="4" applyFill="1" applyAlignment="1">
      <alignment horizontal="center" vertical="center"/>
    </xf>
    <xf numFmtId="0" fontId="1" fillId="8748" borderId="0" xfId="4" applyFill="1" applyAlignment="1">
      <alignment horizontal="center" vertical="center"/>
    </xf>
    <xf numFmtId="0" fontId="1" fillId="8749" borderId="0" xfId="4" applyFill="1" applyAlignment="1">
      <alignment horizontal="center" vertical="center"/>
    </xf>
    <xf numFmtId="0" fontId="1" fillId="8750" borderId="0" xfId="4" applyFill="1" applyAlignment="1">
      <alignment horizontal="center" vertical="center"/>
    </xf>
    <xf numFmtId="0" fontId="1" fillId="8751" borderId="0" xfId="4" applyFill="1" applyAlignment="1">
      <alignment horizontal="center" vertical="center"/>
    </xf>
    <xf numFmtId="0" fontId="1" fillId="8752" borderId="0" xfId="4" applyFill="1" applyAlignment="1">
      <alignment horizontal="center" vertical="center"/>
    </xf>
    <xf numFmtId="0" fontId="1" fillId="8753" borderId="0" xfId="4" applyFill="1" applyAlignment="1">
      <alignment horizontal="center" vertical="center"/>
    </xf>
    <xf numFmtId="0" fontId="1" fillId="8754" borderId="0" xfId="4" applyFill="1" applyAlignment="1">
      <alignment horizontal="center" vertical="center"/>
    </xf>
    <xf numFmtId="0" fontId="1" fillId="8755" borderId="0" xfId="4" applyFill="1" applyAlignment="1">
      <alignment horizontal="center" vertical="center"/>
    </xf>
    <xf numFmtId="0" fontId="1" fillId="8756" borderId="0" xfId="4" applyFill="1" applyAlignment="1">
      <alignment horizontal="center" vertical="center"/>
    </xf>
    <xf numFmtId="0" fontId="1" fillId="8757" borderId="0" xfId="4" applyFill="1" applyAlignment="1">
      <alignment horizontal="center" vertical="center"/>
    </xf>
    <xf numFmtId="0" fontId="1" fillId="8758" borderId="0" xfId="4" applyFill="1" applyAlignment="1">
      <alignment horizontal="center" vertical="center"/>
    </xf>
    <xf numFmtId="0" fontId="1" fillId="8759" borderId="0" xfId="4" applyFill="1" applyAlignment="1">
      <alignment horizontal="center" vertical="center"/>
    </xf>
    <xf numFmtId="0" fontId="1" fillId="8760" borderId="0" xfId="4" applyFill="1" applyAlignment="1">
      <alignment horizontal="center" vertical="center"/>
    </xf>
    <xf numFmtId="0" fontId="1" fillId="8761" borderId="0" xfId="4" applyFill="1" applyAlignment="1">
      <alignment horizontal="center" vertical="center"/>
    </xf>
    <xf numFmtId="0" fontId="1" fillId="8762" borderId="0" xfId="4" applyFill="1" applyAlignment="1">
      <alignment horizontal="center" vertical="center"/>
    </xf>
    <xf numFmtId="0" fontId="1" fillId="8763" borderId="0" xfId="4" applyFill="1" applyAlignment="1">
      <alignment horizontal="center" vertical="center"/>
    </xf>
    <xf numFmtId="0" fontId="1" fillId="8764" borderId="0" xfId="4" applyFill="1" applyAlignment="1">
      <alignment horizontal="center" vertical="center"/>
    </xf>
    <xf numFmtId="0" fontId="1" fillId="8765" borderId="0" xfId="4" applyFill="1" applyAlignment="1">
      <alignment horizontal="left" vertical="center"/>
    </xf>
    <xf numFmtId="0" fontId="1" fillId="8766" borderId="0" xfId="4" applyFill="1" applyAlignment="1">
      <alignment horizontal="center" vertical="center"/>
    </xf>
    <xf numFmtId="0" fontId="1" fillId="8767" borderId="0" xfId="4" applyFill="1" applyAlignment="1">
      <alignment horizontal="center" vertical="center"/>
    </xf>
    <xf numFmtId="0" fontId="1" fillId="8768" borderId="0" xfId="4" applyFill="1" applyAlignment="1">
      <alignment horizontal="center" vertical="center"/>
    </xf>
    <xf numFmtId="0" fontId="1" fillId="8769" borderId="0" xfId="4" applyFill="1" applyAlignment="1">
      <alignment horizontal="center" vertical="center"/>
    </xf>
    <xf numFmtId="0" fontId="1" fillId="8770" borderId="0" xfId="4" applyFill="1" applyAlignment="1">
      <alignment horizontal="center" vertical="center"/>
    </xf>
    <xf numFmtId="0" fontId="1" fillId="8771" borderId="0" xfId="4" applyFill="1" applyAlignment="1">
      <alignment horizontal="center" vertical="center"/>
    </xf>
    <xf numFmtId="0" fontId="1" fillId="8772" borderId="0" xfId="4" applyFill="1" applyAlignment="1">
      <alignment horizontal="center" vertical="center"/>
    </xf>
    <xf numFmtId="0" fontId="1" fillId="8773" borderId="0" xfId="4" applyFill="1" applyAlignment="1">
      <alignment horizontal="center" vertical="center"/>
    </xf>
    <xf numFmtId="0" fontId="1" fillId="8774" borderId="0" xfId="4" applyFill="1" applyAlignment="1">
      <alignment horizontal="center" vertical="center"/>
    </xf>
    <xf numFmtId="0" fontId="1" fillId="8775" borderId="0" xfId="4" applyFill="1" applyAlignment="1">
      <alignment horizontal="center" vertical="center"/>
    </xf>
    <xf numFmtId="0" fontId="1" fillId="8776" borderId="0" xfId="4" applyFill="1" applyAlignment="1">
      <alignment horizontal="center" vertical="center"/>
    </xf>
    <xf numFmtId="0" fontId="1" fillId="8777" borderId="0" xfId="4" applyFill="1" applyAlignment="1">
      <alignment horizontal="center" vertical="center"/>
    </xf>
    <xf numFmtId="0" fontId="1" fillId="8778" borderId="0" xfId="4" applyFill="1" applyAlignment="1">
      <alignment horizontal="center" vertical="center"/>
    </xf>
    <xf numFmtId="0" fontId="1" fillId="8779" borderId="0" xfId="4" applyFill="1" applyAlignment="1">
      <alignment horizontal="center" vertical="center"/>
    </xf>
    <xf numFmtId="0" fontId="1" fillId="8780" borderId="0" xfId="4" applyFill="1" applyAlignment="1">
      <alignment horizontal="center" vertical="center"/>
    </xf>
    <xf numFmtId="0" fontId="1" fillId="8781" borderId="0" xfId="4" applyFill="1" applyAlignment="1">
      <alignment horizontal="center" vertical="center"/>
    </xf>
    <xf numFmtId="0" fontId="1" fillId="8782" borderId="0" xfId="4" applyFill="1" applyAlignment="1">
      <alignment horizontal="center" vertical="center"/>
    </xf>
    <xf numFmtId="0" fontId="1" fillId="8783" borderId="0" xfId="4" applyFill="1" applyAlignment="1">
      <alignment horizontal="center" vertical="center"/>
    </xf>
    <xf numFmtId="0" fontId="1" fillId="8784" borderId="0" xfId="4" applyFill="1" applyAlignment="1">
      <alignment horizontal="center" vertical="center"/>
    </xf>
    <xf numFmtId="0" fontId="1" fillId="8785" borderId="0" xfId="4" applyFill="1" applyAlignment="1">
      <alignment horizontal="center" vertical="center"/>
    </xf>
    <xf numFmtId="0" fontId="1" fillId="8786" borderId="0" xfId="4" applyFill="1" applyAlignment="1">
      <alignment horizontal="center" vertical="center"/>
    </xf>
    <xf numFmtId="0" fontId="1" fillId="8787" borderId="0" xfId="4" applyFill="1" applyAlignment="1">
      <alignment horizontal="center" vertical="center"/>
    </xf>
    <xf numFmtId="0" fontId="1" fillId="8788" borderId="0" xfId="4" applyFill="1" applyAlignment="1">
      <alignment horizontal="center" vertical="center"/>
    </xf>
    <xf numFmtId="0" fontId="1" fillId="8789" borderId="0" xfId="4" applyFill="1" applyAlignment="1">
      <alignment horizontal="center" vertical="center"/>
    </xf>
    <xf numFmtId="0" fontId="1" fillId="8790" borderId="0" xfId="4" applyFill="1" applyAlignment="1">
      <alignment horizontal="center" vertical="center"/>
    </xf>
    <xf numFmtId="0" fontId="1" fillId="8791" borderId="0" xfId="4" applyFill="1" applyAlignment="1">
      <alignment horizontal="center" vertical="center"/>
    </xf>
    <xf numFmtId="0" fontId="1" fillId="8792" borderId="0" xfId="4" applyFill="1" applyAlignment="1">
      <alignment horizontal="left" vertical="center"/>
    </xf>
    <xf numFmtId="0" fontId="1" fillId="8793" borderId="0" xfId="4" applyFill="1" applyAlignment="1">
      <alignment horizontal="center" vertical="center"/>
    </xf>
    <xf numFmtId="0" fontId="1" fillId="8794" borderId="0" xfId="4" applyFill="1" applyAlignment="1">
      <alignment horizontal="center" vertical="center"/>
    </xf>
    <xf numFmtId="0" fontId="1" fillId="8795" borderId="0" xfId="4" applyFill="1" applyAlignment="1">
      <alignment horizontal="center" vertical="center"/>
    </xf>
    <xf numFmtId="0" fontId="1" fillId="8796" borderId="0" xfId="4" applyFill="1" applyAlignment="1">
      <alignment horizontal="center" vertical="center"/>
    </xf>
    <xf numFmtId="0" fontId="1" fillId="8797" borderId="0" xfId="4" applyFill="1" applyAlignment="1">
      <alignment horizontal="center" vertical="center"/>
    </xf>
    <xf numFmtId="0" fontId="1" fillId="8798" borderId="0" xfId="4" applyFill="1" applyAlignment="1">
      <alignment horizontal="center" vertical="center"/>
    </xf>
    <xf numFmtId="0" fontId="1" fillId="8799" borderId="0" xfId="4" applyFill="1" applyAlignment="1">
      <alignment horizontal="center" vertical="center"/>
    </xf>
    <xf numFmtId="0" fontId="1" fillId="8800" borderId="0" xfId="4" applyFill="1" applyAlignment="1">
      <alignment horizontal="center" vertical="center"/>
    </xf>
    <xf numFmtId="0" fontId="1" fillId="8801" borderId="0" xfId="4" applyFill="1" applyAlignment="1">
      <alignment horizontal="center" vertical="center"/>
    </xf>
    <xf numFmtId="0" fontId="1" fillId="8802" borderId="0" xfId="4" applyFill="1" applyAlignment="1">
      <alignment horizontal="center" vertical="center"/>
    </xf>
    <xf numFmtId="0" fontId="1" fillId="8803" borderId="0" xfId="4" applyFill="1" applyAlignment="1">
      <alignment horizontal="center" vertical="center"/>
    </xf>
    <xf numFmtId="0" fontId="1" fillId="8804" borderId="0" xfId="4" applyFill="1" applyAlignment="1">
      <alignment horizontal="center" vertical="center"/>
    </xf>
    <xf numFmtId="0" fontId="1" fillId="8805" borderId="0" xfId="4" applyFill="1" applyAlignment="1">
      <alignment horizontal="center" vertical="center"/>
    </xf>
    <xf numFmtId="0" fontId="1" fillId="8806" borderId="0" xfId="4" applyFill="1" applyAlignment="1">
      <alignment horizontal="center" vertical="center"/>
    </xf>
    <xf numFmtId="0" fontId="1" fillId="8807" borderId="0" xfId="4" applyFill="1" applyAlignment="1">
      <alignment horizontal="center" vertical="center"/>
    </xf>
    <xf numFmtId="0" fontId="1" fillId="8808" borderId="0" xfId="4" applyFill="1" applyAlignment="1">
      <alignment horizontal="center" vertical="center"/>
    </xf>
    <xf numFmtId="0" fontId="1" fillId="8809" borderId="0" xfId="4" applyFill="1" applyAlignment="1">
      <alignment horizontal="center" vertical="center"/>
    </xf>
    <xf numFmtId="0" fontId="1" fillId="8810" borderId="0" xfId="4" applyFill="1" applyAlignment="1">
      <alignment horizontal="center" vertical="center"/>
    </xf>
    <xf numFmtId="0" fontId="1" fillId="8811" borderId="0" xfId="4" applyFill="1" applyAlignment="1">
      <alignment horizontal="center" vertical="center"/>
    </xf>
    <xf numFmtId="0" fontId="1" fillId="8812" borderId="0" xfId="4" applyFill="1" applyAlignment="1">
      <alignment horizontal="center" vertical="center"/>
    </xf>
    <xf numFmtId="0" fontId="1" fillId="8813" borderId="0" xfId="4" applyFill="1" applyAlignment="1">
      <alignment horizontal="center" vertical="center"/>
    </xf>
    <xf numFmtId="0" fontId="1" fillId="8814" borderId="0" xfId="4" applyFill="1" applyAlignment="1">
      <alignment horizontal="center" vertical="center"/>
    </xf>
    <xf numFmtId="0" fontId="1" fillId="8815" borderId="0" xfId="4" applyFill="1" applyAlignment="1">
      <alignment horizontal="center" vertical="center"/>
    </xf>
    <xf numFmtId="0" fontId="1" fillId="8816" borderId="0" xfId="4" applyFill="1" applyAlignment="1">
      <alignment horizontal="center" vertical="center"/>
    </xf>
    <xf numFmtId="0" fontId="1" fillId="8817" borderId="0" xfId="4" applyFill="1" applyAlignment="1">
      <alignment horizontal="center" vertical="center"/>
    </xf>
    <xf numFmtId="0" fontId="1" fillId="8818" borderId="0" xfId="4" applyFill="1" applyAlignment="1">
      <alignment horizontal="center" vertical="center"/>
    </xf>
    <xf numFmtId="0" fontId="1" fillId="8819" borderId="0" xfId="4" applyFill="1" applyAlignment="1">
      <alignment horizontal="center" vertical="center"/>
    </xf>
    <xf numFmtId="0" fontId="1" fillId="8820" borderId="0" xfId="4" applyFill="1" applyAlignment="1">
      <alignment horizontal="center" vertical="center"/>
    </xf>
    <xf numFmtId="0" fontId="1" fillId="8821" borderId="0" xfId="4" applyFill="1" applyAlignment="1">
      <alignment horizontal="center" vertical="center"/>
    </xf>
    <xf numFmtId="0" fontId="1" fillId="8822" borderId="0" xfId="4" applyFill="1" applyAlignment="1">
      <alignment horizontal="center" vertical="center"/>
    </xf>
    <xf numFmtId="0" fontId="1" fillId="8823" borderId="0" xfId="4" applyFill="1" applyAlignment="1">
      <alignment horizontal="center" vertical="center"/>
    </xf>
    <xf numFmtId="0" fontId="1" fillId="8824" borderId="0" xfId="4" applyFill="1" applyAlignment="1">
      <alignment horizontal="center" vertical="center"/>
    </xf>
    <xf numFmtId="0" fontId="1" fillId="8825" borderId="0" xfId="4" applyFill="1" applyAlignment="1">
      <alignment horizontal="center" vertical="center"/>
    </xf>
    <xf numFmtId="0" fontId="1" fillId="8826" borderId="0" xfId="4" applyFill="1" applyAlignment="1">
      <alignment horizontal="center" vertical="center"/>
    </xf>
    <xf numFmtId="0" fontId="1" fillId="8827" borderId="0" xfId="4" applyFill="1" applyAlignment="1">
      <alignment horizontal="center" vertical="center"/>
    </xf>
    <xf numFmtId="0" fontId="1" fillId="8828" borderId="0" xfId="4" applyFill="1" applyAlignment="1">
      <alignment horizontal="center" vertical="center"/>
    </xf>
    <xf numFmtId="0" fontId="1" fillId="8829" borderId="0" xfId="4" applyFill="1" applyAlignment="1">
      <alignment horizontal="center" vertical="center"/>
    </xf>
    <xf numFmtId="0" fontId="1" fillId="8830" borderId="0" xfId="4" applyFill="1" applyAlignment="1">
      <alignment horizontal="center" vertical="center"/>
    </xf>
    <xf numFmtId="0" fontId="1" fillId="8831" borderId="0" xfId="4" applyFill="1" applyAlignment="1">
      <alignment horizontal="center" vertical="center"/>
    </xf>
    <xf numFmtId="0" fontId="1" fillId="8832" borderId="0" xfId="4" applyFill="1" applyAlignment="1">
      <alignment horizontal="center" vertical="center"/>
    </xf>
    <xf numFmtId="0" fontId="1" fillId="8833" borderId="0" xfId="4" applyFill="1" applyAlignment="1">
      <alignment horizontal="center" vertical="center"/>
    </xf>
    <xf numFmtId="0" fontId="1" fillId="8834" borderId="0" xfId="4" applyFill="1" applyAlignment="1">
      <alignment horizontal="center" vertical="center"/>
    </xf>
    <xf numFmtId="0" fontId="1" fillId="8835" borderId="0" xfId="4" applyFill="1" applyAlignment="1">
      <alignment horizontal="center" vertical="center"/>
    </xf>
    <xf numFmtId="0" fontId="1" fillId="5988" borderId="0" xfId="4" applyFill="1" applyAlignment="1">
      <alignment horizontal="left" vertical="center"/>
    </xf>
    <xf numFmtId="0" fontId="1" fillId="8836" borderId="0" xfId="4" applyFill="1" applyAlignment="1">
      <alignment horizontal="center" vertical="center"/>
    </xf>
    <xf numFmtId="0" fontId="1" fillId="8837" borderId="0" xfId="4" applyFill="1" applyAlignment="1">
      <alignment horizontal="center" vertical="center"/>
    </xf>
    <xf numFmtId="0" fontId="1" fillId="8838" borderId="0" xfId="4" applyFill="1" applyAlignment="1">
      <alignment horizontal="center" vertical="center"/>
    </xf>
    <xf numFmtId="0" fontId="1" fillId="8839" borderId="0" xfId="4" applyFill="1" applyAlignment="1">
      <alignment horizontal="center" vertical="center"/>
    </xf>
    <xf numFmtId="0" fontId="1" fillId="8840" borderId="0" xfId="4" applyFill="1" applyAlignment="1">
      <alignment horizontal="center" vertical="center"/>
    </xf>
    <xf numFmtId="0" fontId="1" fillId="8841" borderId="0" xfId="4" applyFill="1" applyAlignment="1">
      <alignment horizontal="center" vertical="center"/>
    </xf>
    <xf numFmtId="0" fontId="1" fillId="8842" borderId="0" xfId="4" applyFill="1" applyAlignment="1">
      <alignment horizontal="center" vertical="center"/>
    </xf>
    <xf numFmtId="0" fontId="1" fillId="8843" borderId="0" xfId="4" applyFill="1" applyAlignment="1">
      <alignment horizontal="center" vertical="center"/>
    </xf>
    <xf numFmtId="0" fontId="1" fillId="8844" borderId="0" xfId="4" applyFill="1" applyAlignment="1">
      <alignment horizontal="center" vertical="center"/>
    </xf>
    <xf numFmtId="0" fontId="1" fillId="8845" borderId="0" xfId="4" applyFill="1" applyAlignment="1">
      <alignment horizontal="center" vertical="center"/>
    </xf>
    <xf numFmtId="0" fontId="1" fillId="8846" borderId="0" xfId="4" applyFill="1" applyAlignment="1">
      <alignment horizontal="center" vertical="center"/>
    </xf>
    <xf numFmtId="0" fontId="1" fillId="8847" borderId="0" xfId="4" applyFill="1" applyAlignment="1">
      <alignment horizontal="center" vertical="center"/>
    </xf>
    <xf numFmtId="0" fontId="1" fillId="8848" borderId="0" xfId="4" applyFill="1" applyAlignment="1">
      <alignment horizontal="center" vertical="center"/>
    </xf>
    <xf numFmtId="0" fontId="1" fillId="8849" borderId="0" xfId="4" applyFill="1" applyAlignment="1">
      <alignment horizontal="center" vertical="center"/>
    </xf>
    <xf numFmtId="0" fontId="1" fillId="8850" borderId="0" xfId="4" applyFill="1" applyAlignment="1">
      <alignment horizontal="center" vertical="center"/>
    </xf>
    <xf numFmtId="0" fontId="1" fillId="8851" borderId="0" xfId="4" applyFill="1" applyAlignment="1">
      <alignment horizontal="center" vertical="center"/>
    </xf>
    <xf numFmtId="0" fontId="1" fillId="8852" borderId="0" xfId="4" applyFill="1" applyAlignment="1">
      <alignment horizontal="center" vertical="center"/>
    </xf>
    <xf numFmtId="0" fontId="1" fillId="8853" borderId="0" xfId="4" applyFill="1" applyAlignment="1">
      <alignment horizontal="center" vertical="center"/>
    </xf>
    <xf numFmtId="0" fontId="1" fillId="8854" borderId="0" xfId="4" applyFill="1" applyAlignment="1">
      <alignment horizontal="center" vertical="center"/>
    </xf>
    <xf numFmtId="0" fontId="1" fillId="8855" borderId="0" xfId="4" applyFill="1" applyAlignment="1">
      <alignment horizontal="center" vertical="center"/>
    </xf>
    <xf numFmtId="0" fontId="1" fillId="8856" borderId="0" xfId="4" applyFill="1" applyAlignment="1">
      <alignment horizontal="center" vertical="center"/>
    </xf>
    <xf numFmtId="0" fontId="1" fillId="8857" borderId="0" xfId="4" applyFill="1" applyAlignment="1">
      <alignment horizontal="center" vertical="center"/>
    </xf>
    <xf numFmtId="0" fontId="1" fillId="8858" borderId="0" xfId="4" applyFill="1" applyAlignment="1">
      <alignment horizontal="center" vertical="center"/>
    </xf>
    <xf numFmtId="0" fontId="1" fillId="8859" borderId="0" xfId="4" applyFill="1" applyAlignment="1">
      <alignment horizontal="center" vertical="center"/>
    </xf>
    <xf numFmtId="0" fontId="1" fillId="8860" borderId="0" xfId="4" applyFill="1" applyAlignment="1">
      <alignment horizontal="center" vertical="center"/>
    </xf>
    <xf numFmtId="0" fontId="1" fillId="8861" borderId="0" xfId="4" applyFill="1" applyAlignment="1">
      <alignment horizontal="center" vertical="center"/>
    </xf>
    <xf numFmtId="0" fontId="1" fillId="8862" borderId="0" xfId="4" applyFill="1" applyAlignment="1">
      <alignment horizontal="center" vertical="center"/>
    </xf>
    <xf numFmtId="0" fontId="1" fillId="8863" borderId="0" xfId="4" applyFill="1" applyAlignment="1">
      <alignment horizontal="center" vertical="center"/>
    </xf>
    <xf numFmtId="0" fontId="1" fillId="8864" borderId="0" xfId="4" applyFill="1" applyAlignment="1">
      <alignment horizontal="left" vertical="center"/>
    </xf>
    <xf numFmtId="0" fontId="1" fillId="8865" borderId="0" xfId="4" applyFill="1" applyAlignment="1">
      <alignment horizontal="center" vertical="center"/>
    </xf>
    <xf numFmtId="0" fontId="1" fillId="8866" borderId="0" xfId="4" applyFill="1" applyAlignment="1">
      <alignment horizontal="center" vertical="center"/>
    </xf>
    <xf numFmtId="0" fontId="1" fillId="8867" borderId="0" xfId="4" applyFill="1" applyAlignment="1">
      <alignment horizontal="center" vertical="center"/>
    </xf>
    <xf numFmtId="0" fontId="1" fillId="8868" borderId="0" xfId="4" applyFill="1" applyAlignment="1">
      <alignment horizontal="center" vertical="center"/>
    </xf>
    <xf numFmtId="0" fontId="1" fillId="8869" borderId="0" xfId="4" applyFill="1" applyAlignment="1">
      <alignment horizontal="center" vertical="center"/>
    </xf>
    <xf numFmtId="0" fontId="1" fillId="8870" borderId="0" xfId="4" applyFill="1" applyAlignment="1">
      <alignment horizontal="center" vertical="center"/>
    </xf>
    <xf numFmtId="0" fontId="1" fillId="8871" borderId="0" xfId="4" applyFill="1" applyAlignment="1">
      <alignment horizontal="center" vertical="center"/>
    </xf>
    <xf numFmtId="0" fontId="1" fillId="8872" borderId="0" xfId="4" applyFill="1" applyAlignment="1">
      <alignment horizontal="center" vertical="center"/>
    </xf>
    <xf numFmtId="0" fontId="1" fillId="8873" borderId="0" xfId="4" applyFill="1" applyAlignment="1">
      <alignment horizontal="center" vertical="center"/>
    </xf>
    <xf numFmtId="0" fontId="1" fillId="8874" borderId="0" xfId="4" applyFill="1" applyAlignment="1">
      <alignment horizontal="center" vertical="center"/>
    </xf>
    <xf numFmtId="0" fontId="1" fillId="8875" borderId="0" xfId="4" applyFill="1" applyAlignment="1">
      <alignment horizontal="center" vertical="center"/>
    </xf>
    <xf numFmtId="0" fontId="1" fillId="8876" borderId="0" xfId="4" applyFill="1" applyAlignment="1">
      <alignment horizontal="center" vertical="center"/>
    </xf>
    <xf numFmtId="0" fontId="1" fillId="8877" borderId="0" xfId="4" applyFill="1" applyAlignment="1">
      <alignment horizontal="center" vertical="center"/>
    </xf>
    <xf numFmtId="0" fontId="1" fillId="8878" borderId="0" xfId="4" applyFill="1" applyAlignment="1">
      <alignment horizontal="center" vertical="center"/>
    </xf>
    <xf numFmtId="0" fontId="1" fillId="8879" borderId="0" xfId="4" applyFill="1" applyAlignment="1">
      <alignment horizontal="center" vertical="center"/>
    </xf>
    <xf numFmtId="0" fontId="1" fillId="8880" borderId="0" xfId="4" applyFill="1" applyAlignment="1">
      <alignment horizontal="center" vertical="center"/>
    </xf>
    <xf numFmtId="0" fontId="1" fillId="8881" borderId="0" xfId="4" applyFill="1" applyAlignment="1">
      <alignment horizontal="center" vertical="center"/>
    </xf>
    <xf numFmtId="0" fontId="1" fillId="8882" borderId="0" xfId="4" applyFill="1" applyAlignment="1">
      <alignment horizontal="center" vertical="center"/>
    </xf>
    <xf numFmtId="0" fontId="1" fillId="8883" borderId="0" xfId="4" applyFill="1" applyAlignment="1">
      <alignment horizontal="center" vertical="center"/>
    </xf>
    <xf numFmtId="0" fontId="1" fillId="8884" borderId="0" xfId="4" applyFill="1" applyAlignment="1">
      <alignment horizontal="center" vertical="center"/>
    </xf>
    <xf numFmtId="0" fontId="1" fillId="8885" borderId="0" xfId="4" applyFill="1" applyAlignment="1">
      <alignment horizontal="center" vertical="center"/>
    </xf>
    <xf numFmtId="0" fontId="1" fillId="8886" borderId="0" xfId="4" applyFill="1" applyAlignment="1">
      <alignment horizontal="center" vertical="center"/>
    </xf>
    <xf numFmtId="0" fontId="1" fillId="8887" borderId="0" xfId="4" applyFill="1" applyAlignment="1">
      <alignment horizontal="center" vertical="center"/>
    </xf>
    <xf numFmtId="0" fontId="1" fillId="8888" borderId="0" xfId="4" applyFill="1" applyAlignment="1">
      <alignment horizontal="center" vertical="center"/>
    </xf>
    <xf numFmtId="0" fontId="1" fillId="8889" borderId="0" xfId="4" applyFill="1" applyAlignment="1">
      <alignment horizontal="center" vertical="center"/>
    </xf>
    <xf numFmtId="0" fontId="1" fillId="8890" borderId="0" xfId="4" applyFill="1" applyAlignment="1">
      <alignment horizontal="center" vertical="center"/>
    </xf>
    <xf numFmtId="0" fontId="1" fillId="8891" borderId="0" xfId="4" applyFill="1" applyAlignment="1">
      <alignment horizontal="center" vertical="center"/>
    </xf>
    <xf numFmtId="0" fontId="1" fillId="8892" borderId="0" xfId="4" applyFill="1" applyAlignment="1">
      <alignment horizontal="center" vertical="center"/>
    </xf>
    <xf numFmtId="0" fontId="1" fillId="8893" borderId="0" xfId="4" applyFill="1" applyAlignment="1">
      <alignment horizontal="center" vertical="center"/>
    </xf>
    <xf numFmtId="0" fontId="1" fillId="8894" borderId="0" xfId="4" applyFill="1" applyAlignment="1">
      <alignment horizontal="center" vertical="center"/>
    </xf>
    <xf numFmtId="0" fontId="1" fillId="8895" borderId="0" xfId="4" applyFill="1" applyAlignment="1">
      <alignment horizontal="center" vertical="center"/>
    </xf>
    <xf numFmtId="0" fontId="1" fillId="8896" borderId="0" xfId="4" applyFill="1" applyAlignment="1">
      <alignment horizontal="center" vertical="center"/>
    </xf>
    <xf numFmtId="0" fontId="1" fillId="8897" borderId="0" xfId="4" applyFill="1" applyAlignment="1">
      <alignment horizontal="center" vertical="center"/>
    </xf>
    <xf numFmtId="0" fontId="1" fillId="8898" borderId="0" xfId="4" applyFill="1" applyAlignment="1">
      <alignment horizontal="center" vertical="center"/>
    </xf>
    <xf numFmtId="0" fontId="1" fillId="8899" borderId="0" xfId="4" applyFill="1" applyAlignment="1">
      <alignment horizontal="center" vertical="center"/>
    </xf>
    <xf numFmtId="0" fontId="1" fillId="8900" borderId="0" xfId="4" applyFill="1" applyAlignment="1">
      <alignment horizontal="center" vertical="center"/>
    </xf>
    <xf numFmtId="0" fontId="1" fillId="8901" borderId="0" xfId="4" applyFill="1" applyAlignment="1">
      <alignment horizontal="center" vertical="center"/>
    </xf>
    <xf numFmtId="0" fontId="1" fillId="8902" borderId="0" xfId="4" applyFill="1" applyAlignment="1">
      <alignment horizontal="center" vertical="center"/>
    </xf>
    <xf numFmtId="0" fontId="1" fillId="8903" borderId="0" xfId="4" applyFill="1" applyAlignment="1">
      <alignment horizontal="center" vertical="center"/>
    </xf>
    <xf numFmtId="0" fontId="1" fillId="8904" borderId="0" xfId="4" applyFill="1" applyAlignment="1">
      <alignment horizontal="center" vertical="center"/>
    </xf>
    <xf numFmtId="0" fontId="1" fillId="8905" borderId="0" xfId="4" applyFill="1" applyAlignment="1">
      <alignment horizontal="center" vertical="center"/>
    </xf>
    <xf numFmtId="0" fontId="1" fillId="8906" borderId="0" xfId="4" applyFill="1" applyAlignment="1">
      <alignment horizontal="center" vertical="center"/>
    </xf>
    <xf numFmtId="0" fontId="1" fillId="8907" borderId="0" xfId="4" applyFill="1" applyAlignment="1">
      <alignment horizontal="center" vertical="center"/>
    </xf>
    <xf numFmtId="0" fontId="1" fillId="8908" borderId="0" xfId="4" applyFill="1" applyAlignment="1">
      <alignment horizontal="center" vertical="center"/>
    </xf>
    <xf numFmtId="0" fontId="1" fillId="8909" borderId="0" xfId="4" applyFill="1" applyAlignment="1">
      <alignment horizontal="center" vertical="center"/>
    </xf>
    <xf numFmtId="0" fontId="1" fillId="8910" borderId="0" xfId="4" applyFill="1" applyAlignment="1">
      <alignment horizontal="center" vertical="center"/>
    </xf>
    <xf numFmtId="0" fontId="1" fillId="8911" borderId="0" xfId="4" applyFill="1" applyAlignment="1">
      <alignment horizontal="center" vertical="center"/>
    </xf>
    <xf numFmtId="0" fontId="1" fillId="8912" borderId="0" xfId="4" applyFill="1" applyAlignment="1">
      <alignment horizontal="center" vertical="center"/>
    </xf>
    <xf numFmtId="0" fontId="1" fillId="8913" borderId="0" xfId="4" applyFill="1" applyAlignment="1">
      <alignment horizontal="center" vertical="center"/>
    </xf>
    <xf numFmtId="0" fontId="1" fillId="8914" borderId="0" xfId="4" applyFill="1" applyAlignment="1">
      <alignment horizontal="center" vertical="center"/>
    </xf>
    <xf numFmtId="0" fontId="1" fillId="8915" borderId="0" xfId="4" applyFill="1" applyAlignment="1">
      <alignment horizontal="center" vertical="center"/>
    </xf>
    <xf numFmtId="0" fontId="1" fillId="8916" borderId="0" xfId="4" applyFill="1" applyAlignment="1">
      <alignment horizontal="center" vertical="center"/>
    </xf>
    <xf numFmtId="0" fontId="1" fillId="8917" borderId="0" xfId="4" applyFill="1" applyAlignment="1">
      <alignment horizontal="center" vertical="center"/>
    </xf>
    <xf numFmtId="0" fontId="1" fillId="8918" borderId="0" xfId="4" applyFill="1" applyAlignment="1">
      <alignment horizontal="center" vertical="center"/>
    </xf>
    <xf numFmtId="0" fontId="1" fillId="8919" borderId="0" xfId="4" applyFill="1" applyAlignment="1">
      <alignment horizontal="left" vertical="center"/>
    </xf>
    <xf numFmtId="0" fontId="1" fillId="8920" borderId="0" xfId="4" applyFill="1" applyAlignment="1">
      <alignment horizontal="center" vertical="center"/>
    </xf>
    <xf numFmtId="0" fontId="1" fillId="8921" borderId="0" xfId="4" applyFill="1" applyAlignment="1">
      <alignment horizontal="center" vertical="center"/>
    </xf>
    <xf numFmtId="0" fontId="1" fillId="8922" borderId="0" xfId="4" applyFill="1" applyAlignment="1">
      <alignment horizontal="center" vertical="center"/>
    </xf>
    <xf numFmtId="0" fontId="1" fillId="8923" borderId="0" xfId="4" applyFill="1" applyAlignment="1">
      <alignment horizontal="center" vertical="center"/>
    </xf>
    <xf numFmtId="0" fontId="1" fillId="8924" borderId="0" xfId="4" applyFill="1" applyAlignment="1">
      <alignment horizontal="center" vertical="center"/>
    </xf>
    <xf numFmtId="0" fontId="1" fillId="8925" borderId="0" xfId="4" applyFill="1" applyAlignment="1">
      <alignment horizontal="center" vertical="center"/>
    </xf>
    <xf numFmtId="0" fontId="1" fillId="8926" borderId="0" xfId="4" applyFill="1" applyAlignment="1">
      <alignment horizontal="center" vertical="center"/>
    </xf>
    <xf numFmtId="0" fontId="1" fillId="8927" borderId="0" xfId="4" applyFill="1" applyAlignment="1">
      <alignment horizontal="center" vertical="center"/>
    </xf>
    <xf numFmtId="0" fontId="1" fillId="8928" borderId="0" xfId="4" applyFill="1" applyAlignment="1">
      <alignment horizontal="center" vertical="center"/>
    </xf>
    <xf numFmtId="0" fontId="1" fillId="8929" borderId="0" xfId="4" applyFill="1" applyAlignment="1">
      <alignment horizontal="center" vertical="center"/>
    </xf>
    <xf numFmtId="0" fontId="1" fillId="8930" borderId="0" xfId="4" applyFill="1" applyAlignment="1">
      <alignment horizontal="center" vertical="center"/>
    </xf>
    <xf numFmtId="0" fontId="1" fillId="8931" borderId="0" xfId="4" applyFill="1" applyAlignment="1">
      <alignment horizontal="center" vertical="center"/>
    </xf>
    <xf numFmtId="0" fontId="1" fillId="8932" borderId="0" xfId="4" applyFill="1" applyAlignment="1">
      <alignment horizontal="center" vertical="center"/>
    </xf>
    <xf numFmtId="0" fontId="1" fillId="8933" borderId="0" xfId="4" applyFill="1" applyAlignment="1">
      <alignment horizontal="center" vertical="center"/>
    </xf>
    <xf numFmtId="0" fontId="1" fillId="8934" borderId="0" xfId="4" applyFill="1" applyAlignment="1">
      <alignment horizontal="center" vertical="center"/>
    </xf>
    <xf numFmtId="0" fontId="1" fillId="8935" borderId="0" xfId="4" applyFill="1" applyAlignment="1">
      <alignment horizontal="center" vertical="center"/>
    </xf>
    <xf numFmtId="0" fontId="1" fillId="8936" borderId="0" xfId="4" applyFill="1" applyAlignment="1">
      <alignment horizontal="center" vertical="center"/>
    </xf>
    <xf numFmtId="0" fontId="1" fillId="8937" borderId="0" xfId="4" applyFill="1" applyAlignment="1">
      <alignment horizontal="center" vertical="center"/>
    </xf>
    <xf numFmtId="0" fontId="1" fillId="8938" borderId="0" xfId="4" applyFill="1" applyAlignment="1">
      <alignment horizontal="center" vertical="center"/>
    </xf>
    <xf numFmtId="0" fontId="1" fillId="8939" borderId="0" xfId="4" applyFill="1" applyAlignment="1">
      <alignment horizontal="center" vertical="center"/>
    </xf>
    <xf numFmtId="0" fontId="1" fillId="8940" borderId="0" xfId="4" applyFill="1" applyAlignment="1">
      <alignment horizontal="center" vertical="center"/>
    </xf>
    <xf numFmtId="0" fontId="1" fillId="8941" borderId="0" xfId="4" applyFill="1" applyAlignment="1">
      <alignment horizontal="center" vertical="center"/>
    </xf>
    <xf numFmtId="0" fontId="1" fillId="8942" borderId="0" xfId="4" applyFill="1" applyAlignment="1">
      <alignment horizontal="center" vertical="center"/>
    </xf>
    <xf numFmtId="0" fontId="1" fillId="8943" borderId="0" xfId="4" applyFill="1" applyAlignment="1">
      <alignment horizontal="center" vertical="center"/>
    </xf>
    <xf numFmtId="0" fontId="1" fillId="8944" borderId="0" xfId="4" applyFill="1" applyAlignment="1">
      <alignment horizontal="center" vertical="center"/>
    </xf>
    <xf numFmtId="0" fontId="1" fillId="8945" borderId="0" xfId="4" applyFill="1" applyAlignment="1">
      <alignment horizontal="center" vertical="center"/>
    </xf>
    <xf numFmtId="0" fontId="1" fillId="8946" borderId="0" xfId="4" applyFill="1" applyAlignment="1">
      <alignment horizontal="center" vertical="center"/>
    </xf>
    <xf numFmtId="0" fontId="1" fillId="8947" borderId="0" xfId="4" applyFill="1" applyAlignment="1">
      <alignment horizontal="center" vertical="center"/>
    </xf>
    <xf numFmtId="0" fontId="1" fillId="8948" borderId="0" xfId="4" applyFill="1" applyAlignment="1">
      <alignment horizontal="left" vertical="center"/>
    </xf>
    <xf numFmtId="0" fontId="1" fillId="8949" borderId="0" xfId="4" applyFill="1" applyAlignment="1">
      <alignment horizontal="center" vertical="center"/>
    </xf>
    <xf numFmtId="0" fontId="1" fillId="8950" borderId="0" xfId="4" applyFill="1" applyAlignment="1">
      <alignment horizontal="center" vertical="center"/>
    </xf>
    <xf numFmtId="0" fontId="1" fillId="8951" borderId="0" xfId="4" applyFill="1" applyAlignment="1">
      <alignment horizontal="center" vertical="center"/>
    </xf>
    <xf numFmtId="0" fontId="1" fillId="8952" borderId="0" xfId="4" applyFill="1" applyAlignment="1">
      <alignment horizontal="center" vertical="center"/>
    </xf>
    <xf numFmtId="0" fontId="1" fillId="8953" borderId="0" xfId="4" applyFill="1" applyAlignment="1">
      <alignment horizontal="center" vertical="center"/>
    </xf>
    <xf numFmtId="0" fontId="1" fillId="8954" borderId="0" xfId="4" applyFill="1" applyAlignment="1">
      <alignment horizontal="center" vertical="center"/>
    </xf>
    <xf numFmtId="0" fontId="1" fillId="8955" borderId="0" xfId="4" applyFill="1" applyAlignment="1">
      <alignment horizontal="center" vertical="center"/>
    </xf>
    <xf numFmtId="0" fontId="1" fillId="8956" borderId="0" xfId="4" applyFill="1" applyAlignment="1">
      <alignment horizontal="center" vertical="center"/>
    </xf>
    <xf numFmtId="0" fontId="1" fillId="8957" borderId="0" xfId="4" applyFill="1" applyAlignment="1">
      <alignment horizontal="center" vertical="center"/>
    </xf>
    <xf numFmtId="0" fontId="1" fillId="8958" borderId="0" xfId="4" applyFill="1" applyAlignment="1">
      <alignment horizontal="center" vertical="center"/>
    </xf>
    <xf numFmtId="0" fontId="1" fillId="8959" borderId="0" xfId="4" applyFill="1" applyAlignment="1">
      <alignment horizontal="center" vertical="center"/>
    </xf>
    <xf numFmtId="0" fontId="1" fillId="8960" borderId="0" xfId="4" applyFill="1" applyAlignment="1">
      <alignment horizontal="center" vertical="center"/>
    </xf>
    <xf numFmtId="0" fontId="1" fillId="8961" borderId="0" xfId="4" applyFill="1" applyAlignment="1">
      <alignment horizontal="center" vertical="center"/>
    </xf>
    <xf numFmtId="0" fontId="1" fillId="8962" borderId="0" xfId="4" applyFill="1" applyAlignment="1">
      <alignment horizontal="center" vertical="center"/>
    </xf>
    <xf numFmtId="0" fontId="1" fillId="8963" borderId="0" xfId="4" applyFill="1" applyAlignment="1">
      <alignment horizontal="center" vertical="center"/>
    </xf>
    <xf numFmtId="0" fontId="1" fillId="8964" borderId="0" xfId="4" applyFill="1" applyAlignment="1">
      <alignment horizontal="center" vertical="center"/>
    </xf>
    <xf numFmtId="0" fontId="1" fillId="8965" borderId="0" xfId="4" applyFill="1" applyAlignment="1">
      <alignment horizontal="center" vertical="center"/>
    </xf>
    <xf numFmtId="0" fontId="1" fillId="8966" borderId="0" xfId="4" applyFill="1" applyAlignment="1">
      <alignment horizontal="center" vertical="center"/>
    </xf>
    <xf numFmtId="0" fontId="1" fillId="8967" borderId="0" xfId="4" applyFill="1" applyAlignment="1">
      <alignment horizontal="center" vertical="center"/>
    </xf>
    <xf numFmtId="0" fontId="1" fillId="8968" borderId="0" xfId="4" applyFill="1" applyAlignment="1">
      <alignment horizontal="center" vertical="center"/>
    </xf>
    <xf numFmtId="0" fontId="1" fillId="8969" borderId="0" xfId="4" applyFill="1" applyAlignment="1">
      <alignment horizontal="center" vertical="center"/>
    </xf>
    <xf numFmtId="0" fontId="1" fillId="8970" borderId="0" xfId="4" applyFill="1" applyAlignment="1">
      <alignment horizontal="center" vertical="center"/>
    </xf>
    <xf numFmtId="0" fontId="1" fillId="8971" borderId="0" xfId="4" applyFill="1" applyAlignment="1">
      <alignment horizontal="center" vertical="center"/>
    </xf>
    <xf numFmtId="0" fontId="1" fillId="8972" borderId="0" xfId="4" applyFill="1" applyAlignment="1">
      <alignment horizontal="center" vertical="center"/>
    </xf>
    <xf numFmtId="0" fontId="1" fillId="8973" borderId="0" xfId="4" applyFill="1" applyAlignment="1">
      <alignment horizontal="center" vertical="center"/>
    </xf>
    <xf numFmtId="0" fontId="1" fillId="8974" borderId="0" xfId="4" applyFill="1" applyAlignment="1">
      <alignment horizontal="center" vertical="center"/>
    </xf>
    <xf numFmtId="0" fontId="1" fillId="8975" borderId="0" xfId="4" applyFill="1" applyAlignment="1">
      <alignment horizontal="center" vertical="center"/>
    </xf>
    <xf numFmtId="0" fontId="1" fillId="8976" borderId="0" xfId="4" applyFill="1" applyAlignment="1">
      <alignment horizontal="center" vertical="center"/>
    </xf>
    <xf numFmtId="0" fontId="1" fillId="8977" borderId="0" xfId="4" applyFill="1" applyAlignment="1">
      <alignment horizontal="center" vertical="center"/>
    </xf>
    <xf numFmtId="0" fontId="1" fillId="8978" borderId="0" xfId="4" applyFill="1" applyAlignment="1">
      <alignment horizontal="center" vertical="center"/>
    </xf>
    <xf numFmtId="0" fontId="1" fillId="8979" borderId="0" xfId="4" applyFill="1" applyAlignment="1">
      <alignment horizontal="center" vertical="center"/>
    </xf>
    <xf numFmtId="0" fontId="1" fillId="8980" borderId="0" xfId="4" applyFill="1" applyAlignment="1">
      <alignment horizontal="center" vertical="center"/>
    </xf>
    <xf numFmtId="0" fontId="1" fillId="8981" borderId="0" xfId="4" applyFill="1" applyAlignment="1">
      <alignment horizontal="center" vertical="center"/>
    </xf>
    <xf numFmtId="0" fontId="1" fillId="8982" borderId="0" xfId="4" applyFill="1" applyAlignment="1">
      <alignment horizontal="center" vertical="center"/>
    </xf>
    <xf numFmtId="0" fontId="1" fillId="8983" borderId="0" xfId="4" applyFill="1" applyAlignment="1">
      <alignment horizontal="center" vertical="center"/>
    </xf>
    <xf numFmtId="0" fontId="1" fillId="8984" borderId="0" xfId="4" applyFill="1" applyAlignment="1">
      <alignment horizontal="center" vertical="center"/>
    </xf>
    <xf numFmtId="0" fontId="1" fillId="8985" borderId="0" xfId="4" applyFill="1" applyAlignment="1">
      <alignment horizontal="center" vertical="center"/>
    </xf>
    <xf numFmtId="0" fontId="1" fillId="8986" borderId="0" xfId="4" applyFill="1" applyAlignment="1">
      <alignment horizontal="center" vertical="center"/>
    </xf>
    <xf numFmtId="0" fontId="1" fillId="8987" borderId="0" xfId="4" applyFill="1" applyAlignment="1">
      <alignment horizontal="center" vertical="center"/>
    </xf>
    <xf numFmtId="0" fontId="1" fillId="8988" borderId="0" xfId="4" applyFill="1" applyAlignment="1">
      <alignment horizontal="center" vertical="center"/>
    </xf>
    <xf numFmtId="0" fontId="1" fillId="8989" borderId="0" xfId="4" applyFill="1" applyAlignment="1">
      <alignment horizontal="center" vertical="center"/>
    </xf>
    <xf numFmtId="0" fontId="1" fillId="8990" borderId="0" xfId="4" applyFill="1" applyAlignment="1">
      <alignment horizontal="center" vertical="center"/>
    </xf>
    <xf numFmtId="0" fontId="1" fillId="8991" borderId="0" xfId="4" applyFill="1" applyAlignment="1">
      <alignment horizontal="center" vertical="center"/>
    </xf>
    <xf numFmtId="0" fontId="1" fillId="8992" borderId="0" xfId="4" applyFill="1" applyAlignment="1">
      <alignment horizontal="center" vertical="center"/>
    </xf>
    <xf numFmtId="0" fontId="1" fillId="8993" borderId="0" xfId="4" applyFill="1" applyAlignment="1">
      <alignment horizontal="center" vertical="center"/>
    </xf>
    <xf numFmtId="0" fontId="1" fillId="8994" borderId="0" xfId="4" applyFill="1" applyAlignment="1">
      <alignment horizontal="center" vertical="center"/>
    </xf>
    <xf numFmtId="0" fontId="1" fillId="8995" borderId="0" xfId="4" applyFill="1" applyAlignment="1">
      <alignment horizontal="center" vertical="center"/>
    </xf>
    <xf numFmtId="0" fontId="1" fillId="8996" borderId="0" xfId="4" applyFill="1" applyAlignment="1">
      <alignment horizontal="center" vertical="center"/>
    </xf>
    <xf numFmtId="0" fontId="1" fillId="8997" borderId="0" xfId="4" applyFill="1" applyAlignment="1">
      <alignment horizontal="center" vertical="center"/>
    </xf>
    <xf numFmtId="0" fontId="1" fillId="8998" borderId="0" xfId="4" applyFill="1" applyAlignment="1">
      <alignment horizontal="center" vertical="center"/>
    </xf>
    <xf numFmtId="0" fontId="1" fillId="8999" borderId="0" xfId="4" applyFill="1" applyAlignment="1">
      <alignment horizontal="center" vertical="center"/>
    </xf>
    <xf numFmtId="0" fontId="1" fillId="9000" borderId="0" xfId="4" applyFill="1" applyAlignment="1">
      <alignment horizontal="center" vertical="center"/>
    </xf>
    <xf numFmtId="0" fontId="1" fillId="9001" borderId="0" xfId="4" applyFill="1" applyAlignment="1">
      <alignment horizontal="left" vertical="center"/>
    </xf>
    <xf numFmtId="0" fontId="1" fillId="9002" borderId="0" xfId="4" applyFill="1" applyAlignment="1">
      <alignment horizontal="center" vertical="center"/>
    </xf>
    <xf numFmtId="0" fontId="1" fillId="9003" borderId="0" xfId="4" applyFill="1" applyAlignment="1">
      <alignment horizontal="center" vertical="center"/>
    </xf>
    <xf numFmtId="0" fontId="1" fillId="9004" borderId="0" xfId="4" applyFill="1" applyAlignment="1">
      <alignment horizontal="center" vertical="center"/>
    </xf>
    <xf numFmtId="0" fontId="1" fillId="9005" borderId="0" xfId="4" applyFill="1" applyAlignment="1">
      <alignment horizontal="center" vertical="center"/>
    </xf>
    <xf numFmtId="0" fontId="1" fillId="9006" borderId="0" xfId="4" applyFill="1" applyAlignment="1">
      <alignment horizontal="center" vertical="center"/>
    </xf>
    <xf numFmtId="0" fontId="1" fillId="9007" borderId="0" xfId="4" applyFill="1" applyAlignment="1">
      <alignment horizontal="center" vertical="center"/>
    </xf>
    <xf numFmtId="0" fontId="1" fillId="9008" borderId="0" xfId="4" applyFill="1" applyAlignment="1">
      <alignment horizontal="center" vertical="center"/>
    </xf>
    <xf numFmtId="0" fontId="1" fillId="9009" borderId="0" xfId="4" applyFill="1" applyAlignment="1">
      <alignment horizontal="center" vertical="center"/>
    </xf>
    <xf numFmtId="0" fontId="1" fillId="9010" borderId="0" xfId="4" applyFill="1" applyAlignment="1">
      <alignment horizontal="center" vertical="center"/>
    </xf>
    <xf numFmtId="0" fontId="1" fillId="9011" borderId="0" xfId="4" applyFill="1" applyAlignment="1">
      <alignment horizontal="center" vertical="center"/>
    </xf>
    <xf numFmtId="0" fontId="1" fillId="9012" borderId="0" xfId="4" applyFill="1" applyAlignment="1">
      <alignment horizontal="center" vertical="center"/>
    </xf>
    <xf numFmtId="0" fontId="1" fillId="9013" borderId="0" xfId="4" applyFill="1" applyAlignment="1">
      <alignment horizontal="center" vertical="center"/>
    </xf>
    <xf numFmtId="0" fontId="1" fillId="9014" borderId="0" xfId="4" applyFill="1" applyAlignment="1">
      <alignment horizontal="center" vertical="center"/>
    </xf>
    <xf numFmtId="0" fontId="1" fillId="9015" borderId="0" xfId="4" applyFill="1" applyAlignment="1">
      <alignment horizontal="center" vertical="center"/>
    </xf>
    <xf numFmtId="0" fontId="1" fillId="9016" borderId="0" xfId="4" applyFill="1" applyAlignment="1">
      <alignment horizontal="center" vertical="center"/>
    </xf>
    <xf numFmtId="0" fontId="1" fillId="9017" borderId="0" xfId="4" applyFill="1" applyAlignment="1">
      <alignment horizontal="center" vertical="center"/>
    </xf>
    <xf numFmtId="0" fontId="1" fillId="9018" borderId="0" xfId="4" applyFill="1" applyAlignment="1">
      <alignment horizontal="center" vertical="center"/>
    </xf>
    <xf numFmtId="0" fontId="1" fillId="9019" borderId="0" xfId="4" applyFill="1" applyAlignment="1">
      <alignment horizontal="center" vertical="center"/>
    </xf>
    <xf numFmtId="0" fontId="1" fillId="9020" borderId="0" xfId="4" applyFill="1" applyAlignment="1">
      <alignment horizontal="center" vertical="center"/>
    </xf>
    <xf numFmtId="0" fontId="1" fillId="9021" borderId="0" xfId="4" applyFill="1" applyAlignment="1">
      <alignment horizontal="center" vertical="center"/>
    </xf>
    <xf numFmtId="0" fontId="1" fillId="9022" borderId="0" xfId="4" applyFill="1" applyAlignment="1">
      <alignment horizontal="center" vertical="center"/>
    </xf>
    <xf numFmtId="0" fontId="1" fillId="9023" borderId="0" xfId="4" applyFill="1" applyAlignment="1">
      <alignment horizontal="center" vertical="center"/>
    </xf>
    <xf numFmtId="0" fontId="1" fillId="9024" borderId="0" xfId="4" applyFill="1" applyAlignment="1">
      <alignment horizontal="center" vertical="center"/>
    </xf>
    <xf numFmtId="0" fontId="1" fillId="9025" borderId="0" xfId="4" applyFill="1" applyAlignment="1">
      <alignment horizontal="left" vertical="center"/>
    </xf>
    <xf numFmtId="0" fontId="1" fillId="9026" borderId="0" xfId="4" applyFill="1" applyAlignment="1">
      <alignment horizontal="center" vertical="center"/>
    </xf>
    <xf numFmtId="0" fontId="1" fillId="9027" borderId="0" xfId="4" applyFill="1" applyAlignment="1">
      <alignment horizontal="center" vertical="center"/>
    </xf>
    <xf numFmtId="0" fontId="1" fillId="9028" borderId="0" xfId="4" applyFill="1" applyAlignment="1">
      <alignment horizontal="center" vertical="center"/>
    </xf>
    <xf numFmtId="0" fontId="1" fillId="9029" borderId="0" xfId="4" applyFill="1" applyAlignment="1">
      <alignment horizontal="center" vertical="center"/>
    </xf>
    <xf numFmtId="0" fontId="1" fillId="9030" borderId="0" xfId="4" applyFill="1" applyAlignment="1">
      <alignment horizontal="center" vertical="center"/>
    </xf>
    <xf numFmtId="0" fontId="1" fillId="9031" borderId="0" xfId="4" applyFill="1" applyAlignment="1">
      <alignment horizontal="center" vertical="center"/>
    </xf>
    <xf numFmtId="0" fontId="1" fillId="9032" borderId="0" xfId="4" applyFill="1" applyAlignment="1">
      <alignment horizontal="center" vertical="center"/>
    </xf>
    <xf numFmtId="0" fontId="1" fillId="9033" borderId="0" xfId="4" applyFill="1" applyAlignment="1">
      <alignment horizontal="center" vertical="center"/>
    </xf>
    <xf numFmtId="0" fontId="1" fillId="9034" borderId="0" xfId="4" applyFill="1" applyAlignment="1">
      <alignment horizontal="center" vertical="center"/>
    </xf>
    <xf numFmtId="0" fontId="1" fillId="9035" borderId="0" xfId="4" applyFill="1" applyAlignment="1">
      <alignment horizontal="center" vertical="center"/>
    </xf>
    <xf numFmtId="0" fontId="1" fillId="9036" borderId="0" xfId="4" applyFill="1" applyAlignment="1">
      <alignment horizontal="center" vertical="center"/>
    </xf>
    <xf numFmtId="0" fontId="1" fillId="9037" borderId="0" xfId="4" applyFill="1" applyAlignment="1">
      <alignment horizontal="center" vertical="center"/>
    </xf>
    <xf numFmtId="0" fontId="1" fillId="9038" borderId="0" xfId="4" applyFill="1" applyAlignment="1">
      <alignment horizontal="center" vertical="center"/>
    </xf>
    <xf numFmtId="0" fontId="1" fillId="9039" borderId="0" xfId="4" applyFill="1" applyAlignment="1">
      <alignment horizontal="center" vertical="center"/>
    </xf>
    <xf numFmtId="0" fontId="1" fillId="9040" borderId="0" xfId="4" applyFill="1" applyAlignment="1">
      <alignment horizontal="center" vertical="center"/>
    </xf>
    <xf numFmtId="0" fontId="1" fillId="9041" borderId="0" xfId="4" applyFill="1" applyAlignment="1">
      <alignment horizontal="center" vertical="center"/>
    </xf>
    <xf numFmtId="0" fontId="1" fillId="9042" borderId="0" xfId="4" applyFill="1" applyAlignment="1">
      <alignment horizontal="center" vertical="center"/>
    </xf>
    <xf numFmtId="0" fontId="1" fillId="9043" borderId="0" xfId="4" applyFill="1" applyAlignment="1">
      <alignment horizontal="center" vertical="center"/>
    </xf>
    <xf numFmtId="0" fontId="1" fillId="9044" borderId="0" xfId="4" applyFill="1" applyAlignment="1">
      <alignment horizontal="center" vertical="center"/>
    </xf>
    <xf numFmtId="0" fontId="1" fillId="9045" borderId="0" xfId="4" applyFill="1" applyAlignment="1">
      <alignment horizontal="center" vertical="center"/>
    </xf>
    <xf numFmtId="0" fontId="1" fillId="9046" borderId="0" xfId="4" applyFill="1" applyAlignment="1">
      <alignment horizontal="center" vertical="center"/>
    </xf>
    <xf numFmtId="0" fontId="1" fillId="9047" borderId="0" xfId="4" applyFill="1" applyAlignment="1">
      <alignment horizontal="center" vertical="center"/>
    </xf>
    <xf numFmtId="0" fontId="1" fillId="9048" borderId="0" xfId="4" applyFill="1" applyAlignment="1">
      <alignment horizontal="center" vertical="center"/>
    </xf>
    <xf numFmtId="0" fontId="1" fillId="9049" borderId="0" xfId="4" applyFill="1" applyAlignment="1">
      <alignment horizontal="center" vertical="center"/>
    </xf>
    <xf numFmtId="0" fontId="1" fillId="9050" borderId="0" xfId="4" applyFill="1" applyAlignment="1">
      <alignment horizontal="center" vertical="center"/>
    </xf>
    <xf numFmtId="0" fontId="1" fillId="9051" borderId="0" xfId="4" applyFill="1" applyAlignment="1">
      <alignment horizontal="center" vertical="center"/>
    </xf>
    <xf numFmtId="0" fontId="1" fillId="9052" borderId="0" xfId="4" applyFill="1" applyAlignment="1">
      <alignment horizontal="center" vertical="center"/>
    </xf>
    <xf numFmtId="0" fontId="1" fillId="9053" borderId="0" xfId="4" applyFill="1" applyAlignment="1">
      <alignment horizontal="center" vertical="center"/>
    </xf>
    <xf numFmtId="0" fontId="1" fillId="9054" borderId="0" xfId="4" applyFill="1" applyAlignment="1">
      <alignment horizontal="center" vertical="center"/>
    </xf>
    <xf numFmtId="0" fontId="1" fillId="9055" borderId="0" xfId="4" applyFill="1" applyAlignment="1">
      <alignment horizontal="center" vertical="center"/>
    </xf>
    <xf numFmtId="0" fontId="1" fillId="9056" borderId="0" xfId="4" applyFill="1" applyAlignment="1">
      <alignment horizontal="center" vertical="center"/>
    </xf>
    <xf numFmtId="0" fontId="1" fillId="9057" borderId="0" xfId="4" applyFill="1" applyAlignment="1">
      <alignment horizontal="center" vertical="center"/>
    </xf>
    <xf numFmtId="0" fontId="1" fillId="9058" borderId="0" xfId="4" applyFill="1" applyAlignment="1">
      <alignment horizontal="center" vertical="center"/>
    </xf>
    <xf numFmtId="0" fontId="1" fillId="9059" borderId="0" xfId="4" applyFill="1" applyAlignment="1">
      <alignment horizontal="center" vertical="center"/>
    </xf>
    <xf numFmtId="0" fontId="1" fillId="9060" borderId="0" xfId="4" applyFill="1" applyAlignment="1">
      <alignment horizontal="center" vertical="center"/>
    </xf>
    <xf numFmtId="0" fontId="1" fillId="9061" borderId="0" xfId="4" applyFill="1" applyAlignment="1">
      <alignment horizontal="center" vertical="center"/>
    </xf>
    <xf numFmtId="0" fontId="1" fillId="9062" borderId="0" xfId="4" applyFill="1" applyAlignment="1">
      <alignment horizontal="center" vertical="center"/>
    </xf>
    <xf numFmtId="0" fontId="1" fillId="9063" borderId="0" xfId="4" applyFill="1" applyAlignment="1">
      <alignment horizontal="center" vertical="center"/>
    </xf>
    <xf numFmtId="0" fontId="1" fillId="9064" borderId="0" xfId="4" applyFill="1" applyAlignment="1">
      <alignment horizontal="center" vertical="center"/>
    </xf>
    <xf numFmtId="0" fontId="1" fillId="9065" borderId="0" xfId="4" applyFill="1" applyAlignment="1">
      <alignment horizontal="center" vertical="center"/>
    </xf>
    <xf numFmtId="0" fontId="1" fillId="9066" borderId="0" xfId="4" applyFill="1" applyAlignment="1">
      <alignment horizontal="center" vertical="center"/>
    </xf>
    <xf numFmtId="0" fontId="1" fillId="9067" borderId="0" xfId="4" applyFill="1" applyAlignment="1">
      <alignment horizontal="center" vertical="center"/>
    </xf>
    <xf numFmtId="0" fontId="1" fillId="9068" borderId="0" xfId="4" applyFill="1" applyAlignment="1">
      <alignment horizontal="center" vertical="center"/>
    </xf>
    <xf numFmtId="0" fontId="1" fillId="9069" borderId="0" xfId="4" applyFill="1" applyAlignment="1">
      <alignment horizontal="center" vertical="center"/>
    </xf>
    <xf numFmtId="0" fontId="1" fillId="9070" borderId="0" xfId="4" applyFill="1" applyAlignment="1">
      <alignment horizontal="center" vertical="center"/>
    </xf>
    <xf numFmtId="0" fontId="1" fillId="9071" borderId="0" xfId="4" applyFill="1" applyAlignment="1">
      <alignment horizontal="center" vertical="center"/>
    </xf>
    <xf numFmtId="0" fontId="1" fillId="9072" borderId="0" xfId="4" applyFill="1" applyAlignment="1">
      <alignment horizontal="center" vertical="center"/>
    </xf>
    <xf numFmtId="0" fontId="1" fillId="9073" borderId="0" xfId="4" applyFill="1" applyAlignment="1">
      <alignment horizontal="center" vertical="center"/>
    </xf>
    <xf numFmtId="0" fontId="1" fillId="9074" borderId="0" xfId="4" applyFill="1" applyAlignment="1">
      <alignment horizontal="center" vertical="center"/>
    </xf>
    <xf numFmtId="0" fontId="1" fillId="9075" borderId="0" xfId="4" applyFill="1" applyAlignment="1">
      <alignment horizontal="center" vertical="center"/>
    </xf>
    <xf numFmtId="0" fontId="1" fillId="9076" borderId="0" xfId="4" applyFill="1" applyAlignment="1">
      <alignment horizontal="center" vertical="center"/>
    </xf>
    <xf numFmtId="0" fontId="1" fillId="9077" borderId="0" xfId="4" applyFill="1" applyAlignment="1">
      <alignment horizontal="center" vertical="center"/>
    </xf>
    <xf numFmtId="0" fontId="1" fillId="9078" borderId="0" xfId="4" applyFill="1" applyAlignment="1">
      <alignment horizontal="center" vertical="center"/>
    </xf>
    <xf numFmtId="0" fontId="1" fillId="9079" borderId="0" xfId="4" applyFill="1" applyAlignment="1">
      <alignment horizontal="center" vertical="center"/>
    </xf>
    <xf numFmtId="0" fontId="1" fillId="9080" borderId="0" xfId="4" applyFill="1" applyAlignment="1">
      <alignment horizontal="left" vertical="center"/>
    </xf>
    <xf numFmtId="0" fontId="1" fillId="9081" borderId="0" xfId="4" applyFill="1" applyAlignment="1">
      <alignment horizontal="center" vertical="center"/>
    </xf>
    <xf numFmtId="0" fontId="1" fillId="9082" borderId="0" xfId="4" applyFill="1" applyAlignment="1">
      <alignment horizontal="center" vertical="center"/>
    </xf>
    <xf numFmtId="0" fontId="1" fillId="9083" borderId="0" xfId="4" applyFill="1" applyAlignment="1">
      <alignment horizontal="center" vertical="center"/>
    </xf>
    <xf numFmtId="0" fontId="1" fillId="9084" borderId="0" xfId="4" applyFill="1" applyAlignment="1">
      <alignment horizontal="center" vertical="center"/>
    </xf>
    <xf numFmtId="0" fontId="1" fillId="9085" borderId="0" xfId="4" applyFill="1" applyAlignment="1">
      <alignment horizontal="center" vertical="center"/>
    </xf>
    <xf numFmtId="0" fontId="1" fillId="9086" borderId="0" xfId="4" applyFill="1" applyAlignment="1">
      <alignment horizontal="center" vertical="center"/>
    </xf>
    <xf numFmtId="0" fontId="1" fillId="9087" borderId="0" xfId="4" applyFill="1" applyAlignment="1">
      <alignment horizontal="center" vertical="center"/>
    </xf>
    <xf numFmtId="0" fontId="1" fillId="9088" borderId="0" xfId="4" applyFill="1" applyAlignment="1">
      <alignment horizontal="center" vertical="center"/>
    </xf>
    <xf numFmtId="0" fontId="1" fillId="9089" borderId="0" xfId="4" applyFill="1" applyAlignment="1">
      <alignment horizontal="center" vertical="center"/>
    </xf>
    <xf numFmtId="0" fontId="1" fillId="9090" borderId="0" xfId="4" applyFill="1" applyAlignment="1">
      <alignment horizontal="center" vertical="center"/>
    </xf>
    <xf numFmtId="0" fontId="1" fillId="9091" borderId="0" xfId="4" applyFill="1" applyAlignment="1">
      <alignment horizontal="center" vertical="center"/>
    </xf>
    <xf numFmtId="0" fontId="1" fillId="9092" borderId="0" xfId="4" applyFill="1" applyAlignment="1">
      <alignment horizontal="center" vertical="center"/>
    </xf>
    <xf numFmtId="0" fontId="1" fillId="9093" borderId="0" xfId="4" applyFill="1" applyAlignment="1">
      <alignment horizontal="center" vertical="center"/>
    </xf>
    <xf numFmtId="0" fontId="1" fillId="9094" borderId="0" xfId="4" applyFill="1" applyAlignment="1">
      <alignment horizontal="center" vertical="center"/>
    </xf>
    <xf numFmtId="0" fontId="1" fillId="9095" borderId="0" xfId="4" applyFill="1" applyAlignment="1">
      <alignment horizontal="center" vertical="center"/>
    </xf>
    <xf numFmtId="0" fontId="1" fillId="9096" borderId="0" xfId="4" applyFill="1" applyAlignment="1">
      <alignment horizontal="center" vertical="center"/>
    </xf>
    <xf numFmtId="0" fontId="1" fillId="9097" borderId="0" xfId="4" applyFill="1" applyAlignment="1">
      <alignment horizontal="center" vertical="center"/>
    </xf>
    <xf numFmtId="0" fontId="1" fillId="9098" borderId="0" xfId="4" applyFill="1" applyAlignment="1">
      <alignment horizontal="center" vertical="center"/>
    </xf>
    <xf numFmtId="0" fontId="1" fillId="9099" borderId="0" xfId="4" applyFill="1" applyAlignment="1">
      <alignment horizontal="center" vertical="center"/>
    </xf>
    <xf numFmtId="0" fontId="1" fillId="9100" borderId="0" xfId="4" applyFill="1" applyAlignment="1">
      <alignment horizontal="center" vertical="center"/>
    </xf>
    <xf numFmtId="0" fontId="1" fillId="9101" borderId="0" xfId="4" applyFill="1" applyAlignment="1">
      <alignment horizontal="center" vertical="center"/>
    </xf>
    <xf numFmtId="0" fontId="1" fillId="9102" borderId="0" xfId="4" applyFill="1" applyAlignment="1">
      <alignment horizontal="center" vertical="center"/>
    </xf>
    <xf numFmtId="0" fontId="1" fillId="9103" borderId="0" xfId="4" applyFill="1" applyAlignment="1">
      <alignment horizontal="center" vertical="center"/>
    </xf>
    <xf numFmtId="0" fontId="1" fillId="9104" borderId="0" xfId="4" applyFill="1" applyAlignment="1">
      <alignment horizontal="center" vertical="center"/>
    </xf>
    <xf numFmtId="0" fontId="1" fillId="9105" borderId="0" xfId="4" applyFill="1" applyAlignment="1">
      <alignment horizontal="center" vertical="center"/>
    </xf>
    <xf numFmtId="0" fontId="1" fillId="9106" borderId="0" xfId="4" applyFill="1" applyAlignment="1">
      <alignment horizontal="center" vertical="center"/>
    </xf>
    <xf numFmtId="0" fontId="1" fillId="9107" borderId="0" xfId="4" applyFill="1" applyAlignment="1">
      <alignment horizontal="center" vertical="center"/>
    </xf>
    <xf numFmtId="0" fontId="1" fillId="9108" borderId="0" xfId="4" applyFill="1" applyAlignment="1">
      <alignment horizontal="left" vertical="center"/>
    </xf>
    <xf numFmtId="0" fontId="1" fillId="9109" borderId="0" xfId="4" applyFill="1" applyAlignment="1">
      <alignment horizontal="center" vertical="center"/>
    </xf>
    <xf numFmtId="0" fontId="1" fillId="9110" borderId="0" xfId="4" applyFill="1" applyAlignment="1">
      <alignment horizontal="center" vertical="center"/>
    </xf>
    <xf numFmtId="0" fontId="1" fillId="9111" borderId="0" xfId="4" applyFill="1" applyAlignment="1">
      <alignment horizontal="center" vertical="center"/>
    </xf>
    <xf numFmtId="0" fontId="1" fillId="9112" borderId="0" xfId="4" applyFill="1" applyAlignment="1">
      <alignment horizontal="center" vertical="center"/>
    </xf>
    <xf numFmtId="0" fontId="1" fillId="9113" borderId="0" xfId="4" applyFill="1" applyAlignment="1">
      <alignment horizontal="center" vertical="center"/>
    </xf>
    <xf numFmtId="0" fontId="1" fillId="9114" borderId="0" xfId="4" applyFill="1" applyAlignment="1">
      <alignment horizontal="center" vertical="center"/>
    </xf>
    <xf numFmtId="0" fontId="1" fillId="9115" borderId="0" xfId="4" applyFill="1" applyAlignment="1">
      <alignment horizontal="center" vertical="center"/>
    </xf>
    <xf numFmtId="0" fontId="1" fillId="9116" borderId="0" xfId="4" applyFill="1" applyAlignment="1">
      <alignment horizontal="center" vertical="center"/>
    </xf>
    <xf numFmtId="0" fontId="1" fillId="9117" borderId="0" xfId="4" applyFill="1" applyAlignment="1">
      <alignment horizontal="center" vertical="center"/>
    </xf>
    <xf numFmtId="0" fontId="1" fillId="9118" borderId="0" xfId="4" applyFill="1" applyAlignment="1">
      <alignment horizontal="center" vertical="center"/>
    </xf>
    <xf numFmtId="0" fontId="1" fillId="9119" borderId="0" xfId="4" applyFill="1" applyAlignment="1">
      <alignment horizontal="center" vertical="center"/>
    </xf>
    <xf numFmtId="0" fontId="1" fillId="9120" borderId="0" xfId="4" applyFill="1" applyAlignment="1">
      <alignment horizontal="center" vertical="center"/>
    </xf>
    <xf numFmtId="0" fontId="1" fillId="9121" borderId="0" xfId="4" applyFill="1" applyAlignment="1">
      <alignment horizontal="center" vertical="center"/>
    </xf>
    <xf numFmtId="0" fontId="1" fillId="9122" borderId="0" xfId="4" applyFill="1" applyAlignment="1">
      <alignment horizontal="center" vertical="center"/>
    </xf>
    <xf numFmtId="0" fontId="1" fillId="9123" borderId="0" xfId="4" applyFill="1" applyAlignment="1">
      <alignment horizontal="center" vertical="center"/>
    </xf>
    <xf numFmtId="0" fontId="1" fillId="9124" borderId="0" xfId="4" applyFill="1" applyAlignment="1">
      <alignment horizontal="center" vertical="center"/>
    </xf>
    <xf numFmtId="0" fontId="1" fillId="9125" borderId="0" xfId="4" applyFill="1" applyAlignment="1">
      <alignment horizontal="center" vertical="center"/>
    </xf>
    <xf numFmtId="0" fontId="1" fillId="9126" borderId="0" xfId="4" applyFill="1" applyAlignment="1">
      <alignment horizontal="center" vertical="center"/>
    </xf>
    <xf numFmtId="0" fontId="1" fillId="9127" borderId="0" xfId="4" applyFill="1" applyAlignment="1">
      <alignment horizontal="center" vertical="center"/>
    </xf>
    <xf numFmtId="0" fontId="1" fillId="9128" borderId="0" xfId="4" applyFill="1" applyAlignment="1">
      <alignment horizontal="center" vertical="center"/>
    </xf>
    <xf numFmtId="0" fontId="1" fillId="9129" borderId="0" xfId="4" applyFill="1" applyAlignment="1">
      <alignment horizontal="center" vertical="center"/>
    </xf>
    <xf numFmtId="0" fontId="1" fillId="9130" borderId="0" xfId="4" applyFill="1" applyAlignment="1">
      <alignment horizontal="center" vertical="center"/>
    </xf>
    <xf numFmtId="0" fontId="1" fillId="9131" borderId="0" xfId="4" applyFill="1" applyAlignment="1">
      <alignment horizontal="center" vertical="center"/>
    </xf>
    <xf numFmtId="0" fontId="1" fillId="9132" borderId="0" xfId="4" applyFill="1" applyAlignment="1">
      <alignment horizontal="center" vertical="center"/>
    </xf>
    <xf numFmtId="0" fontId="1" fillId="9133" borderId="0" xfId="4" applyFill="1" applyAlignment="1">
      <alignment horizontal="center" vertical="center"/>
    </xf>
    <xf numFmtId="0" fontId="1" fillId="9134" borderId="0" xfId="4" applyFill="1" applyAlignment="1">
      <alignment horizontal="center" vertical="center"/>
    </xf>
    <xf numFmtId="0" fontId="1" fillId="9135" borderId="0" xfId="4" applyFill="1" applyAlignment="1">
      <alignment horizontal="center" vertical="center"/>
    </xf>
    <xf numFmtId="0" fontId="1" fillId="9136" borderId="0" xfId="4" applyFill="1" applyAlignment="1">
      <alignment horizontal="center" vertical="center"/>
    </xf>
    <xf numFmtId="0" fontId="1" fillId="9137" borderId="0" xfId="4" applyFill="1" applyAlignment="1">
      <alignment horizontal="center" vertical="center"/>
    </xf>
    <xf numFmtId="0" fontId="1" fillId="9138" borderId="0" xfId="4" applyFill="1" applyAlignment="1">
      <alignment horizontal="center" vertical="center"/>
    </xf>
    <xf numFmtId="0" fontId="1" fillId="9139" borderId="0" xfId="4" applyFill="1" applyAlignment="1">
      <alignment horizontal="center" vertical="center"/>
    </xf>
    <xf numFmtId="0" fontId="1" fillId="9140" borderId="0" xfId="4" applyFill="1" applyAlignment="1">
      <alignment horizontal="center" vertical="center"/>
    </xf>
    <xf numFmtId="0" fontId="1" fillId="9141" borderId="0" xfId="4" applyFill="1" applyAlignment="1">
      <alignment horizontal="center" vertical="center"/>
    </xf>
    <xf numFmtId="0" fontId="1" fillId="9142" borderId="0" xfId="4" applyFill="1" applyAlignment="1">
      <alignment horizontal="center" vertical="center"/>
    </xf>
    <xf numFmtId="0" fontId="1" fillId="9143" borderId="0" xfId="4" applyFill="1" applyAlignment="1">
      <alignment horizontal="center" vertical="center"/>
    </xf>
    <xf numFmtId="0" fontId="1" fillId="9144" borderId="0" xfId="4" applyFill="1" applyAlignment="1">
      <alignment horizontal="center" vertical="center"/>
    </xf>
    <xf numFmtId="0" fontId="1" fillId="9145" borderId="0" xfId="4" applyFill="1" applyAlignment="1">
      <alignment horizontal="center" vertical="center"/>
    </xf>
    <xf numFmtId="0" fontId="1" fillId="9146" borderId="0" xfId="4" applyFill="1" applyAlignment="1">
      <alignment horizontal="center" vertical="center"/>
    </xf>
    <xf numFmtId="0" fontId="1" fillId="9147" borderId="0" xfId="4" applyFill="1" applyAlignment="1">
      <alignment horizontal="center" vertical="center"/>
    </xf>
    <xf numFmtId="0" fontId="1" fillId="9148" borderId="0" xfId="4" applyFill="1" applyAlignment="1">
      <alignment horizontal="center" vertical="center"/>
    </xf>
    <xf numFmtId="0" fontId="1" fillId="9149" borderId="0" xfId="4" applyFill="1" applyAlignment="1">
      <alignment horizontal="center" vertical="center"/>
    </xf>
    <xf numFmtId="0" fontId="1" fillId="9150" borderId="0" xfId="4" applyFill="1" applyAlignment="1">
      <alignment horizontal="center" vertical="center"/>
    </xf>
    <xf numFmtId="0" fontId="1" fillId="9151" borderId="0" xfId="4" applyFill="1" applyAlignment="1">
      <alignment horizontal="center" vertical="center"/>
    </xf>
    <xf numFmtId="0" fontId="1" fillId="9152" borderId="0" xfId="4" applyFill="1" applyAlignment="1">
      <alignment horizontal="center" vertical="center"/>
    </xf>
    <xf numFmtId="0" fontId="1" fillId="9153" borderId="0" xfId="4" applyFill="1" applyAlignment="1">
      <alignment horizontal="center" vertical="center"/>
    </xf>
    <xf numFmtId="0" fontId="1" fillId="9154" borderId="0" xfId="4" applyFill="1" applyAlignment="1">
      <alignment horizontal="center" vertical="center"/>
    </xf>
    <xf numFmtId="0" fontId="1" fillId="9155" borderId="0" xfId="4" applyFill="1" applyAlignment="1">
      <alignment horizontal="center" vertical="center"/>
    </xf>
    <xf numFmtId="0" fontId="1" fillId="9156" borderId="0" xfId="4" applyFill="1" applyAlignment="1">
      <alignment horizontal="center" vertical="center"/>
    </xf>
    <xf numFmtId="0" fontId="1" fillId="9157" borderId="0" xfId="4" applyFill="1" applyAlignment="1">
      <alignment horizontal="center" vertical="center"/>
    </xf>
    <xf numFmtId="0" fontId="1" fillId="9158" borderId="0" xfId="4" applyFill="1" applyAlignment="1">
      <alignment horizontal="center" vertical="center"/>
    </xf>
    <xf numFmtId="0" fontId="1" fillId="9159" borderId="0" xfId="4" applyFill="1" applyAlignment="1">
      <alignment horizontal="center" vertical="center"/>
    </xf>
    <xf numFmtId="0" fontId="1" fillId="9160" borderId="0" xfId="4" applyFill="1" applyAlignment="1">
      <alignment horizontal="left" vertical="center"/>
    </xf>
    <xf numFmtId="0" fontId="1" fillId="9161" borderId="0" xfId="4" applyFill="1" applyAlignment="1">
      <alignment horizontal="center" vertical="center"/>
    </xf>
    <xf numFmtId="0" fontId="1" fillId="9162" borderId="0" xfId="4" applyFill="1" applyAlignment="1">
      <alignment horizontal="center" vertical="center"/>
    </xf>
    <xf numFmtId="0" fontId="1" fillId="9163" borderId="0" xfId="4" applyFill="1" applyAlignment="1">
      <alignment horizontal="center" vertical="center"/>
    </xf>
    <xf numFmtId="0" fontId="1" fillId="9164" borderId="0" xfId="4" applyFill="1" applyAlignment="1">
      <alignment horizontal="center" vertical="center"/>
    </xf>
    <xf numFmtId="0" fontId="1" fillId="9165" borderId="0" xfId="4" applyFill="1" applyAlignment="1">
      <alignment horizontal="center" vertical="center"/>
    </xf>
    <xf numFmtId="0" fontId="1" fillId="9166" borderId="0" xfId="4" applyFill="1" applyAlignment="1">
      <alignment horizontal="center" vertical="center"/>
    </xf>
    <xf numFmtId="0" fontId="1" fillId="9167" borderId="0" xfId="4" applyFill="1" applyAlignment="1">
      <alignment horizontal="center" vertical="center"/>
    </xf>
    <xf numFmtId="0" fontId="1" fillId="9168" borderId="0" xfId="4" applyFill="1" applyAlignment="1">
      <alignment horizontal="center" vertical="center"/>
    </xf>
    <xf numFmtId="0" fontId="1" fillId="9169" borderId="0" xfId="4" applyFill="1" applyAlignment="1">
      <alignment horizontal="center" vertical="center"/>
    </xf>
    <xf numFmtId="0" fontId="1" fillId="9170" borderId="0" xfId="4" applyFill="1" applyAlignment="1">
      <alignment horizontal="center" vertical="center"/>
    </xf>
    <xf numFmtId="0" fontId="1" fillId="9171" borderId="0" xfId="4" applyFill="1" applyAlignment="1">
      <alignment horizontal="center" vertical="center"/>
    </xf>
    <xf numFmtId="0" fontId="1" fillId="9172" borderId="0" xfId="4" applyFill="1" applyAlignment="1">
      <alignment horizontal="center" vertical="center"/>
    </xf>
    <xf numFmtId="0" fontId="1" fillId="9173" borderId="0" xfId="4" applyFill="1" applyAlignment="1">
      <alignment horizontal="center" vertical="center"/>
    </xf>
    <xf numFmtId="0" fontId="1" fillId="9174" borderId="0" xfId="4" applyFill="1" applyAlignment="1">
      <alignment horizontal="center" vertical="center"/>
    </xf>
    <xf numFmtId="0" fontId="1" fillId="9175" borderId="0" xfId="4" applyFill="1" applyAlignment="1">
      <alignment horizontal="center" vertical="center"/>
    </xf>
    <xf numFmtId="0" fontId="1" fillId="9176" borderId="0" xfId="4" applyFill="1" applyAlignment="1">
      <alignment horizontal="center" vertical="center"/>
    </xf>
    <xf numFmtId="0" fontId="1" fillId="9177" borderId="0" xfId="4" applyFill="1" applyAlignment="1">
      <alignment horizontal="center" vertical="center"/>
    </xf>
    <xf numFmtId="0" fontId="1" fillId="9178" borderId="0" xfId="4" applyFill="1" applyAlignment="1">
      <alignment horizontal="center" vertical="center"/>
    </xf>
    <xf numFmtId="0" fontId="1" fillId="9179" borderId="0" xfId="4" applyFill="1" applyAlignment="1">
      <alignment horizontal="center" vertical="center"/>
    </xf>
    <xf numFmtId="0" fontId="1" fillId="9180" borderId="0" xfId="4" applyFill="1" applyAlignment="1">
      <alignment horizontal="center" vertical="center"/>
    </xf>
    <xf numFmtId="0" fontId="1" fillId="9181" borderId="0" xfId="4" applyFill="1" applyAlignment="1">
      <alignment horizontal="center" vertical="center"/>
    </xf>
    <xf numFmtId="0" fontId="1" fillId="9182" borderId="0" xfId="4" applyFill="1" applyAlignment="1">
      <alignment horizontal="center" vertical="center"/>
    </xf>
    <xf numFmtId="0" fontId="1" fillId="9183" borderId="0" xfId="4" applyFill="1" applyAlignment="1">
      <alignment horizontal="center" vertical="center"/>
    </xf>
    <xf numFmtId="0" fontId="1" fillId="9184" borderId="0" xfId="4" applyFill="1" applyAlignment="1">
      <alignment horizontal="center" vertical="center"/>
    </xf>
    <xf numFmtId="0" fontId="1" fillId="9185" borderId="0" xfId="4" applyFill="1" applyAlignment="1">
      <alignment horizontal="center" vertical="center"/>
    </xf>
    <xf numFmtId="0" fontId="1" fillId="9186" borderId="0" xfId="4" applyFill="1" applyAlignment="1">
      <alignment horizontal="center" vertical="center"/>
    </xf>
    <xf numFmtId="0" fontId="1" fillId="9187" borderId="0" xfId="4" applyFill="1" applyAlignment="1">
      <alignment horizontal="left" vertical="center"/>
    </xf>
    <xf numFmtId="0" fontId="1" fillId="9188" borderId="0" xfId="4" applyFill="1" applyAlignment="1">
      <alignment horizontal="center" vertical="center"/>
    </xf>
    <xf numFmtId="0" fontId="1" fillId="9189" borderId="0" xfId="4" applyFill="1" applyAlignment="1">
      <alignment horizontal="center" vertical="center"/>
    </xf>
    <xf numFmtId="0" fontId="1" fillId="9190" borderId="0" xfId="4" applyFill="1" applyAlignment="1">
      <alignment horizontal="center" vertical="center"/>
    </xf>
    <xf numFmtId="0" fontId="1" fillId="9191" borderId="0" xfId="4" applyFill="1" applyAlignment="1">
      <alignment horizontal="center" vertical="center"/>
    </xf>
    <xf numFmtId="0" fontId="1" fillId="9192" borderId="0" xfId="4" applyFill="1" applyAlignment="1">
      <alignment horizontal="center" vertical="center"/>
    </xf>
    <xf numFmtId="0" fontId="1" fillId="9193" borderId="0" xfId="4" applyFill="1" applyAlignment="1">
      <alignment horizontal="center" vertical="center"/>
    </xf>
    <xf numFmtId="0" fontId="1" fillId="9194" borderId="0" xfId="4" applyFill="1" applyAlignment="1">
      <alignment horizontal="center" vertical="center"/>
    </xf>
    <xf numFmtId="0" fontId="1" fillId="9195" borderId="0" xfId="4" applyFill="1" applyAlignment="1">
      <alignment horizontal="center" vertical="center"/>
    </xf>
    <xf numFmtId="0" fontId="1" fillId="9196" borderId="0" xfId="4" applyFill="1" applyAlignment="1">
      <alignment horizontal="center" vertical="center"/>
    </xf>
    <xf numFmtId="0" fontId="1" fillId="9197" borderId="0" xfId="4" applyFill="1" applyAlignment="1">
      <alignment horizontal="center" vertical="center"/>
    </xf>
    <xf numFmtId="0" fontId="1" fillId="9198" borderId="0" xfId="4" applyFill="1" applyAlignment="1">
      <alignment horizontal="center" vertical="center"/>
    </xf>
    <xf numFmtId="0" fontId="1" fillId="9199" borderId="0" xfId="4" applyFill="1" applyAlignment="1">
      <alignment horizontal="center" vertical="center"/>
    </xf>
    <xf numFmtId="0" fontId="1" fillId="9200" borderId="0" xfId="4" applyFill="1" applyAlignment="1">
      <alignment horizontal="center" vertical="center"/>
    </xf>
    <xf numFmtId="0" fontId="1" fillId="9201" borderId="0" xfId="4" applyFill="1" applyAlignment="1">
      <alignment horizontal="center" vertical="center"/>
    </xf>
    <xf numFmtId="0" fontId="1" fillId="9202" borderId="0" xfId="4" applyFill="1" applyAlignment="1">
      <alignment horizontal="center" vertical="center"/>
    </xf>
    <xf numFmtId="0" fontId="1" fillId="9203" borderId="0" xfId="4" applyFill="1" applyAlignment="1">
      <alignment horizontal="center" vertical="center"/>
    </xf>
    <xf numFmtId="0" fontId="1" fillId="9204" borderId="0" xfId="4" applyFill="1" applyAlignment="1">
      <alignment horizontal="center" vertical="center"/>
    </xf>
    <xf numFmtId="0" fontId="1" fillId="9205" borderId="0" xfId="4" applyFill="1" applyAlignment="1">
      <alignment horizontal="center" vertical="center"/>
    </xf>
    <xf numFmtId="0" fontId="1" fillId="9206" borderId="0" xfId="4" applyFill="1" applyAlignment="1">
      <alignment horizontal="center" vertical="center"/>
    </xf>
    <xf numFmtId="0" fontId="1" fillId="9207" borderId="0" xfId="4" applyFill="1" applyAlignment="1">
      <alignment horizontal="center" vertical="center"/>
    </xf>
    <xf numFmtId="0" fontId="1" fillId="9208" borderId="0" xfId="4" applyFill="1" applyAlignment="1">
      <alignment horizontal="center" vertical="center"/>
    </xf>
    <xf numFmtId="0" fontId="1" fillId="9209" borderId="0" xfId="4" applyFill="1" applyAlignment="1">
      <alignment horizontal="center" vertical="center"/>
    </xf>
    <xf numFmtId="0" fontId="1" fillId="9210" borderId="0" xfId="4" applyFill="1" applyAlignment="1">
      <alignment horizontal="center" vertical="center"/>
    </xf>
    <xf numFmtId="0" fontId="1" fillId="9211" borderId="0" xfId="4" applyFill="1" applyAlignment="1">
      <alignment horizontal="center" vertical="center"/>
    </xf>
    <xf numFmtId="0" fontId="1" fillId="9212" borderId="0" xfId="4" applyFill="1" applyAlignment="1">
      <alignment horizontal="center" vertical="center"/>
    </xf>
    <xf numFmtId="0" fontId="1" fillId="9213" borderId="0" xfId="4" applyFill="1" applyAlignment="1">
      <alignment horizontal="center" vertical="center"/>
    </xf>
    <xf numFmtId="0" fontId="1" fillId="9214" borderId="0" xfId="4" applyFill="1" applyAlignment="1">
      <alignment horizontal="center" vertical="center"/>
    </xf>
    <xf numFmtId="0" fontId="1" fillId="9215" borderId="0" xfId="4" applyFill="1" applyAlignment="1">
      <alignment horizontal="center" vertical="center"/>
    </xf>
    <xf numFmtId="0" fontId="1" fillId="9216" borderId="0" xfId="4" applyFill="1" applyAlignment="1">
      <alignment horizontal="center" vertical="center"/>
    </xf>
    <xf numFmtId="0" fontId="1" fillId="9217" borderId="0" xfId="4" applyFill="1" applyAlignment="1">
      <alignment horizontal="center" vertical="center"/>
    </xf>
    <xf numFmtId="0" fontId="1" fillId="9218" borderId="0" xfId="4" applyFill="1" applyAlignment="1">
      <alignment horizontal="center" vertical="center"/>
    </xf>
    <xf numFmtId="0" fontId="1" fillId="9219" borderId="0" xfId="4" applyFill="1" applyAlignment="1">
      <alignment horizontal="center" vertical="center"/>
    </xf>
    <xf numFmtId="0" fontId="1" fillId="9220" borderId="0" xfId="4" applyFill="1" applyAlignment="1">
      <alignment horizontal="center" vertical="center"/>
    </xf>
    <xf numFmtId="0" fontId="1" fillId="9221" borderId="0" xfId="4" applyFill="1" applyAlignment="1">
      <alignment horizontal="center" vertical="center"/>
    </xf>
    <xf numFmtId="0" fontId="1" fillId="9222" borderId="0" xfId="4" applyFill="1" applyAlignment="1">
      <alignment horizontal="center" vertical="center"/>
    </xf>
    <xf numFmtId="0" fontId="1" fillId="9223" borderId="0" xfId="4" applyFill="1" applyAlignment="1">
      <alignment horizontal="center" vertical="center"/>
    </xf>
    <xf numFmtId="0" fontId="1" fillId="9224" borderId="0" xfId="4" applyFill="1" applyAlignment="1">
      <alignment horizontal="center" vertical="center"/>
    </xf>
    <xf numFmtId="0" fontId="1" fillId="9225" borderId="0" xfId="4" applyFill="1" applyAlignment="1">
      <alignment horizontal="center" vertical="center"/>
    </xf>
    <xf numFmtId="0" fontId="1" fillId="9226" borderId="0" xfId="4" applyFill="1" applyAlignment="1">
      <alignment horizontal="center" vertical="center"/>
    </xf>
    <xf numFmtId="0" fontId="1" fillId="9227" borderId="0" xfId="4" applyFill="1" applyAlignment="1">
      <alignment horizontal="center" vertical="center"/>
    </xf>
    <xf numFmtId="0" fontId="1" fillId="9228" borderId="0" xfId="4" applyFill="1" applyAlignment="1">
      <alignment horizontal="center" vertical="center"/>
    </xf>
    <xf numFmtId="0" fontId="1" fillId="9229" borderId="0" xfId="4" applyFill="1" applyAlignment="1">
      <alignment horizontal="center" vertical="center"/>
    </xf>
    <xf numFmtId="0" fontId="1" fillId="9230" borderId="0" xfId="4" applyFill="1" applyAlignment="1">
      <alignment horizontal="center" vertical="center"/>
    </xf>
    <xf numFmtId="0" fontId="1" fillId="9231" borderId="0" xfId="4" applyFill="1" applyAlignment="1">
      <alignment horizontal="center" vertical="center"/>
    </xf>
    <xf numFmtId="0" fontId="1" fillId="9232" borderId="0" xfId="4" applyFill="1" applyAlignment="1">
      <alignment horizontal="center" vertical="center"/>
    </xf>
    <xf numFmtId="0" fontId="1" fillId="9233" borderId="0" xfId="4" applyFill="1" applyAlignment="1">
      <alignment horizontal="center" vertical="center"/>
    </xf>
    <xf numFmtId="0" fontId="1" fillId="9234" borderId="0" xfId="4" applyFill="1" applyAlignment="1">
      <alignment horizontal="center" vertical="center"/>
    </xf>
    <xf numFmtId="0" fontId="1" fillId="9235" borderId="0" xfId="4" applyFill="1" applyAlignment="1">
      <alignment horizontal="center" vertical="center"/>
    </xf>
    <xf numFmtId="0" fontId="1" fillId="9236" borderId="0" xfId="4" applyFill="1" applyAlignment="1">
      <alignment horizontal="center" vertical="center"/>
    </xf>
    <xf numFmtId="0" fontId="1" fillId="9237" borderId="0" xfId="4" applyFill="1" applyAlignment="1">
      <alignment horizontal="center" vertical="center"/>
    </xf>
    <xf numFmtId="0" fontId="1" fillId="9238" borderId="0" xfId="4" applyFill="1" applyAlignment="1">
      <alignment horizontal="center" vertical="center"/>
    </xf>
    <xf numFmtId="0" fontId="1" fillId="9239" borderId="0" xfId="4" applyFill="1" applyAlignment="1">
      <alignment horizontal="left" vertical="center"/>
    </xf>
    <xf numFmtId="0" fontId="1" fillId="9240" borderId="0" xfId="4" applyFill="1" applyAlignment="1">
      <alignment horizontal="center" vertical="center"/>
    </xf>
    <xf numFmtId="0" fontId="1" fillId="9241" borderId="0" xfId="4" applyFill="1" applyAlignment="1">
      <alignment horizontal="center" vertical="center"/>
    </xf>
    <xf numFmtId="0" fontId="1" fillId="9242" borderId="0" xfId="4" applyFill="1" applyAlignment="1">
      <alignment horizontal="center" vertical="center"/>
    </xf>
    <xf numFmtId="0" fontId="1" fillId="9243" borderId="0" xfId="4" applyFill="1" applyAlignment="1">
      <alignment horizontal="center" vertical="center"/>
    </xf>
    <xf numFmtId="0" fontId="1" fillId="9244" borderId="0" xfId="4" applyFill="1" applyAlignment="1">
      <alignment horizontal="center" vertical="center"/>
    </xf>
    <xf numFmtId="0" fontId="1" fillId="9245" borderId="0" xfId="4" applyFill="1" applyAlignment="1">
      <alignment horizontal="center" vertical="center"/>
    </xf>
    <xf numFmtId="0" fontId="1" fillId="9246" borderId="0" xfId="4" applyFill="1" applyAlignment="1">
      <alignment horizontal="center" vertical="center"/>
    </xf>
    <xf numFmtId="0" fontId="1" fillId="9247" borderId="0" xfId="4" applyFill="1" applyAlignment="1">
      <alignment horizontal="center" vertical="center"/>
    </xf>
    <xf numFmtId="0" fontId="1" fillId="9248" borderId="0" xfId="4" applyFill="1" applyAlignment="1">
      <alignment horizontal="center" vertical="center"/>
    </xf>
    <xf numFmtId="0" fontId="1" fillId="9249" borderId="0" xfId="4" applyFill="1" applyAlignment="1">
      <alignment horizontal="center" vertical="center"/>
    </xf>
    <xf numFmtId="0" fontId="1" fillId="9250" borderId="0" xfId="4" applyFill="1" applyAlignment="1">
      <alignment horizontal="center" vertical="center"/>
    </xf>
    <xf numFmtId="0" fontId="1" fillId="9251" borderId="0" xfId="4" applyFill="1" applyAlignment="1">
      <alignment horizontal="center" vertical="center"/>
    </xf>
    <xf numFmtId="0" fontId="1" fillId="9252" borderId="0" xfId="4" applyFill="1" applyAlignment="1">
      <alignment horizontal="center" vertical="center"/>
    </xf>
    <xf numFmtId="0" fontId="1" fillId="9253" borderId="0" xfId="4" applyFill="1" applyAlignment="1">
      <alignment horizontal="center" vertical="center"/>
    </xf>
    <xf numFmtId="0" fontId="1" fillId="9254" borderId="0" xfId="4" applyFill="1" applyAlignment="1">
      <alignment horizontal="center" vertical="center"/>
    </xf>
    <xf numFmtId="0" fontId="1" fillId="9255" borderId="0" xfId="4" applyFill="1" applyAlignment="1">
      <alignment horizontal="center" vertical="center"/>
    </xf>
    <xf numFmtId="0" fontId="1" fillId="9256" borderId="0" xfId="4" applyFill="1" applyAlignment="1">
      <alignment horizontal="center" vertical="center"/>
    </xf>
    <xf numFmtId="0" fontId="1" fillId="9257" borderId="0" xfId="4" applyFill="1" applyAlignment="1">
      <alignment horizontal="center" vertical="center"/>
    </xf>
    <xf numFmtId="0" fontId="1" fillId="9258" borderId="0" xfId="4" applyFill="1" applyAlignment="1">
      <alignment horizontal="center" vertical="center"/>
    </xf>
    <xf numFmtId="0" fontId="1" fillId="9259" borderId="0" xfId="4" applyFill="1" applyAlignment="1">
      <alignment horizontal="center" vertical="center"/>
    </xf>
    <xf numFmtId="0" fontId="1" fillId="9260" borderId="0" xfId="4" applyFill="1" applyAlignment="1">
      <alignment horizontal="center" vertical="center"/>
    </xf>
    <xf numFmtId="0" fontId="1" fillId="9261" borderId="0" xfId="4" applyFill="1" applyAlignment="1">
      <alignment horizontal="center" vertical="center"/>
    </xf>
    <xf numFmtId="0" fontId="1" fillId="9262" borderId="0" xfId="4" applyFill="1" applyAlignment="1">
      <alignment horizontal="center" vertical="center"/>
    </xf>
    <xf numFmtId="0" fontId="1" fillId="9263" borderId="0" xfId="4" applyFill="1" applyAlignment="1">
      <alignment horizontal="center" vertical="center"/>
    </xf>
    <xf numFmtId="0" fontId="1" fillId="9264" borderId="0" xfId="4" applyFill="1" applyAlignment="1">
      <alignment horizontal="center" vertical="center"/>
    </xf>
    <xf numFmtId="0" fontId="1" fillId="9265" borderId="0" xfId="4" applyFill="1" applyAlignment="1">
      <alignment horizontal="center" vertical="center"/>
    </xf>
    <xf numFmtId="0" fontId="1" fillId="9266" borderId="0" xfId="4" applyFill="1" applyAlignment="1">
      <alignment horizontal="left" vertical="center"/>
    </xf>
    <xf numFmtId="0" fontId="1" fillId="9267" borderId="0" xfId="4" applyFill="1" applyAlignment="1">
      <alignment horizontal="center" vertical="center"/>
    </xf>
    <xf numFmtId="0" fontId="1" fillId="9268" borderId="0" xfId="4" applyFill="1" applyAlignment="1">
      <alignment horizontal="center" vertical="center"/>
    </xf>
    <xf numFmtId="0" fontId="1" fillId="9269" borderId="0" xfId="4" applyFill="1" applyAlignment="1">
      <alignment horizontal="center" vertical="center"/>
    </xf>
    <xf numFmtId="0" fontId="1" fillId="9270" borderId="0" xfId="4" applyFill="1" applyAlignment="1">
      <alignment horizontal="center" vertical="center"/>
    </xf>
    <xf numFmtId="0" fontId="1" fillId="9271" borderId="0" xfId="4" applyFill="1" applyAlignment="1">
      <alignment horizontal="center" vertical="center"/>
    </xf>
    <xf numFmtId="0" fontId="1" fillId="9272" borderId="0" xfId="4" applyFill="1" applyAlignment="1">
      <alignment horizontal="center" vertical="center"/>
    </xf>
    <xf numFmtId="0" fontId="1" fillId="9273" borderId="0" xfId="4" applyFill="1" applyAlignment="1">
      <alignment horizontal="center" vertical="center"/>
    </xf>
    <xf numFmtId="0" fontId="1" fillId="9274" borderId="0" xfId="4" applyFill="1" applyAlignment="1">
      <alignment horizontal="center" vertical="center"/>
    </xf>
    <xf numFmtId="0" fontId="1" fillId="9275" borderId="0" xfId="4" applyFill="1" applyAlignment="1">
      <alignment horizontal="center" vertical="center"/>
    </xf>
    <xf numFmtId="0" fontId="1" fillId="9276" borderId="0" xfId="4" applyFill="1" applyAlignment="1">
      <alignment horizontal="center" vertical="center"/>
    </xf>
    <xf numFmtId="0" fontId="1" fillId="9277" borderId="0" xfId="4" applyFill="1" applyAlignment="1">
      <alignment horizontal="center" vertical="center"/>
    </xf>
    <xf numFmtId="0" fontId="1" fillId="9278" borderId="0" xfId="4" applyFill="1" applyAlignment="1">
      <alignment horizontal="center" vertical="center"/>
    </xf>
    <xf numFmtId="0" fontId="1" fillId="9279" borderId="0" xfId="4" applyFill="1" applyAlignment="1">
      <alignment horizontal="center" vertical="center"/>
    </xf>
    <xf numFmtId="0" fontId="1" fillId="9280" borderId="0" xfId="4" applyFill="1" applyAlignment="1">
      <alignment horizontal="center" vertical="center"/>
    </xf>
    <xf numFmtId="0" fontId="1" fillId="9281" borderId="0" xfId="4" applyFill="1" applyAlignment="1">
      <alignment horizontal="center" vertical="center"/>
    </xf>
    <xf numFmtId="0" fontId="1" fillId="9282" borderId="0" xfId="4" applyFill="1" applyAlignment="1">
      <alignment horizontal="center" vertical="center"/>
    </xf>
    <xf numFmtId="0" fontId="1" fillId="9283" borderId="0" xfId="4" applyFill="1" applyAlignment="1">
      <alignment horizontal="center" vertical="center"/>
    </xf>
    <xf numFmtId="0" fontId="1" fillId="9284" borderId="0" xfId="4" applyFill="1" applyAlignment="1">
      <alignment horizontal="center" vertical="center"/>
    </xf>
    <xf numFmtId="0" fontId="1" fillId="9285" borderId="0" xfId="4" applyFill="1" applyAlignment="1">
      <alignment horizontal="center" vertical="center"/>
    </xf>
    <xf numFmtId="0" fontId="1" fillId="9286" borderId="0" xfId="4" applyFill="1" applyAlignment="1">
      <alignment horizontal="center" vertical="center"/>
    </xf>
    <xf numFmtId="0" fontId="1" fillId="9287" borderId="0" xfId="4" applyFill="1" applyAlignment="1">
      <alignment horizontal="center" vertical="center"/>
    </xf>
    <xf numFmtId="0" fontId="1" fillId="9288" borderId="0" xfId="4" applyFill="1" applyAlignment="1">
      <alignment horizontal="center" vertical="center"/>
    </xf>
    <xf numFmtId="0" fontId="1" fillId="9289" borderId="0" xfId="4" applyFill="1" applyAlignment="1">
      <alignment horizontal="center" vertical="center"/>
    </xf>
    <xf numFmtId="0" fontId="1" fillId="9290" borderId="0" xfId="4" applyFill="1" applyAlignment="1">
      <alignment horizontal="center" vertical="center"/>
    </xf>
    <xf numFmtId="0" fontId="1" fillId="9291" borderId="0" xfId="4" applyFill="1" applyAlignment="1">
      <alignment horizontal="center" vertical="center"/>
    </xf>
    <xf numFmtId="0" fontId="1" fillId="9292" borderId="0" xfId="4" applyFill="1" applyAlignment="1">
      <alignment horizontal="center" vertical="center"/>
    </xf>
    <xf numFmtId="0" fontId="1" fillId="9293" borderId="0" xfId="4" applyFill="1" applyAlignment="1">
      <alignment horizontal="center" vertical="center"/>
    </xf>
    <xf numFmtId="0" fontId="1" fillId="9294" borderId="0" xfId="4" applyFill="1" applyAlignment="1">
      <alignment horizontal="center" vertical="center"/>
    </xf>
    <xf numFmtId="0" fontId="1" fillId="9295" borderId="0" xfId="4" applyFill="1" applyAlignment="1">
      <alignment horizontal="center" vertical="center"/>
    </xf>
    <xf numFmtId="0" fontId="1" fillId="9296" borderId="0" xfId="4" applyFill="1" applyAlignment="1">
      <alignment horizontal="center" vertical="center"/>
    </xf>
    <xf numFmtId="0" fontId="1" fillId="9297" borderId="0" xfId="4" applyFill="1" applyAlignment="1">
      <alignment horizontal="center" vertical="center"/>
    </xf>
    <xf numFmtId="0" fontId="1" fillId="9298" borderId="0" xfId="4" applyFill="1" applyAlignment="1">
      <alignment horizontal="center" vertical="center"/>
    </xf>
    <xf numFmtId="0" fontId="1" fillId="9299" borderId="0" xfId="4" applyFill="1" applyAlignment="1">
      <alignment horizontal="center" vertical="center"/>
    </xf>
    <xf numFmtId="0" fontId="1" fillId="9300" borderId="0" xfId="4" applyFill="1" applyAlignment="1">
      <alignment horizontal="center" vertical="center"/>
    </xf>
    <xf numFmtId="0" fontId="1" fillId="9301" borderId="0" xfId="4" applyFill="1" applyAlignment="1">
      <alignment horizontal="center" vertical="center"/>
    </xf>
    <xf numFmtId="0" fontId="1" fillId="9302" borderId="0" xfId="4" applyFill="1" applyAlignment="1">
      <alignment horizontal="center" vertical="center"/>
    </xf>
    <xf numFmtId="0" fontId="1" fillId="9303" borderId="0" xfId="4" applyFill="1" applyAlignment="1">
      <alignment horizontal="center" vertical="center"/>
    </xf>
    <xf numFmtId="0" fontId="1" fillId="9304" borderId="0" xfId="4" applyFill="1" applyAlignment="1">
      <alignment horizontal="center" vertical="center"/>
    </xf>
    <xf numFmtId="0" fontId="1" fillId="9305" borderId="0" xfId="4" applyFill="1" applyAlignment="1">
      <alignment horizontal="center" vertical="center"/>
    </xf>
    <xf numFmtId="0" fontId="1" fillId="9306" borderId="0" xfId="4" applyFill="1" applyAlignment="1">
      <alignment horizontal="center" vertical="center"/>
    </xf>
    <xf numFmtId="0" fontId="1" fillId="9307" borderId="0" xfId="4" applyFill="1" applyAlignment="1">
      <alignment horizontal="center" vertical="center"/>
    </xf>
    <xf numFmtId="0" fontId="1" fillId="9308" borderId="0" xfId="4" applyFill="1" applyAlignment="1">
      <alignment horizontal="center" vertical="center"/>
    </xf>
    <xf numFmtId="0" fontId="1" fillId="9309" borderId="0" xfId="4" applyFill="1" applyAlignment="1">
      <alignment horizontal="center" vertical="center"/>
    </xf>
    <xf numFmtId="0" fontId="1" fillId="9310" borderId="0" xfId="4" applyFill="1" applyAlignment="1">
      <alignment horizontal="center" vertical="center"/>
    </xf>
    <xf numFmtId="0" fontId="1" fillId="9311" borderId="0" xfId="4" applyFill="1" applyAlignment="1">
      <alignment horizontal="center" vertical="center"/>
    </xf>
    <xf numFmtId="0" fontId="1" fillId="9312" borderId="0" xfId="4" applyFill="1" applyAlignment="1">
      <alignment horizontal="center" vertical="center"/>
    </xf>
    <xf numFmtId="0" fontId="1" fillId="9313" borderId="0" xfId="4" applyFill="1" applyAlignment="1">
      <alignment horizontal="center" vertical="center"/>
    </xf>
    <xf numFmtId="0" fontId="1" fillId="9314" borderId="0" xfId="4" applyFill="1" applyAlignment="1">
      <alignment horizontal="center" vertical="center"/>
    </xf>
    <xf numFmtId="0" fontId="1" fillId="9315" borderId="0" xfId="4" applyFill="1" applyAlignment="1">
      <alignment horizontal="center" vertical="center"/>
    </xf>
    <xf numFmtId="0" fontId="1" fillId="9316" borderId="0" xfId="4" applyFill="1" applyAlignment="1">
      <alignment horizontal="center" vertical="center"/>
    </xf>
    <xf numFmtId="0" fontId="1" fillId="9317" borderId="0" xfId="4" applyFill="1" applyAlignment="1">
      <alignment horizontal="center" vertical="center"/>
    </xf>
    <xf numFmtId="0" fontId="1" fillId="9318" borderId="0" xfId="4" applyFill="1" applyAlignment="1">
      <alignment horizontal="center" vertical="center"/>
    </xf>
    <xf numFmtId="0" fontId="1" fillId="9319" borderId="0" xfId="4" applyFill="1" applyAlignment="1">
      <alignment horizontal="left" vertical="center"/>
    </xf>
    <xf numFmtId="0" fontId="1" fillId="9320" borderId="0" xfId="4" applyFill="1" applyAlignment="1">
      <alignment horizontal="center" vertical="center"/>
    </xf>
    <xf numFmtId="0" fontId="1" fillId="9321" borderId="0" xfId="4" applyFill="1" applyAlignment="1">
      <alignment horizontal="center" vertical="center"/>
    </xf>
    <xf numFmtId="0" fontId="1" fillId="9322" borderId="0" xfId="4" applyFill="1" applyAlignment="1">
      <alignment horizontal="center" vertical="center"/>
    </xf>
    <xf numFmtId="0" fontId="1" fillId="9323" borderId="0" xfId="4" applyFill="1" applyAlignment="1">
      <alignment horizontal="center" vertical="center"/>
    </xf>
    <xf numFmtId="0" fontId="1" fillId="9324" borderId="0" xfId="4" applyFill="1" applyAlignment="1">
      <alignment horizontal="center" vertical="center"/>
    </xf>
    <xf numFmtId="0" fontId="1" fillId="9325" borderId="0" xfId="4" applyFill="1" applyAlignment="1">
      <alignment horizontal="center" vertical="center"/>
    </xf>
    <xf numFmtId="0" fontId="1" fillId="9326" borderId="0" xfId="4" applyFill="1" applyAlignment="1">
      <alignment horizontal="center" vertical="center"/>
    </xf>
    <xf numFmtId="0" fontId="1" fillId="9327" borderId="0" xfId="4" applyFill="1" applyAlignment="1">
      <alignment horizontal="center" vertical="center"/>
    </xf>
    <xf numFmtId="0" fontId="1" fillId="9328" borderId="0" xfId="4" applyFill="1" applyAlignment="1">
      <alignment horizontal="center" vertical="center"/>
    </xf>
    <xf numFmtId="0" fontId="1" fillId="9329" borderId="0" xfId="4" applyFill="1" applyAlignment="1">
      <alignment horizontal="center" vertical="center"/>
    </xf>
    <xf numFmtId="0" fontId="1" fillId="9330" borderId="0" xfId="4" applyFill="1" applyAlignment="1">
      <alignment horizontal="center" vertical="center"/>
    </xf>
    <xf numFmtId="0" fontId="1" fillId="9331" borderId="0" xfId="4" applyFill="1" applyAlignment="1">
      <alignment horizontal="center" vertical="center"/>
    </xf>
    <xf numFmtId="0" fontId="1" fillId="9332" borderId="0" xfId="4" applyFill="1" applyAlignment="1">
      <alignment horizontal="center" vertical="center"/>
    </xf>
    <xf numFmtId="0" fontId="1" fillId="9333" borderId="0" xfId="4" applyFill="1" applyAlignment="1">
      <alignment horizontal="center" vertical="center"/>
    </xf>
    <xf numFmtId="0" fontId="1" fillId="9334" borderId="0" xfId="4" applyFill="1" applyAlignment="1">
      <alignment horizontal="center" vertical="center"/>
    </xf>
    <xf numFmtId="0" fontId="1" fillId="9335" borderId="0" xfId="4" applyFill="1" applyAlignment="1">
      <alignment horizontal="center" vertical="center"/>
    </xf>
    <xf numFmtId="0" fontId="1" fillId="9336" borderId="0" xfId="4" applyFill="1" applyAlignment="1">
      <alignment horizontal="center" vertical="center"/>
    </xf>
    <xf numFmtId="0" fontId="1" fillId="9337" borderId="0" xfId="4" applyFill="1" applyAlignment="1">
      <alignment horizontal="center" vertical="center"/>
    </xf>
    <xf numFmtId="0" fontId="1" fillId="9338" borderId="0" xfId="4" applyFill="1" applyAlignment="1">
      <alignment horizontal="center" vertical="center"/>
    </xf>
    <xf numFmtId="0" fontId="1" fillId="9339" borderId="0" xfId="4" applyFill="1" applyAlignment="1">
      <alignment horizontal="center" vertical="center"/>
    </xf>
    <xf numFmtId="0" fontId="1" fillId="9340" borderId="0" xfId="4" applyFill="1" applyAlignment="1">
      <alignment horizontal="center" vertical="center"/>
    </xf>
    <xf numFmtId="0" fontId="1" fillId="9341" borderId="0" xfId="4" applyFill="1" applyAlignment="1">
      <alignment horizontal="center" vertical="center"/>
    </xf>
    <xf numFmtId="0" fontId="1" fillId="9342" borderId="0" xfId="4" applyFill="1" applyAlignment="1">
      <alignment horizontal="center" vertical="center"/>
    </xf>
    <xf numFmtId="0" fontId="1" fillId="9343" borderId="0" xfId="4" applyFill="1" applyAlignment="1">
      <alignment horizontal="center" vertical="center"/>
    </xf>
    <xf numFmtId="0" fontId="1" fillId="9344" borderId="0" xfId="4" applyFill="1" applyAlignment="1">
      <alignment horizontal="center" vertical="center"/>
    </xf>
    <xf numFmtId="0" fontId="1" fillId="9345" borderId="0" xfId="4" applyFill="1" applyAlignment="1">
      <alignment horizontal="center" vertical="center"/>
    </xf>
    <xf numFmtId="0" fontId="1" fillId="9346" borderId="0" xfId="4" applyFill="1" applyAlignment="1">
      <alignment horizontal="left" vertical="center"/>
    </xf>
    <xf numFmtId="0" fontId="1" fillId="9347" borderId="0" xfId="4" applyFill="1" applyAlignment="1">
      <alignment horizontal="center" vertical="center"/>
    </xf>
    <xf numFmtId="0" fontId="1" fillId="9348" borderId="0" xfId="4" applyFill="1" applyAlignment="1">
      <alignment horizontal="center" vertical="center"/>
    </xf>
    <xf numFmtId="0" fontId="1" fillId="9349" borderId="0" xfId="4" applyFill="1" applyAlignment="1">
      <alignment horizontal="center" vertical="center"/>
    </xf>
    <xf numFmtId="0" fontId="1" fillId="9350" borderId="0" xfId="4" applyFill="1" applyAlignment="1">
      <alignment horizontal="center" vertical="center"/>
    </xf>
    <xf numFmtId="0" fontId="1" fillId="9351" borderId="0" xfId="4" applyFill="1" applyAlignment="1">
      <alignment horizontal="center" vertical="center"/>
    </xf>
    <xf numFmtId="0" fontId="1" fillId="9352" borderId="0" xfId="4" applyFill="1" applyAlignment="1">
      <alignment horizontal="center" vertical="center"/>
    </xf>
    <xf numFmtId="0" fontId="1" fillId="9353" borderId="0" xfId="4" applyFill="1" applyAlignment="1">
      <alignment horizontal="center" vertical="center"/>
    </xf>
    <xf numFmtId="0" fontId="1" fillId="9354" borderId="0" xfId="4" applyFill="1" applyAlignment="1">
      <alignment horizontal="center" vertical="center"/>
    </xf>
    <xf numFmtId="0" fontId="1" fillId="9355" borderId="0" xfId="4" applyFill="1" applyAlignment="1">
      <alignment horizontal="center" vertical="center"/>
    </xf>
    <xf numFmtId="0" fontId="1" fillId="9356" borderId="0" xfId="4" applyFill="1" applyAlignment="1">
      <alignment horizontal="center" vertical="center"/>
    </xf>
    <xf numFmtId="0" fontId="1" fillId="9357" borderId="0" xfId="4" applyFill="1" applyAlignment="1">
      <alignment horizontal="center" vertical="center"/>
    </xf>
    <xf numFmtId="0" fontId="1" fillId="9358" borderId="0" xfId="4" applyFill="1" applyAlignment="1">
      <alignment horizontal="center" vertical="center"/>
    </xf>
    <xf numFmtId="0" fontId="1" fillId="9359" borderId="0" xfId="4" applyFill="1" applyAlignment="1">
      <alignment horizontal="center" vertical="center"/>
    </xf>
    <xf numFmtId="0" fontId="1" fillId="9360" borderId="0" xfId="4" applyFill="1" applyAlignment="1">
      <alignment horizontal="center" vertical="center"/>
    </xf>
    <xf numFmtId="0" fontId="1" fillId="9361" borderId="0" xfId="4" applyFill="1" applyAlignment="1">
      <alignment horizontal="center" vertical="center"/>
    </xf>
    <xf numFmtId="0" fontId="1" fillId="9362" borderId="0" xfId="4" applyFill="1" applyAlignment="1">
      <alignment horizontal="center" vertical="center"/>
    </xf>
    <xf numFmtId="0" fontId="1" fillId="9363" borderId="0" xfId="4" applyFill="1" applyAlignment="1">
      <alignment horizontal="center" vertical="center"/>
    </xf>
    <xf numFmtId="0" fontId="1" fillId="9364" borderId="0" xfId="4" applyFill="1" applyAlignment="1">
      <alignment horizontal="center" vertical="center"/>
    </xf>
    <xf numFmtId="0" fontId="1" fillId="9365" borderId="0" xfId="4" applyFill="1" applyAlignment="1">
      <alignment horizontal="center" vertical="center"/>
    </xf>
    <xf numFmtId="0" fontId="1" fillId="9366" borderId="0" xfId="4" applyFill="1" applyAlignment="1">
      <alignment horizontal="center" vertical="center"/>
    </xf>
    <xf numFmtId="0" fontId="1" fillId="9367" borderId="0" xfId="4" applyFill="1" applyAlignment="1">
      <alignment horizontal="center" vertical="center"/>
    </xf>
    <xf numFmtId="0" fontId="1" fillId="9368" borderId="0" xfId="4" applyFill="1" applyAlignment="1">
      <alignment horizontal="center" vertical="center"/>
    </xf>
    <xf numFmtId="0" fontId="1" fillId="9369" borderId="0" xfId="4" applyFill="1" applyAlignment="1">
      <alignment horizontal="center" vertical="center"/>
    </xf>
    <xf numFmtId="0" fontId="1" fillId="9370" borderId="0" xfId="4" applyFill="1" applyAlignment="1">
      <alignment horizontal="center" vertical="center"/>
    </xf>
    <xf numFmtId="0" fontId="1" fillId="9371" borderId="0" xfId="4" applyFill="1" applyAlignment="1">
      <alignment horizontal="center" vertical="center"/>
    </xf>
    <xf numFmtId="0" fontId="1" fillId="9372" borderId="0" xfId="4" applyFill="1" applyAlignment="1">
      <alignment horizontal="center" vertical="center"/>
    </xf>
    <xf numFmtId="0" fontId="1" fillId="9373" borderId="0" xfId="4" applyFill="1" applyAlignment="1">
      <alignment horizontal="center" vertical="center"/>
    </xf>
    <xf numFmtId="0" fontId="1" fillId="9374" borderId="0" xfId="4" applyFill="1" applyAlignment="1">
      <alignment horizontal="center" vertical="center"/>
    </xf>
    <xf numFmtId="0" fontId="1" fillId="9375" borderId="0" xfId="4" applyFill="1" applyAlignment="1">
      <alignment horizontal="center" vertical="center"/>
    </xf>
    <xf numFmtId="0" fontId="1" fillId="9376" borderId="0" xfId="4" applyFill="1" applyAlignment="1">
      <alignment horizontal="center" vertical="center"/>
    </xf>
    <xf numFmtId="0" fontId="1" fillId="9377" borderId="0" xfId="4" applyFill="1" applyAlignment="1">
      <alignment horizontal="center" vertical="center"/>
    </xf>
    <xf numFmtId="0" fontId="1" fillId="9378" borderId="0" xfId="4" applyFill="1" applyAlignment="1">
      <alignment horizontal="center" vertical="center"/>
    </xf>
    <xf numFmtId="0" fontId="1" fillId="9379" borderId="0" xfId="4" applyFill="1" applyAlignment="1">
      <alignment horizontal="center" vertical="center"/>
    </xf>
    <xf numFmtId="0" fontId="1" fillId="9380" borderId="0" xfId="4" applyFill="1" applyAlignment="1">
      <alignment horizontal="center" vertical="center"/>
    </xf>
    <xf numFmtId="0" fontId="1" fillId="9381" borderId="0" xfId="4" applyFill="1" applyAlignment="1">
      <alignment horizontal="center" vertical="center"/>
    </xf>
    <xf numFmtId="0" fontId="1" fillId="9382" borderId="0" xfId="4" applyFill="1" applyAlignment="1">
      <alignment horizontal="center" vertical="center"/>
    </xf>
    <xf numFmtId="0" fontId="1" fillId="9383" borderId="0" xfId="4" applyFill="1" applyAlignment="1">
      <alignment horizontal="center" vertical="center"/>
    </xf>
    <xf numFmtId="0" fontId="1" fillId="9384" borderId="0" xfId="4" applyFill="1" applyAlignment="1">
      <alignment horizontal="center" vertical="center"/>
    </xf>
    <xf numFmtId="0" fontId="1" fillId="9385" borderId="0" xfId="4" applyFill="1" applyAlignment="1">
      <alignment horizontal="center" vertical="center"/>
    </xf>
    <xf numFmtId="0" fontId="1" fillId="9386" borderId="0" xfId="4" applyFill="1" applyAlignment="1">
      <alignment horizontal="center" vertical="center"/>
    </xf>
    <xf numFmtId="0" fontId="1" fillId="9387" borderId="0" xfId="4" applyFill="1" applyAlignment="1">
      <alignment horizontal="center" vertical="center"/>
    </xf>
    <xf numFmtId="0" fontId="1" fillId="9388" borderId="0" xfId="4" applyFill="1" applyAlignment="1">
      <alignment horizontal="center" vertical="center"/>
    </xf>
    <xf numFmtId="0" fontId="1" fillId="9389" borderId="0" xfId="4" applyFill="1" applyAlignment="1">
      <alignment horizontal="center" vertical="center"/>
    </xf>
    <xf numFmtId="0" fontId="1" fillId="9390" borderId="0" xfId="4" applyFill="1" applyAlignment="1">
      <alignment horizontal="center" vertical="center"/>
    </xf>
    <xf numFmtId="0" fontId="1" fillId="9391" borderId="0" xfId="4" applyFill="1" applyAlignment="1">
      <alignment horizontal="center" vertical="center"/>
    </xf>
    <xf numFmtId="0" fontId="1" fillId="9392" borderId="0" xfId="4" applyFill="1" applyAlignment="1">
      <alignment horizontal="center" vertical="center"/>
    </xf>
    <xf numFmtId="0" fontId="1" fillId="9393" borderId="0" xfId="4" applyFill="1" applyAlignment="1">
      <alignment horizontal="center" vertical="center"/>
    </xf>
    <xf numFmtId="0" fontId="1" fillId="9394" borderId="0" xfId="4" applyFill="1" applyAlignment="1">
      <alignment horizontal="center" vertical="center"/>
    </xf>
    <xf numFmtId="0" fontId="1" fillId="9395" borderId="0" xfId="4" applyFill="1" applyAlignment="1">
      <alignment horizontal="center" vertical="center"/>
    </xf>
    <xf numFmtId="0" fontId="1" fillId="9396" borderId="0" xfId="4" applyFill="1" applyAlignment="1">
      <alignment horizontal="center" vertical="center"/>
    </xf>
    <xf numFmtId="0" fontId="1" fillId="9397" borderId="0" xfId="4" applyFill="1" applyAlignment="1">
      <alignment horizontal="center" vertical="center"/>
    </xf>
    <xf numFmtId="0" fontId="1" fillId="9398" borderId="0" xfId="4" applyFill="1" applyAlignment="1">
      <alignment horizontal="left" vertical="center"/>
    </xf>
    <xf numFmtId="0" fontId="1" fillId="9399" borderId="0" xfId="4" applyFill="1" applyAlignment="1">
      <alignment horizontal="center" vertical="center"/>
    </xf>
    <xf numFmtId="0" fontId="1" fillId="9400" borderId="0" xfId="4" applyFill="1" applyAlignment="1">
      <alignment horizontal="center" vertical="center"/>
    </xf>
    <xf numFmtId="0" fontId="1" fillId="9401" borderId="0" xfId="4" applyFill="1" applyAlignment="1">
      <alignment horizontal="center" vertical="center"/>
    </xf>
    <xf numFmtId="0" fontId="1" fillId="9402" borderId="0" xfId="4" applyFill="1" applyAlignment="1">
      <alignment horizontal="center" vertical="center"/>
    </xf>
    <xf numFmtId="0" fontId="1" fillId="9403" borderId="0" xfId="4" applyFill="1" applyAlignment="1">
      <alignment horizontal="center" vertical="center"/>
    </xf>
    <xf numFmtId="0" fontId="1" fillId="9404" borderId="0" xfId="4" applyFill="1" applyAlignment="1">
      <alignment horizontal="center" vertical="center"/>
    </xf>
    <xf numFmtId="0" fontId="1" fillId="9405" borderId="0" xfId="4" applyFill="1" applyAlignment="1">
      <alignment horizontal="center" vertical="center"/>
    </xf>
    <xf numFmtId="0" fontId="1" fillId="9406" borderId="0" xfId="4" applyFill="1" applyAlignment="1">
      <alignment horizontal="center" vertical="center"/>
    </xf>
    <xf numFmtId="0" fontId="1" fillId="9407" borderId="0" xfId="4" applyFill="1" applyAlignment="1">
      <alignment horizontal="center" vertical="center"/>
    </xf>
    <xf numFmtId="0" fontId="1" fillId="9408" borderId="0" xfId="4" applyFill="1" applyAlignment="1">
      <alignment horizontal="center" vertical="center"/>
    </xf>
    <xf numFmtId="0" fontId="1" fillId="9409" borderId="0" xfId="4" applyFill="1" applyAlignment="1">
      <alignment horizontal="center" vertical="center"/>
    </xf>
    <xf numFmtId="0" fontId="1" fillId="9410" borderId="0" xfId="4" applyFill="1" applyAlignment="1">
      <alignment horizontal="center" vertical="center"/>
    </xf>
    <xf numFmtId="0" fontId="1" fillId="9411" borderId="0" xfId="4" applyFill="1" applyAlignment="1">
      <alignment horizontal="center" vertical="center"/>
    </xf>
    <xf numFmtId="0" fontId="1" fillId="9412" borderId="0" xfId="4" applyFill="1" applyAlignment="1">
      <alignment horizontal="center" vertical="center"/>
    </xf>
    <xf numFmtId="0" fontId="1" fillId="9413" borderId="0" xfId="4" applyFill="1" applyAlignment="1">
      <alignment horizontal="center" vertical="center"/>
    </xf>
    <xf numFmtId="0" fontId="1" fillId="9414" borderId="0" xfId="4" applyFill="1" applyAlignment="1">
      <alignment horizontal="center" vertical="center"/>
    </xf>
    <xf numFmtId="0" fontId="1" fillId="9415" borderId="0" xfId="4" applyFill="1" applyAlignment="1">
      <alignment horizontal="center" vertical="center"/>
    </xf>
    <xf numFmtId="0" fontId="1" fillId="9416" borderId="0" xfId="4" applyFill="1" applyAlignment="1">
      <alignment horizontal="center" vertical="center"/>
    </xf>
    <xf numFmtId="0" fontId="1" fillId="9417" borderId="0" xfId="4" applyFill="1" applyAlignment="1">
      <alignment horizontal="center" vertical="center"/>
    </xf>
    <xf numFmtId="0" fontId="1" fillId="9418" borderId="0" xfId="4" applyFill="1" applyAlignment="1">
      <alignment horizontal="center" vertical="center"/>
    </xf>
    <xf numFmtId="0" fontId="1" fillId="9419" borderId="0" xfId="4" applyFill="1" applyAlignment="1">
      <alignment horizontal="center" vertical="center"/>
    </xf>
    <xf numFmtId="0" fontId="1" fillId="9420" borderId="0" xfId="4" applyFill="1" applyAlignment="1">
      <alignment horizontal="center" vertical="center"/>
    </xf>
    <xf numFmtId="0" fontId="1" fillId="9421" borderId="0" xfId="4" applyFill="1" applyAlignment="1">
      <alignment horizontal="center" vertical="center"/>
    </xf>
    <xf numFmtId="0" fontId="1" fillId="9422" borderId="0" xfId="4" applyFill="1" applyAlignment="1">
      <alignment horizontal="center" vertical="center"/>
    </xf>
    <xf numFmtId="0" fontId="1" fillId="9423" borderId="0" xfId="4" applyFill="1" applyAlignment="1">
      <alignment horizontal="center" vertical="center"/>
    </xf>
    <xf numFmtId="0" fontId="1" fillId="9424" borderId="0" xfId="4" applyFill="1" applyAlignment="1">
      <alignment horizontal="center" vertical="center"/>
    </xf>
    <xf numFmtId="0" fontId="1" fillId="9425" borderId="0" xfId="4" applyFill="1" applyAlignment="1">
      <alignment horizontal="center" vertical="center"/>
    </xf>
    <xf numFmtId="0" fontId="1" fillId="9426" borderId="0" xfId="4" applyFill="1" applyAlignment="1">
      <alignment horizontal="center" vertical="center"/>
    </xf>
    <xf numFmtId="0" fontId="1" fillId="9427" borderId="0" xfId="4" applyFill="1" applyAlignment="1">
      <alignment horizontal="center" vertical="center"/>
    </xf>
    <xf numFmtId="0" fontId="1" fillId="9428" borderId="0" xfId="4" applyFill="1" applyAlignment="1">
      <alignment horizontal="center" vertical="center"/>
    </xf>
    <xf numFmtId="0" fontId="1" fillId="9429" borderId="0" xfId="4" applyFill="1" applyAlignment="1">
      <alignment horizontal="center" vertical="center"/>
    </xf>
    <xf numFmtId="0" fontId="1" fillId="9430" borderId="0" xfId="4" applyFill="1" applyAlignment="1">
      <alignment horizontal="left" vertical="center"/>
    </xf>
    <xf numFmtId="0" fontId="1" fillId="9431" borderId="0" xfId="4" applyFill="1" applyAlignment="1">
      <alignment horizontal="center" vertical="center"/>
    </xf>
    <xf numFmtId="0" fontId="1" fillId="9432" borderId="0" xfId="4" applyFill="1" applyAlignment="1">
      <alignment horizontal="center" vertical="center"/>
    </xf>
    <xf numFmtId="0" fontId="1" fillId="9433" borderId="0" xfId="4" applyFill="1" applyAlignment="1">
      <alignment horizontal="center" vertical="center"/>
    </xf>
    <xf numFmtId="0" fontId="1" fillId="9434" borderId="0" xfId="4" applyFill="1" applyAlignment="1">
      <alignment horizontal="center" vertical="center"/>
    </xf>
    <xf numFmtId="0" fontId="1" fillId="9435" borderId="0" xfId="4" applyFill="1" applyAlignment="1">
      <alignment horizontal="center" vertical="center"/>
    </xf>
    <xf numFmtId="0" fontId="1" fillId="9436" borderId="0" xfId="4" applyFill="1" applyAlignment="1">
      <alignment horizontal="center" vertical="center"/>
    </xf>
    <xf numFmtId="0" fontId="1" fillId="9437" borderId="0" xfId="4" applyFill="1" applyAlignment="1">
      <alignment horizontal="center" vertical="center"/>
    </xf>
    <xf numFmtId="0" fontId="1" fillId="9438" borderId="0" xfId="4" applyFill="1" applyAlignment="1">
      <alignment horizontal="center" vertical="center"/>
    </xf>
    <xf numFmtId="0" fontId="1" fillId="9439" borderId="0" xfId="4" applyFill="1" applyAlignment="1">
      <alignment horizontal="center" vertical="center"/>
    </xf>
    <xf numFmtId="0" fontId="1" fillId="9440" borderId="0" xfId="4" applyFill="1" applyAlignment="1">
      <alignment horizontal="center" vertical="center"/>
    </xf>
    <xf numFmtId="0" fontId="1" fillId="9441" borderId="0" xfId="4" applyFill="1" applyAlignment="1">
      <alignment horizontal="center" vertical="center"/>
    </xf>
    <xf numFmtId="0" fontId="1" fillId="9442" borderId="0" xfId="4" applyFill="1" applyAlignment="1">
      <alignment horizontal="center" vertical="center"/>
    </xf>
    <xf numFmtId="0" fontId="1" fillId="9443" borderId="0" xfId="4" applyFill="1" applyAlignment="1">
      <alignment horizontal="center" vertical="center"/>
    </xf>
    <xf numFmtId="0" fontId="1" fillId="9444" borderId="0" xfId="4" applyFill="1" applyAlignment="1">
      <alignment horizontal="center" vertical="center"/>
    </xf>
    <xf numFmtId="0" fontId="1" fillId="9445" borderId="0" xfId="4" applyFill="1" applyAlignment="1">
      <alignment horizontal="center" vertical="center"/>
    </xf>
    <xf numFmtId="0" fontId="1" fillId="9446" borderId="0" xfId="4" applyFill="1" applyAlignment="1">
      <alignment horizontal="center" vertical="center"/>
    </xf>
    <xf numFmtId="0" fontId="1" fillId="9447" borderId="0" xfId="4" applyFill="1" applyAlignment="1">
      <alignment horizontal="center" vertical="center"/>
    </xf>
    <xf numFmtId="0" fontId="1" fillId="9448" borderId="0" xfId="4" applyFill="1" applyAlignment="1">
      <alignment horizontal="center" vertical="center"/>
    </xf>
    <xf numFmtId="0" fontId="1" fillId="9449" borderId="0" xfId="4" applyFill="1" applyAlignment="1">
      <alignment horizontal="center" vertical="center"/>
    </xf>
    <xf numFmtId="0" fontId="1" fillId="9450" borderId="0" xfId="4" applyFill="1" applyAlignment="1">
      <alignment horizontal="center" vertical="center"/>
    </xf>
    <xf numFmtId="0" fontId="1" fillId="9451" borderId="0" xfId="4" applyFill="1" applyAlignment="1">
      <alignment horizontal="center" vertical="center"/>
    </xf>
    <xf numFmtId="0" fontId="1" fillId="9452" borderId="0" xfId="4" applyFill="1" applyAlignment="1">
      <alignment horizontal="center" vertical="center"/>
    </xf>
    <xf numFmtId="0" fontId="1" fillId="9453" borderId="0" xfId="4" applyFill="1" applyAlignment="1">
      <alignment horizontal="center" vertical="center"/>
    </xf>
    <xf numFmtId="0" fontId="1" fillId="9454" borderId="0" xfId="4" applyFill="1" applyAlignment="1">
      <alignment horizontal="center" vertical="center"/>
    </xf>
    <xf numFmtId="0" fontId="1" fillId="9455" borderId="0" xfId="4" applyFill="1" applyAlignment="1">
      <alignment horizontal="center" vertical="center"/>
    </xf>
    <xf numFmtId="0" fontId="1" fillId="9456" borderId="0" xfId="4" applyFill="1" applyAlignment="1">
      <alignment horizontal="center" vertical="center"/>
    </xf>
    <xf numFmtId="0" fontId="1" fillId="9457" borderId="0" xfId="4" applyFill="1" applyAlignment="1">
      <alignment horizontal="center" vertical="center"/>
    </xf>
    <xf numFmtId="0" fontId="1" fillId="9458" borderId="0" xfId="4" applyFill="1" applyAlignment="1">
      <alignment horizontal="center" vertical="center"/>
    </xf>
    <xf numFmtId="0" fontId="1" fillId="9459" borderId="0" xfId="4" applyFill="1" applyAlignment="1">
      <alignment horizontal="center" vertical="center"/>
    </xf>
    <xf numFmtId="0" fontId="1" fillId="9460" borderId="0" xfId="4" applyFill="1" applyAlignment="1">
      <alignment horizontal="center" vertical="center"/>
    </xf>
    <xf numFmtId="0" fontId="1" fillId="9461" borderId="0" xfId="4" applyFill="1" applyAlignment="1">
      <alignment horizontal="center" vertical="center"/>
    </xf>
    <xf numFmtId="0" fontId="1" fillId="9462" borderId="0" xfId="4" applyFill="1" applyAlignment="1">
      <alignment horizontal="center" vertical="center"/>
    </xf>
    <xf numFmtId="0" fontId="1" fillId="9463" borderId="0" xfId="4" applyFill="1" applyAlignment="1">
      <alignment horizontal="center" vertical="center"/>
    </xf>
    <xf numFmtId="0" fontId="1" fillId="9464" borderId="0" xfId="4" applyFill="1" applyAlignment="1">
      <alignment horizontal="center" vertical="center"/>
    </xf>
    <xf numFmtId="0" fontId="1" fillId="9465" borderId="0" xfId="4" applyFill="1" applyAlignment="1">
      <alignment horizontal="center" vertical="center"/>
    </xf>
    <xf numFmtId="0" fontId="1" fillId="9466" borderId="0" xfId="4" applyFill="1" applyAlignment="1">
      <alignment horizontal="center" vertical="center"/>
    </xf>
    <xf numFmtId="0" fontId="1" fillId="9467" borderId="0" xfId="4" applyFill="1" applyAlignment="1">
      <alignment horizontal="center" vertical="center"/>
    </xf>
    <xf numFmtId="0" fontId="1" fillId="9468" borderId="0" xfId="4" applyFill="1" applyAlignment="1">
      <alignment horizontal="center" vertical="center"/>
    </xf>
    <xf numFmtId="0" fontId="1" fillId="9469" borderId="0" xfId="4" applyFill="1" applyAlignment="1">
      <alignment horizontal="center" vertical="center"/>
    </xf>
    <xf numFmtId="0" fontId="1" fillId="9470" borderId="0" xfId="4" applyFill="1" applyAlignment="1">
      <alignment horizontal="center" vertical="center"/>
    </xf>
    <xf numFmtId="0" fontId="1" fillId="9471" borderId="0" xfId="4" applyFill="1" applyAlignment="1">
      <alignment horizontal="center" vertical="center"/>
    </xf>
    <xf numFmtId="0" fontId="1" fillId="9472" borderId="0" xfId="4" applyFill="1" applyAlignment="1">
      <alignment horizontal="center" vertical="center"/>
    </xf>
    <xf numFmtId="0" fontId="1" fillId="9473" borderId="0" xfId="4" applyFill="1" applyAlignment="1">
      <alignment horizontal="center" vertical="center"/>
    </xf>
    <xf numFmtId="0" fontId="1" fillId="9474" borderId="0" xfId="4" applyFill="1" applyAlignment="1">
      <alignment horizontal="center" vertical="center"/>
    </xf>
    <xf numFmtId="0" fontId="1" fillId="9475" borderId="0" xfId="4" applyFill="1" applyAlignment="1">
      <alignment horizontal="center" vertical="center"/>
    </xf>
    <xf numFmtId="0" fontId="1" fillId="9476" borderId="0" xfId="4" applyFill="1" applyAlignment="1">
      <alignment horizontal="center" vertical="center"/>
    </xf>
    <xf numFmtId="0" fontId="1" fillId="9477" borderId="0" xfId="4" applyFill="1" applyAlignment="1">
      <alignment horizontal="center" vertical="center"/>
    </xf>
    <xf numFmtId="0" fontId="1" fillId="9478" borderId="0" xfId="4" applyFill="1" applyAlignment="1">
      <alignment horizontal="center" vertical="center"/>
    </xf>
    <xf numFmtId="0" fontId="1" fillId="9479" borderId="0" xfId="4" applyFill="1" applyAlignment="1">
      <alignment horizontal="center" vertical="center"/>
    </xf>
    <xf numFmtId="0" fontId="1" fillId="9480" borderId="0" xfId="4" applyFill="1" applyAlignment="1">
      <alignment horizontal="center" vertical="center"/>
    </xf>
    <xf numFmtId="0" fontId="1" fillId="9481" borderId="0" xfId="4" applyFill="1" applyAlignment="1">
      <alignment horizontal="center" vertical="center"/>
    </xf>
    <xf numFmtId="0" fontId="1" fillId="9482" borderId="0" xfId="4" applyFill="1" applyAlignment="1">
      <alignment horizontal="left" vertical="center"/>
    </xf>
    <xf numFmtId="0" fontId="1" fillId="9483" borderId="0" xfId="4" applyFill="1" applyAlignment="1">
      <alignment horizontal="center" vertical="center"/>
    </xf>
    <xf numFmtId="0" fontId="1" fillId="9484" borderId="0" xfId="4" applyFill="1" applyAlignment="1">
      <alignment horizontal="center" vertical="center"/>
    </xf>
    <xf numFmtId="0" fontId="1" fillId="9485" borderId="0" xfId="4" applyFill="1" applyAlignment="1">
      <alignment horizontal="center" vertical="center"/>
    </xf>
    <xf numFmtId="0" fontId="1" fillId="9486" borderId="0" xfId="4" applyFill="1" applyAlignment="1">
      <alignment horizontal="center" vertical="center"/>
    </xf>
    <xf numFmtId="0" fontId="1" fillId="9487" borderId="0" xfId="4" applyFill="1" applyAlignment="1">
      <alignment horizontal="center" vertical="center"/>
    </xf>
    <xf numFmtId="0" fontId="1" fillId="9488" borderId="0" xfId="4" applyFill="1" applyAlignment="1">
      <alignment horizontal="center" vertical="center"/>
    </xf>
    <xf numFmtId="0" fontId="1" fillId="9489" borderId="0" xfId="4" applyFill="1" applyAlignment="1">
      <alignment horizontal="center" vertical="center"/>
    </xf>
    <xf numFmtId="0" fontId="1" fillId="9490" borderId="0" xfId="4" applyFill="1" applyAlignment="1">
      <alignment horizontal="center" vertical="center"/>
    </xf>
    <xf numFmtId="0" fontId="1" fillId="9491" borderId="0" xfId="4" applyFill="1" applyAlignment="1">
      <alignment horizontal="center" vertical="center"/>
    </xf>
    <xf numFmtId="0" fontId="1" fillId="9492" borderId="0" xfId="4" applyFill="1" applyAlignment="1">
      <alignment horizontal="center" vertical="center"/>
    </xf>
    <xf numFmtId="0" fontId="1" fillId="9493" borderId="0" xfId="4" applyFill="1" applyAlignment="1">
      <alignment horizontal="center" vertical="center"/>
    </xf>
    <xf numFmtId="0" fontId="1" fillId="9494" borderId="0" xfId="4" applyFill="1" applyAlignment="1">
      <alignment horizontal="center" vertical="center"/>
    </xf>
    <xf numFmtId="0" fontId="1" fillId="9495" borderId="0" xfId="4" applyFill="1" applyAlignment="1">
      <alignment horizontal="center" vertical="center"/>
    </xf>
    <xf numFmtId="0" fontId="1" fillId="9496" borderId="0" xfId="4" applyFill="1" applyAlignment="1">
      <alignment horizontal="center" vertical="center"/>
    </xf>
    <xf numFmtId="0" fontId="1" fillId="9497" borderId="0" xfId="4" applyFill="1" applyAlignment="1">
      <alignment horizontal="center" vertical="center"/>
    </xf>
    <xf numFmtId="0" fontId="1" fillId="9498" borderId="0" xfId="4" applyFill="1" applyAlignment="1">
      <alignment horizontal="center" vertical="center"/>
    </xf>
    <xf numFmtId="0" fontId="1" fillId="9499" borderId="0" xfId="4" applyFill="1" applyAlignment="1">
      <alignment horizontal="center" vertical="center"/>
    </xf>
    <xf numFmtId="0" fontId="1" fillId="9500" borderId="0" xfId="4" applyFill="1" applyAlignment="1">
      <alignment horizontal="center" vertical="center"/>
    </xf>
    <xf numFmtId="0" fontId="1" fillId="9501" borderId="0" xfId="4" applyFill="1" applyAlignment="1">
      <alignment horizontal="center" vertical="center"/>
    </xf>
    <xf numFmtId="0" fontId="1" fillId="9502" borderId="0" xfId="4" applyFill="1" applyAlignment="1">
      <alignment horizontal="center" vertical="center"/>
    </xf>
    <xf numFmtId="0" fontId="1" fillId="9503" borderId="0" xfId="4" applyFill="1" applyAlignment="1">
      <alignment horizontal="center" vertical="center"/>
    </xf>
    <xf numFmtId="0" fontId="1" fillId="9504" borderId="0" xfId="4" applyFill="1" applyAlignment="1">
      <alignment horizontal="center" vertical="center"/>
    </xf>
    <xf numFmtId="0" fontId="1" fillId="9505" borderId="0" xfId="4" applyFill="1" applyAlignment="1">
      <alignment horizontal="center" vertical="center"/>
    </xf>
    <xf numFmtId="0" fontId="1" fillId="9506" borderId="0" xfId="4" applyFill="1" applyAlignment="1">
      <alignment horizontal="center" vertical="center"/>
    </xf>
    <xf numFmtId="0" fontId="1" fillId="9507" borderId="0" xfId="4" applyFill="1" applyAlignment="1">
      <alignment horizontal="center" vertical="center"/>
    </xf>
    <xf numFmtId="0" fontId="1" fillId="9508" borderId="0" xfId="4" applyFill="1" applyAlignment="1">
      <alignment horizontal="center" vertical="center"/>
    </xf>
    <xf numFmtId="0" fontId="1" fillId="9509" borderId="0" xfId="4" applyFill="1" applyAlignment="1">
      <alignment horizontal="center" vertical="center"/>
    </xf>
    <xf numFmtId="0" fontId="1" fillId="9510" borderId="0" xfId="4" applyFill="1" applyAlignment="1">
      <alignment horizontal="center" vertical="center"/>
    </xf>
    <xf numFmtId="0" fontId="1" fillId="9511" borderId="0" xfId="4" applyFill="1" applyAlignment="1">
      <alignment horizontal="center" vertical="center"/>
    </xf>
    <xf numFmtId="0" fontId="1" fillId="9512" borderId="0" xfId="4" applyFill="1" applyAlignment="1">
      <alignment horizontal="left" vertical="center"/>
    </xf>
    <xf numFmtId="0" fontId="1" fillId="9513" borderId="0" xfId="4" applyFill="1" applyAlignment="1">
      <alignment horizontal="center" vertical="center"/>
    </xf>
    <xf numFmtId="0" fontId="1" fillId="9514" borderId="0" xfId="4" applyFill="1" applyAlignment="1">
      <alignment horizontal="center" vertical="center"/>
    </xf>
    <xf numFmtId="0" fontId="1" fillId="9515" borderId="0" xfId="4" applyFill="1" applyAlignment="1">
      <alignment horizontal="center" vertical="center"/>
    </xf>
    <xf numFmtId="0" fontId="1" fillId="9516" borderId="0" xfId="4" applyFill="1" applyAlignment="1">
      <alignment horizontal="center" vertical="center"/>
    </xf>
    <xf numFmtId="0" fontId="1" fillId="9517" borderId="0" xfId="4" applyFill="1" applyAlignment="1">
      <alignment horizontal="center" vertical="center"/>
    </xf>
    <xf numFmtId="0" fontId="1" fillId="9518" borderId="0" xfId="4" applyFill="1" applyAlignment="1">
      <alignment horizontal="center" vertical="center"/>
    </xf>
    <xf numFmtId="0" fontId="1" fillId="9519" borderId="0" xfId="4" applyFill="1" applyAlignment="1">
      <alignment horizontal="center" vertical="center"/>
    </xf>
    <xf numFmtId="0" fontId="1" fillId="9520" borderId="0" xfId="4" applyFill="1" applyAlignment="1">
      <alignment horizontal="center" vertical="center"/>
    </xf>
    <xf numFmtId="0" fontId="1" fillId="9521" borderId="0" xfId="4" applyFill="1" applyAlignment="1">
      <alignment horizontal="center" vertical="center"/>
    </xf>
    <xf numFmtId="0" fontId="1" fillId="9522" borderId="0" xfId="4" applyFill="1" applyAlignment="1">
      <alignment horizontal="center" vertical="center"/>
    </xf>
    <xf numFmtId="0" fontId="1" fillId="9523" borderId="0" xfId="4" applyFill="1" applyAlignment="1">
      <alignment horizontal="center" vertical="center"/>
    </xf>
    <xf numFmtId="0" fontId="1" fillId="9524" borderId="0" xfId="4" applyFill="1" applyAlignment="1">
      <alignment horizontal="center" vertical="center"/>
    </xf>
    <xf numFmtId="0" fontId="1" fillId="9525" borderId="0" xfId="4" applyFill="1" applyAlignment="1">
      <alignment horizontal="center" vertical="center"/>
    </xf>
    <xf numFmtId="0" fontId="1" fillId="9526" borderId="0" xfId="4" applyFill="1" applyAlignment="1">
      <alignment horizontal="center" vertical="center"/>
    </xf>
    <xf numFmtId="0" fontId="1" fillId="9527" borderId="0" xfId="4" applyFill="1" applyAlignment="1">
      <alignment horizontal="center" vertical="center"/>
    </xf>
    <xf numFmtId="0" fontId="1" fillId="9528" borderId="0" xfId="4" applyFill="1" applyAlignment="1">
      <alignment horizontal="center" vertical="center"/>
    </xf>
    <xf numFmtId="0" fontId="1" fillId="9529" borderId="0" xfId="4" applyFill="1" applyAlignment="1">
      <alignment horizontal="center" vertical="center"/>
    </xf>
    <xf numFmtId="0" fontId="1" fillId="9530" borderId="0" xfId="4" applyFill="1" applyAlignment="1">
      <alignment horizontal="center" vertical="center"/>
    </xf>
    <xf numFmtId="0" fontId="1" fillId="9531" borderId="0" xfId="4" applyFill="1" applyAlignment="1">
      <alignment horizontal="center" vertical="center"/>
    </xf>
    <xf numFmtId="0" fontId="1" fillId="9532" borderId="0" xfId="4" applyFill="1" applyAlignment="1">
      <alignment horizontal="center" vertical="center"/>
    </xf>
    <xf numFmtId="0" fontId="1" fillId="9533" borderId="0" xfId="4" applyFill="1" applyAlignment="1">
      <alignment horizontal="center" vertical="center"/>
    </xf>
    <xf numFmtId="0" fontId="1" fillId="9534" borderId="0" xfId="4" applyFill="1" applyAlignment="1">
      <alignment horizontal="center" vertical="center"/>
    </xf>
    <xf numFmtId="0" fontId="1" fillId="9535" borderId="0" xfId="4" applyFill="1" applyAlignment="1">
      <alignment horizontal="center" vertical="center"/>
    </xf>
    <xf numFmtId="0" fontId="1" fillId="9536" borderId="0" xfId="4" applyFill="1" applyAlignment="1">
      <alignment horizontal="center" vertical="center"/>
    </xf>
    <xf numFmtId="0" fontId="1" fillId="9537" borderId="0" xfId="4" applyFill="1" applyAlignment="1">
      <alignment horizontal="center" vertical="center"/>
    </xf>
    <xf numFmtId="0" fontId="1" fillId="9538" borderId="0" xfId="4" applyFill="1" applyAlignment="1">
      <alignment horizontal="center" vertical="center"/>
    </xf>
    <xf numFmtId="0" fontId="1" fillId="9539" borderId="0" xfId="4" applyFill="1" applyAlignment="1">
      <alignment horizontal="center" vertical="center"/>
    </xf>
    <xf numFmtId="0" fontId="1" fillId="9540" borderId="0" xfId="4" applyFill="1" applyAlignment="1">
      <alignment horizontal="center" vertical="center"/>
    </xf>
    <xf numFmtId="0" fontId="1" fillId="9541" borderId="0" xfId="4" applyFill="1" applyAlignment="1">
      <alignment horizontal="center" vertical="center"/>
    </xf>
    <xf numFmtId="0" fontId="1" fillId="9542" borderId="0" xfId="4" applyFill="1" applyAlignment="1">
      <alignment horizontal="center" vertical="center"/>
    </xf>
    <xf numFmtId="0" fontId="1" fillId="9543" borderId="0" xfId="4" applyFill="1" applyAlignment="1">
      <alignment horizontal="center" vertical="center"/>
    </xf>
    <xf numFmtId="0" fontId="1" fillId="9544" borderId="0" xfId="4" applyFill="1" applyAlignment="1">
      <alignment horizontal="center" vertical="center"/>
    </xf>
    <xf numFmtId="0" fontId="1" fillId="9545" borderId="0" xfId="4" applyFill="1" applyAlignment="1">
      <alignment horizontal="center" vertical="center"/>
    </xf>
    <xf numFmtId="0" fontId="1" fillId="9546" borderId="0" xfId="4" applyFill="1" applyAlignment="1">
      <alignment horizontal="center" vertical="center"/>
    </xf>
    <xf numFmtId="0" fontId="1" fillId="9547" borderId="0" xfId="4" applyFill="1" applyAlignment="1">
      <alignment horizontal="center" vertical="center"/>
    </xf>
    <xf numFmtId="0" fontId="1" fillId="9548" borderId="0" xfId="4" applyFill="1" applyAlignment="1">
      <alignment horizontal="center" vertical="center"/>
    </xf>
    <xf numFmtId="0" fontId="1" fillId="9549" borderId="0" xfId="4" applyFill="1" applyAlignment="1">
      <alignment horizontal="center" vertical="center"/>
    </xf>
    <xf numFmtId="0" fontId="1" fillId="9550" borderId="0" xfId="4" applyFill="1" applyAlignment="1">
      <alignment horizontal="center" vertical="center"/>
    </xf>
    <xf numFmtId="0" fontId="1" fillId="9551" borderId="0" xfId="4" applyFill="1" applyAlignment="1">
      <alignment horizontal="center" vertical="center"/>
    </xf>
    <xf numFmtId="0" fontId="1" fillId="9552" borderId="0" xfId="4" applyFill="1" applyAlignment="1">
      <alignment horizontal="center" vertical="center"/>
    </xf>
    <xf numFmtId="0" fontId="1" fillId="9553" borderId="0" xfId="4" applyFill="1" applyAlignment="1">
      <alignment horizontal="center" vertical="center"/>
    </xf>
    <xf numFmtId="0" fontId="1" fillId="9554" borderId="0" xfId="4" applyFill="1" applyAlignment="1">
      <alignment horizontal="center" vertical="center"/>
    </xf>
    <xf numFmtId="0" fontId="1" fillId="9555" borderId="0" xfId="4" applyFill="1" applyAlignment="1">
      <alignment horizontal="center" vertical="center"/>
    </xf>
    <xf numFmtId="0" fontId="1" fillId="9556" borderId="0" xfId="4" applyFill="1" applyAlignment="1">
      <alignment horizontal="center" vertical="center"/>
    </xf>
    <xf numFmtId="0" fontId="1" fillId="9557" borderId="0" xfId="4" applyFill="1" applyAlignment="1">
      <alignment horizontal="center" vertical="center"/>
    </xf>
    <xf numFmtId="0" fontId="1" fillId="9558" borderId="0" xfId="4" applyFill="1" applyAlignment="1">
      <alignment horizontal="center" vertical="center"/>
    </xf>
    <xf numFmtId="0" fontId="1" fillId="9559" borderId="0" xfId="4" applyFill="1" applyAlignment="1">
      <alignment horizontal="center" vertical="center"/>
    </xf>
    <xf numFmtId="0" fontId="1" fillId="9560" borderId="0" xfId="4" applyFill="1" applyAlignment="1">
      <alignment horizontal="center" vertical="center"/>
    </xf>
    <xf numFmtId="0" fontId="1" fillId="9561" borderId="0" xfId="4" applyFill="1" applyAlignment="1">
      <alignment horizontal="center" vertical="center"/>
    </xf>
    <xf numFmtId="0" fontId="1" fillId="9562" borderId="0" xfId="4" applyFill="1" applyAlignment="1">
      <alignment horizontal="center" vertical="center"/>
    </xf>
    <xf numFmtId="0" fontId="1" fillId="9563" borderId="0" xfId="4" applyFill="1" applyAlignment="1">
      <alignment horizontal="center" vertical="center"/>
    </xf>
    <xf numFmtId="0" fontId="1" fillId="9564" borderId="0" xfId="4" applyFill="1" applyAlignment="1">
      <alignment horizontal="center" vertical="center"/>
    </xf>
    <xf numFmtId="0" fontId="1" fillId="9565" borderId="0" xfId="4" applyFill="1" applyAlignment="1">
      <alignment horizontal="left" vertical="center"/>
    </xf>
    <xf numFmtId="0" fontId="1" fillId="9566" borderId="0" xfId="4" applyFill="1" applyAlignment="1">
      <alignment horizontal="center" vertical="center"/>
    </xf>
    <xf numFmtId="0" fontId="1" fillId="9567" borderId="0" xfId="4" applyFill="1" applyAlignment="1">
      <alignment horizontal="center" vertical="center"/>
    </xf>
    <xf numFmtId="0" fontId="1" fillId="9568" borderId="0" xfId="4" applyFill="1" applyAlignment="1">
      <alignment horizontal="center" vertical="center"/>
    </xf>
    <xf numFmtId="0" fontId="1" fillId="9569" borderId="0" xfId="4" applyFill="1" applyAlignment="1">
      <alignment horizontal="center" vertical="center"/>
    </xf>
    <xf numFmtId="0" fontId="1" fillId="9570" borderId="0" xfId="4" applyFill="1" applyAlignment="1">
      <alignment horizontal="center" vertical="center"/>
    </xf>
    <xf numFmtId="0" fontId="1" fillId="9571" borderId="0" xfId="4" applyFill="1" applyAlignment="1">
      <alignment horizontal="center" vertical="center"/>
    </xf>
    <xf numFmtId="0" fontId="1" fillId="9572" borderId="0" xfId="4" applyFill="1" applyAlignment="1">
      <alignment horizontal="center" vertical="center"/>
    </xf>
    <xf numFmtId="0" fontId="1" fillId="9573" borderId="0" xfId="4" applyFill="1" applyAlignment="1">
      <alignment horizontal="center" vertical="center"/>
    </xf>
    <xf numFmtId="0" fontId="1" fillId="9574" borderId="0" xfId="4" applyFill="1" applyAlignment="1">
      <alignment horizontal="center" vertical="center"/>
    </xf>
    <xf numFmtId="0" fontId="1" fillId="9575" borderId="0" xfId="4" applyFill="1" applyAlignment="1">
      <alignment horizontal="center" vertical="center"/>
    </xf>
    <xf numFmtId="0" fontId="1" fillId="9576" borderId="0" xfId="4" applyFill="1" applyAlignment="1">
      <alignment horizontal="center" vertical="center"/>
    </xf>
    <xf numFmtId="0" fontId="1" fillId="9577" borderId="0" xfId="4" applyFill="1" applyAlignment="1">
      <alignment horizontal="center" vertical="center"/>
    </xf>
    <xf numFmtId="0" fontId="1" fillId="9578" borderId="0" xfId="4" applyFill="1" applyAlignment="1">
      <alignment horizontal="center" vertical="center"/>
    </xf>
    <xf numFmtId="0" fontId="1" fillId="9579" borderId="0" xfId="4" applyFill="1" applyAlignment="1">
      <alignment horizontal="center" vertical="center"/>
    </xf>
    <xf numFmtId="0" fontId="1" fillId="9580" borderId="0" xfId="4" applyFill="1" applyAlignment="1">
      <alignment horizontal="center" vertical="center"/>
    </xf>
    <xf numFmtId="0" fontId="1" fillId="9581" borderId="0" xfId="4" applyFill="1" applyAlignment="1">
      <alignment horizontal="center" vertical="center"/>
    </xf>
    <xf numFmtId="0" fontId="1" fillId="9582" borderId="0" xfId="4" applyFill="1" applyAlignment="1">
      <alignment horizontal="center" vertical="center"/>
    </xf>
    <xf numFmtId="0" fontId="1" fillId="9583" borderId="0" xfId="4" applyFill="1" applyAlignment="1">
      <alignment horizontal="center" vertical="center"/>
    </xf>
    <xf numFmtId="0" fontId="1" fillId="9584" borderId="0" xfId="4" applyFill="1" applyAlignment="1">
      <alignment horizontal="center" vertical="center"/>
    </xf>
    <xf numFmtId="0" fontId="1" fillId="9585" borderId="0" xfId="4" applyFill="1" applyAlignment="1">
      <alignment horizontal="center" vertical="center"/>
    </xf>
    <xf numFmtId="0" fontId="1" fillId="9586" borderId="0" xfId="4" applyFill="1" applyAlignment="1">
      <alignment horizontal="center" vertical="center"/>
    </xf>
    <xf numFmtId="0" fontId="1" fillId="9587" borderId="0" xfId="4" applyFill="1" applyAlignment="1">
      <alignment horizontal="center" vertical="center"/>
    </xf>
    <xf numFmtId="0" fontId="1" fillId="9588" borderId="0" xfId="4" applyFill="1" applyAlignment="1">
      <alignment horizontal="center" vertical="center"/>
    </xf>
    <xf numFmtId="0" fontId="1" fillId="9589" borderId="0" xfId="4" applyFill="1" applyAlignment="1">
      <alignment horizontal="center" vertical="center"/>
    </xf>
    <xf numFmtId="0" fontId="1" fillId="9590" borderId="0" xfId="4" applyFill="1" applyAlignment="1">
      <alignment horizontal="center" vertical="center"/>
    </xf>
    <xf numFmtId="0" fontId="1" fillId="9591" borderId="0" xfId="4" applyFill="1" applyAlignment="1">
      <alignment horizontal="center" vertical="center"/>
    </xf>
    <xf numFmtId="0" fontId="1" fillId="9592" borderId="0" xfId="4" applyFill="1" applyAlignment="1">
      <alignment horizontal="center" vertical="center"/>
    </xf>
    <xf numFmtId="0" fontId="1" fillId="9593" borderId="0" xfId="4" applyFill="1" applyAlignment="1">
      <alignment horizontal="center" vertical="center"/>
    </xf>
    <xf numFmtId="0" fontId="1" fillId="9594" borderId="0" xfId="4" applyFill="1" applyAlignment="1">
      <alignment horizontal="center" vertical="center"/>
    </xf>
    <xf numFmtId="0" fontId="1" fillId="9595" borderId="0" xfId="4" applyFill="1" applyAlignment="1">
      <alignment horizontal="center" vertical="center"/>
    </xf>
    <xf numFmtId="0" fontId="1" fillId="9596" borderId="0" xfId="4" applyFill="1" applyAlignment="1">
      <alignment horizontal="center" vertical="center"/>
    </xf>
    <xf numFmtId="0" fontId="1" fillId="9597" borderId="0" xfId="4" applyFill="1" applyAlignment="1">
      <alignment horizontal="left" vertical="center"/>
    </xf>
    <xf numFmtId="0" fontId="1" fillId="9598" borderId="0" xfId="4" applyFill="1" applyAlignment="1">
      <alignment horizontal="center" vertical="center"/>
    </xf>
    <xf numFmtId="0" fontId="1" fillId="9599" borderId="0" xfId="4" applyFill="1" applyAlignment="1">
      <alignment horizontal="center" vertical="center"/>
    </xf>
    <xf numFmtId="0" fontId="1" fillId="9600" borderId="0" xfId="4" applyFill="1" applyAlignment="1">
      <alignment horizontal="center" vertical="center"/>
    </xf>
    <xf numFmtId="0" fontId="1" fillId="9601" borderId="0" xfId="4" applyFill="1" applyAlignment="1">
      <alignment horizontal="center" vertical="center"/>
    </xf>
    <xf numFmtId="0" fontId="1" fillId="9602" borderId="0" xfId="4" applyFill="1" applyAlignment="1">
      <alignment horizontal="center" vertical="center"/>
    </xf>
    <xf numFmtId="0" fontId="1" fillId="9603" borderId="0" xfId="4" applyFill="1" applyAlignment="1">
      <alignment horizontal="center" vertical="center"/>
    </xf>
    <xf numFmtId="0" fontId="1" fillId="9604" borderId="0" xfId="4" applyFill="1" applyAlignment="1">
      <alignment horizontal="center" vertical="center"/>
    </xf>
    <xf numFmtId="0" fontId="1" fillId="9605" borderId="0" xfId="4" applyFill="1" applyAlignment="1">
      <alignment horizontal="center" vertical="center"/>
    </xf>
    <xf numFmtId="0" fontId="1" fillId="9606" borderId="0" xfId="4" applyFill="1" applyAlignment="1">
      <alignment horizontal="center" vertical="center"/>
    </xf>
    <xf numFmtId="0" fontId="1" fillId="9607" borderId="0" xfId="4" applyFill="1" applyAlignment="1">
      <alignment horizontal="center" vertical="center"/>
    </xf>
    <xf numFmtId="0" fontId="1" fillId="9608" borderId="0" xfId="4" applyFill="1" applyAlignment="1">
      <alignment horizontal="center" vertical="center"/>
    </xf>
    <xf numFmtId="0" fontId="1" fillId="9609" borderId="0" xfId="4" applyFill="1" applyAlignment="1">
      <alignment horizontal="center" vertical="center"/>
    </xf>
    <xf numFmtId="0" fontId="1" fillId="9610" borderId="0" xfId="4" applyFill="1" applyAlignment="1">
      <alignment horizontal="center" vertical="center"/>
    </xf>
    <xf numFmtId="0" fontId="1" fillId="9611" borderId="0" xfId="4" applyFill="1" applyAlignment="1">
      <alignment horizontal="center" vertical="center"/>
    </xf>
    <xf numFmtId="0" fontId="1" fillId="9612" borderId="0" xfId="4" applyFill="1" applyAlignment="1">
      <alignment horizontal="center" vertical="center"/>
    </xf>
    <xf numFmtId="0" fontId="1" fillId="9613" borderId="0" xfId="4" applyFill="1" applyAlignment="1">
      <alignment horizontal="center" vertical="center"/>
    </xf>
    <xf numFmtId="0" fontId="1" fillId="9614" borderId="0" xfId="4" applyFill="1" applyAlignment="1">
      <alignment horizontal="center" vertical="center"/>
    </xf>
    <xf numFmtId="0" fontId="1" fillId="9615" borderId="0" xfId="4" applyFill="1" applyAlignment="1">
      <alignment horizontal="center" vertical="center"/>
    </xf>
    <xf numFmtId="0" fontId="1" fillId="9616" borderId="0" xfId="4" applyFill="1" applyAlignment="1">
      <alignment horizontal="center" vertical="center"/>
    </xf>
    <xf numFmtId="0" fontId="1" fillId="9617" borderId="0" xfId="4" applyFill="1" applyAlignment="1">
      <alignment horizontal="center" vertical="center"/>
    </xf>
    <xf numFmtId="0" fontId="1" fillId="9618" borderId="0" xfId="4" applyFill="1" applyAlignment="1">
      <alignment horizontal="center" vertical="center"/>
    </xf>
    <xf numFmtId="0" fontId="1" fillId="9619" borderId="0" xfId="4" applyFill="1" applyAlignment="1">
      <alignment horizontal="center" vertical="center"/>
    </xf>
    <xf numFmtId="0" fontId="1" fillId="9620" borderId="0" xfId="4" applyFill="1" applyAlignment="1">
      <alignment horizontal="center" vertical="center"/>
    </xf>
    <xf numFmtId="0" fontId="1" fillId="9621" borderId="0" xfId="4" applyFill="1" applyAlignment="1">
      <alignment horizontal="center" vertical="center"/>
    </xf>
    <xf numFmtId="0" fontId="1" fillId="9622" borderId="0" xfId="4" applyFill="1" applyAlignment="1">
      <alignment horizontal="center" vertical="center"/>
    </xf>
    <xf numFmtId="0" fontId="1" fillId="9623" borderId="0" xfId="4" applyFill="1" applyAlignment="1">
      <alignment horizontal="center" vertical="center"/>
    </xf>
    <xf numFmtId="0" fontId="1" fillId="9624" borderId="0" xfId="4" applyFill="1" applyAlignment="1">
      <alignment horizontal="center" vertical="center"/>
    </xf>
    <xf numFmtId="0" fontId="1" fillId="9625" borderId="0" xfId="4" applyFill="1" applyAlignment="1">
      <alignment horizontal="center" vertical="center"/>
    </xf>
    <xf numFmtId="0" fontId="1" fillId="9626" borderId="0" xfId="4" applyFill="1" applyAlignment="1">
      <alignment horizontal="center" vertical="center"/>
    </xf>
    <xf numFmtId="0" fontId="1" fillId="9627" borderId="0" xfId="4" applyFill="1" applyAlignment="1">
      <alignment horizontal="center" vertical="center"/>
    </xf>
    <xf numFmtId="0" fontId="1" fillId="9628" borderId="0" xfId="4" applyFill="1" applyAlignment="1">
      <alignment horizontal="center" vertical="center"/>
    </xf>
    <xf numFmtId="0" fontId="1" fillId="9629" borderId="0" xfId="4" applyFill="1" applyAlignment="1">
      <alignment horizontal="center" vertical="center"/>
    </xf>
    <xf numFmtId="0" fontId="1" fillId="9630" borderId="0" xfId="4" applyFill="1" applyAlignment="1">
      <alignment horizontal="center" vertical="center"/>
    </xf>
    <xf numFmtId="0" fontId="1" fillId="9631" borderId="0" xfId="4" applyFill="1" applyAlignment="1">
      <alignment horizontal="center" vertical="center"/>
    </xf>
    <xf numFmtId="0" fontId="1" fillId="9632" borderId="0" xfId="4" applyFill="1" applyAlignment="1">
      <alignment horizontal="center" vertical="center"/>
    </xf>
    <xf numFmtId="0" fontId="1" fillId="9633" borderId="0" xfId="4" applyFill="1" applyAlignment="1">
      <alignment horizontal="center" vertical="center"/>
    </xf>
    <xf numFmtId="0" fontId="1" fillId="9634" borderId="0" xfId="4" applyFill="1" applyAlignment="1">
      <alignment horizontal="center" vertical="center"/>
    </xf>
    <xf numFmtId="0" fontId="1" fillId="9635" borderId="0" xfId="4" applyFill="1" applyAlignment="1">
      <alignment horizontal="center" vertical="center"/>
    </xf>
    <xf numFmtId="0" fontId="1" fillId="9636" borderId="0" xfId="4" applyFill="1" applyAlignment="1">
      <alignment horizontal="center" vertical="center"/>
    </xf>
    <xf numFmtId="0" fontId="1" fillId="9637" borderId="0" xfId="4" applyFill="1" applyAlignment="1">
      <alignment horizontal="center" vertical="center"/>
    </xf>
    <xf numFmtId="0" fontId="1" fillId="9638" borderId="0" xfId="4" applyFill="1" applyAlignment="1">
      <alignment horizontal="center" vertical="center"/>
    </xf>
    <xf numFmtId="0" fontId="1" fillId="9639" borderId="0" xfId="4" applyFill="1" applyAlignment="1">
      <alignment horizontal="center" vertical="center"/>
    </xf>
    <xf numFmtId="0" fontId="1" fillId="9640" borderId="0" xfId="4" applyFill="1" applyAlignment="1">
      <alignment horizontal="center" vertical="center"/>
    </xf>
    <xf numFmtId="0" fontId="1" fillId="9641" borderId="0" xfId="4" applyFill="1" applyAlignment="1">
      <alignment horizontal="center" vertical="center"/>
    </xf>
    <xf numFmtId="0" fontId="1" fillId="9642" borderId="0" xfId="4" applyFill="1" applyAlignment="1">
      <alignment horizontal="center" vertical="center"/>
    </xf>
    <xf numFmtId="0" fontId="1" fillId="9643" borderId="0" xfId="4" applyFill="1" applyAlignment="1">
      <alignment horizontal="center" vertical="center"/>
    </xf>
    <xf numFmtId="0" fontId="1" fillId="9644" borderId="0" xfId="4" applyFill="1" applyAlignment="1">
      <alignment horizontal="center" vertical="center"/>
    </xf>
    <xf numFmtId="0" fontId="1" fillId="9645" borderId="0" xfId="4" applyFill="1" applyAlignment="1">
      <alignment horizontal="center" vertical="center"/>
    </xf>
    <xf numFmtId="0" fontId="1" fillId="9646" borderId="0" xfId="4" applyFill="1" applyAlignment="1">
      <alignment horizontal="center" vertical="center"/>
    </xf>
    <xf numFmtId="0" fontId="1" fillId="9647" borderId="0" xfId="4" applyFill="1" applyAlignment="1">
      <alignment horizontal="center" vertical="center"/>
    </xf>
    <xf numFmtId="0" fontId="1" fillId="9648" borderId="0" xfId="4" applyFill="1" applyAlignment="1">
      <alignment horizontal="center" vertical="center"/>
    </xf>
    <xf numFmtId="0" fontId="1" fillId="9649" borderId="0" xfId="4" applyFill="1" applyAlignment="1">
      <alignment horizontal="center" vertical="center"/>
    </xf>
    <xf numFmtId="0" fontId="1" fillId="9650" borderId="0" xfId="4" applyFill="1" applyAlignment="1">
      <alignment horizontal="center" vertical="center"/>
    </xf>
    <xf numFmtId="0" fontId="1" fillId="9651" borderId="0" xfId="4" applyFill="1" applyAlignment="1">
      <alignment horizontal="center" vertical="center"/>
    </xf>
    <xf numFmtId="0" fontId="1" fillId="9652" borderId="0" xfId="4" applyFill="1" applyAlignment="1">
      <alignment horizontal="center" vertical="center"/>
    </xf>
    <xf numFmtId="0" fontId="1" fillId="6480" borderId="0" xfId="4" applyFill="1" applyAlignment="1">
      <alignment horizontal="left" vertical="center"/>
    </xf>
    <xf numFmtId="0" fontId="1" fillId="9653" borderId="0" xfId="4" applyFill="1" applyAlignment="1">
      <alignment horizontal="center" vertical="center"/>
    </xf>
    <xf numFmtId="0" fontId="1" fillId="9654" borderId="0" xfId="4" applyFill="1" applyAlignment="1">
      <alignment horizontal="center" vertical="center"/>
    </xf>
    <xf numFmtId="0" fontId="1" fillId="9655" borderId="0" xfId="4" applyFill="1" applyAlignment="1">
      <alignment horizontal="center" vertical="center"/>
    </xf>
    <xf numFmtId="0" fontId="1" fillId="9656" borderId="0" xfId="4" applyFill="1" applyAlignment="1">
      <alignment horizontal="center" vertical="center"/>
    </xf>
    <xf numFmtId="0" fontId="1" fillId="9657" borderId="0" xfId="4" applyFill="1" applyAlignment="1">
      <alignment horizontal="center" vertical="center"/>
    </xf>
    <xf numFmtId="0" fontId="1" fillId="9658" borderId="0" xfId="4" applyFill="1" applyAlignment="1">
      <alignment horizontal="center" vertical="center"/>
    </xf>
    <xf numFmtId="0" fontId="1" fillId="9659" borderId="0" xfId="4" applyFill="1" applyAlignment="1">
      <alignment horizontal="center" vertical="center"/>
    </xf>
    <xf numFmtId="0" fontId="1" fillId="9660" borderId="0" xfId="4" applyFill="1" applyAlignment="1">
      <alignment horizontal="center" vertical="center"/>
    </xf>
    <xf numFmtId="0" fontId="1" fillId="9661" borderId="0" xfId="4" applyFill="1" applyAlignment="1">
      <alignment horizontal="center" vertical="center"/>
    </xf>
    <xf numFmtId="0" fontId="1" fillId="9662" borderId="0" xfId="4" applyFill="1" applyAlignment="1">
      <alignment horizontal="center" vertical="center"/>
    </xf>
    <xf numFmtId="0" fontId="1" fillId="9663" borderId="0" xfId="4" applyFill="1" applyAlignment="1">
      <alignment horizontal="center" vertical="center"/>
    </xf>
    <xf numFmtId="0" fontId="1" fillId="9664" borderId="0" xfId="4" applyFill="1" applyAlignment="1">
      <alignment horizontal="center" vertical="center"/>
    </xf>
    <xf numFmtId="0" fontId="1" fillId="9665" borderId="0" xfId="4" applyFill="1" applyAlignment="1">
      <alignment horizontal="center" vertical="center"/>
    </xf>
    <xf numFmtId="0" fontId="1" fillId="9666" borderId="0" xfId="4" applyFill="1" applyAlignment="1">
      <alignment horizontal="center" vertical="center"/>
    </xf>
    <xf numFmtId="0" fontId="1" fillId="9667" borderId="0" xfId="4" applyFill="1" applyAlignment="1">
      <alignment horizontal="center" vertical="center"/>
    </xf>
    <xf numFmtId="0" fontId="1" fillId="9668" borderId="0" xfId="4" applyFill="1" applyAlignment="1">
      <alignment horizontal="center" vertical="center"/>
    </xf>
    <xf numFmtId="0" fontId="1" fillId="9669" borderId="0" xfId="4" applyFill="1" applyAlignment="1">
      <alignment horizontal="center" vertical="center"/>
    </xf>
    <xf numFmtId="0" fontId="1" fillId="9670" borderId="0" xfId="4" applyFill="1" applyAlignment="1">
      <alignment horizontal="center" vertical="center"/>
    </xf>
    <xf numFmtId="0" fontId="1" fillId="9671" borderId="0" xfId="4" applyFill="1" applyAlignment="1">
      <alignment horizontal="center" vertical="center"/>
    </xf>
    <xf numFmtId="0" fontId="1" fillId="9672" borderId="0" xfId="4" applyFill="1" applyAlignment="1">
      <alignment horizontal="center" vertical="center"/>
    </xf>
    <xf numFmtId="0" fontId="1" fillId="9673" borderId="0" xfId="4" applyFill="1" applyAlignment="1">
      <alignment horizontal="center" vertical="center"/>
    </xf>
    <xf numFmtId="0" fontId="1" fillId="9674" borderId="0" xfId="4" applyFill="1" applyAlignment="1">
      <alignment horizontal="center" vertical="center"/>
    </xf>
    <xf numFmtId="0" fontId="1" fillId="9675" borderId="0" xfId="4" applyFill="1" applyAlignment="1">
      <alignment horizontal="center" vertical="center"/>
    </xf>
    <xf numFmtId="0" fontId="1" fillId="9676" borderId="0" xfId="4" applyFill="1" applyAlignment="1">
      <alignment horizontal="center" vertical="center"/>
    </xf>
    <xf numFmtId="0" fontId="1" fillId="9677" borderId="0" xfId="4" applyFill="1" applyAlignment="1">
      <alignment horizontal="center" vertical="center"/>
    </xf>
    <xf numFmtId="0" fontId="1" fillId="9678" borderId="0" xfId="4" applyFill="1" applyAlignment="1">
      <alignment horizontal="center" vertical="center"/>
    </xf>
    <xf numFmtId="0" fontId="1" fillId="9679" borderId="0" xfId="4" applyFill="1" applyAlignment="1">
      <alignment horizontal="center" vertical="center"/>
    </xf>
    <xf numFmtId="0" fontId="1" fillId="9680" borderId="0" xfId="4" applyFill="1" applyAlignment="1">
      <alignment horizontal="center" vertical="center"/>
    </xf>
    <xf numFmtId="0" fontId="1" fillId="9681" borderId="0" xfId="4" applyFill="1" applyAlignment="1">
      <alignment horizontal="center" vertical="center"/>
    </xf>
    <xf numFmtId="0" fontId="1" fillId="9682" borderId="0" xfId="4" applyFill="1" applyAlignment="1">
      <alignment horizontal="center" vertical="center"/>
    </xf>
    <xf numFmtId="0" fontId="1" fillId="9683" borderId="0" xfId="4" applyFill="1" applyAlignment="1">
      <alignment horizontal="center" vertical="center"/>
    </xf>
    <xf numFmtId="0" fontId="1" fillId="9684" borderId="0" xfId="4" applyFill="1" applyAlignment="1">
      <alignment horizontal="center" vertical="center"/>
    </xf>
    <xf numFmtId="0" fontId="1" fillId="9685" borderId="0" xfId="4" applyFill="1" applyAlignment="1">
      <alignment horizontal="center" vertical="center"/>
    </xf>
    <xf numFmtId="0" fontId="1" fillId="9686" borderId="0" xfId="4" applyFill="1" applyAlignment="1">
      <alignment horizontal="center" vertical="center"/>
    </xf>
    <xf numFmtId="0" fontId="1" fillId="9687" borderId="0" xfId="4" applyFill="1" applyAlignment="1">
      <alignment horizontal="left" vertical="center"/>
    </xf>
    <xf numFmtId="0" fontId="1" fillId="9688" borderId="0" xfId="4" applyFill="1" applyAlignment="1">
      <alignment horizontal="center" vertical="center"/>
    </xf>
    <xf numFmtId="0" fontId="1" fillId="9689" borderId="0" xfId="4" applyFill="1" applyAlignment="1">
      <alignment horizontal="center" vertical="center"/>
    </xf>
    <xf numFmtId="0" fontId="1" fillId="9690" borderId="0" xfId="4" applyFill="1" applyAlignment="1">
      <alignment horizontal="center" vertical="center"/>
    </xf>
    <xf numFmtId="0" fontId="1" fillId="9691" borderId="0" xfId="4" applyFill="1" applyAlignment="1">
      <alignment horizontal="center" vertical="center"/>
    </xf>
    <xf numFmtId="0" fontId="1" fillId="9692" borderId="0" xfId="4" applyFill="1" applyAlignment="1">
      <alignment horizontal="center" vertical="center"/>
    </xf>
    <xf numFmtId="0" fontId="1" fillId="9693" borderId="0" xfId="4" applyFill="1" applyAlignment="1">
      <alignment horizontal="center" vertical="center"/>
    </xf>
    <xf numFmtId="0" fontId="1" fillId="9694" borderId="0" xfId="4" applyFill="1" applyAlignment="1">
      <alignment horizontal="center" vertical="center"/>
    </xf>
    <xf numFmtId="0" fontId="1" fillId="9695" borderId="0" xfId="4" applyFill="1" applyAlignment="1">
      <alignment horizontal="center" vertical="center"/>
    </xf>
    <xf numFmtId="0" fontId="1" fillId="9696" borderId="0" xfId="4" applyFill="1" applyAlignment="1">
      <alignment horizontal="center" vertical="center"/>
    </xf>
    <xf numFmtId="0" fontId="1" fillId="9697" borderId="0" xfId="4" applyFill="1" applyAlignment="1">
      <alignment horizontal="center" vertical="center"/>
    </xf>
    <xf numFmtId="0" fontId="1" fillId="9698" borderId="0" xfId="4" applyFill="1" applyAlignment="1">
      <alignment horizontal="center" vertical="center"/>
    </xf>
    <xf numFmtId="0" fontId="1" fillId="9699" borderId="0" xfId="4" applyFill="1" applyAlignment="1">
      <alignment horizontal="center" vertical="center"/>
    </xf>
    <xf numFmtId="0" fontId="1" fillId="9700" borderId="0" xfId="4" applyFill="1" applyAlignment="1">
      <alignment horizontal="center" vertical="center"/>
    </xf>
    <xf numFmtId="0" fontId="1" fillId="9701" borderId="0" xfId="4" applyFill="1" applyAlignment="1">
      <alignment horizontal="center" vertical="center"/>
    </xf>
    <xf numFmtId="0" fontId="1" fillId="9702" borderId="0" xfId="4" applyFill="1" applyAlignment="1">
      <alignment horizontal="center" vertical="center"/>
    </xf>
    <xf numFmtId="0" fontId="1" fillId="9703" borderId="0" xfId="4" applyFill="1" applyAlignment="1">
      <alignment horizontal="center" vertical="center"/>
    </xf>
    <xf numFmtId="0" fontId="1" fillId="9704" borderId="0" xfId="4" applyFill="1" applyAlignment="1">
      <alignment horizontal="center" vertical="center"/>
    </xf>
    <xf numFmtId="0" fontId="1" fillId="9705" borderId="0" xfId="4" applyFill="1" applyAlignment="1">
      <alignment horizontal="center" vertical="center"/>
    </xf>
    <xf numFmtId="0" fontId="1" fillId="9706" borderId="0" xfId="4" applyFill="1" applyAlignment="1">
      <alignment horizontal="center" vertical="center"/>
    </xf>
    <xf numFmtId="0" fontId="1" fillId="9707" borderId="0" xfId="4" applyFill="1" applyAlignment="1">
      <alignment horizontal="center" vertical="center"/>
    </xf>
    <xf numFmtId="0" fontId="1" fillId="9708" borderId="0" xfId="4" applyFill="1" applyAlignment="1">
      <alignment horizontal="center" vertical="center"/>
    </xf>
    <xf numFmtId="0" fontId="1" fillId="9709" borderId="0" xfId="4" applyFill="1" applyAlignment="1">
      <alignment horizontal="center" vertical="center"/>
    </xf>
    <xf numFmtId="0" fontId="1" fillId="9710" borderId="0" xfId="4" applyFill="1" applyAlignment="1">
      <alignment horizontal="center" vertical="center"/>
    </xf>
    <xf numFmtId="0" fontId="1" fillId="9711" borderId="0" xfId="4" applyFill="1" applyAlignment="1">
      <alignment horizontal="center" vertical="center"/>
    </xf>
    <xf numFmtId="0" fontId="1" fillId="9712" borderId="0" xfId="4" applyFill="1" applyAlignment="1">
      <alignment horizontal="center" vertical="center"/>
    </xf>
    <xf numFmtId="0" fontId="1" fillId="9713" borderId="0" xfId="4" applyFill="1" applyAlignment="1">
      <alignment horizontal="center" vertical="center"/>
    </xf>
    <xf numFmtId="0" fontId="1" fillId="9714" borderId="0" xfId="4" applyFill="1" applyAlignment="1">
      <alignment horizontal="center" vertical="center"/>
    </xf>
    <xf numFmtId="0" fontId="1" fillId="9715" borderId="0" xfId="4" applyFill="1" applyAlignment="1">
      <alignment horizontal="center" vertical="center"/>
    </xf>
    <xf numFmtId="0" fontId="1" fillId="9716" borderId="0" xfId="4" applyFill="1" applyAlignment="1">
      <alignment horizontal="center" vertical="center"/>
    </xf>
    <xf numFmtId="0" fontId="1" fillId="9717" borderId="0" xfId="4" applyFill="1" applyAlignment="1">
      <alignment horizontal="center" vertical="center"/>
    </xf>
    <xf numFmtId="0" fontId="1" fillId="9718" borderId="0" xfId="4" applyFill="1" applyAlignment="1">
      <alignment horizontal="center" vertical="center"/>
    </xf>
    <xf numFmtId="0" fontId="1" fillId="9719" borderId="0" xfId="4" applyFill="1" applyAlignment="1">
      <alignment horizontal="center" vertical="center"/>
    </xf>
    <xf numFmtId="0" fontId="1" fillId="9720" borderId="0" xfId="4" applyFill="1" applyAlignment="1">
      <alignment horizontal="center" vertical="center"/>
    </xf>
    <xf numFmtId="0" fontId="1" fillId="9721" borderId="0" xfId="4" applyFill="1" applyAlignment="1">
      <alignment horizontal="center" vertical="center"/>
    </xf>
    <xf numFmtId="0" fontId="1" fillId="9722" borderId="0" xfId="4" applyFill="1" applyAlignment="1">
      <alignment horizontal="center" vertical="center"/>
    </xf>
    <xf numFmtId="0" fontId="1" fillId="9723" borderId="0" xfId="4" applyFill="1" applyAlignment="1">
      <alignment horizontal="center" vertical="center"/>
    </xf>
    <xf numFmtId="0" fontId="1" fillId="9724" borderId="0" xfId="4" applyFill="1" applyAlignment="1">
      <alignment horizontal="center" vertical="center"/>
    </xf>
    <xf numFmtId="0" fontId="1" fillId="9725" borderId="0" xfId="4" applyFill="1" applyAlignment="1">
      <alignment horizontal="center" vertical="center"/>
    </xf>
    <xf numFmtId="0" fontId="1" fillId="9726" borderId="0" xfId="4" applyFill="1" applyAlignment="1">
      <alignment horizontal="center" vertical="center"/>
    </xf>
    <xf numFmtId="0" fontId="1" fillId="9727" borderId="0" xfId="4" applyFill="1" applyAlignment="1">
      <alignment horizontal="center" vertical="center"/>
    </xf>
    <xf numFmtId="0" fontId="1" fillId="9728" borderId="0" xfId="4" applyFill="1" applyAlignment="1">
      <alignment horizontal="center" vertical="center"/>
    </xf>
    <xf numFmtId="0" fontId="1" fillId="9729" borderId="0" xfId="4" applyFill="1" applyAlignment="1">
      <alignment horizontal="center" vertical="center"/>
    </xf>
    <xf numFmtId="0" fontId="1" fillId="9730" borderId="0" xfId="4" applyFill="1" applyAlignment="1">
      <alignment horizontal="center" vertical="center"/>
    </xf>
    <xf numFmtId="0" fontId="1" fillId="9731" borderId="0" xfId="4" applyFill="1" applyAlignment="1">
      <alignment horizontal="center" vertical="center"/>
    </xf>
    <xf numFmtId="0" fontId="1" fillId="9732" borderId="0" xfId="4" applyFill="1" applyAlignment="1">
      <alignment horizontal="center" vertical="center"/>
    </xf>
    <xf numFmtId="0" fontId="1" fillId="9733" borderId="0" xfId="4" applyFill="1" applyAlignment="1">
      <alignment horizontal="center" vertical="center"/>
    </xf>
    <xf numFmtId="0" fontId="1" fillId="9734" borderId="0" xfId="4" applyFill="1" applyAlignment="1">
      <alignment horizontal="center" vertical="center"/>
    </xf>
    <xf numFmtId="0" fontId="1" fillId="9735" borderId="0" xfId="4" applyFill="1" applyAlignment="1">
      <alignment horizontal="center" vertical="center"/>
    </xf>
    <xf numFmtId="0" fontId="1" fillId="9736" borderId="0" xfId="4" applyFill="1" applyAlignment="1">
      <alignment horizontal="center" vertical="center"/>
    </xf>
    <xf numFmtId="0" fontId="1" fillId="9737" borderId="0" xfId="4" applyFill="1" applyAlignment="1">
      <alignment horizontal="center" vertical="center"/>
    </xf>
    <xf numFmtId="0" fontId="1" fillId="9738" borderId="0" xfId="4" applyFill="1" applyAlignment="1">
      <alignment horizontal="center" vertical="center"/>
    </xf>
    <xf numFmtId="0" fontId="1" fillId="9739" borderId="0" xfId="4" applyFill="1" applyAlignment="1">
      <alignment horizontal="center" vertical="center"/>
    </xf>
    <xf numFmtId="0" fontId="1" fillId="9740" borderId="0" xfId="4" applyFill="1" applyAlignment="1">
      <alignment horizontal="center" vertical="center"/>
    </xf>
    <xf numFmtId="0" fontId="1" fillId="9741" borderId="0" xfId="4" applyFill="1" applyAlignment="1">
      <alignment horizontal="left" vertical="center"/>
    </xf>
    <xf numFmtId="0" fontId="1" fillId="9742" borderId="0" xfId="4" applyFill="1" applyAlignment="1">
      <alignment horizontal="center" vertical="center"/>
    </xf>
    <xf numFmtId="0" fontId="1" fillId="9743" borderId="0" xfId="4" applyFill="1" applyAlignment="1">
      <alignment horizontal="center" vertical="center"/>
    </xf>
    <xf numFmtId="0" fontId="1" fillId="9744" borderId="0" xfId="4" applyFill="1" applyAlignment="1">
      <alignment horizontal="center" vertical="center"/>
    </xf>
    <xf numFmtId="0" fontId="1" fillId="9745" borderId="0" xfId="4" applyFill="1" applyAlignment="1">
      <alignment horizontal="center" vertical="center"/>
    </xf>
    <xf numFmtId="0" fontId="1" fillId="9746" borderId="0" xfId="4" applyFill="1" applyAlignment="1">
      <alignment horizontal="center" vertical="center"/>
    </xf>
    <xf numFmtId="0" fontId="1" fillId="9747" borderId="0" xfId="4" applyFill="1" applyAlignment="1">
      <alignment horizontal="center" vertical="center"/>
    </xf>
    <xf numFmtId="0" fontId="1" fillId="9748" borderId="0" xfId="4" applyFill="1" applyAlignment="1">
      <alignment horizontal="center" vertical="center"/>
    </xf>
    <xf numFmtId="0" fontId="1" fillId="9749" borderId="0" xfId="4" applyFill="1" applyAlignment="1">
      <alignment horizontal="center" vertical="center"/>
    </xf>
    <xf numFmtId="0" fontId="1" fillId="9750" borderId="0" xfId="4" applyFill="1" applyAlignment="1">
      <alignment horizontal="center" vertical="center"/>
    </xf>
    <xf numFmtId="0" fontId="1" fillId="9751" borderId="0" xfId="4" applyFill="1" applyAlignment="1">
      <alignment horizontal="center" vertical="center"/>
    </xf>
    <xf numFmtId="0" fontId="1" fillId="9752" borderId="0" xfId="4" applyFill="1" applyAlignment="1">
      <alignment horizontal="center" vertical="center"/>
    </xf>
    <xf numFmtId="0" fontId="1" fillId="9753" borderId="0" xfId="4" applyFill="1" applyAlignment="1">
      <alignment horizontal="center" vertical="center"/>
    </xf>
    <xf numFmtId="0" fontId="1" fillId="9754" borderId="0" xfId="4" applyFill="1" applyAlignment="1">
      <alignment horizontal="center" vertical="center"/>
    </xf>
    <xf numFmtId="0" fontId="1" fillId="9755" borderId="0" xfId="4" applyFill="1" applyAlignment="1">
      <alignment horizontal="center" vertical="center"/>
    </xf>
    <xf numFmtId="0" fontId="1" fillId="9756" borderId="0" xfId="4" applyFill="1" applyAlignment="1">
      <alignment horizontal="center" vertical="center"/>
    </xf>
    <xf numFmtId="0" fontId="1" fillId="9757" borderId="0" xfId="4" applyFill="1" applyAlignment="1">
      <alignment horizontal="center" vertical="center"/>
    </xf>
    <xf numFmtId="0" fontId="1" fillId="9758" borderId="0" xfId="4" applyFill="1" applyAlignment="1">
      <alignment horizontal="center" vertical="center"/>
    </xf>
    <xf numFmtId="0" fontId="1" fillId="9759" borderId="0" xfId="4" applyFill="1" applyAlignment="1">
      <alignment horizontal="center" vertical="center"/>
    </xf>
    <xf numFmtId="0" fontId="1" fillId="9760" borderId="0" xfId="4" applyFill="1" applyAlignment="1">
      <alignment horizontal="center" vertical="center"/>
    </xf>
    <xf numFmtId="0" fontId="1" fillId="9761" borderId="0" xfId="4" applyFill="1" applyAlignment="1">
      <alignment horizontal="center" vertical="center"/>
    </xf>
    <xf numFmtId="0" fontId="1" fillId="9762" borderId="0" xfId="4" applyFill="1" applyAlignment="1">
      <alignment horizontal="center" vertical="center"/>
    </xf>
    <xf numFmtId="0" fontId="1" fillId="9763" borderId="0" xfId="4" applyFill="1" applyAlignment="1">
      <alignment horizontal="center" vertical="center"/>
    </xf>
    <xf numFmtId="0" fontId="1" fillId="9764" borderId="0" xfId="4" applyFill="1" applyAlignment="1">
      <alignment horizontal="center" vertical="center"/>
    </xf>
    <xf numFmtId="0" fontId="1" fillId="9765" borderId="0" xfId="4" applyFill="1" applyAlignment="1">
      <alignment horizontal="center" vertical="center"/>
    </xf>
    <xf numFmtId="0" fontId="1" fillId="9766" borderId="0" xfId="4" applyFill="1" applyAlignment="1">
      <alignment horizontal="center" vertical="center"/>
    </xf>
    <xf numFmtId="0" fontId="1" fillId="9767" borderId="0" xfId="4" applyFill="1" applyAlignment="1">
      <alignment horizontal="center" vertical="center"/>
    </xf>
    <xf numFmtId="0" fontId="1" fillId="9768" borderId="0" xfId="4" applyFill="1" applyAlignment="1">
      <alignment horizontal="center" vertical="center"/>
    </xf>
    <xf numFmtId="0" fontId="1" fillId="9769" borderId="0" xfId="4" applyFill="1" applyAlignment="1">
      <alignment horizontal="center" vertical="center"/>
    </xf>
    <xf numFmtId="0" fontId="1" fillId="9770" borderId="0" xfId="4" applyFill="1" applyAlignment="1">
      <alignment horizontal="left" vertical="center"/>
    </xf>
    <xf numFmtId="0" fontId="1" fillId="9771" borderId="0" xfId="4" applyFill="1" applyAlignment="1">
      <alignment horizontal="center" vertical="center"/>
    </xf>
    <xf numFmtId="0" fontId="1" fillId="9772" borderId="0" xfId="4" applyFill="1" applyAlignment="1">
      <alignment horizontal="center" vertical="center"/>
    </xf>
    <xf numFmtId="0" fontId="1" fillId="9773" borderId="0" xfId="4" applyFill="1" applyAlignment="1">
      <alignment horizontal="center" vertical="center"/>
    </xf>
    <xf numFmtId="0" fontId="1" fillId="9774" borderId="0" xfId="4" applyFill="1" applyAlignment="1">
      <alignment horizontal="center" vertical="center"/>
    </xf>
    <xf numFmtId="0" fontId="1" fillId="9775" borderId="0" xfId="4" applyFill="1" applyAlignment="1">
      <alignment horizontal="center" vertical="center"/>
    </xf>
    <xf numFmtId="0" fontId="1" fillId="9776" borderId="0" xfId="4" applyFill="1" applyAlignment="1">
      <alignment horizontal="center" vertical="center"/>
    </xf>
    <xf numFmtId="0" fontId="1" fillId="9777" borderId="0" xfId="4" applyFill="1" applyAlignment="1">
      <alignment horizontal="center" vertical="center"/>
    </xf>
    <xf numFmtId="0" fontId="1" fillId="9778" borderId="0" xfId="4" applyFill="1" applyAlignment="1">
      <alignment horizontal="center" vertical="center"/>
    </xf>
    <xf numFmtId="0" fontId="1" fillId="9779" borderId="0" xfId="4" applyFill="1" applyAlignment="1">
      <alignment horizontal="center" vertical="center"/>
    </xf>
    <xf numFmtId="0" fontId="1" fillId="9780" borderId="0" xfId="4" applyFill="1" applyAlignment="1">
      <alignment horizontal="center" vertical="center"/>
    </xf>
    <xf numFmtId="0" fontId="1" fillId="9781" borderId="0" xfId="4" applyFill="1" applyAlignment="1">
      <alignment horizontal="center" vertical="center"/>
    </xf>
    <xf numFmtId="0" fontId="1" fillId="9782" borderId="0" xfId="4" applyFill="1" applyAlignment="1">
      <alignment horizontal="center" vertical="center"/>
    </xf>
    <xf numFmtId="0" fontId="1" fillId="9783" borderId="0" xfId="4" applyFill="1" applyAlignment="1">
      <alignment horizontal="center" vertical="center"/>
    </xf>
    <xf numFmtId="0" fontId="1" fillId="9784" borderId="0" xfId="4" applyFill="1" applyAlignment="1">
      <alignment horizontal="center" vertical="center"/>
    </xf>
    <xf numFmtId="0" fontId="1" fillId="9785" borderId="0" xfId="4" applyFill="1" applyAlignment="1">
      <alignment horizontal="center" vertical="center"/>
    </xf>
    <xf numFmtId="0" fontId="1" fillId="9786" borderId="0" xfId="4" applyFill="1" applyAlignment="1">
      <alignment horizontal="center" vertical="center"/>
    </xf>
    <xf numFmtId="0" fontId="1" fillId="9787" borderId="0" xfId="4" applyFill="1" applyAlignment="1">
      <alignment horizontal="center" vertical="center"/>
    </xf>
    <xf numFmtId="0" fontId="1" fillId="9788" borderId="0" xfId="4" applyFill="1" applyAlignment="1">
      <alignment horizontal="center" vertical="center"/>
    </xf>
    <xf numFmtId="0" fontId="1" fillId="9789" borderId="0" xfId="4" applyFill="1" applyAlignment="1">
      <alignment horizontal="center" vertical="center"/>
    </xf>
    <xf numFmtId="0" fontId="1" fillId="9790" borderId="0" xfId="4" applyFill="1" applyAlignment="1">
      <alignment horizontal="center" vertical="center"/>
    </xf>
    <xf numFmtId="0" fontId="1" fillId="9791" borderId="0" xfId="4" applyFill="1" applyAlignment="1">
      <alignment horizontal="center" vertical="center"/>
    </xf>
    <xf numFmtId="0" fontId="1" fillId="9792" borderId="0" xfId="4" applyFill="1" applyAlignment="1">
      <alignment horizontal="center" vertical="center"/>
    </xf>
    <xf numFmtId="0" fontId="1" fillId="9793" borderId="0" xfId="4" applyFill="1" applyAlignment="1">
      <alignment horizontal="center" vertical="center"/>
    </xf>
    <xf numFmtId="0" fontId="1" fillId="9794" borderId="0" xfId="4" applyFill="1" applyAlignment="1">
      <alignment horizontal="center" vertical="center"/>
    </xf>
    <xf numFmtId="0" fontId="1" fillId="9795" borderId="0" xfId="4" applyFill="1" applyAlignment="1">
      <alignment horizontal="center" vertical="center"/>
    </xf>
    <xf numFmtId="0" fontId="1" fillId="9796" borderId="0" xfId="4" applyFill="1" applyAlignment="1">
      <alignment horizontal="center" vertical="center"/>
    </xf>
    <xf numFmtId="0" fontId="1" fillId="9797" borderId="0" xfId="4" applyFill="1" applyAlignment="1">
      <alignment horizontal="center" vertical="center"/>
    </xf>
    <xf numFmtId="0" fontId="1" fillId="9798" borderId="0" xfId="4" applyFill="1" applyAlignment="1">
      <alignment horizontal="center" vertical="center"/>
    </xf>
    <xf numFmtId="0" fontId="1" fillId="9799" borderId="0" xfId="4" applyFill="1" applyAlignment="1">
      <alignment horizontal="center" vertical="center"/>
    </xf>
    <xf numFmtId="0" fontId="1" fillId="9800" borderId="0" xfId="4" applyFill="1" applyAlignment="1">
      <alignment horizontal="center" vertical="center"/>
    </xf>
    <xf numFmtId="0" fontId="1" fillId="9801" borderId="0" xfId="4" applyFill="1" applyAlignment="1">
      <alignment horizontal="center" vertical="center"/>
    </xf>
    <xf numFmtId="0" fontId="1" fillId="9802" borderId="0" xfId="4" applyFill="1" applyAlignment="1">
      <alignment horizontal="center" vertical="center"/>
    </xf>
    <xf numFmtId="0" fontId="1" fillId="9803" borderId="0" xfId="4" applyFill="1" applyAlignment="1">
      <alignment horizontal="center" vertical="center"/>
    </xf>
    <xf numFmtId="0" fontId="1" fillId="9804" borderId="0" xfId="4" applyFill="1" applyAlignment="1">
      <alignment horizontal="center" vertical="center"/>
    </xf>
    <xf numFmtId="0" fontId="1" fillId="9805" borderId="0" xfId="4" applyFill="1" applyAlignment="1">
      <alignment horizontal="center" vertical="center"/>
    </xf>
    <xf numFmtId="0" fontId="1" fillId="9806" borderId="0" xfId="4" applyFill="1" applyAlignment="1">
      <alignment horizontal="center" vertical="center"/>
    </xf>
    <xf numFmtId="0" fontId="1" fillId="9807" borderId="0" xfId="4" applyFill="1" applyAlignment="1">
      <alignment horizontal="center" vertical="center"/>
    </xf>
    <xf numFmtId="0" fontId="1" fillId="9808" borderId="0" xfId="4" applyFill="1" applyAlignment="1">
      <alignment horizontal="center" vertical="center"/>
    </xf>
    <xf numFmtId="0" fontId="1" fillId="9809" borderId="0" xfId="4" applyFill="1" applyAlignment="1">
      <alignment horizontal="center" vertical="center"/>
    </xf>
    <xf numFmtId="0" fontId="1" fillId="9810" borderId="0" xfId="4" applyFill="1" applyAlignment="1">
      <alignment horizontal="center" vertical="center"/>
    </xf>
    <xf numFmtId="0" fontId="1" fillId="9811" borderId="0" xfId="4" applyFill="1" applyAlignment="1">
      <alignment horizontal="center" vertical="center"/>
    </xf>
    <xf numFmtId="0" fontId="1" fillId="9812" borderId="0" xfId="4" applyFill="1" applyAlignment="1">
      <alignment horizontal="center" vertical="center"/>
    </xf>
    <xf numFmtId="0" fontId="1" fillId="9813" borderId="0" xfId="4" applyFill="1" applyAlignment="1">
      <alignment horizontal="center" vertical="center"/>
    </xf>
    <xf numFmtId="0" fontId="1" fillId="9814" borderId="0" xfId="4" applyFill="1" applyAlignment="1">
      <alignment horizontal="center" vertical="center"/>
    </xf>
    <xf numFmtId="0" fontId="1" fillId="9815" borderId="0" xfId="4" applyFill="1" applyAlignment="1">
      <alignment horizontal="center" vertical="center"/>
    </xf>
    <xf numFmtId="0" fontId="1" fillId="9816" borderId="0" xfId="4" applyFill="1" applyAlignment="1">
      <alignment horizontal="center" vertical="center"/>
    </xf>
    <xf numFmtId="0" fontId="1" fillId="9817" borderId="0" xfId="4" applyFill="1" applyAlignment="1">
      <alignment horizontal="center" vertical="center"/>
    </xf>
    <xf numFmtId="0" fontId="1" fillId="9818" borderId="0" xfId="4" applyFill="1" applyAlignment="1">
      <alignment horizontal="center" vertical="center"/>
    </xf>
    <xf numFmtId="0" fontId="1" fillId="9819" borderId="0" xfId="4" applyFill="1" applyAlignment="1">
      <alignment horizontal="center" vertical="center"/>
    </xf>
    <xf numFmtId="0" fontId="1" fillId="9820" borderId="0" xfId="4" applyFill="1" applyAlignment="1">
      <alignment horizontal="center" vertical="center"/>
    </xf>
    <xf numFmtId="0" fontId="1" fillId="9821" borderId="0" xfId="4" applyFill="1" applyAlignment="1">
      <alignment horizontal="center" vertical="center"/>
    </xf>
    <xf numFmtId="0" fontId="1" fillId="9822" borderId="0" xfId="4" applyFill="1" applyAlignment="1">
      <alignment horizontal="center" vertical="center"/>
    </xf>
    <xf numFmtId="0" fontId="1" fillId="9823" borderId="0" xfId="4" applyFill="1" applyAlignment="1">
      <alignment horizontal="center" vertical="center"/>
    </xf>
    <xf numFmtId="0" fontId="1" fillId="9824" borderId="0" xfId="4" applyFill="1" applyAlignment="1">
      <alignment horizontal="center" vertical="center"/>
    </xf>
    <xf numFmtId="0" fontId="1" fillId="9825" borderId="0" xfId="4" applyFill="1" applyAlignment="1">
      <alignment horizontal="center" vertical="center"/>
    </xf>
    <xf numFmtId="0" fontId="1" fillId="9826" borderId="0" xfId="4" applyFill="1" applyAlignment="1">
      <alignment horizontal="center" vertical="center"/>
    </xf>
    <xf numFmtId="0" fontId="1" fillId="9827" borderId="0" xfId="4" applyFill="1" applyAlignment="1">
      <alignment horizontal="left" vertical="center"/>
    </xf>
    <xf numFmtId="0" fontId="1" fillId="9828" borderId="0" xfId="4" applyFill="1" applyAlignment="1">
      <alignment horizontal="center" vertical="center"/>
    </xf>
    <xf numFmtId="0" fontId="1" fillId="9829" borderId="0" xfId="4" applyFill="1" applyAlignment="1">
      <alignment horizontal="center" vertical="center"/>
    </xf>
    <xf numFmtId="0" fontId="1" fillId="9830" borderId="0" xfId="4" applyFill="1" applyAlignment="1">
      <alignment horizontal="center" vertical="center"/>
    </xf>
    <xf numFmtId="0" fontId="1" fillId="9831" borderId="0" xfId="4" applyFill="1" applyAlignment="1">
      <alignment horizontal="center" vertical="center"/>
    </xf>
    <xf numFmtId="0" fontId="1" fillId="9832" borderId="0" xfId="4" applyFill="1" applyAlignment="1">
      <alignment horizontal="center" vertical="center"/>
    </xf>
    <xf numFmtId="0" fontId="1" fillId="9833" borderId="0" xfId="4" applyFill="1" applyAlignment="1">
      <alignment horizontal="center" vertical="center"/>
    </xf>
    <xf numFmtId="0" fontId="1" fillId="9834" borderId="0" xfId="4" applyFill="1" applyAlignment="1">
      <alignment horizontal="center" vertical="center"/>
    </xf>
    <xf numFmtId="0" fontId="1" fillId="9835" borderId="0" xfId="4" applyFill="1" applyAlignment="1">
      <alignment horizontal="center" vertical="center"/>
    </xf>
    <xf numFmtId="0" fontId="1" fillId="9836" borderId="0" xfId="4" applyFill="1" applyAlignment="1">
      <alignment horizontal="center" vertical="center"/>
    </xf>
    <xf numFmtId="0" fontId="1" fillId="9837" borderId="0" xfId="4" applyFill="1" applyAlignment="1">
      <alignment horizontal="center" vertical="center"/>
    </xf>
    <xf numFmtId="0" fontId="1" fillId="9838" borderId="0" xfId="4" applyFill="1" applyAlignment="1">
      <alignment horizontal="center" vertical="center"/>
    </xf>
    <xf numFmtId="0" fontId="1" fillId="9839" borderId="0" xfId="4" applyFill="1" applyAlignment="1">
      <alignment horizontal="center" vertical="center"/>
    </xf>
    <xf numFmtId="0" fontId="1" fillId="9840" borderId="0" xfId="4" applyFill="1" applyAlignment="1">
      <alignment horizontal="center" vertical="center"/>
    </xf>
    <xf numFmtId="0" fontId="1" fillId="9841" borderId="0" xfId="4" applyFill="1" applyAlignment="1">
      <alignment horizontal="center" vertical="center"/>
    </xf>
    <xf numFmtId="0" fontId="1" fillId="9842" borderId="0" xfId="4" applyFill="1" applyAlignment="1">
      <alignment horizontal="center" vertical="center"/>
    </xf>
    <xf numFmtId="0" fontId="1" fillId="9843" borderId="0" xfId="4" applyFill="1" applyAlignment="1">
      <alignment horizontal="center" vertical="center"/>
    </xf>
    <xf numFmtId="0" fontId="1" fillId="9844" borderId="0" xfId="4" applyFill="1" applyAlignment="1">
      <alignment horizontal="center" vertical="center"/>
    </xf>
    <xf numFmtId="0" fontId="1" fillId="9845" borderId="0" xfId="4" applyFill="1" applyAlignment="1">
      <alignment horizontal="center" vertical="center"/>
    </xf>
    <xf numFmtId="0" fontId="1" fillId="9846" borderId="0" xfId="4" applyFill="1" applyAlignment="1">
      <alignment horizontal="center" vertical="center"/>
    </xf>
    <xf numFmtId="0" fontId="1" fillId="9847" borderId="22" xfId="4" applyFill="1" applyBorder="1" applyAlignment="1">
      <alignment horizontal="center" vertical="center"/>
    </xf>
    <xf numFmtId="0" fontId="1" fillId="9848" borderId="23" xfId="4" applyFill="1" applyBorder="1" applyAlignment="1">
      <alignment horizontal="center" vertical="center"/>
    </xf>
    <xf numFmtId="0" fontId="1" fillId="9849" borderId="23" xfId="4" applyFill="1" applyBorder="1" applyAlignment="1">
      <alignment horizontal="center" vertical="center"/>
    </xf>
    <xf numFmtId="0" fontId="1" fillId="9758" borderId="23" xfId="4" applyFill="1" applyBorder="1" applyAlignment="1">
      <alignment horizontal="center" vertical="center"/>
    </xf>
    <xf numFmtId="0" fontId="1" fillId="9850" borderId="23" xfId="4" applyFill="1" applyBorder="1" applyAlignment="1">
      <alignment horizontal="center" vertical="center"/>
    </xf>
    <xf numFmtId="0" fontId="1" fillId="9851" borderId="23" xfId="4" applyFill="1" applyBorder="1" applyAlignment="1">
      <alignment horizontal="center" vertical="center"/>
    </xf>
    <xf numFmtId="0" fontId="1" fillId="9852" borderId="23" xfId="4" applyFill="1" applyBorder="1" applyAlignment="1">
      <alignment horizontal="center" vertical="center"/>
    </xf>
    <xf numFmtId="0" fontId="1" fillId="9853" borderId="23" xfId="4" applyFill="1" applyBorder="1" applyAlignment="1">
      <alignment horizontal="center" vertical="center"/>
    </xf>
    <xf numFmtId="0" fontId="1" fillId="9854" borderId="24" xfId="4" applyFill="1" applyBorder="1" applyAlignment="1">
      <alignment horizontal="center" vertical="center"/>
    </xf>
    <xf numFmtId="0" fontId="1" fillId="9855" borderId="0" xfId="4" applyFill="1" applyAlignment="1">
      <alignment horizontal="center" vertical="center"/>
    </xf>
    <xf numFmtId="0" fontId="1" fillId="9856" borderId="0" xfId="4" applyFill="1" applyAlignment="1">
      <alignment horizontal="center" vertical="center"/>
    </xf>
    <xf numFmtId="0" fontId="1" fillId="9857" borderId="0" xfId="4" applyFill="1" applyAlignment="1">
      <alignment horizontal="center" vertical="center"/>
    </xf>
    <xf numFmtId="0" fontId="1" fillId="9858" borderId="0" xfId="4" applyFill="1" applyAlignment="1">
      <alignment horizontal="center" vertical="center"/>
    </xf>
    <xf numFmtId="0" fontId="1" fillId="9859" borderId="0" xfId="4" applyFill="1" applyAlignment="1">
      <alignment horizontal="center" vertical="center"/>
    </xf>
    <xf numFmtId="0" fontId="1" fillId="9860" borderId="0" xfId="4" applyFill="1" applyAlignment="1">
      <alignment horizontal="left" vertical="center"/>
    </xf>
    <xf numFmtId="0" fontId="1" fillId="9861" borderId="0" xfId="4" applyFill="1" applyAlignment="1">
      <alignment horizontal="center" vertical="center"/>
    </xf>
    <xf numFmtId="0" fontId="1" fillId="9862" borderId="0" xfId="4" applyFill="1" applyAlignment="1">
      <alignment horizontal="center" vertical="center"/>
    </xf>
    <xf numFmtId="0" fontId="1" fillId="9863" borderId="0" xfId="4" applyFill="1" applyAlignment="1">
      <alignment horizontal="center" vertical="center"/>
    </xf>
    <xf numFmtId="0" fontId="1" fillId="9864" borderId="0" xfId="4" applyFill="1" applyAlignment="1">
      <alignment horizontal="center" vertical="center"/>
    </xf>
    <xf numFmtId="0" fontId="1" fillId="9865" borderId="0" xfId="4" applyFill="1" applyAlignment="1">
      <alignment horizontal="center" vertical="center"/>
    </xf>
    <xf numFmtId="0" fontId="1" fillId="9866" borderId="0" xfId="4" applyFill="1" applyAlignment="1">
      <alignment horizontal="center" vertical="center"/>
    </xf>
    <xf numFmtId="0" fontId="1" fillId="9867" borderId="0" xfId="4" applyFill="1" applyAlignment="1">
      <alignment horizontal="center" vertical="center"/>
    </xf>
    <xf numFmtId="0" fontId="1" fillId="9868" borderId="0" xfId="4" applyFill="1" applyAlignment="1">
      <alignment horizontal="center" vertical="center"/>
    </xf>
    <xf numFmtId="0" fontId="1" fillId="9869" borderId="0" xfId="4" applyFill="1" applyAlignment="1">
      <alignment horizontal="center" vertical="center"/>
    </xf>
    <xf numFmtId="0" fontId="1" fillId="9870" borderId="0" xfId="4" applyFill="1" applyAlignment="1">
      <alignment horizontal="center" vertical="center"/>
    </xf>
    <xf numFmtId="0" fontId="1" fillId="9871" borderId="0" xfId="4" applyFill="1" applyAlignment="1">
      <alignment horizontal="center" vertical="center"/>
    </xf>
    <xf numFmtId="0" fontId="1" fillId="9872" borderId="0" xfId="4" applyFill="1" applyAlignment="1">
      <alignment horizontal="center" vertical="center"/>
    </xf>
    <xf numFmtId="0" fontId="1" fillId="9873" borderId="0" xfId="4" applyFill="1" applyAlignment="1">
      <alignment horizontal="center" vertical="center"/>
    </xf>
    <xf numFmtId="0" fontId="1" fillId="9874" borderId="0" xfId="4" applyFill="1" applyAlignment="1">
      <alignment horizontal="center" vertical="center"/>
    </xf>
    <xf numFmtId="0" fontId="1" fillId="9875" borderId="0" xfId="4" applyFill="1" applyAlignment="1">
      <alignment horizontal="center" vertical="center"/>
    </xf>
    <xf numFmtId="0" fontId="1" fillId="9876" borderId="0" xfId="4" applyFill="1" applyAlignment="1">
      <alignment horizontal="center" vertical="center"/>
    </xf>
    <xf numFmtId="0" fontId="1" fillId="9877" borderId="0" xfId="4" applyFill="1" applyAlignment="1">
      <alignment horizontal="center" vertical="center"/>
    </xf>
    <xf numFmtId="0" fontId="1" fillId="9878" borderId="0" xfId="4" applyFill="1" applyAlignment="1">
      <alignment horizontal="center" vertical="center"/>
    </xf>
    <xf numFmtId="0" fontId="1" fillId="9879" borderId="0" xfId="4" applyFill="1" applyAlignment="1">
      <alignment horizontal="center" vertical="center"/>
    </xf>
    <xf numFmtId="0" fontId="1" fillId="9880" borderId="0" xfId="4" applyFill="1" applyAlignment="1">
      <alignment horizontal="center" vertical="center"/>
    </xf>
    <xf numFmtId="0" fontId="1" fillId="9881" borderId="0" xfId="4" applyFill="1" applyAlignment="1">
      <alignment horizontal="center" vertical="center"/>
    </xf>
    <xf numFmtId="0" fontId="1" fillId="9882" borderId="0" xfId="4" applyFill="1" applyAlignment="1">
      <alignment horizontal="center" vertical="center"/>
    </xf>
    <xf numFmtId="0" fontId="1" fillId="9883" borderId="0" xfId="4" applyFill="1" applyAlignment="1">
      <alignment horizontal="center" vertical="center"/>
    </xf>
    <xf numFmtId="0" fontId="1" fillId="9884" borderId="0" xfId="4" applyFill="1" applyAlignment="1">
      <alignment horizontal="center" vertical="center"/>
    </xf>
    <xf numFmtId="0" fontId="1" fillId="9885" borderId="0" xfId="4" applyFill="1" applyAlignment="1">
      <alignment horizontal="center" vertical="center"/>
    </xf>
    <xf numFmtId="0" fontId="1" fillId="9886" borderId="0" xfId="4" applyFill="1" applyAlignment="1">
      <alignment horizontal="center" vertical="center"/>
    </xf>
    <xf numFmtId="0" fontId="1" fillId="9887" borderId="0" xfId="4" applyFill="1" applyAlignment="1">
      <alignment horizontal="center" vertical="center"/>
    </xf>
    <xf numFmtId="0" fontId="1" fillId="9888" borderId="0" xfId="4" applyFill="1" applyAlignment="1">
      <alignment horizontal="center" vertical="center"/>
    </xf>
    <xf numFmtId="0" fontId="1" fillId="9889" borderId="0" xfId="4" applyFill="1" applyAlignment="1">
      <alignment horizontal="center" vertical="center"/>
    </xf>
    <xf numFmtId="0" fontId="1" fillId="9890" borderId="0" xfId="4" applyFill="1" applyAlignment="1">
      <alignment horizontal="center" vertical="center"/>
    </xf>
    <xf numFmtId="0" fontId="1" fillId="9891" borderId="0" xfId="4" applyFill="1" applyAlignment="1">
      <alignment horizontal="center" vertical="center"/>
    </xf>
    <xf numFmtId="0" fontId="1" fillId="9892" borderId="0" xfId="4" applyFill="1" applyAlignment="1">
      <alignment horizontal="center" vertical="center"/>
    </xf>
    <xf numFmtId="0" fontId="1" fillId="9893" borderId="0" xfId="4" applyFill="1" applyAlignment="1">
      <alignment horizontal="center" vertical="center"/>
    </xf>
    <xf numFmtId="0" fontId="1" fillId="9894" borderId="0" xfId="4" applyFill="1" applyAlignment="1">
      <alignment horizontal="center" vertical="center"/>
    </xf>
    <xf numFmtId="0" fontId="1" fillId="9895" borderId="0" xfId="4" applyFill="1" applyAlignment="1">
      <alignment horizontal="center" vertical="center"/>
    </xf>
    <xf numFmtId="0" fontId="1" fillId="9896" borderId="0" xfId="4" applyFill="1" applyAlignment="1">
      <alignment horizontal="center" vertical="center"/>
    </xf>
    <xf numFmtId="0" fontId="1" fillId="9897" borderId="0" xfId="4" applyFill="1" applyAlignment="1">
      <alignment horizontal="center" vertical="center"/>
    </xf>
    <xf numFmtId="0" fontId="1" fillId="9898" borderId="0" xfId="4" applyFill="1" applyAlignment="1">
      <alignment horizontal="center" vertical="center"/>
    </xf>
    <xf numFmtId="0" fontId="1" fillId="9899" borderId="0" xfId="4" applyFill="1" applyAlignment="1">
      <alignment horizontal="center" vertical="center"/>
    </xf>
    <xf numFmtId="0" fontId="1" fillId="9900" borderId="0" xfId="4" applyFill="1" applyAlignment="1">
      <alignment horizontal="center" vertical="center"/>
    </xf>
    <xf numFmtId="0" fontId="1" fillId="9901" borderId="0" xfId="4" applyFill="1" applyAlignment="1">
      <alignment horizontal="center" vertical="center"/>
    </xf>
    <xf numFmtId="0" fontId="1" fillId="9902" borderId="0" xfId="4" applyFill="1" applyAlignment="1">
      <alignment horizontal="center" vertical="center"/>
    </xf>
    <xf numFmtId="0" fontId="1" fillId="9903" borderId="0" xfId="4" applyFill="1" applyAlignment="1">
      <alignment horizontal="center" vertical="center"/>
    </xf>
    <xf numFmtId="0" fontId="1" fillId="9904" borderId="0" xfId="4" applyFill="1" applyAlignment="1">
      <alignment horizontal="center" vertical="center"/>
    </xf>
    <xf numFmtId="0" fontId="1" fillId="9905" borderId="0" xfId="4" applyFill="1" applyAlignment="1">
      <alignment horizontal="center" vertical="center"/>
    </xf>
    <xf numFmtId="0" fontId="1" fillId="9906" borderId="0" xfId="4" applyFill="1" applyAlignment="1">
      <alignment horizontal="center" vertical="center"/>
    </xf>
    <xf numFmtId="0" fontId="1" fillId="9907" borderId="0" xfId="4" applyFill="1" applyAlignment="1">
      <alignment horizontal="center" vertical="center"/>
    </xf>
    <xf numFmtId="0" fontId="1" fillId="9908" borderId="0" xfId="4" applyFill="1" applyAlignment="1">
      <alignment horizontal="center" vertical="center"/>
    </xf>
    <xf numFmtId="0" fontId="1" fillId="9909" borderId="0" xfId="4" applyFill="1" applyAlignment="1">
      <alignment horizontal="center" vertical="center"/>
    </xf>
    <xf numFmtId="0" fontId="1" fillId="9910" borderId="0" xfId="4" applyFill="1" applyAlignment="1">
      <alignment horizontal="center" vertical="center"/>
    </xf>
    <xf numFmtId="0" fontId="1" fillId="9911" borderId="0" xfId="4" applyFill="1" applyAlignment="1">
      <alignment horizontal="center" vertical="center"/>
    </xf>
    <xf numFmtId="0" fontId="1" fillId="9912" borderId="0" xfId="4" applyFill="1" applyAlignment="1">
      <alignment horizontal="center" vertical="center"/>
    </xf>
    <xf numFmtId="0" fontId="1" fillId="9913" borderId="0" xfId="4" applyFill="1" applyAlignment="1">
      <alignment horizontal="center" vertical="center"/>
    </xf>
    <xf numFmtId="0" fontId="1" fillId="9914" borderId="0" xfId="4" applyFill="1" applyAlignment="1">
      <alignment horizontal="left" vertical="center"/>
    </xf>
    <xf numFmtId="0" fontId="1" fillId="9915" borderId="0" xfId="4" applyFill="1" applyAlignment="1">
      <alignment horizontal="center" vertical="center"/>
    </xf>
    <xf numFmtId="0" fontId="1" fillId="9916" borderId="0" xfId="4" applyFill="1" applyAlignment="1">
      <alignment horizontal="center" vertical="center"/>
    </xf>
    <xf numFmtId="0" fontId="1" fillId="9917" borderId="0" xfId="4" applyFill="1" applyAlignment="1">
      <alignment horizontal="center" vertical="center"/>
    </xf>
    <xf numFmtId="0" fontId="1" fillId="9918" borderId="0" xfId="4" applyFill="1" applyAlignment="1">
      <alignment horizontal="center" vertical="center"/>
    </xf>
    <xf numFmtId="0" fontId="1" fillId="9919" borderId="0" xfId="4" applyFill="1" applyAlignment="1">
      <alignment horizontal="center" vertical="center"/>
    </xf>
    <xf numFmtId="0" fontId="1" fillId="9920" borderId="0" xfId="4" applyFill="1" applyAlignment="1">
      <alignment horizontal="center" vertical="center"/>
    </xf>
    <xf numFmtId="0" fontId="1" fillId="9921" borderId="0" xfId="4" applyFill="1" applyAlignment="1">
      <alignment horizontal="center" vertical="center"/>
    </xf>
    <xf numFmtId="0" fontId="1" fillId="9922" borderId="0" xfId="4" applyFill="1" applyAlignment="1">
      <alignment horizontal="center" vertical="center"/>
    </xf>
    <xf numFmtId="0" fontId="1" fillId="9923" borderId="0" xfId="4" applyFill="1" applyAlignment="1">
      <alignment horizontal="center" vertical="center"/>
    </xf>
    <xf numFmtId="0" fontId="1" fillId="9924" borderId="0" xfId="4" applyFill="1" applyAlignment="1">
      <alignment horizontal="center" vertical="center"/>
    </xf>
    <xf numFmtId="0" fontId="1" fillId="9925" borderId="0" xfId="4" applyFill="1" applyAlignment="1">
      <alignment horizontal="center" vertical="center"/>
    </xf>
    <xf numFmtId="0" fontId="1" fillId="9926" borderId="0" xfId="4" applyFill="1" applyAlignment="1">
      <alignment horizontal="center" vertical="center"/>
    </xf>
    <xf numFmtId="0" fontId="1" fillId="9927" borderId="0" xfId="4" applyFill="1" applyAlignment="1">
      <alignment horizontal="center" vertical="center"/>
    </xf>
    <xf numFmtId="0" fontId="1" fillId="9928" borderId="0" xfId="4" applyFill="1" applyAlignment="1">
      <alignment horizontal="center" vertical="center"/>
    </xf>
    <xf numFmtId="0" fontId="1" fillId="9929" borderId="0" xfId="4" applyFill="1" applyAlignment="1">
      <alignment horizontal="center" vertical="center"/>
    </xf>
    <xf numFmtId="0" fontId="1" fillId="9930" borderId="0" xfId="4" applyFill="1" applyAlignment="1">
      <alignment horizontal="center" vertical="center"/>
    </xf>
    <xf numFmtId="0" fontId="1" fillId="9931" borderId="0" xfId="4" applyFill="1" applyAlignment="1">
      <alignment horizontal="center" vertical="center"/>
    </xf>
    <xf numFmtId="0" fontId="1" fillId="9932" borderId="0" xfId="4" applyFill="1" applyAlignment="1">
      <alignment horizontal="center" vertical="center"/>
    </xf>
    <xf numFmtId="0" fontId="1" fillId="9933" borderId="0" xfId="4" applyFill="1" applyAlignment="1">
      <alignment horizontal="center" vertical="center"/>
    </xf>
    <xf numFmtId="0" fontId="1" fillId="9934" borderId="0" xfId="4" applyFill="1" applyAlignment="1">
      <alignment horizontal="center" vertical="center"/>
    </xf>
    <xf numFmtId="0" fontId="1" fillId="9935" borderId="0" xfId="4" applyFill="1" applyAlignment="1">
      <alignment horizontal="center" vertical="center"/>
    </xf>
    <xf numFmtId="0" fontId="1" fillId="9936" borderId="0" xfId="4" applyFill="1" applyAlignment="1">
      <alignment horizontal="center" vertical="center"/>
    </xf>
    <xf numFmtId="0" fontId="1" fillId="9937" borderId="0" xfId="4" applyFill="1" applyAlignment="1">
      <alignment horizontal="center" vertical="center"/>
    </xf>
    <xf numFmtId="0" fontId="1" fillId="9938" borderId="0" xfId="4" applyFill="1" applyAlignment="1">
      <alignment horizontal="center" vertical="center"/>
    </xf>
    <xf numFmtId="0" fontId="1" fillId="9939" borderId="0" xfId="4" applyFill="1" applyAlignment="1">
      <alignment horizontal="center" vertical="center"/>
    </xf>
    <xf numFmtId="0" fontId="1" fillId="9940" borderId="0" xfId="4" applyFill="1" applyAlignment="1">
      <alignment horizontal="left" vertical="center"/>
    </xf>
    <xf numFmtId="0" fontId="1" fillId="9941" borderId="0" xfId="4" applyFill="1" applyAlignment="1">
      <alignment horizontal="center" vertical="center"/>
    </xf>
    <xf numFmtId="0" fontId="1" fillId="9942" borderId="0" xfId="4" applyFill="1" applyAlignment="1">
      <alignment horizontal="center" vertical="center"/>
    </xf>
    <xf numFmtId="0" fontId="1" fillId="9943" borderId="0" xfId="4" applyFill="1" applyAlignment="1">
      <alignment horizontal="center" vertical="center"/>
    </xf>
    <xf numFmtId="0" fontId="1" fillId="9944" borderId="0" xfId="4" applyFill="1" applyAlignment="1">
      <alignment horizontal="center" vertical="center"/>
    </xf>
    <xf numFmtId="0" fontId="1" fillId="9945" borderId="0" xfId="4" applyFill="1" applyAlignment="1">
      <alignment horizontal="center" vertical="center"/>
    </xf>
    <xf numFmtId="0" fontId="1" fillId="9946" borderId="0" xfId="4" applyFill="1" applyAlignment="1">
      <alignment horizontal="center" vertical="center"/>
    </xf>
    <xf numFmtId="0" fontId="1" fillId="9947" borderId="0" xfId="4" applyFill="1" applyAlignment="1">
      <alignment horizontal="center" vertical="center"/>
    </xf>
    <xf numFmtId="0" fontId="1" fillId="9948" borderId="0" xfId="4" applyFill="1" applyAlignment="1">
      <alignment horizontal="center" vertical="center"/>
    </xf>
    <xf numFmtId="0" fontId="1" fillId="9949" borderId="0" xfId="4" applyFill="1" applyAlignment="1">
      <alignment horizontal="center" vertical="center"/>
    </xf>
    <xf numFmtId="0" fontId="1" fillId="9950" borderId="0" xfId="4" applyFill="1" applyAlignment="1">
      <alignment horizontal="center" vertical="center"/>
    </xf>
    <xf numFmtId="0" fontId="1" fillId="9951" borderId="0" xfId="4" applyFill="1" applyAlignment="1">
      <alignment horizontal="center" vertical="center"/>
    </xf>
    <xf numFmtId="0" fontId="1" fillId="9952" borderId="0" xfId="4" applyFill="1" applyAlignment="1">
      <alignment horizontal="center" vertical="center"/>
    </xf>
    <xf numFmtId="0" fontId="1" fillId="9953" borderId="0" xfId="4" applyFill="1" applyAlignment="1">
      <alignment horizontal="center" vertical="center"/>
    </xf>
    <xf numFmtId="0" fontId="1" fillId="9954" borderId="0" xfId="4" applyFill="1" applyAlignment="1">
      <alignment horizontal="center" vertical="center"/>
    </xf>
    <xf numFmtId="0" fontId="1" fillId="9955" borderId="0" xfId="4" applyFill="1" applyAlignment="1">
      <alignment horizontal="center" vertical="center"/>
    </xf>
    <xf numFmtId="0" fontId="1" fillId="9956" borderId="0" xfId="4" applyFill="1" applyAlignment="1">
      <alignment horizontal="center" vertical="center"/>
    </xf>
    <xf numFmtId="0" fontId="1" fillId="9957" borderId="0" xfId="4" applyFill="1" applyAlignment="1">
      <alignment horizontal="center" vertical="center"/>
    </xf>
    <xf numFmtId="0" fontId="1" fillId="9958" borderId="0" xfId="4" applyFill="1" applyAlignment="1">
      <alignment horizontal="center" vertical="center"/>
    </xf>
    <xf numFmtId="0" fontId="1" fillId="9959" borderId="0" xfId="4" applyFill="1" applyAlignment="1">
      <alignment horizontal="center" vertical="center"/>
    </xf>
    <xf numFmtId="0" fontId="1" fillId="9960" borderId="0" xfId="4" applyFill="1" applyAlignment="1">
      <alignment horizontal="center" vertical="center"/>
    </xf>
    <xf numFmtId="0" fontId="1" fillId="9961" borderId="0" xfId="4" applyFill="1" applyAlignment="1">
      <alignment horizontal="center" vertical="center"/>
    </xf>
    <xf numFmtId="0" fontId="1" fillId="9962" borderId="0" xfId="4" applyFill="1" applyAlignment="1">
      <alignment horizontal="center" vertical="center"/>
    </xf>
    <xf numFmtId="0" fontId="1" fillId="9963" borderId="0" xfId="4" applyFill="1" applyAlignment="1">
      <alignment horizontal="center" vertical="center"/>
    </xf>
    <xf numFmtId="0" fontId="1" fillId="9964" borderId="0" xfId="4" applyFill="1" applyAlignment="1">
      <alignment horizontal="center" vertical="center"/>
    </xf>
    <xf numFmtId="0" fontId="1" fillId="9965" borderId="0" xfId="4" applyFill="1" applyAlignment="1">
      <alignment horizontal="center" vertical="center"/>
    </xf>
    <xf numFmtId="0" fontId="1" fillId="9966" borderId="0" xfId="4" applyFill="1" applyAlignment="1">
      <alignment horizontal="center" vertical="center"/>
    </xf>
    <xf numFmtId="0" fontId="1" fillId="9967" borderId="0" xfId="4" applyFill="1" applyAlignment="1">
      <alignment horizontal="center" vertical="center"/>
    </xf>
    <xf numFmtId="0" fontId="1" fillId="9968" borderId="0" xfId="4" applyFill="1" applyAlignment="1">
      <alignment horizontal="center" vertical="center"/>
    </xf>
    <xf numFmtId="0" fontId="1" fillId="9969" borderId="0" xfId="4" applyFill="1" applyAlignment="1">
      <alignment horizontal="center" vertical="center"/>
    </xf>
    <xf numFmtId="0" fontId="1" fillId="9970" borderId="0" xfId="4" applyFill="1" applyAlignment="1">
      <alignment horizontal="center" vertical="center"/>
    </xf>
    <xf numFmtId="0" fontId="1" fillId="9971" borderId="0" xfId="4" applyFill="1" applyAlignment="1">
      <alignment horizontal="center" vertical="center"/>
    </xf>
    <xf numFmtId="0" fontId="1" fillId="9972" borderId="0" xfId="4" applyFill="1" applyAlignment="1">
      <alignment horizontal="center" vertical="center"/>
    </xf>
    <xf numFmtId="0" fontId="1" fillId="9973" borderId="0" xfId="4" applyFill="1" applyAlignment="1">
      <alignment horizontal="center" vertical="center"/>
    </xf>
    <xf numFmtId="0" fontId="1" fillId="9974" borderId="0" xfId="4" applyFill="1" applyAlignment="1">
      <alignment horizontal="center" vertical="center"/>
    </xf>
    <xf numFmtId="0" fontId="1" fillId="9975" borderId="0" xfId="4" applyFill="1" applyAlignment="1">
      <alignment horizontal="center" vertical="center"/>
    </xf>
    <xf numFmtId="0" fontId="1" fillId="9976" borderId="0" xfId="4" applyFill="1" applyAlignment="1">
      <alignment horizontal="center" vertical="center"/>
    </xf>
    <xf numFmtId="0" fontId="1" fillId="9977" borderId="0" xfId="4" applyFill="1" applyAlignment="1">
      <alignment horizontal="center" vertical="center"/>
    </xf>
    <xf numFmtId="0" fontId="1" fillId="9978" borderId="0" xfId="4" applyFill="1" applyAlignment="1">
      <alignment horizontal="center" vertical="center"/>
    </xf>
    <xf numFmtId="0" fontId="1" fillId="9979" borderId="0" xfId="4" applyFill="1" applyAlignment="1">
      <alignment horizontal="center" vertical="center"/>
    </xf>
    <xf numFmtId="0" fontId="1" fillId="9980" borderId="0" xfId="4" applyFill="1" applyAlignment="1">
      <alignment horizontal="center" vertical="center"/>
    </xf>
    <xf numFmtId="0" fontId="1" fillId="9981" borderId="0" xfId="4" applyFill="1" applyAlignment="1">
      <alignment horizontal="center" vertical="center"/>
    </xf>
    <xf numFmtId="0" fontId="1" fillId="9982" borderId="0" xfId="4" applyFill="1" applyAlignment="1">
      <alignment horizontal="center" vertical="center"/>
    </xf>
    <xf numFmtId="0" fontId="1" fillId="9983" borderId="0" xfId="4" applyFill="1" applyAlignment="1">
      <alignment horizontal="center" vertical="center"/>
    </xf>
    <xf numFmtId="0" fontId="1" fillId="9984" borderId="0" xfId="4" applyFill="1" applyAlignment="1">
      <alignment horizontal="center" vertical="center"/>
    </xf>
    <xf numFmtId="0" fontId="1" fillId="9985" borderId="0" xfId="4" applyFill="1" applyAlignment="1">
      <alignment horizontal="center" vertical="center"/>
    </xf>
    <xf numFmtId="0" fontId="1" fillId="9986" borderId="0" xfId="4" applyFill="1" applyAlignment="1">
      <alignment horizontal="center" vertical="center"/>
    </xf>
    <xf numFmtId="0" fontId="1" fillId="9987" borderId="0" xfId="4" applyFill="1" applyAlignment="1">
      <alignment horizontal="center" vertical="center"/>
    </xf>
    <xf numFmtId="0" fontId="1" fillId="9988" borderId="0" xfId="4" applyFill="1" applyAlignment="1">
      <alignment horizontal="center" vertical="center"/>
    </xf>
    <xf numFmtId="0" fontId="1" fillId="9989" borderId="0" xfId="4" applyFill="1" applyAlignment="1">
      <alignment horizontal="center" vertical="center"/>
    </xf>
    <xf numFmtId="0" fontId="1" fillId="9990" borderId="0" xfId="4" applyFill="1" applyAlignment="1">
      <alignment horizontal="center" vertical="center"/>
    </xf>
    <xf numFmtId="0" fontId="1" fillId="9991" borderId="0" xfId="4" applyFill="1" applyAlignment="1">
      <alignment horizontal="center" vertical="center"/>
    </xf>
    <xf numFmtId="0" fontId="1" fillId="9992" borderId="0" xfId="4" applyFill="1" applyAlignment="1">
      <alignment horizontal="center" vertical="center"/>
    </xf>
    <xf numFmtId="0" fontId="1" fillId="9993" borderId="0" xfId="4" applyFill="1" applyAlignment="1">
      <alignment horizontal="center" vertical="center"/>
    </xf>
    <xf numFmtId="0" fontId="1" fillId="9994" borderId="0" xfId="4" applyFill="1" applyAlignment="1">
      <alignment horizontal="center" vertical="center"/>
    </xf>
    <xf numFmtId="0" fontId="1" fillId="9995" borderId="0" xfId="4" applyFill="1" applyAlignment="1">
      <alignment horizontal="left" vertical="center"/>
    </xf>
    <xf numFmtId="0" fontId="1" fillId="9996" borderId="0" xfId="4" applyFill="1" applyAlignment="1">
      <alignment horizontal="center" vertical="center"/>
    </xf>
    <xf numFmtId="0" fontId="1" fillId="9997" borderId="0" xfId="4" applyFill="1" applyAlignment="1">
      <alignment horizontal="center" vertical="center"/>
    </xf>
    <xf numFmtId="0" fontId="1" fillId="9998" borderId="0" xfId="4" applyFill="1" applyAlignment="1">
      <alignment horizontal="center" vertical="center"/>
    </xf>
    <xf numFmtId="0" fontId="1" fillId="9999" borderId="0" xfId="4" applyFill="1" applyAlignment="1">
      <alignment horizontal="center" vertical="center"/>
    </xf>
    <xf numFmtId="0" fontId="1" fillId="10000" borderId="0" xfId="4" applyFill="1" applyAlignment="1">
      <alignment horizontal="center" vertical="center"/>
    </xf>
    <xf numFmtId="0" fontId="1" fillId="10001" borderId="0" xfId="4" applyFill="1" applyAlignment="1">
      <alignment horizontal="center" vertical="center"/>
    </xf>
    <xf numFmtId="0" fontId="1" fillId="10002" borderId="0" xfId="4" applyFill="1" applyAlignment="1">
      <alignment horizontal="center" vertical="center"/>
    </xf>
    <xf numFmtId="0" fontId="1" fillId="10003" borderId="0" xfId="4" applyFill="1" applyAlignment="1">
      <alignment horizontal="center" vertical="center"/>
    </xf>
    <xf numFmtId="0" fontId="1" fillId="10004" borderId="0" xfId="4" applyFill="1" applyAlignment="1">
      <alignment horizontal="center" vertical="center"/>
    </xf>
    <xf numFmtId="0" fontId="1" fillId="10005" borderId="0" xfId="4" applyFill="1" applyAlignment="1">
      <alignment horizontal="center" vertical="center"/>
    </xf>
    <xf numFmtId="0" fontId="1" fillId="10006" borderId="0" xfId="4" applyFill="1" applyAlignment="1">
      <alignment horizontal="center" vertical="center"/>
    </xf>
    <xf numFmtId="0" fontId="1" fillId="10007" borderId="0" xfId="4" applyFill="1" applyAlignment="1">
      <alignment horizontal="center" vertical="center"/>
    </xf>
    <xf numFmtId="0" fontId="1" fillId="10008" borderId="0" xfId="4" applyFill="1" applyAlignment="1">
      <alignment horizontal="center" vertical="center"/>
    </xf>
    <xf numFmtId="0" fontId="1" fillId="10009" borderId="0" xfId="4" applyFill="1" applyAlignment="1">
      <alignment horizontal="center" vertical="center"/>
    </xf>
    <xf numFmtId="0" fontId="1" fillId="10010" borderId="0" xfId="4" applyFill="1" applyAlignment="1">
      <alignment horizontal="center" vertical="center"/>
    </xf>
    <xf numFmtId="0" fontId="1" fillId="10011" borderId="0" xfId="4" applyFill="1" applyAlignment="1">
      <alignment horizontal="center" vertical="center"/>
    </xf>
    <xf numFmtId="0" fontId="1" fillId="10012" borderId="0" xfId="4" applyFill="1" applyAlignment="1">
      <alignment horizontal="center" vertical="center"/>
    </xf>
    <xf numFmtId="0" fontId="1" fillId="10013" borderId="0" xfId="4" applyFill="1" applyAlignment="1">
      <alignment horizontal="center" vertical="center"/>
    </xf>
    <xf numFmtId="0" fontId="1" fillId="10014" borderId="0" xfId="4" applyFill="1" applyAlignment="1">
      <alignment horizontal="center" vertical="center"/>
    </xf>
    <xf numFmtId="0" fontId="1" fillId="10015" borderId="0" xfId="4" applyFill="1" applyAlignment="1">
      <alignment horizontal="center" vertical="center"/>
    </xf>
    <xf numFmtId="0" fontId="1" fillId="10016" borderId="0" xfId="4" applyFill="1" applyAlignment="1">
      <alignment horizontal="center" vertical="center"/>
    </xf>
    <xf numFmtId="0" fontId="1" fillId="10017" borderId="0" xfId="4" applyFill="1" applyAlignment="1">
      <alignment horizontal="center" vertical="center"/>
    </xf>
    <xf numFmtId="0" fontId="1" fillId="10018" borderId="0" xfId="4" applyFill="1" applyAlignment="1">
      <alignment horizontal="left" vertical="center"/>
    </xf>
    <xf numFmtId="0" fontId="1" fillId="10019" borderId="0" xfId="4" applyFill="1" applyAlignment="1">
      <alignment horizontal="center" vertical="center"/>
    </xf>
    <xf numFmtId="0" fontId="1" fillId="10020" borderId="0" xfId="4" applyFill="1" applyAlignment="1">
      <alignment horizontal="center" vertical="center"/>
    </xf>
    <xf numFmtId="0" fontId="1" fillId="10021" borderId="0" xfId="4" applyFill="1" applyAlignment="1">
      <alignment horizontal="center" vertical="center"/>
    </xf>
    <xf numFmtId="0" fontId="1" fillId="10022" borderId="0" xfId="4" applyFill="1" applyAlignment="1">
      <alignment horizontal="center" vertical="center"/>
    </xf>
    <xf numFmtId="0" fontId="1" fillId="10023" borderId="0" xfId="4" applyFill="1" applyAlignment="1">
      <alignment horizontal="center" vertical="center"/>
    </xf>
    <xf numFmtId="0" fontId="1" fillId="10024" borderId="0" xfId="4" applyFill="1" applyAlignment="1">
      <alignment horizontal="center" vertical="center"/>
    </xf>
    <xf numFmtId="0" fontId="1" fillId="10025" borderId="0" xfId="4" applyFill="1" applyAlignment="1">
      <alignment horizontal="center" vertical="center"/>
    </xf>
    <xf numFmtId="0" fontId="1" fillId="10026" borderId="0" xfId="4" applyFill="1" applyAlignment="1">
      <alignment horizontal="center" vertical="center"/>
    </xf>
    <xf numFmtId="0" fontId="1" fillId="10027" borderId="0" xfId="4" applyFill="1" applyAlignment="1">
      <alignment horizontal="center" vertical="center"/>
    </xf>
    <xf numFmtId="0" fontId="1" fillId="10028" borderId="0" xfId="4" applyFill="1" applyAlignment="1">
      <alignment horizontal="center" vertical="center"/>
    </xf>
    <xf numFmtId="0" fontId="1" fillId="10029" borderId="0" xfId="4" applyFill="1" applyAlignment="1">
      <alignment horizontal="center" vertical="center"/>
    </xf>
    <xf numFmtId="0" fontId="1" fillId="10030" borderId="0" xfId="4" applyFill="1" applyAlignment="1">
      <alignment horizontal="center" vertical="center"/>
    </xf>
    <xf numFmtId="0" fontId="1" fillId="10031" borderId="0" xfId="4" applyFill="1" applyAlignment="1">
      <alignment horizontal="center" vertical="center"/>
    </xf>
    <xf numFmtId="0" fontId="1" fillId="10032" borderId="0" xfId="4" applyFill="1" applyAlignment="1">
      <alignment horizontal="center" vertical="center"/>
    </xf>
    <xf numFmtId="0" fontId="1" fillId="10033" borderId="0" xfId="4" applyFill="1" applyAlignment="1">
      <alignment horizontal="center" vertical="center"/>
    </xf>
    <xf numFmtId="0" fontId="1" fillId="10034" borderId="0" xfId="4" applyFill="1" applyAlignment="1">
      <alignment horizontal="center" vertical="center"/>
    </xf>
    <xf numFmtId="0" fontId="1" fillId="10035" borderId="0" xfId="4" applyFill="1" applyAlignment="1">
      <alignment horizontal="center" vertical="center"/>
    </xf>
    <xf numFmtId="0" fontId="1" fillId="10036" borderId="0" xfId="4" applyFill="1" applyAlignment="1">
      <alignment horizontal="center" vertical="center"/>
    </xf>
    <xf numFmtId="0" fontId="1" fillId="10037" borderId="0" xfId="4" applyFill="1" applyAlignment="1">
      <alignment horizontal="center" vertical="center"/>
    </xf>
    <xf numFmtId="0" fontId="1" fillId="10038" borderId="0" xfId="4" applyFill="1" applyAlignment="1">
      <alignment horizontal="center" vertical="center"/>
    </xf>
    <xf numFmtId="0" fontId="1" fillId="10039" borderId="0" xfId="4" applyFill="1" applyAlignment="1">
      <alignment horizontal="center" vertical="center"/>
    </xf>
    <xf numFmtId="0" fontId="1" fillId="10040" borderId="0" xfId="4" applyFill="1" applyAlignment="1">
      <alignment horizontal="center" vertical="center"/>
    </xf>
    <xf numFmtId="0" fontId="1" fillId="10041" borderId="0" xfId="4" applyFill="1" applyAlignment="1">
      <alignment horizontal="center" vertical="center"/>
    </xf>
    <xf numFmtId="0" fontId="1" fillId="10042" borderId="0" xfId="4" applyFill="1" applyAlignment="1">
      <alignment horizontal="center" vertical="center"/>
    </xf>
    <xf numFmtId="0" fontId="1" fillId="10043" borderId="0" xfId="4" applyFill="1" applyAlignment="1">
      <alignment horizontal="center" vertical="center"/>
    </xf>
    <xf numFmtId="0" fontId="1" fillId="10044" borderId="0" xfId="4" applyFill="1" applyAlignment="1">
      <alignment horizontal="center" vertical="center"/>
    </xf>
    <xf numFmtId="0" fontId="1" fillId="10045" borderId="0" xfId="4" applyFill="1" applyAlignment="1">
      <alignment horizontal="center" vertical="center"/>
    </xf>
    <xf numFmtId="0" fontId="1" fillId="10046" borderId="0" xfId="4" applyFill="1" applyAlignment="1">
      <alignment horizontal="center" vertical="center"/>
    </xf>
    <xf numFmtId="0" fontId="1" fillId="10047" borderId="0" xfId="4" applyFill="1" applyAlignment="1">
      <alignment horizontal="center" vertical="center"/>
    </xf>
    <xf numFmtId="0" fontId="1" fillId="10048" borderId="0" xfId="4" applyFill="1" applyAlignment="1">
      <alignment horizontal="center" vertical="center"/>
    </xf>
    <xf numFmtId="0" fontId="1" fillId="10049" borderId="0" xfId="4" applyFill="1" applyAlignment="1">
      <alignment horizontal="center" vertical="center"/>
    </xf>
    <xf numFmtId="0" fontId="1" fillId="10050" borderId="0" xfId="4" applyFill="1" applyAlignment="1">
      <alignment horizontal="center" vertical="center"/>
    </xf>
    <xf numFmtId="0" fontId="1" fillId="10051" borderId="0" xfId="4" applyFill="1" applyAlignment="1">
      <alignment horizontal="center" vertical="center"/>
    </xf>
    <xf numFmtId="0" fontId="1" fillId="10052" borderId="0" xfId="4" applyFill="1" applyAlignment="1">
      <alignment horizontal="center" vertical="center"/>
    </xf>
    <xf numFmtId="0" fontId="1" fillId="10053" borderId="0" xfId="4" applyFill="1" applyAlignment="1">
      <alignment horizontal="center" vertical="center"/>
    </xf>
    <xf numFmtId="0" fontId="1" fillId="10054" borderId="0" xfId="4" applyFill="1" applyAlignment="1">
      <alignment horizontal="center" vertical="center"/>
    </xf>
    <xf numFmtId="0" fontId="1" fillId="10055" borderId="0" xfId="4" applyFill="1" applyAlignment="1">
      <alignment horizontal="center" vertical="center"/>
    </xf>
    <xf numFmtId="0" fontId="1" fillId="10056" borderId="0" xfId="4" applyFill="1" applyAlignment="1">
      <alignment horizontal="center" vertical="center"/>
    </xf>
    <xf numFmtId="0" fontId="1" fillId="10057" borderId="0" xfId="4" applyFill="1" applyAlignment="1">
      <alignment horizontal="center" vertical="center"/>
    </xf>
    <xf numFmtId="0" fontId="1" fillId="10058" borderId="0" xfId="4" applyFill="1" applyAlignment="1">
      <alignment horizontal="center" vertical="center"/>
    </xf>
    <xf numFmtId="0" fontId="1" fillId="10059" borderId="0" xfId="4" applyFill="1" applyAlignment="1">
      <alignment horizontal="center" vertical="center"/>
    </xf>
    <xf numFmtId="0" fontId="1" fillId="10060" borderId="0" xfId="4" applyFill="1" applyAlignment="1">
      <alignment horizontal="center" vertical="center"/>
    </xf>
    <xf numFmtId="0" fontId="1" fillId="10061" borderId="0" xfId="4" applyFill="1" applyAlignment="1">
      <alignment horizontal="center" vertical="center"/>
    </xf>
    <xf numFmtId="0" fontId="1" fillId="10062" borderId="0" xfId="4" applyFill="1" applyAlignment="1">
      <alignment horizontal="center" vertical="center"/>
    </xf>
    <xf numFmtId="0" fontId="1" fillId="10063" borderId="0" xfId="4" applyFill="1" applyAlignment="1">
      <alignment horizontal="center" vertical="center"/>
    </xf>
    <xf numFmtId="0" fontId="1" fillId="10064" borderId="0" xfId="4" applyFill="1" applyAlignment="1">
      <alignment horizontal="center" vertical="center"/>
    </xf>
    <xf numFmtId="0" fontId="1" fillId="10065" borderId="0" xfId="4" applyFill="1" applyAlignment="1">
      <alignment horizontal="center" vertical="center"/>
    </xf>
    <xf numFmtId="0" fontId="1" fillId="10066" borderId="0" xfId="4" applyFill="1" applyAlignment="1">
      <alignment horizontal="center" vertical="center"/>
    </xf>
    <xf numFmtId="0" fontId="1" fillId="10067" borderId="0" xfId="4" applyFill="1" applyAlignment="1">
      <alignment horizontal="center" vertical="center"/>
    </xf>
    <xf numFmtId="0" fontId="1" fillId="10068" borderId="0" xfId="4" applyFill="1" applyAlignment="1">
      <alignment horizontal="center" vertical="center"/>
    </xf>
    <xf numFmtId="0" fontId="1" fillId="10069" borderId="0" xfId="4" applyFill="1" applyAlignment="1">
      <alignment horizontal="center" vertical="center"/>
    </xf>
    <xf numFmtId="0" fontId="1" fillId="10070" borderId="0" xfId="4" applyFill="1" applyAlignment="1">
      <alignment horizontal="center" vertical="center"/>
    </xf>
    <xf numFmtId="0" fontId="1" fillId="10071" borderId="0" xfId="4" applyFill="1" applyAlignment="1">
      <alignment horizontal="center" vertical="center"/>
    </xf>
    <xf numFmtId="0" fontId="1" fillId="10072" borderId="0" xfId="4" applyFill="1" applyAlignment="1">
      <alignment horizontal="center" vertical="center"/>
    </xf>
    <xf numFmtId="0" fontId="1" fillId="10073" borderId="0" xfId="4" applyFill="1" applyAlignment="1">
      <alignment horizontal="center" vertical="center"/>
    </xf>
    <xf numFmtId="0" fontId="1" fillId="10074" borderId="0" xfId="4" applyFill="1" applyAlignment="1">
      <alignment horizontal="center" vertical="center"/>
    </xf>
    <xf numFmtId="0" fontId="1" fillId="10075" borderId="0" xfId="4" applyFill="1" applyAlignment="1">
      <alignment horizontal="center" vertical="center"/>
    </xf>
    <xf numFmtId="0" fontId="1" fillId="10076" borderId="0" xfId="4" applyFill="1" applyAlignment="1">
      <alignment horizontal="center" vertical="center"/>
    </xf>
    <xf numFmtId="0" fontId="1" fillId="10077" borderId="0" xfId="4" applyFill="1" applyAlignment="1">
      <alignment horizontal="center" vertical="center"/>
    </xf>
    <xf numFmtId="0" fontId="1" fillId="10078" borderId="0" xfId="4" applyFill="1" applyAlignment="1">
      <alignment horizontal="center" vertical="center"/>
    </xf>
    <xf numFmtId="0" fontId="1" fillId="10079" borderId="0" xfId="4" applyFill="1" applyAlignment="1">
      <alignment horizontal="center" vertical="center"/>
    </xf>
    <xf numFmtId="0" fontId="1" fillId="10080" borderId="0" xfId="4" applyFill="1" applyAlignment="1">
      <alignment horizontal="center" vertical="center"/>
    </xf>
    <xf numFmtId="0" fontId="1" fillId="10081" borderId="0" xfId="4" applyFill="1" applyAlignment="1">
      <alignment horizontal="center" vertical="center"/>
    </xf>
    <xf numFmtId="0" fontId="1" fillId="10082" borderId="0" xfId="4" applyFill="1" applyAlignment="1">
      <alignment horizontal="center" vertical="center"/>
    </xf>
    <xf numFmtId="0" fontId="1" fillId="10083" borderId="0" xfId="4" applyFill="1" applyAlignment="1">
      <alignment horizontal="center" vertical="center"/>
    </xf>
    <xf numFmtId="0" fontId="1" fillId="10084" borderId="0" xfId="4" applyFill="1" applyAlignment="1">
      <alignment horizontal="center" vertical="center"/>
    </xf>
    <xf numFmtId="0" fontId="1" fillId="10085" borderId="0" xfId="4" applyFill="1" applyAlignment="1">
      <alignment horizontal="center" vertical="center"/>
    </xf>
    <xf numFmtId="0" fontId="1" fillId="10086" borderId="0" xfId="4" applyFill="1" applyAlignment="1">
      <alignment horizontal="center" vertical="center"/>
    </xf>
    <xf numFmtId="0" fontId="1" fillId="10087" borderId="0" xfId="4" applyFill="1" applyAlignment="1">
      <alignment horizontal="center" vertical="center"/>
    </xf>
    <xf numFmtId="0" fontId="1" fillId="10088" borderId="0" xfId="4" applyFill="1" applyAlignment="1">
      <alignment horizontal="center" vertical="center"/>
    </xf>
    <xf numFmtId="0" fontId="1" fillId="10089" borderId="0" xfId="4" applyFill="1" applyAlignment="1">
      <alignment horizontal="center" vertical="center"/>
    </xf>
    <xf numFmtId="0" fontId="1" fillId="10090" borderId="0" xfId="4" applyFill="1" applyAlignment="1">
      <alignment horizontal="center" vertical="center"/>
    </xf>
    <xf numFmtId="0" fontId="1" fillId="10091" borderId="0" xfId="4" applyFill="1" applyAlignment="1">
      <alignment horizontal="center" vertical="center"/>
    </xf>
    <xf numFmtId="0" fontId="1" fillId="10092" borderId="0" xfId="4" applyFill="1" applyAlignment="1">
      <alignment horizontal="center" vertical="center"/>
    </xf>
    <xf numFmtId="0" fontId="1" fillId="10093" borderId="0" xfId="4" applyFill="1" applyAlignment="1">
      <alignment horizontal="center" vertical="center"/>
    </xf>
    <xf numFmtId="0" fontId="1" fillId="10094" borderId="0" xfId="4" applyFill="1" applyAlignment="1">
      <alignment horizontal="center" vertical="center"/>
    </xf>
    <xf numFmtId="0" fontId="1" fillId="10095" borderId="0" xfId="4" applyFill="1" applyAlignment="1">
      <alignment horizontal="center" vertical="center"/>
    </xf>
    <xf numFmtId="0" fontId="1" fillId="10096" borderId="0" xfId="4" applyFill="1" applyAlignment="1">
      <alignment horizontal="center" vertical="center"/>
    </xf>
    <xf numFmtId="0" fontId="1" fillId="10097" borderId="0" xfId="4" applyFill="1" applyAlignment="1">
      <alignment horizontal="center" vertical="center"/>
    </xf>
    <xf numFmtId="0" fontId="1" fillId="10098" borderId="0" xfId="4" applyFill="1" applyAlignment="1">
      <alignment horizontal="center" vertical="center"/>
    </xf>
    <xf numFmtId="0" fontId="1" fillId="10099" borderId="0" xfId="4" applyFill="1" applyAlignment="1">
      <alignment horizontal="center" vertical="center"/>
    </xf>
    <xf numFmtId="0" fontId="1" fillId="10100" borderId="0" xfId="4" applyFill="1" applyAlignment="1">
      <alignment horizontal="center" vertical="center"/>
    </xf>
    <xf numFmtId="0" fontId="1" fillId="10101" borderId="0" xfId="4" applyFill="1" applyAlignment="1">
      <alignment horizontal="center" vertical="center"/>
    </xf>
    <xf numFmtId="0" fontId="1" fillId="10102" borderId="0" xfId="4" applyFill="1" applyAlignment="1">
      <alignment horizontal="center" vertical="center"/>
    </xf>
    <xf numFmtId="0" fontId="1" fillId="10103" borderId="0" xfId="4" applyFill="1" applyAlignment="1">
      <alignment horizontal="center" vertical="center"/>
    </xf>
    <xf numFmtId="0" fontId="1" fillId="10104" borderId="0" xfId="4" applyFill="1" applyAlignment="1">
      <alignment horizontal="center" vertical="center"/>
    </xf>
    <xf numFmtId="0" fontId="1" fillId="10105" borderId="0" xfId="4" applyFill="1" applyAlignment="1">
      <alignment horizontal="center" vertical="center"/>
    </xf>
    <xf numFmtId="0" fontId="1" fillId="10106" borderId="0" xfId="4" applyFill="1" applyAlignment="1">
      <alignment horizontal="center" vertical="center"/>
    </xf>
    <xf numFmtId="0" fontId="1" fillId="10107" borderId="0" xfId="4" applyFill="1" applyAlignment="1">
      <alignment horizontal="center" vertical="center"/>
    </xf>
    <xf numFmtId="0" fontId="1" fillId="10108" borderId="0" xfId="4" applyFill="1" applyAlignment="1">
      <alignment horizontal="center" vertical="center"/>
    </xf>
    <xf numFmtId="0" fontId="1" fillId="10109" borderId="0" xfId="4" applyFill="1" applyAlignment="1">
      <alignment horizontal="center" vertical="center"/>
    </xf>
    <xf numFmtId="0" fontId="1" fillId="10110" borderId="0" xfId="4" applyFill="1" applyAlignment="1">
      <alignment horizontal="center" vertical="center"/>
    </xf>
    <xf numFmtId="0" fontId="1" fillId="10111" borderId="0" xfId="4" applyFill="1" applyAlignment="1">
      <alignment horizontal="center" vertical="center"/>
    </xf>
    <xf numFmtId="0" fontId="1" fillId="10112" borderId="0" xfId="4" applyFill="1" applyAlignment="1">
      <alignment horizontal="center" vertical="center"/>
    </xf>
    <xf numFmtId="0" fontId="1" fillId="10113" borderId="0" xfId="4" applyFill="1" applyAlignment="1">
      <alignment horizontal="center" vertical="center"/>
    </xf>
    <xf numFmtId="0" fontId="1" fillId="10114" borderId="0" xfId="4" applyFill="1" applyAlignment="1">
      <alignment horizontal="center" vertical="center"/>
    </xf>
    <xf numFmtId="0" fontId="1" fillId="10115" borderId="0" xfId="4" applyFill="1" applyAlignment="1">
      <alignment horizontal="center" vertical="center"/>
    </xf>
    <xf numFmtId="0" fontId="1" fillId="10116" borderId="0" xfId="4" applyFill="1" applyAlignment="1">
      <alignment horizontal="center" vertical="center"/>
    </xf>
    <xf numFmtId="0" fontId="1" fillId="10117" borderId="0" xfId="4" applyFill="1" applyAlignment="1">
      <alignment horizontal="center" vertical="center"/>
    </xf>
    <xf numFmtId="0" fontId="1" fillId="10118" borderId="0" xfId="4" applyFill="1" applyAlignment="1">
      <alignment horizontal="center" vertical="center"/>
    </xf>
    <xf numFmtId="0" fontId="1" fillId="10119" borderId="0" xfId="4" applyFill="1" applyAlignment="1">
      <alignment horizontal="center" vertical="center"/>
    </xf>
    <xf numFmtId="0" fontId="1" fillId="10120" borderId="0" xfId="4" applyFill="1" applyAlignment="1">
      <alignment horizontal="center" vertical="center"/>
    </xf>
    <xf numFmtId="0" fontId="1" fillId="10121" borderId="0" xfId="4" applyFill="1" applyAlignment="1">
      <alignment horizontal="center" vertical="center"/>
    </xf>
    <xf numFmtId="0" fontId="1" fillId="10122" borderId="0" xfId="4" applyFill="1" applyAlignment="1">
      <alignment horizontal="center" vertical="center"/>
    </xf>
    <xf numFmtId="0" fontId="1" fillId="10123" borderId="0" xfId="4" applyFill="1" applyAlignment="1">
      <alignment horizontal="center" vertical="center"/>
    </xf>
    <xf numFmtId="0" fontId="1" fillId="10124" borderId="0" xfId="4" applyFill="1" applyAlignment="1">
      <alignment horizontal="center" vertical="center"/>
    </xf>
    <xf numFmtId="0" fontId="1" fillId="10125" borderId="0" xfId="4" applyFill="1" applyAlignment="1">
      <alignment horizontal="center" vertical="center"/>
    </xf>
    <xf numFmtId="0" fontId="1" fillId="10126" borderId="0" xfId="4" applyFill="1" applyAlignment="1">
      <alignment horizontal="center" vertical="center"/>
    </xf>
    <xf numFmtId="0" fontId="1" fillId="10127" borderId="0" xfId="4" applyFill="1" applyAlignment="1">
      <alignment horizontal="center" vertical="center"/>
    </xf>
    <xf numFmtId="0" fontId="1" fillId="10128" borderId="0" xfId="4" applyFill="1" applyAlignment="1">
      <alignment horizontal="center" vertical="center"/>
    </xf>
    <xf numFmtId="0" fontId="1" fillId="10129" borderId="0" xfId="4" applyFill="1" applyAlignment="1">
      <alignment horizontal="center" vertical="center"/>
    </xf>
    <xf numFmtId="0" fontId="1" fillId="10130" borderId="0" xfId="4" applyFill="1" applyAlignment="1">
      <alignment horizontal="center" vertical="center"/>
    </xf>
    <xf numFmtId="0" fontId="1" fillId="10131" borderId="0" xfId="4" applyFill="1" applyAlignment="1">
      <alignment horizontal="center" vertical="center"/>
    </xf>
    <xf numFmtId="0" fontId="1" fillId="10132" borderId="0" xfId="4" applyFill="1" applyAlignment="1">
      <alignment horizontal="center" vertical="center"/>
    </xf>
    <xf numFmtId="0" fontId="1" fillId="10133" borderId="0" xfId="4" applyFill="1" applyAlignment="1">
      <alignment horizontal="center" vertical="center"/>
    </xf>
    <xf numFmtId="0" fontId="1" fillId="10134" borderId="0" xfId="4" applyFill="1" applyAlignment="1">
      <alignment horizontal="center" vertical="center"/>
    </xf>
    <xf numFmtId="0" fontId="1" fillId="10135" borderId="0" xfId="4" applyFill="1" applyAlignment="1">
      <alignment horizontal="center" vertical="center"/>
    </xf>
    <xf numFmtId="0" fontId="1" fillId="10136" borderId="0" xfId="4" applyFill="1" applyAlignment="1">
      <alignment horizontal="center" vertical="center"/>
    </xf>
    <xf numFmtId="0" fontId="1" fillId="10137" borderId="0" xfId="4" applyFill="1" applyAlignment="1">
      <alignment horizontal="center" vertical="center"/>
    </xf>
    <xf numFmtId="0" fontId="1" fillId="10138" borderId="0" xfId="4" applyFill="1" applyAlignment="1">
      <alignment horizontal="center" vertical="center"/>
    </xf>
    <xf numFmtId="0" fontId="0" fillId="10" borderId="0" xfId="0" applyFill="1"/>
    <xf numFmtId="0" fontId="27" fillId="10" borderId="0" xfId="0" applyFont="1" applyFill="1" applyAlignment="1">
      <alignment horizontal="center"/>
    </xf>
    <xf numFmtId="0" fontId="1" fillId="7172" borderId="22" xfId="4" applyFill="1" applyBorder="1" applyAlignment="1">
      <alignment horizontal="center" vertical="center"/>
    </xf>
    <xf numFmtId="0" fontId="1" fillId="7084" borderId="23" xfId="4" applyFill="1" applyBorder="1" applyAlignment="1">
      <alignment horizontal="center" vertical="center"/>
    </xf>
    <xf numFmtId="0" fontId="1" fillId="7173" borderId="23" xfId="4" applyFill="1" applyBorder="1" applyAlignment="1">
      <alignment horizontal="center" vertical="center"/>
    </xf>
    <xf numFmtId="0" fontId="1" fillId="7174" borderId="24" xfId="4" applyFill="1" applyBorder="1" applyAlignment="1">
      <alignment horizontal="center" vertical="center"/>
    </xf>
    <xf numFmtId="0" fontId="1" fillId="7256" borderId="25" xfId="4" applyFill="1" applyBorder="1" applyAlignment="1">
      <alignment horizontal="center" vertical="center"/>
    </xf>
    <xf numFmtId="0" fontId="1" fillId="7257" borderId="0" xfId="4" applyFill="1" applyAlignment="1">
      <alignment horizontal="center" vertical="center"/>
    </xf>
    <xf numFmtId="0" fontId="1" fillId="7259" borderId="0" xfId="4" applyFill="1" applyAlignment="1">
      <alignment horizontal="center" vertical="center"/>
    </xf>
    <xf numFmtId="0" fontId="1" fillId="7260" borderId="26" xfId="4" applyFill="1" applyBorder="1" applyAlignment="1">
      <alignment horizontal="center" vertical="center"/>
    </xf>
    <xf numFmtId="0" fontId="1" fillId="7084" borderId="25" xfId="4" applyFill="1" applyBorder="1" applyAlignment="1">
      <alignment horizontal="center" vertical="center"/>
    </xf>
    <xf numFmtId="0" fontId="1" fillId="7346" borderId="0" xfId="4" applyFill="1" applyAlignment="1">
      <alignment horizontal="center" vertical="center"/>
    </xf>
    <xf numFmtId="0" fontId="1" fillId="7347" borderId="0" xfId="4" applyFill="1" applyAlignment="1">
      <alignment horizontal="center" vertical="center"/>
    </xf>
    <xf numFmtId="0" fontId="1" fillId="7084" borderId="26" xfId="4" applyFill="1" applyBorder="1" applyAlignment="1">
      <alignment horizontal="center" vertical="center"/>
    </xf>
    <xf numFmtId="0" fontId="1" fillId="7262" borderId="25" xfId="4" applyFill="1" applyBorder="1" applyAlignment="1">
      <alignment horizontal="center" vertical="center"/>
    </xf>
    <xf numFmtId="0" fontId="1" fillId="7432" borderId="0" xfId="4" applyFill="1" applyAlignment="1">
      <alignment horizontal="center" vertical="center"/>
    </xf>
    <xf numFmtId="0" fontId="1" fillId="7433" borderId="0" xfId="4" applyFill="1" applyAlignment="1">
      <alignment horizontal="center" vertical="center"/>
    </xf>
    <xf numFmtId="0" fontId="1" fillId="7434" borderId="26" xfId="4" applyFill="1" applyBorder="1" applyAlignment="1">
      <alignment horizontal="center" vertical="center"/>
    </xf>
    <xf numFmtId="0" fontId="1" fillId="7260" borderId="11" xfId="4" applyFill="1" applyBorder="1" applyAlignment="1">
      <alignment horizontal="center" vertical="center"/>
    </xf>
    <xf numFmtId="0" fontId="1" fillId="7084" borderId="10" xfId="4" applyFill="1" applyBorder="1" applyAlignment="1">
      <alignment horizontal="center" vertical="center"/>
    </xf>
    <xf numFmtId="0" fontId="1" fillId="7257" borderId="10" xfId="4" applyFill="1" applyBorder="1" applyAlignment="1">
      <alignment horizontal="center" vertical="center"/>
    </xf>
    <xf numFmtId="0" fontId="1" fillId="7518" borderId="12" xfId="4" applyFill="1" applyBorder="1" applyAlignment="1">
      <alignment horizontal="center" vertical="center"/>
    </xf>
    <xf numFmtId="0" fontId="1" fillId="1712" borderId="0" xfId="4" applyFill="1" applyAlignment="1">
      <alignment horizontal="left" vertical="center"/>
    </xf>
    <xf numFmtId="0" fontId="1" fillId="2" borderId="22" xfId="4" applyFill="1" applyBorder="1" applyAlignment="1">
      <alignment horizontal="center" vertical="center"/>
    </xf>
    <xf numFmtId="0" fontId="1" fillId="2" borderId="23" xfId="4" applyFill="1" applyBorder="1" applyAlignment="1">
      <alignment horizontal="center" vertical="center"/>
    </xf>
    <xf numFmtId="0" fontId="1" fillId="2" borderId="24" xfId="4" applyFill="1" applyBorder="1" applyAlignment="1">
      <alignment horizontal="center" vertical="center"/>
    </xf>
    <xf numFmtId="0" fontId="1" fillId="2" borderId="25" xfId="4" applyFill="1" applyBorder="1" applyAlignment="1">
      <alignment horizontal="center" vertical="center"/>
    </xf>
    <xf numFmtId="0" fontId="1" fillId="2" borderId="0" xfId="4" applyFill="1" applyAlignment="1">
      <alignment horizontal="center" vertical="center"/>
    </xf>
    <xf numFmtId="0" fontId="1" fillId="2" borderId="26" xfId="4" applyFill="1" applyBorder="1" applyAlignment="1">
      <alignment horizontal="center" vertical="center"/>
    </xf>
    <xf numFmtId="0" fontId="1" fillId="2" borderId="11" xfId="4" applyFill="1" applyBorder="1" applyAlignment="1">
      <alignment horizontal="center" vertical="center"/>
    </xf>
    <xf numFmtId="0" fontId="1" fillId="2" borderId="10" xfId="4" applyFill="1" applyBorder="1" applyAlignment="1">
      <alignment horizontal="center" vertical="center"/>
    </xf>
    <xf numFmtId="0" fontId="1" fillId="2" borderId="12" xfId="4" applyFill="1" applyBorder="1" applyAlignment="1">
      <alignment horizontal="center" vertical="center"/>
    </xf>
    <xf numFmtId="0" fontId="20" fillId="9" borderId="13" xfId="4" applyFont="1" applyFill="1" applyBorder="1" applyAlignment="1">
      <alignment horizontal="centerContinuous" vertical="center" wrapText="1"/>
    </xf>
    <xf numFmtId="0" fontId="29" fillId="0" borderId="0" xfId="4" applyFont="1" applyAlignment="1">
      <alignment vertical="center"/>
    </xf>
    <xf numFmtId="0" fontId="16" fillId="0" borderId="0" xfId="4" applyFont="1" applyAlignment="1">
      <alignment vertical="center"/>
    </xf>
    <xf numFmtId="0" fontId="22" fillId="0" borderId="0" xfId="4" applyFont="1" applyAlignment="1">
      <alignment vertical="center" wrapText="1"/>
    </xf>
    <xf numFmtId="0" fontId="29" fillId="0" borderId="1" xfId="4" applyFont="1" applyBorder="1" applyAlignment="1">
      <alignment horizontal="center" vertical="center"/>
    </xf>
    <xf numFmtId="0" fontId="25" fillId="0" borderId="19" xfId="4" applyFont="1" applyBorder="1" applyAlignment="1">
      <alignment vertical="top"/>
    </xf>
    <xf numFmtId="0" fontId="25" fillId="0" borderId="0" xfId="4" applyFont="1" applyAlignment="1">
      <alignment vertical="center"/>
    </xf>
    <xf numFmtId="0" fontId="25" fillId="0" borderId="0" xfId="4" applyFont="1" applyAlignment="1">
      <alignment vertical="top"/>
    </xf>
    <xf numFmtId="0" fontId="30" fillId="0" borderId="0" xfId="0" applyFont="1" applyAlignment="1" applyProtection="1">
      <alignment horizontal="center"/>
      <protection locked="0"/>
    </xf>
    <xf numFmtId="0" fontId="2" fillId="0" borderId="0" xfId="0" applyFont="1" applyAlignment="1" applyProtection="1">
      <alignment horizontal="left"/>
      <protection locked="0"/>
    </xf>
    <xf numFmtId="0" fontId="31" fillId="10139" borderId="27" xfId="6" applyFont="1" applyFill="1" applyBorder="1" applyAlignment="1">
      <alignment horizontal="center" vertical="center"/>
    </xf>
    <xf numFmtId="0" fontId="31" fillId="10139" borderId="28" xfId="6" applyFont="1" applyFill="1" applyBorder="1" applyAlignment="1">
      <alignment horizontal="center" vertical="center"/>
    </xf>
    <xf numFmtId="0" fontId="31" fillId="10139" borderId="29" xfId="6" applyFont="1" applyFill="1" applyBorder="1" applyAlignment="1">
      <alignment horizontal="center" vertical="center"/>
    </xf>
    <xf numFmtId="0" fontId="14" fillId="0" borderId="0" xfId="0" applyFont="1" applyAlignment="1">
      <alignment horizontal="center"/>
    </xf>
    <xf numFmtId="0" fontId="14" fillId="0" borderId="0" xfId="7" applyFont="1" applyAlignment="1">
      <alignment vertical="center"/>
    </xf>
    <xf numFmtId="0" fontId="32" fillId="0" borderId="0" xfId="7" applyFont="1" applyAlignment="1">
      <alignment horizontal="center" vertical="center"/>
    </xf>
    <xf numFmtId="0" fontId="14" fillId="0" borderId="0" xfId="7" applyFont="1" applyAlignment="1">
      <alignment horizontal="center" vertical="center"/>
    </xf>
    <xf numFmtId="0" fontId="33" fillId="0" borderId="0" xfId="7" applyFont="1" applyAlignment="1">
      <alignment vertical="center"/>
    </xf>
    <xf numFmtId="0" fontId="34" fillId="9" borderId="30" xfId="8" applyFont="1" applyFill="1" applyBorder="1" applyAlignment="1">
      <alignment horizontal="centerContinuous" vertical="center"/>
    </xf>
    <xf numFmtId="0" fontId="34" fillId="9" borderId="31" xfId="8" applyFont="1" applyFill="1" applyBorder="1" applyAlignment="1">
      <alignment horizontal="centerContinuous" vertical="center" wrapText="1"/>
    </xf>
    <xf numFmtId="0" fontId="34" fillId="9" borderId="32" xfId="8" applyFont="1" applyFill="1" applyBorder="1" applyAlignment="1">
      <alignment horizontal="centerContinuous" vertical="center" wrapText="1"/>
    </xf>
    <xf numFmtId="0" fontId="14" fillId="10140" borderId="25" xfId="7" applyFont="1" applyFill="1" applyBorder="1"/>
    <xf numFmtId="0" fontId="14" fillId="10140" borderId="0" xfId="7" applyFont="1" applyFill="1"/>
    <xf numFmtId="0" fontId="14" fillId="0" borderId="26" xfId="7" applyFont="1" applyBorder="1" applyAlignment="1">
      <alignment vertical="center"/>
    </xf>
    <xf numFmtId="0" fontId="14" fillId="0" borderId="25" xfId="7" applyFont="1" applyBorder="1" applyAlignment="1">
      <alignment vertical="center"/>
    </xf>
    <xf numFmtId="0" fontId="35" fillId="8" borderId="0" xfId="8" applyFont="1" applyFill="1" applyAlignment="1">
      <alignment horizontal="centerContinuous" vertical="center" wrapText="1"/>
    </xf>
    <xf numFmtId="0" fontId="12" fillId="0" borderId="0" xfId="8"/>
    <xf numFmtId="0" fontId="36" fillId="7" borderId="30" xfId="9" applyFont="1" applyFill="1" applyBorder="1" applyAlignment="1">
      <alignment horizontal="centerContinuous" vertical="center"/>
    </xf>
    <xf numFmtId="0" fontId="37" fillId="7" borderId="31" xfId="9" applyFont="1" applyFill="1" applyBorder="1" applyAlignment="1">
      <alignment horizontal="centerContinuous" vertical="center"/>
    </xf>
    <xf numFmtId="0" fontId="37" fillId="7" borderId="32" xfId="9" applyFont="1" applyFill="1" applyBorder="1" applyAlignment="1">
      <alignment horizontal="centerContinuous" vertical="center"/>
    </xf>
    <xf numFmtId="0" fontId="36" fillId="7" borderId="31" xfId="9" applyFont="1" applyFill="1" applyBorder="1" applyAlignment="1">
      <alignment horizontal="centerContinuous" vertical="center"/>
    </xf>
    <xf numFmtId="0" fontId="36" fillId="7" borderId="32" xfId="9" applyFont="1" applyFill="1" applyBorder="1" applyAlignment="1">
      <alignment horizontal="centerContinuous" vertical="center"/>
    </xf>
    <xf numFmtId="0" fontId="33" fillId="0" borderId="0" xfId="7" applyFont="1" applyAlignment="1">
      <alignment horizontal="left" vertical="center"/>
    </xf>
    <xf numFmtId="0" fontId="14" fillId="0" borderId="0" xfId="7" applyFont="1" applyAlignment="1">
      <alignment horizontal="left" vertical="center"/>
    </xf>
    <xf numFmtId="0" fontId="15" fillId="0" borderId="0" xfId="10"/>
    <xf numFmtId="0" fontId="40" fillId="0" borderId="0" xfId="7" applyFont="1" applyAlignment="1">
      <alignment vertical="center"/>
    </xf>
    <xf numFmtId="0" fontId="41" fillId="0" borderId="0" xfId="7" applyFont="1" applyAlignment="1">
      <alignment horizontal="left" vertical="center"/>
    </xf>
    <xf numFmtId="0" fontId="42" fillId="0" borderId="0" xfId="0" applyFont="1"/>
    <xf numFmtId="0" fontId="33" fillId="9" borderId="2" xfId="7" applyFont="1" applyFill="1" applyBorder="1" applyAlignment="1">
      <alignment horizontal="center" vertical="center"/>
    </xf>
    <xf numFmtId="0" fontId="38" fillId="0" borderId="5" xfId="7" applyFont="1" applyBorder="1" applyAlignment="1">
      <alignment horizontal="left" vertical="top" wrapText="1"/>
    </xf>
    <xf numFmtId="0" fontId="38" fillId="0" borderId="6" xfId="7" applyFont="1" applyBorder="1" applyAlignment="1">
      <alignment horizontal="left" vertical="top" wrapText="1"/>
    </xf>
    <xf numFmtId="0" fontId="38" fillId="0" borderId="7" xfId="7" applyFont="1" applyBorder="1" applyAlignment="1">
      <alignment horizontal="left" vertical="top" wrapText="1"/>
    </xf>
    <xf numFmtId="0" fontId="38" fillId="0" borderId="11" xfId="7" applyFont="1" applyBorder="1" applyAlignment="1">
      <alignment horizontal="left" vertical="top" wrapText="1"/>
    </xf>
    <xf numFmtId="0" fontId="38" fillId="0" borderId="10" xfId="7" applyFont="1" applyBorder="1" applyAlignment="1">
      <alignment horizontal="left" vertical="top" wrapText="1"/>
    </xf>
    <xf numFmtId="0" fontId="38" fillId="0" borderId="12" xfId="7" applyFont="1" applyBorder="1" applyAlignment="1">
      <alignment horizontal="left" vertical="top" wrapText="1"/>
    </xf>
    <xf numFmtId="0" fontId="39" fillId="9" borderId="5" xfId="7" applyFont="1" applyFill="1" applyBorder="1" applyAlignment="1">
      <alignment vertical="center" wrapText="1"/>
    </xf>
    <xf numFmtId="0" fontId="39" fillId="9" borderId="6" xfId="7" applyFont="1" applyFill="1" applyBorder="1" applyAlignment="1">
      <alignment vertical="center" wrapText="1"/>
    </xf>
    <xf numFmtId="0" fontId="39" fillId="9" borderId="7" xfId="7" applyFont="1" applyFill="1" applyBorder="1" applyAlignment="1">
      <alignment vertical="center" wrapText="1"/>
    </xf>
    <xf numFmtId="0" fontId="3" fillId="5" borderId="8" xfId="1" applyFill="1" applyBorder="1" applyAlignment="1">
      <alignment horizontal="center" vertical="center"/>
    </xf>
    <xf numFmtId="0" fontId="8" fillId="5" borderId="9" xfId="1" applyFont="1" applyFill="1" applyBorder="1" applyAlignment="1">
      <alignment horizontal="center" vertical="center"/>
    </xf>
  </cellXfs>
  <cellStyles count="11">
    <cellStyle name="Hiperłącze" xfId="1" builtinId="8"/>
    <cellStyle name="Hyperlink 2" xfId="5" xr:uid="{1FE437A6-4545-4BA6-A803-D438489A2F59}"/>
    <cellStyle name="Normal 2" xfId="4" xr:uid="{399A2BB5-B0C3-45C8-8A2A-5ED9E63D6D2A}"/>
    <cellStyle name="Normal 2 2" xfId="6" xr:uid="{20D5BA60-1F0B-4791-B32B-70FF4F0CBEF5}"/>
    <cellStyle name="Normal 2 3" xfId="8" xr:uid="{E3463947-43D0-44B4-A58B-433EF03AA1F9}"/>
    <cellStyle name="Normal 3" xfId="2" xr:uid="{459AD07C-7BAF-4977-A066-830A029F3F21}"/>
    <cellStyle name="Normal 3 2 2" xfId="7" xr:uid="{8D9B759A-C1CB-4948-BC14-31D50AB13B1B}"/>
    <cellStyle name="Normal 4" xfId="3" xr:uid="{4AF0ED61-841C-4FB7-A4EA-C468BDFCF283}"/>
    <cellStyle name="Normal 4 2" xfId="9" xr:uid="{19348E8C-5C34-4B53-A932-9BEE2F4A02F4}"/>
    <cellStyle name="Normal 4 2 2" xfId="10" xr:uid="{5D92715F-0AD0-46D0-9111-2DA444CB0386}"/>
    <cellStyle name="Normalny" xfId="0" builtinId="0"/>
  </cellStyles>
  <dxfs count="0"/>
  <tableStyles count="1" defaultTableStyle="TableStyleMedium2" defaultPivotStyle="PivotStyleLight16">
    <tableStyle name="Invisible" pivot="0" table="0" count="0" xr9:uid="{A4FA358C-E21E-4F44-92C5-3C3D2ED7F8F9}"/>
  </tableStyles>
  <colors>
    <mruColors>
      <color rgb="FF001838"/>
      <color rgb="FFBC1F3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 Target="richData/rdrichvalue.xml"/><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4.jpeg"/><Relationship Id="rId2" Type="http://schemas.openxmlformats.org/officeDocument/2006/relationships/hyperlink" Target="https://mecc.college/certificate-of-completion/" TargetMode="External"/><Relationship Id="rId1" Type="http://schemas.openxmlformats.org/officeDocument/2006/relationships/hyperlink" Target="https://mecc.college/job-board/" TargetMode="External"/><Relationship Id="rId6" Type="http://schemas.openxmlformats.org/officeDocument/2006/relationships/hyperlink" Target="https://youtu.be/rXLEmUzJxQs" TargetMode="External"/><Relationship Id="rId5" Type="http://schemas.openxmlformats.org/officeDocument/2006/relationships/image" Target="../media/image3.png"/><Relationship Id="rId4" Type="http://schemas.openxmlformats.org/officeDocument/2006/relationships/hyperlink" Target="https://rog.asus.com/"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19</xdr:col>
      <xdr:colOff>0</xdr:colOff>
      <xdr:row>10</xdr:row>
      <xdr:rowOff>9524</xdr:rowOff>
    </xdr:from>
    <xdr:to>
      <xdr:col>23</xdr:col>
      <xdr:colOff>0</xdr:colOff>
      <xdr:row>12</xdr:row>
      <xdr:rowOff>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7E1B59A8-712E-4023-B692-E39210058B83}"/>
            </a:ext>
          </a:extLst>
        </xdr:cNvPr>
        <xdr:cNvSpPr/>
      </xdr:nvSpPr>
      <xdr:spPr>
        <a:xfrm>
          <a:off x="13312140" y="3438524"/>
          <a:ext cx="3048000" cy="1765936"/>
        </a:xfrm>
        <a:prstGeom prst="rect">
          <a:avLst/>
        </a:prstGeom>
        <a:solidFill>
          <a:srgbClr val="BC1F36"/>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2000" b="1">
              <a:latin typeface="FUTURA MEDIUM" panose="020B0602020204020303" pitchFamily="34" charset="-79"/>
              <a:cs typeface="FUTURA MEDIUM" panose="020B0602020204020303" pitchFamily="34" charset="-79"/>
            </a:rPr>
            <a:t>Click</a:t>
          </a:r>
          <a:r>
            <a:rPr lang="en-US" sz="2000" b="1" baseline="0">
              <a:latin typeface="FUTURA MEDIUM" panose="020B0602020204020303" pitchFamily="34" charset="-79"/>
              <a:cs typeface="FUTURA MEDIUM" panose="020B0602020204020303" pitchFamily="34" charset="-79"/>
            </a:rPr>
            <a:t> For </a:t>
          </a:r>
        </a:p>
        <a:p>
          <a:pPr algn="ctr"/>
          <a:r>
            <a:rPr lang="en-US" sz="2000" b="1">
              <a:latin typeface="FUTURA MEDIUM" panose="020B0602020204020303" pitchFamily="34" charset="-79"/>
              <a:cs typeface="FUTURA MEDIUM" panose="020B0602020204020303" pitchFamily="34" charset="-79"/>
            </a:rPr>
            <a:t>Job Postings</a:t>
          </a:r>
          <a:endParaRPr lang="en-US" sz="1800" b="1">
            <a:latin typeface="FUTURA MEDIUM" panose="020B0602020204020303" pitchFamily="34" charset="-79"/>
            <a:cs typeface="FUTURA MEDIUM" panose="020B0602020204020303" pitchFamily="34" charset="-79"/>
          </a:endParaRPr>
        </a:p>
      </xdr:txBody>
    </xdr:sp>
    <xdr:clientData/>
  </xdr:twoCellAnchor>
  <xdr:twoCellAnchor>
    <xdr:from>
      <xdr:col>19</xdr:col>
      <xdr:colOff>0</xdr:colOff>
      <xdr:row>13</xdr:row>
      <xdr:rowOff>12698</xdr:rowOff>
    </xdr:from>
    <xdr:to>
      <xdr:col>23</xdr:col>
      <xdr:colOff>0</xdr:colOff>
      <xdr:row>15</xdr:row>
      <xdr:rowOff>-1</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6E7D9EAE-770E-48B8-A377-8365EED90942}"/>
            </a:ext>
          </a:extLst>
        </xdr:cNvPr>
        <xdr:cNvSpPr/>
      </xdr:nvSpPr>
      <xdr:spPr>
        <a:xfrm>
          <a:off x="13312140" y="5407658"/>
          <a:ext cx="3048000" cy="1762761"/>
        </a:xfrm>
        <a:prstGeom prst="rect">
          <a:avLst/>
        </a:prstGeom>
        <a:solidFill>
          <a:srgbClr val="BC1F36"/>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2000" b="1">
              <a:latin typeface="FUTURA MEDIUM" panose="020B0602020204020303" pitchFamily="34" charset="-79"/>
              <a:cs typeface="FUTURA MEDIUM" panose="020B0602020204020303" pitchFamily="34" charset="-79"/>
            </a:rPr>
            <a:t>Click</a:t>
          </a:r>
          <a:r>
            <a:rPr lang="en-US" sz="2000" b="1" baseline="0">
              <a:latin typeface="FUTURA MEDIUM" panose="020B0602020204020303" pitchFamily="34" charset="-79"/>
              <a:cs typeface="FUTURA MEDIUM" panose="020B0602020204020303" pitchFamily="34" charset="-79"/>
            </a:rPr>
            <a:t> For More About </a:t>
          </a:r>
        </a:p>
        <a:p>
          <a:pPr algn="ctr"/>
          <a:r>
            <a:rPr lang="en-US" sz="2000" b="1" baseline="0">
              <a:latin typeface="FUTURA MEDIUM" panose="020B0602020204020303" pitchFamily="34" charset="-79"/>
              <a:cs typeface="FUTURA MEDIUM" panose="020B0602020204020303" pitchFamily="34" charset="-79"/>
            </a:rPr>
            <a:t>MECC Badges</a:t>
          </a:r>
          <a:endParaRPr lang="en-US" sz="1800" b="1">
            <a:latin typeface="FUTURA MEDIUM" panose="020B0602020204020303" pitchFamily="34" charset="-79"/>
            <a:cs typeface="FUTURA MEDIUM" panose="020B0602020204020303" pitchFamily="34" charset="-79"/>
          </a:endParaRPr>
        </a:p>
      </xdr:txBody>
    </xdr:sp>
    <xdr:clientData/>
  </xdr:twoCellAnchor>
  <xdr:twoCellAnchor editAs="oneCell">
    <xdr:from>
      <xdr:col>1</xdr:col>
      <xdr:colOff>0</xdr:colOff>
      <xdr:row>1</xdr:row>
      <xdr:rowOff>1</xdr:rowOff>
    </xdr:from>
    <xdr:to>
      <xdr:col>12</xdr:col>
      <xdr:colOff>23029</xdr:colOff>
      <xdr:row>8</xdr:row>
      <xdr:rowOff>1</xdr:rowOff>
    </xdr:to>
    <xdr:pic>
      <xdr:nvPicPr>
        <xdr:cNvPr id="4" name="Picture 3">
          <a:extLst>
            <a:ext uri="{FF2B5EF4-FFF2-40B4-BE49-F238E27FC236}">
              <a16:creationId xmlns:a16="http://schemas.microsoft.com/office/drawing/2014/main" id="{CE64B2F3-17BC-4DA6-963E-956CEAEE7694}"/>
            </a:ext>
          </a:extLst>
        </xdr:cNvPr>
        <xdr:cNvPicPr>
          <a:picLocks noChangeAspect="1"/>
        </xdr:cNvPicPr>
      </xdr:nvPicPr>
      <xdr:blipFill>
        <a:blip xmlns:r="http://schemas.openxmlformats.org/officeDocument/2006/relationships" r:embed="rId3"/>
        <a:stretch>
          <a:fillRect/>
        </a:stretch>
      </xdr:blipFill>
      <xdr:spPr>
        <a:xfrm>
          <a:off x="373380" y="190501"/>
          <a:ext cx="8405029" cy="2667000"/>
        </a:xfrm>
        <a:prstGeom prst="rect">
          <a:avLst/>
        </a:prstGeom>
      </xdr:spPr>
    </xdr:pic>
    <xdr:clientData/>
  </xdr:twoCellAnchor>
  <xdr:twoCellAnchor editAs="oneCell">
    <xdr:from>
      <xdr:col>19</xdr:col>
      <xdr:colOff>204203</xdr:colOff>
      <xdr:row>6</xdr:row>
      <xdr:rowOff>54429</xdr:rowOff>
    </xdr:from>
    <xdr:to>
      <xdr:col>22</xdr:col>
      <xdr:colOff>566677</xdr:colOff>
      <xdr:row>8</xdr:row>
      <xdr:rowOff>1</xdr:rowOff>
    </xdr:to>
    <xdr:pic>
      <xdr:nvPicPr>
        <xdr:cNvPr id="5" name="Picture 4">
          <a:hlinkClick xmlns:r="http://schemas.openxmlformats.org/officeDocument/2006/relationships" r:id="rId4"/>
          <a:extLst>
            <a:ext uri="{FF2B5EF4-FFF2-40B4-BE49-F238E27FC236}">
              <a16:creationId xmlns:a16="http://schemas.microsoft.com/office/drawing/2014/main" id="{AA25F321-E439-4004-86DB-61F9CCFFC5C5}"/>
            </a:ext>
          </a:extLst>
        </xdr:cNvPr>
        <xdr:cNvPicPr>
          <a:picLocks noChangeAspect="1"/>
        </xdr:cNvPicPr>
      </xdr:nvPicPr>
      <xdr:blipFill>
        <a:blip xmlns:r="http://schemas.openxmlformats.org/officeDocument/2006/relationships" r:embed="rId5"/>
        <a:stretch>
          <a:fillRect/>
        </a:stretch>
      </xdr:blipFill>
      <xdr:spPr>
        <a:xfrm>
          <a:off x="13516343" y="2149929"/>
          <a:ext cx="2648474" cy="707572"/>
        </a:xfrm>
        <a:prstGeom prst="rect">
          <a:avLst/>
        </a:prstGeom>
      </xdr:spPr>
    </xdr:pic>
    <xdr:clientData/>
  </xdr:twoCellAnchor>
  <xdr:twoCellAnchor>
    <xdr:from>
      <xdr:col>19</xdr:col>
      <xdr:colOff>12699</xdr:colOff>
      <xdr:row>0</xdr:row>
      <xdr:rowOff>172810</xdr:rowOff>
    </xdr:from>
    <xdr:to>
      <xdr:col>23</xdr:col>
      <xdr:colOff>12699</xdr:colOff>
      <xdr:row>4</xdr:row>
      <xdr:rowOff>217715</xdr:rowOff>
    </xdr:to>
    <xdr:sp macro="" textlink="">
      <xdr:nvSpPr>
        <xdr:cNvPr id="6" name="Rectangle 5">
          <a:hlinkClick xmlns:r="http://schemas.openxmlformats.org/officeDocument/2006/relationships" r:id="rId6"/>
          <a:extLst>
            <a:ext uri="{FF2B5EF4-FFF2-40B4-BE49-F238E27FC236}">
              <a16:creationId xmlns:a16="http://schemas.microsoft.com/office/drawing/2014/main" id="{A9AE8B3C-7CFB-4C02-85F6-E0C126AF00CD}"/>
            </a:ext>
          </a:extLst>
        </xdr:cNvPr>
        <xdr:cNvSpPr/>
      </xdr:nvSpPr>
      <xdr:spPr>
        <a:xfrm>
          <a:off x="13324839" y="172810"/>
          <a:ext cx="3048000" cy="1378405"/>
        </a:xfrm>
        <a:prstGeom prst="rect">
          <a:avLst/>
        </a:prstGeom>
        <a:solidFill>
          <a:srgbClr val="BC1F36"/>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2000" b="1">
              <a:latin typeface="FUTURA MEDIUM" panose="020B0602020204020303" pitchFamily="34" charset="-79"/>
              <a:cs typeface="FUTURA MEDIUM" panose="020B0602020204020303" pitchFamily="34" charset="-79"/>
            </a:rPr>
            <a:t>Video</a:t>
          </a:r>
          <a:r>
            <a:rPr lang="en-US" sz="2000" b="1" baseline="0">
              <a:latin typeface="FUTURA MEDIUM" panose="020B0602020204020303" pitchFamily="34" charset="-79"/>
              <a:cs typeface="FUTURA MEDIUM" panose="020B0602020204020303" pitchFamily="34" charset="-79"/>
            </a:rPr>
            <a:t> Walkthrough </a:t>
          </a:r>
          <a:endParaRPr lang="en-US" sz="1800" b="1">
            <a:latin typeface="FUTURA MEDIUM" panose="020B0602020204020303" pitchFamily="34" charset="-79"/>
            <a:cs typeface="FUTURA MEDIUM" panose="020B0602020204020303" pitchFamily="34" charset="-79"/>
          </a:endParaRPr>
        </a:p>
      </xdr:txBody>
    </xdr:sp>
    <xdr:clientData/>
  </xdr:twoCellAnchor>
  <xdr:twoCellAnchor editAs="oneCell">
    <xdr:from>
      <xdr:col>14</xdr:col>
      <xdr:colOff>0</xdr:colOff>
      <xdr:row>2</xdr:row>
      <xdr:rowOff>0</xdr:rowOff>
    </xdr:from>
    <xdr:to>
      <xdr:col>17</xdr:col>
      <xdr:colOff>0</xdr:colOff>
      <xdr:row>8</xdr:row>
      <xdr:rowOff>0</xdr:rowOff>
    </xdr:to>
    <xdr:pic>
      <xdr:nvPicPr>
        <xdr:cNvPr id="7" name="Picture 6">
          <a:extLst>
            <a:ext uri="{FF2B5EF4-FFF2-40B4-BE49-F238E27FC236}">
              <a16:creationId xmlns:a16="http://schemas.microsoft.com/office/drawing/2014/main" id="{ADAEA972-B2A6-4946-9D8A-FCAD99373DE4}"/>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9884229" y="576943"/>
          <a:ext cx="2286000" cy="2286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95250</xdr:colOff>
      <xdr:row>2</xdr:row>
      <xdr:rowOff>66675</xdr:rowOff>
    </xdr:from>
    <xdr:to>
      <xdr:col>8</xdr:col>
      <xdr:colOff>419100</xdr:colOff>
      <xdr:row>19</xdr:row>
      <xdr:rowOff>95250</xdr:rowOff>
    </xdr:to>
    <xdr:pic>
      <xdr:nvPicPr>
        <xdr:cNvPr id="2" name="Picture 1">
          <a:extLst>
            <a:ext uri="{FF2B5EF4-FFF2-40B4-BE49-F238E27FC236}">
              <a16:creationId xmlns:a16="http://schemas.microsoft.com/office/drawing/2014/main" id="{814C3487-3DA4-6B2A-277A-15A03A8666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428625"/>
          <a:ext cx="5200650" cy="3105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85726</xdr:colOff>
      <xdr:row>22</xdr:row>
      <xdr:rowOff>47626</xdr:rowOff>
    </xdr:from>
    <xdr:to>
      <xdr:col>8</xdr:col>
      <xdr:colOff>463551</xdr:colOff>
      <xdr:row>40</xdr:row>
      <xdr:rowOff>130374</xdr:rowOff>
    </xdr:to>
    <xdr:pic>
      <xdr:nvPicPr>
        <xdr:cNvPr id="3" name="Picture 2">
          <a:extLst>
            <a:ext uri="{FF2B5EF4-FFF2-40B4-BE49-F238E27FC236}">
              <a16:creationId xmlns:a16="http://schemas.microsoft.com/office/drawing/2014/main" id="{C94CE3AA-5A87-67E5-AB22-170DAB382B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6" y="4029076"/>
          <a:ext cx="5257800" cy="3340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114301</xdr:colOff>
      <xdr:row>49</xdr:row>
      <xdr:rowOff>95250</xdr:rowOff>
    </xdr:from>
    <xdr:to>
      <xdr:col>8</xdr:col>
      <xdr:colOff>502186</xdr:colOff>
      <xdr:row>68</xdr:row>
      <xdr:rowOff>133350</xdr:rowOff>
    </xdr:to>
    <xdr:pic>
      <xdr:nvPicPr>
        <xdr:cNvPr id="4" name="Picture 3">
          <a:extLst>
            <a:ext uri="{FF2B5EF4-FFF2-40B4-BE49-F238E27FC236}">
              <a16:creationId xmlns:a16="http://schemas.microsoft.com/office/drawing/2014/main" id="{0608A21B-1049-AC0D-5BD2-2AEFE0FC16F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4301" y="8963025"/>
          <a:ext cx="5267860" cy="3476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oneCellAnchor>
    <xdr:from>
      <xdr:col>44</xdr:col>
      <xdr:colOff>86585</xdr:colOff>
      <xdr:row>14</xdr:row>
      <xdr:rowOff>185057</xdr:rowOff>
    </xdr:from>
    <xdr:ext cx="2503942" cy="1079501"/>
    <xdr:sp macro="[0]!startGame" textlink="">
      <xdr:nvSpPr>
        <xdr:cNvPr id="3" name="Bevel 3">
          <a:extLst>
            <a:ext uri="{FF2B5EF4-FFF2-40B4-BE49-F238E27FC236}">
              <a16:creationId xmlns:a16="http://schemas.microsoft.com/office/drawing/2014/main" id="{709F4C94-C21E-4088-833E-FFF768B4C758}"/>
            </a:ext>
          </a:extLst>
        </xdr:cNvPr>
        <xdr:cNvSpPr/>
      </xdr:nvSpPr>
      <xdr:spPr>
        <a:xfrm>
          <a:off x="13857014" y="4988378"/>
          <a:ext cx="2503942" cy="1079501"/>
        </a:xfrm>
        <a:prstGeom prst="bevel">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36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rPr>
            <a:t>Start</a:t>
          </a:r>
        </a:p>
      </xdr:txBody>
    </xdr:sp>
    <xdr:clientData/>
  </xdr:oneCellAnchor>
  <xdr:twoCellAnchor editAs="oneCell">
    <xdr:from>
      <xdr:col>19</xdr:col>
      <xdr:colOff>163286</xdr:colOff>
      <xdr:row>37</xdr:row>
      <xdr:rowOff>241754</xdr:rowOff>
    </xdr:from>
    <xdr:to>
      <xdr:col>26</xdr:col>
      <xdr:colOff>221525</xdr:colOff>
      <xdr:row>41</xdr:row>
      <xdr:rowOff>87539</xdr:rowOff>
    </xdr:to>
    <xdr:sp macro="[0]!GiveInstruction" textlink="">
      <xdr:nvSpPr>
        <xdr:cNvPr id="9" name="Bevel 3">
          <a:extLst>
            <a:ext uri="{FF2B5EF4-FFF2-40B4-BE49-F238E27FC236}">
              <a16:creationId xmlns:a16="http://schemas.microsoft.com/office/drawing/2014/main" id="{83BC5F3F-C710-48D0-B77C-F92A173D951E}"/>
            </a:ext>
          </a:extLst>
        </xdr:cNvPr>
        <xdr:cNvSpPr/>
      </xdr:nvSpPr>
      <xdr:spPr>
        <a:xfrm>
          <a:off x="6109607" y="8773433"/>
          <a:ext cx="2248989" cy="700495"/>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Instruction</a:t>
          </a:r>
        </a:p>
      </xdr:txBody>
    </xdr:sp>
    <xdr:clientData/>
  </xdr:twoCellAnchor>
  <xdr:twoCellAnchor editAs="oneCell">
    <xdr:from>
      <xdr:col>19</xdr:col>
      <xdr:colOff>156936</xdr:colOff>
      <xdr:row>41</xdr:row>
      <xdr:rowOff>178254</xdr:rowOff>
    </xdr:from>
    <xdr:to>
      <xdr:col>26</xdr:col>
      <xdr:colOff>217624</xdr:colOff>
      <xdr:row>45</xdr:row>
      <xdr:rowOff>41004</xdr:rowOff>
    </xdr:to>
    <xdr:sp macro="[0]!GivePCHint" textlink="">
      <xdr:nvSpPr>
        <xdr:cNvPr id="11" name="Bevel 3">
          <a:extLst>
            <a:ext uri="{FF2B5EF4-FFF2-40B4-BE49-F238E27FC236}">
              <a16:creationId xmlns:a16="http://schemas.microsoft.com/office/drawing/2014/main" id="{B520B276-F490-496D-B393-BD6404E3F590}"/>
            </a:ext>
          </a:extLst>
        </xdr:cNvPr>
        <xdr:cNvSpPr/>
      </xdr:nvSpPr>
      <xdr:spPr>
        <a:xfrm>
          <a:off x="6103257" y="9567183"/>
          <a:ext cx="2256518" cy="679178"/>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PC Hint</a:t>
          </a:r>
        </a:p>
      </xdr:txBody>
    </xdr:sp>
    <xdr:clientData/>
  </xdr:twoCellAnchor>
  <xdr:twoCellAnchor editAs="oneCell">
    <xdr:from>
      <xdr:col>19</xdr:col>
      <xdr:colOff>163649</xdr:colOff>
      <xdr:row>45</xdr:row>
      <xdr:rowOff>140881</xdr:rowOff>
    </xdr:from>
    <xdr:to>
      <xdr:col>26</xdr:col>
      <xdr:colOff>221253</xdr:colOff>
      <xdr:row>48</xdr:row>
      <xdr:rowOff>183062</xdr:rowOff>
    </xdr:to>
    <xdr:sp macro="[0]!GiveMacHint" textlink="">
      <xdr:nvSpPr>
        <xdr:cNvPr id="12" name="Bevel 3">
          <a:extLst>
            <a:ext uri="{FF2B5EF4-FFF2-40B4-BE49-F238E27FC236}">
              <a16:creationId xmlns:a16="http://schemas.microsoft.com/office/drawing/2014/main" id="{C4BFB30E-5469-45D2-85F2-053DC28F88BA}"/>
            </a:ext>
          </a:extLst>
        </xdr:cNvPr>
        <xdr:cNvSpPr/>
      </xdr:nvSpPr>
      <xdr:spPr>
        <a:xfrm>
          <a:off x="6109970" y="10346238"/>
          <a:ext cx="2238194" cy="650693"/>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Mac Hint</a:t>
          </a:r>
        </a:p>
      </xdr:txBody>
    </xdr:sp>
    <xdr:clientData/>
  </xdr:twoCellAnchor>
  <xdr:twoCellAnchor editAs="oneCell">
    <xdr:from>
      <xdr:col>1</xdr:col>
      <xdr:colOff>0</xdr:colOff>
      <xdr:row>4</xdr:row>
      <xdr:rowOff>-1</xdr:rowOff>
    </xdr:from>
    <xdr:to>
      <xdr:col>29</xdr:col>
      <xdr:colOff>0</xdr:colOff>
      <xdr:row>11</xdr:row>
      <xdr:rowOff>41050</xdr:rowOff>
    </xdr:to>
    <xdr:pic>
      <xdr:nvPicPr>
        <xdr:cNvPr id="4" name="Picture 3">
          <a:extLst>
            <a:ext uri="{FF2B5EF4-FFF2-40B4-BE49-F238E27FC236}">
              <a16:creationId xmlns:a16="http://schemas.microsoft.com/office/drawing/2014/main" id="{F84D1297-BE21-436E-A1BE-00626BA58CD1}"/>
            </a:ext>
          </a:extLst>
        </xdr:cNvPr>
        <xdr:cNvPicPr>
          <a:picLocks noChangeAspect="1"/>
        </xdr:cNvPicPr>
      </xdr:nvPicPr>
      <xdr:blipFill>
        <a:blip xmlns:r="http://schemas.openxmlformats.org/officeDocument/2006/relationships" r:embed="rId1"/>
        <a:stretch>
          <a:fillRect/>
        </a:stretch>
      </xdr:blipFill>
      <xdr:spPr>
        <a:xfrm>
          <a:off x="304800" y="1197428"/>
          <a:ext cx="8534400" cy="270805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6350</xdr:colOff>
      <xdr:row>24</xdr:row>
      <xdr:rowOff>142875</xdr:rowOff>
    </xdr:from>
    <xdr:to>
      <xdr:col>10</xdr:col>
      <xdr:colOff>197939</xdr:colOff>
      <xdr:row>28</xdr:row>
      <xdr:rowOff>46445</xdr:rowOff>
    </xdr:to>
    <xdr:sp macro="[0]!GiveInstruction" textlink="">
      <xdr:nvSpPr>
        <xdr:cNvPr id="4" name="Bevel 3">
          <a:extLst>
            <a:ext uri="{FF2B5EF4-FFF2-40B4-BE49-F238E27FC236}">
              <a16:creationId xmlns:a16="http://schemas.microsoft.com/office/drawing/2014/main" id="{28F71C39-68E9-49D4-B8D9-5EC5A6117E2E}"/>
            </a:ext>
          </a:extLst>
        </xdr:cNvPr>
        <xdr:cNvSpPr/>
      </xdr:nvSpPr>
      <xdr:spPr>
        <a:xfrm>
          <a:off x="520700" y="4943475"/>
          <a:ext cx="2252164" cy="706845"/>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Instruction</a:t>
          </a:r>
        </a:p>
      </xdr:txBody>
    </xdr:sp>
    <xdr:clientData/>
  </xdr:twoCellAnchor>
  <xdr:twoCellAnchor editAs="oneCell">
    <xdr:from>
      <xdr:col>2</xdr:col>
      <xdr:colOff>0</xdr:colOff>
      <xdr:row>28</xdr:row>
      <xdr:rowOff>142875</xdr:rowOff>
    </xdr:from>
    <xdr:to>
      <xdr:col>10</xdr:col>
      <xdr:colOff>202293</xdr:colOff>
      <xdr:row>32</xdr:row>
      <xdr:rowOff>21953</xdr:rowOff>
    </xdr:to>
    <xdr:sp macro="[0]!GivePCHint" textlink="">
      <xdr:nvSpPr>
        <xdr:cNvPr id="5" name="Bevel 3">
          <a:extLst>
            <a:ext uri="{FF2B5EF4-FFF2-40B4-BE49-F238E27FC236}">
              <a16:creationId xmlns:a16="http://schemas.microsoft.com/office/drawing/2014/main" id="{3D21485C-CE89-4DD1-BF2B-8E95BDA7CC24}"/>
            </a:ext>
          </a:extLst>
        </xdr:cNvPr>
        <xdr:cNvSpPr/>
      </xdr:nvSpPr>
      <xdr:spPr>
        <a:xfrm>
          <a:off x="514350" y="5743575"/>
          <a:ext cx="2256518" cy="679178"/>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PC Hint</a:t>
          </a:r>
        </a:p>
      </xdr:txBody>
    </xdr:sp>
    <xdr:clientData/>
  </xdr:twoCellAnchor>
  <xdr:twoCellAnchor editAs="oneCell">
    <xdr:from>
      <xdr:col>2</xdr:col>
      <xdr:colOff>6713</xdr:colOff>
      <xdr:row>32</xdr:row>
      <xdr:rowOff>104957</xdr:rowOff>
    </xdr:from>
    <xdr:to>
      <xdr:col>10</xdr:col>
      <xdr:colOff>187507</xdr:colOff>
      <xdr:row>35</xdr:row>
      <xdr:rowOff>139700</xdr:rowOff>
    </xdr:to>
    <xdr:sp macro="[0]!GiveMacHint" textlink="">
      <xdr:nvSpPr>
        <xdr:cNvPr id="6" name="Bevel 3">
          <a:extLst>
            <a:ext uri="{FF2B5EF4-FFF2-40B4-BE49-F238E27FC236}">
              <a16:creationId xmlns:a16="http://schemas.microsoft.com/office/drawing/2014/main" id="{5B8F51E4-A4E6-4CA3-A0F5-5B2D9880009F}"/>
            </a:ext>
          </a:extLst>
        </xdr:cNvPr>
        <xdr:cNvSpPr/>
      </xdr:nvSpPr>
      <xdr:spPr>
        <a:xfrm>
          <a:off x="521063" y="6505757"/>
          <a:ext cx="2238194" cy="637993"/>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Mac Hint</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96116</xdr:colOff>
      <xdr:row>2</xdr:row>
      <xdr:rowOff>103909</xdr:rowOff>
    </xdr:from>
    <xdr:to>
      <xdr:col>10</xdr:col>
      <xdr:colOff>21756</xdr:colOff>
      <xdr:row>5</xdr:row>
      <xdr:rowOff>190474</xdr:rowOff>
    </xdr:to>
    <xdr:sp macro="[0]!GiveInstruction" textlink="">
      <xdr:nvSpPr>
        <xdr:cNvPr id="4" name="Bevel 3">
          <a:extLst>
            <a:ext uri="{FF2B5EF4-FFF2-40B4-BE49-F238E27FC236}">
              <a16:creationId xmlns:a16="http://schemas.microsoft.com/office/drawing/2014/main" id="{6658E91F-1EAA-4628-966B-889F19E88AB3}"/>
            </a:ext>
          </a:extLst>
        </xdr:cNvPr>
        <xdr:cNvSpPr/>
      </xdr:nvSpPr>
      <xdr:spPr>
        <a:xfrm>
          <a:off x="355889" y="519545"/>
          <a:ext cx="2252164" cy="710020"/>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Instruction</a:t>
          </a:r>
        </a:p>
      </xdr:txBody>
    </xdr:sp>
    <xdr:clientData/>
  </xdr:twoCellAnchor>
  <xdr:twoCellAnchor editAs="oneCell">
    <xdr:from>
      <xdr:col>1</xdr:col>
      <xdr:colOff>86591</xdr:colOff>
      <xdr:row>6</xdr:row>
      <xdr:rowOff>75911</xdr:rowOff>
    </xdr:from>
    <xdr:to>
      <xdr:col>10</xdr:col>
      <xdr:colOff>29920</xdr:colOff>
      <xdr:row>9</xdr:row>
      <xdr:rowOff>134174</xdr:rowOff>
    </xdr:to>
    <xdr:sp macro="[0]!GivePCHint" textlink="">
      <xdr:nvSpPr>
        <xdr:cNvPr id="5" name="Bevel 3">
          <a:extLst>
            <a:ext uri="{FF2B5EF4-FFF2-40B4-BE49-F238E27FC236}">
              <a16:creationId xmlns:a16="http://schemas.microsoft.com/office/drawing/2014/main" id="{EDD8DAF1-9A04-480F-8A42-059A7A5CF456}"/>
            </a:ext>
          </a:extLst>
        </xdr:cNvPr>
        <xdr:cNvSpPr/>
      </xdr:nvSpPr>
      <xdr:spPr>
        <a:xfrm>
          <a:off x="346364" y="1322820"/>
          <a:ext cx="2259693" cy="679178"/>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PC Hint</a:t>
          </a:r>
        </a:p>
      </xdr:txBody>
    </xdr:sp>
    <xdr:clientData/>
  </xdr:twoCellAnchor>
  <xdr:twoCellAnchor editAs="oneCell">
    <xdr:from>
      <xdr:col>1</xdr:col>
      <xdr:colOff>96479</xdr:colOff>
      <xdr:row>10</xdr:row>
      <xdr:rowOff>17343</xdr:rowOff>
    </xdr:from>
    <xdr:to>
      <xdr:col>10</xdr:col>
      <xdr:colOff>1856</xdr:colOff>
      <xdr:row>13</xdr:row>
      <xdr:rowOff>38232</xdr:rowOff>
    </xdr:to>
    <xdr:sp macro="[0]!GiveMacHint" textlink="">
      <xdr:nvSpPr>
        <xdr:cNvPr id="6" name="Bevel 3">
          <a:extLst>
            <a:ext uri="{FF2B5EF4-FFF2-40B4-BE49-F238E27FC236}">
              <a16:creationId xmlns:a16="http://schemas.microsoft.com/office/drawing/2014/main" id="{E08642B0-4FA8-4D7F-893D-AB4A65C13849}"/>
            </a:ext>
          </a:extLst>
        </xdr:cNvPr>
        <xdr:cNvSpPr/>
      </xdr:nvSpPr>
      <xdr:spPr>
        <a:xfrm>
          <a:off x="356252" y="2095525"/>
          <a:ext cx="2231844" cy="644343"/>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Mac Hint</a:t>
          </a:r>
        </a:p>
      </xdr:txBody>
    </xdr:sp>
    <xdr:clientData/>
  </xdr:twoCellAnchor>
  <xdr:twoCellAnchor editAs="oneCell">
    <xdr:from>
      <xdr:col>84</xdr:col>
      <xdr:colOff>165389</xdr:colOff>
      <xdr:row>117</xdr:row>
      <xdr:rowOff>34637</xdr:rowOff>
    </xdr:from>
    <xdr:to>
      <xdr:col>93</xdr:col>
      <xdr:colOff>97378</xdr:colOff>
      <xdr:row>120</xdr:row>
      <xdr:rowOff>144062</xdr:rowOff>
    </xdr:to>
    <xdr:sp macro="[0]!GiveInstruction" textlink="">
      <xdr:nvSpPr>
        <xdr:cNvPr id="7" name="Bevel 3">
          <a:extLst>
            <a:ext uri="{FF2B5EF4-FFF2-40B4-BE49-F238E27FC236}">
              <a16:creationId xmlns:a16="http://schemas.microsoft.com/office/drawing/2014/main" id="{687A5E3F-0F88-41AB-9D75-891494C46EF8}"/>
            </a:ext>
          </a:extLst>
        </xdr:cNvPr>
        <xdr:cNvSpPr/>
      </xdr:nvSpPr>
      <xdr:spPr>
        <a:xfrm>
          <a:off x="21986298" y="24349364"/>
          <a:ext cx="2252164" cy="710020"/>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Instruction</a:t>
          </a:r>
        </a:p>
      </xdr:txBody>
    </xdr:sp>
    <xdr:clientData/>
  </xdr:twoCellAnchor>
  <xdr:twoCellAnchor editAs="oneCell">
    <xdr:from>
      <xdr:col>84</xdr:col>
      <xdr:colOff>155864</xdr:colOff>
      <xdr:row>121</xdr:row>
      <xdr:rowOff>6639</xdr:rowOff>
    </xdr:from>
    <xdr:to>
      <xdr:col>93</xdr:col>
      <xdr:colOff>77602</xdr:colOff>
      <xdr:row>124</xdr:row>
      <xdr:rowOff>67442</xdr:rowOff>
    </xdr:to>
    <xdr:sp macro="[0]!GivePCHint" textlink="">
      <xdr:nvSpPr>
        <xdr:cNvPr id="8" name="Bevel 3">
          <a:extLst>
            <a:ext uri="{FF2B5EF4-FFF2-40B4-BE49-F238E27FC236}">
              <a16:creationId xmlns:a16="http://schemas.microsoft.com/office/drawing/2014/main" id="{583A799A-7FDB-48A3-90C8-6B88CA18758B}"/>
            </a:ext>
          </a:extLst>
        </xdr:cNvPr>
        <xdr:cNvSpPr/>
      </xdr:nvSpPr>
      <xdr:spPr>
        <a:xfrm>
          <a:off x="21976773" y="25152639"/>
          <a:ext cx="2259693" cy="679178"/>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PC Hint</a:t>
          </a:r>
        </a:p>
      </xdr:txBody>
    </xdr:sp>
    <xdr:clientData/>
  </xdr:twoCellAnchor>
  <xdr:twoCellAnchor editAs="oneCell">
    <xdr:from>
      <xdr:col>84</xdr:col>
      <xdr:colOff>165752</xdr:colOff>
      <xdr:row>124</xdr:row>
      <xdr:rowOff>155889</xdr:rowOff>
    </xdr:from>
    <xdr:to>
      <xdr:col>93</xdr:col>
      <xdr:colOff>68531</xdr:colOff>
      <xdr:row>127</xdr:row>
      <xdr:rowOff>181858</xdr:rowOff>
    </xdr:to>
    <xdr:sp macro="[0]!GiveMacHint" textlink="">
      <xdr:nvSpPr>
        <xdr:cNvPr id="9" name="Bevel 3">
          <a:extLst>
            <a:ext uri="{FF2B5EF4-FFF2-40B4-BE49-F238E27FC236}">
              <a16:creationId xmlns:a16="http://schemas.microsoft.com/office/drawing/2014/main" id="{0660F024-DE6C-4F6D-83E8-AFE8BEFAAA65}"/>
            </a:ext>
          </a:extLst>
        </xdr:cNvPr>
        <xdr:cNvSpPr/>
      </xdr:nvSpPr>
      <xdr:spPr>
        <a:xfrm>
          <a:off x="21986661" y="25925344"/>
          <a:ext cx="2231844" cy="644343"/>
        </a:xfrm>
        <a:prstGeom prst="bevel">
          <a:avLst/>
        </a:prstGeom>
        <a:solidFill>
          <a:srgbClr val="4472C4">
            <a:lumMod val="40000"/>
            <a:lumOff val="60000"/>
          </a:srgbClr>
        </a:solidFill>
        <a:ln>
          <a:noFill/>
        </a:ln>
        <a:effectLst>
          <a:outerShdw blurRad="57150" dist="19050" dir="5400000" algn="ctr" rotWithShape="0">
            <a:srgbClr val="000000">
              <a:alpha val="63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outerShdw blurRad="50800" dist="38100" dir="5400000" algn="t" rotWithShape="0">
                  <a:sysClr val="window" lastClr="FFFFFF">
                    <a:lumMod val="95000"/>
                    <a:alpha val="40000"/>
                  </a:sysClr>
                </a:outerShdw>
              </a:effectLst>
              <a:uLnTx/>
              <a:uFillTx/>
              <a:latin typeface="Calibri" panose="020F0502020204030204"/>
              <a:ea typeface="+mn-ea"/>
              <a:cs typeface="+mn-cs"/>
            </a:rPr>
            <a:t>Give Mac Hint</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1267101</xdr:colOff>
      <xdr:row>0</xdr:row>
      <xdr:rowOff>128795</xdr:rowOff>
    </xdr:from>
    <xdr:to>
      <xdr:col>4</xdr:col>
      <xdr:colOff>1352826</xdr:colOff>
      <xdr:row>2</xdr:row>
      <xdr:rowOff>140860</xdr:rowOff>
    </xdr:to>
    <xdr:sp macro="[0]!startGame" textlink="">
      <xdr:nvSpPr>
        <xdr:cNvPr id="2" name="Bevel 3">
          <a:extLst>
            <a:ext uri="{FF2B5EF4-FFF2-40B4-BE49-F238E27FC236}">
              <a16:creationId xmlns:a16="http://schemas.microsoft.com/office/drawing/2014/main" id="{00000000-0008-0000-0300-000002000000}"/>
            </a:ext>
          </a:extLst>
        </xdr:cNvPr>
        <xdr:cNvSpPr/>
      </xdr:nvSpPr>
      <xdr:spPr>
        <a:xfrm>
          <a:off x="4259884" y="128795"/>
          <a:ext cx="1471681" cy="486935"/>
        </a:xfrm>
        <a:prstGeom prst="bevel">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600" b="1">
              <a:solidFill>
                <a:sysClr val="windowText" lastClr="000000"/>
              </a:solidFill>
              <a:effectLst>
                <a:outerShdw blurRad="50800" dist="38100" dir="5400000" algn="t" rotWithShape="0">
                  <a:schemeClr val="bg1">
                    <a:lumMod val="95000"/>
                    <a:alpha val="40000"/>
                  </a:schemeClr>
                </a:outerShdw>
              </a:effectLst>
            </a:rPr>
            <a:t>Start Again!</a:t>
          </a:r>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www.facebook.com/sharer.php?u=http%3A%2F%2Fchandoo.org%2Fwp%2F2012%2F08%2F10%2Fexcel-hurdles%2F&amp;t=I%20finished%20Excel%20Hurdle%20challenge%20in%20$$%20seconds." TargetMode="External"/><Relationship Id="rId1" Type="http://schemas.openxmlformats.org/officeDocument/2006/relationships/hyperlink" Target="https://www.linkedin.com/sharing/share-offsite/?url=https://www.fmworldcup.com/microsoft-excel-collegiate-challeng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74016-C98C-4E83-8A62-ECB6C23137DE}">
  <sheetPr codeName="Sheet11">
    <tabColor rgb="FFBC1F36"/>
  </sheetPr>
  <dimension ref="A1:XX1000"/>
  <sheetViews>
    <sheetView showGridLines="0" tabSelected="1" zoomScale="70" zoomScaleNormal="70" zoomScaleSheetLayoutView="100" workbookViewId="0">
      <selection activeCell="L17" sqref="L17"/>
    </sheetView>
  </sheetViews>
  <sheetFormatPr defaultColWidth="10.140625" defaultRowHeight="20.100000000000001" customHeight="1"/>
  <cols>
    <col min="1" max="1" width="5.42578125" style="10618" customWidth="1"/>
    <col min="2" max="9" width="11.140625" style="10620" customWidth="1"/>
    <col min="10" max="12" width="11.140625" style="10618" customWidth="1"/>
    <col min="13" max="13" width="5.42578125" style="10618" customWidth="1"/>
    <col min="14" max="18" width="11.140625" style="10618" customWidth="1"/>
    <col min="19" max="19" width="5.42578125" style="10618" customWidth="1"/>
    <col min="20" max="20" width="11.140625" style="10618" customWidth="1"/>
    <col min="21" max="23" width="11.140625" style="10621" customWidth="1"/>
    <col min="24" max="16384" width="10.140625" style="10621"/>
  </cols>
  <sheetData>
    <row r="1" spans="2:24" ht="15" customHeight="1" thickBot="1">
      <c r="B1" s="10618"/>
      <c r="C1" s="10618"/>
      <c r="D1" s="10618"/>
      <c r="E1" s="10618"/>
      <c r="F1" s="10618"/>
      <c r="G1" s="10618"/>
      <c r="H1" s="10618"/>
      <c r="I1" s="10618"/>
      <c r="P1" s="10619"/>
      <c r="Q1" s="10620"/>
      <c r="R1" s="10620"/>
    </row>
    <row r="2" spans="2:24" ht="30" customHeight="1" thickBot="1">
      <c r="B2" s="10618"/>
      <c r="C2" s="10618"/>
      <c r="D2" s="10618"/>
      <c r="E2" s="10618"/>
      <c r="F2" s="10618"/>
      <c r="G2" s="10618"/>
      <c r="H2" s="10618"/>
      <c r="I2" s="10618"/>
      <c r="O2" s="10622" t="s">
        <v>992</v>
      </c>
      <c r="P2" s="10623"/>
      <c r="Q2" s="10624"/>
    </row>
    <row r="3" spans="2:24" ht="30" customHeight="1">
      <c r="B3" s="10618"/>
      <c r="C3" s="10618"/>
      <c r="D3" s="10618"/>
      <c r="E3" s="10618"/>
      <c r="F3" s="10618"/>
      <c r="G3" s="10618"/>
      <c r="H3" s="10618"/>
      <c r="I3" s="10618"/>
      <c r="O3" s="10625"/>
      <c r="P3" s="10626"/>
      <c r="Q3" s="10627"/>
      <c r="T3" s="10621"/>
      <c r="W3" s="10618"/>
      <c r="X3" s="10618"/>
    </row>
    <row r="4" spans="2:24" ht="30" customHeight="1">
      <c r="B4" s="10618"/>
      <c r="C4" s="10618"/>
      <c r="D4" s="10618"/>
      <c r="E4" s="10618"/>
      <c r="F4" s="10618"/>
      <c r="G4" s="10618"/>
      <c r="H4" s="10618"/>
      <c r="I4" s="10618"/>
      <c r="O4" s="10625"/>
      <c r="P4" s="10626"/>
      <c r="Q4" s="10627"/>
      <c r="T4" s="10621"/>
      <c r="W4" s="10618"/>
    </row>
    <row r="5" spans="2:24" ht="30" customHeight="1">
      <c r="B5" s="10618"/>
      <c r="C5" s="10618"/>
      <c r="D5" s="10618"/>
      <c r="E5" s="10618"/>
      <c r="F5" s="10618"/>
      <c r="G5" s="10618"/>
      <c r="H5" s="10618"/>
      <c r="I5" s="10618"/>
      <c r="O5" s="10625"/>
      <c r="P5" s="10626"/>
      <c r="Q5" s="10627"/>
      <c r="T5" s="10621"/>
      <c r="W5" s="10618"/>
    </row>
    <row r="6" spans="2:24" ht="30" customHeight="1">
      <c r="B6" s="10618"/>
      <c r="C6" s="10618"/>
      <c r="D6" s="10618"/>
      <c r="E6" s="10618"/>
      <c r="F6" s="10618"/>
      <c r="G6" s="10618"/>
      <c r="H6" s="10618"/>
      <c r="I6" s="10618"/>
      <c r="O6" s="10625"/>
      <c r="P6" s="10626"/>
      <c r="Q6" s="10627"/>
      <c r="T6" s="10642"/>
      <c r="U6" s="10642"/>
      <c r="V6" s="10642"/>
      <c r="W6" s="10642"/>
      <c r="X6" s="10618"/>
    </row>
    <row r="7" spans="2:24" ht="30" customHeight="1">
      <c r="B7" s="10618"/>
      <c r="C7" s="10618"/>
      <c r="D7" s="10618"/>
      <c r="E7" s="10618"/>
      <c r="F7" s="10618"/>
      <c r="G7" s="10618"/>
      <c r="H7" s="10618"/>
      <c r="I7" s="10618"/>
      <c r="O7" s="10625"/>
      <c r="P7" s="10626"/>
      <c r="Q7" s="10627"/>
      <c r="T7" s="10642"/>
      <c r="U7" s="10642"/>
      <c r="V7" s="10642"/>
      <c r="W7" s="10642"/>
      <c r="X7" s="10618"/>
    </row>
    <row r="8" spans="2:24" ht="30" customHeight="1" thickBot="1">
      <c r="B8" s="10618"/>
      <c r="C8" s="10618"/>
      <c r="D8" s="10618"/>
      <c r="E8" s="10618"/>
      <c r="F8" s="10618"/>
      <c r="G8" s="10618"/>
      <c r="H8" s="10618"/>
      <c r="I8" s="10618"/>
      <c r="O8" s="10628"/>
      <c r="Q8" s="10627"/>
      <c r="T8" s="10642"/>
      <c r="U8" s="10642"/>
      <c r="V8" s="10642"/>
      <c r="W8" s="10642"/>
      <c r="X8" s="10618"/>
    </row>
    <row r="9" spans="2:24" ht="30" customHeight="1" thickBot="1">
      <c r="B9" s="10629" t="s">
        <v>1115</v>
      </c>
      <c r="C9" s="10629"/>
      <c r="D9" s="10629"/>
      <c r="E9" s="10629"/>
      <c r="F9" s="10629"/>
      <c r="G9" s="10629"/>
      <c r="H9" s="10629"/>
      <c r="I9" s="10629"/>
      <c r="J9" s="10629"/>
      <c r="K9" s="10629"/>
      <c r="L9" s="10629"/>
      <c r="O9" s="10622" t="s">
        <v>71</v>
      </c>
      <c r="P9" s="10623"/>
      <c r="Q9" s="10624"/>
      <c r="T9" s="10642"/>
      <c r="U9" s="10642"/>
      <c r="V9" s="10642"/>
      <c r="W9" s="10642"/>
    </row>
    <row r="10" spans="2:24" ht="15" customHeight="1" thickBot="1">
      <c r="B10" s="10618"/>
      <c r="C10" s="10618"/>
      <c r="D10" s="10618"/>
      <c r="E10" s="10618"/>
      <c r="F10" s="10618"/>
      <c r="G10" s="10618"/>
      <c r="H10" s="10618"/>
      <c r="I10" s="10618"/>
      <c r="O10" s="10630"/>
      <c r="P10" s="10630"/>
      <c r="T10" s="10621"/>
      <c r="W10" s="10618"/>
    </row>
    <row r="11" spans="2:24" ht="30" customHeight="1" thickBot="1">
      <c r="B11" s="10631" t="s">
        <v>1107</v>
      </c>
      <c r="C11" s="10632"/>
      <c r="D11" s="10632"/>
      <c r="E11" s="10632"/>
      <c r="F11" s="10632"/>
      <c r="G11" s="10632"/>
      <c r="H11" s="10632"/>
      <c r="I11" s="10632"/>
      <c r="J11" s="10632"/>
      <c r="K11" s="10632"/>
      <c r="L11" s="10633"/>
      <c r="N11" s="10631" t="s">
        <v>1108</v>
      </c>
      <c r="O11" s="10634"/>
      <c r="P11" s="10634"/>
      <c r="Q11" s="10634"/>
      <c r="R11" s="10635"/>
      <c r="U11" s="10618"/>
      <c r="V11" s="10618"/>
      <c r="W11" s="10618"/>
    </row>
    <row r="12" spans="2:24" ht="110.1" customHeight="1" thickBot="1">
      <c r="B12" s="10643" t="s">
        <v>1114</v>
      </c>
      <c r="C12" s="10644"/>
      <c r="D12" s="10644"/>
      <c r="E12" s="10644"/>
      <c r="F12" s="10644"/>
      <c r="G12" s="10644"/>
      <c r="H12" s="10644"/>
      <c r="I12" s="10644"/>
      <c r="J12" s="10644"/>
      <c r="K12" s="10644"/>
      <c r="L12" s="10645"/>
      <c r="N12" s="10646" t="s">
        <v>1109</v>
      </c>
      <c r="O12" s="10647"/>
      <c r="P12" s="10647"/>
      <c r="Q12" s="10647"/>
      <c r="R12" s="10648"/>
      <c r="S12" s="10620"/>
      <c r="T12" s="10621"/>
      <c r="W12" s="10618"/>
    </row>
    <row r="13" spans="2:24" ht="15" customHeight="1" thickBot="1">
      <c r="B13" s="10636"/>
      <c r="C13" s="10637"/>
      <c r="D13" s="10638"/>
      <c r="H13" s="10621"/>
      <c r="I13" s="10621"/>
      <c r="J13" s="10621"/>
      <c r="N13" s="10620"/>
      <c r="O13" s="10620"/>
      <c r="P13" s="10620"/>
      <c r="Q13" s="10620"/>
      <c r="R13" s="10620"/>
      <c r="S13" s="10620"/>
      <c r="T13" s="10620"/>
      <c r="U13" s="10620"/>
      <c r="V13" s="10618"/>
      <c r="W13" s="10618"/>
    </row>
    <row r="14" spans="2:24" ht="30" customHeight="1" thickBot="1">
      <c r="B14" s="10631" t="s">
        <v>1110</v>
      </c>
      <c r="C14" s="10632"/>
      <c r="D14" s="10632"/>
      <c r="E14" s="10632"/>
      <c r="F14" s="10632"/>
      <c r="G14" s="10632"/>
      <c r="H14" s="10632"/>
      <c r="I14" s="10632"/>
      <c r="J14" s="10632"/>
      <c r="K14" s="10632"/>
      <c r="L14" s="10633"/>
      <c r="N14" s="10631" t="s">
        <v>1111</v>
      </c>
      <c r="O14" s="10632"/>
      <c r="P14" s="10632"/>
      <c r="Q14" s="10632"/>
      <c r="R14" s="10633"/>
      <c r="U14" s="10618"/>
      <c r="V14" s="10618"/>
      <c r="W14" s="10618"/>
      <c r="X14" s="10618"/>
    </row>
    <row r="15" spans="2:24" ht="110.1" customHeight="1" thickBot="1">
      <c r="B15" s="10649" t="s">
        <v>1112</v>
      </c>
      <c r="C15" s="10650"/>
      <c r="D15" s="10650"/>
      <c r="E15" s="10650"/>
      <c r="F15" s="10650"/>
      <c r="G15" s="10650"/>
      <c r="H15" s="10650"/>
      <c r="I15" s="10650"/>
      <c r="J15" s="10650"/>
      <c r="K15" s="10650"/>
      <c r="L15" s="10651"/>
      <c r="N15" s="10646" t="s">
        <v>1113</v>
      </c>
      <c r="O15" s="10647"/>
      <c r="P15" s="10647"/>
      <c r="Q15" s="10647"/>
      <c r="R15" s="10648"/>
      <c r="S15" s="10620"/>
      <c r="T15" s="10621"/>
      <c r="W15" s="10618"/>
    </row>
    <row r="16" spans="2:24" ht="20.100000000000001" customHeight="1">
      <c r="X16" s="10618"/>
    </row>
    <row r="17" spans="1:24" ht="30" customHeight="1">
      <c r="A17" s="10621"/>
      <c r="B17" s="10621"/>
      <c r="C17" s="10621"/>
      <c r="D17" s="10621"/>
      <c r="E17" s="10621"/>
      <c r="F17" s="10621"/>
      <c r="G17" s="10621" t="e" vm="1">
        <v>#VALUE!</v>
      </c>
      <c r="H17" s="10621"/>
      <c r="I17" s="10621"/>
      <c r="J17" s="10621"/>
      <c r="K17" s="10621"/>
      <c r="L17" s="10621"/>
      <c r="M17" s="10621"/>
      <c r="R17" s="10621"/>
      <c r="S17" s="10621"/>
      <c r="T17" s="10621"/>
      <c r="X17" s="10618"/>
    </row>
    <row r="18" spans="1:24" ht="30" customHeight="1">
      <c r="A18" s="10621"/>
      <c r="B18" s="10621"/>
      <c r="C18" s="10621"/>
      <c r="D18" s="10621"/>
      <c r="E18" s="10621"/>
      <c r="F18" s="10621"/>
      <c r="G18" s="10621"/>
      <c r="H18" s="10621"/>
      <c r="I18" s="10621"/>
      <c r="J18" s="10621"/>
      <c r="K18" s="10621"/>
      <c r="L18" s="10621"/>
      <c r="M18" s="10621"/>
      <c r="R18" s="10621"/>
      <c r="S18" s="10621"/>
      <c r="T18" s="10621"/>
      <c r="X18" s="10618"/>
    </row>
    <row r="19" spans="1:24" s="10639" customFormat="1" ht="30" customHeight="1">
      <c r="N19" s="10620"/>
      <c r="O19" s="10620"/>
      <c r="P19" s="10620"/>
      <c r="Q19" s="10620"/>
      <c r="R19" s="10620"/>
      <c r="S19" s="10620"/>
      <c r="T19" s="10620"/>
      <c r="U19" s="10620"/>
      <c r="V19" s="10618"/>
      <c r="W19" s="10618"/>
      <c r="X19" s="10618"/>
    </row>
    <row r="20" spans="1:24" ht="30" customHeight="1">
      <c r="A20" s="10621"/>
      <c r="B20" s="10621"/>
      <c r="C20" s="10621"/>
      <c r="D20" s="10621"/>
      <c r="E20" s="10621"/>
      <c r="F20" s="10621"/>
      <c r="G20" s="10621"/>
      <c r="H20" s="10621"/>
      <c r="I20" s="10621"/>
      <c r="J20" s="10621"/>
      <c r="K20" s="10621"/>
      <c r="L20" s="10621"/>
      <c r="M20" s="10621"/>
      <c r="N20" s="10621"/>
      <c r="O20" s="10621"/>
      <c r="P20" s="10621"/>
      <c r="Q20" s="10621"/>
      <c r="R20" s="10620"/>
      <c r="S20" s="10620"/>
      <c r="T20" s="10620"/>
    </row>
    <row r="21" spans="1:24" ht="30" customHeight="1">
      <c r="A21" s="10621"/>
      <c r="B21" s="10621"/>
      <c r="C21" s="10621"/>
      <c r="D21" s="10621"/>
      <c r="E21" s="10621"/>
      <c r="F21" s="10621"/>
      <c r="G21" s="10621"/>
      <c r="H21" s="10621"/>
      <c r="I21" s="10621"/>
      <c r="J21" s="10621"/>
      <c r="K21" s="10621"/>
      <c r="L21" s="10621"/>
      <c r="M21" s="10621"/>
      <c r="N21" s="10621"/>
      <c r="O21" s="10621"/>
      <c r="P21" s="10621"/>
      <c r="Q21" s="10621"/>
      <c r="R21" s="10620"/>
      <c r="S21" s="10620"/>
      <c r="T21" s="10620"/>
    </row>
    <row r="22" spans="1:24" ht="30" customHeight="1">
      <c r="A22" s="10621"/>
      <c r="B22" s="10621"/>
      <c r="C22" s="10621"/>
      <c r="D22" s="10621"/>
      <c r="E22" s="10621"/>
      <c r="F22" s="10621"/>
      <c r="G22" s="10621"/>
      <c r="H22" s="10621"/>
      <c r="I22" s="10621"/>
      <c r="J22" s="10621"/>
      <c r="K22" s="10621"/>
      <c r="L22" s="10621"/>
      <c r="M22" s="10621"/>
    </row>
    <row r="23" spans="1:24" ht="30" customHeight="1">
      <c r="A23" s="10621"/>
      <c r="B23" s="10621"/>
      <c r="C23" s="10621"/>
      <c r="D23" s="10621"/>
      <c r="E23" s="10621"/>
      <c r="F23" s="10621"/>
      <c r="G23" s="10621"/>
      <c r="H23" s="10621"/>
      <c r="I23" s="10621"/>
      <c r="J23" s="10621"/>
      <c r="K23" s="10621"/>
      <c r="L23" s="10621"/>
      <c r="M23" s="10621"/>
    </row>
    <row r="24" spans="1:24" ht="20.100000000000001" customHeight="1">
      <c r="A24" s="10621"/>
      <c r="B24" s="10621"/>
      <c r="C24" s="10621"/>
      <c r="D24" s="10621"/>
      <c r="E24" s="10621"/>
      <c r="F24" s="10621"/>
      <c r="G24" s="10621"/>
      <c r="H24" s="10621"/>
      <c r="I24" s="10621"/>
      <c r="J24" s="10621"/>
      <c r="K24" s="10621"/>
      <c r="L24" s="10621"/>
      <c r="M24" s="10621"/>
      <c r="N24" s="10621"/>
      <c r="O24" s="10621"/>
      <c r="P24" s="10621"/>
      <c r="Q24" s="10621"/>
      <c r="R24" s="10620"/>
      <c r="S24" s="10620"/>
      <c r="T24" s="10620"/>
    </row>
    <row r="25" spans="1:24" ht="30" customHeight="1">
      <c r="A25" s="10621"/>
      <c r="B25" s="10621"/>
      <c r="C25" s="10621"/>
      <c r="D25" s="10621"/>
      <c r="E25" s="10621"/>
      <c r="F25" s="10621"/>
      <c r="G25" s="10621"/>
      <c r="H25" s="10621"/>
      <c r="I25" s="10621"/>
      <c r="J25" s="10621"/>
      <c r="K25" s="10621"/>
      <c r="L25" s="10621"/>
      <c r="M25" s="10621"/>
    </row>
    <row r="26" spans="1:24" ht="89.45" customHeight="1">
      <c r="A26" s="10621"/>
      <c r="B26" s="10621"/>
      <c r="C26" s="10621"/>
      <c r="D26" s="10621"/>
      <c r="E26" s="10621"/>
      <c r="F26" s="10621"/>
      <c r="G26" s="10621"/>
      <c r="H26" s="10621"/>
      <c r="I26" s="10621"/>
      <c r="J26" s="10621"/>
      <c r="K26" s="10621"/>
      <c r="L26" s="10621"/>
      <c r="M26" s="10621"/>
      <c r="N26" s="10621"/>
      <c r="O26" s="10621"/>
      <c r="P26" s="10621"/>
      <c r="Q26" s="10621"/>
      <c r="R26" s="10620"/>
      <c r="S26" s="10620"/>
      <c r="T26" s="10620"/>
    </row>
    <row r="28" spans="1:24" ht="30" customHeight="1">
      <c r="A28" s="10621"/>
      <c r="B28" s="10621"/>
      <c r="C28" s="10621"/>
      <c r="D28" s="10621"/>
      <c r="E28" s="10621"/>
      <c r="F28" s="10621"/>
      <c r="G28" s="10621"/>
      <c r="H28" s="10621"/>
      <c r="I28" s="10621"/>
      <c r="J28" s="10621"/>
      <c r="K28" s="10621"/>
      <c r="L28" s="10621"/>
      <c r="M28" s="10621"/>
    </row>
    <row r="29" spans="1:24" ht="86.45" customHeight="1">
      <c r="A29" s="10621"/>
      <c r="B29" s="10621"/>
      <c r="C29" s="10621"/>
      <c r="D29" s="10621"/>
      <c r="E29" s="10621"/>
      <c r="F29" s="10621"/>
      <c r="G29" s="10621"/>
      <c r="H29" s="10621"/>
      <c r="I29" s="10621"/>
      <c r="J29" s="10621"/>
      <c r="K29" s="10621"/>
      <c r="L29" s="10621"/>
      <c r="M29" s="10621"/>
    </row>
    <row r="30" spans="1:24" ht="20.100000000000001" customHeight="1">
      <c r="A30" s="10621"/>
      <c r="B30" s="10621"/>
      <c r="C30" s="10621"/>
      <c r="D30" s="10621"/>
      <c r="E30" s="10621"/>
      <c r="F30" s="10621"/>
      <c r="G30" s="10621"/>
      <c r="H30" s="10621"/>
      <c r="I30" s="10621"/>
      <c r="J30" s="10621"/>
      <c r="K30" s="10621"/>
      <c r="L30" s="10621"/>
      <c r="M30" s="10621"/>
    </row>
    <row r="32" spans="1:24" ht="20.100000000000001" customHeight="1">
      <c r="B32" s="10618"/>
      <c r="C32" s="10618"/>
      <c r="D32" s="10618"/>
      <c r="E32" s="10618"/>
      <c r="F32" s="10618"/>
      <c r="G32" s="10618"/>
      <c r="H32" s="10618"/>
      <c r="I32" s="10618"/>
      <c r="P32" s="10619"/>
      <c r="Q32" s="10620"/>
      <c r="R32" s="10620"/>
    </row>
    <row r="34" spans="2:20" ht="20.100000000000001" customHeight="1">
      <c r="B34" s="10640"/>
      <c r="C34" s="10637"/>
      <c r="H34" s="10621"/>
      <c r="I34" s="10621"/>
      <c r="J34" s="10621"/>
      <c r="K34" s="10621"/>
      <c r="M34" s="10621"/>
      <c r="N34" s="10621"/>
      <c r="O34" s="10621"/>
      <c r="P34" s="10621"/>
      <c r="Q34" s="10621"/>
      <c r="R34" s="10620"/>
      <c r="S34" s="10620"/>
      <c r="T34" s="10620"/>
    </row>
    <row r="35" spans="2:20" ht="20.100000000000001" customHeight="1">
      <c r="B35" s="10636"/>
      <c r="C35" s="10637"/>
      <c r="H35" s="10621"/>
      <c r="I35" s="10621"/>
      <c r="J35" s="10621"/>
      <c r="K35" s="10621"/>
      <c r="M35" s="10621"/>
      <c r="N35" s="10621"/>
      <c r="O35" s="10621"/>
      <c r="P35" s="10621"/>
      <c r="Q35" s="10621"/>
      <c r="R35" s="10620"/>
      <c r="S35" s="10620"/>
      <c r="T35" s="10620"/>
    </row>
    <row r="36" spans="2:20" ht="20.100000000000001" customHeight="1">
      <c r="B36" s="10636"/>
      <c r="C36" s="10637"/>
      <c r="H36" s="10621"/>
      <c r="I36" s="10621"/>
      <c r="J36" s="10621"/>
      <c r="K36" s="10621"/>
      <c r="M36" s="10621"/>
      <c r="N36" s="10621"/>
      <c r="O36" s="10621"/>
      <c r="P36" s="10621"/>
      <c r="Q36" s="10621"/>
      <c r="R36" s="10620"/>
      <c r="S36" s="10620"/>
      <c r="T36" s="10620"/>
    </row>
    <row r="37" spans="2:20" ht="20.100000000000001" customHeight="1">
      <c r="B37" s="10636"/>
      <c r="C37" s="10637"/>
      <c r="D37" s="10638"/>
      <c r="H37" s="10621"/>
      <c r="I37" s="10621"/>
      <c r="J37" s="10621"/>
      <c r="K37" s="10621"/>
      <c r="M37" s="10621"/>
      <c r="N37" s="10621"/>
      <c r="O37" s="10621"/>
      <c r="P37" s="10621"/>
      <c r="Q37" s="10621"/>
      <c r="R37" s="10620"/>
      <c r="S37" s="10620"/>
      <c r="T37" s="10620"/>
    </row>
    <row r="1000" spans="648:648" ht="15">
      <c r="XX1000" s="10641">
        <v>125713</v>
      </c>
    </row>
  </sheetData>
  <mergeCells count="5">
    <mergeCell ref="T6:W9"/>
    <mergeCell ref="B12:L12"/>
    <mergeCell ref="N12:R12"/>
    <mergeCell ref="B15:L15"/>
    <mergeCell ref="N15:R15"/>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AF54B-B6E7-4F91-B9A4-3A2EAD7278F3}">
  <sheetPr codeName="Sheet3"/>
  <dimension ref="A1:XX1000"/>
  <sheetViews>
    <sheetView showGridLines="0" workbookViewId="0"/>
  </sheetViews>
  <sheetFormatPr defaultColWidth="8.85546875" defaultRowHeight="15"/>
  <sheetData>
    <row r="1" spans="1:1">
      <c r="A1" s="44" t="s">
        <v>83</v>
      </c>
    </row>
    <row r="2" spans="1:1">
      <c r="A2" t="s">
        <v>82</v>
      </c>
    </row>
    <row r="21" spans="1:1">
      <c r="A21" t="s">
        <v>72</v>
      </c>
    </row>
    <row r="22" spans="1:1">
      <c r="A22" t="s">
        <v>73</v>
      </c>
    </row>
    <row r="43" spans="1:1">
      <c r="A43" t="s">
        <v>74</v>
      </c>
    </row>
    <row r="44" spans="1:1">
      <c r="A44" t="s">
        <v>75</v>
      </c>
    </row>
    <row r="45" spans="1:1">
      <c r="A45" t="s">
        <v>76</v>
      </c>
    </row>
    <row r="46" spans="1:1">
      <c r="A46" t="s">
        <v>77</v>
      </c>
    </row>
    <row r="47" spans="1:1">
      <c r="A47" t="s">
        <v>78</v>
      </c>
    </row>
    <row r="48" spans="1:1">
      <c r="A48" t="s">
        <v>79</v>
      </c>
    </row>
    <row r="49" spans="1:1">
      <c r="A49" t="s">
        <v>80</v>
      </c>
    </row>
    <row r="71" spans="1:1">
      <c r="A71" t="s">
        <v>81</v>
      </c>
    </row>
    <row r="1000" spans="648:648" ht="15.75">
      <c r="XX1000" s="10641">
        <v>125713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D33FE-960D-42D3-AF09-0E29BAFEC3C6}">
  <sheetPr codeName="Sheet10">
    <tabColor rgb="FF001838"/>
  </sheetPr>
  <dimension ref="A1:XX1000"/>
  <sheetViews>
    <sheetView showGridLines="0" topLeftCell="P23" zoomScale="70" zoomScaleNormal="70" workbookViewId="0">
      <selection activeCell="Q49" sqref="Q49"/>
    </sheetView>
  </sheetViews>
  <sheetFormatPr defaultColWidth="4.42578125" defaultRowHeight="18.95" customHeight="1"/>
  <cols>
    <col min="1" max="16384" width="4.42578125" style="69"/>
  </cols>
  <sheetData>
    <row r="1" spans="1:42" s="47" customFormat="1" ht="15" customHeight="1">
      <c r="A1" s="47" t="s">
        <v>2</v>
      </c>
    </row>
    <row r="2" spans="1:42" s="47" customFormat="1" ht="33" customHeight="1">
      <c r="B2" s="48" t="s">
        <v>1116</v>
      </c>
      <c r="C2" s="48"/>
      <c r="D2" s="48"/>
      <c r="E2" s="48"/>
      <c r="F2" s="48"/>
      <c r="G2" s="48"/>
      <c r="H2" s="48"/>
      <c r="I2" s="48"/>
      <c r="J2" s="48"/>
      <c r="K2" s="48"/>
      <c r="L2" s="48"/>
      <c r="M2" s="48"/>
      <c r="N2" s="48"/>
      <c r="O2" s="48"/>
      <c r="P2" s="48"/>
      <c r="Q2" s="48"/>
      <c r="R2" s="48"/>
      <c r="S2" s="48"/>
      <c r="T2" s="48"/>
      <c r="U2" s="48"/>
      <c r="V2" s="48"/>
      <c r="W2" s="48"/>
      <c r="X2" s="48"/>
      <c r="Y2" s="48"/>
      <c r="Z2" s="48"/>
      <c r="AA2" s="48"/>
      <c r="AB2" s="48"/>
      <c r="AC2" s="48"/>
      <c r="AD2" s="48"/>
      <c r="AE2" s="48"/>
      <c r="AF2" s="48"/>
      <c r="AG2" s="48"/>
      <c r="AH2" s="48"/>
      <c r="AI2" s="48"/>
      <c r="AJ2" s="48"/>
      <c r="AK2" s="48"/>
      <c r="AL2" s="48"/>
      <c r="AM2" s="48"/>
      <c r="AN2" s="48"/>
      <c r="AO2" s="48"/>
      <c r="AP2" s="48"/>
    </row>
    <row r="3" spans="1:42" s="47" customFormat="1" ht="15" customHeight="1">
      <c r="B3" s="49"/>
      <c r="C3" s="49"/>
      <c r="D3" s="49"/>
      <c r="E3" s="50"/>
      <c r="F3" s="49"/>
      <c r="G3" s="49"/>
      <c r="H3" s="49"/>
      <c r="I3" s="49"/>
      <c r="J3" s="49"/>
      <c r="K3" s="49"/>
      <c r="L3" s="49"/>
      <c r="M3" s="49"/>
      <c r="N3" s="49"/>
    </row>
    <row r="4" spans="1:42" s="47" customFormat="1" ht="30" customHeight="1">
      <c r="B4" s="51" t="s">
        <v>1115</v>
      </c>
      <c r="C4" s="51"/>
      <c r="D4" s="51"/>
      <c r="E4" s="51"/>
      <c r="F4" s="51"/>
      <c r="G4" s="51"/>
      <c r="H4" s="51"/>
      <c r="I4" s="51"/>
      <c r="J4" s="51"/>
      <c r="K4" s="51"/>
      <c r="L4" s="51"/>
      <c r="M4" s="51"/>
      <c r="N4" s="51"/>
      <c r="O4" s="51"/>
      <c r="P4" s="51"/>
      <c r="Q4" s="51"/>
      <c r="R4" s="51"/>
      <c r="S4" s="51"/>
      <c r="T4" s="51"/>
      <c r="U4" s="51"/>
      <c r="V4" s="51"/>
      <c r="W4" s="51"/>
      <c r="X4" s="51"/>
      <c r="Y4" s="51"/>
      <c r="Z4" s="51"/>
      <c r="AA4" s="51"/>
      <c r="AB4" s="51"/>
      <c r="AC4" s="51"/>
      <c r="AE4" s="52"/>
      <c r="AF4" s="53" t="s">
        <v>992</v>
      </c>
      <c r="AG4" s="54"/>
      <c r="AH4" s="54"/>
      <c r="AI4" s="54"/>
      <c r="AJ4" s="54"/>
      <c r="AK4" s="54"/>
      <c r="AL4" s="54"/>
      <c r="AM4" s="54"/>
      <c r="AN4" s="54"/>
    </row>
    <row r="5" spans="1:42" s="47" customFormat="1" ht="30" customHeight="1">
      <c r="E5" s="55"/>
      <c r="AE5" s="52"/>
      <c r="AF5" s="56" t="s">
        <v>71</v>
      </c>
      <c r="AG5" s="57"/>
      <c r="AH5" s="57"/>
      <c r="AI5" s="57"/>
      <c r="AJ5" s="57"/>
      <c r="AK5" s="57"/>
      <c r="AL5" s="57"/>
      <c r="AM5" s="57"/>
      <c r="AN5" s="57"/>
    </row>
    <row r="6" spans="1:42" s="47" customFormat="1" ht="30" customHeight="1">
      <c r="E6" s="55"/>
      <c r="AI6" s="58"/>
      <c r="AK6" s="58"/>
    </row>
    <row r="7" spans="1:42" s="47" customFormat="1" ht="30" customHeight="1" thickBot="1">
      <c r="E7" s="55"/>
      <c r="AF7" s="53" t="s">
        <v>1035</v>
      </c>
      <c r="AG7" s="54"/>
      <c r="AH7" s="54"/>
      <c r="AI7" s="54"/>
      <c r="AJ7" s="54"/>
      <c r="AK7" s="54"/>
      <c r="AL7" s="54"/>
      <c r="AM7" s="10604"/>
      <c r="AN7" s="10604"/>
    </row>
    <row r="8" spans="1:42" s="47" customFormat="1" ht="30" customHeight="1" thickBot="1">
      <c r="E8" s="55"/>
      <c r="AF8" s="10605" t="s">
        <v>1029</v>
      </c>
      <c r="AG8" s="10606"/>
      <c r="AH8" s="10606"/>
      <c r="AI8" s="10607"/>
      <c r="AJ8" s="10606"/>
      <c r="AK8" s="10607"/>
      <c r="AL8" s="10605"/>
      <c r="AM8" s="10606"/>
      <c r="AN8" s="10608">
        <v>1</v>
      </c>
    </row>
    <row r="9" spans="1:42" s="47" customFormat="1" ht="30" customHeight="1" thickBot="1">
      <c r="E9" s="55"/>
      <c r="AF9" s="10605" t="s">
        <v>1030</v>
      </c>
      <c r="AG9" s="10606"/>
      <c r="AH9" s="10606"/>
      <c r="AI9" s="10607"/>
      <c r="AJ9" s="10606"/>
      <c r="AK9" s="10607"/>
      <c r="AL9" s="10605"/>
      <c r="AM9" s="10606"/>
      <c r="AN9" s="10608">
        <v>0</v>
      </c>
    </row>
    <row r="10" spans="1:42" s="47" customFormat="1" ht="30" customHeight="1" thickBot="1">
      <c r="E10" s="55"/>
      <c r="AF10" s="10605" t="s">
        <v>1031</v>
      </c>
      <c r="AG10" s="10606"/>
      <c r="AH10" s="10606"/>
      <c r="AI10" s="10607"/>
      <c r="AJ10" s="10606"/>
      <c r="AK10" s="10607"/>
      <c r="AL10" s="10605"/>
      <c r="AM10" s="10606"/>
      <c r="AN10" s="10608">
        <v>0</v>
      </c>
    </row>
    <row r="11" spans="1:42" s="47" customFormat="1" ht="30" customHeight="1" thickBot="1">
      <c r="E11" s="55"/>
      <c r="AF11" s="10605" t="s">
        <v>1032</v>
      </c>
      <c r="AG11" s="10606"/>
      <c r="AH11" s="10606"/>
      <c r="AI11" s="10607"/>
      <c r="AJ11" s="10606"/>
      <c r="AK11" s="10607"/>
      <c r="AL11" s="10605"/>
      <c r="AM11" s="10606"/>
      <c r="AN11" s="10608">
        <v>1</v>
      </c>
    </row>
    <row r="12" spans="1:42" s="47" customFormat="1" ht="30" customHeight="1">
      <c r="E12" s="55"/>
      <c r="K12" s="58"/>
      <c r="L12" s="58"/>
      <c r="M12" s="58"/>
      <c r="N12" s="58"/>
      <c r="AF12" s="10610"/>
    </row>
    <row r="13" spans="1:42" s="47" customFormat="1" ht="15" customHeight="1">
      <c r="E13" s="55"/>
      <c r="K13" s="59"/>
      <c r="L13" s="59"/>
      <c r="M13" s="59"/>
      <c r="N13" s="59"/>
    </row>
    <row r="14" spans="1:42" s="47" customFormat="1" ht="30" customHeight="1">
      <c r="B14" s="60" t="s">
        <v>24</v>
      </c>
      <c r="C14" s="60"/>
      <c r="D14" s="60"/>
      <c r="E14" s="60"/>
      <c r="F14" s="60"/>
      <c r="G14" s="60"/>
      <c r="H14" s="60"/>
      <c r="I14" s="60"/>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row>
    <row r="15" spans="1:42" s="47" customFormat="1" ht="15" customHeight="1">
      <c r="B15" s="61" t="s">
        <v>1037</v>
      </c>
      <c r="C15" s="62"/>
      <c r="D15" s="62"/>
      <c r="E15" s="62"/>
      <c r="F15" s="62"/>
      <c r="G15" s="62"/>
      <c r="H15" s="62"/>
      <c r="I15" s="62"/>
      <c r="J15" s="62"/>
      <c r="K15" s="62"/>
      <c r="L15" s="62"/>
      <c r="M15" s="62"/>
      <c r="N15" s="62"/>
      <c r="O15" s="62"/>
      <c r="P15" s="62"/>
      <c r="Q15" s="62"/>
      <c r="R15" s="62"/>
      <c r="S15" s="62"/>
      <c r="T15" s="62"/>
      <c r="U15" s="62"/>
      <c r="V15" s="62"/>
      <c r="W15" s="62"/>
      <c r="X15" s="62"/>
      <c r="Y15" s="62"/>
      <c r="Z15" s="62"/>
      <c r="AA15" s="62"/>
      <c r="AB15" s="62"/>
      <c r="AC15" s="62"/>
      <c r="AD15" s="62"/>
      <c r="AE15" s="62"/>
      <c r="AF15" s="62"/>
      <c r="AG15" s="62"/>
      <c r="AH15" s="62"/>
      <c r="AI15" s="62"/>
      <c r="AJ15" s="62"/>
      <c r="AK15" s="62"/>
      <c r="AL15" s="62"/>
      <c r="AM15" s="62"/>
      <c r="AN15" s="62"/>
      <c r="AO15" s="62"/>
      <c r="AP15" s="63"/>
    </row>
    <row r="16" spans="1:42" s="47" customFormat="1" ht="15" customHeight="1">
      <c r="B16" s="64" t="s">
        <v>1038</v>
      </c>
      <c r="C16" s="65"/>
      <c r="D16" s="65"/>
      <c r="E16" s="65"/>
      <c r="F16" s="65"/>
      <c r="G16" s="65"/>
      <c r="H16" s="65"/>
      <c r="I16" s="65"/>
      <c r="J16" s="65"/>
      <c r="K16" s="65"/>
      <c r="L16" s="65"/>
      <c r="M16" s="65"/>
      <c r="N16" s="65"/>
      <c r="O16" s="65"/>
      <c r="P16" s="65"/>
      <c r="Q16" s="65"/>
      <c r="R16" s="65"/>
      <c r="S16" s="65"/>
      <c r="T16" s="65"/>
      <c r="U16" s="65"/>
      <c r="V16" s="65"/>
      <c r="W16" s="65"/>
      <c r="X16" s="65"/>
      <c r="Y16" s="65"/>
      <c r="Z16" s="65"/>
      <c r="AA16" s="65"/>
      <c r="AB16" s="65"/>
      <c r="AC16" s="65"/>
      <c r="AD16" s="65"/>
      <c r="AE16" s="65"/>
      <c r="AF16" s="65"/>
      <c r="AG16" s="65"/>
      <c r="AH16" s="65"/>
      <c r="AI16" s="65"/>
      <c r="AJ16" s="65"/>
      <c r="AK16" s="65"/>
      <c r="AL16" s="65"/>
      <c r="AM16" s="65"/>
      <c r="AN16" s="65"/>
      <c r="AO16" s="65"/>
      <c r="AP16" s="66"/>
    </row>
    <row r="17" spans="2:42" s="47" customFormat="1" ht="15" customHeight="1">
      <c r="B17" s="64" t="s">
        <v>1033</v>
      </c>
      <c r="C17" s="65"/>
      <c r="D17" s="65"/>
      <c r="E17" s="65"/>
      <c r="F17" s="65"/>
      <c r="G17" s="65"/>
      <c r="H17" s="65"/>
      <c r="I17" s="65"/>
      <c r="J17" s="65"/>
      <c r="K17" s="65"/>
      <c r="L17" s="65"/>
      <c r="M17" s="65"/>
      <c r="N17" s="65"/>
      <c r="O17" s="65"/>
      <c r="P17" s="65"/>
      <c r="Q17" s="65"/>
      <c r="R17" s="65"/>
      <c r="S17" s="65"/>
      <c r="T17" s="65"/>
      <c r="U17" s="65"/>
      <c r="V17" s="65"/>
      <c r="W17" s="65"/>
      <c r="X17" s="65"/>
      <c r="Y17" s="65"/>
      <c r="Z17" s="65"/>
      <c r="AA17" s="65"/>
      <c r="AB17" s="65"/>
      <c r="AC17" s="65"/>
      <c r="AD17" s="65"/>
      <c r="AE17" s="65"/>
      <c r="AF17" s="65"/>
      <c r="AG17" s="65"/>
      <c r="AH17" s="65"/>
      <c r="AI17" s="65"/>
      <c r="AJ17" s="65"/>
      <c r="AK17" s="65"/>
      <c r="AL17" s="65"/>
      <c r="AM17" s="65"/>
      <c r="AN17" s="65"/>
      <c r="AO17" s="65"/>
      <c r="AP17" s="66"/>
    </row>
    <row r="18" spans="2:42" s="47" customFormat="1" ht="15" customHeight="1">
      <c r="B18" s="64" t="s">
        <v>1040</v>
      </c>
      <c r="C18" s="65"/>
      <c r="D18" s="65"/>
      <c r="E18" s="65"/>
      <c r="F18" s="65"/>
      <c r="G18" s="65"/>
      <c r="H18" s="65"/>
      <c r="I18" s="65"/>
      <c r="J18" s="65"/>
      <c r="K18" s="65"/>
      <c r="L18" s="65"/>
      <c r="M18" s="65"/>
      <c r="N18" s="65"/>
      <c r="O18" s="65"/>
      <c r="P18" s="65"/>
      <c r="Q18" s="65"/>
      <c r="R18" s="65"/>
      <c r="S18" s="65"/>
      <c r="T18" s="65"/>
      <c r="U18" s="65"/>
      <c r="V18" s="65"/>
      <c r="W18" s="65"/>
      <c r="X18" s="65"/>
      <c r="Y18" s="65"/>
      <c r="Z18" s="65"/>
      <c r="AA18" s="65"/>
      <c r="AB18" s="65"/>
      <c r="AC18" s="65"/>
      <c r="AD18" s="65"/>
      <c r="AE18" s="65"/>
      <c r="AF18" s="65"/>
      <c r="AG18" s="65"/>
      <c r="AH18" s="65"/>
      <c r="AI18" s="65"/>
      <c r="AJ18" s="65"/>
      <c r="AK18" s="65"/>
      <c r="AL18" s="65"/>
      <c r="AM18" s="65"/>
      <c r="AN18" s="65"/>
      <c r="AO18" s="65"/>
      <c r="AP18" s="66"/>
    </row>
    <row r="19" spans="2:42" s="47" customFormat="1" ht="15" customHeight="1">
      <c r="B19" s="64" t="s">
        <v>1041</v>
      </c>
      <c r="C19" s="65"/>
      <c r="D19" s="65"/>
      <c r="E19" s="65"/>
      <c r="F19" s="65"/>
      <c r="G19" s="65"/>
      <c r="H19" s="65"/>
      <c r="I19" s="65"/>
      <c r="J19" s="65"/>
      <c r="K19" s="65"/>
      <c r="L19" s="65"/>
      <c r="M19" s="65"/>
      <c r="N19" s="65"/>
      <c r="O19" s="65"/>
      <c r="P19" s="65"/>
      <c r="Q19" s="65"/>
      <c r="R19" s="65"/>
      <c r="S19" s="65"/>
      <c r="T19" s="65"/>
      <c r="U19" s="65"/>
      <c r="V19" s="65"/>
      <c r="W19" s="65"/>
      <c r="X19" s="65"/>
      <c r="Y19" s="65"/>
      <c r="Z19" s="65"/>
      <c r="AA19" s="65"/>
      <c r="AB19" s="65"/>
      <c r="AC19" s="65"/>
      <c r="AD19" s="65"/>
      <c r="AE19" s="65"/>
      <c r="AF19" s="65"/>
      <c r="AG19" s="65"/>
      <c r="AH19" s="65"/>
      <c r="AI19" s="65"/>
      <c r="AJ19" s="65"/>
      <c r="AK19" s="65"/>
      <c r="AL19" s="65"/>
      <c r="AM19" s="65"/>
      <c r="AN19" s="65"/>
      <c r="AO19" s="65"/>
      <c r="AP19" s="66"/>
    </row>
    <row r="20" spans="2:42" s="47" customFormat="1" ht="15" customHeight="1">
      <c r="B20" s="64"/>
      <c r="C20" s="65"/>
      <c r="D20" s="65"/>
      <c r="E20" s="65"/>
      <c r="F20" s="65"/>
      <c r="G20" s="65"/>
      <c r="H20" s="65"/>
      <c r="I20" s="65"/>
      <c r="J20" s="65"/>
      <c r="K20" s="65"/>
      <c r="L20" s="65"/>
      <c r="M20" s="65"/>
      <c r="N20" s="65"/>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6"/>
    </row>
    <row r="21" spans="2:42" s="47" customFormat="1" ht="15" customHeight="1">
      <c r="B21" s="64" t="s">
        <v>1034</v>
      </c>
      <c r="C21" s="65"/>
      <c r="D21" s="65"/>
      <c r="E21" s="65"/>
      <c r="F21" s="65"/>
      <c r="G21" s="65"/>
      <c r="H21" s="65"/>
      <c r="I21" s="65"/>
      <c r="J21" s="65"/>
      <c r="K21" s="65"/>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6"/>
    </row>
    <row r="22" spans="2:42" s="47" customFormat="1" ht="15" customHeight="1">
      <c r="B22" s="64" t="s">
        <v>1042</v>
      </c>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6"/>
    </row>
    <row r="23" spans="2:42" s="47" customFormat="1" ht="15" customHeight="1">
      <c r="B23" s="64"/>
      <c r="C23" s="65"/>
      <c r="D23" s="65"/>
      <c r="E23" s="65"/>
      <c r="F23" s="65"/>
      <c r="G23" s="65"/>
      <c r="H23" s="65"/>
      <c r="I23" s="65"/>
      <c r="J23" s="65"/>
      <c r="K23" s="65"/>
      <c r="L23" s="65"/>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6"/>
    </row>
    <row r="24" spans="2:42" s="47" customFormat="1" ht="15" customHeight="1">
      <c r="B24" s="64" t="s">
        <v>1039</v>
      </c>
      <c r="C24" s="65"/>
      <c r="D24" s="65"/>
      <c r="E24" s="65"/>
      <c r="F24" s="65"/>
      <c r="G24" s="65"/>
      <c r="H24" s="65"/>
      <c r="I24" s="65"/>
      <c r="J24" s="65"/>
      <c r="K24" s="65"/>
      <c r="L24" s="65"/>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6"/>
    </row>
    <row r="25" spans="2:42" s="47" customFormat="1" ht="15" customHeight="1">
      <c r="B25" s="64" t="s">
        <v>1101</v>
      </c>
      <c r="C25" s="65"/>
      <c r="D25" s="65"/>
      <c r="E25" s="65"/>
      <c r="F25" s="65"/>
      <c r="G25" s="65"/>
      <c r="H25" s="65"/>
      <c r="I25" s="65"/>
      <c r="J25" s="65"/>
      <c r="K25" s="65"/>
      <c r="L25" s="65"/>
      <c r="M25" s="65"/>
      <c r="N25" s="65"/>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6"/>
    </row>
    <row r="26" spans="2:42" s="47" customFormat="1" ht="15" customHeight="1">
      <c r="B26" s="64" t="s">
        <v>1036</v>
      </c>
      <c r="C26" s="65"/>
      <c r="D26" s="65"/>
      <c r="E26" s="65"/>
      <c r="F26" s="65"/>
      <c r="G26" s="65"/>
      <c r="H26" s="65"/>
      <c r="I26" s="65"/>
      <c r="J26" s="65"/>
      <c r="K26" s="65"/>
      <c r="L26" s="65"/>
      <c r="M26" s="65"/>
      <c r="N26" s="65"/>
      <c r="O26" s="65"/>
      <c r="P26" s="65"/>
      <c r="Q26" s="65"/>
      <c r="R26" s="65"/>
      <c r="S26" s="65"/>
      <c r="T26" s="65"/>
      <c r="U26" s="65"/>
      <c r="V26" s="65"/>
      <c r="W26" s="65"/>
      <c r="X26" s="65"/>
      <c r="Y26" s="65"/>
      <c r="Z26" s="65"/>
      <c r="AA26" s="65"/>
      <c r="AB26" s="65"/>
      <c r="AC26" s="65"/>
      <c r="AD26" s="65"/>
      <c r="AE26" s="65"/>
      <c r="AF26" s="65"/>
      <c r="AG26" s="65"/>
      <c r="AH26" s="65"/>
      <c r="AI26" s="65"/>
      <c r="AJ26" s="65"/>
      <c r="AK26" s="65"/>
      <c r="AL26" s="65"/>
      <c r="AM26" s="65"/>
      <c r="AN26" s="65"/>
      <c r="AO26" s="65"/>
      <c r="AP26" s="66"/>
    </row>
    <row r="27" spans="2:42" s="47" customFormat="1" ht="15" customHeight="1">
      <c r="B27" s="64"/>
      <c r="C27" s="65"/>
      <c r="D27" s="65"/>
      <c r="E27" s="65"/>
      <c r="F27" s="65"/>
      <c r="G27" s="65"/>
      <c r="H27" s="65"/>
      <c r="I27" s="65"/>
      <c r="J27" s="65"/>
      <c r="K27" s="65"/>
      <c r="L27" s="65"/>
      <c r="M27" s="65"/>
      <c r="N27" s="65"/>
      <c r="O27" s="65"/>
      <c r="P27" s="65"/>
      <c r="Q27" s="65"/>
      <c r="R27" s="65"/>
      <c r="S27" s="65"/>
      <c r="T27" s="65"/>
      <c r="U27" s="65"/>
      <c r="V27" s="65"/>
      <c r="W27" s="65"/>
      <c r="X27" s="65"/>
      <c r="Y27" s="65"/>
      <c r="Z27" s="65"/>
      <c r="AA27" s="65"/>
      <c r="AB27" s="65"/>
      <c r="AC27" s="65"/>
      <c r="AD27" s="65"/>
      <c r="AE27" s="65"/>
      <c r="AF27" s="65"/>
      <c r="AG27" s="65"/>
      <c r="AH27" s="65"/>
      <c r="AI27" s="65"/>
      <c r="AJ27" s="65"/>
      <c r="AK27" s="65"/>
      <c r="AL27" s="65"/>
      <c r="AM27" s="65"/>
      <c r="AN27" s="65"/>
      <c r="AO27" s="65"/>
      <c r="AP27" s="66"/>
    </row>
    <row r="28" spans="2:42" s="47" customFormat="1" ht="15" customHeight="1">
      <c r="B28" s="64" t="s">
        <v>1102</v>
      </c>
      <c r="C28" s="65"/>
      <c r="D28" s="65"/>
      <c r="E28" s="65"/>
      <c r="F28" s="65"/>
      <c r="G28" s="65"/>
      <c r="H28" s="65"/>
      <c r="I28" s="65"/>
      <c r="J28" s="65"/>
      <c r="K28" s="65"/>
      <c r="L28" s="65"/>
      <c r="M28" s="65"/>
      <c r="N28" s="65"/>
      <c r="O28" s="65"/>
      <c r="P28" s="65"/>
      <c r="Q28" s="65"/>
      <c r="R28" s="65"/>
      <c r="S28" s="65"/>
      <c r="T28" s="65"/>
      <c r="U28" s="65"/>
      <c r="V28" s="65"/>
      <c r="W28" s="65"/>
      <c r="X28" s="65"/>
      <c r="Y28" s="65"/>
      <c r="Z28" s="65"/>
      <c r="AA28" s="65"/>
      <c r="AB28" s="65"/>
      <c r="AC28" s="65"/>
      <c r="AD28" s="65"/>
      <c r="AE28" s="65"/>
      <c r="AF28" s="65"/>
      <c r="AG28" s="65"/>
      <c r="AH28" s="65"/>
      <c r="AI28" s="65"/>
      <c r="AJ28" s="65"/>
      <c r="AK28" s="65"/>
      <c r="AL28" s="65"/>
      <c r="AM28" s="65"/>
      <c r="AN28" s="65"/>
      <c r="AO28" s="65"/>
      <c r="AP28" s="66"/>
    </row>
    <row r="29" spans="2:42" s="47" customFormat="1" ht="15" customHeight="1">
      <c r="B29" s="64" t="s">
        <v>1100</v>
      </c>
      <c r="C29" s="65"/>
      <c r="D29" s="65"/>
      <c r="E29" s="65"/>
      <c r="F29" s="65"/>
      <c r="G29" s="65"/>
      <c r="H29" s="65"/>
      <c r="I29" s="65"/>
      <c r="J29" s="65"/>
      <c r="K29" s="65"/>
      <c r="L29" s="65"/>
      <c r="M29" s="65"/>
      <c r="N29" s="65"/>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c r="AN29" s="65"/>
      <c r="AO29" s="65"/>
      <c r="AP29" s="66"/>
    </row>
    <row r="30" spans="2:42" s="47" customFormat="1" ht="15" customHeight="1">
      <c r="B30" s="64" t="s">
        <v>1103</v>
      </c>
      <c r="C30" s="65"/>
      <c r="D30" s="65"/>
      <c r="E30" s="65"/>
      <c r="F30" s="65"/>
      <c r="G30" s="65"/>
      <c r="H30" s="65"/>
      <c r="I30" s="65"/>
      <c r="J30" s="65"/>
      <c r="K30" s="65"/>
      <c r="L30" s="65"/>
      <c r="M30" s="65"/>
      <c r="N30" s="65"/>
      <c r="O30" s="65"/>
      <c r="P30" s="65"/>
      <c r="Q30" s="65"/>
      <c r="R30" s="65"/>
      <c r="S30" s="65"/>
      <c r="T30" s="65"/>
      <c r="U30" s="65"/>
      <c r="V30" s="65"/>
      <c r="W30" s="65"/>
      <c r="X30" s="65"/>
      <c r="Y30" s="65"/>
      <c r="Z30" s="65"/>
      <c r="AA30" s="65"/>
      <c r="AB30" s="65"/>
      <c r="AC30" s="65"/>
      <c r="AD30" s="65"/>
      <c r="AE30" s="65"/>
      <c r="AF30" s="65"/>
      <c r="AG30" s="65"/>
      <c r="AH30" s="65"/>
      <c r="AI30" s="65"/>
      <c r="AJ30" s="65"/>
      <c r="AK30" s="65"/>
      <c r="AL30" s="65"/>
      <c r="AM30" s="65"/>
      <c r="AN30" s="65"/>
      <c r="AO30" s="65"/>
      <c r="AP30" s="66"/>
    </row>
    <row r="31" spans="2:42" s="47" customFormat="1" ht="15" customHeight="1">
      <c r="B31" s="10609"/>
      <c r="C31" s="67"/>
      <c r="D31" s="67"/>
      <c r="E31" s="67"/>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67"/>
      <c r="AL31" s="67"/>
      <c r="AM31" s="67"/>
      <c r="AN31" s="67"/>
      <c r="AO31" s="67"/>
      <c r="AP31" s="68"/>
    </row>
    <row r="32" spans="2:42" s="47" customFormat="1" ht="15" customHeight="1">
      <c r="B32" s="10611"/>
      <c r="C32" s="65"/>
      <c r="D32" s="65"/>
      <c r="E32" s="65"/>
      <c r="F32" s="65"/>
      <c r="G32" s="65"/>
      <c r="H32" s="65"/>
      <c r="I32" s="65"/>
      <c r="J32" s="65"/>
      <c r="K32" s="65"/>
      <c r="L32" s="65"/>
      <c r="M32" s="65"/>
      <c r="N32" s="65"/>
      <c r="O32" s="65"/>
      <c r="P32" s="65"/>
      <c r="Q32" s="65"/>
      <c r="R32" s="65"/>
      <c r="S32" s="65"/>
      <c r="T32" s="65"/>
      <c r="U32" s="65"/>
      <c r="V32" s="65"/>
      <c r="W32" s="65"/>
      <c r="X32" s="65"/>
      <c r="Y32" s="65"/>
      <c r="Z32" s="65"/>
      <c r="AA32" s="65"/>
      <c r="AB32" s="65"/>
      <c r="AC32" s="65"/>
      <c r="AD32" s="65"/>
      <c r="AE32" s="65"/>
      <c r="AF32" s="65"/>
      <c r="AG32" s="65"/>
      <c r="AH32" s="65"/>
      <c r="AI32" s="65"/>
      <c r="AJ32" s="65"/>
      <c r="AK32" s="65"/>
      <c r="AL32" s="65"/>
      <c r="AM32" s="65"/>
      <c r="AN32" s="65"/>
      <c r="AO32" s="65"/>
    </row>
    <row r="33" spans="2:41" s="47" customFormat="1" ht="15" customHeight="1">
      <c r="B33" s="10611"/>
      <c r="C33" s="65"/>
      <c r="D33" s="65"/>
      <c r="E33" s="65"/>
      <c r="F33" s="65"/>
      <c r="G33" s="65"/>
      <c r="H33" s="65"/>
      <c r="I33" s="65"/>
      <c r="J33" s="65"/>
      <c r="K33" s="65"/>
      <c r="L33" s="65"/>
      <c r="M33" s="65"/>
      <c r="N33" s="65"/>
      <c r="O33" s="65"/>
      <c r="P33" s="65"/>
      <c r="Q33" s="65"/>
      <c r="R33" s="65"/>
      <c r="S33" s="65"/>
      <c r="T33" s="65"/>
      <c r="U33" s="65"/>
      <c r="V33" s="65"/>
      <c r="W33" s="65"/>
      <c r="X33" s="65"/>
      <c r="Y33" s="65"/>
      <c r="Z33" s="65"/>
      <c r="AA33" s="65"/>
      <c r="AB33" s="65"/>
      <c r="AC33" s="65"/>
      <c r="AD33" s="65"/>
      <c r="AE33" s="65"/>
      <c r="AF33" s="65"/>
      <c r="AG33" s="65"/>
      <c r="AH33" s="65"/>
      <c r="AI33" s="65"/>
      <c r="AJ33" s="65"/>
      <c r="AK33" s="65"/>
      <c r="AL33" s="65"/>
      <c r="AM33" s="65"/>
      <c r="AN33" s="65"/>
      <c r="AO33" s="65"/>
    </row>
    <row r="34" spans="2:41" s="47" customFormat="1" ht="15" customHeight="1">
      <c r="B34" s="10611"/>
      <c r="C34" s="65"/>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row>
    <row r="35" spans="2:41" s="47" customFormat="1" ht="15" customHeight="1">
      <c r="B35" s="10611"/>
      <c r="C35" s="65"/>
      <c r="D35" s="65"/>
      <c r="E35" s="65"/>
      <c r="F35" s="65"/>
      <c r="G35" s="65"/>
      <c r="H35" s="65"/>
      <c r="I35" s="65"/>
      <c r="J35" s="65"/>
      <c r="K35" s="65"/>
      <c r="L35" s="65"/>
      <c r="M35" s="65"/>
      <c r="N35" s="65"/>
      <c r="O35" s="65"/>
      <c r="P35" s="65"/>
      <c r="Q35" s="65"/>
      <c r="R35" s="65"/>
      <c r="S35" s="65"/>
      <c r="T35" s="65"/>
      <c r="U35" s="65"/>
      <c r="V35" s="65"/>
      <c r="W35" s="65"/>
      <c r="X35" s="65"/>
      <c r="Y35" s="65"/>
      <c r="Z35" s="65"/>
      <c r="AA35" s="65"/>
      <c r="AB35" s="65"/>
      <c r="AC35" s="65"/>
      <c r="AD35" s="65"/>
      <c r="AE35" s="65"/>
      <c r="AF35" s="65"/>
      <c r="AG35" s="65"/>
      <c r="AH35" s="65"/>
      <c r="AI35" s="65"/>
      <c r="AJ35" s="65"/>
      <c r="AK35" s="65"/>
      <c r="AL35" s="65"/>
      <c r="AM35" s="65"/>
      <c r="AN35" s="65"/>
      <c r="AO35" s="65"/>
    </row>
    <row r="36" spans="2:41" s="47" customFormat="1" ht="15" customHeight="1">
      <c r="B36" s="65"/>
      <c r="C36" s="65"/>
      <c r="D36" s="65"/>
      <c r="E36" s="65"/>
      <c r="F36" s="65"/>
      <c r="G36" s="65"/>
      <c r="H36" s="65"/>
      <c r="I36" s="65"/>
      <c r="J36" s="65"/>
      <c r="K36" s="65"/>
      <c r="L36" s="65"/>
      <c r="M36" s="65"/>
      <c r="N36" s="65"/>
      <c r="O36" s="65"/>
      <c r="P36" s="65"/>
      <c r="Q36" s="65"/>
      <c r="R36" s="65"/>
      <c r="S36" s="65"/>
      <c r="T36" s="65"/>
      <c r="U36" s="65"/>
      <c r="V36" s="65"/>
      <c r="W36" s="65"/>
      <c r="X36" s="65"/>
      <c r="Y36" s="65"/>
      <c r="Z36" s="65"/>
      <c r="AA36" s="65"/>
      <c r="AB36" s="65"/>
      <c r="AC36" s="65"/>
      <c r="AD36" s="65"/>
      <c r="AE36" s="65"/>
      <c r="AF36" s="65"/>
      <c r="AG36" s="65"/>
      <c r="AH36" s="65"/>
      <c r="AI36" s="65"/>
      <c r="AJ36" s="65"/>
      <c r="AK36" s="65"/>
      <c r="AL36" s="65"/>
      <c r="AM36" s="65"/>
      <c r="AN36" s="65"/>
      <c r="AO36" s="65"/>
    </row>
    <row r="37" spans="2:41" ht="18.95" customHeight="1">
      <c r="B37"/>
    </row>
    <row r="38" spans="2:41" ht="18.95" customHeight="1" thickBot="1"/>
    <row r="39" spans="2:41" ht="15.75">
      <c r="B39" s="70">
        <v>2</v>
      </c>
      <c r="C39" s="71">
        <v>8</v>
      </c>
      <c r="D39" s="71">
        <v>8</v>
      </c>
      <c r="E39" s="71">
        <v>9</v>
      </c>
      <c r="F39" s="71">
        <v>2</v>
      </c>
      <c r="G39" s="71">
        <v>3</v>
      </c>
      <c r="H39" s="71">
        <v>8</v>
      </c>
      <c r="I39" s="71">
        <v>2</v>
      </c>
      <c r="J39" s="71">
        <v>0</v>
      </c>
      <c r="K39" s="72">
        <v>9</v>
      </c>
      <c r="L39" s="73">
        <f>SUM(B39:K39)</f>
        <v>51</v>
      </c>
    </row>
    <row r="40" spans="2:41" ht="15.75">
      <c r="B40" s="74">
        <v>8</v>
      </c>
      <c r="C40" s="69">
        <v>6</v>
      </c>
      <c r="D40" s="69">
        <v>0</v>
      </c>
      <c r="E40" s="69">
        <v>6</v>
      </c>
      <c r="F40" s="69">
        <v>9</v>
      </c>
      <c r="G40" s="69">
        <v>5</v>
      </c>
      <c r="H40" s="69">
        <v>9</v>
      </c>
      <c r="I40" s="69">
        <v>7</v>
      </c>
      <c r="J40" s="69">
        <v>8</v>
      </c>
      <c r="K40" s="75">
        <v>2</v>
      </c>
      <c r="L40" s="73">
        <f>SUM(B40:K40)</f>
        <v>60</v>
      </c>
    </row>
    <row r="41" spans="2:41" ht="15.75">
      <c r="B41" s="74">
        <v>6</v>
      </c>
      <c r="C41" s="69">
        <v>5</v>
      </c>
      <c r="D41" s="69">
        <v>8</v>
      </c>
      <c r="E41" s="69">
        <v>9</v>
      </c>
      <c r="F41" s="69">
        <v>2</v>
      </c>
      <c r="G41" s="69">
        <v>2</v>
      </c>
      <c r="H41" s="69">
        <v>1</v>
      </c>
      <c r="I41" s="69">
        <v>1</v>
      </c>
      <c r="J41" s="69">
        <v>1</v>
      </c>
      <c r="K41" s="75">
        <v>8</v>
      </c>
      <c r="L41" s="73">
        <f>SUM(B41:K41)</f>
        <v>43</v>
      </c>
    </row>
    <row r="42" spans="2:41" ht="15.75">
      <c r="B42" s="74">
        <v>7</v>
      </c>
      <c r="C42" s="69">
        <v>3</v>
      </c>
      <c r="D42" s="69">
        <v>2</v>
      </c>
      <c r="E42" s="69">
        <v>8</v>
      </c>
      <c r="F42" s="69">
        <v>1</v>
      </c>
      <c r="G42" s="69">
        <v>2</v>
      </c>
      <c r="H42" s="69">
        <v>4</v>
      </c>
      <c r="I42" s="69">
        <v>3</v>
      </c>
      <c r="J42" s="69">
        <v>2</v>
      </c>
      <c r="K42" s="75">
        <v>3</v>
      </c>
      <c r="L42" s="73">
        <f>SUM(B42:K42)</f>
        <v>35</v>
      </c>
    </row>
    <row r="43" spans="2:41" ht="15.75">
      <c r="B43" s="74">
        <v>9</v>
      </c>
      <c r="C43" s="69">
        <v>7</v>
      </c>
      <c r="D43" s="69">
        <v>1</v>
      </c>
      <c r="E43" s="69">
        <v>9</v>
      </c>
      <c r="F43" s="69">
        <v>4</v>
      </c>
      <c r="G43" s="69">
        <v>9</v>
      </c>
      <c r="H43" s="69">
        <v>8</v>
      </c>
      <c r="I43" s="69">
        <v>5</v>
      </c>
      <c r="J43" s="69">
        <v>6</v>
      </c>
      <c r="K43" s="75">
        <v>5</v>
      </c>
      <c r="L43" s="73">
        <f>SUM(B43:K43)</f>
        <v>63</v>
      </c>
    </row>
    <row r="44" spans="2:41" ht="15.75">
      <c r="B44" s="74">
        <v>4</v>
      </c>
      <c r="C44" s="69">
        <v>3</v>
      </c>
      <c r="D44" s="69">
        <v>8</v>
      </c>
      <c r="E44" s="69">
        <v>2</v>
      </c>
      <c r="F44" s="69">
        <v>9</v>
      </c>
      <c r="G44" s="69">
        <v>8</v>
      </c>
      <c r="H44" s="69">
        <v>5</v>
      </c>
      <c r="I44" s="69">
        <v>7</v>
      </c>
      <c r="J44" s="69">
        <v>8</v>
      </c>
      <c r="K44" s="75">
        <v>3</v>
      </c>
      <c r="L44" s="73">
        <f>SUM(B44:K44)</f>
        <v>57</v>
      </c>
    </row>
    <row r="45" spans="2:41" ht="15.75">
      <c r="B45" s="74">
        <v>4</v>
      </c>
      <c r="C45" s="69">
        <v>1</v>
      </c>
      <c r="D45" s="69">
        <v>7</v>
      </c>
      <c r="E45" s="69">
        <v>3</v>
      </c>
      <c r="F45" s="69">
        <v>3</v>
      </c>
      <c r="G45" s="69">
        <v>4</v>
      </c>
      <c r="H45" s="69">
        <v>9</v>
      </c>
      <c r="I45" s="69">
        <v>8</v>
      </c>
      <c r="J45" s="69">
        <v>0</v>
      </c>
      <c r="K45" s="75">
        <v>9</v>
      </c>
      <c r="L45" s="73">
        <f>SUM(B45:K45)</f>
        <v>48</v>
      </c>
    </row>
    <row r="46" spans="2:41" ht="15.75">
      <c r="B46" s="74">
        <v>0</v>
      </c>
      <c r="C46" s="69">
        <v>7</v>
      </c>
      <c r="D46" s="69">
        <v>4</v>
      </c>
      <c r="E46" s="69">
        <v>6</v>
      </c>
      <c r="F46" s="69">
        <v>6</v>
      </c>
      <c r="G46" s="69">
        <v>4</v>
      </c>
      <c r="H46" s="69">
        <v>2</v>
      </c>
      <c r="I46" s="69">
        <v>9</v>
      </c>
      <c r="J46" s="69">
        <v>6</v>
      </c>
      <c r="K46" s="75">
        <v>8</v>
      </c>
      <c r="L46" s="73">
        <f>SUM(B46:K46)</f>
        <v>52</v>
      </c>
    </row>
    <row r="47" spans="2:41" ht="15.75">
      <c r="B47" s="74">
        <v>0</v>
      </c>
      <c r="C47" s="69">
        <v>4</v>
      </c>
      <c r="D47" s="69">
        <v>8</v>
      </c>
      <c r="E47" s="69">
        <v>9</v>
      </c>
      <c r="F47" s="69">
        <v>9</v>
      </c>
      <c r="G47" s="69">
        <v>8</v>
      </c>
      <c r="H47" s="69">
        <v>8</v>
      </c>
      <c r="I47" s="69">
        <v>6</v>
      </c>
      <c r="J47" s="69">
        <v>7</v>
      </c>
      <c r="K47" s="75">
        <v>9</v>
      </c>
      <c r="L47" s="73">
        <f>SUM(B47:K47)</f>
        <v>68</v>
      </c>
    </row>
    <row r="48" spans="2:41" ht="16.5" thickBot="1">
      <c r="B48" s="76">
        <v>1</v>
      </c>
      <c r="C48" s="77">
        <v>5</v>
      </c>
      <c r="D48" s="77">
        <v>0</v>
      </c>
      <c r="E48" s="77">
        <v>3</v>
      </c>
      <c r="F48" s="77">
        <v>5</v>
      </c>
      <c r="G48" s="77">
        <v>4</v>
      </c>
      <c r="H48" s="77">
        <v>0</v>
      </c>
      <c r="I48" s="77">
        <v>1</v>
      </c>
      <c r="J48" s="77">
        <v>6</v>
      </c>
      <c r="K48" s="78">
        <v>9</v>
      </c>
      <c r="L48" s="73">
        <f>SUM(B48:K48)</f>
        <v>34</v>
      </c>
    </row>
    <row r="49" spans="2:17" ht="15.75">
      <c r="B49" s="73">
        <f>SUM(B39:B48)</f>
        <v>41</v>
      </c>
      <c r="C49" s="73">
        <f>SUM(C39:C48)</f>
        <v>49</v>
      </c>
      <c r="D49" s="73">
        <f>SUM(D39:D48)</f>
        <v>46</v>
      </c>
      <c r="E49" s="73">
        <f>SUM(E39:E48)</f>
        <v>64</v>
      </c>
      <c r="F49" s="73">
        <f>SUM(F39:F48)</f>
        <v>50</v>
      </c>
      <c r="G49" s="73">
        <f>SUM(G39:G48)</f>
        <v>49</v>
      </c>
      <c r="H49" s="73">
        <f>SUM(H39:H48)</f>
        <v>54</v>
      </c>
      <c r="I49" s="73">
        <f>SUM(I39:I48)</f>
        <v>49</v>
      </c>
      <c r="J49" s="73">
        <f>SUM(J39:J48)</f>
        <v>44</v>
      </c>
      <c r="K49" s="73">
        <f>SUM(K39:K48)</f>
        <v>65</v>
      </c>
      <c r="L49" s="73">
        <f>SUM(B49:K49)</f>
        <v>511</v>
      </c>
      <c r="M49" s="69" t="s">
        <v>994</v>
      </c>
      <c r="N49" s="69" t="s">
        <v>994</v>
      </c>
      <c r="O49" s="69" t="s">
        <v>994</v>
      </c>
      <c r="P49" s="69" t="s">
        <v>994</v>
      </c>
      <c r="Q49" s="10572"/>
    </row>
    <row r="1000" spans="648:648" ht="15.75">
      <c r="XX1000" s="10641">
        <v>125713</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30FB7-D098-4BAE-90F1-F4AD48CD1CE2}">
  <sheetPr codeName="Sheet12">
    <tabColor rgb="FF001838"/>
  </sheetPr>
  <dimension ref="A1:AP37"/>
  <sheetViews>
    <sheetView showGridLines="0" zoomScale="70" zoomScaleNormal="70" workbookViewId="0">
      <selection activeCell="AK1" sqref="AK1"/>
    </sheetView>
  </sheetViews>
  <sheetFormatPr defaultColWidth="0" defaultRowHeight="15.75" zeroHeight="1"/>
  <cols>
    <col min="1" max="42" width="3.85546875" style="52" customWidth="1"/>
    <col min="43" max="16384" width="4.42578125" style="52" hidden="1"/>
  </cols>
  <sheetData>
    <row r="1" spans="1:42">
      <c r="A1" s="146" t="s">
        <v>995</v>
      </c>
      <c r="B1" s="79"/>
      <c r="C1" s="80"/>
      <c r="D1" s="81"/>
      <c r="E1" s="82"/>
      <c r="F1" s="83"/>
      <c r="G1" s="84"/>
      <c r="H1" s="85"/>
      <c r="I1" s="86"/>
      <c r="J1" s="87"/>
      <c r="K1" s="88"/>
      <c r="L1" s="89"/>
      <c r="M1" s="90"/>
      <c r="N1" s="91"/>
      <c r="O1" s="92"/>
      <c r="P1" s="93"/>
      <c r="Q1" s="94"/>
      <c r="R1" s="95"/>
      <c r="S1" s="87"/>
      <c r="T1" s="96"/>
      <c r="U1" s="97"/>
      <c r="V1" s="98"/>
      <c r="W1" s="99"/>
      <c r="X1" s="100"/>
      <c r="Y1" s="101"/>
      <c r="Z1" s="102"/>
      <c r="AA1" s="103"/>
      <c r="AB1" s="104"/>
      <c r="AC1" s="105"/>
      <c r="AD1" s="106"/>
      <c r="AE1" s="107"/>
      <c r="AF1" s="108"/>
      <c r="AG1" s="109"/>
      <c r="AH1" s="110"/>
      <c r="AI1" s="111"/>
      <c r="AJ1" s="112"/>
      <c r="AK1" s="113" t="s">
        <v>993</v>
      </c>
      <c r="AL1" s="114"/>
      <c r="AM1" s="115"/>
      <c r="AN1" s="116"/>
      <c r="AO1" s="117"/>
      <c r="AP1" s="118"/>
    </row>
    <row r="2" spans="1:42">
      <c r="A2" s="146" t="s">
        <v>995</v>
      </c>
      <c r="B2" s="120"/>
      <c r="C2" s="120"/>
      <c r="D2" s="121"/>
      <c r="E2" s="122"/>
      <c r="F2" s="123"/>
      <c r="G2" s="124"/>
      <c r="H2" s="125"/>
      <c r="I2" s="126"/>
      <c r="J2" s="127"/>
      <c r="K2" s="128"/>
      <c r="L2" s="129"/>
      <c r="M2" s="130"/>
      <c r="N2" s="131"/>
      <c r="O2" s="132"/>
      <c r="P2" s="93"/>
      <c r="Q2" s="93"/>
      <c r="R2" s="133"/>
      <c r="S2" s="134"/>
      <c r="T2" s="135"/>
      <c r="U2" s="136"/>
      <c r="V2" s="91"/>
      <c r="W2" s="137"/>
      <c r="X2" s="138"/>
      <c r="Y2" s="139"/>
      <c r="Z2" s="98"/>
      <c r="AA2" s="104"/>
      <c r="AB2" s="98"/>
      <c r="AC2" s="136"/>
      <c r="AD2" s="140"/>
      <c r="AE2" s="131"/>
      <c r="AF2" s="141"/>
      <c r="AG2" s="142"/>
      <c r="AH2" s="143"/>
      <c r="AI2" s="144"/>
      <c r="AJ2" s="145"/>
      <c r="AK2" s="146" t="s">
        <v>993</v>
      </c>
      <c r="AL2" s="147"/>
      <c r="AM2" s="148"/>
      <c r="AN2" s="149"/>
      <c r="AO2" s="150"/>
      <c r="AP2" s="151"/>
    </row>
    <row r="3" spans="1:42">
      <c r="A3" s="146" t="s">
        <v>995</v>
      </c>
      <c r="B3" s="152"/>
      <c r="C3" s="153"/>
      <c r="D3" s="154"/>
      <c r="E3" s="155"/>
      <c r="F3" s="156"/>
      <c r="G3" s="157"/>
      <c r="H3" s="158"/>
      <c r="I3" s="159"/>
      <c r="J3" s="160"/>
      <c r="K3" s="161"/>
      <c r="L3" s="92"/>
      <c r="M3" s="162"/>
      <c r="N3" s="163"/>
      <c r="O3" s="164"/>
      <c r="P3" s="133"/>
      <c r="Q3" s="96"/>
      <c r="R3" s="165"/>
      <c r="S3" s="166"/>
      <c r="T3" s="167"/>
      <c r="U3" s="168"/>
      <c r="V3" s="96"/>
      <c r="W3" s="169"/>
      <c r="X3" s="170"/>
      <c r="Y3" s="132"/>
      <c r="Z3" s="132"/>
      <c r="AA3" s="96"/>
      <c r="AB3" s="138"/>
      <c r="AC3" s="163"/>
      <c r="AD3" s="92"/>
      <c r="AE3" s="97"/>
      <c r="AF3" s="90"/>
      <c r="AG3" s="104"/>
      <c r="AH3" s="171"/>
      <c r="AI3" s="107"/>
      <c r="AJ3" s="172"/>
      <c r="AK3" s="146" t="s">
        <v>993</v>
      </c>
      <c r="AL3" s="173"/>
      <c r="AM3" s="174"/>
      <c r="AN3" s="175"/>
      <c r="AO3" s="176"/>
      <c r="AP3" s="177"/>
    </row>
    <row r="4" spans="1:42">
      <c r="A4" s="146" t="s">
        <v>995</v>
      </c>
      <c r="B4" s="160"/>
      <c r="C4" s="179"/>
      <c r="D4" s="119"/>
      <c r="E4" s="179"/>
      <c r="F4" s="180"/>
      <c r="G4" s="181"/>
      <c r="H4" s="181"/>
      <c r="I4" s="179"/>
      <c r="J4" s="123"/>
      <c r="K4" s="182"/>
      <c r="L4" s="133"/>
      <c r="M4" s="170"/>
      <c r="N4" s="170"/>
      <c r="O4" s="183"/>
      <c r="P4" s="127"/>
      <c r="Q4" s="184"/>
      <c r="R4" s="185"/>
      <c r="S4" s="186"/>
      <c r="T4" s="187"/>
      <c r="U4" s="188"/>
      <c r="V4" s="189"/>
      <c r="W4" s="190"/>
      <c r="X4" s="191"/>
      <c r="Y4" s="161"/>
      <c r="Z4" s="96"/>
      <c r="AA4" s="132"/>
      <c r="AB4" s="165"/>
      <c r="AC4" s="132"/>
      <c r="AD4" s="192"/>
      <c r="AE4" s="193"/>
      <c r="AF4" s="194"/>
      <c r="AG4" s="102"/>
      <c r="AH4" s="171"/>
      <c r="AI4" s="195"/>
      <c r="AJ4" s="196"/>
      <c r="AK4" s="146" t="s">
        <v>993</v>
      </c>
      <c r="AL4" s="197"/>
      <c r="AM4" s="198"/>
      <c r="AN4" s="199"/>
      <c r="AO4" s="200"/>
      <c r="AP4" s="201"/>
    </row>
    <row r="5" spans="1:42">
      <c r="A5" s="146" t="s">
        <v>995</v>
      </c>
      <c r="B5" s="157"/>
      <c r="C5" s="203"/>
      <c r="D5" s="204"/>
      <c r="E5" s="181"/>
      <c r="F5" s="181"/>
      <c r="G5" s="179"/>
      <c r="H5" s="178"/>
      <c r="I5" s="155"/>
      <c r="J5" s="205"/>
      <c r="K5" s="179"/>
      <c r="L5" s="206"/>
      <c r="M5" s="154"/>
      <c r="N5" s="207"/>
      <c r="O5" s="208"/>
      <c r="P5" s="209"/>
      <c r="Q5" s="210"/>
      <c r="R5" s="211"/>
      <c r="S5" s="212"/>
      <c r="T5" s="213"/>
      <c r="U5" s="214"/>
      <c r="V5" s="215"/>
      <c r="W5" s="216"/>
      <c r="X5" s="217"/>
      <c r="Y5" s="218"/>
      <c r="Z5" s="219"/>
      <c r="AA5" s="132"/>
      <c r="AB5" s="132"/>
      <c r="AC5" s="93"/>
      <c r="AD5" s="220"/>
      <c r="AE5" s="168"/>
      <c r="AF5" s="221"/>
      <c r="AG5" s="222"/>
      <c r="AH5" s="223"/>
      <c r="AI5" s="224"/>
      <c r="AJ5" s="225"/>
      <c r="AK5" s="146" t="s">
        <v>993</v>
      </c>
      <c r="AL5" s="226"/>
      <c r="AM5" s="227"/>
      <c r="AN5" s="228"/>
      <c r="AO5" s="229"/>
      <c r="AP5" s="230"/>
    </row>
    <row r="6" spans="1:42">
      <c r="A6" s="146" t="s">
        <v>995</v>
      </c>
      <c r="B6" s="203"/>
      <c r="C6" s="164"/>
      <c r="D6" s="232"/>
      <c r="E6" s="86"/>
      <c r="F6" s="233"/>
      <c r="G6" s="159"/>
      <c r="H6" s="122"/>
      <c r="I6" s="119"/>
      <c r="J6" s="121"/>
      <c r="K6" s="234"/>
      <c r="L6" s="205"/>
      <c r="M6" s="235"/>
      <c r="N6" s="236"/>
      <c r="O6" s="237"/>
      <c r="P6" s="238"/>
      <c r="Q6" s="239"/>
      <c r="R6" s="240"/>
      <c r="S6" s="241"/>
      <c r="T6" s="242"/>
      <c r="U6" s="243"/>
      <c r="V6" s="244"/>
      <c r="W6" s="245"/>
      <c r="X6" s="246"/>
      <c r="Y6" s="247"/>
      <c r="Z6" s="96"/>
      <c r="AA6" s="248"/>
      <c r="AB6" s="249"/>
      <c r="AC6" s="250"/>
      <c r="AD6" s="251"/>
      <c r="AE6" s="136"/>
      <c r="AF6" s="102"/>
      <c r="AG6" s="222"/>
      <c r="AH6" s="223"/>
      <c r="AI6" s="252"/>
      <c r="AJ6" s="253"/>
      <c r="AK6" s="146" t="s">
        <v>993</v>
      </c>
      <c r="AL6" s="254"/>
      <c r="AM6" s="255"/>
      <c r="AN6" s="256"/>
      <c r="AO6" s="257"/>
      <c r="AP6" s="258"/>
    </row>
    <row r="7" spans="1:42">
      <c r="A7" s="146" t="s">
        <v>995</v>
      </c>
      <c r="B7" s="259"/>
      <c r="C7" s="183"/>
      <c r="D7" s="85"/>
      <c r="E7" s="260"/>
      <c r="F7" s="123"/>
      <c r="G7" s="261"/>
      <c r="H7" s="262"/>
      <c r="I7" s="119"/>
      <c r="J7" s="263"/>
      <c r="K7" s="178"/>
      <c r="L7" s="264"/>
      <c r="M7" s="265"/>
      <c r="N7" s="266"/>
      <c r="O7" s="267"/>
      <c r="P7" s="73" t="s">
        <v>994</v>
      </c>
      <c r="Q7" s="268" t="s">
        <v>994</v>
      </c>
      <c r="R7" s="268" t="s">
        <v>994</v>
      </c>
      <c r="S7" s="268" t="s">
        <v>994</v>
      </c>
      <c r="T7" s="268" t="s">
        <v>994</v>
      </c>
      <c r="U7" s="268" t="s">
        <v>994</v>
      </c>
      <c r="V7" s="113" t="s">
        <v>995</v>
      </c>
      <c r="W7" s="269"/>
      <c r="X7" s="270"/>
      <c r="Y7" s="271"/>
      <c r="Z7" s="272"/>
      <c r="AA7" s="273"/>
      <c r="AB7" s="274"/>
      <c r="AC7" s="275"/>
      <c r="AD7" s="276"/>
      <c r="AE7" s="99"/>
      <c r="AF7" s="277"/>
      <c r="AG7" s="223"/>
      <c r="AH7" s="278"/>
      <c r="AI7" s="252"/>
      <c r="AJ7" s="279"/>
      <c r="AK7" s="146" t="s">
        <v>993</v>
      </c>
      <c r="AL7" s="280"/>
      <c r="AM7" s="281"/>
      <c r="AN7" s="282"/>
      <c r="AO7" s="117"/>
      <c r="AP7" s="283"/>
    </row>
    <row r="8" spans="1:42">
      <c r="A8" s="146" t="s">
        <v>995</v>
      </c>
      <c r="B8" s="284"/>
      <c r="C8" s="154"/>
      <c r="D8" s="285"/>
      <c r="E8" s="179"/>
      <c r="F8" s="206"/>
      <c r="G8" s="206"/>
      <c r="H8" s="179"/>
      <c r="I8" s="153"/>
      <c r="J8" s="286"/>
      <c r="K8" s="287"/>
      <c r="L8" s="288"/>
      <c r="M8" s="289"/>
      <c r="N8" s="290"/>
      <c r="O8" s="291"/>
      <c r="P8" s="146" t="s">
        <v>993</v>
      </c>
      <c r="Q8" s="292"/>
      <c r="R8" s="293"/>
      <c r="S8" s="294"/>
      <c r="T8" s="295"/>
      <c r="U8" s="296"/>
      <c r="V8" s="146" t="s">
        <v>995</v>
      </c>
      <c r="W8" s="297"/>
      <c r="X8" s="298"/>
      <c r="Y8" s="299"/>
      <c r="Z8" s="300"/>
      <c r="AA8" s="301"/>
      <c r="AB8" s="302"/>
      <c r="AC8" s="303"/>
      <c r="AD8" s="304"/>
      <c r="AE8" s="305"/>
      <c r="AF8" s="306"/>
      <c r="AG8" s="307"/>
      <c r="AH8" s="308"/>
      <c r="AI8" s="309"/>
      <c r="AJ8" s="310"/>
      <c r="AK8" s="146" t="s">
        <v>993</v>
      </c>
      <c r="AL8" s="311"/>
      <c r="AM8" s="312"/>
      <c r="AN8" s="313"/>
      <c r="AO8" s="314"/>
      <c r="AP8" s="315"/>
    </row>
    <row r="9" spans="1:42">
      <c r="A9" s="146" t="s">
        <v>995</v>
      </c>
      <c r="B9" s="204"/>
      <c r="C9" s="316"/>
      <c r="D9" s="181"/>
      <c r="E9" s="156"/>
      <c r="F9" s="317"/>
      <c r="G9" s="178"/>
      <c r="H9" s="318"/>
      <c r="I9" s="319"/>
      <c r="J9" s="319"/>
      <c r="K9" s="319"/>
      <c r="L9" s="320"/>
      <c r="M9" s="321"/>
      <c r="N9" s="322"/>
      <c r="O9" s="323"/>
      <c r="P9" s="146" t="s">
        <v>993</v>
      </c>
      <c r="Q9" s="324"/>
      <c r="R9" s="325"/>
      <c r="S9" s="326"/>
      <c r="T9" s="327"/>
      <c r="U9" s="328"/>
      <c r="V9" s="146" t="s">
        <v>995</v>
      </c>
      <c r="W9" s="329"/>
      <c r="X9" s="330"/>
      <c r="Y9" s="331"/>
      <c r="Z9" s="332"/>
      <c r="AA9" s="333"/>
      <c r="AB9" s="334"/>
      <c r="AC9" s="335"/>
      <c r="AD9" s="336"/>
      <c r="AE9" s="337"/>
      <c r="AF9" s="338"/>
      <c r="AG9" s="161"/>
      <c r="AH9" s="149"/>
      <c r="AI9" s="339"/>
      <c r="AJ9" s="340"/>
      <c r="AK9" s="146" t="s">
        <v>993</v>
      </c>
      <c r="AL9" s="341"/>
      <c r="AM9" s="342"/>
      <c r="AN9" s="343"/>
      <c r="AO9" s="344"/>
      <c r="AP9" s="345"/>
    </row>
    <row r="10" spans="1:42">
      <c r="A10" s="146" t="s">
        <v>995</v>
      </c>
      <c r="B10" s="346"/>
      <c r="C10" s="347"/>
      <c r="D10" s="347"/>
      <c r="E10" s="348"/>
      <c r="F10" s="154"/>
      <c r="G10" s="154"/>
      <c r="H10" s="349"/>
      <c r="I10" s="350"/>
      <c r="J10" s="84"/>
      <c r="K10" s="260"/>
      <c r="L10" s="351"/>
      <c r="M10" s="352"/>
      <c r="N10" s="353"/>
      <c r="O10" s="354"/>
      <c r="P10" s="146" t="s">
        <v>993</v>
      </c>
      <c r="Q10" s="355"/>
      <c r="R10" s="356"/>
      <c r="S10" s="357"/>
      <c r="T10" s="358"/>
      <c r="U10" s="359"/>
      <c r="V10" s="146" t="s">
        <v>995</v>
      </c>
      <c r="W10" s="360"/>
      <c r="X10" s="361"/>
      <c r="Y10" s="362"/>
      <c r="Z10" s="363"/>
      <c r="AA10" s="364"/>
      <c r="AB10" s="365"/>
      <c r="AC10" s="366"/>
      <c r="AD10" s="367"/>
      <c r="AE10" s="368"/>
      <c r="AF10" s="271"/>
      <c r="AG10" s="369"/>
      <c r="AH10" s="370"/>
      <c r="AI10" s="371"/>
      <c r="AJ10" s="372"/>
      <c r="AK10" s="146" t="s">
        <v>993</v>
      </c>
      <c r="AL10" s="373"/>
      <c r="AM10" s="374"/>
      <c r="AN10" s="375"/>
      <c r="AO10" s="376"/>
      <c r="AP10" s="307"/>
    </row>
    <row r="11" spans="1:42">
      <c r="A11" s="146" t="s">
        <v>995</v>
      </c>
      <c r="B11" s="377"/>
      <c r="C11" s="378"/>
      <c r="D11" s="235"/>
      <c r="E11" s="125"/>
      <c r="F11" s="379"/>
      <c r="G11" s="380"/>
      <c r="H11" s="284"/>
      <c r="I11" s="180"/>
      <c r="J11" s="381"/>
      <c r="K11" s="382"/>
      <c r="L11" s="383"/>
      <c r="M11" s="384"/>
      <c r="N11" s="385"/>
      <c r="O11" s="386"/>
      <c r="P11" s="146" t="s">
        <v>993</v>
      </c>
      <c r="Q11" s="387"/>
      <c r="R11" s="388"/>
      <c r="S11" s="389"/>
      <c r="T11" s="390"/>
      <c r="U11" s="391"/>
      <c r="V11" s="146" t="s">
        <v>995</v>
      </c>
      <c r="W11" s="392"/>
      <c r="X11" s="393"/>
      <c r="Y11" s="394"/>
      <c r="Z11" s="395"/>
      <c r="AA11" s="396"/>
      <c r="AB11" s="397"/>
      <c r="AC11" s="398"/>
      <c r="AD11" s="399"/>
      <c r="AE11" s="400"/>
      <c r="AF11" s="401"/>
      <c r="AG11" s="402"/>
      <c r="AH11" s="403"/>
      <c r="AI11" s="404"/>
      <c r="AJ11" s="405"/>
      <c r="AK11" s="146" t="s">
        <v>993</v>
      </c>
      <c r="AL11" s="406"/>
      <c r="AM11" s="407"/>
      <c r="AN11" s="408"/>
      <c r="AO11" s="409"/>
      <c r="AP11" s="410"/>
    </row>
    <row r="12" spans="1:42">
      <c r="A12" s="146" t="s">
        <v>995</v>
      </c>
      <c r="B12" s="411"/>
      <c r="C12" s="412"/>
      <c r="D12" s="413"/>
      <c r="E12" s="202"/>
      <c r="F12" s="414"/>
      <c r="G12" s="156"/>
      <c r="H12" s="415"/>
      <c r="I12" s="416"/>
      <c r="J12" s="417"/>
      <c r="K12" s="418"/>
      <c r="L12" s="419"/>
      <c r="M12" s="420"/>
      <c r="N12" s="421"/>
      <c r="O12" s="422"/>
      <c r="P12" s="146" t="s">
        <v>993</v>
      </c>
      <c r="Q12" s="423"/>
      <c r="R12" s="424"/>
      <c r="S12" s="425"/>
      <c r="T12" s="426"/>
      <c r="U12" s="427"/>
      <c r="V12" s="146" t="s">
        <v>995</v>
      </c>
      <c r="W12" s="428"/>
      <c r="X12" s="429"/>
      <c r="Y12" s="430"/>
      <c r="Z12" s="431"/>
      <c r="AA12" s="432"/>
      <c r="AB12" s="433"/>
      <c r="AC12" s="434"/>
      <c r="AD12" s="435"/>
      <c r="AE12" s="436"/>
      <c r="AF12" s="437"/>
      <c r="AG12" s="438"/>
      <c r="AH12" s="439"/>
      <c r="AI12" s="440"/>
      <c r="AJ12" s="441"/>
      <c r="AK12" s="146" t="s">
        <v>993</v>
      </c>
      <c r="AL12" s="442"/>
      <c r="AM12" s="443"/>
      <c r="AN12" s="444"/>
      <c r="AO12" s="445"/>
      <c r="AP12" s="446"/>
    </row>
    <row r="13" spans="1:42">
      <c r="A13" s="73" t="s">
        <v>994</v>
      </c>
      <c r="B13" s="268" t="s">
        <v>994</v>
      </c>
      <c r="C13" s="268" t="s">
        <v>994</v>
      </c>
      <c r="D13" s="113" t="s">
        <v>995</v>
      </c>
      <c r="E13" s="447"/>
      <c r="F13" s="156"/>
      <c r="G13" s="448"/>
      <c r="H13" s="449"/>
      <c r="I13" s="450"/>
      <c r="J13" s="451"/>
      <c r="K13" s="452"/>
      <c r="L13" s="453"/>
      <c r="M13" s="454"/>
      <c r="N13" s="455"/>
      <c r="O13" s="456"/>
      <c r="P13" s="146" t="s">
        <v>993</v>
      </c>
      <c r="Q13" s="457"/>
      <c r="R13" s="458"/>
      <c r="S13" s="459"/>
      <c r="T13" s="460"/>
      <c r="U13" s="326"/>
      <c r="V13" s="146" t="s">
        <v>995</v>
      </c>
      <c r="W13" s="461"/>
      <c r="X13" s="462"/>
      <c r="Y13" s="463"/>
      <c r="Z13" s="464"/>
      <c r="AA13" s="465"/>
      <c r="AB13" s="466"/>
      <c r="AC13" s="467"/>
      <c r="AD13" s="468"/>
      <c r="AE13" s="469"/>
      <c r="AF13" s="470"/>
      <c r="AG13" s="471"/>
      <c r="AH13" s="472"/>
      <c r="AI13" s="473"/>
      <c r="AJ13" s="474"/>
      <c r="AK13" s="146" t="s">
        <v>993</v>
      </c>
      <c r="AL13" s="475"/>
      <c r="AM13" s="476"/>
      <c r="AN13" s="477"/>
      <c r="AO13" s="478"/>
      <c r="AP13" s="479"/>
    </row>
    <row r="14" spans="1:42">
      <c r="A14" s="480"/>
      <c r="B14" s="481"/>
      <c r="C14" s="482"/>
      <c r="D14" s="146" t="s">
        <v>995</v>
      </c>
      <c r="E14" s="483"/>
      <c r="F14" s="484"/>
      <c r="G14" s="231"/>
      <c r="H14" s="485"/>
      <c r="I14" s="486"/>
      <c r="J14" s="487"/>
      <c r="K14" s="488"/>
      <c r="L14" s="489"/>
      <c r="M14" s="490"/>
      <c r="N14" s="491"/>
      <c r="O14" s="492"/>
      <c r="P14" s="146" t="s">
        <v>993</v>
      </c>
      <c r="Q14" s="493"/>
      <c r="R14" s="494"/>
      <c r="S14" s="495"/>
      <c r="T14" s="496"/>
      <c r="U14" s="497"/>
      <c r="V14" s="146" t="s">
        <v>995</v>
      </c>
      <c r="W14" s="498"/>
      <c r="X14" s="499"/>
      <c r="Y14" s="500"/>
      <c r="Z14" s="501"/>
      <c r="AA14" s="502"/>
      <c r="AB14" s="503"/>
      <c r="AC14" s="504"/>
      <c r="AD14" s="73" t="s">
        <v>994</v>
      </c>
      <c r="AE14" s="268" t="s">
        <v>994</v>
      </c>
      <c r="AF14" s="268" t="s">
        <v>994</v>
      </c>
      <c r="AG14" s="268" t="s">
        <v>994</v>
      </c>
      <c r="AH14" s="268" t="s">
        <v>994</v>
      </c>
      <c r="AI14" s="268" t="s">
        <v>994</v>
      </c>
      <c r="AJ14" s="268" t="s">
        <v>994</v>
      </c>
      <c r="AK14" s="113" t="s">
        <v>993</v>
      </c>
      <c r="AL14" s="505"/>
      <c r="AM14" s="506"/>
      <c r="AN14" s="507"/>
      <c r="AO14" s="508"/>
      <c r="AP14" s="509"/>
    </row>
    <row r="15" spans="1:42">
      <c r="A15" s="510"/>
      <c r="B15" s="511"/>
      <c r="C15" s="512"/>
      <c r="D15" s="146" t="s">
        <v>995</v>
      </c>
      <c r="E15" s="513"/>
      <c r="F15" s="514"/>
      <c r="G15" s="515"/>
      <c r="H15" s="516"/>
      <c r="I15" s="517"/>
      <c r="J15" s="518"/>
      <c r="K15" s="519"/>
      <c r="L15" s="520"/>
      <c r="M15" s="521"/>
      <c r="N15" s="522"/>
      <c r="O15" s="523"/>
      <c r="P15" s="146" t="s">
        <v>993</v>
      </c>
      <c r="Q15" s="524"/>
      <c r="R15" s="525"/>
      <c r="S15" s="526"/>
      <c r="T15" s="527"/>
      <c r="U15" s="528"/>
      <c r="V15" s="146" t="s">
        <v>995</v>
      </c>
      <c r="W15" s="529"/>
      <c r="X15" s="530"/>
      <c r="Y15" s="531"/>
      <c r="Z15" s="532"/>
      <c r="AA15" s="533"/>
      <c r="AB15" s="534"/>
      <c r="AC15" s="535"/>
      <c r="AD15" s="146" t="s">
        <v>993</v>
      </c>
      <c r="AE15" s="536"/>
      <c r="AF15" s="537"/>
      <c r="AG15" s="538"/>
      <c r="AH15" s="539"/>
      <c r="AI15" s="540"/>
      <c r="AJ15" s="541"/>
      <c r="AK15" s="542"/>
      <c r="AL15" s="543"/>
      <c r="AM15" s="544"/>
      <c r="AN15" s="545"/>
      <c r="AO15" s="546"/>
      <c r="AP15" s="547"/>
    </row>
    <row r="16" spans="1:42">
      <c r="A16" s="548"/>
      <c r="B16" s="549"/>
      <c r="C16" s="550"/>
      <c r="D16" s="146" t="s">
        <v>995</v>
      </c>
      <c r="E16" s="551"/>
      <c r="F16" s="552"/>
      <c r="G16" s="553"/>
      <c r="H16" s="449"/>
      <c r="I16" s="554"/>
      <c r="J16" s="555"/>
      <c r="K16" s="556"/>
      <c r="L16" s="557"/>
      <c r="M16" s="558"/>
      <c r="N16" s="559"/>
      <c r="O16" s="560"/>
      <c r="P16" s="146" t="s">
        <v>993</v>
      </c>
      <c r="Q16" s="561"/>
      <c r="R16" s="562"/>
      <c r="S16" s="563"/>
      <c r="T16" s="564"/>
      <c r="U16" s="565"/>
      <c r="V16" s="146" t="s">
        <v>995</v>
      </c>
      <c r="W16" s="566"/>
      <c r="X16" s="567"/>
      <c r="Y16" s="568"/>
      <c r="Z16" s="569"/>
      <c r="AA16" s="570"/>
      <c r="AB16" s="571"/>
      <c r="AC16" s="572"/>
      <c r="AD16" s="146" t="s">
        <v>993</v>
      </c>
      <c r="AE16" s="573"/>
      <c r="AF16" s="574"/>
      <c r="AG16" s="575"/>
      <c r="AH16" s="576"/>
      <c r="AI16" s="577"/>
      <c r="AJ16" s="578"/>
      <c r="AK16" s="579"/>
      <c r="AL16" s="580"/>
      <c r="AM16" s="581"/>
      <c r="AN16" s="582"/>
      <c r="AO16" s="583"/>
      <c r="AP16" s="584"/>
    </row>
    <row r="17" spans="1:42">
      <c r="A17" s="585"/>
      <c r="B17" s="586"/>
      <c r="C17" s="587"/>
      <c r="D17" s="146" t="s">
        <v>995</v>
      </c>
      <c r="E17" s="588"/>
      <c r="F17" s="589"/>
      <c r="G17" s="590"/>
      <c r="H17" s="591"/>
      <c r="I17" s="592"/>
      <c r="J17" s="593"/>
      <c r="K17" s="594"/>
      <c r="L17" s="595"/>
      <c r="M17" s="596"/>
      <c r="N17" s="597"/>
      <c r="O17" s="598"/>
      <c r="P17" s="146" t="s">
        <v>993</v>
      </c>
      <c r="Q17" s="599"/>
      <c r="R17" s="600"/>
      <c r="S17" s="601"/>
      <c r="T17" s="602"/>
      <c r="U17" s="603"/>
      <c r="V17" s="146" t="s">
        <v>995</v>
      </c>
      <c r="W17" s="604"/>
      <c r="X17" s="605"/>
      <c r="Y17" s="606"/>
      <c r="Z17" s="607"/>
      <c r="AA17" s="608"/>
      <c r="AB17" s="609"/>
      <c r="AC17" s="610"/>
      <c r="AD17" s="146" t="s">
        <v>993</v>
      </c>
      <c r="AE17" s="611"/>
      <c r="AF17" s="612"/>
      <c r="AG17" s="609"/>
      <c r="AH17" s="613"/>
      <c r="AI17" s="614"/>
      <c r="AJ17" s="615"/>
      <c r="AK17" s="616"/>
      <c r="AL17" s="617"/>
      <c r="AM17" s="618"/>
      <c r="AN17" s="619"/>
      <c r="AO17" s="620"/>
      <c r="AP17" s="621"/>
    </row>
    <row r="18" spans="1:42">
      <c r="A18" s="622"/>
      <c r="B18" s="623"/>
      <c r="C18" s="624"/>
      <c r="D18" s="73" t="s">
        <v>994</v>
      </c>
      <c r="E18" s="268" t="s">
        <v>994</v>
      </c>
      <c r="F18" s="268" t="s">
        <v>994</v>
      </c>
      <c r="G18" s="268" t="s">
        <v>994</v>
      </c>
      <c r="H18" s="268" t="s">
        <v>994</v>
      </c>
      <c r="I18" s="268" t="s">
        <v>994</v>
      </c>
      <c r="J18" s="268" t="s">
        <v>994</v>
      </c>
      <c r="K18" s="268" t="s">
        <v>994</v>
      </c>
      <c r="L18" s="268" t="s">
        <v>994</v>
      </c>
      <c r="M18" s="268" t="s">
        <v>994</v>
      </c>
      <c r="N18" s="268" t="s">
        <v>994</v>
      </c>
      <c r="O18" s="268" t="s">
        <v>994</v>
      </c>
      <c r="P18" s="113" t="s">
        <v>993</v>
      </c>
      <c r="Q18" s="625"/>
      <c r="R18" s="626"/>
      <c r="S18" s="627"/>
      <c r="T18" s="628"/>
      <c r="U18" s="629"/>
      <c r="V18" s="146" t="s">
        <v>995</v>
      </c>
      <c r="W18" s="630"/>
      <c r="X18" s="631"/>
      <c r="Y18" s="632"/>
      <c r="Z18" s="633"/>
      <c r="AA18" s="634"/>
      <c r="AB18" s="635"/>
      <c r="AC18" s="636"/>
      <c r="AD18" s="146" t="s">
        <v>993</v>
      </c>
      <c r="AE18" s="637"/>
      <c r="AF18" s="638"/>
      <c r="AG18" s="639"/>
      <c r="AH18" s="640"/>
      <c r="AI18" s="641"/>
      <c r="AJ18" s="642"/>
      <c r="AK18" s="643"/>
      <c r="AL18" s="644"/>
      <c r="AM18" s="645"/>
      <c r="AN18" s="646"/>
      <c r="AO18" s="647"/>
      <c r="AP18" s="648"/>
    </row>
    <row r="19" spans="1:42">
      <c r="A19" s="649"/>
      <c r="B19" s="650"/>
      <c r="C19" s="651"/>
      <c r="D19" s="652"/>
      <c r="E19" s="653"/>
      <c r="F19" s="654"/>
      <c r="G19" s="655"/>
      <c r="H19" s="656"/>
      <c r="I19" s="656"/>
      <c r="J19" s="657"/>
      <c r="K19" s="658"/>
      <c r="L19" s="659"/>
      <c r="M19" s="660"/>
      <c r="N19" s="661"/>
      <c r="O19" s="662"/>
      <c r="P19" s="663"/>
      <c r="Q19" s="664"/>
      <c r="R19" s="665"/>
      <c r="S19" s="666"/>
      <c r="T19" s="667"/>
      <c r="U19" s="668"/>
      <c r="V19" s="146" t="s">
        <v>995</v>
      </c>
      <c r="W19" s="669"/>
      <c r="X19" s="670"/>
      <c r="Y19" s="671"/>
      <c r="Z19" s="672"/>
      <c r="AA19" s="673"/>
      <c r="AB19" s="674"/>
      <c r="AC19" s="610"/>
      <c r="AD19" s="146" t="s">
        <v>993</v>
      </c>
      <c r="AE19" s="674"/>
      <c r="AF19" s="671"/>
      <c r="AG19" s="675"/>
      <c r="AH19" s="676"/>
      <c r="AI19" s="677"/>
      <c r="AJ19" s="678"/>
      <c r="AK19" s="679"/>
      <c r="AL19" s="680"/>
      <c r="AM19" s="681"/>
      <c r="AN19" s="682"/>
      <c r="AO19" s="683"/>
      <c r="AP19" s="684"/>
    </row>
    <row r="20" spans="1:42">
      <c r="A20" s="685"/>
      <c r="B20" s="686"/>
      <c r="C20" s="687"/>
      <c r="D20" s="688"/>
      <c r="E20" s="689"/>
      <c r="F20" s="690"/>
      <c r="G20" s="691"/>
      <c r="H20" s="692"/>
      <c r="I20" s="693"/>
      <c r="J20" s="694"/>
      <c r="K20" s="695"/>
      <c r="L20" s="696"/>
      <c r="M20" s="697"/>
      <c r="N20" s="698"/>
      <c r="O20" s="699"/>
      <c r="P20" s="700"/>
      <c r="Q20" s="701"/>
      <c r="R20" s="702"/>
      <c r="S20" s="703"/>
      <c r="T20" s="704"/>
      <c r="U20" s="705"/>
      <c r="V20" s="146" t="s">
        <v>995</v>
      </c>
      <c r="W20" s="706"/>
      <c r="X20" s="636"/>
      <c r="Y20" s="707"/>
      <c r="Z20" s="708"/>
      <c r="AA20" s="709"/>
      <c r="AB20" s="710"/>
      <c r="AC20" s="711"/>
      <c r="AD20" s="146" t="s">
        <v>993</v>
      </c>
      <c r="AE20" s="712"/>
      <c r="AF20" s="713"/>
      <c r="AG20" s="714"/>
      <c r="AH20" s="715"/>
      <c r="AI20" s="716"/>
      <c r="AJ20" s="711"/>
      <c r="AK20" s="717"/>
      <c r="AL20" s="718"/>
      <c r="AM20" s="719"/>
      <c r="AN20" s="647"/>
      <c r="AO20" s="720"/>
      <c r="AP20" s="721"/>
    </row>
    <row r="21" spans="1:42">
      <c r="A21" s="722"/>
      <c r="B21" s="723"/>
      <c r="C21" s="724"/>
      <c r="D21" s="725"/>
      <c r="E21" s="726"/>
      <c r="F21" s="727"/>
      <c r="G21" s="728"/>
      <c r="H21" s="729"/>
      <c r="I21" s="730"/>
      <c r="J21" s="731"/>
      <c r="K21" s="732"/>
      <c r="L21" s="733"/>
      <c r="M21" s="734"/>
      <c r="N21" s="735"/>
      <c r="O21" s="736"/>
      <c r="P21" s="737"/>
      <c r="Q21" s="738"/>
      <c r="R21" s="739"/>
      <c r="S21" s="740"/>
      <c r="T21" s="741"/>
      <c r="U21" s="742"/>
      <c r="V21" s="146" t="s">
        <v>995</v>
      </c>
      <c r="W21" s="743"/>
      <c r="X21" s="612"/>
      <c r="Y21" s="744"/>
      <c r="Z21" s="745"/>
      <c r="AA21" s="711"/>
      <c r="AB21" s="713"/>
      <c r="AC21" s="746"/>
      <c r="AD21" s="146" t="s">
        <v>993</v>
      </c>
      <c r="AE21" s="747"/>
      <c r="AF21" s="748"/>
      <c r="AG21" s="749"/>
      <c r="AH21" s="750"/>
      <c r="AI21" s="745"/>
      <c r="AJ21" s="751"/>
      <c r="AK21" s="752"/>
      <c r="AL21" s="753"/>
      <c r="AM21" s="754"/>
      <c r="AN21" s="755"/>
      <c r="AO21" s="756"/>
      <c r="AP21" s="757"/>
    </row>
    <row r="22" spans="1:42">
      <c r="A22" s="758"/>
      <c r="B22" s="759"/>
      <c r="C22" s="760"/>
      <c r="D22" s="761"/>
      <c r="E22" s="762"/>
      <c r="F22" s="763"/>
      <c r="G22" s="764"/>
      <c r="H22" s="765"/>
      <c r="I22" s="766"/>
      <c r="J22" s="767"/>
      <c r="K22" s="768"/>
      <c r="L22" s="769"/>
      <c r="M22" s="770"/>
      <c r="N22" s="771"/>
      <c r="O22" s="772"/>
      <c r="P22" s="773"/>
      <c r="Q22" s="774"/>
      <c r="R22" s="775"/>
      <c r="S22" s="776"/>
      <c r="T22" s="777"/>
      <c r="U22" s="778"/>
      <c r="V22" s="146" t="s">
        <v>995</v>
      </c>
      <c r="W22" s="779"/>
      <c r="X22" s="780"/>
      <c r="Y22" s="781"/>
      <c r="Z22" s="750"/>
      <c r="AA22" s="674"/>
      <c r="AB22" s="714"/>
      <c r="AC22" s="782"/>
      <c r="AD22" s="146" t="s">
        <v>993</v>
      </c>
      <c r="AE22" s="783"/>
      <c r="AF22" s="784"/>
      <c r="AG22" s="785"/>
      <c r="AH22" s="786"/>
      <c r="AI22" s="718"/>
      <c r="AJ22" s="682"/>
      <c r="AK22" s="787"/>
      <c r="AL22" s="788"/>
      <c r="AM22" s="789"/>
      <c r="AN22" s="790"/>
      <c r="AO22" s="791"/>
      <c r="AP22" s="792"/>
    </row>
    <row r="23" spans="1:42">
      <c r="A23" s="793"/>
      <c r="B23" s="794"/>
      <c r="C23" s="795"/>
      <c r="D23" s="796"/>
      <c r="E23" s="797"/>
      <c r="F23" s="798"/>
      <c r="G23" s="799"/>
      <c r="H23" s="800"/>
      <c r="I23" s="801"/>
      <c r="J23" s="802"/>
      <c r="K23" s="803"/>
      <c r="L23" s="804"/>
      <c r="M23" s="805"/>
      <c r="N23" s="806"/>
      <c r="O23" s="807"/>
      <c r="P23" s="808"/>
      <c r="Q23" s="809"/>
      <c r="R23" s="810"/>
      <c r="S23" s="811"/>
      <c r="T23" s="812"/>
      <c r="U23" s="813"/>
      <c r="V23" s="146" t="s">
        <v>995</v>
      </c>
      <c r="W23" s="814"/>
      <c r="X23" s="815"/>
      <c r="Y23" s="816"/>
      <c r="Z23" s="707"/>
      <c r="AA23" s="709"/>
      <c r="AB23" s="817"/>
      <c r="AC23" s="818"/>
      <c r="AD23" s="146" t="s">
        <v>993</v>
      </c>
      <c r="AE23" s="751"/>
      <c r="AF23" s="819"/>
      <c r="AG23" s="820"/>
      <c r="AH23" s="821"/>
      <c r="AI23" s="822"/>
      <c r="AJ23" s="823"/>
      <c r="AK23" s="682"/>
      <c r="AL23" s="824"/>
      <c r="AM23" s="825"/>
      <c r="AN23" s="826"/>
      <c r="AO23" s="827"/>
      <c r="AP23" s="828"/>
    </row>
    <row r="24" spans="1:42">
      <c r="A24" s="829"/>
      <c r="B24" s="830"/>
      <c r="C24" s="831"/>
      <c r="D24" s="832"/>
      <c r="E24" s="833"/>
      <c r="F24" s="834"/>
      <c r="G24" s="835"/>
      <c r="H24" s="836"/>
      <c r="I24" s="837"/>
      <c r="J24" s="838"/>
      <c r="K24" s="839"/>
      <c r="L24" s="840"/>
      <c r="M24" s="841"/>
      <c r="N24" s="842"/>
      <c r="O24" s="843"/>
      <c r="P24" s="844"/>
      <c r="Q24" s="845"/>
      <c r="R24" s="846"/>
      <c r="S24" s="847"/>
      <c r="T24" s="848"/>
      <c r="U24" s="849"/>
      <c r="V24" s="146" t="s">
        <v>995</v>
      </c>
      <c r="W24" s="850"/>
      <c r="X24" s="851"/>
      <c r="Y24" s="852"/>
      <c r="Z24" s="853"/>
      <c r="AA24" s="709"/>
      <c r="AB24" s="854"/>
      <c r="AC24" s="855"/>
      <c r="AD24" s="146" t="s">
        <v>993</v>
      </c>
      <c r="AE24" s="785"/>
      <c r="AF24" s="856"/>
      <c r="AG24" s="857"/>
      <c r="AH24" s="823"/>
      <c r="AI24" s="858"/>
      <c r="AJ24" s="859"/>
      <c r="AK24" s="860"/>
      <c r="AL24" s="861"/>
      <c r="AM24" s="753"/>
      <c r="AN24" s="647"/>
      <c r="AO24" s="862"/>
      <c r="AP24" s="863"/>
    </row>
    <row r="25" spans="1:42">
      <c r="A25" s="864"/>
      <c r="B25" s="865"/>
      <c r="C25" s="866"/>
      <c r="D25" s="867"/>
      <c r="E25" s="868"/>
      <c r="F25" s="869"/>
      <c r="G25" s="870"/>
      <c r="H25" s="871"/>
      <c r="I25" s="872"/>
      <c r="J25" s="873"/>
      <c r="K25" s="874"/>
      <c r="L25" s="875"/>
      <c r="M25" s="876"/>
      <c r="N25" s="877"/>
      <c r="O25" s="878"/>
      <c r="P25" s="879"/>
      <c r="Q25" s="880"/>
      <c r="R25" s="881"/>
      <c r="S25" s="882"/>
      <c r="T25" s="883"/>
      <c r="U25" s="884"/>
      <c r="V25" s="146" t="s">
        <v>995</v>
      </c>
      <c r="W25" s="635"/>
      <c r="X25" s="885"/>
      <c r="Y25" s="886"/>
      <c r="Z25" s="887"/>
      <c r="AA25" s="888"/>
      <c r="AB25" s="889"/>
      <c r="AC25" s="890"/>
      <c r="AD25" s="146" t="s">
        <v>993</v>
      </c>
      <c r="AE25" s="891"/>
      <c r="AF25" s="892"/>
      <c r="AG25" s="893"/>
      <c r="AH25" s="894"/>
      <c r="AI25" s="682"/>
      <c r="AJ25" s="895"/>
      <c r="AK25" s="896"/>
      <c r="AL25" s="897"/>
      <c r="AM25" s="898"/>
      <c r="AN25" s="899"/>
      <c r="AO25" s="900"/>
      <c r="AP25" s="721"/>
    </row>
    <row r="26" spans="1:42">
      <c r="A26" s="901"/>
      <c r="B26" s="902"/>
      <c r="C26" s="903"/>
      <c r="D26" s="904"/>
      <c r="E26" s="905"/>
      <c r="F26" s="906"/>
      <c r="G26" s="907"/>
      <c r="H26" s="908"/>
      <c r="I26" s="909"/>
      <c r="J26" s="910"/>
      <c r="K26" s="911"/>
      <c r="L26" s="912"/>
      <c r="M26" s="913"/>
      <c r="N26" s="914"/>
      <c r="O26" s="915"/>
      <c r="P26" s="916"/>
      <c r="Q26" s="917"/>
      <c r="R26" s="918"/>
      <c r="S26" s="919"/>
      <c r="T26" s="920"/>
      <c r="U26" s="921"/>
      <c r="V26" s="146" t="s">
        <v>995</v>
      </c>
      <c r="W26" s="922"/>
      <c r="X26" s="784"/>
      <c r="Y26" s="923"/>
      <c r="Z26" s="924"/>
      <c r="AA26" s="539"/>
      <c r="AB26" s="925"/>
      <c r="AC26" s="926"/>
      <c r="AD26" s="146" t="s">
        <v>993</v>
      </c>
      <c r="AE26" s="927"/>
      <c r="AF26" s="928"/>
      <c r="AG26" s="893"/>
      <c r="AH26" s="929"/>
      <c r="AI26" s="930"/>
      <c r="AJ26" s="931"/>
      <c r="AK26" s="931"/>
      <c r="AL26" s="932"/>
      <c r="AM26" s="933"/>
      <c r="AN26" s="899"/>
      <c r="AO26" s="934"/>
      <c r="AP26" s="935"/>
    </row>
    <row r="27" spans="1:42">
      <c r="A27" s="936"/>
      <c r="B27" s="937"/>
      <c r="C27" s="938"/>
      <c r="D27" s="939"/>
      <c r="E27" s="940"/>
      <c r="F27" s="941"/>
      <c r="G27" s="942"/>
      <c r="H27" s="943"/>
      <c r="I27" s="944"/>
      <c r="J27" s="945"/>
      <c r="K27" s="946"/>
      <c r="L27" s="947"/>
      <c r="M27" s="948"/>
      <c r="N27" s="949"/>
      <c r="O27" s="950"/>
      <c r="P27" s="951"/>
      <c r="Q27" s="952"/>
      <c r="R27" s="953"/>
      <c r="S27" s="954"/>
      <c r="T27" s="955"/>
      <c r="U27" s="956"/>
      <c r="V27" s="146" t="s">
        <v>995</v>
      </c>
      <c r="W27" s="957"/>
      <c r="X27" s="958"/>
      <c r="Y27" s="610"/>
      <c r="Z27" s="609"/>
      <c r="AA27" s="959"/>
      <c r="AB27" s="960"/>
      <c r="AC27" s="961"/>
      <c r="AD27" s="146" t="s">
        <v>993</v>
      </c>
      <c r="AE27" s="962"/>
      <c r="AF27" s="963"/>
      <c r="AG27" s="886"/>
      <c r="AH27" s="964"/>
      <c r="AI27" s="647"/>
      <c r="AJ27" s="755"/>
      <c r="AK27" s="965"/>
      <c r="AL27" s="755"/>
      <c r="AM27" s="931"/>
      <c r="AN27" s="931"/>
      <c r="AO27" s="966"/>
      <c r="AP27" s="935"/>
    </row>
    <row r="28" spans="1:42">
      <c r="A28" s="967"/>
      <c r="B28" s="968"/>
      <c r="C28" s="969"/>
      <c r="D28" s="970"/>
      <c r="E28" s="971"/>
      <c r="F28" s="972"/>
      <c r="G28" s="973"/>
      <c r="H28" s="974"/>
      <c r="I28" s="975"/>
      <c r="J28" s="976"/>
      <c r="K28" s="977"/>
      <c r="L28" s="978"/>
      <c r="M28" s="979"/>
      <c r="N28" s="980"/>
      <c r="O28" s="981"/>
      <c r="P28" s="982"/>
      <c r="Q28" s="983"/>
      <c r="R28" s="984"/>
      <c r="S28" s="985"/>
      <c r="T28" s="986"/>
      <c r="U28" s="987"/>
      <c r="V28" s="146" t="s">
        <v>995</v>
      </c>
      <c r="W28" s="988"/>
      <c r="X28" s="989"/>
      <c r="Y28" s="990"/>
      <c r="Z28" s="991"/>
      <c r="AA28" s="992"/>
      <c r="AB28" s="993"/>
      <c r="AC28" s="994"/>
      <c r="AD28" s="146" t="s">
        <v>993</v>
      </c>
      <c r="AE28" s="790"/>
      <c r="AF28" s="746"/>
      <c r="AG28" s="786"/>
      <c r="AH28" s="788"/>
      <c r="AI28" s="995"/>
      <c r="AJ28" s="996"/>
      <c r="AK28" s="755"/>
      <c r="AL28" s="719"/>
      <c r="AM28" s="997"/>
      <c r="AN28" s="719"/>
      <c r="AO28" s="753"/>
      <c r="AP28" s="792"/>
    </row>
    <row r="29" spans="1:42">
      <c r="A29" s="998"/>
      <c r="B29" s="999"/>
      <c r="C29" s="1000"/>
      <c r="D29" s="1001"/>
      <c r="E29" s="1002"/>
      <c r="F29" s="1003"/>
      <c r="G29" s="1004"/>
      <c r="H29" s="1005"/>
      <c r="I29" s="1006"/>
      <c r="J29" s="1007"/>
      <c r="K29" s="1008"/>
      <c r="L29" s="1009"/>
      <c r="M29" s="1010"/>
      <c r="N29" s="1011"/>
      <c r="O29" s="1012"/>
      <c r="P29" s="1013"/>
      <c r="Q29" s="1014"/>
      <c r="R29" s="1015"/>
      <c r="S29" s="1016"/>
      <c r="T29" s="1017"/>
      <c r="U29" s="1018"/>
      <c r="V29" s="73" t="s">
        <v>994</v>
      </c>
      <c r="W29" s="268" t="s">
        <v>994</v>
      </c>
      <c r="X29" s="268" t="s">
        <v>994</v>
      </c>
      <c r="Y29" s="268" t="s">
        <v>994</v>
      </c>
      <c r="Z29" s="268" t="s">
        <v>994</v>
      </c>
      <c r="AA29" s="113" t="s">
        <v>995</v>
      </c>
      <c r="AB29" s="1019"/>
      <c r="AC29" s="1020"/>
      <c r="AD29" s="146" t="s">
        <v>993</v>
      </c>
      <c r="AE29" s="1021"/>
      <c r="AF29" s="1022"/>
      <c r="AG29" s="746"/>
      <c r="AH29" s="1023"/>
      <c r="AI29" s="786"/>
      <c r="AJ29" s="755"/>
      <c r="AK29" s="1024"/>
      <c r="AL29" s="1025"/>
      <c r="AM29" s="791"/>
      <c r="AN29" s="1026"/>
      <c r="AO29" s="1027"/>
      <c r="AP29" s="1028"/>
    </row>
    <row r="30" spans="1:42">
      <c r="A30" s="1029"/>
      <c r="B30" s="1030"/>
      <c r="C30" s="1031"/>
      <c r="D30" s="495"/>
      <c r="E30" s="1000"/>
      <c r="F30" s="1032"/>
      <c r="G30" s="1033"/>
      <c r="H30" s="1034"/>
      <c r="I30" s="1035"/>
      <c r="J30" s="1036"/>
      <c r="K30" s="1037"/>
      <c r="L30" s="1038"/>
      <c r="M30" s="1039"/>
      <c r="N30" s="1040"/>
      <c r="O30" s="1041"/>
      <c r="P30" s="1042"/>
      <c r="Q30" s="1043"/>
      <c r="R30" s="1044"/>
      <c r="S30" s="1045"/>
      <c r="T30" s="1046"/>
      <c r="U30" s="1047"/>
      <c r="V30" s="1048"/>
      <c r="W30" s="1049"/>
      <c r="X30" s="1050"/>
      <c r="Y30" s="1051"/>
      <c r="Z30" s="1052"/>
      <c r="AA30" s="146" t="s">
        <v>995</v>
      </c>
      <c r="AB30" s="1053"/>
      <c r="AC30" s="1054"/>
      <c r="AD30" s="146" t="s">
        <v>993</v>
      </c>
      <c r="AE30" s="1055"/>
      <c r="AF30" s="1056"/>
      <c r="AG30" s="679"/>
      <c r="AH30" s="1023"/>
      <c r="AI30" s="1057"/>
      <c r="AJ30" s="1058"/>
      <c r="AK30" s="1059"/>
      <c r="AL30" s="1060"/>
      <c r="AM30" s="1061"/>
      <c r="AN30" s="787"/>
      <c r="AO30" s="1062"/>
      <c r="AP30" s="1063"/>
    </row>
    <row r="31" spans="1:42">
      <c r="A31" s="1064"/>
      <c r="B31" s="1065"/>
      <c r="C31" s="1066"/>
      <c r="D31" s="1067"/>
      <c r="E31" s="1068"/>
      <c r="F31" s="1069"/>
      <c r="G31" s="1070"/>
      <c r="H31" s="1071"/>
      <c r="I31" s="1072"/>
      <c r="J31" s="914"/>
      <c r="K31" s="1073"/>
      <c r="L31" s="1074"/>
      <c r="M31" s="1075"/>
      <c r="N31" s="1076"/>
      <c r="O31" s="1077"/>
      <c r="P31" s="1078"/>
      <c r="Q31" s="983"/>
      <c r="R31" s="1079"/>
      <c r="S31" s="1080"/>
      <c r="T31" s="1081"/>
      <c r="U31" s="1082"/>
      <c r="V31" s="1083"/>
      <c r="W31" s="1084"/>
      <c r="X31" s="1085"/>
      <c r="Y31" s="1086"/>
      <c r="Z31" s="1087"/>
      <c r="AA31" s="146" t="s">
        <v>995</v>
      </c>
      <c r="AB31" s="1088"/>
      <c r="AC31" s="1089"/>
      <c r="AD31" s="146" t="s">
        <v>993</v>
      </c>
      <c r="AE31" s="1090"/>
      <c r="AF31" s="679"/>
      <c r="AG31" s="1091"/>
      <c r="AH31" s="1091"/>
      <c r="AI31" s="1092"/>
      <c r="AJ31" s="1093"/>
      <c r="AK31" s="1094"/>
      <c r="AL31" s="1022"/>
      <c r="AM31" s="1095"/>
      <c r="AN31" s="1096"/>
      <c r="AO31" s="1097"/>
      <c r="AP31" s="1098"/>
    </row>
    <row r="32" spans="1:42">
      <c r="A32" s="1099"/>
      <c r="B32" s="1100"/>
      <c r="C32" s="1101"/>
      <c r="D32" s="1102"/>
      <c r="E32" s="1103"/>
      <c r="F32" s="1104"/>
      <c r="G32" s="1105"/>
      <c r="H32" s="1106"/>
      <c r="I32" s="1107"/>
      <c r="J32" s="1108"/>
      <c r="K32" s="1109"/>
      <c r="L32" s="1110"/>
      <c r="M32" s="1111"/>
      <c r="N32" s="1112"/>
      <c r="O32" s="1113"/>
      <c r="P32" s="1008"/>
      <c r="Q32" s="1013"/>
      <c r="R32" s="1114"/>
      <c r="S32" s="1115"/>
      <c r="T32" s="1116"/>
      <c r="U32" s="1117"/>
      <c r="V32" s="1118"/>
      <c r="W32" s="1119"/>
      <c r="X32" s="1120"/>
      <c r="Y32" s="1121"/>
      <c r="Z32" s="1122"/>
      <c r="AA32" s="146" t="s">
        <v>995</v>
      </c>
      <c r="AB32" s="1123"/>
      <c r="AC32" s="1124"/>
      <c r="AD32" s="146" t="s">
        <v>993</v>
      </c>
      <c r="AE32" s="1125"/>
      <c r="AF32" s="1126"/>
      <c r="AG32" s="714"/>
      <c r="AH32" s="1127"/>
      <c r="AI32" s="1128"/>
      <c r="AJ32" s="1129"/>
      <c r="AK32" s="1130"/>
      <c r="AL32" s="1131"/>
      <c r="AM32" s="1132"/>
      <c r="AN32" s="1133"/>
      <c r="AO32" s="1134"/>
      <c r="AP32" s="1135"/>
    </row>
    <row r="33" spans="1:42">
      <c r="A33" s="1136"/>
      <c r="B33" s="1137"/>
      <c r="C33" s="1138"/>
      <c r="D33" s="984"/>
      <c r="E33" s="1139"/>
      <c r="F33" s="1140"/>
      <c r="G33" s="1141"/>
      <c r="H33" s="1142"/>
      <c r="I33" s="1143"/>
      <c r="J33" s="950"/>
      <c r="K33" s="1144"/>
      <c r="L33" s="1145"/>
      <c r="M33" s="1074"/>
      <c r="N33" s="1146"/>
      <c r="O33" s="1144"/>
      <c r="P33" s="1147"/>
      <c r="Q33" s="1148"/>
      <c r="R33" s="1149"/>
      <c r="S33" s="1150"/>
      <c r="T33" s="1151"/>
      <c r="U33" s="1152"/>
      <c r="V33" s="1153"/>
      <c r="W33" s="1154"/>
      <c r="X33" s="1155"/>
      <c r="Y33" s="1156"/>
      <c r="Z33" s="1157"/>
      <c r="AA33" s="146" t="s">
        <v>995</v>
      </c>
      <c r="AB33" s="1158"/>
      <c r="AC33" s="713"/>
      <c r="AD33" s="146" t="s">
        <v>993</v>
      </c>
      <c r="AE33" s="1126"/>
      <c r="AF33" s="1159"/>
      <c r="AG33" s="1160"/>
      <c r="AH33" s="1161"/>
      <c r="AI33" s="1162"/>
      <c r="AJ33" s="1163"/>
      <c r="AK33" s="1164"/>
      <c r="AL33" s="1165"/>
      <c r="AM33" s="1166"/>
      <c r="AN33" s="569"/>
      <c r="AO33" s="1167"/>
      <c r="AP33" s="1168"/>
    </row>
    <row r="34" spans="1:42">
      <c r="A34" s="1169"/>
      <c r="B34" s="1170"/>
      <c r="C34" s="1171"/>
      <c r="D34" s="903"/>
      <c r="E34" s="1172"/>
      <c r="F34" s="1173"/>
      <c r="G34" s="1174"/>
      <c r="H34" s="1175"/>
      <c r="I34" s="1176"/>
      <c r="J34" s="1177"/>
      <c r="K34" s="1178"/>
      <c r="L34" s="1179"/>
      <c r="M34" s="1180"/>
      <c r="N34" s="1181"/>
      <c r="O34" s="1182"/>
      <c r="P34" s="1183"/>
      <c r="Q34" s="1077"/>
      <c r="R34" s="1184"/>
      <c r="S34" s="1185"/>
      <c r="T34" s="1186"/>
      <c r="U34" s="1187"/>
      <c r="V34" s="1188"/>
      <c r="W34" s="1189"/>
      <c r="X34" s="1190"/>
      <c r="Y34" s="1191"/>
      <c r="Z34" s="1192"/>
      <c r="AA34" s="146" t="s">
        <v>995</v>
      </c>
      <c r="AB34" s="1193"/>
      <c r="AC34" s="1194"/>
      <c r="AD34" s="146" t="s">
        <v>993</v>
      </c>
      <c r="AE34" s="1195"/>
      <c r="AF34" s="1196"/>
      <c r="AG34" s="1197"/>
      <c r="AH34" s="1198"/>
      <c r="AI34" s="1199"/>
      <c r="AJ34" s="1200"/>
      <c r="AK34" s="1201"/>
      <c r="AL34" s="1202"/>
      <c r="AM34" s="1203"/>
      <c r="AN34" s="1204"/>
      <c r="AO34" s="1205"/>
      <c r="AP34" s="1206"/>
    </row>
    <row r="35" spans="1:42">
      <c r="A35" s="1207"/>
      <c r="B35" s="1208"/>
      <c r="C35" s="1209"/>
      <c r="D35" s="1004"/>
      <c r="E35" s="1210"/>
      <c r="F35" s="1211"/>
      <c r="G35" s="1212"/>
      <c r="H35" s="1213"/>
      <c r="I35" s="1214"/>
      <c r="J35" s="1215"/>
      <c r="K35" s="1216"/>
      <c r="L35" s="1217"/>
      <c r="M35" s="1218"/>
      <c r="N35" s="1219"/>
      <c r="O35" s="1220"/>
      <c r="P35" s="1035"/>
      <c r="Q35" s="1221"/>
      <c r="R35" s="1222"/>
      <c r="S35" s="1223"/>
      <c r="T35" s="1224"/>
      <c r="U35" s="1225"/>
      <c r="V35" s="1226"/>
      <c r="W35" s="1227"/>
      <c r="X35" s="1228"/>
      <c r="Y35" s="1229"/>
      <c r="Z35" s="1230"/>
      <c r="AA35" s="73" t="s">
        <v>994</v>
      </c>
      <c r="AB35" s="268" t="s">
        <v>994</v>
      </c>
      <c r="AC35" s="268" t="s">
        <v>994</v>
      </c>
      <c r="AD35" s="113" t="s">
        <v>993</v>
      </c>
      <c r="AE35" s="1231"/>
      <c r="AF35" s="1232"/>
      <c r="AG35" s="1233"/>
      <c r="AH35" s="1234"/>
      <c r="AI35" s="1235"/>
      <c r="AJ35" s="1236"/>
      <c r="AK35" s="1237"/>
      <c r="AL35" s="1238"/>
      <c r="AM35" s="1239"/>
      <c r="AN35" s="1240"/>
      <c r="AO35" s="1241"/>
      <c r="AP35" s="1242"/>
    </row>
    <row r="36" spans="1:42">
      <c r="A36" s="1243"/>
      <c r="B36" s="1244"/>
      <c r="C36" s="1245"/>
      <c r="D36" s="1246"/>
      <c r="E36" s="1247"/>
      <c r="F36" s="1248"/>
      <c r="G36" s="1249"/>
      <c r="H36" s="1250"/>
      <c r="I36" s="1251"/>
      <c r="J36" s="1252"/>
      <c r="K36" s="947"/>
      <c r="L36" s="1215"/>
      <c r="M36" s="1253"/>
      <c r="N36" s="1254"/>
      <c r="O36" s="1255"/>
      <c r="P36" s="1147"/>
      <c r="Q36" s="1256"/>
      <c r="R36" s="976"/>
      <c r="S36" s="1257"/>
      <c r="T36" s="1258"/>
      <c r="U36" s="1259"/>
      <c r="V36" s="1260"/>
      <c r="W36" s="1261"/>
      <c r="X36" s="1262"/>
      <c r="Y36" s="1263"/>
      <c r="Z36" s="1264"/>
      <c r="AA36" s="1265"/>
      <c r="AB36" s="1266"/>
      <c r="AC36" s="1267"/>
      <c r="AD36" s="1268"/>
      <c r="AE36" s="1269"/>
      <c r="AF36" s="1270"/>
      <c r="AG36" s="1271"/>
      <c r="AH36" s="1272"/>
      <c r="AI36" s="1273"/>
      <c r="AJ36" s="1274"/>
      <c r="AK36" s="1275"/>
      <c r="AL36" s="1276"/>
      <c r="AM36" s="1277"/>
      <c r="AN36" s="1278"/>
      <c r="AO36" s="1279"/>
      <c r="AP36" s="1280"/>
    </row>
    <row r="37" spans="1:42">
      <c r="A37" s="1281"/>
      <c r="B37" s="1282"/>
      <c r="C37" s="1283"/>
      <c r="D37" s="1170"/>
      <c r="E37" s="1284"/>
      <c r="F37" s="1285"/>
      <c r="G37" s="1286"/>
      <c r="H37" s="1287"/>
      <c r="I37" s="981"/>
      <c r="J37" s="977"/>
      <c r="K37" s="1288"/>
      <c r="L37" s="1289"/>
      <c r="M37" s="1290"/>
      <c r="N37" s="1291"/>
      <c r="O37" s="1292"/>
      <c r="P37" s="1288"/>
      <c r="Q37" s="1293"/>
      <c r="R37" s="1294"/>
      <c r="S37" s="1295"/>
      <c r="T37" s="1296"/>
      <c r="U37" s="1297"/>
      <c r="V37" s="1298"/>
      <c r="W37" s="1299"/>
      <c r="X37" s="1300"/>
      <c r="Y37" s="1301"/>
      <c r="Z37" s="1302"/>
      <c r="AA37" s="1303"/>
      <c r="AB37" s="1304"/>
      <c r="AC37" s="1305"/>
      <c r="AD37" s="1306"/>
      <c r="AE37" s="1307"/>
      <c r="AF37" s="1308"/>
      <c r="AG37" s="1309"/>
      <c r="AH37" s="1310"/>
      <c r="AI37" s="1311"/>
      <c r="AJ37" s="1312"/>
      <c r="AK37" s="1313"/>
      <c r="AL37" s="1314"/>
      <c r="AM37" s="1315"/>
      <c r="AN37" s="1316"/>
      <c r="AO37" s="1317"/>
      <c r="AP37" s="1318"/>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A7724-149C-4EC1-826A-A3DDE9B38B24}">
  <sheetPr codeName="Sheet13">
    <tabColor rgb="FF001838"/>
  </sheetPr>
  <dimension ref="A1:CP129"/>
  <sheetViews>
    <sheetView showGridLines="0" zoomScale="70" zoomScaleNormal="70" workbookViewId="0">
      <selection activeCell="CD6" sqref="CD6"/>
    </sheetView>
  </sheetViews>
  <sheetFormatPr defaultColWidth="8.85546875" defaultRowHeight="15.75"/>
  <cols>
    <col min="1" max="94" width="3.85546875" style="52" customWidth="1"/>
    <col min="95" max="16384" width="8.85546875" style="52"/>
  </cols>
  <sheetData>
    <row r="1" spans="1:94">
      <c r="A1" s="1319" t="s">
        <v>994</v>
      </c>
      <c r="B1" s="1320" t="s">
        <v>994</v>
      </c>
      <c r="C1" s="1321" t="s">
        <v>994</v>
      </c>
      <c r="D1" s="1322" t="s">
        <v>994</v>
      </c>
      <c r="E1" s="1323" t="s">
        <v>994</v>
      </c>
      <c r="F1" s="1324" t="s">
        <v>994</v>
      </c>
      <c r="G1" s="1325" t="s">
        <v>994</v>
      </c>
      <c r="H1" s="1326" t="s">
        <v>994</v>
      </c>
      <c r="I1" s="1327" t="s">
        <v>994</v>
      </c>
      <c r="J1" s="1328" t="s">
        <v>994</v>
      </c>
      <c r="K1" s="1329" t="s">
        <v>994</v>
      </c>
      <c r="L1" s="1330" t="s">
        <v>995</v>
      </c>
      <c r="M1" s="1331"/>
      <c r="N1" s="1332"/>
      <c r="O1" s="1333"/>
      <c r="P1" s="1334"/>
      <c r="Q1" s="1334"/>
      <c r="R1" s="1335"/>
      <c r="S1" s="1336"/>
      <c r="T1" s="1337"/>
      <c r="U1" s="1338"/>
      <c r="V1" s="1339"/>
      <c r="W1" s="1340"/>
      <c r="X1" s="1337"/>
      <c r="Y1" s="1341"/>
      <c r="Z1" s="1342"/>
      <c r="AA1" s="1343"/>
      <c r="AB1" s="1344"/>
      <c r="AC1" s="1336"/>
      <c r="AD1" s="1345"/>
      <c r="AE1" s="1346"/>
      <c r="AF1" s="1347"/>
      <c r="AG1" s="1348"/>
      <c r="AH1" s="1349"/>
      <c r="AI1" s="1350"/>
      <c r="AJ1" s="1351"/>
      <c r="AK1" s="1350"/>
      <c r="AL1" s="1350"/>
      <c r="AM1" s="1352"/>
      <c r="AN1" s="1353"/>
      <c r="AO1" s="1348"/>
      <c r="AP1" s="1354"/>
      <c r="AQ1" s="1354"/>
      <c r="AR1" s="1348"/>
      <c r="AS1" s="1355"/>
      <c r="AT1" s="1356"/>
      <c r="AU1" s="1357"/>
      <c r="AV1" s="1358"/>
      <c r="AW1" s="1359"/>
      <c r="AX1" s="1360"/>
      <c r="AY1" s="1360"/>
      <c r="AZ1" s="1361"/>
      <c r="BA1" s="1362"/>
      <c r="BB1" s="1363"/>
      <c r="BC1" s="1364"/>
      <c r="BD1" s="1365"/>
      <c r="BE1" s="1366"/>
      <c r="BF1" s="1367"/>
      <c r="BG1" s="1368"/>
      <c r="BH1" s="1369"/>
      <c r="BI1" s="1370"/>
      <c r="BJ1" s="1371"/>
      <c r="BK1" s="1372"/>
      <c r="BL1" s="1373"/>
      <c r="BM1" s="1374"/>
      <c r="BN1" s="1375"/>
      <c r="BO1" s="1376"/>
      <c r="BP1" s="1377"/>
      <c r="BQ1" s="1378"/>
      <c r="BR1" s="1379"/>
      <c r="BS1" s="1380"/>
      <c r="BT1" s="1381"/>
      <c r="BU1" s="1382"/>
      <c r="BV1" s="1383"/>
      <c r="BW1" s="1384"/>
      <c r="BX1" s="1385"/>
      <c r="BY1" s="1386"/>
      <c r="BZ1" s="1387"/>
      <c r="CA1" s="1388"/>
      <c r="CB1" s="1389"/>
      <c r="CC1" s="1390"/>
      <c r="CD1" s="1391"/>
      <c r="CE1" s="1392"/>
      <c r="CF1" s="1393"/>
      <c r="CG1" s="1394"/>
      <c r="CH1" s="1395"/>
      <c r="CI1" s="1396"/>
      <c r="CJ1" s="1397"/>
      <c r="CK1" s="1398"/>
      <c r="CL1" s="1399"/>
      <c r="CM1" s="1400"/>
      <c r="CN1" s="1401"/>
      <c r="CO1" s="1402"/>
      <c r="CP1" s="1403"/>
    </row>
    <row r="2" spans="1:94">
      <c r="A2" s="1404"/>
      <c r="B2" s="1405"/>
      <c r="C2" s="1406"/>
      <c r="D2" s="1407"/>
      <c r="E2" s="1408"/>
      <c r="F2" s="1409"/>
      <c r="G2" s="1410"/>
      <c r="H2" s="1411"/>
      <c r="I2" s="1412"/>
      <c r="J2" s="1413"/>
      <c r="K2" s="1414"/>
      <c r="L2" s="1415" t="s">
        <v>995</v>
      </c>
      <c r="M2" s="1416"/>
      <c r="N2" s="1417"/>
      <c r="O2" s="1418"/>
      <c r="P2" s="1419"/>
      <c r="Q2" s="1420"/>
      <c r="R2" s="1421"/>
      <c r="S2" s="1422"/>
      <c r="T2" s="1423"/>
      <c r="U2" s="1424"/>
      <c r="V2" s="1425"/>
      <c r="W2" s="1426"/>
      <c r="X2" s="1427"/>
      <c r="Y2" s="1428"/>
      <c r="Z2" s="1428"/>
      <c r="AA2" s="1428"/>
      <c r="AB2" s="1429"/>
      <c r="AC2" s="1430"/>
      <c r="AD2" s="1431"/>
      <c r="AE2" s="1432"/>
      <c r="AF2" s="1433"/>
      <c r="AG2" s="1434"/>
      <c r="AH2" s="1435"/>
      <c r="AI2" s="1436"/>
      <c r="AJ2" s="1437"/>
      <c r="AK2" s="1437"/>
      <c r="AL2" s="1437"/>
      <c r="AM2" s="1437"/>
      <c r="AN2" s="1438"/>
      <c r="AO2" s="1439"/>
      <c r="AP2" s="1440"/>
      <c r="AQ2" s="1441"/>
      <c r="AR2" s="1437"/>
      <c r="AS2" s="1437"/>
      <c r="AT2" s="1442"/>
      <c r="AU2" s="1443"/>
      <c r="AV2" s="1444"/>
      <c r="AW2" s="1445"/>
      <c r="AX2" s="1446"/>
      <c r="AY2" s="1442"/>
      <c r="AZ2" s="1447"/>
      <c r="BA2" s="1448"/>
      <c r="BB2" s="1449"/>
      <c r="BC2" s="1450"/>
      <c r="BD2" s="1445"/>
      <c r="BE2" s="1451"/>
      <c r="BF2" s="1452"/>
      <c r="BG2" s="1453"/>
      <c r="BH2" s="1454"/>
      <c r="BI2" s="1455"/>
      <c r="BJ2" s="1456"/>
      <c r="BK2" s="1457"/>
      <c r="BL2" s="1458"/>
      <c r="BM2" s="1459"/>
      <c r="BN2" s="1460"/>
      <c r="BO2" s="1461"/>
      <c r="BP2" s="1462"/>
      <c r="BQ2" s="1463"/>
      <c r="BR2" s="1464"/>
      <c r="BS2" s="1465"/>
      <c r="BT2" s="1466"/>
      <c r="BU2" s="1467"/>
      <c r="BV2" s="1468"/>
      <c r="BW2" s="1469"/>
      <c r="BX2" s="1470"/>
      <c r="BY2" s="1471"/>
      <c r="BZ2" s="1472"/>
      <c r="CA2" s="1473"/>
      <c r="CB2" s="1474"/>
      <c r="CC2" s="1475"/>
      <c r="CD2" s="1476"/>
      <c r="CE2" s="1477"/>
      <c r="CF2" s="1478"/>
      <c r="CG2" s="1479"/>
      <c r="CH2" s="1480"/>
      <c r="CI2" s="1481"/>
      <c r="CJ2" s="1482"/>
      <c r="CK2" s="1483"/>
      <c r="CL2" s="1484"/>
      <c r="CM2" s="1485"/>
      <c r="CN2" s="1486"/>
      <c r="CO2" s="1487"/>
      <c r="CP2" s="1488"/>
    </row>
    <row r="3" spans="1:94">
      <c r="A3" s="1489"/>
      <c r="B3" s="1490"/>
      <c r="C3" s="1491"/>
      <c r="D3" s="1492"/>
      <c r="E3" s="1493"/>
      <c r="F3" s="1494"/>
      <c r="G3" s="1495"/>
      <c r="H3" s="1496"/>
      <c r="I3" s="1497"/>
      <c r="J3" s="1498"/>
      <c r="K3" s="1499"/>
      <c r="L3" s="1500" t="s">
        <v>995</v>
      </c>
      <c r="M3" s="1501"/>
      <c r="N3" s="1502"/>
      <c r="O3" s="1503"/>
      <c r="P3" s="1504"/>
      <c r="Q3" s="1505"/>
      <c r="R3" s="1362"/>
      <c r="S3" s="1506"/>
      <c r="T3" s="1507"/>
      <c r="U3" s="1508"/>
      <c r="V3" s="1509"/>
      <c r="W3" s="1510"/>
      <c r="X3" s="1511"/>
      <c r="Y3" s="1512"/>
      <c r="Z3" s="1513"/>
      <c r="AA3" s="1514"/>
      <c r="AB3" s="1515"/>
      <c r="AC3" s="1516"/>
      <c r="AD3" s="1517"/>
      <c r="AE3" s="1518"/>
      <c r="AF3" s="1519"/>
      <c r="AG3" s="1519"/>
      <c r="AH3" s="1516"/>
      <c r="AI3" s="1520"/>
      <c r="AJ3" s="1521"/>
      <c r="AK3" s="1522"/>
      <c r="AL3" s="1523"/>
      <c r="AM3" s="1524"/>
      <c r="AN3" s="1525"/>
      <c r="AO3" s="1526"/>
      <c r="AP3" s="1527"/>
      <c r="AQ3" s="1528"/>
      <c r="AR3" s="1528"/>
      <c r="AS3" s="1529"/>
      <c r="AT3" s="1530"/>
      <c r="AU3" s="1531"/>
      <c r="AV3" s="1532"/>
      <c r="AW3" s="1531"/>
      <c r="AX3" s="1533"/>
      <c r="AY3" s="1533"/>
      <c r="AZ3" s="1534"/>
      <c r="BA3" s="1535"/>
      <c r="BB3" s="1536"/>
      <c r="BC3" s="1537"/>
      <c r="BD3" s="1538"/>
      <c r="BE3" s="1539"/>
      <c r="BF3" s="1540"/>
      <c r="BG3" s="1541"/>
      <c r="BH3" s="1542"/>
      <c r="BI3" s="1543"/>
      <c r="BJ3" s="1544"/>
      <c r="BK3" s="1545"/>
      <c r="BL3" s="1546"/>
      <c r="BM3" s="1547"/>
      <c r="BN3" s="1548"/>
      <c r="BO3" s="1549"/>
      <c r="BP3" s="1550"/>
      <c r="BQ3" s="1551"/>
      <c r="BR3" s="1552"/>
      <c r="BS3" s="1553"/>
      <c r="BT3" s="1554"/>
      <c r="BU3" s="1555"/>
      <c r="BV3" s="1556"/>
      <c r="BW3" s="1557"/>
      <c r="BX3" s="1558"/>
      <c r="BY3" s="1559"/>
      <c r="BZ3" s="1560"/>
      <c r="CA3" s="1561"/>
      <c r="CB3" s="1562"/>
      <c r="CC3" s="1563"/>
      <c r="CD3" s="1564"/>
      <c r="CE3" s="1565"/>
      <c r="CF3" s="1566"/>
      <c r="CG3" s="1567"/>
      <c r="CH3" s="1568"/>
      <c r="CI3" s="1569"/>
      <c r="CJ3" s="1570"/>
      <c r="CK3" s="1571"/>
      <c r="CL3" s="1572"/>
      <c r="CM3" s="1573"/>
      <c r="CN3" s="1574"/>
      <c r="CO3" s="1575"/>
      <c r="CP3" s="1576"/>
    </row>
    <row r="4" spans="1:94">
      <c r="A4" s="1577"/>
      <c r="B4" s="1578"/>
      <c r="C4" s="1579"/>
      <c r="D4" s="1580"/>
      <c r="E4" s="1581"/>
      <c r="F4" s="1582"/>
      <c r="G4" s="1583"/>
      <c r="H4" s="1584"/>
      <c r="I4" s="1585"/>
      <c r="J4" s="1586"/>
      <c r="K4" s="1587"/>
      <c r="L4" s="1588" t="s">
        <v>995</v>
      </c>
      <c r="M4" s="1589"/>
      <c r="N4" s="1590"/>
      <c r="O4" s="1591"/>
      <c r="P4" s="1592"/>
      <c r="Q4" s="1593"/>
      <c r="R4" s="1594"/>
      <c r="S4" s="1595"/>
      <c r="T4" s="1596"/>
      <c r="U4" s="1597"/>
      <c r="V4" s="1598"/>
      <c r="W4" s="1599"/>
      <c r="X4" s="1600"/>
      <c r="Y4" s="1601"/>
      <c r="Z4" s="1602"/>
      <c r="AA4" s="1603"/>
      <c r="AB4" s="1604"/>
      <c r="AC4" s="1605"/>
      <c r="AD4" s="1606"/>
      <c r="AE4" s="1607"/>
      <c r="AF4" s="1607"/>
      <c r="AG4" s="1608"/>
      <c r="AH4" s="1609"/>
      <c r="AI4" s="1610"/>
      <c r="AJ4" s="1611"/>
      <c r="AK4" s="1612"/>
      <c r="AL4" s="1528"/>
      <c r="AM4" s="1528"/>
      <c r="AN4" s="1613"/>
      <c r="AO4" s="1536"/>
      <c r="AP4" s="1614"/>
      <c r="AQ4" s="1615"/>
      <c r="AR4" s="1616"/>
      <c r="AS4" s="1617"/>
      <c r="AT4" s="1612"/>
      <c r="AU4" s="1536"/>
      <c r="AV4" s="1528"/>
      <c r="AW4" s="1528"/>
      <c r="AX4" s="1536"/>
      <c r="AY4" s="1616"/>
      <c r="AZ4" s="1618"/>
      <c r="BA4" s="1619"/>
      <c r="BB4" s="1620"/>
      <c r="BC4" s="1621"/>
      <c r="BD4" s="1622"/>
      <c r="BE4" s="1538"/>
      <c r="BF4" s="1539"/>
      <c r="BG4" s="1623"/>
      <c r="BH4" s="1624"/>
      <c r="BI4" s="1625"/>
      <c r="BJ4" s="1626"/>
      <c r="BK4" s="1627"/>
      <c r="BL4" s="1628"/>
      <c r="BM4" s="1629"/>
      <c r="BN4" s="1630"/>
      <c r="BO4" s="1631"/>
      <c r="BP4" s="1632"/>
      <c r="BQ4" s="1633"/>
      <c r="BR4" s="1634"/>
      <c r="BS4" s="1634"/>
      <c r="BT4" s="1635"/>
      <c r="BU4" s="1636"/>
      <c r="BV4" s="1637"/>
      <c r="BW4" s="1638"/>
      <c r="BX4" s="1639"/>
      <c r="BY4" s="1640"/>
      <c r="BZ4" s="1641"/>
      <c r="CA4" s="1642"/>
      <c r="CB4" s="1643"/>
      <c r="CC4" s="1644"/>
      <c r="CD4" s="1645"/>
      <c r="CE4" s="1646"/>
      <c r="CF4" s="1647"/>
      <c r="CG4" s="1648"/>
      <c r="CH4" s="1649"/>
      <c r="CI4" s="1650"/>
      <c r="CJ4" s="1651"/>
      <c r="CK4" s="1652"/>
      <c r="CL4" s="1653"/>
      <c r="CM4" s="1654"/>
      <c r="CN4" s="1655"/>
      <c r="CO4" s="1656"/>
      <c r="CP4" s="1657"/>
    </row>
    <row r="5" spans="1:94">
      <c r="A5" s="1658"/>
      <c r="B5" s="1659"/>
      <c r="C5" s="1660"/>
      <c r="D5" s="1661"/>
      <c r="E5" s="1662"/>
      <c r="F5" s="1663"/>
      <c r="G5" s="1664"/>
      <c r="H5" s="1665"/>
      <c r="I5" s="1666"/>
      <c r="J5" s="1667"/>
      <c r="K5" s="1668"/>
      <c r="L5" s="1669" t="s">
        <v>995</v>
      </c>
      <c r="M5" s="1670"/>
      <c r="N5" s="1671"/>
      <c r="O5" s="1672"/>
      <c r="P5" s="1673"/>
      <c r="Q5" s="1674"/>
      <c r="R5" s="1675"/>
      <c r="S5" s="1676"/>
      <c r="T5" s="1677"/>
      <c r="U5" s="1678"/>
      <c r="V5" s="1679"/>
      <c r="W5" s="1680"/>
      <c r="X5" s="1681"/>
      <c r="Y5" s="1682"/>
      <c r="Z5" s="1683"/>
      <c r="AA5" s="1684"/>
      <c r="AB5" s="1685"/>
      <c r="AC5" s="1686"/>
      <c r="AD5" s="1687"/>
      <c r="AE5" s="1688"/>
      <c r="AF5" s="1689"/>
      <c r="AG5" s="1690"/>
      <c r="AH5" s="1691"/>
      <c r="AI5" s="1692"/>
      <c r="AJ5" s="1693"/>
      <c r="AK5" s="1694"/>
      <c r="AL5" s="1528"/>
      <c r="AM5" s="1695"/>
      <c r="AN5" s="1616"/>
      <c r="AO5" s="1614"/>
      <c r="AP5" s="1536"/>
      <c r="AQ5" s="1616"/>
      <c r="AR5" s="1535"/>
      <c r="AS5" s="1535"/>
      <c r="AT5" s="1617"/>
      <c r="AU5" s="1696"/>
      <c r="AV5" s="1697"/>
      <c r="AW5" s="1616"/>
      <c r="AX5" s="1698"/>
      <c r="AY5" s="1699"/>
      <c r="AZ5" s="1700"/>
      <c r="BA5" s="1701"/>
      <c r="BB5" s="1702"/>
      <c r="BC5" s="1531"/>
      <c r="BD5" s="1531"/>
      <c r="BE5" s="1703"/>
      <c r="BF5" s="1704"/>
      <c r="BG5" s="1705"/>
      <c r="BH5" s="1706"/>
      <c r="BI5" s="1707"/>
      <c r="BJ5" s="1708"/>
      <c r="BK5" s="1709"/>
      <c r="BL5" s="1710"/>
      <c r="BM5" s="1711"/>
      <c r="BN5" s="1712"/>
      <c r="BO5" s="1713"/>
      <c r="BP5" s="1714"/>
      <c r="BQ5" s="1715"/>
      <c r="BR5" s="1716"/>
      <c r="BS5" s="1717"/>
      <c r="BT5" s="1718"/>
      <c r="BU5" s="1719"/>
      <c r="BV5" s="1720"/>
      <c r="BW5" s="1721"/>
      <c r="BX5" s="1722"/>
      <c r="BY5" s="1723"/>
      <c r="BZ5" s="1724"/>
      <c r="CA5" s="1725"/>
      <c r="CB5" s="1726"/>
      <c r="CC5" s="1727"/>
      <c r="CD5" s="1728"/>
      <c r="CE5" s="1729"/>
      <c r="CF5" s="1730"/>
      <c r="CG5" s="1731"/>
      <c r="CH5" s="1732"/>
      <c r="CI5" s="1733"/>
      <c r="CJ5" s="1734"/>
      <c r="CK5" s="1735"/>
      <c r="CL5" s="1736"/>
      <c r="CM5" s="1737"/>
      <c r="CN5" s="1738"/>
      <c r="CO5" s="1739"/>
      <c r="CP5" s="1740"/>
    </row>
    <row r="6" spans="1:94">
      <c r="A6" s="1741"/>
      <c r="B6" s="1742"/>
      <c r="C6" s="1743"/>
      <c r="D6" s="1744"/>
      <c r="E6" s="1745"/>
      <c r="F6" s="1746"/>
      <c r="G6" s="1747"/>
      <c r="H6" s="1748"/>
      <c r="I6" s="1749"/>
      <c r="J6" s="1750"/>
      <c r="K6" s="1750"/>
      <c r="L6" s="1751" t="s">
        <v>995</v>
      </c>
      <c r="M6" s="1752"/>
      <c r="N6" s="1753"/>
      <c r="O6" s="1754"/>
      <c r="P6" s="1755"/>
      <c r="Q6" s="1756"/>
      <c r="R6" s="1757"/>
      <c r="S6" s="1758"/>
      <c r="T6" s="1759"/>
      <c r="U6" s="1760"/>
      <c r="V6" s="1761"/>
      <c r="W6" s="1762"/>
      <c r="X6" s="1763"/>
      <c r="Y6" s="1764"/>
      <c r="Z6" s="1765"/>
      <c r="AA6" s="1766"/>
      <c r="AB6" s="1767"/>
      <c r="AC6" s="1768"/>
      <c r="AD6" s="1769"/>
      <c r="AE6" s="1770"/>
      <c r="AF6" s="1771"/>
      <c r="AG6" s="1772"/>
      <c r="AH6" s="1773"/>
      <c r="AI6" s="1774"/>
      <c r="AJ6" s="1775"/>
      <c r="AK6" s="1776"/>
      <c r="AL6" s="1777"/>
      <c r="AM6" s="1778"/>
      <c r="AN6" s="1779"/>
      <c r="AO6" s="1780"/>
      <c r="AP6" s="1781"/>
      <c r="AQ6" s="1782"/>
      <c r="AR6" s="1779"/>
      <c r="AS6" s="1783"/>
      <c r="AT6" s="1784"/>
      <c r="AU6" s="1785"/>
      <c r="AV6" s="1786"/>
      <c r="AW6" s="1780"/>
      <c r="AX6" s="1787"/>
      <c r="AY6" s="1788"/>
      <c r="AZ6" s="1789"/>
      <c r="BA6" s="1701"/>
      <c r="BB6" s="1620"/>
      <c r="BC6" s="1790"/>
      <c r="BD6" s="1791"/>
      <c r="BE6" s="1531"/>
      <c r="BF6" s="1792"/>
      <c r="BG6" s="1621"/>
      <c r="BH6" s="1622"/>
      <c r="BI6" s="1793"/>
      <c r="BJ6" s="1794"/>
      <c r="BK6" s="1795"/>
      <c r="BL6" s="1796"/>
      <c r="BM6" s="1797"/>
      <c r="BN6" s="1798"/>
      <c r="BO6" s="1799"/>
      <c r="BP6" s="1800"/>
      <c r="BQ6" s="1801"/>
      <c r="BR6" s="1802"/>
      <c r="BS6" s="1803"/>
      <c r="BT6" s="1804"/>
      <c r="BU6" s="1805"/>
      <c r="BV6" s="1806"/>
      <c r="BW6" s="1807"/>
      <c r="BX6" s="1808"/>
      <c r="BY6" s="10573" cm="1">
        <f t="array" ref="BY6">SUM(ISODD(IF(BR23:CD33="",0,BR23:CD33))*BR23:CD33)</f>
        <v>207</v>
      </c>
      <c r="BZ6" s="1809" t="s">
        <v>994</v>
      </c>
      <c r="CA6" s="1810" t="s">
        <v>994</v>
      </c>
      <c r="CB6" s="1811" t="s">
        <v>994</v>
      </c>
      <c r="CC6" s="1812" t="s">
        <v>994</v>
      </c>
      <c r="CD6" s="113" t="s">
        <v>1027</v>
      </c>
      <c r="CE6" s="113"/>
      <c r="CF6" s="10594"/>
      <c r="CG6" s="1813"/>
      <c r="CH6" s="1814"/>
      <c r="CI6" s="1815"/>
      <c r="CJ6" s="1816"/>
      <c r="CK6" s="1817"/>
      <c r="CL6" s="1818"/>
      <c r="CM6" s="1819"/>
      <c r="CN6" s="1820"/>
      <c r="CO6" s="1821"/>
      <c r="CP6" s="1822"/>
    </row>
    <row r="7" spans="1:94">
      <c r="A7" s="1823"/>
      <c r="B7" s="1824"/>
      <c r="C7" s="1741"/>
      <c r="D7" s="1741"/>
      <c r="E7" s="1825"/>
      <c r="F7" s="1826"/>
      <c r="G7" s="1827"/>
      <c r="H7" s="1828"/>
      <c r="I7" s="1829"/>
      <c r="J7" s="1830"/>
      <c r="K7" s="1831"/>
      <c r="L7" s="1832" t="s">
        <v>995</v>
      </c>
      <c r="M7" s="1833"/>
      <c r="N7" s="1834"/>
      <c r="O7" s="1835"/>
      <c r="P7" s="1836"/>
      <c r="Q7" s="1837"/>
      <c r="R7" s="1838"/>
      <c r="S7" s="1839"/>
      <c r="T7" s="1840"/>
      <c r="U7" s="1841"/>
      <c r="V7" s="1842"/>
      <c r="W7" s="1843"/>
      <c r="X7" s="1844"/>
      <c r="Y7" s="1845"/>
      <c r="Z7" s="1846"/>
      <c r="AA7" s="1847"/>
      <c r="AB7" s="1848"/>
      <c r="AC7" s="1849"/>
      <c r="AD7" s="1850"/>
      <c r="AE7" s="1851"/>
      <c r="AF7" s="1852"/>
      <c r="AG7" s="1853"/>
      <c r="AH7" s="1854"/>
      <c r="AI7" s="1855"/>
      <c r="AJ7" s="1856"/>
      <c r="AK7" s="1857"/>
      <c r="AL7" s="1858"/>
      <c r="AM7" s="1859"/>
      <c r="AN7" s="1860"/>
      <c r="AO7" s="1861"/>
      <c r="AP7" s="1862"/>
      <c r="AQ7" s="1781"/>
      <c r="AR7" s="1698"/>
      <c r="AS7" s="1863"/>
      <c r="AT7" s="1859"/>
      <c r="AU7" s="1780"/>
      <c r="AV7" s="1864"/>
      <c r="AW7" s="1865"/>
      <c r="AX7" s="1866"/>
      <c r="AY7" s="1698"/>
      <c r="AZ7" s="1867"/>
      <c r="BA7" s="1868"/>
      <c r="BB7" s="1616"/>
      <c r="BC7" s="1791"/>
      <c r="BD7" s="1620"/>
      <c r="BE7" s="1621"/>
      <c r="BF7" s="1621"/>
      <c r="BG7" s="1703"/>
      <c r="BH7" s="1869"/>
      <c r="BI7" s="1870"/>
      <c r="BJ7" s="1871"/>
      <c r="BK7" s="1872"/>
      <c r="BL7" s="1873"/>
      <c r="BM7" s="1874"/>
      <c r="BN7" s="1875"/>
      <c r="BO7" s="1876"/>
      <c r="BP7" s="1877"/>
      <c r="BQ7" s="1878"/>
      <c r="BR7" s="1879"/>
      <c r="BS7" s="1880"/>
      <c r="BT7" s="1881"/>
      <c r="BU7" s="1882"/>
      <c r="BV7" s="1883"/>
      <c r="BW7" s="1884"/>
      <c r="BX7" s="1885"/>
      <c r="BY7" s="1886" t="s">
        <v>993</v>
      </c>
      <c r="BZ7" s="1887"/>
      <c r="CA7" s="1888"/>
      <c r="CB7" s="1889"/>
      <c r="CC7" s="1890"/>
      <c r="CD7" s="1891"/>
      <c r="CE7" s="1892"/>
      <c r="CF7" s="1893"/>
      <c r="CG7" s="1894"/>
      <c r="CH7" s="1895"/>
      <c r="CI7" s="1896"/>
      <c r="CJ7" s="1897"/>
      <c r="CK7" s="1898"/>
      <c r="CL7" s="1899"/>
      <c r="CM7" s="1736"/>
      <c r="CN7" s="1820"/>
      <c r="CO7" s="1900"/>
      <c r="CP7" s="1901"/>
    </row>
    <row r="8" spans="1:94">
      <c r="A8" s="1741"/>
      <c r="B8" s="1902"/>
      <c r="C8" s="1902"/>
      <c r="D8" s="1903"/>
      <c r="E8" s="1904"/>
      <c r="F8" s="1741"/>
      <c r="G8" s="1825"/>
      <c r="H8" s="1905"/>
      <c r="I8" s="1906"/>
      <c r="J8" s="1907"/>
      <c r="K8" s="1908"/>
      <c r="L8" s="1909" t="s">
        <v>995</v>
      </c>
      <c r="M8" s="1910"/>
      <c r="N8" s="1911"/>
      <c r="O8" s="1912"/>
      <c r="P8" s="1913"/>
      <c r="Q8" s="1914"/>
      <c r="R8" s="1915"/>
      <c r="S8" s="1916"/>
      <c r="T8" s="1917"/>
      <c r="U8" s="1918"/>
      <c r="V8" s="1919"/>
      <c r="W8" s="1920"/>
      <c r="X8" s="1921"/>
      <c r="Y8" s="1922"/>
      <c r="Z8" s="1923"/>
      <c r="AA8" s="1924"/>
      <c r="AB8" s="1925"/>
      <c r="AC8" s="1926"/>
      <c r="AD8" s="1927"/>
      <c r="AE8" s="1928"/>
      <c r="AF8" s="1929"/>
      <c r="AG8" s="1930"/>
      <c r="AH8" s="1931"/>
      <c r="AI8" s="1932"/>
      <c r="AJ8" s="1933"/>
      <c r="AK8" s="1934"/>
      <c r="AL8" s="1935"/>
      <c r="AM8" s="1936"/>
      <c r="AN8" s="1937"/>
      <c r="AO8" s="1938"/>
      <c r="AP8" s="1939"/>
      <c r="AQ8" s="1780"/>
      <c r="AR8" s="1860"/>
      <c r="AS8" s="1937"/>
      <c r="AT8" s="1940"/>
      <c r="AU8" s="1941"/>
      <c r="AV8" s="1942"/>
      <c r="AW8" s="1943"/>
      <c r="AX8" s="1944"/>
      <c r="AY8" s="1945"/>
      <c r="AZ8" s="1946"/>
      <c r="BA8" s="1862"/>
      <c r="BB8" s="1947"/>
      <c r="BC8" s="1948"/>
      <c r="BD8" s="1531"/>
      <c r="BE8" s="1527"/>
      <c r="BF8" s="1949"/>
      <c r="BG8" s="1950"/>
      <c r="BH8" s="1949"/>
      <c r="BI8" s="1951"/>
      <c r="BJ8" s="1952"/>
      <c r="BK8" s="1705"/>
      <c r="BL8" s="1953"/>
      <c r="BM8" s="1954"/>
      <c r="BN8" s="1955"/>
      <c r="BO8" s="1956"/>
      <c r="BP8" s="1957"/>
      <c r="BQ8" s="1958"/>
      <c r="BR8" s="1959"/>
      <c r="BS8" s="1960"/>
      <c r="BT8" s="1961"/>
      <c r="BU8" s="1962"/>
      <c r="BV8" s="1963"/>
      <c r="BW8" s="1964"/>
      <c r="BX8" s="1965"/>
      <c r="BY8" s="1966" t="s">
        <v>993</v>
      </c>
      <c r="BZ8" s="1967"/>
      <c r="CA8" s="1968"/>
      <c r="CB8" s="1733"/>
      <c r="CC8" s="1969"/>
      <c r="CD8" s="1970"/>
      <c r="CE8" s="1971"/>
      <c r="CF8" s="1972"/>
      <c r="CG8" s="1973"/>
      <c r="CH8" s="1974"/>
      <c r="CI8" s="1975"/>
      <c r="CJ8" s="1976"/>
      <c r="CK8" s="1977"/>
      <c r="CL8" s="1978"/>
      <c r="CM8" s="1979"/>
      <c r="CN8" s="1980"/>
      <c r="CO8" s="1900"/>
      <c r="CP8" s="1981"/>
    </row>
    <row r="9" spans="1:94">
      <c r="A9" s="1741"/>
      <c r="B9" s="1902"/>
      <c r="C9" s="1741"/>
      <c r="D9" s="1741"/>
      <c r="E9" s="1741"/>
      <c r="F9" s="1903"/>
      <c r="G9" s="1824"/>
      <c r="H9" s="1741"/>
      <c r="I9" s="1982"/>
      <c r="J9" s="1983"/>
      <c r="K9" s="1984"/>
      <c r="L9" s="1985" t="s">
        <v>995</v>
      </c>
      <c r="M9" s="1986"/>
      <c r="N9" s="1987"/>
      <c r="O9" s="1988"/>
      <c r="P9" s="1989"/>
      <c r="Q9" s="1990"/>
      <c r="R9" s="1991"/>
      <c r="S9" s="1992"/>
      <c r="T9" s="1993"/>
      <c r="U9" s="1994"/>
      <c r="V9" s="1995"/>
      <c r="W9" s="1996"/>
      <c r="X9" s="1997"/>
      <c r="Y9" s="1998"/>
      <c r="Z9" s="1999"/>
      <c r="AA9" s="2000"/>
      <c r="AB9" s="2001"/>
      <c r="AC9" s="2002"/>
      <c r="AD9" s="2003"/>
      <c r="AE9" s="2004"/>
      <c r="AF9" s="2005"/>
      <c r="AG9" s="2006"/>
      <c r="AH9" s="2007"/>
      <c r="AI9" s="2008"/>
      <c r="AJ9" s="2009"/>
      <c r="AK9" s="2010"/>
      <c r="AL9" s="2011"/>
      <c r="AM9" s="2012"/>
      <c r="AN9" s="2013"/>
      <c r="AO9" s="2014"/>
      <c r="AP9" s="2015"/>
      <c r="AQ9" s="2016"/>
      <c r="AR9" s="2017"/>
      <c r="AS9" s="2018"/>
      <c r="AT9" s="2019"/>
      <c r="AU9" s="2020"/>
      <c r="AV9" s="2021"/>
      <c r="AW9" s="2022"/>
      <c r="AX9" s="2023"/>
      <c r="AY9" s="2024"/>
      <c r="AZ9" s="2025"/>
      <c r="BA9" s="2026"/>
      <c r="BB9" s="2027"/>
      <c r="BC9" s="2028"/>
      <c r="BD9" s="2029"/>
      <c r="BE9" s="2030"/>
      <c r="BF9" s="1703"/>
      <c r="BG9" s="1528"/>
      <c r="BH9" s="1703"/>
      <c r="BI9" s="1703"/>
      <c r="BJ9" s="1704"/>
      <c r="BK9" s="2031"/>
      <c r="BL9" s="2031"/>
      <c r="BM9" s="2032"/>
      <c r="BN9" s="2033"/>
      <c r="BO9" s="1632"/>
      <c r="BP9" s="2034"/>
      <c r="BQ9" s="2035"/>
      <c r="BR9" s="2036"/>
      <c r="BS9" s="2037"/>
      <c r="BT9" s="2038"/>
      <c r="BU9" s="2039"/>
      <c r="BV9" s="2040"/>
      <c r="BW9" s="2041"/>
      <c r="BX9" s="2042"/>
      <c r="BY9" s="2043" t="s">
        <v>993</v>
      </c>
      <c r="BZ9" s="2044"/>
      <c r="CA9" s="2045"/>
      <c r="CB9" s="2046"/>
      <c r="CC9" s="2047"/>
      <c r="CD9" s="2048"/>
      <c r="CE9" s="2049"/>
      <c r="CF9" s="2050"/>
      <c r="CG9" s="2051"/>
      <c r="CH9" s="2052"/>
      <c r="CI9" s="2053"/>
      <c r="CJ9" s="2054"/>
      <c r="CK9" s="2055"/>
      <c r="CL9" s="2056"/>
      <c r="CM9" s="2057"/>
      <c r="CN9" s="2058"/>
      <c r="CO9" s="2059"/>
      <c r="CP9" s="2060"/>
    </row>
    <row r="10" spans="1:94">
      <c r="A10" s="1741"/>
      <c r="B10" s="1902"/>
      <c r="C10" s="1741"/>
      <c r="D10" s="1741"/>
      <c r="E10" s="1741"/>
      <c r="F10" s="1741"/>
      <c r="G10" s="2061"/>
      <c r="H10" s="1903"/>
      <c r="I10" s="2062"/>
      <c r="J10" s="2063"/>
      <c r="K10" s="2064"/>
      <c r="L10" s="2065" t="s">
        <v>995</v>
      </c>
      <c r="M10" s="2066"/>
      <c r="N10" s="2067"/>
      <c r="O10" s="2068"/>
      <c r="P10" s="2069"/>
      <c r="Q10" s="2070"/>
      <c r="R10" s="2071"/>
      <c r="S10" s="2072"/>
      <c r="T10" s="2073"/>
      <c r="U10" s="2074"/>
      <c r="V10" s="2075"/>
      <c r="W10" s="2076"/>
      <c r="X10" s="2077"/>
      <c r="Y10" s="2078"/>
      <c r="Z10" s="2079"/>
      <c r="AA10" s="2080"/>
      <c r="AB10" s="2081"/>
      <c r="AC10" s="2082"/>
      <c r="AD10" s="2083"/>
      <c r="AE10" s="2084"/>
      <c r="AF10" s="2085"/>
      <c r="AG10" s="2086"/>
      <c r="AH10" s="2087"/>
      <c r="AI10" s="2088"/>
      <c r="AJ10" s="2089"/>
      <c r="AK10" s="2090"/>
      <c r="AL10" s="2091"/>
      <c r="AM10" s="2092"/>
      <c r="AN10" s="2093"/>
      <c r="AO10" s="2094"/>
      <c r="AP10" s="2095"/>
      <c r="AQ10" s="2096"/>
      <c r="AR10" s="2097"/>
      <c r="AS10" s="2098"/>
      <c r="AT10" s="2099"/>
      <c r="AU10" s="2100"/>
      <c r="AV10" s="2101"/>
      <c r="AW10" s="2102"/>
      <c r="AX10" s="2103"/>
      <c r="AY10" s="2104"/>
      <c r="AZ10" s="2105"/>
      <c r="BA10" s="2106"/>
      <c r="BB10" s="2107"/>
      <c r="BC10" s="2108"/>
      <c r="BD10" s="2109"/>
      <c r="BE10" s="2110"/>
      <c r="BF10" s="2111"/>
      <c r="BG10" s="1620"/>
      <c r="BH10" s="1527"/>
      <c r="BI10" s="2112"/>
      <c r="BJ10" s="2113"/>
      <c r="BK10" s="2031"/>
      <c r="BL10" s="2114"/>
      <c r="BM10" s="2115"/>
      <c r="BN10" s="2116"/>
      <c r="BO10" s="2117"/>
      <c r="BP10" s="2032"/>
      <c r="BQ10" s="2118"/>
      <c r="BR10" s="2119"/>
      <c r="BS10" s="2117"/>
      <c r="BT10" s="2120"/>
      <c r="BU10" s="2121"/>
      <c r="BV10" s="1703"/>
      <c r="BW10" s="2122"/>
      <c r="BX10" s="2123"/>
      <c r="BY10" s="2124" t="s">
        <v>993</v>
      </c>
      <c r="BZ10" s="2125"/>
      <c r="CA10" s="2126"/>
      <c r="CB10" s="2127"/>
      <c r="CC10" s="2128"/>
      <c r="CD10" s="2129"/>
      <c r="CE10" s="2130"/>
      <c r="CF10" s="2131"/>
      <c r="CG10" s="2132"/>
      <c r="CH10" s="2133"/>
      <c r="CI10" s="2134"/>
      <c r="CJ10" s="2135"/>
      <c r="CK10" s="2136"/>
      <c r="CL10" s="2137"/>
      <c r="CM10" s="2138"/>
      <c r="CN10" s="2139"/>
      <c r="CO10" s="2140"/>
      <c r="CP10" s="2141"/>
    </row>
    <row r="11" spans="1:94">
      <c r="A11" s="1741"/>
      <c r="B11" s="1902"/>
      <c r="C11" s="1741"/>
      <c r="D11" s="1741"/>
      <c r="E11" s="1741"/>
      <c r="F11" s="1741"/>
      <c r="G11" s="2142"/>
      <c r="H11" s="1741"/>
      <c r="I11" s="2143"/>
      <c r="J11" s="2144"/>
      <c r="K11" s="2145"/>
      <c r="L11" s="2146" t="s">
        <v>995</v>
      </c>
      <c r="M11" s="2147"/>
      <c r="N11" s="2148"/>
      <c r="O11" s="2149"/>
      <c r="P11" s="2150"/>
      <c r="Q11" s="2079"/>
      <c r="R11" s="2151"/>
      <c r="S11" s="2152"/>
      <c r="T11" s="2153"/>
      <c r="U11" s="2154"/>
      <c r="V11" s="2155"/>
      <c r="W11" s="2156"/>
      <c r="X11" s="2156"/>
      <c r="Y11" s="2155"/>
      <c r="Z11" s="2157"/>
      <c r="AA11" s="2158"/>
      <c r="AB11" s="2159"/>
      <c r="AC11" s="2160"/>
      <c r="AD11" s="2161"/>
      <c r="AE11" s="2162"/>
      <c r="AF11" s="2163"/>
      <c r="AG11" s="2164"/>
      <c r="AH11" s="2165"/>
      <c r="AI11" s="2166"/>
      <c r="AJ11" s="2167"/>
      <c r="AK11" s="2168"/>
      <c r="AL11" s="2169"/>
      <c r="AM11" s="2170"/>
      <c r="AN11" s="2171"/>
      <c r="AO11" s="2172"/>
      <c r="AP11" s="2173"/>
      <c r="AQ11" s="2174"/>
      <c r="AR11" s="2175"/>
      <c r="AS11" s="2176"/>
      <c r="AT11" s="2177"/>
      <c r="AU11" s="2178"/>
      <c r="AV11" s="2179"/>
      <c r="AW11" s="2180"/>
      <c r="AX11" s="2181"/>
      <c r="AY11" s="2182"/>
      <c r="AZ11" s="2183"/>
      <c r="BA11" s="2184"/>
      <c r="BB11" s="2185"/>
      <c r="BC11" s="2186"/>
      <c r="BD11" s="2187"/>
      <c r="BE11" s="2188"/>
      <c r="BF11" s="2189"/>
      <c r="BG11" s="1781"/>
      <c r="BH11" s="2190"/>
      <c r="BI11" s="2191"/>
      <c r="BJ11" s="2192"/>
      <c r="BK11" s="2193"/>
      <c r="BL11" s="2193"/>
      <c r="BM11" s="1951"/>
      <c r="BN11" s="2194"/>
      <c r="BO11" s="1951"/>
      <c r="BP11" s="2114"/>
      <c r="BQ11" s="2195"/>
      <c r="BR11" s="2196"/>
      <c r="BS11" s="2197"/>
      <c r="BT11" s="2198"/>
      <c r="BU11" s="2199"/>
      <c r="BV11" s="1951"/>
      <c r="BW11" s="2200"/>
      <c r="BX11" s="2201"/>
      <c r="BY11" s="2202" t="s">
        <v>993</v>
      </c>
      <c r="BZ11" s="2203"/>
      <c r="CA11" s="2204"/>
      <c r="CB11" s="2205"/>
      <c r="CC11" s="2206"/>
      <c r="CD11" s="2207"/>
      <c r="CE11" s="2208"/>
      <c r="CF11" s="2209"/>
      <c r="CG11" s="2210"/>
      <c r="CH11" s="2211"/>
      <c r="CI11" s="2212"/>
      <c r="CJ11" s="2213"/>
      <c r="CK11" s="2214"/>
      <c r="CL11" s="2215"/>
      <c r="CM11" s="2216"/>
      <c r="CN11" s="2217"/>
      <c r="CO11" s="2218"/>
      <c r="CP11" s="2219"/>
    </row>
    <row r="12" spans="1:94">
      <c r="A12" s="1741"/>
      <c r="B12" s="1902"/>
      <c r="C12" s="1741"/>
      <c r="D12" s="1741"/>
      <c r="E12" s="1741"/>
      <c r="F12" s="1741"/>
      <c r="G12" s="2220"/>
      <c r="H12" s="1741"/>
      <c r="I12" s="2221"/>
      <c r="J12" s="2222"/>
      <c r="K12" s="2223"/>
      <c r="L12" s="2224" t="s">
        <v>995</v>
      </c>
      <c r="M12" s="2225"/>
      <c r="N12" s="2226"/>
      <c r="O12" s="2227"/>
      <c r="P12" s="2228"/>
      <c r="Q12" s="2162"/>
      <c r="R12" s="2229"/>
      <c r="S12" s="2230"/>
      <c r="T12" s="2231"/>
      <c r="U12" s="2232"/>
      <c r="V12" s="2156"/>
      <c r="W12" s="2156"/>
      <c r="X12" s="2233"/>
      <c r="Y12" s="2156"/>
      <c r="Z12" s="2157"/>
      <c r="AA12" s="2234"/>
      <c r="AB12" s="2235"/>
      <c r="AC12" s="2236"/>
      <c r="AD12" s="2237"/>
      <c r="AE12" s="2157"/>
      <c r="AF12" s="2238"/>
      <c r="AG12" s="2239"/>
      <c r="AH12" s="2240"/>
      <c r="AI12" s="2241"/>
      <c r="AJ12" s="2242"/>
      <c r="AK12" s="2243"/>
      <c r="AL12" s="2244"/>
      <c r="AM12" s="2245"/>
      <c r="AN12" s="2246"/>
      <c r="AO12" s="2247"/>
      <c r="AP12" s="1825"/>
      <c r="AQ12" s="1741"/>
      <c r="AR12" s="1741"/>
      <c r="AS12" s="1741"/>
      <c r="AT12" s="2248"/>
      <c r="AU12" s="2248"/>
      <c r="AV12" s="2248"/>
      <c r="AW12" s="2249"/>
      <c r="AX12" s="2248"/>
      <c r="AY12" s="1741"/>
      <c r="AZ12" s="1741"/>
      <c r="BA12" s="1741"/>
      <c r="BB12" s="1741"/>
      <c r="BC12" s="2250"/>
      <c r="BD12" s="2251"/>
      <c r="BE12" s="2252"/>
      <c r="BF12" s="2188"/>
      <c r="BG12" s="2189"/>
      <c r="BH12" s="2253"/>
      <c r="BI12" s="1702"/>
      <c r="BJ12" s="1702"/>
      <c r="BK12" s="2254"/>
      <c r="BL12" s="2255"/>
      <c r="BM12" s="2033"/>
      <c r="BN12" s="2256"/>
      <c r="BO12" s="2257"/>
      <c r="BP12" s="2258"/>
      <c r="BQ12" s="2259"/>
      <c r="BR12" s="2194"/>
      <c r="BS12" s="2194"/>
      <c r="BT12" s="2260"/>
      <c r="BU12" s="2198"/>
      <c r="BV12" s="2031"/>
      <c r="BW12" s="2114"/>
      <c r="BX12" s="2261"/>
      <c r="BY12" s="2262" t="s">
        <v>993</v>
      </c>
      <c r="BZ12" s="2263"/>
      <c r="CA12" s="2264"/>
      <c r="CB12" s="2265"/>
      <c r="CC12" s="2266"/>
      <c r="CD12" s="2267"/>
      <c r="CE12" s="2268"/>
      <c r="CF12" s="2269"/>
      <c r="CG12" s="2270"/>
      <c r="CH12" s="2271"/>
      <c r="CI12" s="2272"/>
      <c r="CJ12" s="2273"/>
      <c r="CK12" s="2274"/>
      <c r="CL12" s="2275"/>
      <c r="CM12" s="2276"/>
      <c r="CN12" s="2277"/>
      <c r="CO12" s="2278"/>
      <c r="CP12" s="2219"/>
    </row>
    <row r="13" spans="1:94">
      <c r="A13" s="1741"/>
      <c r="B13" s="1902"/>
      <c r="C13" s="1741"/>
      <c r="D13" s="1741"/>
      <c r="E13" s="1741"/>
      <c r="F13" s="1741"/>
      <c r="G13" s="2279"/>
      <c r="H13" s="2248"/>
      <c r="I13" s="2280"/>
      <c r="J13" s="2281"/>
      <c r="K13" s="2282"/>
      <c r="L13" s="2283" t="s">
        <v>995</v>
      </c>
      <c r="M13" s="2284"/>
      <c r="N13" s="2285"/>
      <c r="O13" s="2286"/>
      <c r="P13" s="2287"/>
      <c r="Q13" s="2287"/>
      <c r="R13" s="2078"/>
      <c r="S13" s="2288"/>
      <c r="T13" s="2232"/>
      <c r="U13" s="2289"/>
      <c r="V13" s="2288"/>
      <c r="W13" s="2156"/>
      <c r="X13" s="2290"/>
      <c r="Y13" s="2290"/>
      <c r="Z13" s="2235"/>
      <c r="AA13" s="2291"/>
      <c r="AB13" s="2292"/>
      <c r="AC13" s="2293"/>
      <c r="AD13" s="2293"/>
      <c r="AE13" s="2294"/>
      <c r="AF13" s="2295"/>
      <c r="AG13" s="2296"/>
      <c r="AH13" s="2297"/>
      <c r="AI13" s="2298"/>
      <c r="AJ13" s="2299"/>
      <c r="AK13" s="2300"/>
      <c r="AL13" s="2301"/>
      <c r="AM13" s="2302"/>
      <c r="AN13" s="1741"/>
      <c r="AO13" s="1741"/>
      <c r="AP13" s="1741"/>
      <c r="AQ13" s="1741"/>
      <c r="AR13" s="1823"/>
      <c r="AS13" s="1741"/>
      <c r="AT13" s="1741"/>
      <c r="AU13" s="1741"/>
      <c r="AV13" s="1741"/>
      <c r="AW13" s="1741"/>
      <c r="AX13" s="1741"/>
      <c r="AY13" s="2303"/>
      <c r="AZ13" s="1902"/>
      <c r="BA13" s="1823"/>
      <c r="BB13" s="2304"/>
      <c r="BC13" s="1741"/>
      <c r="BD13" s="2181"/>
      <c r="BE13" s="2305"/>
      <c r="BF13" s="2306"/>
      <c r="BG13" s="1933"/>
      <c r="BH13" s="2307"/>
      <c r="BI13" s="1619"/>
      <c r="BJ13" s="2308"/>
      <c r="BK13" s="1614"/>
      <c r="BL13" s="2309"/>
      <c r="BM13" s="2310"/>
      <c r="BN13" s="2311"/>
      <c r="BO13" s="2114"/>
      <c r="BP13" s="2259"/>
      <c r="BQ13" s="2312"/>
      <c r="BR13" s="2313"/>
      <c r="BS13" s="1951"/>
      <c r="BT13" s="2198"/>
      <c r="BU13" s="2314"/>
      <c r="BV13" s="2315"/>
      <c r="BW13" s="2316"/>
      <c r="BX13" s="2317"/>
      <c r="BY13" s="2318" t="s">
        <v>993</v>
      </c>
      <c r="BZ13" s="2319"/>
      <c r="CA13" s="2320"/>
      <c r="CB13" s="2321"/>
      <c r="CC13" s="2322"/>
      <c r="CD13" s="2323"/>
      <c r="CE13" s="2324"/>
      <c r="CF13" s="1631"/>
      <c r="CG13" s="2325"/>
      <c r="CH13" s="2324"/>
      <c r="CI13" s="2326"/>
      <c r="CJ13" s="2327"/>
      <c r="CK13" s="2328"/>
      <c r="CL13" s="2329"/>
      <c r="CM13" s="2330"/>
      <c r="CN13" s="2331"/>
      <c r="CO13" s="2332"/>
      <c r="CP13" s="2333"/>
    </row>
    <row r="14" spans="1:94">
      <c r="A14" s="1741"/>
      <c r="B14" s="1902"/>
      <c r="C14" s="1741"/>
      <c r="D14" s="1741"/>
      <c r="E14" s="1741"/>
      <c r="F14" s="1902"/>
      <c r="G14" s="2334"/>
      <c r="H14" s="2335"/>
      <c r="I14" s="2336"/>
      <c r="J14" s="2337"/>
      <c r="K14" s="2338"/>
      <c r="L14" s="2339" t="s">
        <v>995</v>
      </c>
      <c r="M14" s="2340"/>
      <c r="N14" s="2341"/>
      <c r="O14" s="2342"/>
      <c r="P14" s="2287"/>
      <c r="Q14" s="2233"/>
      <c r="R14" s="2231"/>
      <c r="S14" s="2233"/>
      <c r="T14" s="2231"/>
      <c r="U14" s="2154"/>
      <c r="V14" s="2156"/>
      <c r="W14" s="2343"/>
      <c r="X14" s="2344"/>
      <c r="Y14" s="2345"/>
      <c r="Z14" s="2346"/>
      <c r="AA14" s="2347"/>
      <c r="AB14" s="2348"/>
      <c r="AC14" s="2293"/>
      <c r="AD14" s="2345"/>
      <c r="AE14" s="2349"/>
      <c r="AF14" s="2350"/>
      <c r="AG14" s="2351"/>
      <c r="AH14" s="2352"/>
      <c r="AI14" s="2353"/>
      <c r="AJ14" s="2354"/>
      <c r="AK14" s="2355"/>
      <c r="AL14" s="2356"/>
      <c r="AM14" s="2357"/>
      <c r="AN14" s="2358"/>
      <c r="AO14" s="2359"/>
      <c r="AP14" s="2360"/>
      <c r="AQ14" s="2361"/>
      <c r="AR14" s="2362"/>
      <c r="AS14" s="1741"/>
      <c r="AT14" s="1741"/>
      <c r="AU14" s="1741"/>
      <c r="AV14" s="1741"/>
      <c r="AW14" s="1741"/>
      <c r="AX14" s="1741"/>
      <c r="AY14" s="1741"/>
      <c r="AZ14" s="1741"/>
      <c r="BA14" s="1741"/>
      <c r="BB14" s="1741"/>
      <c r="BC14" s="2061"/>
      <c r="BD14" s="2249"/>
      <c r="BE14" s="2363"/>
      <c r="BF14" s="2364"/>
      <c r="BG14" s="2365"/>
      <c r="BH14" s="2366"/>
      <c r="BI14" s="2367"/>
      <c r="BJ14" s="2368"/>
      <c r="BK14" s="2369"/>
      <c r="BL14" s="2370"/>
      <c r="BM14" s="2371"/>
      <c r="BN14" s="2372"/>
      <c r="BO14" s="2312"/>
      <c r="BP14" s="2373"/>
      <c r="BQ14" s="2374"/>
      <c r="BR14" s="2372"/>
      <c r="BS14" s="2114"/>
      <c r="BT14" s="2257"/>
      <c r="BU14" s="2375"/>
      <c r="BV14" s="2376"/>
      <c r="BW14" s="2377"/>
      <c r="BX14" s="2378"/>
      <c r="BY14" s="2379" t="s">
        <v>993</v>
      </c>
      <c r="BZ14" s="2380"/>
      <c r="CA14" s="2381"/>
      <c r="CB14" s="2382"/>
      <c r="CC14" s="2383"/>
      <c r="CD14" s="2384"/>
      <c r="CE14" s="2385"/>
      <c r="CF14" s="2386"/>
      <c r="CG14" s="2387"/>
      <c r="CH14" s="2388"/>
      <c r="CI14" s="2389"/>
      <c r="CJ14" s="2390"/>
      <c r="CK14" s="2391"/>
      <c r="CL14" s="2392"/>
      <c r="CM14" s="2393"/>
      <c r="CN14" s="2394"/>
      <c r="CO14" s="2395"/>
      <c r="CP14" s="2396"/>
    </row>
    <row r="15" spans="1:94" ht="16.5" thickBot="1">
      <c r="A15" s="1741"/>
      <c r="B15" s="1902"/>
      <c r="C15" s="1741"/>
      <c r="D15" s="1741"/>
      <c r="E15" s="1741"/>
      <c r="F15" s="2397"/>
      <c r="G15" s="1741"/>
      <c r="H15" s="2398"/>
      <c r="I15" s="2399"/>
      <c r="J15" s="2400"/>
      <c r="K15" s="2401"/>
      <c r="L15" s="10573">
        <f>SUM(L16:R20)</f>
        <v>159</v>
      </c>
      <c r="M15" s="2402"/>
      <c r="N15" s="2403"/>
      <c r="O15" s="2404"/>
      <c r="P15" s="2405"/>
      <c r="Q15" s="2406"/>
      <c r="R15" s="2406"/>
      <c r="S15" s="2406"/>
      <c r="T15" s="2154"/>
      <c r="U15" s="2288"/>
      <c r="V15" s="2290"/>
      <c r="W15" s="2407"/>
      <c r="X15" s="2408"/>
      <c r="Y15" s="2408"/>
      <c r="Z15" s="2409"/>
      <c r="AA15" s="2410"/>
      <c r="AB15" s="2293"/>
      <c r="AC15" s="2293"/>
      <c r="AD15" s="2411"/>
      <c r="AE15" s="2412"/>
      <c r="AF15" s="2413"/>
      <c r="AG15" s="2414"/>
      <c r="AH15" s="2415"/>
      <c r="AI15" s="2416"/>
      <c r="AJ15" s="2417"/>
      <c r="AK15" s="2418"/>
      <c r="AL15" s="2419"/>
      <c r="AM15" s="2420"/>
      <c r="AN15" s="2421"/>
      <c r="AO15" s="2422"/>
      <c r="AP15" s="2423"/>
      <c r="AQ15" s="2424"/>
      <c r="AR15" s="1741"/>
      <c r="AS15" s="1741"/>
      <c r="AT15" s="1741"/>
      <c r="AU15" s="1741"/>
      <c r="AV15" s="1741"/>
      <c r="AW15" s="1741"/>
      <c r="AX15" s="1741"/>
      <c r="AY15" s="1741"/>
      <c r="AZ15" s="1741"/>
      <c r="BA15" s="1741"/>
      <c r="BB15" s="2425"/>
      <c r="BC15" s="2425"/>
      <c r="BD15" s="2426"/>
      <c r="BE15" s="2425"/>
      <c r="BF15" s="2427"/>
      <c r="BG15" s="2428"/>
      <c r="BH15" s="2429" t="s">
        <v>994</v>
      </c>
      <c r="BI15" s="2430" t="s">
        <v>994</v>
      </c>
      <c r="BJ15" s="2431" t="s">
        <v>994</v>
      </c>
      <c r="BK15" s="2432" t="s">
        <v>994</v>
      </c>
      <c r="BL15" s="2433" t="s">
        <v>994</v>
      </c>
      <c r="BM15" s="2373" t="s">
        <v>994</v>
      </c>
      <c r="BN15" s="2434" t="s">
        <v>994</v>
      </c>
      <c r="BO15" s="2435" t="s">
        <v>995</v>
      </c>
      <c r="BP15" s="2436"/>
      <c r="BQ15" s="2437"/>
      <c r="BR15" s="2438"/>
      <c r="BS15" s="2439"/>
      <c r="BT15" s="2440"/>
      <c r="BU15" s="2441"/>
      <c r="BV15" s="2442"/>
      <c r="BW15" s="2443"/>
      <c r="BX15" s="2444"/>
      <c r="BY15" s="2445" t="s">
        <v>993</v>
      </c>
      <c r="BZ15" s="2446"/>
      <c r="CA15" s="2447"/>
      <c r="CB15" s="2118"/>
      <c r="CC15" s="2448"/>
      <c r="CD15" s="2449"/>
      <c r="CE15" s="2450"/>
      <c r="CF15" s="2451"/>
      <c r="CG15" s="2452"/>
      <c r="CH15" s="2453"/>
      <c r="CI15" s="2454"/>
      <c r="CJ15" s="2455"/>
      <c r="CK15" s="2456"/>
      <c r="CL15" s="2457"/>
      <c r="CM15" s="2458"/>
      <c r="CN15" s="2459"/>
      <c r="CO15" s="2460"/>
      <c r="CP15" s="2461"/>
    </row>
    <row r="16" spans="1:94">
      <c r="A16" s="1741"/>
      <c r="B16" s="1902"/>
      <c r="C16" s="1741"/>
      <c r="D16" s="1902"/>
      <c r="E16" s="1741"/>
      <c r="F16" s="2462"/>
      <c r="G16" s="2463"/>
      <c r="H16" s="2464"/>
      <c r="I16" s="2465"/>
      <c r="J16" s="2466"/>
      <c r="K16" s="2467"/>
      <c r="L16" s="2468">
        <v>4</v>
      </c>
      <c r="M16" s="2469">
        <v>6</v>
      </c>
      <c r="N16" s="2469">
        <v>9</v>
      </c>
      <c r="O16" s="2470">
        <v>6</v>
      </c>
      <c r="P16" s="2471">
        <v>7</v>
      </c>
      <c r="Q16" s="2472">
        <v>4</v>
      </c>
      <c r="R16" s="2473">
        <v>5</v>
      </c>
      <c r="S16" s="2474"/>
      <c r="T16" s="2474"/>
      <c r="U16" s="2475"/>
      <c r="V16" s="2475"/>
      <c r="W16" s="2346"/>
      <c r="X16" s="2476"/>
      <c r="Y16" s="2345"/>
      <c r="Z16" s="2409"/>
      <c r="AA16" s="2477"/>
      <c r="AB16" s="2234"/>
      <c r="AC16" s="2478"/>
      <c r="AD16" s="2347"/>
      <c r="AE16" s="2292"/>
      <c r="AF16" s="2479"/>
      <c r="AG16" s="2480"/>
      <c r="AH16" s="2300"/>
      <c r="AI16" s="2481"/>
      <c r="AJ16" s="2482"/>
      <c r="AK16" s="2483"/>
      <c r="AL16" s="2484"/>
      <c r="AM16" s="2485"/>
      <c r="AN16" s="2486"/>
      <c r="AO16" s="1741"/>
      <c r="AP16" s="1741"/>
      <c r="AQ16" s="1741"/>
      <c r="AR16" s="1741"/>
      <c r="AS16" s="1741"/>
      <c r="AT16" s="1741"/>
      <c r="AU16" s="1741"/>
      <c r="AV16" s="1741"/>
      <c r="AW16" s="1741"/>
      <c r="AX16" s="1741"/>
      <c r="AY16" s="1741"/>
      <c r="AZ16" s="1741"/>
      <c r="BA16" s="1741"/>
      <c r="BB16" s="2425"/>
      <c r="BC16" s="2425"/>
      <c r="BD16" s="2487"/>
      <c r="BE16" s="2488"/>
      <c r="BF16" s="2489"/>
      <c r="BG16" s="2490" t="s">
        <v>994</v>
      </c>
      <c r="BH16" s="2429" t="s">
        <v>993</v>
      </c>
      <c r="BI16" s="2491" t="s">
        <v>993</v>
      </c>
      <c r="BJ16" s="2492"/>
      <c r="BK16" s="2493"/>
      <c r="BL16" s="2494"/>
      <c r="BM16" s="2495"/>
      <c r="BN16" s="2496" t="s">
        <v>995</v>
      </c>
      <c r="BO16" s="2497" t="s">
        <v>995</v>
      </c>
      <c r="BP16" s="2498" t="s">
        <v>995</v>
      </c>
      <c r="BQ16" s="2499"/>
      <c r="BR16" s="2500"/>
      <c r="BS16" s="1871"/>
      <c r="BT16" s="2501"/>
      <c r="BU16" s="2502"/>
      <c r="BV16" s="2503"/>
      <c r="BW16" s="2504"/>
      <c r="BX16" s="2505"/>
      <c r="BY16" s="2506" t="s">
        <v>993</v>
      </c>
      <c r="BZ16" s="2507"/>
      <c r="CA16" s="2508"/>
      <c r="CB16" s="1591"/>
      <c r="CC16" s="2509"/>
      <c r="CD16" s="2510"/>
      <c r="CE16" s="2511"/>
      <c r="CF16" s="2512"/>
      <c r="CG16" s="2513"/>
      <c r="CH16" s="2514"/>
      <c r="CI16" s="2515"/>
      <c r="CJ16" s="2516"/>
      <c r="CK16" s="2517"/>
      <c r="CL16" s="2518"/>
      <c r="CM16" s="2519"/>
      <c r="CN16" s="2459"/>
      <c r="CO16" s="2520"/>
      <c r="CP16" s="2521"/>
    </row>
    <row r="17" spans="1:94">
      <c r="A17" s="1741"/>
      <c r="B17" s="1902"/>
      <c r="C17" s="1741"/>
      <c r="D17" s="2522"/>
      <c r="E17" s="2523"/>
      <c r="F17" s="2524"/>
      <c r="G17" s="2525"/>
      <c r="H17" s="2526"/>
      <c r="I17" s="2527"/>
      <c r="J17" s="2528"/>
      <c r="K17" s="2529"/>
      <c r="L17" s="2530">
        <v>6</v>
      </c>
      <c r="M17" s="2531">
        <v>4</v>
      </c>
      <c r="N17" s="2287">
        <v>3</v>
      </c>
      <c r="O17" s="2287">
        <v>1</v>
      </c>
      <c r="P17" s="2532">
        <v>0</v>
      </c>
      <c r="Q17" s="2078">
        <v>5</v>
      </c>
      <c r="R17" s="2533">
        <v>0</v>
      </c>
      <c r="S17" s="2474"/>
      <c r="T17" s="2079"/>
      <c r="U17" s="2534"/>
      <c r="V17" s="2235"/>
      <c r="W17" s="2291"/>
      <c r="X17" s="2478"/>
      <c r="Y17" s="2346"/>
      <c r="Z17" s="2347"/>
      <c r="AA17" s="2345"/>
      <c r="AB17" s="2408"/>
      <c r="AC17" s="2234"/>
      <c r="AD17" s="2410"/>
      <c r="AE17" s="2535"/>
      <c r="AF17" s="2293"/>
      <c r="AG17" s="2536"/>
      <c r="AH17" s="2537"/>
      <c r="AI17" s="2538"/>
      <c r="AJ17" s="2539"/>
      <c r="AK17" s="2540"/>
      <c r="AL17" s="2541"/>
      <c r="AM17" s="2542"/>
      <c r="AN17" s="2543"/>
      <c r="AO17" s="2544"/>
      <c r="AP17" s="2248"/>
      <c r="AQ17" s="2279"/>
      <c r="AR17" s="1741"/>
      <c r="AS17" s="1741"/>
      <c r="AT17" s="1741"/>
      <c r="AU17" s="1741"/>
      <c r="AV17" s="1741"/>
      <c r="AW17" s="1741"/>
      <c r="AX17" s="1741"/>
      <c r="AY17" s="1741"/>
      <c r="AZ17" s="1741"/>
      <c r="BA17" s="1741"/>
      <c r="BB17" s="2425"/>
      <c r="BC17" s="2425"/>
      <c r="BD17" s="2545"/>
      <c r="BE17" s="2546"/>
      <c r="BF17" s="2547" t="s">
        <v>994</v>
      </c>
      <c r="BG17" s="2548" t="s">
        <v>993</v>
      </c>
      <c r="BH17" s="2549" t="s">
        <v>993</v>
      </c>
      <c r="BI17" s="2550"/>
      <c r="BJ17" s="2551"/>
      <c r="BK17" s="2493"/>
      <c r="BL17" s="2552"/>
      <c r="BM17" s="2376"/>
      <c r="BN17" s="2553"/>
      <c r="BO17" s="2554" t="s">
        <v>994</v>
      </c>
      <c r="BP17" s="2555" t="s">
        <v>995</v>
      </c>
      <c r="BQ17" s="2556"/>
      <c r="BR17" s="2557"/>
      <c r="BS17" s="2558"/>
      <c r="BT17" s="2559"/>
      <c r="BU17" s="2560"/>
      <c r="BV17" s="2561"/>
      <c r="BW17" s="2562"/>
      <c r="BX17" s="2563"/>
      <c r="BY17" s="2564" t="s">
        <v>993</v>
      </c>
      <c r="BZ17" s="2565"/>
      <c r="CA17" s="2566"/>
      <c r="CB17" s="2567"/>
      <c r="CC17" s="2568"/>
      <c r="CD17" s="2569"/>
      <c r="CE17" s="2570"/>
      <c r="CF17" s="2571"/>
      <c r="CG17" s="2572"/>
      <c r="CH17" s="2573"/>
      <c r="CI17" s="2574"/>
      <c r="CJ17" s="2575"/>
      <c r="CK17" s="2576"/>
      <c r="CL17" s="2577"/>
      <c r="CM17" s="2578"/>
      <c r="CN17" s="2579"/>
      <c r="CO17" s="2580"/>
      <c r="CP17" s="2581"/>
    </row>
    <row r="18" spans="1:94">
      <c r="A18" s="1741"/>
      <c r="B18" s="1902"/>
      <c r="C18" s="1902"/>
      <c r="D18" s="1741"/>
      <c r="E18" s="2582"/>
      <c r="F18" s="2583"/>
      <c r="G18" s="2584"/>
      <c r="H18" s="2585"/>
      <c r="I18" s="2586"/>
      <c r="J18" s="2587"/>
      <c r="K18" s="2588"/>
      <c r="L18" s="2589">
        <v>0</v>
      </c>
      <c r="M18" s="2590">
        <v>0</v>
      </c>
      <c r="N18" s="2591">
        <v>5</v>
      </c>
      <c r="O18" s="2592">
        <v>5</v>
      </c>
      <c r="P18" s="2152">
        <v>5</v>
      </c>
      <c r="Q18" s="2290">
        <v>8</v>
      </c>
      <c r="R18" s="2593">
        <v>6</v>
      </c>
      <c r="S18" s="2079"/>
      <c r="T18" s="2156"/>
      <c r="U18" s="2235"/>
      <c r="V18" s="2346"/>
      <c r="W18" s="2594"/>
      <c r="X18" s="2346"/>
      <c r="Y18" s="2595"/>
      <c r="Z18" s="2345"/>
      <c r="AA18" s="2234"/>
      <c r="AB18" s="2345"/>
      <c r="AC18" s="2409"/>
      <c r="AD18" s="2347"/>
      <c r="AE18" s="2596"/>
      <c r="AF18" s="2597"/>
      <c r="AG18" s="2598"/>
      <c r="AH18" s="2599"/>
      <c r="AI18" s="2600"/>
      <c r="AJ18" s="2601"/>
      <c r="AK18" s="2602"/>
      <c r="AL18" s="2603"/>
      <c r="AM18" s="2604"/>
      <c r="AN18" s="2605"/>
      <c r="AO18" s="2606"/>
      <c r="AP18" s="2607"/>
      <c r="AQ18" s="2334"/>
      <c r="AR18" s="2334"/>
      <c r="AS18" s="1741"/>
      <c r="AT18" s="1741"/>
      <c r="AU18" s="1741"/>
      <c r="AV18" s="1741"/>
      <c r="AW18" s="1741"/>
      <c r="AX18" s="1741"/>
      <c r="AY18" s="1741"/>
      <c r="AZ18" s="1741"/>
      <c r="BA18" s="1741"/>
      <c r="BB18" s="2425"/>
      <c r="BC18" s="2425"/>
      <c r="BD18" s="2608"/>
      <c r="BE18" s="2609" t="s">
        <v>994</v>
      </c>
      <c r="BF18" s="2610" t="s">
        <v>993</v>
      </c>
      <c r="BG18" s="2611" t="s">
        <v>993</v>
      </c>
      <c r="BH18" s="2612"/>
      <c r="BI18" s="1699"/>
      <c r="BJ18" s="2308"/>
      <c r="BK18" s="2613"/>
      <c r="BL18" s="2614"/>
      <c r="BM18" s="2033"/>
      <c r="BN18" s="2615"/>
      <c r="BO18" s="2616"/>
      <c r="BP18" s="2617" t="s">
        <v>995</v>
      </c>
      <c r="BQ18" s="2618" t="s">
        <v>995</v>
      </c>
      <c r="BR18" s="2619"/>
      <c r="BS18" s="2620"/>
      <c r="BT18" s="2621"/>
      <c r="BU18" s="2622"/>
      <c r="BV18" s="2623"/>
      <c r="BW18" s="2624"/>
      <c r="BX18" s="2625"/>
      <c r="BY18" s="2626" t="s">
        <v>993</v>
      </c>
      <c r="BZ18" s="2627"/>
      <c r="CA18" s="2628"/>
      <c r="CB18" s="2629"/>
      <c r="CC18" s="2630"/>
      <c r="CD18" s="2631"/>
      <c r="CE18" s="2632"/>
      <c r="CF18" s="2633"/>
      <c r="CG18" s="2634"/>
      <c r="CH18" s="2635"/>
      <c r="CI18" s="2636"/>
      <c r="CJ18" s="2637"/>
      <c r="CK18" s="2638"/>
      <c r="CL18" s="2639"/>
      <c r="CM18" s="2640"/>
      <c r="CN18" s="2641"/>
      <c r="CO18" s="2579"/>
      <c r="CP18" s="2642"/>
    </row>
    <row r="19" spans="1:94">
      <c r="A19" s="1741"/>
      <c r="B19" s="1902"/>
      <c r="C19" s="1902"/>
      <c r="D19" s="1741"/>
      <c r="E19" s="2643"/>
      <c r="F19" s="2644"/>
      <c r="G19" s="2645"/>
      <c r="H19" s="2646"/>
      <c r="I19" s="2647"/>
      <c r="J19" s="2648"/>
      <c r="K19" s="2649"/>
      <c r="L19" s="2650">
        <v>7</v>
      </c>
      <c r="M19" s="2651">
        <v>0</v>
      </c>
      <c r="N19" s="2233">
        <v>7</v>
      </c>
      <c r="O19" s="2228">
        <v>4</v>
      </c>
      <c r="P19" s="2079">
        <v>7</v>
      </c>
      <c r="Q19" s="2235">
        <v>5</v>
      </c>
      <c r="R19" s="2652">
        <v>4</v>
      </c>
      <c r="S19" s="2079"/>
      <c r="T19" s="2653"/>
      <c r="U19" s="2345"/>
      <c r="V19" s="2654"/>
      <c r="W19" s="2345"/>
      <c r="X19" s="2345"/>
      <c r="Y19" s="2409"/>
      <c r="Z19" s="2655"/>
      <c r="AA19" s="2293"/>
      <c r="AB19" s="2293"/>
      <c r="AC19" s="2594"/>
      <c r="AD19" s="2656"/>
      <c r="AE19" s="2157"/>
      <c r="AF19" s="2291"/>
      <c r="AG19" s="2657"/>
      <c r="AH19" s="2658"/>
      <c r="AI19" s="2659"/>
      <c r="AJ19" s="2660"/>
      <c r="AK19" s="2661"/>
      <c r="AL19" s="2662"/>
      <c r="AM19" s="2663"/>
      <c r="AN19" s="2664"/>
      <c r="AO19" s="2665"/>
      <c r="AP19" s="2666"/>
      <c r="AQ19" s="2667"/>
      <c r="AR19" s="2279"/>
      <c r="AS19" s="1741"/>
      <c r="AT19" s="1741"/>
      <c r="AU19" s="1741"/>
      <c r="AV19" s="1741"/>
      <c r="AW19" s="1741"/>
      <c r="AX19" s="1741"/>
      <c r="AY19" s="1741"/>
      <c r="AZ19" s="1741"/>
      <c r="BA19" s="1741"/>
      <c r="BB19" s="2425"/>
      <c r="BC19" s="2668"/>
      <c r="BD19" s="2546"/>
      <c r="BE19" s="2669" t="s">
        <v>993</v>
      </c>
      <c r="BF19" s="2670" t="s">
        <v>993</v>
      </c>
      <c r="BG19" s="2429"/>
      <c r="BH19" s="2671"/>
      <c r="BI19" s="1701"/>
      <c r="BJ19" s="2672"/>
      <c r="BK19" s="2673"/>
      <c r="BL19" s="2674"/>
      <c r="BM19" s="2675"/>
      <c r="BN19" s="2676"/>
      <c r="BO19" s="2677"/>
      <c r="BP19" s="2678" t="s">
        <v>994</v>
      </c>
      <c r="BQ19" s="2679" t="s">
        <v>995</v>
      </c>
      <c r="BR19" s="2680"/>
      <c r="BS19" s="2681"/>
      <c r="BT19" s="2682"/>
      <c r="BU19" s="2683"/>
      <c r="BV19" s="2684"/>
      <c r="BW19" s="2685"/>
      <c r="BX19" s="2686"/>
      <c r="BY19" s="2687" t="s">
        <v>993</v>
      </c>
      <c r="BZ19" s="2688"/>
      <c r="CA19" s="2689"/>
      <c r="CB19" s="2690"/>
      <c r="CC19" s="2691"/>
      <c r="CD19" s="2692"/>
      <c r="CE19" s="2693"/>
      <c r="CF19" s="2694"/>
      <c r="CG19" s="2695"/>
      <c r="CH19" s="2696"/>
      <c r="CI19" s="2697"/>
      <c r="CJ19" s="2698"/>
      <c r="CK19" s="2699"/>
      <c r="CL19" s="2700"/>
      <c r="CM19" s="2701"/>
      <c r="CN19" s="2702"/>
      <c r="CO19" s="2641"/>
      <c r="CP19" s="2642"/>
    </row>
    <row r="20" spans="1:94" ht="16.5" thickBot="1">
      <c r="A20" s="1741"/>
      <c r="B20" s="1902"/>
      <c r="C20" s="2703"/>
      <c r="D20" s="1741"/>
      <c r="E20" s="2704"/>
      <c r="F20" s="2705"/>
      <c r="G20" s="2706"/>
      <c r="H20" s="2707"/>
      <c r="I20" s="2708"/>
      <c r="J20" s="2709"/>
      <c r="K20" s="2590"/>
      <c r="L20" s="2710">
        <v>9</v>
      </c>
      <c r="M20" s="2711">
        <v>3</v>
      </c>
      <c r="N20" s="2712">
        <v>5</v>
      </c>
      <c r="O20" s="2713">
        <v>5</v>
      </c>
      <c r="P20" s="2714">
        <v>5</v>
      </c>
      <c r="Q20" s="2715">
        <v>1</v>
      </c>
      <c r="R20" s="2716">
        <v>8</v>
      </c>
      <c r="S20" s="2534" t="s">
        <v>994</v>
      </c>
      <c r="T20" s="2656" t="s">
        <v>994</v>
      </c>
      <c r="U20" s="2346" t="s">
        <v>994</v>
      </c>
      <c r="V20" s="2595" t="s">
        <v>994</v>
      </c>
      <c r="W20" s="2655" t="s">
        <v>994</v>
      </c>
      <c r="X20" s="2717" t="s">
        <v>994</v>
      </c>
      <c r="Y20" s="2655" t="s">
        <v>994</v>
      </c>
      <c r="Z20" s="2718" t="s">
        <v>994</v>
      </c>
      <c r="AA20" s="2655" t="s">
        <v>994</v>
      </c>
      <c r="AB20" s="2293" t="s">
        <v>994</v>
      </c>
      <c r="AC20" s="2346" t="s">
        <v>994</v>
      </c>
      <c r="AD20" s="2719" t="s">
        <v>994</v>
      </c>
      <c r="AE20" s="10573">
        <f>SUM(AE21:AK25)</f>
        <v>166</v>
      </c>
      <c r="AF20" s="2157"/>
      <c r="AG20" s="2720"/>
      <c r="AH20" s="2721"/>
      <c r="AI20" s="2722"/>
      <c r="AJ20" s="2723"/>
      <c r="AK20" s="2724"/>
      <c r="AL20" s="2725"/>
      <c r="AM20" s="2726"/>
      <c r="AN20" s="2727"/>
      <c r="AO20" s="2728"/>
      <c r="AP20" s="2729"/>
      <c r="AQ20" s="1741"/>
      <c r="AR20" s="2279"/>
      <c r="AS20" s="1741"/>
      <c r="AT20" s="1741"/>
      <c r="AU20" s="1741"/>
      <c r="AV20" s="1741"/>
      <c r="AW20" s="1741"/>
      <c r="AX20" s="1741"/>
      <c r="AY20" s="1741"/>
      <c r="AZ20" s="1741"/>
      <c r="BA20" s="1741"/>
      <c r="BB20" s="2730"/>
      <c r="BC20" s="2545"/>
      <c r="BD20" s="2609" t="s">
        <v>994</v>
      </c>
      <c r="BE20" s="2731" t="s">
        <v>993</v>
      </c>
      <c r="BF20" s="2732"/>
      <c r="BG20" s="2733"/>
      <c r="BH20" s="2734"/>
      <c r="BI20" s="2308"/>
      <c r="BJ20" s="2253"/>
      <c r="BK20" s="2735"/>
      <c r="BL20" s="2736"/>
      <c r="BM20" s="2737"/>
      <c r="BN20" s="2738"/>
      <c r="BO20" s="2739"/>
      <c r="BP20" s="2740"/>
      <c r="BQ20" s="2741" t="s">
        <v>995</v>
      </c>
      <c r="BR20" s="2742" t="s">
        <v>995</v>
      </c>
      <c r="BS20" s="2743"/>
      <c r="BT20" s="2744"/>
      <c r="BU20" s="2745"/>
      <c r="BV20" s="2746"/>
      <c r="BW20" s="2747"/>
      <c r="BX20" s="2748"/>
      <c r="BY20" s="2749" t="s">
        <v>993</v>
      </c>
      <c r="BZ20" s="2750"/>
      <c r="CA20" s="2751"/>
      <c r="CB20" s="2752"/>
      <c r="CC20" s="2753"/>
      <c r="CD20" s="2754"/>
      <c r="CE20" s="2755"/>
      <c r="CF20" s="2756"/>
      <c r="CG20" s="2757"/>
      <c r="CH20" s="2758"/>
      <c r="CI20" s="2759"/>
      <c r="CJ20" s="2760"/>
      <c r="CK20" s="2761"/>
      <c r="CL20" s="2762"/>
      <c r="CM20" s="2763"/>
      <c r="CN20" s="2764"/>
      <c r="CO20" s="2455"/>
      <c r="CP20" s="2765"/>
    </row>
    <row r="21" spans="1:94">
      <c r="A21" s="1741"/>
      <c r="B21" s="1741"/>
      <c r="C21" s="2766"/>
      <c r="D21" s="2767"/>
      <c r="E21" s="2768"/>
      <c r="F21" s="2769"/>
      <c r="G21" s="2770"/>
      <c r="H21" s="2771"/>
      <c r="I21" s="2772"/>
      <c r="J21" s="2773"/>
      <c r="K21" s="2774"/>
      <c r="L21" s="2775"/>
      <c r="M21" s="2402"/>
      <c r="N21" s="2405"/>
      <c r="O21" s="2079"/>
      <c r="P21" s="2232"/>
      <c r="Q21" s="2776"/>
      <c r="R21" s="2534"/>
      <c r="S21" s="2156"/>
      <c r="T21" s="2777"/>
      <c r="U21" s="2594"/>
      <c r="V21" s="2778"/>
      <c r="W21" s="2779"/>
      <c r="X21" s="2780"/>
      <c r="Y21" s="2409"/>
      <c r="Z21" s="2409"/>
      <c r="AA21" s="2347"/>
      <c r="AB21" s="2409"/>
      <c r="AC21" s="2594"/>
      <c r="AD21" s="2235"/>
      <c r="AE21" s="2468">
        <v>2</v>
      </c>
      <c r="AF21" s="2781">
        <v>6</v>
      </c>
      <c r="AG21" s="2782">
        <v>8</v>
      </c>
      <c r="AH21" s="2783">
        <v>2</v>
      </c>
      <c r="AI21" s="2784">
        <v>6</v>
      </c>
      <c r="AJ21" s="2784">
        <v>6</v>
      </c>
      <c r="AK21" s="2785">
        <v>4</v>
      </c>
      <c r="AL21" s="2298"/>
      <c r="AM21" s="2786"/>
      <c r="AN21" s="2787"/>
      <c r="AO21" s="2788"/>
      <c r="AP21" s="2789"/>
      <c r="AQ21" s="2790"/>
      <c r="AR21" s="1741"/>
      <c r="AS21" s="1902"/>
      <c r="AT21" s="1741"/>
      <c r="AU21" s="1741"/>
      <c r="AV21" s="1741"/>
      <c r="AW21" s="1741"/>
      <c r="AX21" s="1741"/>
      <c r="AY21" s="1741"/>
      <c r="AZ21" s="1741"/>
      <c r="BA21" s="1741"/>
      <c r="BB21" s="2425"/>
      <c r="BC21" s="2425"/>
      <c r="BD21" s="2791" t="s">
        <v>993</v>
      </c>
      <c r="BE21" s="2792"/>
      <c r="BF21" s="2793"/>
      <c r="BG21" s="2794"/>
      <c r="BH21" s="2795"/>
      <c r="BI21" s="2796"/>
      <c r="BJ21" s="2797"/>
      <c r="BK21" s="2798"/>
      <c r="BL21" s="2799"/>
      <c r="BM21" s="2800"/>
      <c r="BN21" s="2801"/>
      <c r="BO21" s="2802"/>
      <c r="BP21" s="2803"/>
      <c r="BQ21" s="2804" t="s">
        <v>994</v>
      </c>
      <c r="BR21" s="2805" t="s">
        <v>995</v>
      </c>
      <c r="BS21" s="2806"/>
      <c r="BT21" s="2807"/>
      <c r="BU21" s="2808"/>
      <c r="BV21" s="2809"/>
      <c r="BW21" s="2808"/>
      <c r="BX21" s="2808"/>
      <c r="BY21" s="2810" t="s">
        <v>993</v>
      </c>
      <c r="BZ21" s="2750"/>
      <c r="CA21" s="2811"/>
      <c r="CB21" s="2812"/>
      <c r="CC21" s="2813"/>
      <c r="CD21" s="2814"/>
      <c r="CE21" s="2815"/>
      <c r="CF21" s="2816"/>
      <c r="CG21" s="2817"/>
      <c r="CH21" s="2818"/>
      <c r="CI21" s="2819"/>
      <c r="CJ21" s="2820"/>
      <c r="CK21" s="2821"/>
      <c r="CL21" s="2822"/>
      <c r="CM21" s="2823"/>
      <c r="CN21" s="2763"/>
      <c r="CO21" s="2702"/>
      <c r="CP21" s="2580"/>
    </row>
    <row r="22" spans="1:94" ht="16.5" thickBot="1">
      <c r="A22" s="1741"/>
      <c r="B22" s="2522"/>
      <c r="C22" s="2220"/>
      <c r="D22" s="2824"/>
      <c r="E22" s="2825"/>
      <c r="F22" s="2826"/>
      <c r="G22" s="2827"/>
      <c r="H22" s="2828"/>
      <c r="I22" s="2649"/>
      <c r="J22" s="2829"/>
      <c r="K22" s="2531"/>
      <c r="L22" s="2830"/>
      <c r="M22" s="2287"/>
      <c r="N22" s="2233"/>
      <c r="O22" s="2474"/>
      <c r="P22" s="2474"/>
      <c r="Q22" s="2291"/>
      <c r="R22" s="2290"/>
      <c r="S22" s="2407"/>
      <c r="T22" s="2656"/>
      <c r="U22" s="2345"/>
      <c r="V22" s="2409"/>
      <c r="W22" s="2409"/>
      <c r="X22" s="2655"/>
      <c r="Y22" s="2831"/>
      <c r="Z22" s="2778"/>
      <c r="AA22" s="2410"/>
      <c r="AB22" s="2410"/>
      <c r="AC22" s="2410"/>
      <c r="AD22" s="2832"/>
      <c r="AE22" s="2833">
        <v>5</v>
      </c>
      <c r="AF22" s="2235">
        <v>2</v>
      </c>
      <c r="AG22" s="2834">
        <v>9</v>
      </c>
      <c r="AH22" s="2835">
        <v>2</v>
      </c>
      <c r="AI22" s="2541">
        <v>7</v>
      </c>
      <c r="AJ22" s="2293">
        <v>2</v>
      </c>
      <c r="AK22" s="2836">
        <v>6</v>
      </c>
      <c r="AL22" s="2159"/>
      <c r="AM22" s="2837"/>
      <c r="AN22" s="2838"/>
      <c r="AO22" s="2839"/>
      <c r="AP22" s="1741"/>
      <c r="AQ22" s="2840"/>
      <c r="AR22" s="1741"/>
      <c r="AS22" s="1741"/>
      <c r="AT22" s="1741"/>
      <c r="AU22" s="1741"/>
      <c r="AV22" s="1741"/>
      <c r="AW22" s="1741"/>
      <c r="AX22" s="1741"/>
      <c r="AY22" s="2303"/>
      <c r="AZ22" s="1741"/>
      <c r="BA22" s="2841"/>
      <c r="BB22" s="2842"/>
      <c r="BC22" s="2843" t="s">
        <v>994</v>
      </c>
      <c r="BD22" s="2844" t="s">
        <v>993</v>
      </c>
      <c r="BE22" s="2845"/>
      <c r="BF22" s="2846"/>
      <c r="BG22" s="2847"/>
      <c r="BH22" s="2848"/>
      <c r="BI22" s="2849"/>
      <c r="BJ22" s="2850"/>
      <c r="BK22" s="2851"/>
      <c r="BL22" s="2852"/>
      <c r="BM22" s="2853"/>
      <c r="BN22" s="2854"/>
      <c r="BO22" s="2855"/>
      <c r="BP22" s="2856"/>
      <c r="BQ22" s="2857"/>
      <c r="BR22" s="10573" cm="1">
        <f t="array" ref="BR22">SUM(--(BR23:CD33=""))</f>
        <v>54</v>
      </c>
      <c r="BS22" s="2816"/>
      <c r="BT22" s="2858"/>
      <c r="BU22" s="2858"/>
      <c r="BV22" s="2859"/>
      <c r="BW22" s="2859"/>
      <c r="BX22" s="2808"/>
      <c r="BY22" s="2860" t="s">
        <v>993</v>
      </c>
      <c r="BZ22" s="2861"/>
      <c r="CA22" s="2812"/>
      <c r="CB22" s="2862"/>
      <c r="CC22" s="2808"/>
      <c r="CD22" s="2745"/>
      <c r="CE22" s="2863"/>
      <c r="CF22" s="2864"/>
      <c r="CG22" s="2752"/>
      <c r="CH22" s="2865"/>
      <c r="CI22" s="2866"/>
      <c r="CJ22" s="2867"/>
      <c r="CK22" s="2868"/>
      <c r="CL22" s="2869"/>
      <c r="CM22" s="2870"/>
      <c r="CN22" s="2871"/>
      <c r="CO22" s="2872"/>
      <c r="CP22" s="2394"/>
    </row>
    <row r="23" spans="1:94">
      <c r="A23" s="1741"/>
      <c r="B23" s="2873"/>
      <c r="C23" s="1741"/>
      <c r="D23" s="2874"/>
      <c r="E23" s="2875"/>
      <c r="F23" s="2876"/>
      <c r="G23" s="2877"/>
      <c r="H23" s="2878"/>
      <c r="I23" s="2531"/>
      <c r="J23" s="2152"/>
      <c r="K23" s="2591"/>
      <c r="L23" s="2830"/>
      <c r="M23" s="2284"/>
      <c r="N23" s="2078"/>
      <c r="O23" s="2155"/>
      <c r="P23" s="2156"/>
      <c r="Q23" s="2291"/>
      <c r="R23" s="2879"/>
      <c r="S23" s="2880"/>
      <c r="T23" s="2345"/>
      <c r="U23" s="2345"/>
      <c r="V23" s="2477"/>
      <c r="W23" s="2881"/>
      <c r="X23" s="2881"/>
      <c r="Y23" s="2780"/>
      <c r="Z23" s="2345"/>
      <c r="AA23" s="2476"/>
      <c r="AB23" s="2882"/>
      <c r="AC23" s="2883"/>
      <c r="AD23" s="2234"/>
      <c r="AE23" s="2884">
        <v>8</v>
      </c>
      <c r="AF23" s="2157">
        <v>5</v>
      </c>
      <c r="AG23" s="2157">
        <v>4</v>
      </c>
      <c r="AH23" s="2596">
        <v>2</v>
      </c>
      <c r="AI23" s="2885">
        <v>7</v>
      </c>
      <c r="AJ23" s="2294">
        <v>6</v>
      </c>
      <c r="AK23" s="2886">
        <v>2</v>
      </c>
      <c r="AL23" s="2887"/>
      <c r="AM23" s="2888"/>
      <c r="AN23" s="2889"/>
      <c r="AO23" s="2890"/>
      <c r="AP23" s="2891"/>
      <c r="AQ23" s="1741"/>
      <c r="AR23" s="2279"/>
      <c r="AS23" s="1741"/>
      <c r="AT23" s="1741"/>
      <c r="AU23" s="1741"/>
      <c r="AV23" s="1741"/>
      <c r="AW23" s="1741"/>
      <c r="AX23" s="1741"/>
      <c r="AY23" s="1741"/>
      <c r="AZ23" s="2522"/>
      <c r="BA23" s="2892"/>
      <c r="BB23" s="2893"/>
      <c r="BC23" s="2894" t="s">
        <v>993</v>
      </c>
      <c r="BD23" s="2845"/>
      <c r="BE23" s="2895"/>
      <c r="BF23" s="2896"/>
      <c r="BG23" s="2897"/>
      <c r="BH23" s="2898"/>
      <c r="BI23" s="1939"/>
      <c r="BJ23" s="2899"/>
      <c r="BK23" s="2900"/>
      <c r="BL23" s="2901"/>
      <c r="BM23" s="2902"/>
      <c r="BN23" s="2903"/>
      <c r="BO23" s="2904"/>
      <c r="BP23" s="2744"/>
      <c r="BQ23" s="2905"/>
      <c r="BR23" s="2906">
        <v>7</v>
      </c>
      <c r="BS23" s="2907">
        <v>7</v>
      </c>
      <c r="BT23" s="2908">
        <v>5</v>
      </c>
      <c r="BU23" s="2908">
        <v>8</v>
      </c>
      <c r="BV23" s="2908">
        <v>0</v>
      </c>
      <c r="BW23" s="2908">
        <v>3</v>
      </c>
      <c r="BX23" s="2908">
        <v>2</v>
      </c>
      <c r="BY23" s="2909">
        <v>8</v>
      </c>
      <c r="BZ23" s="2910">
        <v>0</v>
      </c>
      <c r="CA23" s="2911"/>
      <c r="CB23" s="2912">
        <v>5</v>
      </c>
      <c r="CC23" s="2913">
        <v>5</v>
      </c>
      <c r="CD23" s="2914">
        <v>1</v>
      </c>
      <c r="CE23" s="2751"/>
      <c r="CF23" s="2861"/>
      <c r="CG23" s="2915"/>
      <c r="CH23" s="2916"/>
      <c r="CI23" s="2917"/>
      <c r="CJ23" s="2918"/>
      <c r="CK23" s="2919"/>
      <c r="CL23" s="2920"/>
      <c r="CM23" s="2921"/>
      <c r="CN23" s="2922"/>
      <c r="CO23" s="2923"/>
      <c r="CP23" s="2924"/>
    </row>
    <row r="24" spans="1:94">
      <c r="A24" s="1741"/>
      <c r="B24" s="2925"/>
      <c r="C24" s="1741"/>
      <c r="D24" s="2926"/>
      <c r="E24" s="2927"/>
      <c r="F24" s="2928"/>
      <c r="G24" s="2929"/>
      <c r="H24" s="2342"/>
      <c r="I24" s="2830"/>
      <c r="J24" s="2930"/>
      <c r="K24" s="2930"/>
      <c r="L24" s="2830"/>
      <c r="M24" s="2287"/>
      <c r="N24" s="2591"/>
      <c r="O24" s="2155"/>
      <c r="P24" s="2474"/>
      <c r="Q24" s="2931"/>
      <c r="R24" s="2534"/>
      <c r="S24" s="2932"/>
      <c r="T24" s="2345"/>
      <c r="U24" s="2345"/>
      <c r="V24" s="2347"/>
      <c r="W24" s="2410"/>
      <c r="X24" s="2597"/>
      <c r="Y24" s="2655"/>
      <c r="Z24" s="2476"/>
      <c r="AA24" s="2409"/>
      <c r="AB24" s="2882"/>
      <c r="AC24" s="2292"/>
      <c r="AD24" s="2596"/>
      <c r="AE24" s="2933">
        <v>2</v>
      </c>
      <c r="AF24" s="2159">
        <v>6</v>
      </c>
      <c r="AG24" s="2229">
        <v>9</v>
      </c>
      <c r="AH24" s="2236">
        <v>7</v>
      </c>
      <c r="AI24" s="2934">
        <v>3</v>
      </c>
      <c r="AJ24" s="2885">
        <v>2</v>
      </c>
      <c r="AK24" s="2935">
        <v>6</v>
      </c>
      <c r="AL24" s="2936"/>
      <c r="AM24" s="2937"/>
      <c r="AN24" s="2938"/>
      <c r="AO24" s="2939"/>
      <c r="AP24" s="2940"/>
      <c r="AQ24" s="2248"/>
      <c r="AR24" s="2279"/>
      <c r="AS24" s="1741"/>
      <c r="AT24" s="1741"/>
      <c r="AU24" s="1741"/>
      <c r="AV24" s="1741"/>
      <c r="AW24" s="1741"/>
      <c r="AX24" s="1741"/>
      <c r="AY24" s="1741"/>
      <c r="AZ24" s="2142"/>
      <c r="BA24" s="1741"/>
      <c r="BB24" s="2941"/>
      <c r="BC24" s="2942" t="s">
        <v>993</v>
      </c>
      <c r="BD24" s="2943"/>
      <c r="BE24" s="2944"/>
      <c r="BF24" s="2945"/>
      <c r="BG24" s="2946"/>
      <c r="BH24" s="2947"/>
      <c r="BI24" s="2948"/>
      <c r="BJ24" s="2949"/>
      <c r="BK24" s="2950"/>
      <c r="BL24" s="2951"/>
      <c r="BM24" s="2952"/>
      <c r="BN24" s="2953"/>
      <c r="BO24" s="2954"/>
      <c r="BP24" s="2955"/>
      <c r="BQ24" s="2747"/>
      <c r="BR24" s="2956">
        <v>2</v>
      </c>
      <c r="BS24" s="2858"/>
      <c r="BT24" s="2858">
        <v>8</v>
      </c>
      <c r="BU24" s="2858">
        <v>0</v>
      </c>
      <c r="BV24" s="2858">
        <v>8</v>
      </c>
      <c r="BW24" s="2858"/>
      <c r="BX24" s="2858"/>
      <c r="BY24" s="2858"/>
      <c r="BZ24" s="2809">
        <v>1</v>
      </c>
      <c r="CA24" s="2809"/>
      <c r="CB24" s="2807">
        <v>9</v>
      </c>
      <c r="CC24" s="2861"/>
      <c r="CD24" s="2957">
        <v>4</v>
      </c>
      <c r="CE24" s="2750"/>
      <c r="CF24" s="2958"/>
      <c r="CG24" s="2959"/>
      <c r="CH24" s="2960"/>
      <c r="CI24" s="2961"/>
      <c r="CJ24" s="2962"/>
      <c r="CK24" s="2963"/>
      <c r="CL24" s="2964"/>
      <c r="CM24" s="2965"/>
      <c r="CN24" s="2966"/>
      <c r="CO24" s="2764"/>
      <c r="CP24" s="2967"/>
    </row>
    <row r="25" spans="1:94" ht="16.5" thickBot="1">
      <c r="A25" s="1741"/>
      <c r="B25" s="2522"/>
      <c r="C25" s="2522"/>
      <c r="D25" s="2968"/>
      <c r="E25" s="2969"/>
      <c r="F25" s="2970"/>
      <c r="G25" s="2971"/>
      <c r="H25" s="2972"/>
      <c r="I25" s="2590"/>
      <c r="J25" s="2829"/>
      <c r="K25" s="2591"/>
      <c r="L25" s="2532"/>
      <c r="M25" s="2532"/>
      <c r="N25" s="2152"/>
      <c r="O25" s="2154"/>
      <c r="P25" s="2534"/>
      <c r="Q25" s="2973"/>
      <c r="R25" s="2407"/>
      <c r="S25" s="2344"/>
      <c r="T25" s="2291"/>
      <c r="U25" s="2234"/>
      <c r="V25" s="2236"/>
      <c r="W25" s="2234"/>
      <c r="X25" s="2597"/>
      <c r="Y25" s="2292"/>
      <c r="Z25" s="2347"/>
      <c r="AA25" s="2476"/>
      <c r="AB25" s="2597"/>
      <c r="AC25" s="2409"/>
      <c r="AD25" s="2596"/>
      <c r="AE25" s="2974">
        <v>5</v>
      </c>
      <c r="AF25" s="2975">
        <v>7</v>
      </c>
      <c r="AG25" s="2976">
        <v>4</v>
      </c>
      <c r="AH25" s="2977">
        <v>5</v>
      </c>
      <c r="AI25" s="2978">
        <v>4</v>
      </c>
      <c r="AJ25" s="2979">
        <v>2</v>
      </c>
      <c r="AK25" s="2980">
        <v>3</v>
      </c>
      <c r="AL25" s="2298"/>
      <c r="AM25" s="2981"/>
      <c r="AN25" s="2982"/>
      <c r="AO25" s="2983"/>
      <c r="AP25" s="2984"/>
      <c r="AQ25" s="2985"/>
      <c r="AR25" s="1741"/>
      <c r="AS25" s="1902"/>
      <c r="AT25" s="1741"/>
      <c r="AU25" s="1741"/>
      <c r="AV25" s="1741"/>
      <c r="AW25" s="1741"/>
      <c r="AX25" s="1741"/>
      <c r="AY25" s="1741"/>
      <c r="AZ25" s="1741"/>
      <c r="BA25" s="2523"/>
      <c r="BB25" s="2425"/>
      <c r="BC25" s="2986" t="s">
        <v>993</v>
      </c>
      <c r="BD25" s="2987"/>
      <c r="BE25" s="2988"/>
      <c r="BF25" s="2989"/>
      <c r="BG25" s="2990"/>
      <c r="BH25" s="2991"/>
      <c r="BI25" s="2992"/>
      <c r="BJ25" s="2993"/>
      <c r="BK25" s="2994"/>
      <c r="BL25" s="2995"/>
      <c r="BM25" s="2996"/>
      <c r="BN25" s="2997"/>
      <c r="BO25" s="2686"/>
      <c r="BP25" s="2905"/>
      <c r="BQ25" s="2858"/>
      <c r="BR25" s="2956">
        <v>6</v>
      </c>
      <c r="BS25" s="2858"/>
      <c r="BT25" s="2858"/>
      <c r="BU25" s="2858"/>
      <c r="BV25" s="2858">
        <v>3</v>
      </c>
      <c r="BW25" s="2858"/>
      <c r="BX25" s="2858"/>
      <c r="BY25" s="2858"/>
      <c r="BZ25" s="2750">
        <v>8</v>
      </c>
      <c r="CA25" s="2859"/>
      <c r="CB25" s="2859">
        <v>5</v>
      </c>
      <c r="CC25" s="2807">
        <v>9</v>
      </c>
      <c r="CD25" s="2998">
        <v>8</v>
      </c>
      <c r="CE25" s="2809"/>
      <c r="CF25" s="2999"/>
      <c r="CG25" s="3000"/>
      <c r="CH25" s="3001"/>
      <c r="CI25" s="3002"/>
      <c r="CJ25" s="3003"/>
      <c r="CK25" s="3004"/>
      <c r="CL25" s="3005"/>
      <c r="CM25" s="3006"/>
      <c r="CN25" s="3007"/>
      <c r="CO25" s="3008"/>
      <c r="CP25" s="3009"/>
    </row>
    <row r="26" spans="1:94">
      <c r="A26" s="1741"/>
      <c r="B26" s="1741"/>
      <c r="C26" s="3010"/>
      <c r="D26" s="3011"/>
      <c r="E26" s="3012"/>
      <c r="F26" s="3013"/>
      <c r="G26" s="3014"/>
      <c r="H26" s="3015"/>
      <c r="I26" s="2590"/>
      <c r="J26" s="2829"/>
      <c r="K26" s="2080"/>
      <c r="L26" s="3016"/>
      <c r="M26" s="2287"/>
      <c r="N26" s="2405"/>
      <c r="O26" s="2405"/>
      <c r="P26" s="2406"/>
      <c r="Q26" s="2156"/>
      <c r="R26" s="3017"/>
      <c r="S26" s="3018"/>
      <c r="T26" s="3017"/>
      <c r="U26" s="2158"/>
      <c r="V26" s="2159"/>
      <c r="W26" s="2292"/>
      <c r="X26" s="2348"/>
      <c r="Y26" s="2234"/>
      <c r="Z26" s="2292"/>
      <c r="AA26" s="3019"/>
      <c r="AB26" s="3020"/>
      <c r="AC26" s="2720"/>
      <c r="AD26" s="2292"/>
      <c r="AE26" s="3021" t="s">
        <v>995</v>
      </c>
      <c r="AF26" s="3022"/>
      <c r="AG26" s="3023"/>
      <c r="AH26" s="2234"/>
      <c r="AI26" s="3024"/>
      <c r="AJ26" s="2229"/>
      <c r="AK26" s="3025"/>
      <c r="AL26" s="2159"/>
      <c r="AM26" s="3026"/>
      <c r="AN26" s="3027"/>
      <c r="AO26" s="3028"/>
      <c r="AP26" s="3029"/>
      <c r="AQ26" s="3030"/>
      <c r="AR26" s="1902"/>
      <c r="AS26" s="2522"/>
      <c r="AT26" s="1741"/>
      <c r="AU26" s="1741"/>
      <c r="AV26" s="1741"/>
      <c r="AW26" s="1741"/>
      <c r="AX26" s="1741"/>
      <c r="AY26" s="1741"/>
      <c r="AZ26" s="1741"/>
      <c r="BA26" s="1741"/>
      <c r="BB26" s="2668"/>
      <c r="BC26" s="3031" t="s">
        <v>993</v>
      </c>
      <c r="BD26" s="3032"/>
      <c r="BE26" s="3033"/>
      <c r="BF26" s="2733"/>
      <c r="BG26" s="2895"/>
      <c r="BH26" s="2990"/>
      <c r="BI26" s="3034"/>
      <c r="BJ26" s="3035"/>
      <c r="BK26" s="3036"/>
      <c r="BL26" s="3037"/>
      <c r="BM26" s="3038"/>
      <c r="BN26" s="3039"/>
      <c r="BO26" s="2816"/>
      <c r="BP26" s="2858"/>
      <c r="BQ26" s="2858"/>
      <c r="BR26" s="2956">
        <v>6</v>
      </c>
      <c r="BS26" s="2858"/>
      <c r="BT26" s="2858"/>
      <c r="BU26" s="2858"/>
      <c r="BV26" s="2858">
        <v>3</v>
      </c>
      <c r="BW26" s="2858">
        <v>3</v>
      </c>
      <c r="BX26" s="2858">
        <v>1</v>
      </c>
      <c r="BY26" s="2858">
        <v>0</v>
      </c>
      <c r="BZ26" s="2859">
        <v>5</v>
      </c>
      <c r="CA26" s="2750"/>
      <c r="CB26" s="2746">
        <v>0</v>
      </c>
      <c r="CC26" s="2750"/>
      <c r="CD26" s="3040">
        <v>4</v>
      </c>
      <c r="CE26" s="2750"/>
      <c r="CF26" s="3041"/>
      <c r="CG26" s="3042"/>
      <c r="CH26" s="3043"/>
      <c r="CI26" s="2744"/>
      <c r="CJ26" s="3044"/>
      <c r="CK26" s="3045"/>
      <c r="CL26" s="1972"/>
      <c r="CM26" s="1549"/>
      <c r="CN26" s="3046"/>
      <c r="CO26" s="3047"/>
      <c r="CP26" s="2763"/>
    </row>
    <row r="27" spans="1:94">
      <c r="A27" s="1741"/>
      <c r="B27" s="1741"/>
      <c r="C27" s="3048"/>
      <c r="D27" s="3049"/>
      <c r="E27" s="3050"/>
      <c r="F27" s="3051"/>
      <c r="G27" s="3052"/>
      <c r="H27" s="3053"/>
      <c r="I27" s="2590"/>
      <c r="J27" s="2287"/>
      <c r="K27" s="2591"/>
      <c r="L27" s="2342"/>
      <c r="M27" s="2830"/>
      <c r="N27" s="3054"/>
      <c r="O27" s="2284"/>
      <c r="P27" s="2233"/>
      <c r="Q27" s="2155"/>
      <c r="R27" s="2591"/>
      <c r="S27" s="3055"/>
      <c r="T27" s="2235"/>
      <c r="U27" s="2158"/>
      <c r="V27" s="2158"/>
      <c r="W27" s="2157"/>
      <c r="X27" s="2409"/>
      <c r="Y27" s="2410"/>
      <c r="Z27" s="2347"/>
      <c r="AA27" s="2409"/>
      <c r="AB27" s="3056"/>
      <c r="AC27" s="3057"/>
      <c r="AD27" s="2236"/>
      <c r="AE27" s="3021" t="s">
        <v>995</v>
      </c>
      <c r="AF27" s="3022"/>
      <c r="AG27" s="2292"/>
      <c r="AH27" s="2157"/>
      <c r="AI27" s="2294"/>
      <c r="AJ27" s="2152"/>
      <c r="AK27" s="2151"/>
      <c r="AL27" s="3058"/>
      <c r="AM27" s="3059"/>
      <c r="AN27" s="3060"/>
      <c r="AO27" s="3061"/>
      <c r="AP27" s="3062"/>
      <c r="AQ27" s="3063"/>
      <c r="AR27" s="2424"/>
      <c r="AS27" s="1902"/>
      <c r="AT27" s="1902"/>
      <c r="AU27" s="1741"/>
      <c r="AV27" s="1741"/>
      <c r="AW27" s="1741"/>
      <c r="AX27" s="1741"/>
      <c r="AY27" s="1741"/>
      <c r="AZ27" s="1741"/>
      <c r="BA27" s="1741"/>
      <c r="BB27" s="2487" t="s">
        <v>994</v>
      </c>
      <c r="BC27" s="2425" t="s">
        <v>993</v>
      </c>
      <c r="BD27" s="3064"/>
      <c r="BE27" s="3065"/>
      <c r="BF27" s="3066"/>
      <c r="BG27" s="3067"/>
      <c r="BH27" s="3068"/>
      <c r="BI27" s="3069"/>
      <c r="BJ27" s="3070"/>
      <c r="BK27" s="3071"/>
      <c r="BL27" s="3072"/>
      <c r="BM27" s="3073"/>
      <c r="BN27" s="3074"/>
      <c r="BO27" s="3075"/>
      <c r="BP27" s="2808"/>
      <c r="BQ27" s="2809"/>
      <c r="BR27" s="2956">
        <v>0</v>
      </c>
      <c r="BS27" s="2858"/>
      <c r="BT27" s="2858">
        <v>2</v>
      </c>
      <c r="BU27" s="2858">
        <v>2</v>
      </c>
      <c r="BV27" s="2858"/>
      <c r="BW27" s="2858"/>
      <c r="BX27" s="2858">
        <v>7</v>
      </c>
      <c r="BY27" s="2858">
        <v>9</v>
      </c>
      <c r="BZ27" s="2747">
        <v>0</v>
      </c>
      <c r="CA27" s="2809"/>
      <c r="CB27" s="2808">
        <v>3</v>
      </c>
      <c r="CC27" s="2859"/>
      <c r="CD27" s="3076">
        <v>1</v>
      </c>
      <c r="CE27" s="2750"/>
      <c r="CF27" s="2745"/>
      <c r="CG27" s="3077"/>
      <c r="CH27" s="3078"/>
      <c r="CI27" s="3079"/>
      <c r="CJ27" s="3080"/>
      <c r="CK27" s="3081"/>
      <c r="CL27" s="3082"/>
      <c r="CM27" s="2388"/>
      <c r="CN27" s="2764"/>
      <c r="CO27" s="3083"/>
      <c r="CP27" s="3084"/>
    </row>
    <row r="28" spans="1:94">
      <c r="A28" s="1741"/>
      <c r="B28" s="2522"/>
      <c r="C28" s="3085"/>
      <c r="D28" s="3086"/>
      <c r="E28" s="3087"/>
      <c r="F28" s="3088"/>
      <c r="G28" s="3089"/>
      <c r="H28" s="3090"/>
      <c r="I28" s="3091"/>
      <c r="J28" s="2588"/>
      <c r="K28" s="2162"/>
      <c r="L28" s="3092"/>
      <c r="M28" s="3054"/>
      <c r="N28" s="3093"/>
      <c r="O28" s="2588"/>
      <c r="P28" s="2591"/>
      <c r="Q28" s="2152"/>
      <c r="R28" s="3094"/>
      <c r="S28" s="3095"/>
      <c r="T28" s="2157"/>
      <c r="U28" s="2155"/>
      <c r="V28" s="2156"/>
      <c r="W28" s="2235"/>
      <c r="X28" s="2234"/>
      <c r="Y28" s="2410"/>
      <c r="Z28" s="2345"/>
      <c r="AA28" s="2345"/>
      <c r="AB28" s="2720"/>
      <c r="AC28" s="3096"/>
      <c r="AD28" s="2409"/>
      <c r="AE28" s="3021" t="s">
        <v>995</v>
      </c>
      <c r="AF28" s="3097"/>
      <c r="AG28" s="2410"/>
      <c r="AH28" s="2292"/>
      <c r="AI28" s="3058"/>
      <c r="AJ28" s="2157"/>
      <c r="AK28" s="3098"/>
      <c r="AL28" s="3099"/>
      <c r="AM28" s="3100"/>
      <c r="AN28" s="3101"/>
      <c r="AO28" s="3102"/>
      <c r="AP28" s="3103"/>
      <c r="AQ28" s="3104"/>
      <c r="AR28" s="3105"/>
      <c r="AS28" s="2522"/>
      <c r="AT28" s="1741"/>
      <c r="AU28" s="1741"/>
      <c r="AV28" s="1741"/>
      <c r="AW28" s="1741"/>
      <c r="AX28" s="1741"/>
      <c r="AY28" s="1741"/>
      <c r="AZ28" s="1741"/>
      <c r="BA28" s="1741"/>
      <c r="BB28" s="3106" t="s">
        <v>993</v>
      </c>
      <c r="BC28" s="2425" t="s">
        <v>993</v>
      </c>
      <c r="BD28" s="3107"/>
      <c r="BE28" s="3108"/>
      <c r="BF28" s="3109"/>
      <c r="BG28" s="3110"/>
      <c r="BH28" s="3111"/>
      <c r="BI28" s="3112"/>
      <c r="BJ28" s="3113"/>
      <c r="BK28" s="3114"/>
      <c r="BL28" s="3115"/>
      <c r="BM28" s="3116"/>
      <c r="BN28" s="3117"/>
      <c r="BO28" s="3118"/>
      <c r="BP28" s="3039"/>
      <c r="BQ28" s="2859"/>
      <c r="BR28" s="3119">
        <v>8</v>
      </c>
      <c r="BS28" s="2858">
        <v>1</v>
      </c>
      <c r="BT28" s="2747">
        <v>0</v>
      </c>
      <c r="BU28" s="2858">
        <v>0</v>
      </c>
      <c r="BV28" s="2858"/>
      <c r="BW28" s="2858">
        <v>9</v>
      </c>
      <c r="BX28" s="2747">
        <v>4</v>
      </c>
      <c r="BY28" s="2858"/>
      <c r="BZ28" s="2809">
        <v>8</v>
      </c>
      <c r="CA28" s="2809"/>
      <c r="CB28" s="2747">
        <v>7</v>
      </c>
      <c r="CC28" s="2747"/>
      <c r="CD28" s="3040">
        <v>4</v>
      </c>
      <c r="CE28" s="2859"/>
      <c r="CF28" s="3120"/>
      <c r="CG28" s="2816"/>
      <c r="CH28" s="3121"/>
      <c r="CI28" s="3122"/>
      <c r="CJ28" s="3123"/>
      <c r="CK28" s="3124"/>
      <c r="CL28" s="3125"/>
      <c r="CM28" s="3126"/>
      <c r="CN28" s="3047"/>
      <c r="CO28" s="3127"/>
      <c r="CP28" s="3128"/>
    </row>
    <row r="29" spans="1:94">
      <c r="A29" s="1741"/>
      <c r="B29" s="3129"/>
      <c r="C29" s="1741"/>
      <c r="D29" s="3130"/>
      <c r="E29" s="3131"/>
      <c r="F29" s="3132"/>
      <c r="G29" s="3133"/>
      <c r="H29" s="3134"/>
      <c r="I29" s="3135"/>
      <c r="J29" s="3136"/>
      <c r="K29" s="2830"/>
      <c r="L29" s="3137"/>
      <c r="M29" s="2829"/>
      <c r="N29" s="3054"/>
      <c r="O29" s="3053"/>
      <c r="P29" s="2829"/>
      <c r="Q29" s="2284"/>
      <c r="R29" s="3055"/>
      <c r="S29" s="2288"/>
      <c r="T29" s="2288"/>
      <c r="U29" s="2155"/>
      <c r="V29" s="2229"/>
      <c r="W29" s="2290"/>
      <c r="X29" s="2235"/>
      <c r="Y29" s="2293"/>
      <c r="Z29" s="2476"/>
      <c r="AA29" s="2476"/>
      <c r="AB29" s="2347"/>
      <c r="AC29" s="2410"/>
      <c r="AD29" s="2292"/>
      <c r="AE29" s="3021" t="s">
        <v>995</v>
      </c>
      <c r="AF29" s="2159"/>
      <c r="AG29" s="2159"/>
      <c r="AH29" s="2293"/>
      <c r="AI29" s="2292"/>
      <c r="AJ29" s="2973"/>
      <c r="AK29" s="3138"/>
      <c r="AL29" s="3139"/>
      <c r="AM29" s="3140"/>
      <c r="AN29" s="3141"/>
      <c r="AO29" s="3142"/>
      <c r="AP29" s="3143"/>
      <c r="AQ29" s="3144"/>
      <c r="AR29" s="3145"/>
      <c r="AS29" s="3146"/>
      <c r="AT29" s="1902"/>
      <c r="AU29" s="1741"/>
      <c r="AV29" s="1741"/>
      <c r="AW29" s="1741"/>
      <c r="AX29" s="1741"/>
      <c r="AY29" s="1741"/>
      <c r="AZ29" s="1741"/>
      <c r="BA29" s="1741"/>
      <c r="BB29" s="2668" t="s">
        <v>993</v>
      </c>
      <c r="BC29" s="2425"/>
      <c r="BD29" s="3147"/>
      <c r="BE29" s="3148"/>
      <c r="BF29" s="3149"/>
      <c r="BG29" s="3150"/>
      <c r="BH29" s="3151"/>
      <c r="BI29" s="3152"/>
      <c r="BJ29" s="3153"/>
      <c r="BK29" s="3154"/>
      <c r="BL29" s="3155"/>
      <c r="BM29" s="3156"/>
      <c r="BN29" s="2816"/>
      <c r="BO29" s="2744"/>
      <c r="BP29" s="3157"/>
      <c r="BQ29" s="2750"/>
      <c r="BR29" s="3158">
        <v>0</v>
      </c>
      <c r="BS29" s="2858"/>
      <c r="BT29" s="2858"/>
      <c r="BU29" s="2858">
        <v>3</v>
      </c>
      <c r="BV29" s="2858"/>
      <c r="BW29" s="2858">
        <v>8</v>
      </c>
      <c r="BX29" s="2858">
        <v>5</v>
      </c>
      <c r="BY29" s="2858"/>
      <c r="BZ29" s="2858">
        <v>3</v>
      </c>
      <c r="CA29" s="2858"/>
      <c r="CB29" s="2809">
        <v>0</v>
      </c>
      <c r="CC29" s="2858">
        <v>1</v>
      </c>
      <c r="CD29" s="3040"/>
      <c r="CE29" s="2809"/>
      <c r="CF29" s="2955"/>
      <c r="CG29" s="3159"/>
      <c r="CH29" s="3160"/>
      <c r="CI29" s="3161"/>
      <c r="CJ29" s="3162"/>
      <c r="CK29" s="3163"/>
      <c r="CL29" s="3164"/>
      <c r="CM29" s="3165"/>
      <c r="CN29" s="3046"/>
      <c r="CO29" s="3047"/>
      <c r="CP29" s="3166"/>
    </row>
    <row r="30" spans="1:94" ht="16.5" thickBot="1">
      <c r="A30" s="1741"/>
      <c r="B30" s="2522"/>
      <c r="C30" s="1902"/>
      <c r="D30" s="3167"/>
      <c r="E30" s="3168"/>
      <c r="F30" s="3169"/>
      <c r="G30" s="3170"/>
      <c r="H30" s="3171"/>
      <c r="I30" s="3172"/>
      <c r="J30" s="3173"/>
      <c r="K30" s="3136"/>
      <c r="L30" s="3093"/>
      <c r="M30" s="3174"/>
      <c r="N30" s="3016"/>
      <c r="O30" s="3093"/>
      <c r="P30" s="3053"/>
      <c r="Q30" s="2341"/>
      <c r="R30" s="2534"/>
      <c r="S30" s="3025"/>
      <c r="T30" s="3025"/>
      <c r="U30" s="2236"/>
      <c r="V30" s="2235"/>
      <c r="W30" s="2235"/>
      <c r="X30" s="2291"/>
      <c r="Y30" s="2881"/>
      <c r="Z30" s="3096"/>
      <c r="AA30" s="2882"/>
      <c r="AB30" s="2476"/>
      <c r="AC30" s="2235"/>
      <c r="AD30" s="3175"/>
      <c r="AE30" s="3021" t="s">
        <v>995</v>
      </c>
      <c r="AF30" s="2155"/>
      <c r="AG30" s="2235"/>
      <c r="AH30" s="2293"/>
      <c r="AI30" s="2234"/>
      <c r="AJ30" s="3176"/>
      <c r="AK30" s="3177"/>
      <c r="AL30" s="3178"/>
      <c r="AM30" s="3179"/>
      <c r="AN30" s="2659"/>
      <c r="AO30" s="3180"/>
      <c r="AP30" s="3181"/>
      <c r="AQ30" s="1741"/>
      <c r="AR30" s="1741"/>
      <c r="AS30" s="3146"/>
      <c r="AT30" s="1741"/>
      <c r="AU30" s="1741"/>
      <c r="AV30" s="1741"/>
      <c r="AW30" s="1741"/>
      <c r="AX30" s="1741"/>
      <c r="AY30" s="1741"/>
      <c r="AZ30" s="1741"/>
      <c r="BA30" s="1741"/>
      <c r="BB30" s="2487" t="s">
        <v>993</v>
      </c>
      <c r="BC30" s="3182"/>
      <c r="BD30" s="3183"/>
      <c r="BE30" s="3184"/>
      <c r="BF30" s="3185"/>
      <c r="BG30" s="3186"/>
      <c r="BH30" s="3187"/>
      <c r="BI30" s="3188"/>
      <c r="BJ30" s="3189"/>
      <c r="BK30" s="3190"/>
      <c r="BL30" s="3191"/>
      <c r="BM30" s="3192"/>
      <c r="BN30" s="3193"/>
      <c r="BO30" s="3194"/>
      <c r="BP30" s="2958"/>
      <c r="BQ30" s="2750"/>
      <c r="BR30" s="3195">
        <v>6</v>
      </c>
      <c r="BS30" s="2858"/>
      <c r="BT30" s="2858"/>
      <c r="BU30" s="2858">
        <v>6</v>
      </c>
      <c r="BV30" s="2858"/>
      <c r="BW30" s="2858">
        <v>8</v>
      </c>
      <c r="BX30" s="2858">
        <v>9</v>
      </c>
      <c r="BY30" s="2858">
        <v>5</v>
      </c>
      <c r="BZ30" s="2858">
        <v>2</v>
      </c>
      <c r="CA30" s="2858">
        <v>6</v>
      </c>
      <c r="CB30" s="2858">
        <v>3</v>
      </c>
      <c r="CC30" s="2858">
        <v>3</v>
      </c>
      <c r="CD30" s="3040"/>
      <c r="CE30" s="2809"/>
      <c r="CF30" s="2955"/>
      <c r="CG30" s="3196"/>
      <c r="CH30" s="2744"/>
      <c r="CI30" s="3197"/>
      <c r="CJ30" s="3198"/>
      <c r="CK30" s="3199"/>
      <c r="CL30" s="3200"/>
      <c r="CM30" s="2509"/>
      <c r="CN30" s="3201"/>
      <c r="CO30" s="3047"/>
      <c r="CP30" s="2455"/>
    </row>
    <row r="31" spans="1:94">
      <c r="A31" s="1741"/>
      <c r="B31" s="1902"/>
      <c r="C31" s="3202"/>
      <c r="D31" s="3203"/>
      <c r="E31" s="3204"/>
      <c r="F31" s="3205"/>
      <c r="G31" s="3206"/>
      <c r="H31" s="3207"/>
      <c r="I31" s="3054"/>
      <c r="J31" s="3091"/>
      <c r="K31" s="2529"/>
      <c r="L31" s="3208"/>
      <c r="M31" s="3209"/>
      <c r="N31" s="3210"/>
      <c r="O31" s="3093"/>
      <c r="P31" s="2468">
        <v>3</v>
      </c>
      <c r="Q31" s="3211">
        <v>3</v>
      </c>
      <c r="R31" s="3212">
        <v>5</v>
      </c>
      <c r="S31" s="3212">
        <v>0</v>
      </c>
      <c r="T31" s="3213">
        <v>7</v>
      </c>
      <c r="U31" s="3214">
        <v>3</v>
      </c>
      <c r="V31" s="3215">
        <v>2</v>
      </c>
      <c r="W31" s="10573">
        <f>SUM(P31:P35,V31:V35)</f>
        <v>25</v>
      </c>
      <c r="X31" s="2346" t="s">
        <v>996</v>
      </c>
      <c r="Y31" s="2346" t="s">
        <v>996</v>
      </c>
      <c r="Z31" s="2346" t="s">
        <v>996</v>
      </c>
      <c r="AA31" s="2346" t="s">
        <v>996</v>
      </c>
      <c r="AB31" s="2346" t="s">
        <v>996</v>
      </c>
      <c r="AC31" s="2346" t="s">
        <v>996</v>
      </c>
      <c r="AD31" s="2346" t="s">
        <v>996</v>
      </c>
      <c r="AE31" s="2346" t="s">
        <v>996</v>
      </c>
      <c r="AF31" s="2229"/>
      <c r="AG31" s="2234"/>
      <c r="AH31" s="2409"/>
      <c r="AI31" s="2345"/>
      <c r="AJ31" s="3216"/>
      <c r="AK31" s="3217"/>
      <c r="AL31" s="3218"/>
      <c r="AM31" s="3219"/>
      <c r="AN31" s="2973"/>
      <c r="AO31" s="3220"/>
      <c r="AP31" s="3221"/>
      <c r="AQ31" s="2397"/>
      <c r="AR31" s="1902"/>
      <c r="AS31" s="1741"/>
      <c r="AT31" s="1741"/>
      <c r="AU31" s="1741"/>
      <c r="AV31" s="1741"/>
      <c r="AW31" s="1741"/>
      <c r="AX31" s="1741"/>
      <c r="AY31" s="1741"/>
      <c r="AZ31" s="1741"/>
      <c r="BA31" s="1741"/>
      <c r="BB31" s="3222" t="s">
        <v>993</v>
      </c>
      <c r="BC31" s="2425"/>
      <c r="BD31" s="3223"/>
      <c r="BE31" s="3224"/>
      <c r="BF31" s="3225"/>
      <c r="BG31" s="3226"/>
      <c r="BH31" s="3227"/>
      <c r="BI31" s="3228"/>
      <c r="BJ31" s="3229"/>
      <c r="BK31" s="3230"/>
      <c r="BL31" s="3231"/>
      <c r="BM31" s="3232"/>
      <c r="BN31" s="3233"/>
      <c r="BO31" s="3234"/>
      <c r="BP31" s="2858"/>
      <c r="BQ31" s="2809"/>
      <c r="BR31" s="2956"/>
      <c r="BS31" s="2808"/>
      <c r="BT31" s="2747"/>
      <c r="BU31" s="2750">
        <v>2</v>
      </c>
      <c r="BV31" s="2861">
        <v>1</v>
      </c>
      <c r="BW31" s="2809">
        <v>0</v>
      </c>
      <c r="BX31" s="2747">
        <v>2</v>
      </c>
      <c r="BY31" s="2809"/>
      <c r="BZ31" s="2858"/>
      <c r="CA31" s="2858"/>
      <c r="CB31" s="2858">
        <v>5</v>
      </c>
      <c r="CC31" s="2858"/>
      <c r="CD31" s="3040"/>
      <c r="CE31" s="2808"/>
      <c r="CF31" s="3159"/>
      <c r="CG31" s="3235"/>
      <c r="CH31" s="2744"/>
      <c r="CI31" s="3236"/>
      <c r="CJ31" s="3237"/>
      <c r="CK31" s="3238"/>
      <c r="CL31" s="3239"/>
      <c r="CM31" s="3240"/>
      <c r="CN31" s="3241"/>
      <c r="CO31" s="3242"/>
      <c r="CP31" s="3047"/>
    </row>
    <row r="32" spans="1:94">
      <c r="A32" s="1741"/>
      <c r="B32" s="2522"/>
      <c r="C32" s="1741"/>
      <c r="D32" s="3243"/>
      <c r="E32" s="3244"/>
      <c r="F32" s="3245"/>
      <c r="G32" s="3246"/>
      <c r="H32" s="3247"/>
      <c r="I32" s="3248"/>
      <c r="J32" s="3249"/>
      <c r="K32" s="3250"/>
      <c r="L32" s="3137"/>
      <c r="M32" s="3251"/>
      <c r="N32" s="2930"/>
      <c r="O32" s="3252"/>
      <c r="P32" s="3253">
        <v>4</v>
      </c>
      <c r="Q32" s="3091">
        <v>0</v>
      </c>
      <c r="R32" s="2775">
        <v>4</v>
      </c>
      <c r="S32" s="2080">
        <v>9</v>
      </c>
      <c r="T32" s="2152">
        <v>8</v>
      </c>
      <c r="U32" s="2229">
        <v>2</v>
      </c>
      <c r="V32" s="3254">
        <v>3</v>
      </c>
      <c r="W32" s="2157"/>
      <c r="X32" s="3255"/>
      <c r="Y32" s="2347"/>
      <c r="Z32" s="2348"/>
      <c r="AA32" s="2476"/>
      <c r="AB32" s="2345"/>
      <c r="AC32" s="2291"/>
      <c r="AD32" s="2596"/>
      <c r="AE32" s="2291"/>
      <c r="AF32" s="2408"/>
      <c r="AG32" s="2234"/>
      <c r="AH32" s="2476"/>
      <c r="AI32" s="2882"/>
      <c r="AJ32" s="2879"/>
      <c r="AK32" s="3256"/>
      <c r="AL32" s="3257"/>
      <c r="AM32" s="3258"/>
      <c r="AN32" s="3259"/>
      <c r="AO32" s="3260"/>
      <c r="AP32" s="1741"/>
      <c r="AQ32" s="2925"/>
      <c r="AR32" s="1741"/>
      <c r="AS32" s="1741"/>
      <c r="AT32" s="1741"/>
      <c r="AU32" s="1741"/>
      <c r="AV32" s="1741"/>
      <c r="AW32" s="1741"/>
      <c r="AX32" s="1741"/>
      <c r="AY32" s="1741"/>
      <c r="AZ32" s="1741"/>
      <c r="BA32" s="2523"/>
      <c r="BB32" s="2425" t="s">
        <v>993</v>
      </c>
      <c r="BC32" s="3261"/>
      <c r="BD32" s="3262"/>
      <c r="BE32" s="3263"/>
      <c r="BF32" s="3264"/>
      <c r="BG32" s="3265"/>
      <c r="BH32" s="3266"/>
      <c r="BI32" s="3267"/>
      <c r="BJ32" s="3268"/>
      <c r="BK32" s="3269"/>
      <c r="BL32" s="3270"/>
      <c r="BM32" s="3271"/>
      <c r="BN32" s="2816"/>
      <c r="BO32" s="3272"/>
      <c r="BP32" s="3273"/>
      <c r="BQ32" s="2747"/>
      <c r="BR32" s="3158"/>
      <c r="BS32" s="3160">
        <v>1</v>
      </c>
      <c r="BT32" s="2747">
        <v>4</v>
      </c>
      <c r="BU32" s="2750">
        <v>7</v>
      </c>
      <c r="BV32" s="2958">
        <v>7</v>
      </c>
      <c r="BW32" s="2858">
        <v>9</v>
      </c>
      <c r="BX32" s="2809">
        <v>9</v>
      </c>
      <c r="BY32" s="2858"/>
      <c r="BZ32" s="3160"/>
      <c r="CA32" s="2809"/>
      <c r="CB32" s="2858">
        <v>4</v>
      </c>
      <c r="CC32" s="2858">
        <v>2</v>
      </c>
      <c r="CD32" s="3274">
        <v>5</v>
      </c>
      <c r="CE32" s="2861"/>
      <c r="CF32" s="2744"/>
      <c r="CG32" s="2744"/>
      <c r="CH32" s="3275"/>
      <c r="CI32" s="3276"/>
      <c r="CJ32" s="3277"/>
      <c r="CK32" s="3278"/>
      <c r="CL32" s="3279"/>
      <c r="CM32" s="3280"/>
      <c r="CN32" s="3281"/>
      <c r="CO32" s="3282"/>
      <c r="CP32" s="2458"/>
    </row>
    <row r="33" spans="1:94" ht="16.5" thickBot="1">
      <c r="A33" s="1741"/>
      <c r="B33" s="1902"/>
      <c r="C33" s="2279"/>
      <c r="D33" s="2873"/>
      <c r="E33" s="3283"/>
      <c r="F33" s="3284"/>
      <c r="G33" s="3285"/>
      <c r="H33" s="3286"/>
      <c r="I33" s="3287"/>
      <c r="J33" s="3288"/>
      <c r="K33" s="3289"/>
      <c r="L33" s="2829"/>
      <c r="M33" s="2588"/>
      <c r="N33" s="3054"/>
      <c r="O33" s="3016"/>
      <c r="P33" s="3290">
        <v>0</v>
      </c>
      <c r="Q33" s="2287">
        <v>5</v>
      </c>
      <c r="R33" s="2402">
        <v>1</v>
      </c>
      <c r="S33" s="2829">
        <v>6</v>
      </c>
      <c r="T33" s="3291">
        <v>4</v>
      </c>
      <c r="U33" s="2236">
        <v>3</v>
      </c>
      <c r="V33" s="3292">
        <v>3</v>
      </c>
      <c r="W33" s="2343"/>
      <c r="X33" s="2290"/>
      <c r="Y33" s="2156"/>
      <c r="Z33" s="2291"/>
      <c r="AA33" s="3293"/>
      <c r="AB33" s="2779"/>
      <c r="AC33" s="2345"/>
      <c r="AD33" s="2475"/>
      <c r="AE33" s="2234"/>
      <c r="AF33" s="2535"/>
      <c r="AG33" s="2347"/>
      <c r="AH33" s="2410"/>
      <c r="AI33" s="3294"/>
      <c r="AJ33" s="2477"/>
      <c r="AK33" s="3295"/>
      <c r="AL33" s="3296"/>
      <c r="AM33" s="3297"/>
      <c r="AN33" s="3298"/>
      <c r="AO33" s="3299"/>
      <c r="AP33" s="1741"/>
      <c r="AQ33" s="2703"/>
      <c r="AR33" s="1741"/>
      <c r="AS33" s="1741"/>
      <c r="AT33" s="1741"/>
      <c r="AU33" s="1741"/>
      <c r="AV33" s="1741"/>
      <c r="AW33" s="1741"/>
      <c r="AX33" s="1741"/>
      <c r="AY33" s="1902"/>
      <c r="AZ33" s="1823"/>
      <c r="BA33" s="1741"/>
      <c r="BB33" s="3300" t="s">
        <v>993</v>
      </c>
      <c r="BC33" s="3301"/>
      <c r="BD33" s="3302"/>
      <c r="BE33" s="3303"/>
      <c r="BF33" s="3304"/>
      <c r="BG33" s="3305"/>
      <c r="BH33" s="3306"/>
      <c r="BI33" s="3307"/>
      <c r="BJ33" s="3308"/>
      <c r="BK33" s="3309"/>
      <c r="BL33" s="3310"/>
      <c r="BM33" s="3311"/>
      <c r="BN33" s="3312"/>
      <c r="BO33" s="3313"/>
      <c r="BP33" s="3314"/>
      <c r="BQ33" s="2958"/>
      <c r="BR33" s="3315">
        <v>5</v>
      </c>
      <c r="BS33" s="3316">
        <v>6</v>
      </c>
      <c r="BT33" s="3317"/>
      <c r="BU33" s="3318"/>
      <c r="BV33" s="3317">
        <v>4</v>
      </c>
      <c r="BW33" s="3319"/>
      <c r="BX33" s="3318"/>
      <c r="BY33" s="3316">
        <v>6</v>
      </c>
      <c r="BZ33" s="3320">
        <v>1</v>
      </c>
      <c r="CA33" s="3321">
        <v>6</v>
      </c>
      <c r="CB33" s="3316">
        <v>7</v>
      </c>
      <c r="CC33" s="3316">
        <v>9</v>
      </c>
      <c r="CD33" s="3322">
        <v>6</v>
      </c>
      <c r="CE33" s="3323"/>
      <c r="CF33" s="3324"/>
      <c r="CG33" s="3325"/>
      <c r="CH33" s="3326"/>
      <c r="CI33" s="3327"/>
      <c r="CJ33" s="3328"/>
      <c r="CK33" s="3329"/>
      <c r="CL33" s="3330"/>
      <c r="CM33" s="3331"/>
      <c r="CN33" s="3332"/>
      <c r="CO33" s="2114"/>
      <c r="CP33" s="2458"/>
    </row>
    <row r="34" spans="1:94">
      <c r="A34" s="1741"/>
      <c r="B34" s="1902"/>
      <c r="C34" s="2279"/>
      <c r="D34" s="1741"/>
      <c r="E34" s="3333"/>
      <c r="F34" s="3334"/>
      <c r="G34" s="3335"/>
      <c r="H34" s="3336"/>
      <c r="I34" s="3337"/>
      <c r="J34" s="3338"/>
      <c r="K34" s="3339"/>
      <c r="L34" s="3340"/>
      <c r="M34" s="2284"/>
      <c r="N34" s="3016"/>
      <c r="O34" s="3341"/>
      <c r="P34" s="3253">
        <v>3</v>
      </c>
      <c r="Q34" s="3342">
        <v>6</v>
      </c>
      <c r="R34" s="3210">
        <v>1</v>
      </c>
      <c r="S34" s="2080">
        <v>4</v>
      </c>
      <c r="T34" s="2078">
        <v>8</v>
      </c>
      <c r="U34" s="2288">
        <v>9</v>
      </c>
      <c r="V34" s="3343">
        <v>6</v>
      </c>
      <c r="W34" s="2344"/>
      <c r="X34" s="2157"/>
      <c r="Y34" s="2157"/>
      <c r="Z34" s="2156"/>
      <c r="AA34" s="2291"/>
      <c r="AB34" s="2345"/>
      <c r="AC34" s="2476"/>
      <c r="AD34" s="3344"/>
      <c r="AE34" s="2720"/>
      <c r="AF34" s="2477"/>
      <c r="AG34" s="2476"/>
      <c r="AH34" s="3019"/>
      <c r="AI34" s="2409"/>
      <c r="AJ34" s="3345"/>
      <c r="AK34" s="3346"/>
      <c r="AL34" s="3347"/>
      <c r="AM34" s="3348"/>
      <c r="AN34" s="3349"/>
      <c r="AO34" s="1824"/>
      <c r="AP34" s="1902"/>
      <c r="AQ34" s="1741"/>
      <c r="AR34" s="1741"/>
      <c r="AS34" s="1741"/>
      <c r="AT34" s="1741"/>
      <c r="AU34" s="1741"/>
      <c r="AV34" s="1902"/>
      <c r="AW34" s="1903"/>
      <c r="AX34" s="3350"/>
      <c r="AY34" s="1741"/>
      <c r="AZ34" s="1741"/>
      <c r="BA34" s="3351"/>
      <c r="BB34" s="3352" t="s">
        <v>993</v>
      </c>
      <c r="BC34" s="3353"/>
      <c r="BD34" s="3354"/>
      <c r="BE34" s="3355"/>
      <c r="BF34" s="3356"/>
      <c r="BG34" s="3357"/>
      <c r="BH34" s="3226"/>
      <c r="BI34" s="3358"/>
      <c r="BJ34" s="3359"/>
      <c r="BK34" s="3360"/>
      <c r="BL34" s="3361"/>
      <c r="BM34" s="3362"/>
      <c r="BN34" s="3363"/>
      <c r="BO34" s="3364"/>
      <c r="BP34" s="3365"/>
      <c r="BQ34" s="3366"/>
      <c r="BR34" s="2858"/>
      <c r="BS34" s="2809"/>
      <c r="BT34" s="2809"/>
      <c r="BU34" s="2808"/>
      <c r="BV34" s="3367" t="s">
        <v>995</v>
      </c>
      <c r="BW34" s="2861"/>
      <c r="BX34" s="3160"/>
      <c r="BY34" s="3368" t="s">
        <v>993</v>
      </c>
      <c r="BZ34" s="2750"/>
      <c r="CA34" s="2958"/>
      <c r="CB34" s="2809"/>
      <c r="CC34" s="2859"/>
      <c r="CD34" s="3369"/>
      <c r="CE34" s="3370"/>
      <c r="CF34" s="3371"/>
      <c r="CG34" s="3372"/>
      <c r="CH34" s="3373"/>
      <c r="CI34" s="3374"/>
      <c r="CJ34" s="3375"/>
      <c r="CK34" s="3376"/>
      <c r="CL34" s="3377"/>
      <c r="CM34" s="3378"/>
      <c r="CN34" s="3379"/>
      <c r="CO34" s="3380"/>
      <c r="CP34" s="3381"/>
    </row>
    <row r="35" spans="1:94" ht="16.5" thickBot="1">
      <c r="A35" s="1741"/>
      <c r="B35" s="1902"/>
      <c r="C35" s="1741"/>
      <c r="D35" s="2279"/>
      <c r="E35" s="1741"/>
      <c r="F35" s="3382"/>
      <c r="G35" s="3383"/>
      <c r="H35" s="3384"/>
      <c r="I35" s="3385"/>
      <c r="J35" s="3386"/>
      <c r="K35" s="3386"/>
      <c r="L35" s="2829"/>
      <c r="M35" s="2402"/>
      <c r="N35" s="3094"/>
      <c r="O35" s="2080"/>
      <c r="P35" s="3387">
        <v>1</v>
      </c>
      <c r="Q35" s="3388">
        <v>7</v>
      </c>
      <c r="R35" s="3389">
        <v>8</v>
      </c>
      <c r="S35" s="3390">
        <v>6</v>
      </c>
      <c r="T35" s="3391">
        <v>9</v>
      </c>
      <c r="U35" s="3392">
        <v>0</v>
      </c>
      <c r="V35" s="3393">
        <v>0</v>
      </c>
      <c r="W35" s="2154"/>
      <c r="X35" s="2156"/>
      <c r="Y35" s="2235"/>
      <c r="Z35" s="2534"/>
      <c r="AA35" s="3291"/>
      <c r="AB35" s="2347"/>
      <c r="AC35" s="2476"/>
      <c r="AD35" s="3394"/>
      <c r="AE35" s="3395"/>
      <c r="AF35" s="2654"/>
      <c r="AG35" s="2881"/>
      <c r="AH35" s="3396"/>
      <c r="AI35" s="3397"/>
      <c r="AJ35" s="3398"/>
      <c r="AK35" s="3399"/>
      <c r="AL35" s="3400"/>
      <c r="AM35" s="3401"/>
      <c r="AN35" s="3402"/>
      <c r="AO35" s="1741"/>
      <c r="AP35" s="2522"/>
      <c r="AQ35" s="1741"/>
      <c r="AR35" s="2522"/>
      <c r="AS35" s="3403"/>
      <c r="AT35" s="1904"/>
      <c r="AU35" s="2249"/>
      <c r="AV35" s="1741"/>
      <c r="AW35" s="1741"/>
      <c r="AX35" s="1741"/>
      <c r="AY35" s="3404"/>
      <c r="AZ35" s="3405"/>
      <c r="BA35" s="3406"/>
      <c r="BB35" s="3407" t="s">
        <v>993</v>
      </c>
      <c r="BC35" s="3408"/>
      <c r="BD35" s="3409"/>
      <c r="BE35" s="3410"/>
      <c r="BF35" s="3411"/>
      <c r="BG35" s="3412"/>
      <c r="BH35" s="3413"/>
      <c r="BI35" s="3414"/>
      <c r="BJ35" s="3415"/>
      <c r="BK35" s="3416"/>
      <c r="BL35" s="3417"/>
      <c r="BM35" s="3418"/>
      <c r="BN35" s="3419"/>
      <c r="BO35" s="3420"/>
      <c r="BP35" s="3421"/>
      <c r="BQ35" s="2958"/>
      <c r="BR35" s="2808"/>
      <c r="BS35" s="2809"/>
      <c r="BT35" s="3422"/>
      <c r="BU35" s="2861"/>
      <c r="BV35" s="2860" t="s">
        <v>995</v>
      </c>
      <c r="BW35" s="3041"/>
      <c r="BX35" s="2861"/>
      <c r="BY35" s="3423" t="s">
        <v>993</v>
      </c>
      <c r="BZ35" s="2958"/>
      <c r="CA35" s="2859"/>
      <c r="CB35" s="2808"/>
      <c r="CC35" s="3424"/>
      <c r="CD35" s="3425"/>
      <c r="CE35" s="3426"/>
      <c r="CF35" s="3427"/>
      <c r="CG35" s="3313"/>
      <c r="CH35" s="3428"/>
      <c r="CI35" s="2377"/>
      <c r="CJ35" s="3429"/>
      <c r="CK35" s="3430"/>
      <c r="CL35" s="2374"/>
      <c r="CM35" s="2312"/>
      <c r="CN35" s="3380"/>
      <c r="CO35" s="3431"/>
      <c r="CP35" s="3432"/>
    </row>
    <row r="36" spans="1:94">
      <c r="A36" s="1741"/>
      <c r="B36" s="1902"/>
      <c r="C36" s="1741"/>
      <c r="D36" s="1741"/>
      <c r="E36" s="2397"/>
      <c r="F36" s="1741"/>
      <c r="G36" s="3433"/>
      <c r="H36" s="3434"/>
      <c r="I36" s="3435"/>
      <c r="J36" s="3436"/>
      <c r="K36" s="3437"/>
      <c r="L36" s="3016"/>
      <c r="M36" s="2829"/>
      <c r="N36" s="2829"/>
      <c r="O36" s="2591"/>
      <c r="P36" s="3018"/>
      <c r="Q36" s="2230"/>
      <c r="R36" s="3017"/>
      <c r="S36" s="2229"/>
      <c r="T36" s="2152"/>
      <c r="U36" s="3438" t="s">
        <v>995</v>
      </c>
      <c r="V36" s="2288"/>
      <c r="W36" s="2156"/>
      <c r="X36" s="2880"/>
      <c r="Y36" s="2934"/>
      <c r="Z36" s="2235"/>
      <c r="AA36" s="2832"/>
      <c r="AB36" s="2476"/>
      <c r="AC36" s="3439"/>
      <c r="AD36" s="3440"/>
      <c r="AE36" s="3441"/>
      <c r="AF36" s="3442"/>
      <c r="AG36" s="2345"/>
      <c r="AH36" s="3443"/>
      <c r="AI36" s="3444"/>
      <c r="AJ36" s="3445"/>
      <c r="AK36" s="3446"/>
      <c r="AL36" s="3447"/>
      <c r="AM36" s="3448"/>
      <c r="AN36" s="3010"/>
      <c r="AO36" s="1741"/>
      <c r="AP36" s="1741"/>
      <c r="AQ36" s="3146"/>
      <c r="AR36" s="1741"/>
      <c r="AS36" s="1741"/>
      <c r="AT36" s="1741"/>
      <c r="AU36" s="3449"/>
      <c r="AV36" s="3450"/>
      <c r="AW36" s="3451"/>
      <c r="AX36" s="3452"/>
      <c r="AY36" s="3453"/>
      <c r="AZ36" s="3454"/>
      <c r="BA36" s="2188"/>
      <c r="BB36" s="3264" t="s">
        <v>993</v>
      </c>
      <c r="BC36" s="3455"/>
      <c r="BD36" s="3456"/>
      <c r="BE36" s="3455"/>
      <c r="BF36" s="3457"/>
      <c r="BG36" s="3455"/>
      <c r="BH36" s="3458"/>
      <c r="BI36" s="3459"/>
      <c r="BJ36" s="3460"/>
      <c r="BK36" s="3461"/>
      <c r="BL36" s="3462"/>
      <c r="BM36" s="3463"/>
      <c r="BN36" s="3464"/>
      <c r="BO36" s="3465"/>
      <c r="BP36" s="3466"/>
      <c r="BQ36" s="2815"/>
      <c r="BR36" s="2750"/>
      <c r="BS36" s="2809"/>
      <c r="BT36" s="2861"/>
      <c r="BU36" s="2816"/>
      <c r="BV36" s="2860" t="s">
        <v>995</v>
      </c>
      <c r="BW36" s="2861"/>
      <c r="BX36" s="3467"/>
      <c r="BY36" s="3468" t="s">
        <v>993</v>
      </c>
      <c r="BZ36" s="3469"/>
      <c r="CA36" s="3467"/>
      <c r="CB36" s="3470"/>
      <c r="CC36" s="3471"/>
      <c r="CD36" s="3472"/>
      <c r="CE36" s="3473"/>
      <c r="CF36" s="3474"/>
      <c r="CG36" s="3475"/>
      <c r="CH36" s="3476"/>
      <c r="CI36" s="3477"/>
      <c r="CJ36" s="3478"/>
      <c r="CK36" s="3479"/>
      <c r="CL36" s="3380"/>
      <c r="CM36" s="2258"/>
      <c r="CN36" s="3480"/>
      <c r="CO36" s="3481"/>
      <c r="CP36" s="3482"/>
    </row>
    <row r="37" spans="1:94">
      <c r="A37" s="1741"/>
      <c r="B37" s="1902"/>
      <c r="C37" s="1741"/>
      <c r="D37" s="1741"/>
      <c r="E37" s="1741"/>
      <c r="F37" s="3483"/>
      <c r="G37" s="1741"/>
      <c r="H37" s="3484"/>
      <c r="I37" s="3485"/>
      <c r="J37" s="3486"/>
      <c r="K37" s="3487"/>
      <c r="L37" s="3488"/>
      <c r="M37" s="3489"/>
      <c r="N37" s="2591"/>
      <c r="O37" s="3251"/>
      <c r="P37" s="3490"/>
      <c r="Q37" s="3491"/>
      <c r="R37" s="2534"/>
      <c r="S37" s="2157"/>
      <c r="T37" s="2832"/>
      <c r="U37" s="3492" t="s">
        <v>995</v>
      </c>
      <c r="V37" s="2229"/>
      <c r="W37" s="3291"/>
      <c r="X37" s="3255"/>
      <c r="Y37" s="3493"/>
      <c r="Z37" s="3494"/>
      <c r="AA37" s="3495"/>
      <c r="AB37" s="3439"/>
      <c r="AC37" s="3496"/>
      <c r="AD37" s="3497"/>
      <c r="AE37" s="3498"/>
      <c r="AF37" s="3499"/>
      <c r="AG37" s="3500"/>
      <c r="AH37" s="2349"/>
      <c r="AI37" s="3501"/>
      <c r="AJ37" s="3502"/>
      <c r="AK37" s="3503"/>
      <c r="AL37" s="3504"/>
      <c r="AM37" s="3505"/>
      <c r="AN37" s="3506"/>
      <c r="AO37" s="1741"/>
      <c r="AP37" s="1741"/>
      <c r="AQ37" s="3146"/>
      <c r="AR37" s="3507"/>
      <c r="AS37" s="3508"/>
      <c r="AT37" s="3509"/>
      <c r="AU37" s="3510"/>
      <c r="AV37" s="3511"/>
      <c r="AW37" s="3512"/>
      <c r="AX37" s="3513"/>
      <c r="AY37" s="1933"/>
      <c r="AZ37" s="3514"/>
      <c r="BA37" s="3515"/>
      <c r="BB37" s="3516" t="s">
        <v>993</v>
      </c>
      <c r="BC37" s="3517"/>
      <c r="BD37" s="3455"/>
      <c r="BE37" s="3518"/>
      <c r="BF37" s="3519"/>
      <c r="BG37" s="2896"/>
      <c r="BH37" s="3520"/>
      <c r="BI37" s="3521"/>
      <c r="BJ37" s="3522"/>
      <c r="BK37" s="3523"/>
      <c r="BL37" s="3524"/>
      <c r="BM37" s="3525"/>
      <c r="BN37" s="3526"/>
      <c r="BO37" s="3527"/>
      <c r="BP37" s="3528"/>
      <c r="BQ37" s="3529"/>
      <c r="BR37" s="3467"/>
      <c r="BS37" s="3530"/>
      <c r="BT37" s="3531"/>
      <c r="BU37" s="3532"/>
      <c r="BV37" s="3533" t="s">
        <v>995</v>
      </c>
      <c r="BW37" s="2811"/>
      <c r="BX37" s="2684"/>
      <c r="BY37" s="3534" t="s">
        <v>993</v>
      </c>
      <c r="BZ37" s="3535"/>
      <c r="CA37" s="3536"/>
      <c r="CB37" s="3537"/>
      <c r="CC37" s="3538"/>
      <c r="CD37" s="3539"/>
      <c r="CE37" s="3540"/>
      <c r="CF37" s="3541"/>
      <c r="CG37" s="3542"/>
      <c r="CH37" s="3543"/>
      <c r="CI37" s="3544"/>
      <c r="CJ37" s="3545"/>
      <c r="CK37" s="3546"/>
      <c r="CL37" s="2372"/>
      <c r="CM37" s="2373"/>
      <c r="CN37" s="2373"/>
      <c r="CO37" s="3481"/>
      <c r="CP37" s="3547"/>
    </row>
    <row r="38" spans="1:94">
      <c r="A38" s="1741"/>
      <c r="B38" s="1902"/>
      <c r="C38" s="1741"/>
      <c r="D38" s="1741"/>
      <c r="E38" s="2334"/>
      <c r="F38" s="3548"/>
      <c r="G38" s="3549"/>
      <c r="H38" s="3550"/>
      <c r="I38" s="3551"/>
      <c r="J38" s="3552"/>
      <c r="K38" s="3553"/>
      <c r="L38" s="3554"/>
      <c r="M38" s="3555"/>
      <c r="N38" s="3342"/>
      <c r="O38" s="3490"/>
      <c r="P38" s="3490"/>
      <c r="Q38" s="2532"/>
      <c r="R38" s="2343"/>
      <c r="S38" s="2973"/>
      <c r="T38" s="1998"/>
      <c r="U38" s="3556" t="s">
        <v>995</v>
      </c>
      <c r="V38" s="3557"/>
      <c r="W38" s="2078"/>
      <c r="X38" s="3558"/>
      <c r="Y38" s="2229"/>
      <c r="Z38" s="3559"/>
      <c r="AA38" s="3560"/>
      <c r="AB38" s="3345"/>
      <c r="AC38" s="3026"/>
      <c r="AD38" s="3561"/>
      <c r="AE38" s="3562"/>
      <c r="AF38" s="3563"/>
      <c r="AG38" s="3564"/>
      <c r="AH38" s="3565"/>
      <c r="AI38" s="3566"/>
      <c r="AJ38" s="3567"/>
      <c r="AK38" s="3568"/>
      <c r="AL38" s="1741"/>
      <c r="AM38" s="3569"/>
      <c r="AN38" s="2873"/>
      <c r="AO38" s="1741"/>
      <c r="AP38" s="1902"/>
      <c r="AQ38" s="2142"/>
      <c r="AR38" s="3570"/>
      <c r="AS38" s="3571"/>
      <c r="AT38" s="3572"/>
      <c r="AU38" s="3573"/>
      <c r="AV38" s="3574"/>
      <c r="AW38" s="3575"/>
      <c r="AX38" s="3576"/>
      <c r="AY38" s="3577"/>
      <c r="AZ38" s="3578"/>
      <c r="BA38" s="3579"/>
      <c r="BB38" s="3519" t="s">
        <v>993</v>
      </c>
      <c r="BC38" s="3519"/>
      <c r="BD38" s="3409"/>
      <c r="BE38" s="3519"/>
      <c r="BF38" s="3580"/>
      <c r="BG38" s="3518"/>
      <c r="BH38" s="3110"/>
      <c r="BI38" s="3581"/>
      <c r="BJ38" s="3582"/>
      <c r="BK38" s="3583"/>
      <c r="BL38" s="3584"/>
      <c r="BM38" s="3585"/>
      <c r="BN38" s="3586"/>
      <c r="BO38" s="3587"/>
      <c r="BP38" s="3588"/>
      <c r="BQ38" s="3589"/>
      <c r="BR38" s="3590"/>
      <c r="BS38" s="3591"/>
      <c r="BT38" s="3592"/>
      <c r="BU38" s="3593"/>
      <c r="BV38" s="3594" t="s">
        <v>995</v>
      </c>
      <c r="BW38" s="3595"/>
      <c r="BX38" s="3596"/>
      <c r="BY38" s="3597" t="s">
        <v>993</v>
      </c>
      <c r="BZ38" s="3598"/>
      <c r="CA38" s="3599"/>
      <c r="CB38" s="3600"/>
      <c r="CC38" s="3601"/>
      <c r="CD38" s="3602"/>
      <c r="CE38" s="3603"/>
      <c r="CF38" s="3604"/>
      <c r="CG38" s="3605"/>
      <c r="CH38" s="3606"/>
      <c r="CI38" s="3378"/>
      <c r="CJ38" s="3607"/>
      <c r="CK38" s="3608"/>
      <c r="CL38" s="2372"/>
      <c r="CM38" s="3430"/>
      <c r="CN38" s="3546"/>
      <c r="CO38" s="3379"/>
      <c r="CP38" s="3609"/>
    </row>
    <row r="39" spans="1:94">
      <c r="A39" s="1741"/>
      <c r="B39" s="1902"/>
      <c r="C39" s="1741"/>
      <c r="D39" s="1741"/>
      <c r="E39" s="1902"/>
      <c r="F39" s="2142"/>
      <c r="G39" s="3610"/>
      <c r="H39" s="3611"/>
      <c r="I39" s="3612"/>
      <c r="J39" s="3613"/>
      <c r="K39" s="3614"/>
      <c r="L39" s="3615"/>
      <c r="M39" s="3616"/>
      <c r="N39" s="3617"/>
      <c r="O39" s="2229"/>
      <c r="P39" s="2152"/>
      <c r="Q39" s="2402"/>
      <c r="R39" s="3618"/>
      <c r="S39" s="3619"/>
      <c r="T39" s="3620"/>
      <c r="U39" s="3621" t="s">
        <v>995</v>
      </c>
      <c r="V39" s="3622"/>
      <c r="W39" s="3623"/>
      <c r="X39" s="3624"/>
      <c r="Y39" s="3625"/>
      <c r="Z39" s="3626"/>
      <c r="AA39" s="3627"/>
      <c r="AB39" s="3628"/>
      <c r="AC39" s="3629"/>
      <c r="AD39" s="3630"/>
      <c r="AE39" s="3631"/>
      <c r="AF39" s="3632"/>
      <c r="AG39" s="3633"/>
      <c r="AH39" s="3634"/>
      <c r="AI39" s="3635"/>
      <c r="AJ39" s="3636"/>
      <c r="AK39" s="3637"/>
      <c r="AL39" s="2220"/>
      <c r="AM39" s="1741"/>
      <c r="AN39" s="1741"/>
      <c r="AO39" s="1741"/>
      <c r="AP39" s="1741"/>
      <c r="AQ39" s="1903"/>
      <c r="AR39" s="1741"/>
      <c r="AS39" s="3145"/>
      <c r="AT39" s="3638"/>
      <c r="AU39" s="3639"/>
      <c r="AV39" s="3640"/>
      <c r="AW39" s="3641"/>
      <c r="AX39" s="3642"/>
      <c r="AY39" s="3643"/>
      <c r="AZ39" s="3644"/>
      <c r="BA39" s="3644"/>
      <c r="BB39" s="3645" t="s">
        <v>993</v>
      </c>
      <c r="BC39" s="3519"/>
      <c r="BD39" s="3455"/>
      <c r="BE39" s="2896"/>
      <c r="BF39" s="3518"/>
      <c r="BG39" s="3519"/>
      <c r="BH39" s="3110"/>
      <c r="BI39" s="3646"/>
      <c r="BJ39" s="3647"/>
      <c r="BK39" s="3648"/>
      <c r="BL39" s="3649"/>
      <c r="BM39" s="3650"/>
      <c r="BN39" s="3651"/>
      <c r="BO39" s="3652"/>
      <c r="BP39" s="3653"/>
      <c r="BQ39" s="3654"/>
      <c r="BR39" s="3655"/>
      <c r="BS39" s="3656"/>
      <c r="BT39" s="3657"/>
      <c r="BU39" s="3658"/>
      <c r="BV39" s="3659" t="s">
        <v>995</v>
      </c>
      <c r="BW39" s="3660"/>
      <c r="BX39" s="3661"/>
      <c r="BY39" s="3662" t="s">
        <v>993</v>
      </c>
      <c r="BZ39" s="3663"/>
      <c r="CA39" s="3664"/>
      <c r="CB39" s="3665"/>
      <c r="CC39" s="3666"/>
      <c r="CD39" s="3667"/>
      <c r="CE39" s="3668"/>
      <c r="CF39" s="3669"/>
      <c r="CG39" s="3670"/>
      <c r="CH39" s="3671"/>
      <c r="CI39" s="3672"/>
      <c r="CJ39" s="2373"/>
      <c r="CK39" s="3380"/>
      <c r="CL39" s="3380"/>
      <c r="CM39" s="2310"/>
      <c r="CN39" s="3673"/>
      <c r="CO39" s="3608"/>
      <c r="CP39" s="3380"/>
    </row>
    <row r="40" spans="1:94">
      <c r="A40" s="1741"/>
      <c r="B40" s="1902"/>
      <c r="C40" s="1741"/>
      <c r="D40" s="1741"/>
      <c r="E40" s="1741"/>
      <c r="F40" s="1741"/>
      <c r="G40" s="1741"/>
      <c r="H40" s="1741"/>
      <c r="I40" s="3674"/>
      <c r="J40" s="3675"/>
      <c r="K40" s="3676"/>
      <c r="L40" s="3677"/>
      <c r="M40" s="3678"/>
      <c r="N40" s="3679"/>
      <c r="O40" s="3680"/>
      <c r="P40" s="2225"/>
      <c r="Q40" s="3090"/>
      <c r="R40" s="3681"/>
      <c r="S40" s="3682"/>
      <c r="T40" s="3683"/>
      <c r="U40" s="3684" t="s">
        <v>995</v>
      </c>
      <c r="V40" s="3685"/>
      <c r="W40" s="3686"/>
      <c r="X40" s="3687"/>
      <c r="Y40" s="3688"/>
      <c r="Z40" s="3689"/>
      <c r="AA40" s="2404"/>
      <c r="AB40" s="3690"/>
      <c r="AC40" s="3691"/>
      <c r="AD40" s="3692"/>
      <c r="AE40" s="3693"/>
      <c r="AF40" s="3694"/>
      <c r="AG40" s="3695"/>
      <c r="AH40" s="3696"/>
      <c r="AI40" s="3697"/>
      <c r="AJ40" s="3698"/>
      <c r="AK40" s="1741"/>
      <c r="AL40" s="2279"/>
      <c r="AM40" s="1741"/>
      <c r="AN40" s="1741"/>
      <c r="AO40" s="1741"/>
      <c r="AP40" s="1741"/>
      <c r="AQ40" s="1741"/>
      <c r="AR40" s="3699"/>
      <c r="AS40" s="1741"/>
      <c r="AT40" s="3700"/>
      <c r="AU40" s="3701"/>
      <c r="AV40" s="3702"/>
      <c r="AW40" s="3703"/>
      <c r="AX40" s="3704"/>
      <c r="AY40" s="3705"/>
      <c r="AZ40" s="3706"/>
      <c r="BA40" s="3707"/>
      <c r="BB40" s="3518" t="s">
        <v>993</v>
      </c>
      <c r="BC40" s="3519"/>
      <c r="BD40" s="3518"/>
      <c r="BE40" s="2846"/>
      <c r="BF40" s="2846"/>
      <c r="BG40" s="3519"/>
      <c r="BH40" s="3520"/>
      <c r="BI40" s="3708"/>
      <c r="BJ40" s="3578"/>
      <c r="BK40" s="3709"/>
      <c r="BL40" s="3710"/>
      <c r="BM40" s="3711"/>
      <c r="BN40" s="3712"/>
      <c r="BO40" s="3713"/>
      <c r="BP40" s="3714"/>
      <c r="BQ40" s="3715"/>
      <c r="BR40" s="3716"/>
      <c r="BS40" s="3717"/>
      <c r="BT40" s="3718"/>
      <c r="BU40" s="3719"/>
      <c r="BV40" s="3720" t="s">
        <v>995</v>
      </c>
      <c r="BW40" s="3721"/>
      <c r="BX40" s="3722"/>
      <c r="BY40" s="3723" t="s">
        <v>993</v>
      </c>
      <c r="BZ40" s="3724"/>
      <c r="CA40" s="3725"/>
      <c r="CB40" s="3726"/>
      <c r="CC40" s="3727"/>
      <c r="CD40" s="3728"/>
      <c r="CE40" s="3729"/>
      <c r="CF40" s="3730"/>
      <c r="CG40" s="3731"/>
      <c r="CH40" s="3732"/>
      <c r="CI40" s="3733"/>
      <c r="CJ40" s="3734"/>
      <c r="CK40" s="3672"/>
      <c r="CL40" s="3735"/>
      <c r="CM40" s="3736"/>
      <c r="CN40" s="3737"/>
      <c r="CO40" s="3430"/>
      <c r="CP40" s="3738"/>
    </row>
    <row r="41" spans="1:94">
      <c r="A41" s="1741"/>
      <c r="B41" s="1902"/>
      <c r="C41" s="1741"/>
      <c r="D41" s="1741"/>
      <c r="E41" s="1741"/>
      <c r="F41" s="1741"/>
      <c r="G41" s="1902"/>
      <c r="H41" s="3739"/>
      <c r="I41" s="3740"/>
      <c r="J41" s="3741"/>
      <c r="K41" s="3742"/>
      <c r="L41" s="3743"/>
      <c r="M41" s="3744"/>
      <c r="N41" s="3745"/>
      <c r="O41" s="3746"/>
      <c r="P41" s="3747"/>
      <c r="Q41" s="3748"/>
      <c r="R41" s="3749"/>
      <c r="S41" s="3750"/>
      <c r="T41" s="3751"/>
      <c r="U41" s="3752" t="s">
        <v>995</v>
      </c>
      <c r="V41" s="3753"/>
      <c r="W41" s="3754"/>
      <c r="X41" s="3755"/>
      <c r="Y41" s="3756"/>
      <c r="Z41" s="3757"/>
      <c r="AA41" s="3758"/>
      <c r="AB41" s="3759"/>
      <c r="AC41" s="3760"/>
      <c r="AD41" s="3761"/>
      <c r="AE41" s="3762"/>
      <c r="AF41" s="3763"/>
      <c r="AG41" s="3764"/>
      <c r="AH41" s="3765"/>
      <c r="AI41" s="3766"/>
      <c r="AJ41" s="1741"/>
      <c r="AK41" s="1902"/>
      <c r="AL41" s="1741"/>
      <c r="AM41" s="1741"/>
      <c r="AN41" s="1741"/>
      <c r="AO41" s="1741"/>
      <c r="AP41" s="1741"/>
      <c r="AQ41" s="1741"/>
      <c r="AR41" s="1741"/>
      <c r="AS41" s="2523"/>
      <c r="AT41" s="2180"/>
      <c r="AU41" s="3767"/>
      <c r="AV41" s="3768"/>
      <c r="AW41" s="3769"/>
      <c r="AX41" s="3770"/>
      <c r="AY41" s="3771"/>
      <c r="AZ41" s="3772"/>
      <c r="BA41" s="3773"/>
      <c r="BB41" s="2947" t="s">
        <v>993</v>
      </c>
      <c r="BC41" s="3455"/>
      <c r="BD41" s="3520"/>
      <c r="BE41" s="2896"/>
      <c r="BF41" s="3774"/>
      <c r="BG41" s="3775"/>
      <c r="BH41" s="3110"/>
      <c r="BI41" s="2027"/>
      <c r="BJ41" s="3776"/>
      <c r="BK41" s="3777"/>
      <c r="BL41" s="3778"/>
      <c r="BM41" s="3779"/>
      <c r="BN41" s="3780"/>
      <c r="BO41" s="3781"/>
      <c r="BP41" s="3782"/>
      <c r="BQ41" s="3783"/>
      <c r="BR41" s="3784"/>
      <c r="BS41" s="3785"/>
      <c r="BT41" s="3786"/>
      <c r="BU41" s="3787"/>
      <c r="BV41" s="3788" t="s">
        <v>995</v>
      </c>
      <c r="BW41" s="3789"/>
      <c r="BX41" s="3790"/>
      <c r="BY41" s="3791" t="s">
        <v>993</v>
      </c>
      <c r="BZ41" s="3792"/>
      <c r="CA41" s="3793"/>
      <c r="CB41" s="3794"/>
      <c r="CC41" s="3795"/>
      <c r="CD41" s="3796"/>
      <c r="CE41" s="3730"/>
      <c r="CF41" s="3797"/>
      <c r="CG41" s="3378"/>
      <c r="CH41" s="2371"/>
      <c r="CI41" s="3798"/>
      <c r="CJ41" s="3799"/>
      <c r="CK41" s="3800"/>
      <c r="CL41" s="2380"/>
      <c r="CM41" s="3801"/>
      <c r="CN41" s="3802"/>
      <c r="CO41" s="3803"/>
      <c r="CP41" s="3804"/>
    </row>
    <row r="42" spans="1:94">
      <c r="A42" s="1741"/>
      <c r="B42" s="1902"/>
      <c r="C42" s="1741"/>
      <c r="D42" s="1741"/>
      <c r="E42" s="1741"/>
      <c r="F42" s="1741"/>
      <c r="G42" s="1902"/>
      <c r="H42" s="3146"/>
      <c r="I42" s="3805"/>
      <c r="J42" s="3806"/>
      <c r="K42" s="3807"/>
      <c r="L42" s="3808"/>
      <c r="M42" s="3809"/>
      <c r="N42" s="3810"/>
      <c r="O42" s="3811"/>
      <c r="P42" s="3812"/>
      <c r="Q42" s="3813"/>
      <c r="R42" s="3814"/>
      <c r="S42" s="3815"/>
      <c r="T42" s="3816"/>
      <c r="U42" s="3817" t="s">
        <v>995</v>
      </c>
      <c r="V42" s="3818"/>
      <c r="W42" s="3819"/>
      <c r="X42" s="3820"/>
      <c r="Y42" s="3821"/>
      <c r="Z42" s="3822"/>
      <c r="AA42" s="3823"/>
      <c r="AB42" s="3824"/>
      <c r="AC42" s="3825"/>
      <c r="AD42" s="3826"/>
      <c r="AE42" s="3827"/>
      <c r="AF42" s="3828"/>
      <c r="AG42" s="1741"/>
      <c r="AH42" s="3829"/>
      <c r="AI42" s="3830"/>
      <c r="AJ42" s="3146"/>
      <c r="AK42" s="2397"/>
      <c r="AL42" s="1741"/>
      <c r="AM42" s="1741"/>
      <c r="AN42" s="1741"/>
      <c r="AO42" s="1741"/>
      <c r="AP42" s="1741"/>
      <c r="AQ42" s="1741"/>
      <c r="AR42" s="1741"/>
      <c r="AS42" s="2523"/>
      <c r="AT42" s="1741"/>
      <c r="AU42" s="3831"/>
      <c r="AV42" s="3832"/>
      <c r="AW42" s="3833"/>
      <c r="AX42" s="3640"/>
      <c r="AY42" s="3834"/>
      <c r="AZ42" s="3835"/>
      <c r="BA42" s="3836"/>
      <c r="BB42" s="3837" t="s">
        <v>993</v>
      </c>
      <c r="BC42" s="3067"/>
      <c r="BD42" s="3838"/>
      <c r="BE42" s="2896"/>
      <c r="BF42" s="3516"/>
      <c r="BG42" s="3775"/>
      <c r="BH42" s="3518"/>
      <c r="BI42" s="3839"/>
      <c r="BJ42" s="3840"/>
      <c r="BK42" s="2431"/>
      <c r="BL42" s="3841"/>
      <c r="BM42" s="2188"/>
      <c r="BN42" s="1933"/>
      <c r="BO42" s="3842"/>
      <c r="BP42" s="3843"/>
      <c r="BQ42" s="3844"/>
      <c r="BR42" s="3845"/>
      <c r="BS42" s="3846"/>
      <c r="BT42" s="3847"/>
      <c r="BU42" s="3848"/>
      <c r="BV42" s="3849" t="s">
        <v>995</v>
      </c>
      <c r="BW42" s="3850"/>
      <c r="BX42" s="3851"/>
      <c r="BY42" s="3837" t="s">
        <v>993</v>
      </c>
      <c r="BZ42" s="3790"/>
      <c r="CA42" s="3668"/>
      <c r="CB42" s="3852"/>
      <c r="CC42" s="3853"/>
      <c r="CD42" s="3854"/>
      <c r="CE42" s="3855"/>
      <c r="CF42" s="3430"/>
      <c r="CG42" s="2313"/>
      <c r="CH42" s="2314"/>
      <c r="CI42" s="2313"/>
      <c r="CJ42" s="3796"/>
      <c r="CK42" s="3856"/>
      <c r="CL42" s="3857"/>
      <c r="CM42" s="3858"/>
      <c r="CN42" s="3859"/>
      <c r="CO42" s="3860"/>
      <c r="CP42" s="3861"/>
    </row>
    <row r="43" spans="1:94">
      <c r="A43" s="1741"/>
      <c r="B43" s="1902"/>
      <c r="C43" s="1741"/>
      <c r="D43" s="1741"/>
      <c r="E43" s="1741"/>
      <c r="F43" s="1741"/>
      <c r="G43" s="1741"/>
      <c r="H43" s="1741"/>
      <c r="I43" s="1741"/>
      <c r="J43" s="1741"/>
      <c r="K43" s="1741"/>
      <c r="L43" s="3862"/>
      <c r="M43" s="3863"/>
      <c r="N43" s="3864"/>
      <c r="O43" s="3865"/>
      <c r="P43" s="3866"/>
      <c r="Q43" s="3867"/>
      <c r="R43" s="3868"/>
      <c r="S43" s="3869"/>
      <c r="T43" s="3870"/>
      <c r="U43" s="3871" t="s">
        <v>995</v>
      </c>
      <c r="V43" s="3872"/>
      <c r="W43" s="3873"/>
      <c r="X43" s="3874"/>
      <c r="Y43" s="3875"/>
      <c r="Z43" s="1741"/>
      <c r="AA43" s="3876"/>
      <c r="AB43" s="3877"/>
      <c r="AC43" s="1741"/>
      <c r="AD43" s="3878"/>
      <c r="AE43" s="3879"/>
      <c r="AF43" s="1741"/>
      <c r="AG43" s="2334"/>
      <c r="AH43" s="3880"/>
      <c r="AI43" s="3881"/>
      <c r="AJ43" s="1741"/>
      <c r="AK43" s="2220"/>
      <c r="AL43" s="1741"/>
      <c r="AM43" s="1741"/>
      <c r="AN43" s="1741"/>
      <c r="AO43" s="1741"/>
      <c r="AP43" s="1741"/>
      <c r="AQ43" s="1741"/>
      <c r="AR43" s="1741"/>
      <c r="AS43" s="1903"/>
      <c r="AT43" s="1902"/>
      <c r="AU43" s="3882"/>
      <c r="AV43" s="3883"/>
      <c r="AW43" s="3884"/>
      <c r="AX43" s="3885"/>
      <c r="AY43" s="3886"/>
      <c r="AZ43" s="3887"/>
      <c r="BA43" s="3888"/>
      <c r="BB43" s="3889" t="s">
        <v>993</v>
      </c>
      <c r="BC43" s="2945"/>
      <c r="BD43" s="3890"/>
      <c r="BE43" s="3891"/>
      <c r="BF43" s="2794"/>
      <c r="BG43" s="2896"/>
      <c r="BH43" s="3518"/>
      <c r="BI43" s="3892"/>
      <c r="BJ43" s="3776"/>
      <c r="BK43" s="2551"/>
      <c r="BL43" s="3893"/>
      <c r="BM43" s="3894"/>
      <c r="BN43" s="3705"/>
      <c r="BO43" s="3895"/>
      <c r="BP43" s="3896"/>
      <c r="BQ43" s="3897"/>
      <c r="BR43" s="3898"/>
      <c r="BS43" s="3899"/>
      <c r="BT43" s="3900"/>
      <c r="BU43" s="3901"/>
      <c r="BV43" s="3902" t="s">
        <v>995</v>
      </c>
      <c r="BW43" s="3903"/>
      <c r="BX43" s="2430"/>
      <c r="BY43" s="3904" t="s">
        <v>993</v>
      </c>
      <c r="BZ43" s="3905"/>
      <c r="CA43" s="3906"/>
      <c r="CB43" s="3907"/>
      <c r="CC43" s="3908"/>
      <c r="CD43" s="3733"/>
      <c r="CE43" s="3672"/>
      <c r="CF43" s="2373"/>
      <c r="CG43" s="2033"/>
      <c r="CH43" s="2313"/>
      <c r="CI43" s="3909"/>
      <c r="CJ43" s="3910"/>
      <c r="CK43" s="3911"/>
      <c r="CL43" s="3912"/>
      <c r="CM43" s="3913"/>
      <c r="CN43" s="3914"/>
      <c r="CO43" s="3915"/>
      <c r="CP43" s="3916"/>
    </row>
    <row r="44" spans="1:94">
      <c r="A44" s="1741"/>
      <c r="B44" s="1902"/>
      <c r="C44" s="1741"/>
      <c r="D44" s="1741"/>
      <c r="E44" s="1741"/>
      <c r="F44" s="1741"/>
      <c r="G44" s="1741"/>
      <c r="H44" s="1741"/>
      <c r="I44" s="1903"/>
      <c r="J44" s="3129"/>
      <c r="K44" s="3917"/>
      <c r="L44" s="3918"/>
      <c r="M44" s="3919"/>
      <c r="N44" s="1904"/>
      <c r="O44" s="1741"/>
      <c r="P44" s="3920"/>
      <c r="Q44" s="3921"/>
      <c r="R44" s="1741"/>
      <c r="S44" s="1741"/>
      <c r="T44" s="1741"/>
      <c r="U44" s="3922" t="s">
        <v>995</v>
      </c>
      <c r="V44" s="3923"/>
      <c r="W44" s="3924"/>
      <c r="X44" s="1741"/>
      <c r="Y44" s="1741"/>
      <c r="Z44" s="3739"/>
      <c r="AA44" s="1741"/>
      <c r="AB44" s="1741"/>
      <c r="AC44" s="1902"/>
      <c r="AD44" s="3925"/>
      <c r="AE44" s="3926"/>
      <c r="AF44" s="1902"/>
      <c r="AG44" s="3146"/>
      <c r="AH44" s="3927"/>
      <c r="AI44" s="3928"/>
      <c r="AJ44" s="1741"/>
      <c r="AK44" s="1741"/>
      <c r="AL44" s="1741"/>
      <c r="AM44" s="1741"/>
      <c r="AN44" s="1741"/>
      <c r="AO44" s="1741"/>
      <c r="AP44" s="1741"/>
      <c r="AQ44" s="1741"/>
      <c r="AR44" s="1741"/>
      <c r="AS44" s="2523"/>
      <c r="AT44" s="1741"/>
      <c r="AU44" s="3929"/>
      <c r="AV44" s="3930"/>
      <c r="AW44" s="3931"/>
      <c r="AX44" s="3932"/>
      <c r="AY44" s="2017"/>
      <c r="AZ44" s="3933"/>
      <c r="BA44" s="3934"/>
      <c r="BB44" s="3935" t="s">
        <v>993</v>
      </c>
      <c r="BC44" s="3936"/>
      <c r="BD44" s="3937"/>
      <c r="BE44" s="3938"/>
      <c r="BF44" s="3939"/>
      <c r="BG44" s="2947"/>
      <c r="BH44" s="3940"/>
      <c r="BI44" s="3941"/>
      <c r="BJ44" s="3942"/>
      <c r="BK44" s="1944"/>
      <c r="BL44" s="1940"/>
      <c r="BM44" s="3943"/>
      <c r="BN44" s="2550"/>
      <c r="BO44" s="3892"/>
      <c r="BP44" s="3944"/>
      <c r="BQ44" s="3945"/>
      <c r="BR44" s="3946"/>
      <c r="BS44" s="3947"/>
      <c r="BT44" s="3948"/>
      <c r="BU44" s="3949"/>
      <c r="BV44" s="3950" t="s">
        <v>995</v>
      </c>
      <c r="BW44" s="3951"/>
      <c r="BX44" s="3952"/>
      <c r="BY44" s="3953" t="s">
        <v>993</v>
      </c>
      <c r="BZ44" s="3954"/>
      <c r="CA44" s="3955"/>
      <c r="CB44" s="3956"/>
      <c r="CC44" s="3957"/>
      <c r="CD44" s="2255"/>
      <c r="CE44" s="3546"/>
      <c r="CF44" s="3958"/>
      <c r="CG44" s="2033"/>
      <c r="CH44" s="3959"/>
      <c r="CI44" s="3960"/>
      <c r="CJ44" s="3961"/>
      <c r="CK44" s="3962"/>
      <c r="CL44" s="3963"/>
      <c r="CM44" s="3964"/>
      <c r="CN44" s="3965"/>
      <c r="CO44" s="3966"/>
      <c r="CP44" s="3967"/>
    </row>
    <row r="45" spans="1:94">
      <c r="A45" s="1741"/>
      <c r="B45" s="1902"/>
      <c r="C45" s="1741"/>
      <c r="D45" s="1741"/>
      <c r="E45" s="1741"/>
      <c r="F45" s="1741"/>
      <c r="G45" s="1741"/>
      <c r="H45" s="1741"/>
      <c r="I45" s="1741"/>
      <c r="J45" s="1741"/>
      <c r="K45" s="1741"/>
      <c r="L45" s="1741"/>
      <c r="M45" s="1741"/>
      <c r="N45" s="3146"/>
      <c r="O45" s="3739"/>
      <c r="P45" s="3968"/>
      <c r="Q45" s="1741"/>
      <c r="R45" s="2279"/>
      <c r="S45" s="2279"/>
      <c r="T45" s="3969"/>
      <c r="U45" s="3970" t="s">
        <v>995</v>
      </c>
      <c r="V45" s="3971"/>
      <c r="W45" s="3972"/>
      <c r="X45" s="2220"/>
      <c r="Y45" s="3973"/>
      <c r="Z45" s="1741"/>
      <c r="AA45" s="1902"/>
      <c r="AB45" s="1741"/>
      <c r="AC45" s="1741"/>
      <c r="AD45" s="1741"/>
      <c r="AE45" s="1741"/>
      <c r="AF45" s="1741"/>
      <c r="AG45" s="1741"/>
      <c r="AH45" s="1741"/>
      <c r="AI45" s="2334"/>
      <c r="AJ45" s="1741"/>
      <c r="AK45" s="1741"/>
      <c r="AL45" s="1741"/>
      <c r="AM45" s="1741"/>
      <c r="AN45" s="1741"/>
      <c r="AO45" s="1741"/>
      <c r="AP45" s="1741"/>
      <c r="AQ45" s="1741"/>
      <c r="AR45" s="1741"/>
      <c r="AS45" s="3974"/>
      <c r="AT45" s="3975"/>
      <c r="AU45" s="3976"/>
      <c r="AV45" s="3977"/>
      <c r="AW45" s="3978"/>
      <c r="AX45" s="3979"/>
      <c r="AY45" s="3980"/>
      <c r="AZ45" s="3981"/>
      <c r="BA45" s="3982"/>
      <c r="BB45" s="3983" t="s">
        <v>993</v>
      </c>
      <c r="BC45" s="3984"/>
      <c r="BD45" s="3985"/>
      <c r="BE45" s="3986"/>
      <c r="BF45" s="3987"/>
      <c r="BG45" s="3988"/>
      <c r="BH45" s="3837"/>
      <c r="BI45" s="3989"/>
      <c r="BJ45" s="1699"/>
      <c r="BK45" s="3990"/>
      <c r="BL45" s="3942"/>
      <c r="BM45" s="1699"/>
      <c r="BN45" s="1938"/>
      <c r="BO45" s="1699"/>
      <c r="BP45" s="1947"/>
      <c r="BQ45" s="3991"/>
      <c r="BR45" s="3992"/>
      <c r="BS45" s="3993"/>
      <c r="BT45" s="3994"/>
      <c r="BU45" s="3995"/>
      <c r="BV45" s="3996" t="s">
        <v>995</v>
      </c>
      <c r="BW45" s="3997"/>
      <c r="BX45" s="2368"/>
      <c r="BY45" s="3998" t="s">
        <v>993</v>
      </c>
      <c r="BZ45" s="3999"/>
      <c r="CA45" s="3956"/>
      <c r="CB45" s="2255"/>
      <c r="CC45" s="3733"/>
      <c r="CD45" s="3546"/>
      <c r="CE45" s="2033"/>
      <c r="CF45" s="2372"/>
      <c r="CG45" s="2374"/>
      <c r="CH45" s="4000"/>
      <c r="CI45" s="4001"/>
      <c r="CJ45" s="4002"/>
      <c r="CK45" s="4003"/>
      <c r="CL45" s="4004"/>
      <c r="CM45" s="4005"/>
      <c r="CN45" s="4006"/>
      <c r="CO45" s="4007"/>
      <c r="CP45" s="4008"/>
    </row>
    <row r="46" spans="1:94">
      <c r="A46" s="1741"/>
      <c r="B46" s="1902"/>
      <c r="C46" s="1741"/>
      <c r="D46" s="1741"/>
      <c r="E46" s="1741"/>
      <c r="F46" s="1741"/>
      <c r="G46" s="1741"/>
      <c r="H46" s="1741"/>
      <c r="I46" s="1741"/>
      <c r="J46" s="1741"/>
      <c r="K46" s="1741"/>
      <c r="L46" s="1741"/>
      <c r="M46" s="2142"/>
      <c r="N46" s="1741"/>
      <c r="O46" s="1741"/>
      <c r="P46" s="1741"/>
      <c r="Q46" s="1902"/>
      <c r="R46" s="1902"/>
      <c r="S46" s="1741"/>
      <c r="T46" s="4009"/>
      <c r="U46" s="4010" t="s">
        <v>995</v>
      </c>
      <c r="V46" s="4011"/>
      <c r="W46" s="4012"/>
      <c r="X46" s="1741"/>
      <c r="Y46" s="4013"/>
      <c r="Z46" s="1741"/>
      <c r="AA46" s="1741"/>
      <c r="AB46" s="1741"/>
      <c r="AC46" s="1741"/>
      <c r="AD46" s="1741"/>
      <c r="AE46" s="1741"/>
      <c r="AF46" s="1741"/>
      <c r="AG46" s="1741"/>
      <c r="AH46" s="1741"/>
      <c r="AI46" s="1741"/>
      <c r="AJ46" s="1741"/>
      <c r="AK46" s="1741"/>
      <c r="AL46" s="1741"/>
      <c r="AM46" s="1741"/>
      <c r="AN46" s="1741"/>
      <c r="AO46" s="1741"/>
      <c r="AP46" s="1741"/>
      <c r="AQ46" s="1902"/>
      <c r="AR46" s="2248"/>
      <c r="AS46" s="4014"/>
      <c r="AT46" s="4015"/>
      <c r="AU46" s="4016"/>
      <c r="AV46" s="4017"/>
      <c r="AW46" s="4018"/>
      <c r="AX46" s="4019"/>
      <c r="AY46" s="4020"/>
      <c r="AZ46" s="4021"/>
      <c r="BA46" s="4022"/>
      <c r="BB46" s="4023" t="s">
        <v>993</v>
      </c>
      <c r="BC46" s="4024"/>
      <c r="BD46" s="4025"/>
      <c r="BE46" s="4026"/>
      <c r="BF46" s="4027"/>
      <c r="BG46" s="4028"/>
      <c r="BH46" s="4029"/>
      <c r="BI46" s="1787"/>
      <c r="BJ46" s="4030"/>
      <c r="BK46" s="1787"/>
      <c r="BL46" s="4031"/>
      <c r="BM46" s="4032"/>
      <c r="BN46" s="1787"/>
      <c r="BO46" s="4033"/>
      <c r="BP46" s="1788"/>
      <c r="BQ46" s="1699"/>
      <c r="BR46" s="4034"/>
      <c r="BS46" s="4035"/>
      <c r="BT46" s="4036"/>
      <c r="BU46" s="4037"/>
      <c r="BV46" s="4038" t="s">
        <v>995</v>
      </c>
      <c r="BW46" s="4039"/>
      <c r="BX46" s="3776"/>
      <c r="BY46" s="2795" t="s">
        <v>993</v>
      </c>
      <c r="BZ46" s="4040"/>
      <c r="CA46" s="3956"/>
      <c r="CB46" s="3430"/>
      <c r="CC46" s="2495"/>
      <c r="CD46" s="2374"/>
      <c r="CE46" s="2372"/>
      <c r="CF46" s="2372"/>
      <c r="CG46" s="3735"/>
      <c r="CH46" s="4041"/>
      <c r="CI46" s="4042"/>
      <c r="CJ46" s="4043"/>
      <c r="CK46" s="4044"/>
      <c r="CL46" s="4045"/>
      <c r="CM46" s="4046"/>
      <c r="CN46" s="4047"/>
      <c r="CO46" s="4048"/>
      <c r="CP46" s="4049"/>
    </row>
    <row r="47" spans="1:94">
      <c r="A47" s="1741"/>
      <c r="B47" s="1902"/>
      <c r="C47" s="1741"/>
      <c r="D47" s="1741"/>
      <c r="E47" s="1741"/>
      <c r="F47" s="1741"/>
      <c r="G47" s="1741"/>
      <c r="H47" s="1741"/>
      <c r="I47" s="1741"/>
      <c r="J47" s="1902"/>
      <c r="K47" s="1741"/>
      <c r="L47" s="1741"/>
      <c r="M47" s="1741"/>
      <c r="N47" s="1741"/>
      <c r="O47" s="1741"/>
      <c r="P47" s="1741"/>
      <c r="Q47" s="1741"/>
      <c r="R47" s="1902"/>
      <c r="S47" s="1741"/>
      <c r="T47" s="4050"/>
      <c r="U47" s="4051" t="s">
        <v>995</v>
      </c>
      <c r="V47" s="4052"/>
      <c r="W47" s="4053"/>
      <c r="X47" s="1741"/>
      <c r="Y47" s="3129"/>
      <c r="Z47" s="1741"/>
      <c r="AA47" s="1741"/>
      <c r="AB47" s="1741"/>
      <c r="AC47" s="1741"/>
      <c r="AD47" s="1741"/>
      <c r="AE47" s="1741"/>
      <c r="AF47" s="1741"/>
      <c r="AG47" s="1741"/>
      <c r="AH47" s="1741"/>
      <c r="AI47" s="1741"/>
      <c r="AJ47" s="1741"/>
      <c r="AK47" s="1741"/>
      <c r="AL47" s="1741"/>
      <c r="AM47" s="1741"/>
      <c r="AN47" s="1741"/>
      <c r="AO47" s="1741"/>
      <c r="AP47" s="1741"/>
      <c r="AQ47" s="2522"/>
      <c r="AR47" s="1741"/>
      <c r="AS47" s="4054"/>
      <c r="AT47" s="4055"/>
      <c r="AU47" s="4056"/>
      <c r="AV47" s="4057"/>
      <c r="AW47" s="4058"/>
      <c r="AX47" s="4059"/>
      <c r="AY47" s="4060"/>
      <c r="AZ47" s="4061"/>
      <c r="BA47" s="4062"/>
      <c r="BB47" s="4063" t="s">
        <v>993</v>
      </c>
      <c r="BC47" s="4064"/>
      <c r="BD47" s="4065"/>
      <c r="BE47" s="4066"/>
      <c r="BF47" s="4067"/>
      <c r="BG47" s="3937"/>
      <c r="BH47" s="4068"/>
      <c r="BI47" s="4069"/>
      <c r="BJ47" s="1866"/>
      <c r="BK47" s="1787"/>
      <c r="BL47" s="4070"/>
      <c r="BM47" s="4040"/>
      <c r="BN47" s="4071"/>
      <c r="BO47" s="2308"/>
      <c r="BP47" s="1859"/>
      <c r="BQ47" s="4072"/>
      <c r="BR47" s="4073"/>
      <c r="BS47" s="4074"/>
      <c r="BT47" s="4075"/>
      <c r="BU47" s="4076"/>
      <c r="BV47" s="4077" t="s">
        <v>995</v>
      </c>
      <c r="BW47" s="4078"/>
      <c r="BX47" s="1699"/>
      <c r="BY47" s="4079" t="s">
        <v>993</v>
      </c>
      <c r="BZ47" s="4080"/>
      <c r="CA47" s="3956"/>
      <c r="CB47" s="3672"/>
      <c r="CC47" s="3546"/>
      <c r="CD47" s="2315"/>
      <c r="CE47" s="4081"/>
      <c r="CF47" s="3958"/>
      <c r="CG47" s="2033"/>
      <c r="CH47" s="2259"/>
      <c r="CI47" s="4082"/>
      <c r="CJ47" s="4083"/>
      <c r="CK47" s="4084"/>
      <c r="CL47" s="4085"/>
      <c r="CM47" s="4086"/>
      <c r="CN47" s="4087"/>
      <c r="CO47" s="4088"/>
      <c r="CP47" s="4089"/>
    </row>
    <row r="48" spans="1:94">
      <c r="A48" s="1741"/>
      <c r="B48" s="1902"/>
      <c r="C48" s="1741"/>
      <c r="D48" s="1741"/>
      <c r="E48" s="1741"/>
      <c r="F48" s="1741"/>
      <c r="G48" s="1741"/>
      <c r="H48" s="1741"/>
      <c r="I48" s="1741"/>
      <c r="J48" s="1902"/>
      <c r="K48" s="1741"/>
      <c r="L48" s="1741"/>
      <c r="M48" s="1741"/>
      <c r="N48" s="1741"/>
      <c r="O48" s="1741"/>
      <c r="P48" s="1741"/>
      <c r="Q48" s="1741"/>
      <c r="R48" s="3202"/>
      <c r="S48" s="1741"/>
      <c r="T48" s="4090"/>
      <c r="U48" s="4091" t="s">
        <v>995</v>
      </c>
      <c r="V48" s="4092"/>
      <c r="W48" s="4093"/>
      <c r="X48" s="1741"/>
      <c r="Y48" s="2925"/>
      <c r="Z48" s="1741"/>
      <c r="AA48" s="1741"/>
      <c r="AB48" s="1741"/>
      <c r="AC48" s="1741"/>
      <c r="AD48" s="1741"/>
      <c r="AE48" s="1741"/>
      <c r="AF48" s="1741"/>
      <c r="AG48" s="1741"/>
      <c r="AH48" s="1741"/>
      <c r="AI48" s="1741"/>
      <c r="AJ48" s="1741"/>
      <c r="AK48" s="1741"/>
      <c r="AL48" s="1741"/>
      <c r="AM48" s="1741"/>
      <c r="AN48" s="1741"/>
      <c r="AO48" s="1741"/>
      <c r="AP48" s="1902"/>
      <c r="AQ48" s="2142"/>
      <c r="AR48" s="4094"/>
      <c r="AS48" s="4095"/>
      <c r="AT48" s="4096"/>
      <c r="AU48" s="4097"/>
      <c r="AV48" s="4098"/>
      <c r="AW48" s="4099"/>
      <c r="AX48" s="4100"/>
      <c r="AY48" s="4101"/>
      <c r="AZ48" s="4102"/>
      <c r="BA48" s="4103"/>
      <c r="BB48" s="4104" t="s">
        <v>993</v>
      </c>
      <c r="BC48" s="4105"/>
      <c r="BD48" s="4106"/>
      <c r="BE48" s="4107"/>
      <c r="BF48" s="4108"/>
      <c r="BG48" s="4109"/>
      <c r="BH48" s="4110"/>
      <c r="BI48" s="1941"/>
      <c r="BJ48" s="1788"/>
      <c r="BK48" s="4070"/>
      <c r="BL48" s="4111"/>
      <c r="BM48" s="4112"/>
      <c r="BN48" s="4113"/>
      <c r="BO48" s="4113"/>
      <c r="BP48" s="1699"/>
      <c r="BQ48" s="4114"/>
      <c r="BR48" s="4115"/>
      <c r="BS48" s="4116"/>
      <c r="BT48" s="4117"/>
      <c r="BU48" s="4118"/>
      <c r="BV48" s="4119" t="s">
        <v>995</v>
      </c>
      <c r="BW48" s="4120"/>
      <c r="BX48" s="4121"/>
      <c r="BY48" s="4122" t="s">
        <v>993</v>
      </c>
      <c r="BZ48" s="2020"/>
      <c r="CA48" s="2493"/>
      <c r="CB48" s="4123"/>
      <c r="CC48" s="2373"/>
      <c r="CD48" s="4124"/>
      <c r="CE48" s="2374"/>
      <c r="CF48" s="3480"/>
      <c r="CG48" s="4125"/>
      <c r="CH48" s="3609"/>
      <c r="CI48" s="4126"/>
      <c r="CJ48" s="4127"/>
      <c r="CK48" s="4128"/>
      <c r="CL48" s="4129"/>
      <c r="CM48" s="4130"/>
      <c r="CN48" s="4131"/>
      <c r="CO48" s="4132"/>
      <c r="CP48" s="4133"/>
    </row>
    <row r="49" spans="1:94">
      <c r="A49" s="1741"/>
      <c r="B49" s="1902"/>
      <c r="C49" s="1741"/>
      <c r="D49" s="1741"/>
      <c r="E49" s="1741"/>
      <c r="F49" s="1741"/>
      <c r="G49" s="1741"/>
      <c r="H49" s="1741"/>
      <c r="I49" s="1741"/>
      <c r="J49" s="1741"/>
      <c r="K49" s="1741"/>
      <c r="L49" s="1741"/>
      <c r="M49" s="1741"/>
      <c r="N49" s="1741"/>
      <c r="O49" s="1741"/>
      <c r="P49" s="1741"/>
      <c r="Q49" s="1741"/>
      <c r="R49" s="2279"/>
      <c r="S49" s="1741"/>
      <c r="T49" s="4134"/>
      <c r="U49" s="4135" t="s">
        <v>995</v>
      </c>
      <c r="V49" s="4136"/>
      <c r="W49" s="4137"/>
      <c r="X49" s="1741"/>
      <c r="Y49" s="2925"/>
      <c r="Z49" s="1741"/>
      <c r="AA49" s="1741"/>
      <c r="AB49" s="1741"/>
      <c r="AC49" s="1741"/>
      <c r="AD49" s="1741"/>
      <c r="AE49" s="1741"/>
      <c r="AF49" s="1741"/>
      <c r="AG49" s="1741"/>
      <c r="AH49" s="1741"/>
      <c r="AI49" s="1741"/>
      <c r="AJ49" s="1741"/>
      <c r="AK49" s="1741"/>
      <c r="AL49" s="1741"/>
      <c r="AM49" s="1741"/>
      <c r="AN49" s="1741"/>
      <c r="AO49" s="1902"/>
      <c r="AP49" s="1904"/>
      <c r="AQ49" s="4138"/>
      <c r="AR49" s="4139"/>
      <c r="AS49" s="4140"/>
      <c r="AT49" s="4141"/>
      <c r="AU49" s="4142"/>
      <c r="AV49" s="4143"/>
      <c r="AW49" s="4144"/>
      <c r="AX49" s="4145"/>
      <c r="AY49" s="4146"/>
      <c r="AZ49" s="4147"/>
      <c r="BA49" s="4148"/>
      <c r="BB49" s="4149" t="s">
        <v>993</v>
      </c>
      <c r="BC49" s="4150"/>
      <c r="BD49" s="4151"/>
      <c r="BE49" s="4152"/>
      <c r="BF49" s="4153"/>
      <c r="BG49" s="4154"/>
      <c r="BH49" s="4155"/>
      <c r="BI49" s="4156"/>
      <c r="BJ49" s="1858"/>
      <c r="BK49" s="1862"/>
      <c r="BL49" s="4157"/>
      <c r="BM49" s="1868"/>
      <c r="BN49" s="1947"/>
      <c r="BO49" s="4158"/>
      <c r="BP49" s="4159"/>
      <c r="BQ49" s="3840"/>
      <c r="BR49" s="4160"/>
      <c r="BS49" s="4161"/>
      <c r="BT49" s="4162"/>
      <c r="BU49" s="4163"/>
      <c r="BV49" s="4164" t="s">
        <v>995</v>
      </c>
      <c r="BW49" s="4165"/>
      <c r="BX49" s="2368"/>
      <c r="BY49" s="4166" t="s">
        <v>993</v>
      </c>
      <c r="BZ49" s="4040"/>
      <c r="CA49" s="3478"/>
      <c r="CB49" s="4124"/>
      <c r="CC49" s="2373"/>
      <c r="CD49" s="3479"/>
      <c r="CE49" s="2313"/>
      <c r="CF49" s="2371"/>
      <c r="CG49" s="3608"/>
      <c r="CH49" s="2257"/>
      <c r="CI49" s="4167"/>
      <c r="CJ49" s="4168"/>
      <c r="CK49" s="4169"/>
      <c r="CL49" s="4170"/>
      <c r="CM49" s="4171"/>
      <c r="CN49" s="4172"/>
      <c r="CO49" s="4173"/>
      <c r="CP49" s="4174"/>
    </row>
    <row r="50" spans="1:94" ht="16.5" thickBot="1">
      <c r="A50" s="1741"/>
      <c r="B50" s="1902"/>
      <c r="C50" s="1741"/>
      <c r="D50" s="1741"/>
      <c r="E50" s="1741"/>
      <c r="F50" s="1741"/>
      <c r="G50" s="1741"/>
      <c r="H50" s="1741"/>
      <c r="I50" s="1741"/>
      <c r="J50" s="1741"/>
      <c r="K50" s="1741"/>
      <c r="L50" s="1741"/>
      <c r="M50" s="1741"/>
      <c r="N50" s="1741"/>
      <c r="O50" s="1741"/>
      <c r="P50" s="1741"/>
      <c r="Q50" s="1741"/>
      <c r="R50" s="2703"/>
      <c r="S50" s="1741"/>
      <c r="T50" s="4175"/>
      <c r="U50" s="4176" t="s">
        <v>995</v>
      </c>
      <c r="V50" s="4177"/>
      <c r="W50" s="4178"/>
      <c r="X50" s="1741"/>
      <c r="Y50" s="2703"/>
      <c r="Z50" s="1741"/>
      <c r="AA50" s="1741"/>
      <c r="AB50" s="1741"/>
      <c r="AC50" s="1741"/>
      <c r="AD50" s="1741"/>
      <c r="AE50" s="1741"/>
      <c r="AF50" s="1741"/>
      <c r="AG50" s="1741"/>
      <c r="AH50" s="1741"/>
      <c r="AI50" s="1741"/>
      <c r="AJ50" s="1741"/>
      <c r="AK50" s="1741"/>
      <c r="AL50" s="1741"/>
      <c r="AM50" s="1741"/>
      <c r="AN50" s="2522"/>
      <c r="AO50" s="1741"/>
      <c r="AP50" s="1825"/>
      <c r="AQ50" s="4179"/>
      <c r="AR50" s="4180"/>
      <c r="AS50" s="4181"/>
      <c r="AT50" s="4182"/>
      <c r="AU50" s="4183"/>
      <c r="AV50" s="4184"/>
      <c r="AW50" s="4185"/>
      <c r="AX50" s="4186"/>
      <c r="AY50" s="4187"/>
      <c r="AZ50" s="4188"/>
      <c r="BA50" s="4189"/>
      <c r="BB50" s="4190" t="s">
        <v>993</v>
      </c>
      <c r="BC50" s="4191"/>
      <c r="BD50" s="4192"/>
      <c r="BE50" s="4193"/>
      <c r="BF50" s="4194"/>
      <c r="BG50" s="4195"/>
      <c r="BH50" s="4196"/>
      <c r="BI50" s="4197"/>
      <c r="BJ50" s="1938"/>
      <c r="BK50" s="2028"/>
      <c r="BL50" s="1780"/>
      <c r="BM50" s="4198"/>
      <c r="BN50" s="4111"/>
      <c r="BO50" s="1619"/>
      <c r="BP50" s="4033"/>
      <c r="BQ50" s="4199"/>
      <c r="BR50" s="4200"/>
      <c r="BS50" s="4201"/>
      <c r="BT50" s="4202"/>
      <c r="BU50" s="4203"/>
      <c r="BV50" s="3996" t="s">
        <v>995</v>
      </c>
      <c r="BW50" s="3997"/>
      <c r="BX50" s="2368"/>
      <c r="BY50" s="2795" t="s">
        <v>993</v>
      </c>
      <c r="BZ50" s="1701"/>
      <c r="CA50" s="2493"/>
      <c r="CB50" s="2309"/>
      <c r="CC50" s="2033"/>
      <c r="CD50" s="2374"/>
      <c r="CE50" s="3380"/>
      <c r="CF50" s="3379"/>
      <c r="CG50" s="3608"/>
      <c r="CH50" s="2259"/>
      <c r="CI50" s="2259"/>
      <c r="CJ50" s="4204"/>
      <c r="CK50" s="4205"/>
      <c r="CL50" s="4206"/>
      <c r="CM50" s="4207"/>
      <c r="CN50" s="4208"/>
      <c r="CO50" s="4209"/>
      <c r="CP50" s="4210"/>
    </row>
    <row r="51" spans="1:94">
      <c r="A51" s="1741"/>
      <c r="B51" s="1902"/>
      <c r="C51" s="1741"/>
      <c r="D51" s="1741"/>
      <c r="E51" s="1741"/>
      <c r="F51" s="1741"/>
      <c r="G51" s="1741"/>
      <c r="H51" s="1741"/>
      <c r="I51" s="1741"/>
      <c r="J51" s="1741"/>
      <c r="K51" s="1741"/>
      <c r="L51" s="1741"/>
      <c r="M51" s="1741"/>
      <c r="N51" s="1741"/>
      <c r="O51" s="1741"/>
      <c r="P51" s="1741"/>
      <c r="Q51" s="1741"/>
      <c r="R51" s="2703"/>
      <c r="S51" s="1741"/>
      <c r="T51" s="4211"/>
      <c r="U51" s="4212" t="s">
        <v>995</v>
      </c>
      <c r="V51" s="4213"/>
      <c r="W51" s="4214"/>
      <c r="X51" s="1741"/>
      <c r="Y51" s="2703"/>
      <c r="Z51" s="1741"/>
      <c r="AA51" s="1741"/>
      <c r="AB51" s="1741"/>
      <c r="AC51" s="1741"/>
      <c r="AD51" s="1741"/>
      <c r="AE51" s="1741"/>
      <c r="AF51" s="1741"/>
      <c r="AG51" s="1741"/>
      <c r="AH51" s="1741"/>
      <c r="AI51" s="1741"/>
      <c r="AJ51" s="1741"/>
      <c r="AK51" s="2142"/>
      <c r="AL51" s="1903"/>
      <c r="AM51" s="1741"/>
      <c r="AN51" s="1741"/>
      <c r="AO51" s="4215"/>
      <c r="AP51" s="4216"/>
      <c r="AQ51" s="4217"/>
      <c r="AR51" s="4218"/>
      <c r="AS51" s="4219"/>
      <c r="AT51" s="4220"/>
      <c r="AU51" s="4221"/>
      <c r="AV51" s="4222"/>
      <c r="AW51" s="4223"/>
      <c r="AX51" s="10595" cm="1">
        <f t="array" ref="AX51:BB56">_xlfn.SEQUENCE(6,5,1,1)</f>
        <v>1</v>
      </c>
      <c r="AY51" s="10596">
        <v>2</v>
      </c>
      <c r="AZ51" s="10596">
        <v>3</v>
      </c>
      <c r="BA51" s="10596">
        <v>4</v>
      </c>
      <c r="BB51" s="10597">
        <v>5</v>
      </c>
      <c r="BC51" s="4226"/>
      <c r="BD51" s="4227"/>
      <c r="BE51" s="4228"/>
      <c r="BF51" s="4229"/>
      <c r="BG51" s="4230"/>
      <c r="BH51" s="4231"/>
      <c r="BI51" s="3415"/>
      <c r="BJ51" s="4232"/>
      <c r="BK51" s="1945"/>
      <c r="BL51" s="4233"/>
      <c r="BM51" s="1863"/>
      <c r="BN51" s="4111"/>
      <c r="BO51" s="1701"/>
      <c r="BP51" s="4234"/>
      <c r="BQ51" s="3707"/>
      <c r="BR51" s="4235"/>
      <c r="BS51" s="4236"/>
      <c r="BT51" s="4237"/>
      <c r="BU51" s="4238"/>
      <c r="BV51" s="4239" t="s">
        <v>995</v>
      </c>
      <c r="BW51" s="4240"/>
      <c r="BX51" s="3952"/>
      <c r="BY51" s="4166" t="s">
        <v>993</v>
      </c>
      <c r="BZ51" s="3854"/>
      <c r="CA51" s="3797"/>
      <c r="CB51" s="2193"/>
      <c r="CC51" s="2031"/>
      <c r="CD51" s="3672"/>
      <c r="CE51" s="3479"/>
      <c r="CF51" s="2373"/>
      <c r="CG51" s="2312"/>
      <c r="CH51" s="2114"/>
      <c r="CI51" s="2312"/>
      <c r="CJ51" s="2257"/>
      <c r="CK51" s="4241"/>
      <c r="CL51" s="4242"/>
      <c r="CM51" s="4243"/>
      <c r="CN51" s="4244"/>
      <c r="CO51" s="4245"/>
      <c r="CP51" s="4246"/>
    </row>
    <row r="52" spans="1:94">
      <c r="A52" s="1741"/>
      <c r="B52" s="1902"/>
      <c r="C52" s="1741"/>
      <c r="D52" s="1741"/>
      <c r="E52" s="1741"/>
      <c r="F52" s="1741"/>
      <c r="G52" s="1741"/>
      <c r="H52" s="1741"/>
      <c r="I52" s="1741"/>
      <c r="J52" s="1741"/>
      <c r="K52" s="1741"/>
      <c r="L52" s="1741"/>
      <c r="M52" s="1741"/>
      <c r="N52" s="1741"/>
      <c r="O52" s="1741"/>
      <c r="P52" s="1741"/>
      <c r="Q52" s="1741"/>
      <c r="R52" s="4247"/>
      <c r="S52" s="1741"/>
      <c r="T52" s="4248"/>
      <c r="U52" s="4249" t="s">
        <v>995</v>
      </c>
      <c r="V52" s="4250"/>
      <c r="W52" s="4251"/>
      <c r="X52" s="1741"/>
      <c r="Y52" s="2703"/>
      <c r="Z52" s="1741"/>
      <c r="AA52" s="1741"/>
      <c r="AB52" s="1741"/>
      <c r="AC52" s="1741"/>
      <c r="AD52" s="1741"/>
      <c r="AE52" s="1741"/>
      <c r="AF52" s="1741"/>
      <c r="AG52" s="1741"/>
      <c r="AH52" s="1902"/>
      <c r="AI52" s="2522"/>
      <c r="AJ52" s="1904"/>
      <c r="AK52" s="1741"/>
      <c r="AL52" s="1741"/>
      <c r="AM52" s="4252"/>
      <c r="AN52" s="4253"/>
      <c r="AO52" s="4254"/>
      <c r="AP52" s="4255"/>
      <c r="AQ52" s="4256"/>
      <c r="AR52" s="4257"/>
      <c r="AS52" s="4258"/>
      <c r="AT52" s="4259"/>
      <c r="AU52" s="4260"/>
      <c r="AV52" s="4261"/>
      <c r="AW52" s="4262"/>
      <c r="AX52" s="10598">
        <v>6</v>
      </c>
      <c r="AY52" s="10599">
        <v>7</v>
      </c>
      <c r="AZ52" s="10599">
        <v>8</v>
      </c>
      <c r="BA52" s="10599">
        <v>9</v>
      </c>
      <c r="BB52" s="10600">
        <v>10</v>
      </c>
      <c r="BC52" s="4263"/>
      <c r="BD52" s="4264"/>
      <c r="BE52" s="4265"/>
      <c r="BF52" s="4266"/>
      <c r="BG52" s="4267"/>
      <c r="BH52" s="4268"/>
      <c r="BI52" s="4269"/>
      <c r="BJ52" s="4270"/>
      <c r="BK52" s="4271"/>
      <c r="BL52" s="4157"/>
      <c r="BM52" s="1864"/>
      <c r="BN52" s="4111"/>
      <c r="BO52" s="1700"/>
      <c r="BP52" s="1938"/>
      <c r="BQ52" s="4272"/>
      <c r="BR52" s="4273"/>
      <c r="BS52" s="4274"/>
      <c r="BT52" s="4275"/>
      <c r="BU52" s="4276"/>
      <c r="BV52" s="4277" t="s">
        <v>995</v>
      </c>
      <c r="BW52" s="4278"/>
      <c r="BX52" s="4279"/>
      <c r="BY52" s="4280" t="s">
        <v>993</v>
      </c>
      <c r="BZ52" s="4281"/>
      <c r="CA52" s="3797"/>
      <c r="CB52" s="4282"/>
      <c r="CC52" s="2033"/>
      <c r="CD52" s="3671"/>
      <c r="CE52" s="4283"/>
      <c r="CF52" s="4284"/>
      <c r="CG52" s="2374"/>
      <c r="CH52" s="3735"/>
      <c r="CI52" s="2312"/>
      <c r="CJ52" s="3958"/>
      <c r="CK52" s="3380"/>
      <c r="CL52" s="2257"/>
      <c r="CM52" s="4285"/>
      <c r="CN52" s="2823"/>
      <c r="CO52" s="4286"/>
      <c r="CP52" s="4287"/>
    </row>
    <row r="53" spans="1:94">
      <c r="A53" s="1741"/>
      <c r="B53" s="1902"/>
      <c r="C53" s="1741"/>
      <c r="D53" s="1741"/>
      <c r="E53" s="1741"/>
      <c r="F53" s="1741"/>
      <c r="G53" s="1741"/>
      <c r="H53" s="1741"/>
      <c r="I53" s="1741"/>
      <c r="J53" s="1741"/>
      <c r="K53" s="1741"/>
      <c r="L53" s="1741"/>
      <c r="M53" s="1741"/>
      <c r="N53" s="1741"/>
      <c r="O53" s="1741"/>
      <c r="P53" s="1741"/>
      <c r="Q53" s="1741"/>
      <c r="R53" s="2703"/>
      <c r="S53" s="1741"/>
      <c r="T53" s="4288"/>
      <c r="U53" s="4212" t="s">
        <v>995</v>
      </c>
      <c r="V53" s="4289"/>
      <c r="W53" s="4290"/>
      <c r="X53" s="1741"/>
      <c r="Y53" s="3202"/>
      <c r="Z53" s="1741"/>
      <c r="AA53" s="1741"/>
      <c r="AB53" s="1741"/>
      <c r="AC53" s="1741"/>
      <c r="AD53" s="1741"/>
      <c r="AE53" s="1903"/>
      <c r="AF53" s="1823"/>
      <c r="AG53" s="1904"/>
      <c r="AH53" s="1741"/>
      <c r="AI53" s="1741"/>
      <c r="AJ53" s="1741"/>
      <c r="AK53" s="4291"/>
      <c r="AL53" s="4292"/>
      <c r="AM53" s="4293"/>
      <c r="AN53" s="4294"/>
      <c r="AO53" s="4295"/>
      <c r="AP53" s="4296"/>
      <c r="AQ53" s="4297"/>
      <c r="AR53" s="4298"/>
      <c r="AS53" s="4299"/>
      <c r="AT53" s="4300"/>
      <c r="AU53" s="4301"/>
      <c r="AV53" s="4302"/>
      <c r="AW53" s="4303"/>
      <c r="AX53" s="10598">
        <v>11</v>
      </c>
      <c r="AY53" s="10599">
        <v>12</v>
      </c>
      <c r="AZ53" s="10599">
        <v>13</v>
      </c>
      <c r="BA53" s="10599">
        <v>14</v>
      </c>
      <c r="BB53" s="10600">
        <v>15</v>
      </c>
      <c r="BC53" s="4304"/>
      <c r="BD53" s="4305"/>
      <c r="BE53" s="4306"/>
      <c r="BF53" s="4307"/>
      <c r="BG53" s="4308"/>
      <c r="BH53" s="4309"/>
      <c r="BI53" s="4310"/>
      <c r="BJ53" s="4311"/>
      <c r="BK53" s="4312"/>
      <c r="BL53" s="1779"/>
      <c r="BM53" s="4157"/>
      <c r="BN53" s="1698"/>
      <c r="BO53" s="4313"/>
      <c r="BP53" s="1787"/>
      <c r="BQ53" s="4314"/>
      <c r="BR53" s="4315"/>
      <c r="BS53" s="4316"/>
      <c r="BT53" s="4317"/>
      <c r="BU53" s="4318"/>
      <c r="BV53" s="4319" t="s">
        <v>995</v>
      </c>
      <c r="BW53" s="4320"/>
      <c r="BX53" s="3668"/>
      <c r="BY53" s="2795" t="s">
        <v>993</v>
      </c>
      <c r="BZ53" s="4321"/>
      <c r="CA53" s="4040"/>
      <c r="CB53" s="2370"/>
      <c r="CC53" s="2381"/>
      <c r="CD53" s="4322"/>
      <c r="CE53" s="2494"/>
      <c r="CF53" s="4323"/>
      <c r="CG53" s="4324"/>
      <c r="CH53" s="4325"/>
      <c r="CI53" s="4326"/>
      <c r="CJ53" s="2494"/>
      <c r="CK53" s="2381"/>
      <c r="CL53" s="3479"/>
      <c r="CM53" s="2313"/>
      <c r="CN53" s="4327"/>
      <c r="CO53" s="4328"/>
      <c r="CP53" s="4329"/>
    </row>
    <row r="54" spans="1:94">
      <c r="A54" s="1741"/>
      <c r="B54" s="1902"/>
      <c r="C54" s="1741"/>
      <c r="D54" s="1741"/>
      <c r="E54" s="1902"/>
      <c r="F54" s="1902"/>
      <c r="G54" s="1741"/>
      <c r="H54" s="1741"/>
      <c r="I54" s="1741"/>
      <c r="J54" s="1741"/>
      <c r="K54" s="1741"/>
      <c r="L54" s="1741"/>
      <c r="M54" s="1741"/>
      <c r="N54" s="1741"/>
      <c r="O54" s="1741"/>
      <c r="P54" s="1741"/>
      <c r="Q54" s="1741"/>
      <c r="R54" s="3917"/>
      <c r="S54" s="1741"/>
      <c r="T54" s="4330"/>
      <c r="U54" s="4331" t="s">
        <v>995</v>
      </c>
      <c r="V54" s="4332"/>
      <c r="W54" s="4333"/>
      <c r="X54" s="1741"/>
      <c r="Y54" s="3202"/>
      <c r="Z54" s="1902"/>
      <c r="AA54" s="2522"/>
      <c r="AB54" s="3403"/>
      <c r="AC54" s="4334"/>
      <c r="AD54" s="1741"/>
      <c r="AE54" s="1741"/>
      <c r="AF54" s="1741"/>
      <c r="AG54" s="3146"/>
      <c r="AH54" s="4335"/>
      <c r="AI54" s="4336"/>
      <c r="AJ54" s="4337"/>
      <c r="AK54" s="4338"/>
      <c r="AL54" s="4339"/>
      <c r="AM54" s="4340"/>
      <c r="AN54" s="4341"/>
      <c r="AO54" s="4341"/>
      <c r="AP54" s="4342"/>
      <c r="AQ54" s="4343"/>
      <c r="AR54" s="4344"/>
      <c r="AS54" s="4345"/>
      <c r="AT54" s="4346"/>
      <c r="AU54" s="4347"/>
      <c r="AV54" s="4348"/>
      <c r="AW54" s="4224"/>
      <c r="AX54" s="10598">
        <v>16</v>
      </c>
      <c r="AY54" s="10599">
        <v>17</v>
      </c>
      <c r="AZ54" s="10599">
        <v>18</v>
      </c>
      <c r="BA54" s="10599">
        <v>19</v>
      </c>
      <c r="BB54" s="10600">
        <v>20</v>
      </c>
      <c r="BC54" s="4349"/>
      <c r="BD54" s="4350"/>
      <c r="BE54" s="4351"/>
      <c r="BF54" s="4352"/>
      <c r="BG54" s="4353"/>
      <c r="BH54" s="4354"/>
      <c r="BI54" s="4355"/>
      <c r="BJ54" s="4356"/>
      <c r="BK54" s="4357"/>
      <c r="BL54" s="4358"/>
      <c r="BM54" s="4359"/>
      <c r="BN54" s="1698"/>
      <c r="BO54" s="1868"/>
      <c r="BP54" s="2189"/>
      <c r="BQ54" s="4360"/>
      <c r="BR54" s="4361"/>
      <c r="BS54" s="4362"/>
      <c r="BT54" s="4363"/>
      <c r="BU54" s="4364"/>
      <c r="BV54" s="4077" t="s">
        <v>995</v>
      </c>
      <c r="BW54" s="4365"/>
      <c r="BX54" s="4040"/>
      <c r="BY54" s="4366" t="s">
        <v>993</v>
      </c>
      <c r="BZ54" s="4032"/>
      <c r="CA54" s="3907"/>
      <c r="CB54" s="3906"/>
      <c r="CC54" s="3669"/>
      <c r="CD54" s="4367"/>
      <c r="CE54" s="4368"/>
      <c r="CF54" s="4369"/>
      <c r="CG54" s="4370"/>
      <c r="CH54" s="4371"/>
      <c r="CI54" s="3855"/>
      <c r="CJ54" s="4372"/>
      <c r="CK54" s="4373"/>
      <c r="CL54" s="2374"/>
      <c r="CM54" s="4374"/>
      <c r="CN54" s="4375"/>
      <c r="CO54" s="4376"/>
      <c r="CP54" s="4377"/>
    </row>
    <row r="55" spans="1:94">
      <c r="A55" s="1741"/>
      <c r="B55" s="1902"/>
      <c r="C55" s="1741"/>
      <c r="D55" s="1741"/>
      <c r="E55" s="1741"/>
      <c r="F55" s="1741"/>
      <c r="G55" s="4378"/>
      <c r="H55" s="1903"/>
      <c r="I55" s="1902"/>
      <c r="J55" s="1902"/>
      <c r="K55" s="1902"/>
      <c r="L55" s="1741"/>
      <c r="M55" s="1741"/>
      <c r="N55" s="1741"/>
      <c r="O55" s="1741"/>
      <c r="P55" s="1741"/>
      <c r="Q55" s="1741"/>
      <c r="R55" s="2703"/>
      <c r="S55" s="1902"/>
      <c r="T55" s="4379"/>
      <c r="U55" s="4380" t="s">
        <v>995</v>
      </c>
      <c r="V55" s="4381"/>
      <c r="W55" s="4382"/>
      <c r="X55" s="2248"/>
      <c r="Y55" s="1741"/>
      <c r="Z55" s="1741"/>
      <c r="AA55" s="1741"/>
      <c r="AB55" s="1741"/>
      <c r="AC55" s="1741"/>
      <c r="AD55" s="4383"/>
      <c r="AE55" s="4384"/>
      <c r="AF55" s="4385"/>
      <c r="AG55" s="4386"/>
      <c r="AH55" s="4387"/>
      <c r="AI55" s="4388"/>
      <c r="AJ55" s="4389"/>
      <c r="AK55" s="4390"/>
      <c r="AL55" s="4391"/>
      <c r="AM55" s="4392"/>
      <c r="AN55" s="4393"/>
      <c r="AO55" s="4394"/>
      <c r="AP55" s="4395"/>
      <c r="AQ55" s="4396"/>
      <c r="AR55" s="4397"/>
      <c r="AS55" s="4398"/>
      <c r="AT55" s="4399"/>
      <c r="AU55" s="4400"/>
      <c r="AV55" s="4401"/>
      <c r="AW55" s="4225"/>
      <c r="AX55" s="10598">
        <v>21</v>
      </c>
      <c r="AY55" s="10599">
        <v>22</v>
      </c>
      <c r="AZ55" s="10599">
        <v>23</v>
      </c>
      <c r="BA55" s="10599">
        <v>24</v>
      </c>
      <c r="BB55" s="10600">
        <v>25</v>
      </c>
      <c r="BC55" s="4402"/>
      <c r="BD55" s="4403"/>
      <c r="BE55" s="4404"/>
      <c r="BF55" s="4405"/>
      <c r="BG55" s="4406"/>
      <c r="BH55" s="4407"/>
      <c r="BI55" s="4408"/>
      <c r="BJ55" s="4409"/>
      <c r="BK55" s="1782"/>
      <c r="BL55" s="1779"/>
      <c r="BM55" s="1698"/>
      <c r="BN55" s="1789"/>
      <c r="BO55" s="1780"/>
      <c r="BP55" s="3989"/>
      <c r="BQ55" s="4410"/>
      <c r="BR55" s="4411"/>
      <c r="BS55" s="4412"/>
      <c r="BT55" s="4413"/>
      <c r="BU55" s="4414"/>
      <c r="BV55" s="4415" t="s">
        <v>995</v>
      </c>
      <c r="BW55" s="4416"/>
      <c r="BX55" s="4417"/>
      <c r="BY55" s="4418" t="s">
        <v>993</v>
      </c>
      <c r="BZ55" s="3907"/>
      <c r="CA55" s="4159"/>
      <c r="CB55" s="4419"/>
      <c r="CC55" s="4420"/>
      <c r="CD55" s="4421"/>
      <c r="CE55" s="4422"/>
      <c r="CF55" s="4423"/>
      <c r="CG55" s="4424"/>
      <c r="CH55" s="4425"/>
      <c r="CI55" s="4426"/>
      <c r="CJ55" s="4427"/>
      <c r="CK55" s="4428"/>
      <c r="CL55" s="4429"/>
      <c r="CM55" s="4430"/>
      <c r="CN55" s="4431"/>
      <c r="CO55" s="4432"/>
      <c r="CP55" s="4433"/>
    </row>
    <row r="56" spans="1:94" ht="16.5" thickBot="1">
      <c r="A56" s="1741"/>
      <c r="B56" s="1902"/>
      <c r="C56" s="1741"/>
      <c r="D56" s="4434"/>
      <c r="E56" s="4435"/>
      <c r="F56" s="4436"/>
      <c r="G56" s="4437"/>
      <c r="H56" s="1741"/>
      <c r="I56" s="1741"/>
      <c r="J56" s="1741"/>
      <c r="K56" s="1741"/>
      <c r="L56" s="2248"/>
      <c r="M56" s="4334"/>
      <c r="N56" s="1823"/>
      <c r="O56" s="3350"/>
      <c r="P56" s="4334"/>
      <c r="Q56" s="1741"/>
      <c r="R56" s="2248"/>
      <c r="S56" s="1741"/>
      <c r="T56" s="4438"/>
      <c r="U56" s="4439" t="s">
        <v>995</v>
      </c>
      <c r="V56" s="4440"/>
      <c r="W56" s="4441"/>
      <c r="X56" s="4442"/>
      <c r="Y56" s="4443"/>
      <c r="Z56" s="4444"/>
      <c r="AA56" s="4445"/>
      <c r="AB56" s="4446"/>
      <c r="AC56" s="4447"/>
      <c r="AD56" s="4448"/>
      <c r="AE56" s="4449"/>
      <c r="AF56" s="4450"/>
      <c r="AG56" s="4451"/>
      <c r="AH56" s="4452"/>
      <c r="AI56" s="4453"/>
      <c r="AJ56" s="4454"/>
      <c r="AK56" s="4455"/>
      <c r="AL56" s="4456"/>
      <c r="AM56" s="4457"/>
      <c r="AN56" s="4458"/>
      <c r="AO56" s="4459"/>
      <c r="AP56" s="4460"/>
      <c r="AQ56" s="4461"/>
      <c r="AR56" s="4462"/>
      <c r="AS56" s="4463"/>
      <c r="AT56" s="4464"/>
      <c r="AU56" s="4465"/>
      <c r="AV56" s="4466"/>
      <c r="AW56" s="4224"/>
      <c r="AX56" s="10601">
        <v>26</v>
      </c>
      <c r="AY56" s="10602">
        <v>27</v>
      </c>
      <c r="AZ56" s="10602">
        <v>28</v>
      </c>
      <c r="BA56" s="10602">
        <v>29</v>
      </c>
      <c r="BB56" s="10603">
        <v>30</v>
      </c>
      <c r="BC56" s="4467"/>
      <c r="BD56" s="4468"/>
      <c r="BE56" s="4469"/>
      <c r="BF56" s="4470"/>
      <c r="BG56" s="4471"/>
      <c r="BH56" s="4472"/>
      <c r="BI56" s="4473"/>
      <c r="BJ56" s="4474"/>
      <c r="BK56" s="4359"/>
      <c r="BL56" s="1789"/>
      <c r="BM56" s="4475"/>
      <c r="BN56" s="1865"/>
      <c r="BO56" s="1944"/>
      <c r="BP56" s="4033"/>
      <c r="BQ56" s="4476"/>
      <c r="BR56" s="4477"/>
      <c r="BS56" s="4478"/>
      <c r="BT56" s="4479"/>
      <c r="BU56" s="4480"/>
      <c r="BV56" s="4481" t="s">
        <v>995</v>
      </c>
      <c r="BW56" s="4482"/>
      <c r="BX56" s="4070"/>
      <c r="BY56" s="2795" t="s">
        <v>993</v>
      </c>
      <c r="BZ56" s="4313"/>
      <c r="CA56" s="4483"/>
      <c r="CB56" s="1635"/>
      <c r="CC56" s="4484"/>
      <c r="CD56" s="4485"/>
      <c r="CE56" s="4486"/>
      <c r="CF56" s="4487"/>
      <c r="CG56" s="4488"/>
      <c r="CH56" s="4489"/>
      <c r="CI56" s="4490"/>
      <c r="CJ56" s="4491"/>
      <c r="CK56" s="4492"/>
      <c r="CL56" s="4493"/>
      <c r="CM56" s="4494"/>
      <c r="CN56" s="4495"/>
      <c r="CO56" s="4496"/>
      <c r="CP56" s="4497"/>
    </row>
    <row r="57" spans="1:94">
      <c r="A57" s="1741"/>
      <c r="B57" s="1902"/>
      <c r="C57" s="1902"/>
      <c r="D57" s="2522"/>
      <c r="E57" s="4498"/>
      <c r="F57" s="4499"/>
      <c r="G57" s="4500"/>
      <c r="H57" s="4501"/>
      <c r="I57" s="4502"/>
      <c r="J57" s="4503"/>
      <c r="K57" s="4504"/>
      <c r="L57" s="4505"/>
      <c r="M57" s="3146"/>
      <c r="N57" s="1741"/>
      <c r="O57" s="1741"/>
      <c r="P57" s="1825"/>
      <c r="Q57" s="4506"/>
      <c r="R57" s="4507"/>
      <c r="S57" s="4508"/>
      <c r="T57" s="4509"/>
      <c r="U57" s="4510" t="s">
        <v>995</v>
      </c>
      <c r="V57" s="4511"/>
      <c r="W57" s="4512"/>
      <c r="X57" s="4513"/>
      <c r="Y57" s="4514"/>
      <c r="Z57" s="4515"/>
      <c r="AA57" s="4516"/>
      <c r="AB57" s="4517"/>
      <c r="AC57" s="4518"/>
      <c r="AD57" s="4519"/>
      <c r="AE57" s="4520"/>
      <c r="AF57" s="4521"/>
      <c r="AG57" s="4522"/>
      <c r="AH57" s="4523"/>
      <c r="AI57" s="4524"/>
      <c r="AJ57" s="4525"/>
      <c r="AK57" s="4526"/>
      <c r="AL57" s="4527"/>
      <c r="AM57" s="4528"/>
      <c r="AN57" s="4529"/>
      <c r="AO57" s="4530"/>
      <c r="AP57" s="4531"/>
      <c r="AQ57" s="4532"/>
      <c r="AR57" s="4533"/>
      <c r="AS57" s="4534"/>
      <c r="AT57" s="4535"/>
      <c r="AU57" s="4536"/>
      <c r="AV57" s="4537"/>
      <c r="AW57" s="4538"/>
      <c r="AX57" s="4539"/>
      <c r="AY57" s="4225"/>
      <c r="AZ57" s="4303"/>
      <c r="BA57" s="10573">
        <f>SUM(_xlfn.ANCHORARRAY(AX51))</f>
        <v>465</v>
      </c>
      <c r="BB57" s="4540"/>
      <c r="BC57" s="4541"/>
      <c r="BD57" s="4542"/>
      <c r="BE57" s="4543"/>
      <c r="BF57" s="4544"/>
      <c r="BG57" s="4545"/>
      <c r="BH57" s="4546"/>
      <c r="BI57" s="4547"/>
      <c r="BJ57" s="4548"/>
      <c r="BK57" s="4549"/>
      <c r="BL57" s="4550"/>
      <c r="BM57" s="1943"/>
      <c r="BN57" s="3773"/>
      <c r="BO57" s="3776"/>
      <c r="BP57" s="4551"/>
      <c r="BQ57" s="4552"/>
      <c r="BR57" s="4553"/>
      <c r="BS57" s="4554"/>
      <c r="BT57" s="4555"/>
      <c r="BU57" s="4556"/>
      <c r="BV57" s="4557" t="s">
        <v>995</v>
      </c>
      <c r="BW57" s="4558"/>
      <c r="BX57" s="3671"/>
      <c r="BY57" s="4559" t="s">
        <v>993</v>
      </c>
      <c r="BZ57" s="4560"/>
      <c r="CA57" s="4561"/>
      <c r="CB57" s="4562"/>
      <c r="CC57" s="4563"/>
      <c r="CD57" s="4564"/>
      <c r="CE57" s="4565"/>
      <c r="CF57" s="4566"/>
      <c r="CG57" s="4567"/>
      <c r="CH57" s="4568"/>
      <c r="CI57" s="4569"/>
      <c r="CJ57" s="4570"/>
      <c r="CK57" s="4571"/>
      <c r="CL57" s="4572"/>
      <c r="CM57" s="4573"/>
      <c r="CN57" s="4574"/>
      <c r="CO57" s="4575"/>
      <c r="CP57" s="4576"/>
    </row>
    <row r="58" spans="1:94">
      <c r="A58" s="1741"/>
      <c r="B58" s="1902"/>
      <c r="C58" s="1741"/>
      <c r="D58" s="1741"/>
      <c r="E58" s="1741"/>
      <c r="F58" s="4577"/>
      <c r="G58" s="4578"/>
      <c r="H58" s="4579"/>
      <c r="I58" s="4580"/>
      <c r="J58" s="4581"/>
      <c r="K58" s="4582"/>
      <c r="L58" s="4583"/>
      <c r="M58" s="4584"/>
      <c r="N58" s="4585"/>
      <c r="O58" s="4586"/>
      <c r="P58" s="4587"/>
      <c r="Q58" s="4588"/>
      <c r="R58" s="4589"/>
      <c r="S58" s="4590"/>
      <c r="T58" s="4591"/>
      <c r="U58" s="4592" t="s">
        <v>995</v>
      </c>
      <c r="V58" s="4593"/>
      <c r="W58" s="2042"/>
      <c r="X58" s="4157"/>
      <c r="Y58" s="4594"/>
      <c r="Z58" s="4595"/>
      <c r="AA58" s="3884"/>
      <c r="AB58" s="4596"/>
      <c r="AC58" s="3887"/>
      <c r="AD58" s="4597"/>
      <c r="AE58" s="4598"/>
      <c r="AF58" s="4599"/>
      <c r="AG58" s="4600"/>
      <c r="AH58" s="4601"/>
      <c r="AI58" s="4602"/>
      <c r="AJ58" s="4603"/>
      <c r="AK58" s="4604"/>
      <c r="AL58" s="4605"/>
      <c r="AM58" s="4606"/>
      <c r="AN58" s="4607"/>
      <c r="AO58" s="4608"/>
      <c r="AP58" s="4609"/>
      <c r="AQ58" s="4610"/>
      <c r="AR58" s="4611"/>
      <c r="AS58" s="4612"/>
      <c r="AT58" s="4613"/>
      <c r="AU58" s="4614"/>
      <c r="AV58" s="4615"/>
      <c r="AW58" s="4616"/>
      <c r="AX58" s="4617"/>
      <c r="AY58" s="4262"/>
      <c r="AZ58" s="4618"/>
      <c r="BA58" s="4619" t="s">
        <v>993</v>
      </c>
      <c r="BB58" s="4620"/>
      <c r="BC58" s="4621"/>
      <c r="BD58" s="4622"/>
      <c r="BE58" s="4623"/>
      <c r="BF58" s="4624"/>
      <c r="BG58" s="4625"/>
      <c r="BH58" s="4340"/>
      <c r="BI58" s="1946"/>
      <c r="BJ58" s="4626"/>
      <c r="BK58" s="3886"/>
      <c r="BL58" s="3706"/>
      <c r="BM58" s="3773"/>
      <c r="BN58" s="4627"/>
      <c r="BO58" s="3834"/>
      <c r="BP58" s="4628"/>
      <c r="BQ58" s="4629"/>
      <c r="BR58" s="4630"/>
      <c r="BS58" s="4631"/>
      <c r="BT58" s="4632"/>
      <c r="BU58" s="4633"/>
      <c r="BV58" s="4634" t="s">
        <v>995</v>
      </c>
      <c r="BW58" s="4635"/>
      <c r="BX58" s="4636"/>
      <c r="BY58" s="4637" t="s">
        <v>993</v>
      </c>
      <c r="BZ58" s="1780"/>
      <c r="CA58" s="4638"/>
      <c r="CB58" s="4639"/>
      <c r="CC58" s="4640"/>
      <c r="CD58" s="4641"/>
      <c r="CE58" s="4642"/>
      <c r="CF58" s="4643"/>
      <c r="CG58" s="4644"/>
      <c r="CH58" s="4645"/>
      <c r="CI58" s="4646"/>
      <c r="CJ58" s="4647"/>
      <c r="CK58" s="4648"/>
      <c r="CL58" s="4649"/>
      <c r="CM58" s="4650"/>
      <c r="CN58" s="4651"/>
      <c r="CO58" s="4652"/>
      <c r="CP58" s="4653"/>
    </row>
    <row r="59" spans="1:94">
      <c r="A59" s="1741"/>
      <c r="B59" s="1902"/>
      <c r="C59" s="1741"/>
      <c r="D59" s="1741"/>
      <c r="E59" s="4654"/>
      <c r="F59" s="1741"/>
      <c r="G59" s="4655"/>
      <c r="H59" s="4656"/>
      <c r="I59" s="4657"/>
      <c r="J59" s="4658"/>
      <c r="K59" s="4658"/>
      <c r="L59" s="1705"/>
      <c r="M59" s="4659"/>
      <c r="N59" s="4660"/>
      <c r="O59" s="4661"/>
      <c r="P59" s="4662"/>
      <c r="Q59" s="4663"/>
      <c r="R59" s="4664"/>
      <c r="S59" s="4665"/>
      <c r="T59" s="4666"/>
      <c r="U59" s="4667" t="s">
        <v>995</v>
      </c>
      <c r="V59" s="4668"/>
      <c r="W59" s="4669"/>
      <c r="X59" s="3640"/>
      <c r="Y59" s="4670"/>
      <c r="Z59" s="4671"/>
      <c r="AA59" s="4672"/>
      <c r="AB59" s="4673"/>
      <c r="AC59" s="4627"/>
      <c r="AD59" s="3704"/>
      <c r="AE59" s="4674"/>
      <c r="AF59" s="4675"/>
      <c r="AG59" s="4676"/>
      <c r="AH59" s="4677"/>
      <c r="AI59" s="4678"/>
      <c r="AJ59" s="4679"/>
      <c r="AK59" s="3120"/>
      <c r="AL59" s="4680"/>
      <c r="AM59" s="4681"/>
      <c r="AN59" s="4682"/>
      <c r="AO59" s="4683"/>
      <c r="AP59" s="4684"/>
      <c r="AQ59" s="3836"/>
      <c r="AR59" s="4685"/>
      <c r="AS59" s="4686"/>
      <c r="AT59" s="4687"/>
      <c r="AU59" s="4688"/>
      <c r="AV59" s="4689"/>
      <c r="AW59" s="4690"/>
      <c r="AX59" s="4691"/>
      <c r="AY59" s="4692"/>
      <c r="AZ59" s="4693"/>
      <c r="BA59" s="4694" t="s">
        <v>993</v>
      </c>
      <c r="BB59" s="4695"/>
      <c r="BC59" s="4696"/>
      <c r="BD59" s="4697"/>
      <c r="BE59" s="4698"/>
      <c r="BF59" s="4699"/>
      <c r="BG59" s="4700"/>
      <c r="BH59" s="4701"/>
      <c r="BI59" s="4702"/>
      <c r="BJ59" s="4703"/>
      <c r="BK59" s="4704"/>
      <c r="BL59" s="3729"/>
      <c r="BM59" s="4705"/>
      <c r="BN59" s="4706"/>
      <c r="BO59" s="4707"/>
      <c r="BP59" s="4708"/>
      <c r="BQ59" s="4709"/>
      <c r="BR59" s="4710"/>
      <c r="BS59" s="4711"/>
      <c r="BT59" s="4712"/>
      <c r="BU59" s="4713"/>
      <c r="BV59" s="4714" t="s">
        <v>995</v>
      </c>
      <c r="BW59" s="4715"/>
      <c r="BX59" s="4716"/>
      <c r="BY59" s="4717" t="s">
        <v>993</v>
      </c>
      <c r="BZ59" s="4718"/>
      <c r="CA59" s="4719"/>
      <c r="CB59" s="4720"/>
      <c r="CC59" s="4721"/>
      <c r="CD59" s="4722"/>
      <c r="CE59" s="4723"/>
      <c r="CF59" s="4724"/>
      <c r="CG59" s="4725"/>
      <c r="CH59" s="4726"/>
      <c r="CI59" s="4727"/>
      <c r="CJ59" s="4728"/>
      <c r="CK59" s="4729"/>
      <c r="CL59" s="4730"/>
      <c r="CM59" s="4731"/>
      <c r="CN59" s="4732"/>
      <c r="CO59" s="4733"/>
      <c r="CP59" s="4734"/>
    </row>
    <row r="60" spans="1:94">
      <c r="A60" s="1741"/>
      <c r="B60" s="1902"/>
      <c r="C60" s="1741"/>
      <c r="D60" s="1741"/>
      <c r="E60" s="1902"/>
      <c r="F60" s="1902"/>
      <c r="G60" s="4735"/>
      <c r="H60" s="4736"/>
      <c r="I60" s="4737"/>
      <c r="J60" s="4738"/>
      <c r="K60" s="4739"/>
      <c r="L60" s="4740"/>
      <c r="M60" s="4741"/>
      <c r="N60" s="4233"/>
      <c r="O60" s="4742"/>
      <c r="P60" s="4743"/>
      <c r="Q60" s="4739"/>
      <c r="R60" s="1945"/>
      <c r="S60" s="4744"/>
      <c r="T60" s="4745"/>
      <c r="U60" s="4746" t="s">
        <v>995</v>
      </c>
      <c r="V60" s="4747"/>
      <c r="W60" s="4748"/>
      <c r="X60" s="3836"/>
      <c r="Y60" s="1857"/>
      <c r="Z60" s="4749"/>
      <c r="AA60" s="4750"/>
      <c r="AB60" s="1942"/>
      <c r="AC60" s="1942"/>
      <c r="AD60" s="4751"/>
      <c r="AE60" s="4752"/>
      <c r="AF60" s="4753"/>
      <c r="AG60" s="4754"/>
      <c r="AH60" s="4755"/>
      <c r="AI60" s="2752"/>
      <c r="AJ60" s="4756"/>
      <c r="AK60" s="2807"/>
      <c r="AL60" s="4757"/>
      <c r="AM60" s="3591"/>
      <c r="AN60" s="4758"/>
      <c r="AO60" s="4759"/>
      <c r="AP60" s="4760"/>
      <c r="AQ60" s="4761"/>
      <c r="AR60" s="3772"/>
      <c r="AS60" s="4762"/>
      <c r="AT60" s="4763"/>
      <c r="AU60" s="4764"/>
      <c r="AV60" s="4765"/>
      <c r="AW60" s="4766"/>
      <c r="AX60" s="4767"/>
      <c r="AY60" s="4768"/>
      <c r="AZ60" s="4769"/>
      <c r="BA60" s="4770" t="s">
        <v>993</v>
      </c>
      <c r="BB60" s="4771"/>
      <c r="BC60" s="4772"/>
      <c r="BD60" s="4773"/>
      <c r="BE60" s="4703"/>
      <c r="BF60" s="4774"/>
      <c r="BG60" s="4775"/>
      <c r="BH60" s="4776"/>
      <c r="BI60" s="4777"/>
      <c r="BJ60" s="4778"/>
      <c r="BK60" s="4779"/>
      <c r="BL60" s="4780"/>
      <c r="BM60" s="4781"/>
      <c r="BN60" s="4782"/>
      <c r="BO60" s="4783"/>
      <c r="BP60" s="4784"/>
      <c r="BQ60" s="4785"/>
      <c r="BR60" s="4786"/>
      <c r="BS60" s="4787"/>
      <c r="BT60" s="4788"/>
      <c r="BU60" s="4789"/>
      <c r="BV60" s="4790" t="s">
        <v>995</v>
      </c>
      <c r="BW60" s="4791"/>
      <c r="BX60" s="4792"/>
      <c r="BY60" s="4793" t="s">
        <v>993</v>
      </c>
      <c r="BZ60" s="4794"/>
      <c r="CA60" s="4795"/>
      <c r="CB60" s="4796"/>
      <c r="CC60" s="4797"/>
      <c r="CD60" s="4798"/>
      <c r="CE60" s="4799"/>
      <c r="CF60" s="4724"/>
      <c r="CG60" s="4800"/>
      <c r="CH60" s="4801"/>
      <c r="CI60" s="4802"/>
      <c r="CJ60" s="4803"/>
      <c r="CK60" s="4804"/>
      <c r="CL60" s="4805"/>
      <c r="CM60" s="4806"/>
      <c r="CN60" s="4807"/>
      <c r="CO60" s="4808"/>
      <c r="CP60" s="4809"/>
    </row>
    <row r="61" spans="1:94">
      <c r="A61" s="1741"/>
      <c r="B61" s="2220"/>
      <c r="C61" s="1741"/>
      <c r="D61" s="1902"/>
      <c r="E61" s="2925"/>
      <c r="F61" s="1902"/>
      <c r="G61" s="4810"/>
      <c r="H61" s="4811"/>
      <c r="I61" s="4625"/>
      <c r="J61" s="4812"/>
      <c r="K61" s="4813"/>
      <c r="L61" s="1529"/>
      <c r="M61" s="1696"/>
      <c r="N61" s="4814"/>
      <c r="O61" s="1695"/>
      <c r="P61" s="4815"/>
      <c r="Q61" s="4816"/>
      <c r="R61" s="4817"/>
      <c r="S61" s="4818"/>
      <c r="T61" s="4819"/>
      <c r="U61" s="4820" t="s">
        <v>995</v>
      </c>
      <c r="V61" s="4821"/>
      <c r="W61" s="1752"/>
      <c r="X61" s="4822"/>
      <c r="Y61" s="1941"/>
      <c r="Z61" s="1942"/>
      <c r="AA61" s="3835"/>
      <c r="AB61" s="4823"/>
      <c r="AC61" s="3651"/>
      <c r="AD61" s="4824"/>
      <c r="AE61" s="4825"/>
      <c r="AF61" s="4826"/>
      <c r="AG61" s="4827"/>
      <c r="AH61" s="4828"/>
      <c r="AI61" s="2811"/>
      <c r="AJ61" s="2861"/>
      <c r="AK61" s="2861"/>
      <c r="AL61" s="2812"/>
      <c r="AM61" s="4829"/>
      <c r="AN61" s="4830"/>
      <c r="AO61" s="4831"/>
      <c r="AP61" s="4832"/>
      <c r="AQ61" s="4833"/>
      <c r="AR61" s="4834"/>
      <c r="AS61" s="3834"/>
      <c r="AT61" s="4835"/>
      <c r="AU61" s="4836"/>
      <c r="AV61" s="4837"/>
      <c r="AW61" s="4838"/>
      <c r="AX61" s="4839"/>
      <c r="AY61" s="4840"/>
      <c r="AZ61" s="4841"/>
      <c r="BA61" s="4842" t="s">
        <v>993</v>
      </c>
      <c r="BB61" s="4843"/>
      <c r="BC61" s="4844"/>
      <c r="BD61" s="4845"/>
      <c r="BE61" s="4846"/>
      <c r="BF61" s="4847"/>
      <c r="BG61" s="4848"/>
      <c r="BH61" s="4849"/>
      <c r="BI61" s="4850"/>
      <c r="BJ61" s="4851"/>
      <c r="BK61" s="4852"/>
      <c r="BL61" s="4853"/>
      <c r="BM61" s="4854"/>
      <c r="BN61" s="4855"/>
      <c r="BO61" s="4856"/>
      <c r="BP61" s="4857"/>
      <c r="BQ61" s="4858"/>
      <c r="BR61" s="4859"/>
      <c r="BS61" s="4860"/>
      <c r="BT61" s="4861"/>
      <c r="BU61" s="4862"/>
      <c r="BV61" s="4863" t="s">
        <v>995</v>
      </c>
      <c r="BW61" s="4864"/>
      <c r="BX61" s="4865"/>
      <c r="BY61" s="4866" t="s">
        <v>993</v>
      </c>
      <c r="BZ61" s="4867"/>
      <c r="CA61" s="4868"/>
      <c r="CB61" s="4869"/>
      <c r="CC61" s="4870"/>
      <c r="CD61" s="4871"/>
      <c r="CE61" s="4872"/>
      <c r="CF61" s="4873"/>
      <c r="CG61" s="4874"/>
      <c r="CH61" s="4875"/>
      <c r="CI61" s="4876"/>
      <c r="CJ61" s="4877"/>
      <c r="CK61" s="4878"/>
      <c r="CL61" s="4879"/>
      <c r="CM61" s="4880"/>
      <c r="CN61" s="4881"/>
      <c r="CO61" s="4882"/>
      <c r="CP61" s="4883"/>
    </row>
    <row r="62" spans="1:94">
      <c r="A62" s="1741"/>
      <c r="B62" s="1741"/>
      <c r="C62" s="3202"/>
      <c r="D62" s="1741"/>
      <c r="E62" s="1741"/>
      <c r="F62" s="1741"/>
      <c r="G62" s="4884"/>
      <c r="H62" s="4885"/>
      <c r="I62" s="4886"/>
      <c r="J62" s="4887"/>
      <c r="K62" s="4357"/>
      <c r="L62" s="4888"/>
      <c r="M62" s="1530"/>
      <c r="N62" s="1529"/>
      <c r="O62" s="4889"/>
      <c r="P62" s="4890"/>
      <c r="Q62" s="1610"/>
      <c r="R62" s="1687"/>
      <c r="S62" s="4891"/>
      <c r="T62" s="4892"/>
      <c r="U62" s="4893" t="s">
        <v>995</v>
      </c>
      <c r="V62" s="4894"/>
      <c r="W62" s="4895"/>
      <c r="X62" s="4896"/>
      <c r="Y62" s="3835"/>
      <c r="Z62" s="1865"/>
      <c r="AA62" s="4897"/>
      <c r="AB62" s="4898"/>
      <c r="AC62" s="4897"/>
      <c r="AD62" s="3770"/>
      <c r="AE62" s="4899"/>
      <c r="AF62" s="4900"/>
      <c r="AG62" s="4901"/>
      <c r="AH62" s="4902"/>
      <c r="AI62" s="2955"/>
      <c r="AJ62" s="2861"/>
      <c r="AK62" s="2861"/>
      <c r="AL62" s="4903"/>
      <c r="AM62" s="2744"/>
      <c r="AN62" s="4904"/>
      <c r="AO62" s="4905"/>
      <c r="AP62" s="4906"/>
      <c r="AQ62" s="4907"/>
      <c r="AR62" s="3704"/>
      <c r="AS62" s="1942"/>
      <c r="AT62" s="3894"/>
      <c r="AU62" s="2849"/>
      <c r="AV62" s="4908"/>
      <c r="AW62" s="4909"/>
      <c r="AX62" s="4910"/>
      <c r="AY62" s="4911"/>
      <c r="AZ62" s="4912"/>
      <c r="BA62" s="4913" t="s">
        <v>993</v>
      </c>
      <c r="BB62" s="4914"/>
      <c r="BC62" s="3888"/>
      <c r="BD62" s="4915"/>
      <c r="BE62" s="4916"/>
      <c r="BF62" s="4917"/>
      <c r="BG62" s="4918"/>
      <c r="BH62" s="4919"/>
      <c r="BI62" s="4920"/>
      <c r="BJ62" s="4921"/>
      <c r="BK62" s="4922"/>
      <c r="BL62" s="4923"/>
      <c r="BM62" s="4924"/>
      <c r="BN62" s="4925"/>
      <c r="BO62" s="4926"/>
      <c r="BP62" s="4927"/>
      <c r="BQ62" s="4928"/>
      <c r="BR62" s="4929"/>
      <c r="BS62" s="4930"/>
      <c r="BT62" s="4931"/>
      <c r="BU62" s="4932"/>
      <c r="BV62" s="4933" t="s">
        <v>995</v>
      </c>
      <c r="BW62" s="4934"/>
      <c r="BX62" s="4935"/>
      <c r="BY62" s="4936" t="s">
        <v>993</v>
      </c>
      <c r="BZ62" s="4937"/>
      <c r="CA62" s="4938"/>
      <c r="CB62" s="4939"/>
      <c r="CC62" s="4940"/>
      <c r="CD62" s="4941"/>
      <c r="CE62" s="4942"/>
      <c r="CF62" s="4943"/>
      <c r="CG62" s="4944"/>
      <c r="CH62" s="4945"/>
      <c r="CI62" s="4946"/>
      <c r="CJ62" s="4947"/>
      <c r="CK62" s="4948"/>
      <c r="CL62" s="4949"/>
      <c r="CM62" s="4950"/>
      <c r="CN62" s="1809"/>
      <c r="CO62" s="4951"/>
      <c r="CP62" s="4952"/>
    </row>
    <row r="63" spans="1:94">
      <c r="A63" s="1902"/>
      <c r="B63" s="4953"/>
      <c r="C63" s="2249"/>
      <c r="D63" s="4954"/>
      <c r="E63" s="4955"/>
      <c r="F63" s="4956"/>
      <c r="G63" s="4957"/>
      <c r="H63" s="4958"/>
      <c r="I63" s="4959"/>
      <c r="J63" s="1696"/>
      <c r="K63" s="4960"/>
      <c r="L63" s="4961"/>
      <c r="M63" s="4962"/>
      <c r="N63" s="4963"/>
      <c r="O63" s="4964"/>
      <c r="P63" s="4965"/>
      <c r="Q63" s="1609"/>
      <c r="R63" s="1777"/>
      <c r="S63" s="4966"/>
      <c r="T63" s="4967"/>
      <c r="U63" s="4968" t="s">
        <v>995</v>
      </c>
      <c r="V63" s="4969"/>
      <c r="W63" s="4970"/>
      <c r="X63" s="4971"/>
      <c r="Y63" s="3887"/>
      <c r="Z63" s="4972"/>
      <c r="AA63" s="4973"/>
      <c r="AB63" s="4897"/>
      <c r="AC63" s="4974"/>
      <c r="AD63" s="4671"/>
      <c r="AE63" s="4975"/>
      <c r="AF63" s="4976"/>
      <c r="AG63" s="4977"/>
      <c r="AH63" s="4978"/>
      <c r="AI63" s="2807"/>
      <c r="AJ63" s="2807"/>
      <c r="AK63" s="3160"/>
      <c r="AL63" s="2744"/>
      <c r="AM63" s="4979"/>
      <c r="AN63" s="4980"/>
      <c r="AO63" s="4981"/>
      <c r="AP63" s="4982"/>
      <c r="AQ63" s="4983"/>
      <c r="AR63" s="3835"/>
      <c r="AS63" s="4897"/>
      <c r="AT63" s="4823"/>
      <c r="AU63" s="3894"/>
      <c r="AV63" s="4984"/>
      <c r="AW63" s="4985"/>
      <c r="AX63" s="4822"/>
      <c r="AY63" s="4986"/>
      <c r="AZ63" s="4987"/>
      <c r="BA63" s="4988" t="s">
        <v>993</v>
      </c>
      <c r="BB63" s="4989"/>
      <c r="BC63" s="4990"/>
      <c r="BD63" s="4991"/>
      <c r="BE63" s="4992"/>
      <c r="BF63" s="4993"/>
      <c r="BG63" s="4994"/>
      <c r="BH63" s="4995"/>
      <c r="BI63" s="4996"/>
      <c r="BJ63" s="4997"/>
      <c r="BK63" s="4998"/>
      <c r="BL63" s="4999"/>
      <c r="BM63" s="5000"/>
      <c r="BN63" s="5001"/>
      <c r="BO63" s="5002"/>
      <c r="BP63" s="5003"/>
      <c r="BQ63" s="5004"/>
      <c r="BR63" s="3041"/>
      <c r="BS63" s="5005"/>
      <c r="BT63" s="5006"/>
      <c r="BU63" s="5007"/>
      <c r="BV63" s="5008" t="s">
        <v>995</v>
      </c>
      <c r="BW63" s="5009"/>
      <c r="BX63" s="5010"/>
      <c r="BY63" s="5011" t="s">
        <v>993</v>
      </c>
      <c r="BZ63" s="5012"/>
      <c r="CA63" s="5013"/>
      <c r="CB63" s="5014"/>
      <c r="CC63" s="5015"/>
      <c r="CD63" s="5016"/>
      <c r="CE63" s="5017"/>
      <c r="CF63" s="5018"/>
      <c r="CG63" s="5019"/>
      <c r="CH63" s="5020"/>
      <c r="CI63" s="5021"/>
      <c r="CJ63" s="5022"/>
      <c r="CK63" s="5023"/>
      <c r="CL63" s="4947"/>
      <c r="CM63" s="5024"/>
      <c r="CN63" s="5025"/>
      <c r="CO63" s="4949"/>
      <c r="CP63" s="4949"/>
    </row>
    <row r="64" spans="1:94">
      <c r="A64" s="1741"/>
      <c r="B64" s="5026"/>
      <c r="C64" s="5027"/>
      <c r="D64" s="5028"/>
      <c r="E64" s="5029"/>
      <c r="F64" s="5030"/>
      <c r="G64" s="5031"/>
      <c r="H64" s="5032"/>
      <c r="I64" s="5033"/>
      <c r="J64" s="5034"/>
      <c r="K64" s="1611"/>
      <c r="L64" s="1778"/>
      <c r="M64" s="5035"/>
      <c r="N64" s="5036"/>
      <c r="O64" s="1532"/>
      <c r="P64" s="5037"/>
      <c r="Q64" s="5038"/>
      <c r="R64" s="1617"/>
      <c r="S64" s="5039"/>
      <c r="T64" s="5040"/>
      <c r="U64" s="5041" t="s">
        <v>995</v>
      </c>
      <c r="V64" s="5042"/>
      <c r="W64" s="5043"/>
      <c r="X64" s="4822"/>
      <c r="Y64" s="5044"/>
      <c r="Z64" s="1858"/>
      <c r="AA64" s="4973"/>
      <c r="AB64" s="4823"/>
      <c r="AC64" s="1935"/>
      <c r="AD64" s="5045"/>
      <c r="AE64" s="5046"/>
      <c r="AF64" s="5047"/>
      <c r="AG64" s="5048"/>
      <c r="AH64" s="5049"/>
      <c r="AI64" s="5050"/>
      <c r="AJ64" s="2816"/>
      <c r="AK64" s="5051"/>
      <c r="AL64" s="5052"/>
      <c r="AM64" s="5053"/>
      <c r="AN64" s="5054"/>
      <c r="AO64" s="5055"/>
      <c r="AP64" s="5056"/>
      <c r="AQ64" s="5057"/>
      <c r="AR64" s="5058"/>
      <c r="AS64" s="3706"/>
      <c r="AT64" s="5059"/>
      <c r="AU64" s="5044"/>
      <c r="AV64" s="5060"/>
      <c r="AW64" s="5061"/>
      <c r="AX64" s="5062"/>
      <c r="AY64" s="5063"/>
      <c r="AZ64" s="4673"/>
      <c r="BA64" s="5064" t="s">
        <v>993</v>
      </c>
      <c r="BB64" s="5065"/>
      <c r="BC64" s="5066"/>
      <c r="BD64" s="5067"/>
      <c r="BE64" s="5068"/>
      <c r="BF64" s="5069"/>
      <c r="BG64" s="5070"/>
      <c r="BH64" s="5071"/>
      <c r="BI64" s="5072"/>
      <c r="BJ64" s="5073"/>
      <c r="BK64" s="5074"/>
      <c r="BL64" s="5075"/>
      <c r="BM64" s="5076"/>
      <c r="BN64" s="5077"/>
      <c r="BO64" s="5078"/>
      <c r="BP64" s="5079"/>
      <c r="BQ64" s="5080"/>
      <c r="BR64" s="5081"/>
      <c r="BS64" s="5082"/>
      <c r="BT64" s="5083"/>
      <c r="BU64" s="5084"/>
      <c r="BV64" s="5085" t="s">
        <v>995</v>
      </c>
      <c r="BW64" s="5086"/>
      <c r="BX64" s="5087"/>
      <c r="BY64" s="5088" t="s">
        <v>993</v>
      </c>
      <c r="BZ64" s="5089"/>
      <c r="CA64" s="5090"/>
      <c r="CB64" s="5091"/>
      <c r="CC64" s="5092"/>
      <c r="CD64" s="5093"/>
      <c r="CE64" s="5094"/>
      <c r="CF64" s="5095"/>
      <c r="CG64" s="5096"/>
      <c r="CH64" s="4879"/>
      <c r="CI64" s="5097"/>
      <c r="CJ64" s="5098"/>
      <c r="CK64" s="5099"/>
      <c r="CL64" s="5100"/>
      <c r="CM64" s="5101"/>
      <c r="CN64" s="5102"/>
      <c r="CO64" s="5103"/>
      <c r="CP64" s="5104"/>
    </row>
    <row r="65" spans="1:94">
      <c r="A65" s="5105"/>
      <c r="B65" s="5106"/>
      <c r="C65" s="5107"/>
      <c r="D65" s="5108"/>
      <c r="E65" s="5109"/>
      <c r="F65" s="5110"/>
      <c r="G65" s="5111"/>
      <c r="H65" s="5112"/>
      <c r="I65" s="5113"/>
      <c r="J65" s="5114"/>
      <c r="K65" s="1695"/>
      <c r="L65" s="5115"/>
      <c r="M65" s="5037"/>
      <c r="N65" s="5116"/>
      <c r="O65" s="5036"/>
      <c r="P65" s="5037"/>
      <c r="Q65" s="5117"/>
      <c r="R65" s="4358"/>
      <c r="S65" s="5118"/>
      <c r="T65" s="5119"/>
      <c r="U65" s="5120" t="s">
        <v>995</v>
      </c>
      <c r="V65" s="5121"/>
      <c r="W65" s="4899"/>
      <c r="X65" s="5122"/>
      <c r="Y65" s="3887"/>
      <c r="Z65" s="1946"/>
      <c r="AA65" s="5123"/>
      <c r="AB65" s="1857"/>
      <c r="AC65" s="5124"/>
      <c r="AD65" s="3770"/>
      <c r="AE65" s="5125"/>
      <c r="AF65" s="5126"/>
      <c r="AG65" s="5127"/>
      <c r="AH65" s="5128"/>
      <c r="AI65" s="2686"/>
      <c r="AJ65" s="5129"/>
      <c r="AK65" s="5130"/>
      <c r="AL65" s="5131"/>
      <c r="AM65" s="5132"/>
      <c r="AN65" s="5133"/>
      <c r="AO65" s="4706"/>
      <c r="AP65" s="5134"/>
      <c r="AQ65" s="4673"/>
      <c r="AR65" s="3836"/>
      <c r="AS65" s="5135"/>
      <c r="AT65" s="5062"/>
      <c r="AU65" s="5057"/>
      <c r="AV65" s="4627"/>
      <c r="AW65" s="5136"/>
      <c r="AX65" s="5137"/>
      <c r="AY65" s="5138"/>
      <c r="AZ65" s="5139"/>
      <c r="BA65" s="5140" t="s">
        <v>993</v>
      </c>
      <c r="BB65" s="5141"/>
      <c r="BC65" s="5142"/>
      <c r="BD65" s="5143"/>
      <c r="BE65" s="5144"/>
      <c r="BF65" s="5145"/>
      <c r="BG65" s="5146"/>
      <c r="BH65" s="5147"/>
      <c r="BI65" s="5148"/>
      <c r="BJ65" s="5149"/>
      <c r="BK65" s="5150"/>
      <c r="BL65" s="5151"/>
      <c r="BM65" s="5152"/>
      <c r="BN65" s="5153"/>
      <c r="BO65" s="5154"/>
      <c r="BP65" s="5155"/>
      <c r="BQ65" s="5156"/>
      <c r="BR65" s="5157"/>
      <c r="BS65" s="5158"/>
      <c r="BT65" s="5159"/>
      <c r="BU65" s="5160"/>
      <c r="BV65" s="5161" t="s">
        <v>995</v>
      </c>
      <c r="BW65" s="5162"/>
      <c r="BX65" s="5163"/>
      <c r="BY65" s="5164" t="s">
        <v>993</v>
      </c>
      <c r="BZ65" s="5165"/>
      <c r="CA65" s="5166"/>
      <c r="CB65" s="5167"/>
      <c r="CC65" s="5168"/>
      <c r="CD65" s="5169"/>
      <c r="CE65" s="5170"/>
      <c r="CF65" s="5171"/>
      <c r="CG65" s="5172"/>
      <c r="CH65" s="5173"/>
      <c r="CI65" s="5174"/>
      <c r="CJ65" s="5175"/>
      <c r="CK65" s="5176"/>
      <c r="CL65" s="5177"/>
      <c r="CM65" s="5178"/>
      <c r="CN65" s="5179"/>
      <c r="CO65" s="4883"/>
      <c r="CP65" s="5180"/>
    </row>
    <row r="66" spans="1:94">
      <c r="A66" s="5181"/>
      <c r="B66" s="5182"/>
      <c r="C66" s="5183"/>
      <c r="D66" s="5184"/>
      <c r="E66" s="5185"/>
      <c r="F66" s="5186"/>
      <c r="G66" s="5187"/>
      <c r="H66" s="5188"/>
      <c r="I66" s="5189"/>
      <c r="J66" s="1624"/>
      <c r="K66" s="4340"/>
      <c r="L66" s="1694"/>
      <c r="M66" s="4962"/>
      <c r="N66" s="5037"/>
      <c r="O66" s="5037"/>
      <c r="P66" s="4962"/>
      <c r="Q66" s="5117"/>
      <c r="R66" s="5190"/>
      <c r="S66" s="5191"/>
      <c r="T66" s="5192"/>
      <c r="U66" s="5193" t="s">
        <v>995</v>
      </c>
      <c r="V66" s="5194"/>
      <c r="W66" s="5195"/>
      <c r="X66" s="5196"/>
      <c r="Y66" s="5044"/>
      <c r="Z66" s="5197"/>
      <c r="AA66" s="4549"/>
      <c r="AB66" s="5123"/>
      <c r="AC66" s="1934"/>
      <c r="AD66" s="3705"/>
      <c r="AE66" s="5198"/>
      <c r="AF66" s="5199"/>
      <c r="AG66" s="5200"/>
      <c r="AH66" s="5201"/>
      <c r="AI66" s="5202"/>
      <c r="AJ66" s="5203"/>
      <c r="AK66" s="5204"/>
      <c r="AL66" s="5205"/>
      <c r="AM66" s="5206"/>
      <c r="AN66" s="5207"/>
      <c r="AO66" s="2017"/>
      <c r="AP66" s="5208"/>
      <c r="AQ66" s="5209"/>
      <c r="AR66" s="5210"/>
      <c r="AS66" s="4459"/>
      <c r="AT66" s="3581"/>
      <c r="AU66" s="5211"/>
      <c r="AV66" s="5212"/>
      <c r="AW66" s="2188"/>
      <c r="AX66" s="5213"/>
      <c r="AY66" s="5214"/>
      <c r="AZ66" s="5215"/>
      <c r="BA66" s="5216" t="s">
        <v>993</v>
      </c>
      <c r="BB66" s="5217"/>
      <c r="BC66" s="5218"/>
      <c r="BD66" s="5219"/>
      <c r="BE66" s="5220"/>
      <c r="BF66" s="5221"/>
      <c r="BG66" s="5222"/>
      <c r="BH66" s="5223"/>
      <c r="BI66" s="5224"/>
      <c r="BJ66" s="5225"/>
      <c r="BK66" s="5226"/>
      <c r="BL66" s="5227"/>
      <c r="BM66" s="5228"/>
      <c r="BN66" s="5229"/>
      <c r="BO66" s="5230"/>
      <c r="BP66" s="5231"/>
      <c r="BQ66" s="5232"/>
      <c r="BR66" s="5233"/>
      <c r="BS66" s="5234"/>
      <c r="BT66" s="5235"/>
      <c r="BU66" s="5236"/>
      <c r="BV66" s="5237" t="s">
        <v>995</v>
      </c>
      <c r="BW66" s="5238"/>
      <c r="BX66" s="5239"/>
      <c r="BY66" s="5240" t="s">
        <v>993</v>
      </c>
      <c r="BZ66" s="5241"/>
      <c r="CA66" s="5242"/>
      <c r="CB66" s="5243"/>
      <c r="CC66" s="5244"/>
      <c r="CD66" s="5245"/>
      <c r="CE66" s="5246"/>
      <c r="CF66" s="5247"/>
      <c r="CG66" s="5248"/>
      <c r="CH66" s="5249"/>
      <c r="CI66" s="5250"/>
      <c r="CJ66" s="5251"/>
      <c r="CK66" s="5252"/>
      <c r="CL66" s="5253"/>
      <c r="CM66" s="5254"/>
      <c r="CN66" s="5255"/>
      <c r="CO66" s="5256"/>
      <c r="CP66" s="5257"/>
    </row>
    <row r="67" spans="1:94">
      <c r="A67" s="5258"/>
      <c r="B67" s="5259"/>
      <c r="C67" s="5260"/>
      <c r="D67" s="5261"/>
      <c r="E67" s="5262"/>
      <c r="F67" s="4880"/>
      <c r="G67" s="5263"/>
      <c r="H67" s="5264"/>
      <c r="I67" s="5265"/>
      <c r="J67" s="5266"/>
      <c r="K67" s="5267"/>
      <c r="L67" s="5038"/>
      <c r="M67" s="5268"/>
      <c r="N67" s="4962"/>
      <c r="O67" s="4962"/>
      <c r="P67" s="4963"/>
      <c r="Q67" s="5269"/>
      <c r="R67" s="5270"/>
      <c r="S67" s="5271"/>
      <c r="T67" s="5272"/>
      <c r="U67" s="5273" t="s">
        <v>995</v>
      </c>
      <c r="V67" s="5274"/>
      <c r="W67" s="5275"/>
      <c r="X67" s="3885"/>
      <c r="Y67" s="2550"/>
      <c r="Z67" s="1943"/>
      <c r="AA67" s="4750"/>
      <c r="AB67" s="5276"/>
      <c r="AC67" s="4550"/>
      <c r="AD67" s="5277"/>
      <c r="AE67" s="5278"/>
      <c r="AF67" s="5279"/>
      <c r="AG67" s="5280"/>
      <c r="AH67" s="5281"/>
      <c r="AI67" s="5282"/>
      <c r="AJ67" s="5283"/>
      <c r="AK67" s="5284"/>
      <c r="AL67" s="5285"/>
      <c r="AM67" s="5286"/>
      <c r="AN67" s="5287"/>
      <c r="AO67" s="5288"/>
      <c r="AP67" s="5289"/>
      <c r="AQ67" s="5290"/>
      <c r="AR67" s="5291"/>
      <c r="AS67" s="5292"/>
      <c r="AT67" s="5293"/>
      <c r="AU67" s="5294"/>
      <c r="AV67" s="5295"/>
      <c r="AW67" s="5296"/>
      <c r="AX67" s="5297"/>
      <c r="AY67" s="5298"/>
      <c r="AZ67" s="5299"/>
      <c r="BA67" s="5300" t="s">
        <v>993</v>
      </c>
      <c r="BB67" s="5301"/>
      <c r="BC67" s="5302"/>
      <c r="BD67" s="5303"/>
      <c r="BE67" s="5304"/>
      <c r="BF67" s="5305"/>
      <c r="BG67" s="5306"/>
      <c r="BH67" s="5307"/>
      <c r="BI67" s="5308"/>
      <c r="BJ67" s="5309"/>
      <c r="BK67" s="5310"/>
      <c r="BL67" s="5311"/>
      <c r="BM67" s="5312"/>
      <c r="BN67" s="5313"/>
      <c r="BO67" s="5314"/>
      <c r="BP67" s="5315"/>
      <c r="BQ67" s="5316"/>
      <c r="BR67" s="5317"/>
      <c r="BS67" s="5318"/>
      <c r="BT67" s="5319"/>
      <c r="BU67" s="5320"/>
      <c r="BV67" s="5321" t="s">
        <v>995</v>
      </c>
      <c r="BW67" s="5322"/>
      <c r="BX67" s="5323"/>
      <c r="BY67" s="5324" t="s">
        <v>993</v>
      </c>
      <c r="BZ67" s="5325"/>
      <c r="CA67" s="5326"/>
      <c r="CB67" s="5327"/>
      <c r="CC67" s="5328"/>
      <c r="CD67" s="5329"/>
      <c r="CE67" s="5330"/>
      <c r="CF67" s="5331"/>
      <c r="CG67" s="5332"/>
      <c r="CH67" s="5333"/>
      <c r="CI67" s="5334"/>
      <c r="CJ67" s="5335"/>
      <c r="CK67" s="5336"/>
      <c r="CL67" s="5337"/>
      <c r="CM67" s="5338"/>
      <c r="CN67" s="5339"/>
      <c r="CO67" s="5340"/>
      <c r="CP67" s="5341"/>
    </row>
    <row r="68" spans="1:94">
      <c r="A68" s="5342"/>
      <c r="B68" s="5343"/>
      <c r="C68" s="5344"/>
      <c r="D68" s="5345"/>
      <c r="E68" s="5346"/>
      <c r="F68" s="5347"/>
      <c r="G68" s="5348"/>
      <c r="H68" s="5349"/>
      <c r="I68" s="5350"/>
      <c r="J68" s="5351"/>
      <c r="K68" s="5352"/>
      <c r="L68" s="5353"/>
      <c r="M68" s="5354"/>
      <c r="N68" s="1830"/>
      <c r="O68" s="1830"/>
      <c r="P68" s="5355"/>
      <c r="Q68" s="5356"/>
      <c r="R68" s="5357"/>
      <c r="S68" s="5358"/>
      <c r="T68" s="5359"/>
      <c r="U68" s="5360" t="s">
        <v>995</v>
      </c>
      <c r="V68" s="5361"/>
      <c r="W68" s="5362"/>
      <c r="X68" s="4197"/>
      <c r="Y68" s="3708"/>
      <c r="Z68" s="1942"/>
      <c r="AA68" s="1941"/>
      <c r="AB68" s="5363"/>
      <c r="AC68" s="5364"/>
      <c r="AD68" s="5365"/>
      <c r="AE68" s="5366"/>
      <c r="AF68" s="5367"/>
      <c r="AG68" s="5368"/>
      <c r="AH68" s="5369"/>
      <c r="AI68" s="5370"/>
      <c r="AJ68" s="5371"/>
      <c r="AK68" s="5372"/>
      <c r="AL68" s="5373"/>
      <c r="AM68" s="5374"/>
      <c r="AN68" s="5375"/>
      <c r="AO68" s="5376"/>
      <c r="AP68" s="5377"/>
      <c r="AQ68" s="5378"/>
      <c r="AR68" s="5379"/>
      <c r="AS68" s="5380"/>
      <c r="AT68" s="5381"/>
      <c r="AU68" s="5382"/>
      <c r="AV68" s="5383"/>
      <c r="AW68" s="5384"/>
      <c r="AX68" s="5385"/>
      <c r="AY68" s="5386"/>
      <c r="AZ68" s="5387"/>
      <c r="BA68" s="5388" t="s">
        <v>993</v>
      </c>
      <c r="BB68" s="5389"/>
      <c r="BC68" s="5390"/>
      <c r="BD68" s="5391"/>
      <c r="BE68" s="5392"/>
      <c r="BF68" s="5393"/>
      <c r="BG68" s="5394"/>
      <c r="BH68" s="5395"/>
      <c r="BI68" s="5396"/>
      <c r="BJ68" s="5397"/>
      <c r="BK68" s="5398"/>
      <c r="BL68" s="5399"/>
      <c r="BM68" s="5400"/>
      <c r="BN68" s="5401"/>
      <c r="BO68" s="5402"/>
      <c r="BP68" s="5403"/>
      <c r="BQ68" s="5404"/>
      <c r="BR68" s="5405"/>
      <c r="BS68" s="5406"/>
      <c r="BT68" s="5407"/>
      <c r="BU68" s="5408"/>
      <c r="BV68" s="5409" t="s">
        <v>995</v>
      </c>
      <c r="BW68" s="5410"/>
      <c r="BX68" s="5411"/>
      <c r="BY68" s="5412" t="s">
        <v>993</v>
      </c>
      <c r="BZ68" s="5413"/>
      <c r="CA68" s="5414"/>
      <c r="CB68" s="5415"/>
      <c r="CC68" s="5416"/>
      <c r="CD68" s="5326"/>
      <c r="CE68" s="5417"/>
      <c r="CF68" s="5418"/>
      <c r="CG68" s="5419"/>
      <c r="CH68" s="5420"/>
      <c r="CI68" s="5421"/>
      <c r="CJ68" s="5422"/>
      <c r="CK68" s="5423"/>
      <c r="CL68" s="5424"/>
      <c r="CM68" s="5425"/>
      <c r="CN68" s="5426"/>
      <c r="CO68" s="5427"/>
      <c r="CP68" s="5428"/>
    </row>
    <row r="69" spans="1:94">
      <c r="A69" s="5429"/>
      <c r="B69" s="5430"/>
      <c r="C69" s="5431"/>
      <c r="D69" s="5432"/>
      <c r="E69" s="5433"/>
      <c r="F69" s="5434"/>
      <c r="G69" s="5435"/>
      <c r="H69" s="5436"/>
      <c r="I69" s="5437"/>
      <c r="J69" s="4205"/>
      <c r="K69" s="5438"/>
      <c r="L69" s="4963"/>
      <c r="M69" s="5439"/>
      <c r="N69" s="5440"/>
      <c r="O69" s="5355"/>
      <c r="P69" s="5441"/>
      <c r="Q69" s="5356"/>
      <c r="R69" s="5442"/>
      <c r="S69" s="5443"/>
      <c r="T69" s="5444"/>
      <c r="U69" s="5445" t="s">
        <v>995</v>
      </c>
      <c r="V69" s="5446"/>
      <c r="W69" s="5447"/>
      <c r="X69" s="4197"/>
      <c r="Y69" s="3834"/>
      <c r="Z69" s="5448"/>
      <c r="AA69" s="1946"/>
      <c r="AB69" s="5134"/>
      <c r="AC69" s="4595"/>
      <c r="AD69" s="5449"/>
      <c r="AE69" s="5450"/>
      <c r="AF69" s="5451"/>
      <c r="AG69" s="5452"/>
      <c r="AH69" s="5453"/>
      <c r="AI69" s="5454"/>
      <c r="AJ69" s="5455"/>
      <c r="AK69" s="5456"/>
      <c r="AL69" s="5457"/>
      <c r="AM69" s="5458"/>
      <c r="AN69" s="5459"/>
      <c r="AO69" s="5460"/>
      <c r="AP69" s="5461"/>
      <c r="AQ69" s="5462"/>
      <c r="AR69" s="5463"/>
      <c r="AS69" s="5464"/>
      <c r="AT69" s="5465"/>
      <c r="AU69" s="5466"/>
      <c r="AV69" s="5467"/>
      <c r="AW69" s="5468"/>
      <c r="AX69" s="5469"/>
      <c r="AY69" s="5470"/>
      <c r="AZ69" s="5471"/>
      <c r="BA69" s="5472" t="s">
        <v>993</v>
      </c>
      <c r="BB69" s="5473"/>
      <c r="BC69" s="5474"/>
      <c r="BD69" s="5475"/>
      <c r="BE69" s="5476"/>
      <c r="BF69" s="5477"/>
      <c r="BG69" s="5478"/>
      <c r="BH69" s="5479"/>
      <c r="BI69" s="5480"/>
      <c r="BJ69" s="5481"/>
      <c r="BK69" s="5482"/>
      <c r="BL69" s="5483"/>
      <c r="BM69" s="5484"/>
      <c r="BN69" s="5485"/>
      <c r="BO69" s="5486"/>
      <c r="BP69" s="5487"/>
      <c r="BQ69" s="5488"/>
      <c r="BR69" s="5489"/>
      <c r="BS69" s="5490"/>
      <c r="BT69" s="5491"/>
      <c r="BU69" s="5492"/>
      <c r="BV69" s="5493" t="s">
        <v>995</v>
      </c>
      <c r="BW69" s="5494"/>
      <c r="BX69" s="5495"/>
      <c r="BY69" s="5496" t="s">
        <v>993</v>
      </c>
      <c r="BZ69" s="5497"/>
      <c r="CA69" s="5498"/>
      <c r="CB69" s="5499"/>
      <c r="CC69" s="5500"/>
      <c r="CD69" s="5501"/>
      <c r="CE69" s="5502"/>
      <c r="CF69" s="5503"/>
      <c r="CG69" s="5504"/>
      <c r="CH69" s="5505"/>
      <c r="CI69" s="5506"/>
      <c r="CJ69" s="5507"/>
      <c r="CK69" s="5508"/>
      <c r="CL69" s="5509"/>
      <c r="CM69" s="5510"/>
      <c r="CN69" s="5511"/>
      <c r="CO69" s="5512"/>
      <c r="CP69" s="5513"/>
    </row>
    <row r="70" spans="1:94">
      <c r="A70" s="5514"/>
      <c r="B70" s="5515"/>
      <c r="C70" s="5516"/>
      <c r="D70" s="5517"/>
      <c r="E70" s="5518"/>
      <c r="F70" s="5519"/>
      <c r="G70" s="5520"/>
      <c r="H70" s="5521"/>
      <c r="I70" s="5522"/>
      <c r="J70" s="5523"/>
      <c r="K70" s="1866"/>
      <c r="L70" s="5355"/>
      <c r="M70" s="5524"/>
      <c r="N70" s="4963"/>
      <c r="O70" s="5037"/>
      <c r="P70" s="5441"/>
      <c r="Q70" s="5117"/>
      <c r="R70" s="5525"/>
      <c r="S70" s="5526"/>
      <c r="T70" s="5527"/>
      <c r="U70" s="5528" t="s">
        <v>995</v>
      </c>
      <c r="V70" s="5529"/>
      <c r="W70" s="5447"/>
      <c r="X70" s="4670"/>
      <c r="Y70" s="5448"/>
      <c r="Z70" s="1946"/>
      <c r="AA70" s="5530"/>
      <c r="AB70" s="1935"/>
      <c r="AC70" s="5531"/>
      <c r="AD70" s="5532"/>
      <c r="AE70" s="5533"/>
      <c r="AF70" s="5534"/>
      <c r="AG70" s="5535"/>
      <c r="AH70" s="5536"/>
      <c r="AI70" s="5537"/>
      <c r="AJ70" s="5538"/>
      <c r="AK70" s="5539"/>
      <c r="AL70" s="5540"/>
      <c r="AM70" s="5541"/>
      <c r="AN70" s="5542"/>
      <c r="AO70" s="5543"/>
      <c r="AP70" s="5544"/>
      <c r="AQ70" s="5545"/>
      <c r="AR70" s="5546"/>
      <c r="AS70" s="5547"/>
      <c r="AT70" s="5548"/>
      <c r="AU70" s="5549"/>
      <c r="AV70" s="5550"/>
      <c r="AW70" s="5551"/>
      <c r="AX70" s="5552"/>
      <c r="AY70" s="5553"/>
      <c r="AZ70" s="5554"/>
      <c r="BA70" s="5555" t="s">
        <v>993</v>
      </c>
      <c r="BB70" s="5556"/>
      <c r="BC70" s="5557"/>
      <c r="BD70" s="5558"/>
      <c r="BE70" s="5559"/>
      <c r="BF70" s="5560"/>
      <c r="BG70" s="5561"/>
      <c r="BH70" s="5562"/>
      <c r="BI70" s="5563"/>
      <c r="BJ70" s="5564"/>
      <c r="BK70" s="5565"/>
      <c r="BL70" s="5566"/>
      <c r="BM70" s="5567"/>
      <c r="BN70" s="5568"/>
      <c r="BO70" s="5569"/>
      <c r="BP70" s="5570"/>
      <c r="BQ70" s="5571"/>
      <c r="BR70" s="5572"/>
      <c r="BS70" s="5573"/>
      <c r="BT70" s="5574"/>
      <c r="BU70" s="5575"/>
      <c r="BV70" s="5576" t="s">
        <v>995</v>
      </c>
      <c r="BW70" s="5577"/>
      <c r="BX70" s="5578"/>
      <c r="BY70" s="5579" t="s">
        <v>993</v>
      </c>
      <c r="BZ70" s="5580"/>
      <c r="CA70" s="5581"/>
      <c r="CB70" s="5582"/>
      <c r="CC70" s="5583"/>
      <c r="CD70" s="5584"/>
      <c r="CE70" s="5585"/>
      <c r="CF70" s="5586"/>
      <c r="CG70" s="5587"/>
      <c r="CH70" s="5588"/>
      <c r="CI70" s="5589"/>
      <c r="CJ70" s="5590"/>
      <c r="CK70" s="5591"/>
      <c r="CL70" s="5592"/>
      <c r="CM70" s="5593"/>
      <c r="CN70" s="5594"/>
      <c r="CO70" s="5595"/>
      <c r="CP70" s="5596"/>
    </row>
    <row r="71" spans="1:94" ht="16.5" thickBot="1">
      <c r="A71" s="5597"/>
      <c r="B71" s="5598"/>
      <c r="C71" s="5599"/>
      <c r="D71" s="5600"/>
      <c r="E71" s="5601"/>
      <c r="F71" s="5602"/>
      <c r="G71" s="5603"/>
      <c r="H71" s="5604"/>
      <c r="I71" s="5605"/>
      <c r="J71" s="5606"/>
      <c r="K71" s="1536"/>
      <c r="L71" s="5607"/>
      <c r="M71" s="4964"/>
      <c r="N71" s="4963"/>
      <c r="O71" s="4963"/>
      <c r="P71" s="5441"/>
      <c r="Q71" s="5608"/>
      <c r="R71" s="5609"/>
      <c r="S71" s="5610"/>
      <c r="T71" s="5611"/>
      <c r="U71" s="5612" t="s">
        <v>995</v>
      </c>
      <c r="V71" s="5613"/>
      <c r="W71" s="1686"/>
      <c r="X71" s="5614"/>
      <c r="Y71" s="4749"/>
      <c r="Z71" s="1937"/>
      <c r="AA71" s="4550"/>
      <c r="AB71" s="5615"/>
      <c r="AC71" s="5616"/>
      <c r="AD71" s="5617"/>
      <c r="AE71" s="5618"/>
      <c r="AF71" s="5619"/>
      <c r="AG71" s="5620"/>
      <c r="AH71" s="5621"/>
      <c r="AI71" s="5622"/>
      <c r="AJ71" s="5623"/>
      <c r="AK71" s="5624"/>
      <c r="AL71" s="5625"/>
      <c r="AM71" s="5626"/>
      <c r="AN71" s="5627"/>
      <c r="AO71" s="5628"/>
      <c r="AP71" s="5629"/>
      <c r="AQ71" s="5630"/>
      <c r="AR71" s="5631"/>
      <c r="AS71" s="5632"/>
      <c r="AT71" s="5633"/>
      <c r="AU71" s="5634"/>
      <c r="AV71" s="5635"/>
      <c r="AW71" s="5636"/>
      <c r="AX71" s="5637"/>
      <c r="AY71" s="5229"/>
      <c r="AZ71" s="5243"/>
      <c r="BA71" s="5638" t="s">
        <v>993</v>
      </c>
      <c r="BB71" s="5639"/>
      <c r="BC71" s="5640"/>
      <c r="BD71" s="5641"/>
      <c r="BE71" s="5642"/>
      <c r="BF71" s="5643"/>
      <c r="BG71" s="5644"/>
      <c r="BH71" s="5645"/>
      <c r="BI71" s="5646"/>
      <c r="BJ71" s="5647"/>
      <c r="BK71" s="5648"/>
      <c r="BL71" s="5649"/>
      <c r="BM71" s="5650"/>
      <c r="BN71" s="5651"/>
      <c r="BO71" s="5652"/>
      <c r="BP71" s="5653"/>
      <c r="BQ71" s="5654"/>
      <c r="BR71" s="5655"/>
      <c r="BS71" s="5656"/>
      <c r="BT71" s="5657"/>
      <c r="BU71" s="5658"/>
      <c r="BV71" s="5659" t="s">
        <v>995</v>
      </c>
      <c r="BW71" s="5660"/>
      <c r="BX71" s="5661"/>
      <c r="BY71" s="5662" t="s">
        <v>993</v>
      </c>
      <c r="BZ71" s="5663"/>
      <c r="CA71" s="5664"/>
      <c r="CB71" s="5665"/>
      <c r="CC71" s="5666"/>
      <c r="CD71" s="5667"/>
      <c r="CE71" s="5668"/>
      <c r="CF71" s="5669"/>
      <c r="CG71" s="5670"/>
      <c r="CH71" s="5671"/>
      <c r="CI71" s="5672"/>
      <c r="CJ71" s="5673"/>
      <c r="CK71" s="5674"/>
      <c r="CL71" s="5675"/>
      <c r="CM71" s="5676"/>
      <c r="CN71" s="5677"/>
      <c r="CO71" s="5678"/>
      <c r="CP71" s="5679"/>
    </row>
    <row r="72" spans="1:94">
      <c r="A72" s="5680"/>
      <c r="B72" s="5681"/>
      <c r="C72" s="5682"/>
      <c r="D72" s="5683"/>
      <c r="E72" s="5684"/>
      <c r="F72" s="5685"/>
      <c r="G72" s="5686"/>
      <c r="H72" s="5687"/>
      <c r="I72" s="5688"/>
      <c r="J72" s="5689"/>
      <c r="K72" s="5607"/>
      <c r="L72" s="5690"/>
      <c r="M72" s="5441"/>
      <c r="N72" s="5440"/>
      <c r="O72" s="4962"/>
      <c r="P72" s="1537"/>
      <c r="Q72" s="5691"/>
      <c r="R72" s="5692"/>
      <c r="S72" s="5693"/>
      <c r="T72" s="5694"/>
      <c r="U72" s="5695" t="s">
        <v>995</v>
      </c>
      <c r="V72" s="5696"/>
      <c r="W72" s="4522"/>
      <c r="X72" s="5697"/>
      <c r="Y72" s="5698"/>
      <c r="Z72" s="1784"/>
      <c r="AA72" s="5699"/>
      <c r="AB72" s="5700"/>
      <c r="AC72" s="5701"/>
      <c r="AD72" s="5702"/>
      <c r="AE72" s="5703"/>
      <c r="AF72" s="5704"/>
      <c r="AG72" s="5705"/>
      <c r="AH72" s="5706"/>
      <c r="AI72" s="5707"/>
      <c r="AJ72" s="5708"/>
      <c r="AK72" s="5709"/>
      <c r="AL72" s="5710"/>
      <c r="AM72" s="5711"/>
      <c r="AN72" s="5712"/>
      <c r="AO72" s="5713"/>
      <c r="AP72" s="5714"/>
      <c r="AQ72" s="5715"/>
      <c r="AR72" s="10595">
        <v>7</v>
      </c>
      <c r="AS72" s="10596">
        <v>5</v>
      </c>
      <c r="AT72" s="10597">
        <v>6</v>
      </c>
      <c r="AU72" s="5716"/>
      <c r="AV72" s="5717"/>
      <c r="AW72" s="5718"/>
      <c r="AX72" s="5719"/>
      <c r="AY72" s="5720"/>
      <c r="AZ72" s="5226"/>
      <c r="BA72" s="5721" t="s">
        <v>993</v>
      </c>
      <c r="BB72" s="5722"/>
      <c r="BC72" s="5723"/>
      <c r="BD72" s="5724"/>
      <c r="BE72" s="5725"/>
      <c r="BF72" s="5726"/>
      <c r="BG72" s="5727"/>
      <c r="BH72" s="5728"/>
      <c r="BI72" s="5729"/>
      <c r="BJ72" s="5730"/>
      <c r="BK72" s="5731"/>
      <c r="BL72" s="5732"/>
      <c r="BM72" s="5733"/>
      <c r="BN72" s="5734"/>
      <c r="BO72" s="5735"/>
      <c r="BP72" s="5736"/>
      <c r="BQ72" s="5737"/>
      <c r="BR72" s="5738"/>
      <c r="BS72" s="5739"/>
      <c r="BT72" s="5740"/>
      <c r="BU72" s="5741"/>
      <c r="BV72" s="5742" t="s">
        <v>995</v>
      </c>
      <c r="BW72" s="5743"/>
      <c r="BX72" s="5744"/>
      <c r="BY72" s="5745" t="s">
        <v>993</v>
      </c>
      <c r="BZ72" s="5746"/>
      <c r="CA72" s="5747"/>
      <c r="CB72" s="5748"/>
      <c r="CC72" s="5749"/>
      <c r="CD72" s="5750"/>
      <c r="CE72" s="5751"/>
      <c r="CF72" s="5752"/>
      <c r="CG72" s="5753"/>
      <c r="CH72" s="5754"/>
      <c r="CI72" s="5755"/>
      <c r="CJ72" s="5756"/>
      <c r="CK72" s="5757"/>
      <c r="CL72" s="5758"/>
      <c r="CM72" s="5759"/>
      <c r="CN72" s="5760"/>
      <c r="CO72" s="5761"/>
      <c r="CP72" s="5762"/>
    </row>
    <row r="73" spans="1:94" ht="16.5" thickBot="1">
      <c r="A73" s="5763"/>
      <c r="B73" s="5764"/>
      <c r="C73" s="5765"/>
      <c r="D73" s="5766"/>
      <c r="E73" s="5767"/>
      <c r="F73" s="5768"/>
      <c r="G73" s="5769"/>
      <c r="H73" s="5210"/>
      <c r="I73" s="5770"/>
      <c r="J73" s="5771"/>
      <c r="K73" s="1778"/>
      <c r="L73" s="5690"/>
      <c r="M73" s="5440"/>
      <c r="N73" s="1670"/>
      <c r="O73" s="5439"/>
      <c r="P73" s="5772"/>
      <c r="Q73" s="5773"/>
      <c r="R73" s="5774"/>
      <c r="S73" s="5775"/>
      <c r="T73" s="5776"/>
      <c r="U73" s="5777" t="s">
        <v>995</v>
      </c>
      <c r="V73" s="5778"/>
      <c r="W73" s="5043"/>
      <c r="X73" s="4739"/>
      <c r="Y73" s="5698"/>
      <c r="Z73" s="5779"/>
      <c r="AA73" s="5614"/>
      <c r="AB73" s="5780"/>
      <c r="AC73" s="3884"/>
      <c r="AD73" s="5781"/>
      <c r="AE73" s="5782"/>
      <c r="AF73" s="5783"/>
      <c r="AG73" s="5784"/>
      <c r="AH73" s="5785"/>
      <c r="AI73" s="5786"/>
      <c r="AJ73" s="5787"/>
      <c r="AK73" s="5788"/>
      <c r="AL73" s="5789"/>
      <c r="AM73" s="5790"/>
      <c r="AN73" s="5791"/>
      <c r="AO73" s="5792"/>
      <c r="AP73" s="5793"/>
      <c r="AQ73" s="5794"/>
      <c r="AR73" s="10601">
        <v>1.1666666666666667</v>
      </c>
      <c r="AS73" s="10602">
        <v>1.25</v>
      </c>
      <c r="AT73" s="10603">
        <v>1.2</v>
      </c>
      <c r="AU73" s="5795"/>
      <c r="AV73" s="5796"/>
      <c r="AW73" s="5797"/>
      <c r="AX73" s="5798"/>
      <c r="AY73" s="5799"/>
      <c r="AZ73" s="5800"/>
      <c r="BA73" s="5801" t="s">
        <v>993</v>
      </c>
      <c r="BB73" s="5802"/>
      <c r="BC73" s="5803"/>
      <c r="BD73" s="5804"/>
      <c r="BE73" s="5805"/>
      <c r="BF73" s="5806"/>
      <c r="BG73" s="5807"/>
      <c r="BH73" s="5808"/>
      <c r="BI73" s="5723"/>
      <c r="BJ73" s="5809"/>
      <c r="BK73" s="5810"/>
      <c r="BL73" s="5811"/>
      <c r="BM73" s="5812"/>
      <c r="BN73" s="5813"/>
      <c r="BO73" s="5814"/>
      <c r="BP73" s="5815"/>
      <c r="BQ73" s="5816"/>
      <c r="BR73" s="5817"/>
      <c r="BS73" s="5818"/>
      <c r="BT73" s="5819"/>
      <c r="BU73" s="5820"/>
      <c r="BV73" s="5821" t="s">
        <v>995</v>
      </c>
      <c r="BW73" s="5822"/>
      <c r="BX73" s="5823"/>
      <c r="BY73" s="5824" t="s">
        <v>993</v>
      </c>
      <c r="BZ73" s="5825"/>
      <c r="CA73" s="5826"/>
      <c r="CB73" s="5827"/>
      <c r="CC73" s="5828"/>
      <c r="CD73" s="5829"/>
      <c r="CE73" s="5830"/>
      <c r="CF73" s="5831"/>
      <c r="CG73" s="5832"/>
      <c r="CH73" s="5833"/>
      <c r="CI73" s="5834"/>
      <c r="CJ73" s="5835"/>
      <c r="CK73" s="5836"/>
      <c r="CL73" s="5837"/>
      <c r="CM73" s="5838"/>
      <c r="CN73" s="5839"/>
      <c r="CO73" s="5840"/>
      <c r="CP73" s="5841"/>
    </row>
    <row r="74" spans="1:94">
      <c r="A74" s="5842"/>
      <c r="B74" s="5843"/>
      <c r="C74" s="5844"/>
      <c r="D74" s="5845"/>
      <c r="E74" s="5846"/>
      <c r="F74" s="5357"/>
      <c r="G74" s="5847"/>
      <c r="H74" s="5848"/>
      <c r="I74" s="5849"/>
      <c r="J74" s="5850"/>
      <c r="K74" s="1871"/>
      <c r="L74" s="5851"/>
      <c r="M74" s="5269"/>
      <c r="N74" s="5852"/>
      <c r="O74" s="5036"/>
      <c r="P74" s="5035"/>
      <c r="Q74" s="1830"/>
      <c r="R74" s="5853"/>
      <c r="S74" s="5854"/>
      <c r="T74" s="5855"/>
      <c r="U74" s="5856" t="s">
        <v>995</v>
      </c>
      <c r="V74" s="5857"/>
      <c r="W74" s="5858"/>
      <c r="X74" s="5530"/>
      <c r="Y74" s="4817"/>
      <c r="Z74" s="5859"/>
      <c r="AA74" s="1691"/>
      <c r="AB74" s="5860"/>
      <c r="AC74" s="5861"/>
      <c r="AD74" s="5862"/>
      <c r="AE74" s="5863"/>
      <c r="AF74" s="5864"/>
      <c r="AG74" s="5865"/>
      <c r="AH74" s="5866"/>
      <c r="AI74" s="5867"/>
      <c r="AJ74" s="5868"/>
      <c r="AK74" s="5869"/>
      <c r="AL74" s="5870"/>
      <c r="AM74" s="5871"/>
      <c r="AN74" s="5872"/>
      <c r="AO74" s="5873"/>
      <c r="AP74" s="5874"/>
      <c r="AQ74" s="5875"/>
      <c r="AR74" s="5876"/>
      <c r="AS74" s="5877"/>
      <c r="AT74" s="5878"/>
      <c r="AU74" s="5879"/>
      <c r="AV74" s="5880"/>
      <c r="AW74" s="5881"/>
      <c r="AX74" s="5882"/>
      <c r="AY74" s="5883"/>
      <c r="AZ74" s="5884"/>
      <c r="BA74" s="5885" t="s">
        <v>993</v>
      </c>
      <c r="BB74" s="5886"/>
      <c r="BC74" s="5887"/>
      <c r="BD74" s="5888"/>
      <c r="BE74" s="5889"/>
      <c r="BF74" s="5890"/>
      <c r="BG74" s="5889"/>
      <c r="BH74" s="5891"/>
      <c r="BI74" s="5892"/>
      <c r="BJ74" s="5893"/>
      <c r="BK74" s="5894"/>
      <c r="BL74" s="5895"/>
      <c r="BM74" s="5896"/>
      <c r="BN74" s="5897"/>
      <c r="BO74" s="4903"/>
      <c r="BP74" s="5898"/>
      <c r="BQ74" s="5899"/>
      <c r="BR74" s="5900"/>
      <c r="BS74" s="5901"/>
      <c r="BT74" s="5902"/>
      <c r="BU74" s="5890"/>
      <c r="BV74" s="5903" t="s">
        <v>995</v>
      </c>
      <c r="BW74" s="5904"/>
      <c r="BX74" s="5905"/>
      <c r="BY74" s="5906" t="s">
        <v>993</v>
      </c>
      <c r="BZ74" s="5907"/>
      <c r="CA74" s="5908"/>
      <c r="CB74" s="5909"/>
      <c r="CC74" s="5750"/>
      <c r="CD74" s="5415"/>
      <c r="CE74" s="5910"/>
      <c r="CF74" s="5911"/>
      <c r="CG74" s="5912"/>
      <c r="CH74" s="5913"/>
      <c r="CI74" s="5914"/>
      <c r="CJ74" s="5915"/>
      <c r="CK74" s="5916"/>
      <c r="CL74" s="5917"/>
      <c r="CM74" s="5918"/>
      <c r="CN74" s="5919"/>
      <c r="CO74" s="5920"/>
      <c r="CP74" s="5921"/>
    </row>
    <row r="75" spans="1:94">
      <c r="A75" s="5922"/>
      <c r="B75" s="5923"/>
      <c r="C75" s="5924"/>
      <c r="D75" s="5925"/>
      <c r="E75" s="4160"/>
      <c r="F75" s="5926"/>
      <c r="G75" s="5927"/>
      <c r="H75" s="5928"/>
      <c r="I75" s="5929"/>
      <c r="J75" s="5930"/>
      <c r="K75" s="5931"/>
      <c r="L75" s="5932"/>
      <c r="M75" s="5933"/>
      <c r="N75" s="5934"/>
      <c r="O75" s="5935"/>
      <c r="P75" s="5936"/>
      <c r="Q75" s="5937"/>
      <c r="R75" s="5938"/>
      <c r="S75" s="5939"/>
      <c r="T75" s="5940"/>
      <c r="U75" s="5941" t="s">
        <v>995</v>
      </c>
      <c r="V75" s="3944"/>
      <c r="W75" s="5195"/>
      <c r="X75" s="5942"/>
      <c r="Y75" s="5943"/>
      <c r="Z75" s="5944"/>
      <c r="AA75" s="5945"/>
      <c r="AB75" s="5946"/>
      <c r="AC75" s="5947"/>
      <c r="AD75" s="5948"/>
      <c r="AE75" s="5949"/>
      <c r="AF75" s="5950"/>
      <c r="AG75" s="5724"/>
      <c r="AH75" s="5951"/>
      <c r="AI75" s="5952"/>
      <c r="AJ75" s="5953"/>
      <c r="AK75" s="5954"/>
      <c r="AL75" s="5955"/>
      <c r="AM75" s="5956"/>
      <c r="AN75" s="5957"/>
      <c r="AO75" s="5958"/>
      <c r="AP75" s="5959"/>
      <c r="AQ75" s="5960"/>
      <c r="AR75" s="5961"/>
      <c r="AS75" s="5962"/>
      <c r="AT75" s="5963"/>
      <c r="AU75" s="5964"/>
      <c r="AV75" s="5965"/>
      <c r="AW75" s="5966"/>
      <c r="AX75" s="5967"/>
      <c r="AY75" s="5968"/>
      <c r="AZ75" s="5969"/>
      <c r="BA75" s="5970" t="s">
        <v>993</v>
      </c>
      <c r="BB75" s="5971"/>
      <c r="BC75" s="5972"/>
      <c r="BD75" s="5973"/>
      <c r="BE75" s="5974"/>
      <c r="BF75" s="5975"/>
      <c r="BG75" s="5976"/>
      <c r="BH75" s="5977"/>
      <c r="BI75" s="5978"/>
      <c r="BJ75" s="5979"/>
      <c r="BK75" s="5980"/>
      <c r="BL75" s="5981"/>
      <c r="BM75" s="5982"/>
      <c r="BN75" s="5983"/>
      <c r="BO75" s="5984"/>
      <c r="BP75" s="5985"/>
      <c r="BQ75" s="5986"/>
      <c r="BR75" s="5987"/>
      <c r="BS75" s="5988"/>
      <c r="BT75" s="5989"/>
      <c r="BU75" s="5990"/>
      <c r="BV75" s="5991" t="s">
        <v>995</v>
      </c>
      <c r="BW75" s="5992"/>
      <c r="BX75" s="5993"/>
      <c r="BY75" s="5994" t="s">
        <v>993</v>
      </c>
      <c r="BZ75" s="5995"/>
      <c r="CA75" s="5996"/>
      <c r="CB75" s="5997"/>
      <c r="CC75" s="5998"/>
      <c r="CD75" s="5999"/>
      <c r="CE75" s="6000"/>
      <c r="CF75" s="6001"/>
      <c r="CG75" s="6002"/>
      <c r="CH75" s="6003"/>
      <c r="CI75" s="6004"/>
      <c r="CJ75" s="6005"/>
      <c r="CK75" s="6006"/>
      <c r="CL75" s="6007"/>
      <c r="CM75" s="6008"/>
      <c r="CN75" s="6009"/>
      <c r="CO75" s="6010"/>
      <c r="CP75" s="6011"/>
    </row>
    <row r="76" spans="1:94">
      <c r="A76" s="6012"/>
      <c r="B76" s="6013"/>
      <c r="C76" s="6014"/>
      <c r="D76" s="6015"/>
      <c r="E76" s="6016"/>
      <c r="F76" s="6017"/>
      <c r="G76" s="6018"/>
      <c r="H76" s="6019"/>
      <c r="I76" s="6020"/>
      <c r="J76" s="6021"/>
      <c r="K76" s="6022"/>
      <c r="L76" s="6023"/>
      <c r="M76" s="6024"/>
      <c r="N76" s="6025"/>
      <c r="O76" s="6026"/>
      <c r="P76" s="3584"/>
      <c r="Q76" s="4115"/>
      <c r="R76" s="6027"/>
      <c r="S76" s="6028"/>
      <c r="T76" s="6029"/>
      <c r="U76" s="6030" t="s">
        <v>995</v>
      </c>
      <c r="V76" s="6031"/>
      <c r="W76" s="6032"/>
      <c r="X76" s="6033"/>
      <c r="Y76" s="6034"/>
      <c r="Z76" s="6035"/>
      <c r="AA76" s="6036"/>
      <c r="AB76" s="6037"/>
      <c r="AC76" s="6038"/>
      <c r="AD76" s="6039"/>
      <c r="AE76" s="6040"/>
      <c r="AF76" s="6041"/>
      <c r="AG76" s="6042"/>
      <c r="AH76" s="6043"/>
      <c r="AI76" s="6044"/>
      <c r="AJ76" s="6045"/>
      <c r="AK76" s="6046"/>
      <c r="AL76" s="6047"/>
      <c r="AM76" s="6048"/>
      <c r="AN76" s="6049"/>
      <c r="AO76" s="6050"/>
      <c r="AP76" s="6051"/>
      <c r="AQ76" s="6052"/>
      <c r="AR76" s="6053"/>
      <c r="AS76" s="6054"/>
      <c r="AT76" s="6055"/>
      <c r="AU76" s="6056"/>
      <c r="AV76" s="6057"/>
      <c r="AW76" s="6058"/>
      <c r="AX76" s="6059"/>
      <c r="AY76" s="6060"/>
      <c r="AZ76" s="6061"/>
      <c r="BA76" s="6062" t="s">
        <v>993</v>
      </c>
      <c r="BB76" s="6063"/>
      <c r="BC76" s="6064"/>
      <c r="BD76" s="6065"/>
      <c r="BE76" s="6066"/>
      <c r="BF76" s="6067"/>
      <c r="BG76" s="6067"/>
      <c r="BH76" s="6068"/>
      <c r="BI76" s="5977"/>
      <c r="BJ76" s="6069"/>
      <c r="BK76" s="6070"/>
      <c r="BL76" s="6071"/>
      <c r="BM76" s="6068"/>
      <c r="BN76" s="6072"/>
      <c r="BO76" s="6073"/>
      <c r="BP76" s="6074"/>
      <c r="BQ76" s="6075"/>
      <c r="BR76" s="6076"/>
      <c r="BS76" s="6077"/>
      <c r="BT76" s="6078"/>
      <c r="BU76" s="6079"/>
      <c r="BV76" s="6080" t="s">
        <v>995</v>
      </c>
      <c r="BW76" s="6081"/>
      <c r="BX76" s="6082"/>
      <c r="BY76" s="6083" t="s">
        <v>993</v>
      </c>
      <c r="BZ76" s="6084"/>
      <c r="CA76" s="6085"/>
      <c r="CB76" s="6086"/>
      <c r="CC76" s="6087"/>
      <c r="CD76" s="6088"/>
      <c r="CE76" s="6089"/>
      <c r="CF76" s="6090"/>
      <c r="CG76" s="6091"/>
      <c r="CH76" s="6092"/>
      <c r="CI76" s="6093"/>
      <c r="CJ76" s="6094"/>
      <c r="CK76" s="5679"/>
      <c r="CL76" s="6095"/>
      <c r="CM76" s="6008"/>
      <c r="CN76" s="6096"/>
      <c r="CO76" s="6097"/>
      <c r="CP76" s="6098"/>
    </row>
    <row r="77" spans="1:94">
      <c r="A77" s="6099"/>
      <c r="B77" s="6100"/>
      <c r="C77" s="6101"/>
      <c r="D77" s="6102"/>
      <c r="E77" s="6103"/>
      <c r="F77" s="6104"/>
      <c r="G77" s="6105"/>
      <c r="H77" s="6106"/>
      <c r="I77" s="6107"/>
      <c r="J77" s="6108"/>
      <c r="K77" s="6109"/>
      <c r="L77" s="6110"/>
      <c r="M77" s="6111"/>
      <c r="N77" s="6112"/>
      <c r="O77" s="6113"/>
      <c r="P77" s="6114"/>
      <c r="Q77" s="6115"/>
      <c r="R77" s="6116"/>
      <c r="S77" s="6117"/>
      <c r="T77" s="6118"/>
      <c r="U77" s="6119" t="s">
        <v>995</v>
      </c>
      <c r="V77" s="6120"/>
      <c r="W77" s="6121"/>
      <c r="X77" s="6122"/>
      <c r="Y77" s="6123"/>
      <c r="Z77" s="6124"/>
      <c r="AA77" s="6125"/>
      <c r="AB77" s="6126"/>
      <c r="AC77" s="6127"/>
      <c r="AD77" s="6128"/>
      <c r="AE77" s="6129"/>
      <c r="AF77" s="6130"/>
      <c r="AG77" s="6131"/>
      <c r="AH77" s="6132"/>
      <c r="AI77" s="6133"/>
      <c r="AJ77" s="6134"/>
      <c r="AK77" s="6135"/>
      <c r="AL77" s="6136"/>
      <c r="AM77" s="6137"/>
      <c r="AN77" s="6138"/>
      <c r="AO77" s="6139"/>
      <c r="AP77" s="6140"/>
      <c r="AQ77" s="6141"/>
      <c r="AR77" s="6142"/>
      <c r="AS77" s="6143"/>
      <c r="AT77" s="6144"/>
      <c r="AU77" s="6145"/>
      <c r="AV77" s="6146"/>
      <c r="AW77" s="6147"/>
      <c r="AX77" s="6148"/>
      <c r="AY77" s="6149"/>
      <c r="AZ77" s="6150"/>
      <c r="BA77" s="6151" t="s">
        <v>993</v>
      </c>
      <c r="BB77" s="6152"/>
      <c r="BC77" s="6153"/>
      <c r="BD77" s="6154"/>
      <c r="BE77" s="5989"/>
      <c r="BF77" s="6155"/>
      <c r="BG77" s="6156"/>
      <c r="BH77" s="6157"/>
      <c r="BI77" s="6158"/>
      <c r="BJ77" s="6159"/>
      <c r="BK77" s="6160"/>
      <c r="BL77" s="6161"/>
      <c r="BM77" s="6162"/>
      <c r="BN77" s="6163"/>
      <c r="BO77" s="6164"/>
      <c r="BP77" s="6165"/>
      <c r="BQ77" s="6166"/>
      <c r="BR77" s="6167"/>
      <c r="BS77" s="6077"/>
      <c r="BT77" s="6168"/>
      <c r="BU77" s="6169"/>
      <c r="BV77" s="6170" t="s">
        <v>995</v>
      </c>
      <c r="BW77" s="6171"/>
      <c r="BX77" s="5975"/>
      <c r="BY77" s="6172" t="s">
        <v>993</v>
      </c>
      <c r="BZ77" s="6173"/>
      <c r="CA77" s="6166"/>
      <c r="CB77" s="6174"/>
      <c r="CC77" s="6175"/>
      <c r="CD77" s="6176"/>
      <c r="CE77" s="6177"/>
      <c r="CF77" s="6178"/>
      <c r="CG77" s="6179"/>
      <c r="CH77" s="6180"/>
      <c r="CI77" s="6181"/>
      <c r="CJ77" s="6182"/>
      <c r="CK77" s="6183"/>
      <c r="CL77" s="6184"/>
      <c r="CM77" s="6185"/>
      <c r="CN77" s="6186"/>
      <c r="CO77" s="6187"/>
      <c r="CP77" s="6188"/>
    </row>
    <row r="78" spans="1:94">
      <c r="A78" s="6189"/>
      <c r="B78" s="6190"/>
      <c r="C78" s="6191"/>
      <c r="D78" s="6192"/>
      <c r="E78" s="6193"/>
      <c r="F78" s="6194"/>
      <c r="G78" s="6195"/>
      <c r="H78" s="6196"/>
      <c r="I78" s="6197"/>
      <c r="J78" s="6198"/>
      <c r="K78" s="6199"/>
      <c r="L78" s="6200"/>
      <c r="M78" s="6201"/>
      <c r="N78" s="6202"/>
      <c r="O78" s="6203"/>
      <c r="P78" s="6204"/>
      <c r="Q78" s="6205"/>
      <c r="R78" s="6206"/>
      <c r="S78" s="6207"/>
      <c r="T78" s="6208"/>
      <c r="U78" s="6209" t="s">
        <v>995</v>
      </c>
      <c r="V78" s="6210"/>
      <c r="W78" s="6211"/>
      <c r="X78" s="6212"/>
      <c r="Y78" s="6213"/>
      <c r="Z78" s="6214"/>
      <c r="AA78" s="6215"/>
      <c r="AB78" s="6216"/>
      <c r="AC78" s="6217"/>
      <c r="AD78" s="6130"/>
      <c r="AE78" s="6218"/>
      <c r="AF78" s="6219"/>
      <c r="AG78" s="6127"/>
      <c r="AH78" s="6220"/>
      <c r="AI78" s="6221"/>
      <c r="AJ78" s="6222"/>
      <c r="AK78" s="6223"/>
      <c r="AL78" s="6224"/>
      <c r="AM78" s="6225"/>
      <c r="AN78" s="6226"/>
      <c r="AO78" s="6227"/>
      <c r="AP78" s="6228"/>
      <c r="AQ78" s="6229"/>
      <c r="AR78" s="6230"/>
      <c r="AS78" s="6231"/>
      <c r="AT78" s="6232"/>
      <c r="AU78" s="6233"/>
      <c r="AV78" s="6234"/>
      <c r="AW78" s="6235"/>
      <c r="AX78" s="6236"/>
      <c r="AY78" s="6237"/>
      <c r="AZ78" s="6238"/>
      <c r="BA78" s="6239" t="s">
        <v>993</v>
      </c>
      <c r="BB78" s="6240"/>
      <c r="BC78" s="6241"/>
      <c r="BD78" s="6242"/>
      <c r="BE78" s="6243"/>
      <c r="BF78" s="6244"/>
      <c r="BG78" s="6245"/>
      <c r="BH78" s="6246"/>
      <c r="BI78" s="6247"/>
      <c r="BJ78" s="6248"/>
      <c r="BK78" s="6249"/>
      <c r="BL78" s="6250"/>
      <c r="BM78" s="6251"/>
      <c r="BN78" s="6252"/>
      <c r="BO78" s="6253"/>
      <c r="BP78" s="6254"/>
      <c r="BQ78" s="6255"/>
      <c r="BR78" s="6256"/>
      <c r="BS78" s="6257"/>
      <c r="BT78" s="6258"/>
      <c r="BU78" s="6259"/>
      <c r="BV78" s="6260" t="s">
        <v>995</v>
      </c>
      <c r="BW78" s="6261"/>
      <c r="BX78" s="6262"/>
      <c r="BY78" s="6263" t="s">
        <v>993</v>
      </c>
      <c r="BZ78" s="6264"/>
      <c r="CA78" s="6265"/>
      <c r="CB78" s="6266"/>
      <c r="CC78" s="6267"/>
      <c r="CD78" s="6268"/>
      <c r="CE78" s="6269"/>
      <c r="CF78" s="6270"/>
      <c r="CG78" s="6271"/>
      <c r="CH78" s="6272"/>
      <c r="CI78" s="6273"/>
      <c r="CJ78" s="6274"/>
      <c r="CK78" s="6274"/>
      <c r="CL78" s="6275"/>
      <c r="CM78" s="6276"/>
      <c r="CN78" s="6277"/>
      <c r="CO78" s="6278"/>
      <c r="CP78" s="6279"/>
    </row>
    <row r="79" spans="1:94">
      <c r="A79" s="6280"/>
      <c r="B79" s="6281"/>
      <c r="C79" s="6282"/>
      <c r="D79" s="6283"/>
      <c r="E79" s="6284"/>
      <c r="F79" s="6285"/>
      <c r="G79" s="6286"/>
      <c r="H79" s="6287"/>
      <c r="I79" s="6288"/>
      <c r="J79" s="6289"/>
      <c r="K79" s="6290"/>
      <c r="L79" s="6291"/>
      <c r="M79" s="6292"/>
      <c r="N79" s="6293"/>
      <c r="O79" s="6294"/>
      <c r="P79" s="6295"/>
      <c r="Q79" s="6296"/>
      <c r="R79" s="6297"/>
      <c r="S79" s="6298"/>
      <c r="T79" s="6299"/>
      <c r="U79" s="6300" t="s">
        <v>995</v>
      </c>
      <c r="V79" s="6301"/>
      <c r="W79" s="6302"/>
      <c r="X79" s="6303"/>
      <c r="Y79" s="6304"/>
      <c r="Z79" s="6305"/>
      <c r="AA79" s="6306"/>
      <c r="AB79" s="6307"/>
      <c r="AC79" s="6308"/>
      <c r="AD79" s="6309"/>
      <c r="AE79" s="6310"/>
      <c r="AF79" s="6311"/>
      <c r="AG79" s="6312"/>
      <c r="AH79" s="6313"/>
      <c r="AI79" s="6314"/>
      <c r="AJ79" s="6315"/>
      <c r="AK79" s="6316"/>
      <c r="AL79" s="6317"/>
      <c r="AM79" s="6318"/>
      <c r="AN79" s="6319"/>
      <c r="AO79" s="5967"/>
      <c r="AP79" s="6320"/>
      <c r="AQ79" s="6317"/>
      <c r="AR79" s="6321"/>
      <c r="AS79" s="6322"/>
      <c r="AT79" s="6323"/>
      <c r="AU79" s="4872"/>
      <c r="AV79" s="6324"/>
      <c r="AW79" s="6325"/>
      <c r="AX79" s="6326"/>
      <c r="AY79" s="6327"/>
      <c r="AZ79" s="6328"/>
      <c r="BA79" s="6329" t="s">
        <v>993</v>
      </c>
      <c r="BB79" s="6330"/>
      <c r="BC79" s="6331"/>
      <c r="BD79" s="6242"/>
      <c r="BE79" s="6332"/>
      <c r="BF79" s="6333"/>
      <c r="BG79" s="6334"/>
      <c r="BH79" s="6335"/>
      <c r="BI79" s="6336"/>
      <c r="BJ79" s="6337"/>
      <c r="BK79" s="6338"/>
      <c r="BL79" s="6339"/>
      <c r="BM79" s="6340"/>
      <c r="BN79" s="6341"/>
      <c r="BO79" s="6342"/>
      <c r="BP79" s="6343"/>
      <c r="BQ79" s="6344"/>
      <c r="BR79" s="5807"/>
      <c r="BS79" s="6345"/>
      <c r="BT79" s="5975"/>
      <c r="BU79" s="6346"/>
      <c r="BV79" s="6347" t="s">
        <v>995</v>
      </c>
      <c r="BW79" s="6348"/>
      <c r="BX79" s="6346"/>
      <c r="BY79" s="6349" t="s">
        <v>993</v>
      </c>
      <c r="BZ79" s="6350"/>
      <c r="CA79" s="6351"/>
      <c r="CB79" s="6352"/>
      <c r="CC79" s="6353"/>
      <c r="CD79" s="6354"/>
      <c r="CE79" s="6355"/>
      <c r="CF79" s="6356"/>
      <c r="CG79" s="6357"/>
      <c r="CH79" s="6358"/>
      <c r="CI79" s="6359"/>
      <c r="CJ79" s="5837"/>
      <c r="CK79" s="6360"/>
      <c r="CL79" s="6361"/>
      <c r="CM79" s="6362"/>
      <c r="CN79" s="6363"/>
      <c r="CO79" s="6364"/>
      <c r="CP79" s="6365"/>
    </row>
    <row r="80" spans="1:94">
      <c r="A80" s="6366"/>
      <c r="B80" s="6367"/>
      <c r="C80" s="6368"/>
      <c r="D80" s="6369"/>
      <c r="E80" s="6370"/>
      <c r="F80" s="6371"/>
      <c r="G80" s="6372"/>
      <c r="H80" s="6373"/>
      <c r="I80" s="6374"/>
      <c r="J80" s="6375"/>
      <c r="K80" s="6376"/>
      <c r="L80" s="6377"/>
      <c r="M80" s="6378"/>
      <c r="N80" s="6379"/>
      <c r="O80" s="6380"/>
      <c r="P80" s="6381"/>
      <c r="Q80" s="6382"/>
      <c r="R80" s="6383"/>
      <c r="S80" s="6384"/>
      <c r="T80" s="6385"/>
      <c r="U80" s="6386" t="s">
        <v>995</v>
      </c>
      <c r="V80" s="6387"/>
      <c r="W80" s="6388"/>
      <c r="X80" s="6389"/>
      <c r="Y80" s="6390"/>
      <c r="Z80" s="6391"/>
      <c r="AA80" s="6392"/>
      <c r="AB80" s="6393"/>
      <c r="AC80" s="6394"/>
      <c r="AD80" s="6395"/>
      <c r="AE80" s="6396"/>
      <c r="AF80" s="6397"/>
      <c r="AG80" s="6060"/>
      <c r="AH80" s="6398"/>
      <c r="AI80" s="6399"/>
      <c r="AJ80" s="6400"/>
      <c r="AK80" s="6226"/>
      <c r="AL80" s="6401"/>
      <c r="AM80" s="6402"/>
      <c r="AN80" s="6403"/>
      <c r="AO80" s="6404"/>
      <c r="AP80" s="5883"/>
      <c r="AQ80" s="6405"/>
      <c r="AR80" s="6406"/>
      <c r="AS80" s="6407"/>
      <c r="AT80" s="6408"/>
      <c r="AU80" s="6409"/>
      <c r="AV80" s="6410"/>
      <c r="AW80" s="6411"/>
      <c r="AX80" s="6412"/>
      <c r="AY80" s="5974"/>
      <c r="AZ80" s="6413"/>
      <c r="BA80" s="6414" t="s">
        <v>993</v>
      </c>
      <c r="BB80" s="6415"/>
      <c r="BC80" s="6416"/>
      <c r="BD80" s="6417"/>
      <c r="BE80" s="6418"/>
      <c r="BF80" s="6419"/>
      <c r="BG80" s="6420"/>
      <c r="BH80" s="6421"/>
      <c r="BI80" s="6422"/>
      <c r="BJ80" s="6423"/>
      <c r="BK80" s="6424"/>
      <c r="BL80" s="6425"/>
      <c r="BM80" s="6426"/>
      <c r="BN80" s="6427"/>
      <c r="BO80" s="6428"/>
      <c r="BP80" s="6429"/>
      <c r="BQ80" s="6430"/>
      <c r="BR80" s="5977"/>
      <c r="BS80" s="5977"/>
      <c r="BT80" s="6431"/>
      <c r="BU80" s="6432"/>
      <c r="BV80" s="6433" t="s">
        <v>995</v>
      </c>
      <c r="BW80" s="6434"/>
      <c r="BX80" s="6435"/>
      <c r="BY80" s="6436" t="s">
        <v>993</v>
      </c>
      <c r="BZ80" s="6437"/>
      <c r="CA80" s="6438"/>
      <c r="CB80" s="6439"/>
      <c r="CC80" s="6439"/>
      <c r="CD80" s="6440"/>
      <c r="CE80" s="6441"/>
      <c r="CF80" s="6442"/>
      <c r="CG80" s="6443"/>
      <c r="CH80" s="6444"/>
      <c r="CI80" s="6445"/>
      <c r="CJ80" s="6446"/>
      <c r="CK80" s="6447"/>
      <c r="CL80" s="6448"/>
      <c r="CM80" s="6449"/>
      <c r="CN80" s="6450"/>
      <c r="CO80" s="6451"/>
      <c r="CP80" s="6452"/>
    </row>
    <row r="81" spans="1:94">
      <c r="A81" s="6453"/>
      <c r="B81" s="6454"/>
      <c r="C81" s="6455"/>
      <c r="D81" s="6456"/>
      <c r="E81" s="6457"/>
      <c r="F81" s="6458"/>
      <c r="G81" s="6459"/>
      <c r="H81" s="6460"/>
      <c r="I81" s="6461"/>
      <c r="J81" s="6462"/>
      <c r="K81" s="6463"/>
      <c r="L81" s="6464"/>
      <c r="M81" s="6453"/>
      <c r="N81" s="6465"/>
      <c r="O81" s="6466"/>
      <c r="P81" s="6467"/>
      <c r="Q81" s="6468"/>
      <c r="R81" s="6469"/>
      <c r="S81" s="6470" t="s">
        <v>995</v>
      </c>
      <c r="T81" s="6471" t="s">
        <v>996</v>
      </c>
      <c r="U81" s="6472" t="s">
        <v>996</v>
      </c>
      <c r="V81" s="6473"/>
      <c r="W81" s="6474"/>
      <c r="X81" s="6475"/>
      <c r="Y81" s="6476"/>
      <c r="Z81" s="6477"/>
      <c r="AA81" s="6478"/>
      <c r="AB81" s="6479"/>
      <c r="AC81" s="6480"/>
      <c r="AD81" s="6481"/>
      <c r="AE81" s="6482"/>
      <c r="AF81" s="6483"/>
      <c r="AG81" s="6484"/>
      <c r="AH81" s="6485"/>
      <c r="AI81" s="6486"/>
      <c r="AJ81" s="6487"/>
      <c r="AK81" s="6488"/>
      <c r="AL81" s="6489"/>
      <c r="AM81" s="6490"/>
      <c r="AN81" s="6491"/>
      <c r="AO81" s="6492"/>
      <c r="AP81" s="6493"/>
      <c r="AQ81" s="6494"/>
      <c r="AR81" s="6495"/>
      <c r="AS81" s="6496"/>
      <c r="AT81" s="6497"/>
      <c r="AU81" s="6498"/>
      <c r="AV81" s="6499"/>
      <c r="AW81" s="6500"/>
      <c r="AX81" s="6501"/>
      <c r="AY81" s="6502"/>
      <c r="AZ81" s="6503"/>
      <c r="BA81" s="6504" t="s">
        <v>993</v>
      </c>
      <c r="BB81" s="6505"/>
      <c r="BC81" s="6506"/>
      <c r="BD81" s="6507"/>
      <c r="BE81" s="6508"/>
      <c r="BF81" s="6509"/>
      <c r="BG81" s="6510"/>
      <c r="BH81" s="6511"/>
      <c r="BI81" s="6512"/>
      <c r="BJ81" s="6513"/>
      <c r="BK81" s="6514"/>
      <c r="BL81" s="6515"/>
      <c r="BM81" s="6516"/>
      <c r="BN81" s="6517"/>
      <c r="BO81" s="6518"/>
      <c r="BP81" s="6519"/>
      <c r="BQ81" s="6520"/>
      <c r="BR81" s="6521"/>
      <c r="BS81" s="6522"/>
      <c r="BT81" s="6523"/>
      <c r="BU81" s="6524"/>
      <c r="BV81" s="6525" t="s">
        <v>995</v>
      </c>
      <c r="BW81" s="6526"/>
      <c r="BX81" s="6527"/>
      <c r="BY81" s="6528" t="s">
        <v>993</v>
      </c>
      <c r="BZ81" s="6529"/>
      <c r="CA81" s="6530"/>
      <c r="CB81" s="5820"/>
      <c r="CC81" s="6531"/>
      <c r="CD81" s="6532"/>
      <c r="CE81" s="6533"/>
      <c r="CF81" s="6534"/>
      <c r="CG81" s="6535"/>
      <c r="CH81" s="6536"/>
      <c r="CI81" s="6537"/>
      <c r="CJ81" s="6538"/>
      <c r="CK81" s="6539"/>
      <c r="CL81" s="6540"/>
      <c r="CM81" s="6541"/>
      <c r="CN81" s="6542"/>
      <c r="CO81" s="6543"/>
      <c r="CP81" s="6544"/>
    </row>
    <row r="82" spans="1:94">
      <c r="A82" s="6545"/>
      <c r="B82" s="6546"/>
      <c r="C82" s="6547"/>
      <c r="D82" s="6548"/>
      <c r="E82" s="6549"/>
      <c r="F82" s="6550"/>
      <c r="G82" s="6551"/>
      <c r="H82" s="6552"/>
      <c r="I82" s="6553"/>
      <c r="J82" s="6554"/>
      <c r="K82" s="6555"/>
      <c r="L82" s="6556"/>
      <c r="M82" s="6557"/>
      <c r="N82" s="6558"/>
      <c r="O82" s="5641"/>
      <c r="P82" s="6559"/>
      <c r="Q82" s="6560"/>
      <c r="R82" s="6561"/>
      <c r="S82" s="6562" t="s">
        <v>995</v>
      </c>
      <c r="T82" s="6563"/>
      <c r="U82" s="6564"/>
      <c r="V82" s="6565"/>
      <c r="W82" s="6566"/>
      <c r="X82" s="6567"/>
      <c r="Y82" s="6568"/>
      <c r="Z82" s="6569"/>
      <c r="AA82" s="6570"/>
      <c r="AB82" s="6571"/>
      <c r="AC82" s="6572"/>
      <c r="AD82" s="6573"/>
      <c r="AE82" s="6574"/>
      <c r="AF82" s="6575"/>
      <c r="AG82" s="6576"/>
      <c r="AH82" s="6577"/>
      <c r="AI82" s="6578"/>
      <c r="AJ82" s="6579"/>
      <c r="AK82" s="6580"/>
      <c r="AL82" s="6581"/>
      <c r="AM82" s="6582"/>
      <c r="AN82" s="6583"/>
      <c r="AO82" s="6584"/>
      <c r="AP82" s="6585"/>
      <c r="AQ82" s="6586"/>
      <c r="AR82" s="6587"/>
      <c r="AS82" s="6588"/>
      <c r="AT82" s="6589"/>
      <c r="AU82" s="6590"/>
      <c r="AV82" s="6591"/>
      <c r="AW82" s="6592"/>
      <c r="AX82" s="6593"/>
      <c r="AY82" s="6594"/>
      <c r="AZ82" s="6595"/>
      <c r="BA82" s="6596" t="s">
        <v>993</v>
      </c>
      <c r="BB82" s="6597"/>
      <c r="BC82" s="6598"/>
      <c r="BD82" s="6599"/>
      <c r="BE82" s="6600"/>
      <c r="BF82" s="6601"/>
      <c r="BG82" s="6602"/>
      <c r="BH82" s="6603"/>
      <c r="BI82" s="6604"/>
      <c r="BJ82" s="6605"/>
      <c r="BK82" s="6606"/>
      <c r="BL82" s="6607"/>
      <c r="BM82" s="6608"/>
      <c r="BN82" s="6609"/>
      <c r="BO82" s="6610"/>
      <c r="BP82" s="6611"/>
      <c r="BQ82" s="6612"/>
      <c r="BR82" s="6613"/>
      <c r="BS82" s="6614"/>
      <c r="BT82" s="6615"/>
      <c r="BU82" s="6616"/>
      <c r="BV82" s="6617" t="s">
        <v>995</v>
      </c>
      <c r="BW82" s="6618"/>
      <c r="BX82" s="6619"/>
      <c r="BY82" s="6620" t="s">
        <v>993</v>
      </c>
      <c r="BZ82" s="6621"/>
      <c r="CA82" s="6622"/>
      <c r="CB82" s="6623"/>
      <c r="CC82" s="6624"/>
      <c r="CD82" s="6625"/>
      <c r="CE82" s="6626"/>
      <c r="CF82" s="6627"/>
      <c r="CG82" s="6628"/>
      <c r="CH82" s="6629"/>
      <c r="CI82" s="6630"/>
      <c r="CJ82" s="6631"/>
      <c r="CK82" s="6632"/>
      <c r="CL82" s="6633"/>
      <c r="CM82" s="6634"/>
      <c r="CN82" s="6635"/>
      <c r="CO82" s="6636"/>
      <c r="CP82" s="6637"/>
    </row>
    <row r="83" spans="1:94">
      <c r="A83" s="6638"/>
      <c r="B83" s="6639"/>
      <c r="C83" s="6640"/>
      <c r="D83" s="6641"/>
      <c r="E83" s="6642"/>
      <c r="F83" s="6643"/>
      <c r="G83" s="6644"/>
      <c r="H83" s="6645"/>
      <c r="I83" s="6646"/>
      <c r="J83" s="6647"/>
      <c r="K83" s="6648"/>
      <c r="L83" s="6649"/>
      <c r="M83" s="6650"/>
      <c r="N83" s="6651"/>
      <c r="O83" s="6652"/>
      <c r="P83" s="6653"/>
      <c r="Q83" s="6654"/>
      <c r="R83" s="6655"/>
      <c r="S83" s="6656" t="s">
        <v>995</v>
      </c>
      <c r="T83" s="6657"/>
      <c r="U83" s="6658"/>
      <c r="V83" s="6659"/>
      <c r="W83" s="6660"/>
      <c r="X83" s="6661"/>
      <c r="Y83" s="6662"/>
      <c r="Z83" s="6663"/>
      <c r="AA83" s="6664"/>
      <c r="AB83" s="6665"/>
      <c r="AC83" s="6666"/>
      <c r="AD83" s="6667"/>
      <c r="AE83" s="6668"/>
      <c r="AF83" s="6669"/>
      <c r="AG83" s="6670"/>
      <c r="AH83" s="6671"/>
      <c r="AI83" s="6672"/>
      <c r="AJ83" s="6673"/>
      <c r="AK83" s="6674"/>
      <c r="AL83" s="6675"/>
      <c r="AM83" s="6676"/>
      <c r="AN83" s="6677"/>
      <c r="AO83" s="6584"/>
      <c r="AP83" s="6493"/>
      <c r="AQ83" s="6678"/>
      <c r="AR83" s="6679"/>
      <c r="AS83" s="6680"/>
      <c r="AT83" s="6681"/>
      <c r="AU83" s="6682"/>
      <c r="AV83" s="6683"/>
      <c r="AW83" s="5637"/>
      <c r="AX83" s="6684"/>
      <c r="AY83" s="6685"/>
      <c r="AZ83" s="6686"/>
      <c r="BA83" s="6687" t="s">
        <v>993</v>
      </c>
      <c r="BB83" s="6688"/>
      <c r="BC83" s="6689"/>
      <c r="BD83" s="6690"/>
      <c r="BE83" s="6691"/>
      <c r="BF83" s="6692"/>
      <c r="BG83" s="6693"/>
      <c r="BH83" s="6694"/>
      <c r="BI83" s="6695"/>
      <c r="BJ83" s="6696"/>
      <c r="BK83" s="6697"/>
      <c r="BL83" s="6698"/>
      <c r="BM83" s="6699"/>
      <c r="BN83" s="6700"/>
      <c r="BO83" s="6701"/>
      <c r="BP83" s="6702"/>
      <c r="BQ83" s="6703"/>
      <c r="BR83" s="6704"/>
      <c r="BS83" s="6705"/>
      <c r="BT83" s="6706"/>
      <c r="BU83" s="6707"/>
      <c r="BV83" s="6708" t="s">
        <v>995</v>
      </c>
      <c r="BW83" s="6709"/>
      <c r="BX83" s="6710"/>
      <c r="BY83" s="6711" t="s">
        <v>993</v>
      </c>
      <c r="BZ83" s="6712"/>
      <c r="CA83" s="6713"/>
      <c r="CB83" s="6714"/>
      <c r="CC83" s="6715"/>
      <c r="CD83" s="6716"/>
      <c r="CE83" s="6717"/>
      <c r="CF83" s="6718"/>
      <c r="CG83" s="6719"/>
      <c r="CH83" s="6720"/>
      <c r="CI83" s="6721"/>
      <c r="CJ83" s="6722"/>
      <c r="CK83" s="6723"/>
      <c r="CL83" s="6724"/>
      <c r="CM83" s="6725"/>
      <c r="CN83" s="6726"/>
      <c r="CO83" s="6727"/>
      <c r="CP83" s="6728"/>
    </row>
    <row r="84" spans="1:94">
      <c r="A84" s="6729"/>
      <c r="B84" s="6730"/>
      <c r="C84" s="6731"/>
      <c r="D84" s="6732"/>
      <c r="E84" s="6733"/>
      <c r="F84" s="6734"/>
      <c r="G84" s="6735"/>
      <c r="H84" s="6736"/>
      <c r="I84" s="6737"/>
      <c r="J84" s="6738"/>
      <c r="K84" s="6739"/>
      <c r="L84" s="6740"/>
      <c r="M84" s="6741"/>
      <c r="N84" s="6742"/>
      <c r="O84" s="6743"/>
      <c r="P84" s="6744"/>
      <c r="Q84" s="6745"/>
      <c r="R84" s="6746"/>
      <c r="S84" s="6747" t="s">
        <v>995</v>
      </c>
      <c r="T84" s="6748"/>
      <c r="U84" s="6394"/>
      <c r="V84" s="6749"/>
      <c r="W84" s="6750"/>
      <c r="X84" s="6751"/>
      <c r="Y84" s="6752"/>
      <c r="Z84" s="6753"/>
      <c r="AA84" s="6754"/>
      <c r="AB84" s="6755"/>
      <c r="AC84" s="6756"/>
      <c r="AD84" s="6757"/>
      <c r="AE84" s="6758"/>
      <c r="AF84" s="6759"/>
      <c r="AG84" s="6760"/>
      <c r="AH84" s="6761"/>
      <c r="AI84" s="6762"/>
      <c r="AJ84" s="6763"/>
      <c r="AK84" s="6764"/>
      <c r="AL84" s="6765"/>
      <c r="AM84" s="6766"/>
      <c r="AN84" s="6127"/>
      <c r="AO84" s="6767"/>
      <c r="AP84" s="5968"/>
      <c r="AQ84" s="6768"/>
      <c r="AR84" s="6769"/>
      <c r="AS84" s="6770"/>
      <c r="AT84" s="6771"/>
      <c r="AU84" s="5552"/>
      <c r="AV84" s="6772"/>
      <c r="AW84" s="6773"/>
      <c r="AX84" s="6774"/>
      <c r="AY84" s="6775"/>
      <c r="AZ84" s="6776"/>
      <c r="BA84" s="6777" t="s">
        <v>993</v>
      </c>
      <c r="BB84" s="6778"/>
      <c r="BC84" s="6779"/>
      <c r="BD84" s="6780"/>
      <c r="BE84" s="6781"/>
      <c r="BF84" s="6782"/>
      <c r="BG84" s="6783"/>
      <c r="BH84" s="6784"/>
      <c r="BI84" s="6785"/>
      <c r="BJ84" s="6786"/>
      <c r="BK84" s="6787"/>
      <c r="BL84" s="6788"/>
      <c r="BM84" s="5736"/>
      <c r="BN84" s="6789"/>
      <c r="BO84" s="6790"/>
      <c r="BP84" s="6791"/>
      <c r="BQ84" s="6792"/>
      <c r="BR84" s="6793"/>
      <c r="BS84" s="6794"/>
      <c r="BT84" s="6795"/>
      <c r="BU84" s="6796"/>
      <c r="BV84" s="6797" t="s">
        <v>995</v>
      </c>
      <c r="BW84" s="6798"/>
      <c r="BX84" s="6799"/>
      <c r="BY84" s="6800" t="s">
        <v>993</v>
      </c>
      <c r="BZ84" s="6801"/>
      <c r="CA84" s="6802"/>
      <c r="CB84" s="6803"/>
      <c r="CC84" s="6804"/>
      <c r="CD84" s="6805"/>
      <c r="CE84" s="6806"/>
      <c r="CF84" s="6807"/>
      <c r="CG84" s="6808"/>
      <c r="CH84" s="6809"/>
      <c r="CI84" s="6810"/>
      <c r="CJ84" s="6811"/>
      <c r="CK84" s="6812"/>
      <c r="CL84" s="6813"/>
      <c r="CM84" s="6814"/>
      <c r="CN84" s="6815"/>
      <c r="CO84" s="6816"/>
      <c r="CP84" s="6817"/>
    </row>
    <row r="85" spans="1:94">
      <c r="A85" s="6818"/>
      <c r="B85" s="6819"/>
      <c r="C85" s="6820"/>
      <c r="D85" s="6821"/>
      <c r="E85" s="6822"/>
      <c r="F85" s="6823"/>
      <c r="G85" s="6824"/>
      <c r="H85" s="6825"/>
      <c r="I85" s="6826"/>
      <c r="J85" s="6827"/>
      <c r="K85" s="6828"/>
      <c r="L85" s="6829"/>
      <c r="M85" s="6830"/>
      <c r="N85" s="6831"/>
      <c r="O85" s="6832"/>
      <c r="P85" s="6833"/>
      <c r="Q85" s="6834"/>
      <c r="R85" s="6835"/>
      <c r="S85" s="6836" t="s">
        <v>995</v>
      </c>
      <c r="T85" s="6837"/>
      <c r="U85" s="6838"/>
      <c r="V85" s="6839"/>
      <c r="W85" s="6840"/>
      <c r="X85" s="6841"/>
      <c r="Y85" s="6842"/>
      <c r="Z85" s="6843"/>
      <c r="AA85" s="1992"/>
      <c r="AB85" s="6844"/>
      <c r="AC85" s="6845"/>
      <c r="AD85" s="6846"/>
      <c r="AE85" s="6847"/>
      <c r="AF85" s="6848"/>
      <c r="AG85" s="6849"/>
      <c r="AH85" s="6850"/>
      <c r="AI85" s="6851"/>
      <c r="AJ85" s="6852"/>
      <c r="AK85" s="6853"/>
      <c r="AL85" s="6854"/>
      <c r="AM85" s="6855"/>
      <c r="AN85" s="6856"/>
      <c r="AO85" s="6403"/>
      <c r="AP85" s="6857"/>
      <c r="AQ85" s="6858"/>
      <c r="AR85" s="6859"/>
      <c r="AS85" s="6860"/>
      <c r="AT85" s="6861"/>
      <c r="AU85" s="6862"/>
      <c r="AV85" s="6863"/>
      <c r="AW85" s="6864"/>
      <c r="AX85" s="6865"/>
      <c r="AY85" s="6866"/>
      <c r="AZ85" s="6867"/>
      <c r="BA85" s="6868" t="s">
        <v>993</v>
      </c>
      <c r="BB85" s="6869"/>
      <c r="BC85" s="6870"/>
      <c r="BD85" s="6871"/>
      <c r="BE85" s="6872"/>
      <c r="BF85" s="6873"/>
      <c r="BG85" s="6874"/>
      <c r="BH85" s="6875"/>
      <c r="BI85" s="6876"/>
      <c r="BJ85" s="6877"/>
      <c r="BK85" s="6878"/>
      <c r="BL85" s="6879"/>
      <c r="BM85" s="6880"/>
      <c r="BN85" s="6881"/>
      <c r="BO85" s="6882"/>
      <c r="BP85" s="6883"/>
      <c r="BQ85" s="6884"/>
      <c r="BR85" s="6885"/>
      <c r="BS85" s="6886"/>
      <c r="BT85" s="6887"/>
      <c r="BU85" s="6888"/>
      <c r="BV85" s="6889" t="s">
        <v>995</v>
      </c>
      <c r="BW85" s="6890"/>
      <c r="BX85" s="6891"/>
      <c r="BY85" s="6892" t="s">
        <v>993</v>
      </c>
      <c r="BZ85" s="6893"/>
      <c r="CA85" s="6894"/>
      <c r="CB85" s="6895"/>
      <c r="CC85" s="6896"/>
      <c r="CD85" s="6897"/>
      <c r="CE85" s="6898"/>
      <c r="CF85" s="6899"/>
      <c r="CG85" s="6900"/>
      <c r="CH85" s="6901"/>
      <c r="CI85" s="6902"/>
      <c r="CJ85" s="6903"/>
      <c r="CK85" s="6904"/>
      <c r="CL85" s="6905"/>
      <c r="CM85" s="6906"/>
      <c r="CN85" s="6907"/>
      <c r="CO85" s="6908"/>
      <c r="CP85" s="6909"/>
    </row>
    <row r="86" spans="1:94">
      <c r="A86" s="6910"/>
      <c r="B86" s="6911"/>
      <c r="C86" s="6912"/>
      <c r="D86" s="6913"/>
      <c r="E86" s="6914"/>
      <c r="F86" s="6915"/>
      <c r="G86" s="6916"/>
      <c r="H86" s="6917"/>
      <c r="I86" s="6918"/>
      <c r="J86" s="6919"/>
      <c r="K86" s="6920"/>
      <c r="L86" s="6921"/>
      <c r="M86" s="6922"/>
      <c r="N86" s="6923"/>
      <c r="O86" s="6924"/>
      <c r="P86" s="6925"/>
      <c r="Q86" s="6926"/>
      <c r="R86" s="6927"/>
      <c r="S86" s="6928" t="s">
        <v>995</v>
      </c>
      <c r="T86" s="6929"/>
      <c r="U86" s="6930"/>
      <c r="V86" s="6931"/>
      <c r="W86" s="6932"/>
      <c r="X86" s="6933"/>
      <c r="Y86" s="6934"/>
      <c r="Z86" s="6935"/>
      <c r="AA86" s="6936"/>
      <c r="AB86" s="6937"/>
      <c r="AC86" s="6938"/>
      <c r="AD86" s="6939"/>
      <c r="AE86" s="6940"/>
      <c r="AF86" s="6941"/>
      <c r="AG86" s="6942"/>
      <c r="AH86" s="6943"/>
      <c r="AI86" s="5153"/>
      <c r="AJ86" s="6684"/>
      <c r="AK86" s="6944"/>
      <c r="AL86" s="6945"/>
      <c r="AM86" s="6946"/>
      <c r="AN86" s="6947"/>
      <c r="AO86" s="6948"/>
      <c r="AP86" s="6949"/>
      <c r="AQ86" s="6950"/>
      <c r="AR86" s="5747"/>
      <c r="AS86" s="6951"/>
      <c r="AT86" s="6952"/>
      <c r="AU86" s="6953"/>
      <c r="AV86" s="6954"/>
      <c r="AW86" s="6955"/>
      <c r="AX86" s="6956"/>
      <c r="AY86" s="6957"/>
      <c r="AZ86" s="6958"/>
      <c r="BA86" s="6959" t="s">
        <v>993</v>
      </c>
      <c r="BB86" s="6960"/>
      <c r="BC86" s="6961"/>
      <c r="BD86" s="6962"/>
      <c r="BE86" s="6963"/>
      <c r="BF86" s="6964"/>
      <c r="BG86" s="6965"/>
      <c r="BH86" s="6966"/>
      <c r="BI86" s="6967"/>
      <c r="BJ86" s="6968"/>
      <c r="BK86" s="6969"/>
      <c r="BL86" s="6970"/>
      <c r="BM86" s="6971"/>
      <c r="BN86" s="6972"/>
      <c r="BO86" s="6973"/>
      <c r="BP86" s="6974"/>
      <c r="BQ86" s="6975"/>
      <c r="BR86" s="6976"/>
      <c r="BS86" s="6977"/>
      <c r="BT86" s="6978"/>
      <c r="BU86" s="6979"/>
      <c r="BV86" s="6980" t="s">
        <v>995</v>
      </c>
      <c r="BW86" s="6981"/>
      <c r="BX86" s="6982"/>
      <c r="BY86" s="6983" t="s">
        <v>993</v>
      </c>
      <c r="BZ86" s="6984"/>
      <c r="CA86" s="6985"/>
      <c r="CB86" s="6986"/>
      <c r="CC86" s="6987"/>
      <c r="CD86" s="6988"/>
      <c r="CE86" s="6989"/>
      <c r="CF86" s="6990"/>
      <c r="CG86" s="6991"/>
      <c r="CH86" s="6992"/>
      <c r="CI86" s="6993"/>
      <c r="CJ86" s="6994"/>
      <c r="CK86" s="6995"/>
      <c r="CL86" s="6996"/>
      <c r="CM86" s="6997"/>
      <c r="CN86" s="6998"/>
      <c r="CO86" s="6999"/>
      <c r="CP86" s="7000"/>
    </row>
    <row r="87" spans="1:94">
      <c r="A87" s="7001"/>
      <c r="B87" s="7002"/>
      <c r="C87" s="7003"/>
      <c r="D87" s="7004"/>
      <c r="E87" s="7005"/>
      <c r="F87" s="7006"/>
      <c r="G87" s="7007"/>
      <c r="H87" s="7008"/>
      <c r="I87" s="7009"/>
      <c r="J87" s="7010"/>
      <c r="K87" s="7011"/>
      <c r="L87" s="7012"/>
      <c r="M87" s="6741"/>
      <c r="N87" s="7013"/>
      <c r="O87" s="7014"/>
      <c r="P87" s="7015"/>
      <c r="Q87" s="7016"/>
      <c r="R87" s="7017"/>
      <c r="S87" s="7018" t="s">
        <v>995</v>
      </c>
      <c r="T87" s="7019"/>
      <c r="U87" s="7020"/>
      <c r="V87" s="7021"/>
      <c r="W87" s="7022"/>
      <c r="X87" s="7023"/>
      <c r="Y87" s="7024"/>
      <c r="Z87" s="7025"/>
      <c r="AA87" s="7026"/>
      <c r="AB87" s="7027"/>
      <c r="AC87" s="7028"/>
      <c r="AD87" s="7029"/>
      <c r="AE87" s="7030"/>
      <c r="AF87" s="6949"/>
      <c r="AG87" s="7031"/>
      <c r="AH87" s="6593"/>
      <c r="AI87" s="7032"/>
      <c r="AJ87" s="7033"/>
      <c r="AK87" s="6213"/>
      <c r="AL87" s="7034"/>
      <c r="AM87" s="7035"/>
      <c r="AN87" s="7036"/>
      <c r="AO87" s="7037"/>
      <c r="AP87" s="7038"/>
      <c r="AQ87" s="7039"/>
      <c r="AR87" s="7040"/>
      <c r="AS87" s="7041"/>
      <c r="AT87" s="7042"/>
      <c r="AU87" s="7043"/>
      <c r="AV87" s="7044"/>
      <c r="AW87" s="7045"/>
      <c r="AX87" s="7045"/>
      <c r="AY87" s="7046"/>
      <c r="AZ87" s="7047"/>
      <c r="BA87" s="7048" t="s">
        <v>993</v>
      </c>
      <c r="BB87" s="7049"/>
      <c r="BC87" s="7050"/>
      <c r="BD87" s="7051"/>
      <c r="BE87" s="7052"/>
      <c r="BF87" s="7053"/>
      <c r="BG87" s="7054"/>
      <c r="BH87" s="7055"/>
      <c r="BI87" s="7056"/>
      <c r="BJ87" s="7057"/>
      <c r="BK87" s="7058"/>
      <c r="BL87" s="7059"/>
      <c r="BM87" s="7060"/>
      <c r="BN87" s="7061"/>
      <c r="BO87" s="7062"/>
      <c r="BP87" s="7063"/>
      <c r="BQ87" s="7064"/>
      <c r="BR87" s="7065"/>
      <c r="BS87" s="7066"/>
      <c r="BT87" s="7067"/>
      <c r="BU87" s="7068"/>
      <c r="BV87" s="7069" t="s">
        <v>995</v>
      </c>
      <c r="BW87" s="7070"/>
      <c r="BX87" s="7071"/>
      <c r="BY87" s="7072" t="s">
        <v>993</v>
      </c>
      <c r="BZ87" s="7073"/>
      <c r="CA87" s="7074"/>
      <c r="CB87" s="7075"/>
      <c r="CC87" s="7076"/>
      <c r="CD87" s="7077"/>
      <c r="CE87" s="7078"/>
      <c r="CF87" s="7079"/>
      <c r="CG87" s="7080"/>
      <c r="CH87" s="7081"/>
      <c r="CI87" s="7082"/>
      <c r="CJ87" s="7083"/>
      <c r="CK87" s="7084"/>
      <c r="CL87" s="7085"/>
      <c r="CM87" s="7086"/>
      <c r="CN87" s="7087"/>
      <c r="CO87" s="7088"/>
      <c r="CP87" s="7089"/>
    </row>
    <row r="88" spans="1:94">
      <c r="A88" s="7090"/>
      <c r="B88" s="7091"/>
      <c r="C88" s="7092"/>
      <c r="D88" s="7093"/>
      <c r="E88" s="7094"/>
      <c r="F88" s="7095"/>
      <c r="G88" s="7096"/>
      <c r="H88" s="7097"/>
      <c r="I88" s="7098"/>
      <c r="J88" s="7099"/>
      <c r="K88" s="7100"/>
      <c r="L88" s="7101"/>
      <c r="M88" s="7102"/>
      <c r="N88" s="7103"/>
      <c r="O88" s="7104"/>
      <c r="P88" s="7105"/>
      <c r="Q88" s="7106"/>
      <c r="R88" s="7107"/>
      <c r="S88" s="7108" t="s">
        <v>995</v>
      </c>
      <c r="T88" s="7109"/>
      <c r="U88" s="7110"/>
      <c r="V88" s="7111"/>
      <c r="W88" s="5980"/>
      <c r="X88" s="7112"/>
      <c r="Y88" s="7113"/>
      <c r="Z88" s="6740"/>
      <c r="AA88" s="7114"/>
      <c r="AB88" s="7115"/>
      <c r="AC88" s="7116"/>
      <c r="AD88" s="7117"/>
      <c r="AE88" s="7118"/>
      <c r="AF88" s="7119"/>
      <c r="AG88" s="6130"/>
      <c r="AH88" s="7120"/>
      <c r="AI88" s="7121"/>
      <c r="AJ88" s="7122"/>
      <c r="AK88" s="7123"/>
      <c r="AL88" s="6581"/>
      <c r="AM88" s="7124"/>
      <c r="AN88" s="6658"/>
      <c r="AO88" s="7125"/>
      <c r="AP88" s="7126"/>
      <c r="AQ88" s="7127"/>
      <c r="AR88" s="7128"/>
      <c r="AS88" s="7129"/>
      <c r="AT88" s="7130"/>
      <c r="AU88" s="7131"/>
      <c r="AV88" s="7132"/>
      <c r="AW88" s="7133"/>
      <c r="AX88" s="7134"/>
      <c r="AY88" s="7135"/>
      <c r="AZ88" s="7136"/>
      <c r="BA88" s="7137" t="s">
        <v>993</v>
      </c>
      <c r="BB88" s="7138"/>
      <c r="BC88" s="7139"/>
      <c r="BD88" s="7140"/>
      <c r="BE88" s="7141"/>
      <c r="BF88" s="7142"/>
      <c r="BG88" s="7143"/>
      <c r="BH88" s="7144"/>
      <c r="BI88" s="7145"/>
      <c r="BJ88" s="7146"/>
      <c r="BK88" s="7147"/>
      <c r="BL88" s="7148"/>
      <c r="BM88" s="7149"/>
      <c r="BN88" s="7150"/>
      <c r="BO88" s="7151"/>
      <c r="BP88" s="7152"/>
      <c r="BQ88" s="7153"/>
      <c r="BR88" s="7154"/>
      <c r="BS88" s="7155"/>
      <c r="BT88" s="7156"/>
      <c r="BU88" s="7157"/>
      <c r="BV88" s="7158" t="s">
        <v>995</v>
      </c>
      <c r="BW88" s="7159"/>
      <c r="BX88" s="7160"/>
      <c r="BY88" s="7161" t="s">
        <v>993</v>
      </c>
      <c r="BZ88" s="7162"/>
      <c r="CA88" s="7163"/>
      <c r="CB88" s="7164"/>
      <c r="CC88" s="7165"/>
      <c r="CD88" s="7166"/>
      <c r="CE88" s="7167"/>
      <c r="CF88" s="7168"/>
      <c r="CG88" s="7169"/>
      <c r="CH88" s="7081"/>
      <c r="CI88" s="7170"/>
      <c r="CJ88" s="7171"/>
      <c r="CK88" s="7172"/>
      <c r="CL88" s="7173"/>
      <c r="CM88" s="7174"/>
      <c r="CN88" s="7175"/>
      <c r="CO88" s="7176"/>
      <c r="CP88" s="7177"/>
    </row>
    <row r="89" spans="1:94">
      <c r="A89" s="7178"/>
      <c r="B89" s="7179"/>
      <c r="C89" s="7180"/>
      <c r="D89" s="7181"/>
      <c r="E89" s="7182"/>
      <c r="F89" s="7183"/>
      <c r="G89" s="7184"/>
      <c r="H89" s="7185"/>
      <c r="I89" s="7186"/>
      <c r="J89" s="7187"/>
      <c r="K89" s="7188"/>
      <c r="L89" s="7189"/>
      <c r="M89" s="7190"/>
      <c r="N89" s="7191"/>
      <c r="O89" s="7192"/>
      <c r="P89" s="7193"/>
      <c r="Q89" s="7194"/>
      <c r="R89" s="7195"/>
      <c r="S89" s="3423" t="s">
        <v>995</v>
      </c>
      <c r="T89" s="7196"/>
      <c r="U89" s="7197"/>
      <c r="V89" s="7198"/>
      <c r="W89" s="7199"/>
      <c r="X89" s="7200"/>
      <c r="Y89" s="7201"/>
      <c r="Z89" s="7202"/>
      <c r="AA89" s="7203"/>
      <c r="AB89" s="7204"/>
      <c r="AC89" s="7205"/>
      <c r="AD89" s="7206"/>
      <c r="AE89" s="7207"/>
      <c r="AF89" s="7208"/>
      <c r="AG89" s="7209"/>
      <c r="AH89" s="7210"/>
      <c r="AI89" s="7121"/>
      <c r="AJ89" s="6676"/>
      <c r="AK89" s="7211"/>
      <c r="AL89" s="7212"/>
      <c r="AM89" s="7213"/>
      <c r="AN89" s="7214"/>
      <c r="AO89" s="7215"/>
      <c r="AP89" s="7216"/>
      <c r="AQ89" s="7217"/>
      <c r="AR89" s="7218"/>
      <c r="AS89" s="7219"/>
      <c r="AT89" s="7220"/>
      <c r="AU89" s="7221"/>
      <c r="AV89" s="7222"/>
      <c r="AW89" s="7223"/>
      <c r="AX89" s="7224"/>
      <c r="AY89" s="7225"/>
      <c r="AZ89" s="7226"/>
      <c r="BA89" s="7227" t="s">
        <v>993</v>
      </c>
      <c r="BB89" s="7228"/>
      <c r="BC89" s="7229"/>
      <c r="BD89" s="7230"/>
      <c r="BE89" s="7231"/>
      <c r="BF89" s="7232"/>
      <c r="BG89" s="7233"/>
      <c r="BH89" s="7234"/>
      <c r="BI89" s="7235"/>
      <c r="BJ89" s="7236"/>
      <c r="BK89" s="7237"/>
      <c r="BL89" s="7238"/>
      <c r="BM89" s="7239"/>
      <c r="BN89" s="7240"/>
      <c r="BO89" s="7241"/>
      <c r="BP89" s="7242"/>
      <c r="BQ89" s="7243"/>
      <c r="BR89" s="7244"/>
      <c r="BS89" s="7245"/>
      <c r="BT89" s="7246"/>
      <c r="BU89" s="7247"/>
      <c r="BV89" s="7248" t="s">
        <v>995</v>
      </c>
      <c r="BW89" s="7249"/>
      <c r="BX89" s="7250"/>
      <c r="BY89" s="7251" t="s">
        <v>993</v>
      </c>
      <c r="BZ89" s="7252"/>
      <c r="CA89" s="7253"/>
      <c r="CB89" s="7254"/>
      <c r="CC89" s="7255"/>
      <c r="CD89" s="7256"/>
      <c r="CE89" s="7257"/>
      <c r="CF89" s="7258"/>
      <c r="CG89" s="7259"/>
      <c r="CH89" s="7260"/>
      <c r="CI89" s="7261"/>
      <c r="CJ89" s="7262"/>
      <c r="CK89" s="7263"/>
      <c r="CL89" s="7264"/>
      <c r="CM89" s="7265"/>
      <c r="CN89" s="7266"/>
      <c r="CO89" s="7267"/>
      <c r="CP89" s="7268"/>
    </row>
    <row r="90" spans="1:94">
      <c r="A90" s="7269"/>
      <c r="B90" s="7270"/>
      <c r="C90" s="7271"/>
      <c r="D90" s="7272"/>
      <c r="E90" s="7273"/>
      <c r="F90" s="7274"/>
      <c r="G90" s="7275"/>
      <c r="H90" s="7185"/>
      <c r="I90" s="7276"/>
      <c r="J90" s="7277"/>
      <c r="K90" s="7278"/>
      <c r="L90" s="7279"/>
      <c r="M90" s="7280"/>
      <c r="N90" s="7281"/>
      <c r="O90" s="7282"/>
      <c r="P90" s="7283"/>
      <c r="Q90" s="7284"/>
      <c r="R90" s="7285"/>
      <c r="S90" s="7286" t="s">
        <v>995</v>
      </c>
      <c r="T90" s="7287"/>
      <c r="U90" s="7288"/>
      <c r="V90" s="7289"/>
      <c r="W90" s="7290"/>
      <c r="X90" s="7291"/>
      <c r="Y90" s="7292"/>
      <c r="Z90" s="7293"/>
      <c r="AA90" s="7294"/>
      <c r="AB90" s="7295"/>
      <c r="AC90" s="7296"/>
      <c r="AD90" s="7297"/>
      <c r="AE90" s="7298"/>
      <c r="AF90" s="7299"/>
      <c r="AG90" s="7300"/>
      <c r="AH90" s="6858"/>
      <c r="AI90" s="5398"/>
      <c r="AJ90" s="7301"/>
      <c r="AK90" s="7302"/>
      <c r="AL90" s="7303"/>
      <c r="AM90" s="7304"/>
      <c r="AN90" s="7305"/>
      <c r="AO90" s="7306"/>
      <c r="AP90" s="7307"/>
      <c r="AQ90" s="7308"/>
      <c r="AR90" s="7309"/>
      <c r="AS90" s="7310"/>
      <c r="AT90" s="7311"/>
      <c r="AU90" s="7312"/>
      <c r="AV90" s="7313"/>
      <c r="AW90" s="7314"/>
      <c r="AX90" s="7315"/>
      <c r="AY90" s="7316"/>
      <c r="AZ90" s="7317"/>
      <c r="BA90" s="7318" t="s">
        <v>993</v>
      </c>
      <c r="BB90" s="7319"/>
      <c r="BC90" s="7320"/>
      <c r="BD90" s="7321"/>
      <c r="BE90" s="7322"/>
      <c r="BF90" s="7323"/>
      <c r="BG90" s="7324"/>
      <c r="BH90" s="7325"/>
      <c r="BI90" s="7326"/>
      <c r="BJ90" s="7327"/>
      <c r="BK90" s="7328"/>
      <c r="BL90" s="7329"/>
      <c r="BM90" s="7330"/>
      <c r="BN90" s="7331"/>
      <c r="BO90" s="7332"/>
      <c r="BP90" s="7333"/>
      <c r="BQ90" s="7334"/>
      <c r="BR90" s="7335"/>
      <c r="BS90" s="7336"/>
      <c r="BT90" s="7337"/>
      <c r="BU90" s="7338"/>
      <c r="BV90" s="7339" t="s">
        <v>995</v>
      </c>
      <c r="BW90" s="7340"/>
      <c r="BX90" s="7341"/>
      <c r="BY90" s="7342" t="s">
        <v>993</v>
      </c>
      <c r="BZ90" s="7343"/>
      <c r="CA90" s="7344"/>
      <c r="CB90" s="7345"/>
      <c r="CC90" s="7346"/>
      <c r="CD90" s="7347"/>
      <c r="CE90" s="7348"/>
      <c r="CF90" s="7349"/>
      <c r="CG90" s="7350"/>
      <c r="CH90" s="7351"/>
      <c r="CI90" s="7352"/>
      <c r="CJ90" s="7353"/>
      <c r="CK90" s="7354"/>
      <c r="CL90" s="7355"/>
      <c r="CM90" s="7356"/>
      <c r="CN90" s="7357"/>
      <c r="CO90" s="7358"/>
      <c r="CP90" s="7359"/>
    </row>
    <row r="91" spans="1:94">
      <c r="A91" s="7360"/>
      <c r="B91" s="7361"/>
      <c r="C91" s="7362"/>
      <c r="D91" s="7363"/>
      <c r="E91" s="7364"/>
      <c r="F91" s="7365"/>
      <c r="G91" s="7366"/>
      <c r="H91" s="7367"/>
      <c r="I91" s="7368"/>
      <c r="J91" s="7369"/>
      <c r="K91" s="7370"/>
      <c r="L91" s="7371"/>
      <c r="M91" s="7372"/>
      <c r="N91" s="7373"/>
      <c r="O91" s="7014"/>
      <c r="P91" s="7374"/>
      <c r="Q91" s="7375"/>
      <c r="R91" s="7376"/>
      <c r="S91" s="7377" t="s">
        <v>995</v>
      </c>
      <c r="T91" s="7378"/>
      <c r="U91" s="7379"/>
      <c r="V91" s="6156"/>
      <c r="W91" s="7380"/>
      <c r="X91" s="7381"/>
      <c r="Y91" s="7382"/>
      <c r="Z91" s="7383"/>
      <c r="AA91" s="7384"/>
      <c r="AB91" s="7385"/>
      <c r="AC91" s="7386"/>
      <c r="AD91" s="7387"/>
      <c r="AE91" s="6060"/>
      <c r="AF91" s="7388"/>
      <c r="AG91" s="7389"/>
      <c r="AH91" s="7390"/>
      <c r="AI91" s="7391"/>
      <c r="AJ91" s="7392"/>
      <c r="AK91" s="7393"/>
      <c r="AL91" s="7394"/>
      <c r="AM91" s="7395"/>
      <c r="AN91" s="7396"/>
      <c r="AO91" s="7397"/>
      <c r="AP91" s="7398"/>
      <c r="AQ91" s="7399"/>
      <c r="AR91" s="7400"/>
      <c r="AS91" s="7401"/>
      <c r="AT91" s="7402"/>
      <c r="AU91" s="7403"/>
      <c r="AV91" s="7404"/>
      <c r="AW91" s="7405"/>
      <c r="AX91" s="7406"/>
      <c r="AY91" s="7407"/>
      <c r="AZ91" s="7408"/>
      <c r="BA91" s="7409" t="s">
        <v>993</v>
      </c>
      <c r="BB91" s="7410"/>
      <c r="BC91" s="7411"/>
      <c r="BD91" s="7412"/>
      <c r="BE91" s="7413"/>
      <c r="BF91" s="7414"/>
      <c r="BG91" s="7415"/>
      <c r="BH91" s="7416"/>
      <c r="BI91" s="7417"/>
      <c r="BJ91" s="7418"/>
      <c r="BK91" s="7419"/>
      <c r="BL91" s="7420"/>
      <c r="BM91" s="7421"/>
      <c r="BN91" s="7422"/>
      <c r="BO91" s="7423"/>
      <c r="BP91" s="7424"/>
      <c r="BQ91" s="7425"/>
      <c r="BR91" s="7426"/>
      <c r="BS91" s="7427"/>
      <c r="BT91" s="7428"/>
      <c r="BU91" s="7429"/>
      <c r="BV91" s="7430" t="s">
        <v>995</v>
      </c>
      <c r="BW91" s="7431"/>
      <c r="BX91" s="7432"/>
      <c r="BY91" s="7433" t="s">
        <v>993</v>
      </c>
      <c r="BZ91" s="7434"/>
      <c r="CA91" s="7435"/>
      <c r="CB91" s="7436"/>
      <c r="CC91" s="7437"/>
      <c r="CD91" s="7438"/>
      <c r="CE91" s="7439"/>
      <c r="CF91" s="7440"/>
      <c r="CG91" s="7441"/>
      <c r="CH91" s="7442"/>
      <c r="CI91" s="7443"/>
      <c r="CJ91" s="7081"/>
      <c r="CK91" s="7444"/>
      <c r="CL91" s="7445"/>
      <c r="CM91" s="7446"/>
      <c r="CN91" s="7447"/>
      <c r="CO91" s="7172"/>
      <c r="CP91" s="7448"/>
    </row>
    <row r="92" spans="1:94" ht="16.5" thickBot="1">
      <c r="A92" s="7449"/>
      <c r="B92" s="7450"/>
      <c r="C92" s="7451"/>
      <c r="D92" s="7452"/>
      <c r="E92" s="7453"/>
      <c r="F92" s="7454"/>
      <c r="G92" s="7455"/>
      <c r="H92" s="7456"/>
      <c r="I92" s="7457"/>
      <c r="J92" s="7458"/>
      <c r="K92" s="7459"/>
      <c r="L92" s="7460"/>
      <c r="M92" s="7461"/>
      <c r="N92" s="6650"/>
      <c r="O92" s="7462"/>
      <c r="P92" s="7013"/>
      <c r="Q92" s="7463"/>
      <c r="R92" s="7464"/>
      <c r="S92" s="7465" t="s">
        <v>995</v>
      </c>
      <c r="T92" s="7466"/>
      <c r="U92" s="7467"/>
      <c r="V92" s="7468"/>
      <c r="W92" s="6557"/>
      <c r="X92" s="7469"/>
      <c r="Y92" s="6557"/>
      <c r="Z92" s="6508"/>
      <c r="AA92" s="7470"/>
      <c r="AB92" s="7471"/>
      <c r="AC92" s="7472"/>
      <c r="AD92" s="7473"/>
      <c r="AE92" s="7474"/>
      <c r="AF92" s="7475"/>
      <c r="AG92" s="7476"/>
      <c r="AH92" s="7477"/>
      <c r="AI92" s="7478"/>
      <c r="AJ92" s="7479"/>
      <c r="AK92" s="7480"/>
      <c r="AL92" s="7481"/>
      <c r="AM92" s="7482"/>
      <c r="AN92" s="7483"/>
      <c r="AO92" s="7484"/>
      <c r="AP92" s="7485"/>
      <c r="AQ92" s="7486"/>
      <c r="AR92" s="7487"/>
      <c r="AS92" s="7488"/>
      <c r="AT92" s="7489"/>
      <c r="AU92" s="7490"/>
      <c r="AV92" s="7491"/>
      <c r="AW92" s="7492"/>
      <c r="AX92" s="7493"/>
      <c r="AY92" s="7494"/>
      <c r="AZ92" s="7495"/>
      <c r="BA92" s="7496" t="s">
        <v>993</v>
      </c>
      <c r="BB92" s="7497"/>
      <c r="BC92" s="7498"/>
      <c r="BD92" s="7499"/>
      <c r="BE92" s="7500"/>
      <c r="BF92" s="7501"/>
      <c r="BG92" s="7502"/>
      <c r="BH92" s="7503"/>
      <c r="BI92" s="7504"/>
      <c r="BJ92" s="7505"/>
      <c r="BK92" s="7506"/>
      <c r="BL92" s="7507"/>
      <c r="BM92" s="7508"/>
      <c r="BN92" s="7509"/>
      <c r="BO92" s="7510"/>
      <c r="BP92" s="7511"/>
      <c r="BQ92" s="7512"/>
      <c r="BR92" s="7513"/>
      <c r="BS92" s="7514"/>
      <c r="BT92" s="7515"/>
      <c r="BU92" s="7516"/>
      <c r="BV92" s="10573">
        <f>SUM(BV93:CA97)</f>
        <v>131</v>
      </c>
      <c r="BW92" s="7517"/>
      <c r="BX92" s="7518"/>
      <c r="BY92" s="7519" t="s">
        <v>993</v>
      </c>
      <c r="BZ92" s="7520"/>
      <c r="CA92" s="7521"/>
      <c r="CB92" s="7522"/>
      <c r="CC92" s="7523"/>
      <c r="CD92" s="7524"/>
      <c r="CE92" s="7525"/>
      <c r="CF92" s="7526"/>
      <c r="CG92" s="7527"/>
      <c r="CH92" s="7528"/>
      <c r="CI92" s="7529"/>
      <c r="CJ92" s="7530"/>
      <c r="CK92" s="7531"/>
      <c r="CL92" s="7532"/>
      <c r="CM92" s="7533"/>
      <c r="CN92" s="7534"/>
      <c r="CO92" s="7535"/>
      <c r="CP92" s="7536"/>
    </row>
    <row r="93" spans="1:94">
      <c r="A93" s="7537"/>
      <c r="B93" s="7538"/>
      <c r="C93" s="7539"/>
      <c r="D93" s="7540"/>
      <c r="E93" s="7541"/>
      <c r="F93" s="7542"/>
      <c r="G93" s="7543"/>
      <c r="H93" s="7544"/>
      <c r="I93" s="7545"/>
      <c r="J93" s="7546"/>
      <c r="K93" s="7547"/>
      <c r="L93" s="7548"/>
      <c r="M93" s="7549"/>
      <c r="N93" s="7550"/>
      <c r="O93" s="7551"/>
      <c r="P93" s="7552"/>
      <c r="Q93" s="7553"/>
      <c r="R93" s="7554"/>
      <c r="S93" s="7555" t="s">
        <v>995</v>
      </c>
      <c r="T93" s="7556"/>
      <c r="U93" s="7557"/>
      <c r="V93" s="7558"/>
      <c r="W93" s="7559"/>
      <c r="X93" s="7560"/>
      <c r="Y93" s="7561"/>
      <c r="Z93" s="7562"/>
      <c r="AA93" s="7563"/>
      <c r="AB93" s="6243"/>
      <c r="AC93" s="7564"/>
      <c r="AD93" s="7565"/>
      <c r="AE93" s="7566"/>
      <c r="AF93" s="7567"/>
      <c r="AG93" s="7568"/>
      <c r="AH93" s="7569"/>
      <c r="AI93" s="7570"/>
      <c r="AJ93" s="7571"/>
      <c r="AK93" s="7572"/>
      <c r="AL93" s="7573"/>
      <c r="AM93" s="7574"/>
      <c r="AN93" s="7575"/>
      <c r="AO93" s="7576"/>
      <c r="AP93" s="7577"/>
      <c r="AQ93" s="7578"/>
      <c r="AR93" s="7579"/>
      <c r="AS93" s="7580"/>
      <c r="AT93" s="7581"/>
      <c r="AU93" s="7582"/>
      <c r="AV93" s="7583"/>
      <c r="AW93" s="7584"/>
      <c r="AX93" s="7585"/>
      <c r="AY93" s="7586"/>
      <c r="AZ93" s="7587"/>
      <c r="BA93" s="7588" t="s">
        <v>993</v>
      </c>
      <c r="BB93" s="7589"/>
      <c r="BC93" s="7590"/>
      <c r="BD93" s="7591"/>
      <c r="BE93" s="7592"/>
      <c r="BF93" s="7593"/>
      <c r="BG93" s="7594"/>
      <c r="BH93" s="7595"/>
      <c r="BI93" s="7596"/>
      <c r="BJ93" s="7597"/>
      <c r="BK93" s="7598"/>
      <c r="BL93" s="7599"/>
      <c r="BM93" s="7600"/>
      <c r="BN93" s="7601"/>
      <c r="BO93" s="7602"/>
      <c r="BP93" s="7603"/>
      <c r="BQ93" s="7604"/>
      <c r="BR93" s="7605"/>
      <c r="BS93" s="7606"/>
      <c r="BT93" s="7607"/>
      <c r="BU93" s="7608"/>
      <c r="BV93" s="10574">
        <v>7</v>
      </c>
      <c r="BW93" s="10575">
        <v>3</v>
      </c>
      <c r="BX93" s="10576">
        <v>7</v>
      </c>
      <c r="BY93" s="10575">
        <v>3</v>
      </c>
      <c r="BZ93" s="10575">
        <v>3</v>
      </c>
      <c r="CA93" s="10577">
        <v>2</v>
      </c>
      <c r="CB93" s="7609"/>
      <c r="CC93" s="7610"/>
      <c r="CD93" s="7611"/>
      <c r="CE93" s="7612"/>
      <c r="CF93" s="7613"/>
      <c r="CG93" s="7614"/>
      <c r="CH93" s="7615"/>
      <c r="CI93" s="7616"/>
      <c r="CJ93" s="7617"/>
      <c r="CK93" s="7618"/>
      <c r="CL93" s="7447"/>
      <c r="CM93" s="7619"/>
      <c r="CN93" s="7620"/>
      <c r="CO93" s="7446"/>
      <c r="CP93" s="7621"/>
    </row>
    <row r="94" spans="1:94">
      <c r="A94" s="7622"/>
      <c r="B94" s="7623"/>
      <c r="C94" s="7624"/>
      <c r="D94" s="7625"/>
      <c r="E94" s="7626"/>
      <c r="F94" s="7627"/>
      <c r="G94" s="7628"/>
      <c r="H94" s="7629"/>
      <c r="I94" s="7630"/>
      <c r="J94" s="7631"/>
      <c r="K94" s="7632"/>
      <c r="L94" s="7633"/>
      <c r="M94" s="7634"/>
      <c r="N94" s="7635"/>
      <c r="O94" s="7636"/>
      <c r="P94" s="7637"/>
      <c r="Q94" s="7638"/>
      <c r="R94" s="7639"/>
      <c r="S94" s="7640" t="s">
        <v>995</v>
      </c>
      <c r="T94" s="7641"/>
      <c r="U94" s="7642"/>
      <c r="V94" s="7643"/>
      <c r="W94" s="6453"/>
      <c r="X94" s="7644"/>
      <c r="Y94" s="6557"/>
      <c r="Z94" s="6466"/>
      <c r="AA94" s="7645"/>
      <c r="AB94" s="7646"/>
      <c r="AC94" s="7647"/>
      <c r="AD94" s="7648"/>
      <c r="AE94" s="7649"/>
      <c r="AF94" s="7650"/>
      <c r="AG94" s="7651"/>
      <c r="AH94" s="7652"/>
      <c r="AI94" s="7653"/>
      <c r="AJ94" s="7654"/>
      <c r="AK94" s="7655"/>
      <c r="AL94" s="7656"/>
      <c r="AM94" s="7657"/>
      <c r="AN94" s="7658"/>
      <c r="AO94" s="7659"/>
      <c r="AP94" s="7660"/>
      <c r="AQ94" s="7661"/>
      <c r="AR94" s="7662"/>
      <c r="AS94" s="7663"/>
      <c r="AT94" s="7664"/>
      <c r="AU94" s="7665"/>
      <c r="AV94" s="7666"/>
      <c r="AW94" s="7667"/>
      <c r="AX94" s="7668"/>
      <c r="AY94" s="7669"/>
      <c r="AZ94" s="7670"/>
      <c r="BA94" s="7671" t="s">
        <v>993</v>
      </c>
      <c r="BB94" s="7672"/>
      <c r="BC94" s="7673"/>
      <c r="BD94" s="7674"/>
      <c r="BE94" s="7675"/>
      <c r="BF94" s="7676"/>
      <c r="BG94" s="7677"/>
      <c r="BH94" s="7678"/>
      <c r="BI94" s="7679"/>
      <c r="BJ94" s="7680"/>
      <c r="BK94" s="7681"/>
      <c r="BL94" s="7682"/>
      <c r="BM94" s="7683"/>
      <c r="BN94" s="6886"/>
      <c r="BO94" s="7684"/>
      <c r="BP94" s="7685"/>
      <c r="BQ94" s="7686"/>
      <c r="BR94" s="7687"/>
      <c r="BS94" s="7688"/>
      <c r="BT94" s="7689"/>
      <c r="BU94" s="7690"/>
      <c r="BV94" s="10578">
        <v>4</v>
      </c>
      <c r="BW94" s="7521">
        <v>3</v>
      </c>
      <c r="BX94" s="10579">
        <v>7</v>
      </c>
      <c r="BY94" s="7691">
        <v>7</v>
      </c>
      <c r="BZ94" s="10580">
        <v>3</v>
      </c>
      <c r="CA94" s="10581">
        <v>7</v>
      </c>
      <c r="CB94" s="7521"/>
      <c r="CC94" s="7692"/>
      <c r="CD94" s="7693"/>
      <c r="CE94" s="7694"/>
      <c r="CF94" s="7695"/>
      <c r="CG94" s="7696"/>
      <c r="CH94" s="7697"/>
      <c r="CI94" s="7698"/>
      <c r="CJ94" s="7699"/>
      <c r="CK94" s="7700"/>
      <c r="CL94" s="7701"/>
      <c r="CM94" s="7702"/>
      <c r="CN94" s="7703"/>
      <c r="CO94" s="7704"/>
      <c r="CP94" s="7705"/>
    </row>
    <row r="95" spans="1:94">
      <c r="A95" s="7706"/>
      <c r="B95" s="7707"/>
      <c r="C95" s="7708"/>
      <c r="D95" s="7709"/>
      <c r="E95" s="7710"/>
      <c r="F95" s="7711"/>
      <c r="G95" s="7712"/>
      <c r="H95" s="6742"/>
      <c r="I95" s="7713"/>
      <c r="J95" s="7714"/>
      <c r="K95" s="7715"/>
      <c r="L95" s="7716"/>
      <c r="M95" s="7717"/>
      <c r="N95" s="7718"/>
      <c r="O95" s="6925"/>
      <c r="P95" s="7719"/>
      <c r="Q95" s="7720"/>
      <c r="R95" s="7721"/>
      <c r="S95" s="7722" t="s">
        <v>995</v>
      </c>
      <c r="T95" s="7723"/>
      <c r="U95" s="7724"/>
      <c r="V95" s="7725"/>
      <c r="W95" s="7726"/>
      <c r="X95" s="7727"/>
      <c r="Y95" s="7728"/>
      <c r="Z95" s="7729"/>
      <c r="AA95" s="7730"/>
      <c r="AB95" s="7731"/>
      <c r="AC95" s="7732"/>
      <c r="AD95" s="7733"/>
      <c r="AE95" s="7734"/>
      <c r="AF95" s="7735"/>
      <c r="AG95" s="7736"/>
      <c r="AH95" s="7737"/>
      <c r="AI95" s="7738"/>
      <c r="AJ95" s="7739"/>
      <c r="AK95" s="7740"/>
      <c r="AL95" s="7741"/>
      <c r="AM95" s="7742"/>
      <c r="AN95" s="7743"/>
      <c r="AO95" s="7744"/>
      <c r="AP95" s="7745"/>
      <c r="AQ95" s="7746"/>
      <c r="AR95" s="7747"/>
      <c r="AS95" s="7748"/>
      <c r="AT95" s="7749"/>
      <c r="AU95" s="7750"/>
      <c r="AV95" s="7751"/>
      <c r="AW95" s="7752"/>
      <c r="AX95" s="7753"/>
      <c r="AY95" s="7754"/>
      <c r="AZ95" s="7755"/>
      <c r="BA95" s="7756" t="s">
        <v>993</v>
      </c>
      <c r="BB95" s="7757"/>
      <c r="BC95" s="7758"/>
      <c r="BD95" s="7759"/>
      <c r="BE95" s="7760"/>
      <c r="BF95" s="7761"/>
      <c r="BG95" s="7762"/>
      <c r="BH95" s="7763"/>
      <c r="BI95" s="7764"/>
      <c r="BJ95" s="7765"/>
      <c r="BK95" s="7766"/>
      <c r="BL95" s="7767"/>
      <c r="BM95" s="7768"/>
      <c r="BN95" s="7769"/>
      <c r="BO95" s="7770"/>
      <c r="BP95" s="7771"/>
      <c r="BQ95" s="7772"/>
      <c r="BR95" s="7773"/>
      <c r="BS95" s="7774"/>
      <c r="BT95" s="7775"/>
      <c r="BU95" s="7776"/>
      <c r="BV95" s="10582">
        <v>3</v>
      </c>
      <c r="BW95" s="10583">
        <v>3</v>
      </c>
      <c r="BX95" s="7521">
        <v>3</v>
      </c>
      <c r="BY95" s="7521">
        <v>3</v>
      </c>
      <c r="BZ95" s="10584">
        <v>4</v>
      </c>
      <c r="CA95" s="10585">
        <v>3</v>
      </c>
      <c r="CB95" s="7777"/>
      <c r="CC95" s="7778"/>
      <c r="CD95" s="7779"/>
      <c r="CE95" s="7780"/>
      <c r="CF95" s="7781"/>
      <c r="CG95" s="7782"/>
      <c r="CH95" s="7783"/>
      <c r="CI95" s="7784"/>
      <c r="CJ95" s="7785"/>
      <c r="CK95" s="7786"/>
      <c r="CL95" s="7787"/>
      <c r="CM95" s="7788"/>
      <c r="CN95" s="7789"/>
      <c r="CO95" s="7790"/>
      <c r="CP95" s="7786"/>
    </row>
    <row r="96" spans="1:94">
      <c r="A96" s="7791"/>
      <c r="B96" s="7792"/>
      <c r="C96" s="7793"/>
      <c r="D96" s="7794"/>
      <c r="E96" s="7795"/>
      <c r="F96" s="7796"/>
      <c r="G96" s="7797"/>
      <c r="H96" s="7798"/>
      <c r="I96" s="7799"/>
      <c r="J96" s="7800"/>
      <c r="K96" s="7622"/>
      <c r="L96" s="7801"/>
      <c r="M96" s="7802"/>
      <c r="N96" s="7803"/>
      <c r="O96" s="7804"/>
      <c r="P96" s="7805"/>
      <c r="Q96" s="7806"/>
      <c r="R96" s="7807"/>
      <c r="S96" s="7808" t="s">
        <v>995</v>
      </c>
      <c r="T96" s="7809"/>
      <c r="U96" s="7810"/>
      <c r="V96" s="7811"/>
      <c r="W96" s="7812"/>
      <c r="X96" s="7813"/>
      <c r="Y96" s="7814"/>
      <c r="Z96" s="7815"/>
      <c r="AA96" s="7816"/>
      <c r="AB96" s="7817"/>
      <c r="AC96" s="7818"/>
      <c r="AD96" s="7819"/>
      <c r="AE96" s="7820"/>
      <c r="AF96" s="7821"/>
      <c r="AG96" s="7822"/>
      <c r="AH96" s="7823"/>
      <c r="AI96" s="7824"/>
      <c r="AJ96" s="7825"/>
      <c r="AK96" s="7826"/>
      <c r="AL96" s="7827"/>
      <c r="AM96" s="7828"/>
      <c r="AN96" s="7829"/>
      <c r="AO96" s="7740"/>
      <c r="AP96" s="7830"/>
      <c r="AQ96" s="7831"/>
      <c r="AR96" s="7832"/>
      <c r="AS96" s="7833"/>
      <c r="AT96" s="6712"/>
      <c r="AU96" s="7834"/>
      <c r="AV96" s="7835"/>
      <c r="AW96" s="7836"/>
      <c r="AX96" s="7837"/>
      <c r="AY96" s="7838"/>
      <c r="AZ96" s="7839"/>
      <c r="BA96" s="7840" t="s">
        <v>993</v>
      </c>
      <c r="BB96" s="7841"/>
      <c r="BC96" s="7842"/>
      <c r="BD96" s="7843"/>
      <c r="BE96" s="7844"/>
      <c r="BF96" s="7845"/>
      <c r="BG96" s="7846"/>
      <c r="BH96" s="7847"/>
      <c r="BI96" s="7848"/>
      <c r="BJ96" s="7849"/>
      <c r="BK96" s="7850"/>
      <c r="BL96" s="7851"/>
      <c r="BM96" s="7852"/>
      <c r="BN96" s="7853"/>
      <c r="BO96" s="7854"/>
      <c r="BP96" s="7855"/>
      <c r="BQ96" s="7856"/>
      <c r="BR96" s="7857"/>
      <c r="BS96" s="7858"/>
      <c r="BT96" s="7859"/>
      <c r="BU96" s="7860"/>
      <c r="BV96" s="10586">
        <v>5</v>
      </c>
      <c r="BW96" s="10587">
        <v>3</v>
      </c>
      <c r="BX96" s="7521">
        <v>3</v>
      </c>
      <c r="BY96" s="10588">
        <v>0</v>
      </c>
      <c r="BZ96" s="7521">
        <v>3</v>
      </c>
      <c r="CA96" s="10589">
        <v>8</v>
      </c>
      <c r="CB96" s="7861"/>
      <c r="CC96" s="7862"/>
      <c r="CD96" s="7863"/>
      <c r="CE96" s="7864"/>
      <c r="CF96" s="7865"/>
      <c r="CG96" s="7866"/>
      <c r="CH96" s="7867"/>
      <c r="CI96" s="7868"/>
      <c r="CJ96" s="7869"/>
      <c r="CK96" s="7870"/>
      <c r="CL96" s="7871"/>
      <c r="CM96" s="7619"/>
      <c r="CN96" s="7703"/>
      <c r="CO96" s="7872"/>
      <c r="CP96" s="7873"/>
    </row>
    <row r="97" spans="1:94" ht="16.5" thickBot="1">
      <c r="A97" s="7874"/>
      <c r="B97" s="7875"/>
      <c r="C97" s="7876"/>
      <c r="D97" s="7877"/>
      <c r="E97" s="7878"/>
      <c r="F97" s="7879"/>
      <c r="G97" s="7880"/>
      <c r="H97" s="7881"/>
      <c r="I97" s="7882"/>
      <c r="J97" s="7883"/>
      <c r="K97" s="7884"/>
      <c r="L97" s="7885"/>
      <c r="M97" s="7886"/>
      <c r="N97" s="7887"/>
      <c r="O97" s="7888"/>
      <c r="P97" s="7889"/>
      <c r="Q97" s="7890"/>
      <c r="R97" s="7891"/>
      <c r="S97" s="7892" t="s">
        <v>995</v>
      </c>
      <c r="T97" s="7893"/>
      <c r="U97" s="7894"/>
      <c r="V97" s="7895"/>
      <c r="W97" s="7896"/>
      <c r="X97" s="7897"/>
      <c r="Y97" s="7898"/>
      <c r="Z97" s="7899"/>
      <c r="AA97" s="7900"/>
      <c r="AB97" s="7901"/>
      <c r="AC97" s="7902"/>
      <c r="AD97" s="7903"/>
      <c r="AE97" s="7904"/>
      <c r="AF97" s="7905"/>
      <c r="AG97" s="7906"/>
      <c r="AH97" s="7907"/>
      <c r="AI97" s="7847"/>
      <c r="AJ97" s="7908"/>
      <c r="AK97" s="7909"/>
      <c r="AL97" s="7910"/>
      <c r="AM97" s="7911"/>
      <c r="AN97" s="7912"/>
      <c r="AO97" s="7577"/>
      <c r="AP97" s="7913"/>
      <c r="AQ97" s="7914"/>
      <c r="AR97" s="7915"/>
      <c r="AS97" s="7916"/>
      <c r="AT97" s="7917"/>
      <c r="AU97" s="7918"/>
      <c r="AV97" s="7919"/>
      <c r="AW97" s="7920"/>
      <c r="AX97" s="7921"/>
      <c r="AY97" s="7922"/>
      <c r="AZ97" s="7923"/>
      <c r="BA97" s="7924" t="s">
        <v>993</v>
      </c>
      <c r="BB97" s="7925"/>
      <c r="BC97" s="7926"/>
      <c r="BD97" s="7927"/>
      <c r="BE97" s="7928"/>
      <c r="BF97" s="7929"/>
      <c r="BG97" s="7930"/>
      <c r="BH97" s="7931"/>
      <c r="BI97" s="7932"/>
      <c r="BJ97" s="7933"/>
      <c r="BK97" s="7934"/>
      <c r="BL97" s="7935"/>
      <c r="BM97" s="7936"/>
      <c r="BN97" s="7937"/>
      <c r="BO97" s="7704"/>
      <c r="BP97" s="7938"/>
      <c r="BQ97" s="7939"/>
      <c r="BR97" s="7940"/>
      <c r="BS97" s="7941"/>
      <c r="BT97" s="7942"/>
      <c r="BU97" s="7943"/>
      <c r="BV97" s="10590">
        <v>8</v>
      </c>
      <c r="BW97" s="10591">
        <v>3</v>
      </c>
      <c r="BX97" s="10592">
        <v>6</v>
      </c>
      <c r="BY97" s="10591">
        <v>3</v>
      </c>
      <c r="BZ97" s="10591">
        <v>6</v>
      </c>
      <c r="CA97" s="10593">
        <v>8</v>
      </c>
      <c r="CB97" s="7944"/>
      <c r="CC97" s="7945"/>
      <c r="CD97" s="7946"/>
      <c r="CE97" s="7947"/>
      <c r="CF97" s="7948"/>
      <c r="CG97" s="7949"/>
      <c r="CH97" s="7950"/>
      <c r="CI97" s="7951"/>
      <c r="CJ97" s="7952"/>
      <c r="CK97" s="7953"/>
      <c r="CL97" s="7954"/>
      <c r="CM97" s="7873"/>
      <c r="CN97" s="7955"/>
      <c r="CO97" s="7956"/>
      <c r="CP97" s="7957"/>
    </row>
    <row r="98" spans="1:94">
      <c r="A98" s="7958"/>
      <c r="B98" s="7959"/>
      <c r="C98" s="7960"/>
      <c r="D98" s="7961"/>
      <c r="E98" s="7962"/>
      <c r="F98" s="7963"/>
      <c r="G98" s="7964"/>
      <c r="H98" s="7965"/>
      <c r="I98" s="7966"/>
      <c r="J98" s="7967"/>
      <c r="K98" s="7968"/>
      <c r="L98" s="7969"/>
      <c r="M98" s="7970"/>
      <c r="N98" s="7971"/>
      <c r="O98" s="7972"/>
      <c r="P98" s="7973"/>
      <c r="Q98" s="7974"/>
      <c r="R98" s="7975"/>
      <c r="S98" s="7976" t="s">
        <v>995</v>
      </c>
      <c r="T98" s="7977"/>
      <c r="U98" s="7978"/>
      <c r="V98" s="7979"/>
      <c r="W98" s="7980"/>
      <c r="X98" s="7981"/>
      <c r="Y98" s="7982"/>
      <c r="Z98" s="7983"/>
      <c r="AA98" s="7984"/>
      <c r="AB98" s="7985"/>
      <c r="AC98" s="7986"/>
      <c r="AD98" s="7987"/>
      <c r="AE98" s="7988"/>
      <c r="AF98" s="7989"/>
      <c r="AG98" s="7990"/>
      <c r="AH98" s="7991"/>
      <c r="AI98" s="7992"/>
      <c r="AJ98" s="7993"/>
      <c r="AK98" s="7994"/>
      <c r="AL98" s="7995"/>
      <c r="AM98" s="7996"/>
      <c r="AN98" s="7997"/>
      <c r="AO98" s="7998"/>
      <c r="AP98" s="7403"/>
      <c r="AQ98" s="7999"/>
      <c r="AR98" s="8000"/>
      <c r="AS98" s="8001"/>
      <c r="AT98" s="8002"/>
      <c r="AU98" s="8003"/>
      <c r="AV98" s="8004"/>
      <c r="AW98" s="8005"/>
      <c r="AX98" s="8006"/>
      <c r="AY98" s="8007"/>
      <c r="AZ98" s="8008"/>
      <c r="BA98" s="8009" t="s">
        <v>993</v>
      </c>
      <c r="BB98" s="8010"/>
      <c r="BC98" s="8011"/>
      <c r="BD98" s="8012"/>
      <c r="BE98" s="8013"/>
      <c r="BF98" s="8014"/>
      <c r="BG98" s="8015"/>
      <c r="BH98" s="8016"/>
      <c r="BI98" s="8017"/>
      <c r="BJ98" s="8018"/>
      <c r="BK98" s="8019"/>
      <c r="BL98" s="8020"/>
      <c r="BM98" s="8021"/>
      <c r="BN98" s="8022"/>
      <c r="BO98" s="8023"/>
      <c r="BP98" s="8024"/>
      <c r="BQ98" s="8025"/>
      <c r="BR98" s="8026"/>
      <c r="BS98" s="8027"/>
      <c r="BT98" s="8028"/>
      <c r="BU98" s="7776"/>
      <c r="BV98" s="8029"/>
      <c r="BW98" s="8030"/>
      <c r="BX98" s="8031"/>
      <c r="BY98" s="8032"/>
      <c r="BZ98" s="7691"/>
      <c r="CA98" s="8033"/>
      <c r="CB98" s="8034"/>
      <c r="CC98" s="8035"/>
      <c r="CD98" s="8036"/>
      <c r="CE98" s="8037"/>
      <c r="CF98" s="8038"/>
      <c r="CG98" s="8039"/>
      <c r="CH98" s="8040"/>
      <c r="CI98" s="8041"/>
      <c r="CJ98" s="8042"/>
      <c r="CK98" s="8043"/>
      <c r="CL98" s="8044"/>
      <c r="CM98" s="7534"/>
      <c r="CN98" s="8045"/>
      <c r="CO98" s="8046"/>
      <c r="CP98" s="8047"/>
    </row>
    <row r="99" spans="1:94">
      <c r="A99" s="8048"/>
      <c r="B99" s="8049"/>
      <c r="C99" s="8050"/>
      <c r="D99" s="7959"/>
      <c r="E99" s="8051"/>
      <c r="F99" s="8052"/>
      <c r="G99" s="8053"/>
      <c r="H99" s="8054"/>
      <c r="I99" s="8055"/>
      <c r="J99" s="8056"/>
      <c r="K99" s="8057"/>
      <c r="L99" s="8058"/>
      <c r="M99" s="8059"/>
      <c r="N99" s="8060"/>
      <c r="O99" s="8061"/>
      <c r="P99" s="8062"/>
      <c r="Q99" s="8063"/>
      <c r="R99" s="8064"/>
      <c r="S99" s="8065" t="s">
        <v>995</v>
      </c>
      <c r="T99" s="8066"/>
      <c r="U99" s="8067"/>
      <c r="V99" s="8068"/>
      <c r="W99" s="8069"/>
      <c r="X99" s="7200"/>
      <c r="Y99" s="6759"/>
      <c r="Z99" s="8070"/>
      <c r="AA99" s="8071"/>
      <c r="AB99" s="8072"/>
      <c r="AC99" s="8073"/>
      <c r="AD99" s="8074"/>
      <c r="AE99" s="8075"/>
      <c r="AF99" s="8076"/>
      <c r="AG99" s="8077"/>
      <c r="AH99" s="8078"/>
      <c r="AI99" s="8079"/>
      <c r="AJ99" s="8080"/>
      <c r="AK99" s="8081"/>
      <c r="AL99" s="8082"/>
      <c r="AM99" s="8083"/>
      <c r="AN99" s="8084"/>
      <c r="AO99" s="8085"/>
      <c r="AP99" s="8086"/>
      <c r="AQ99" s="8087"/>
      <c r="AR99" s="8088"/>
      <c r="AS99" s="8089"/>
      <c r="AT99" s="8090"/>
      <c r="AU99" s="8091"/>
      <c r="AV99" s="8092"/>
      <c r="AW99" s="8093"/>
      <c r="AX99" s="8094"/>
      <c r="AY99" s="8095"/>
      <c r="AZ99" s="8096"/>
      <c r="BA99" s="8097" t="s">
        <v>993</v>
      </c>
      <c r="BB99" s="8098"/>
      <c r="BC99" s="8099"/>
      <c r="BD99" s="8100"/>
      <c r="BE99" s="8101"/>
      <c r="BF99" s="8091"/>
      <c r="BG99" s="8102"/>
      <c r="BH99" s="8103"/>
      <c r="BI99" s="8104"/>
      <c r="BJ99" s="8105"/>
      <c r="BK99" s="8106"/>
      <c r="BL99" s="8107"/>
      <c r="BM99" s="8108"/>
      <c r="BN99" s="8109"/>
      <c r="BO99" s="8110"/>
      <c r="BP99" s="8111"/>
      <c r="BQ99" s="8112"/>
      <c r="BR99" s="8113"/>
      <c r="BS99" s="8114"/>
      <c r="BT99" s="8115"/>
      <c r="BU99" s="7780"/>
      <c r="BV99" s="8116"/>
      <c r="BW99" s="8117"/>
      <c r="BX99" s="7941"/>
      <c r="BY99" s="8118"/>
      <c r="BZ99" s="8119"/>
      <c r="CA99" s="8120"/>
      <c r="CB99" s="8121"/>
      <c r="CC99" s="8122"/>
      <c r="CD99" s="8123"/>
      <c r="CE99" s="8124"/>
      <c r="CF99" s="8125"/>
      <c r="CG99" s="8126"/>
      <c r="CH99" s="8127"/>
      <c r="CI99" s="8128"/>
      <c r="CJ99" s="8129"/>
      <c r="CK99" s="8130"/>
      <c r="CL99" s="8131"/>
      <c r="CM99" s="7702"/>
      <c r="CN99" s="7955"/>
      <c r="CO99" s="8132"/>
      <c r="CP99" s="8045"/>
    </row>
    <row r="100" spans="1:94">
      <c r="A100" s="8133"/>
      <c r="B100" s="8134"/>
      <c r="C100" s="8135"/>
      <c r="D100" s="8136"/>
      <c r="E100" s="8137"/>
      <c r="F100" s="8138"/>
      <c r="G100" s="8139"/>
      <c r="H100" s="8140"/>
      <c r="I100" s="8141"/>
      <c r="J100" s="8142"/>
      <c r="K100" s="6424"/>
      <c r="L100" s="8058"/>
      <c r="M100" s="8143"/>
      <c r="N100" s="8144"/>
      <c r="O100" s="8145"/>
      <c r="P100" s="8146"/>
      <c r="Q100" s="8147"/>
      <c r="R100" s="8148"/>
      <c r="S100" s="8149" t="s">
        <v>995</v>
      </c>
      <c r="T100" s="8150"/>
      <c r="U100" s="8151"/>
      <c r="V100" s="8152"/>
      <c r="W100" s="8153"/>
      <c r="X100" s="8154"/>
      <c r="Y100" s="8155"/>
      <c r="Z100" s="8156"/>
      <c r="AA100" s="8157"/>
      <c r="AB100" s="8158"/>
      <c r="AC100" s="8159"/>
      <c r="AD100" s="8160"/>
      <c r="AE100" s="8161"/>
      <c r="AF100" s="8162"/>
      <c r="AG100" s="8163"/>
      <c r="AH100" s="8164"/>
      <c r="AI100" s="8165"/>
      <c r="AJ100" s="8166"/>
      <c r="AK100" s="8167"/>
      <c r="AL100" s="7912"/>
      <c r="AM100" s="7992"/>
      <c r="AN100" s="8168"/>
      <c r="AO100" s="8169"/>
      <c r="AP100" s="8170"/>
      <c r="AQ100" s="8171"/>
      <c r="AR100" s="8172"/>
      <c r="AS100" s="8173"/>
      <c r="AT100" s="8081"/>
      <c r="AU100" s="8174"/>
      <c r="AV100" s="8175"/>
      <c r="AW100" s="8176"/>
      <c r="AX100" s="8177"/>
      <c r="AY100" s="8178"/>
      <c r="AZ100" s="8179"/>
      <c r="BA100" s="8180" t="s">
        <v>993</v>
      </c>
      <c r="BB100" s="8181"/>
      <c r="BC100" s="8182"/>
      <c r="BD100" s="8183"/>
      <c r="BE100" s="8015"/>
      <c r="BF100" s="8184"/>
      <c r="BG100" s="8185"/>
      <c r="BH100" s="8186"/>
      <c r="BI100" s="8187"/>
      <c r="BJ100" s="8188"/>
      <c r="BK100" s="8189"/>
      <c r="BL100" s="8190"/>
      <c r="BM100" s="8191"/>
      <c r="BN100" s="8013"/>
      <c r="BO100" s="8192"/>
      <c r="BP100" s="8193"/>
      <c r="BQ100" s="8194"/>
      <c r="BR100" s="8195"/>
      <c r="BS100" s="8196"/>
      <c r="BT100" s="8197"/>
      <c r="BU100" s="7776"/>
      <c r="BV100" s="8198"/>
      <c r="BW100" s="8199"/>
      <c r="BX100" s="8200"/>
      <c r="BY100" s="8201"/>
      <c r="BZ100" s="8202"/>
      <c r="CA100" s="8203"/>
      <c r="CB100" s="8204"/>
      <c r="CC100" s="8205"/>
      <c r="CD100" s="8206"/>
      <c r="CE100" s="8207"/>
      <c r="CF100" s="8208"/>
      <c r="CG100" s="8209"/>
      <c r="CH100" s="8210"/>
      <c r="CI100" s="8211"/>
      <c r="CJ100" s="7954"/>
      <c r="CK100" s="8212"/>
      <c r="CL100" s="7702"/>
      <c r="CM100" s="8213"/>
      <c r="CN100" s="7620"/>
      <c r="CO100" s="8214"/>
      <c r="CP100" s="8215"/>
    </row>
    <row r="101" spans="1:94">
      <c r="A101" s="8216"/>
      <c r="B101" s="8217"/>
      <c r="C101" s="7886"/>
      <c r="D101" s="8218"/>
      <c r="E101" s="8219"/>
      <c r="F101" s="8220"/>
      <c r="G101" s="8221"/>
      <c r="H101" s="8222"/>
      <c r="I101" s="8223"/>
      <c r="J101" s="8224"/>
      <c r="K101" s="8225"/>
      <c r="L101" s="8225"/>
      <c r="M101" s="8226"/>
      <c r="N101" s="8143"/>
      <c r="O101" s="8227"/>
      <c r="P101" s="7885"/>
      <c r="Q101" s="8228"/>
      <c r="R101" s="8229"/>
      <c r="S101" s="8230" t="s">
        <v>995</v>
      </c>
      <c r="T101" s="8231"/>
      <c r="U101" s="8232"/>
      <c r="V101" s="6818"/>
      <c r="W101" s="8233"/>
      <c r="X101" s="8234"/>
      <c r="Y101" s="8235"/>
      <c r="Z101" s="8236"/>
      <c r="AA101" s="6584"/>
      <c r="AB101" s="8237"/>
      <c r="AC101" s="8238"/>
      <c r="AD101" s="8239"/>
      <c r="AE101" s="8240"/>
      <c r="AF101" s="8241"/>
      <c r="AG101" s="8242"/>
      <c r="AH101" s="8243"/>
      <c r="AI101" s="8244"/>
      <c r="AJ101" s="8245"/>
      <c r="AK101" s="8246"/>
      <c r="AL101" s="8247"/>
      <c r="AM101" s="8248"/>
      <c r="AN101" s="7992"/>
      <c r="AO101" s="6893"/>
      <c r="AP101" s="8101"/>
      <c r="AQ101" s="8249"/>
      <c r="AR101" s="8250"/>
      <c r="AS101" s="8251"/>
      <c r="AT101" s="8252"/>
      <c r="AU101" s="8253"/>
      <c r="AV101" s="8254"/>
      <c r="AW101" s="8255"/>
      <c r="AX101" s="8256"/>
      <c r="AY101" s="8257"/>
      <c r="AZ101" s="8258"/>
      <c r="BA101" s="8259" t="s">
        <v>993</v>
      </c>
      <c r="BB101" s="8260"/>
      <c r="BC101" s="8261"/>
      <c r="BD101" s="8262"/>
      <c r="BE101" s="7655"/>
      <c r="BF101" s="8263"/>
      <c r="BG101" s="8264"/>
      <c r="BH101" s="8265"/>
      <c r="BI101" s="8266"/>
      <c r="BJ101" s="8267"/>
      <c r="BK101" s="8268"/>
      <c r="BL101" s="8269"/>
      <c r="BM101" s="8270"/>
      <c r="BN101" s="8271"/>
      <c r="BO101" s="7583"/>
      <c r="BP101" s="8272"/>
      <c r="BQ101" s="8273"/>
      <c r="BR101" s="8274"/>
      <c r="BS101" s="8275"/>
      <c r="BT101" s="8276"/>
      <c r="BU101" s="8277"/>
      <c r="BV101" s="8278"/>
      <c r="BW101" s="8279"/>
      <c r="BX101" s="8280"/>
      <c r="BY101" s="8281"/>
      <c r="BZ101" s="8282"/>
      <c r="CA101" s="8283"/>
      <c r="CB101" s="8284"/>
      <c r="CC101" s="8285"/>
      <c r="CD101" s="8286"/>
      <c r="CE101" s="8287"/>
      <c r="CF101" s="8288"/>
      <c r="CG101" s="8289"/>
      <c r="CH101" s="8290"/>
      <c r="CI101" s="7702"/>
      <c r="CJ101" s="8291"/>
      <c r="CK101" s="8292"/>
      <c r="CL101" s="8293"/>
      <c r="CM101" s="8294"/>
      <c r="CN101" s="7619"/>
      <c r="CO101" s="8295"/>
      <c r="CP101" s="8296"/>
    </row>
    <row r="102" spans="1:94">
      <c r="A102" s="8297"/>
      <c r="B102" s="8298"/>
      <c r="C102" s="8299"/>
      <c r="D102" s="8300"/>
      <c r="E102" s="7959"/>
      <c r="F102" s="8301"/>
      <c r="G102" s="8302"/>
      <c r="H102" s="8303"/>
      <c r="I102" s="8304"/>
      <c r="J102" s="8305"/>
      <c r="K102" s="8145"/>
      <c r="L102" s="7881"/>
      <c r="M102" s="8306"/>
      <c r="N102" s="8307"/>
      <c r="O102" s="8057"/>
      <c r="P102" s="8308"/>
      <c r="Q102" s="8309"/>
      <c r="R102" s="8310"/>
      <c r="S102" s="8311" t="s">
        <v>995</v>
      </c>
      <c r="T102" s="8312"/>
      <c r="U102" s="8313"/>
      <c r="V102" s="8314"/>
      <c r="W102" s="8315"/>
      <c r="X102" s="8316"/>
      <c r="Y102" s="8317"/>
      <c r="Z102" s="8318"/>
      <c r="AA102" s="8319"/>
      <c r="AB102" s="8320"/>
      <c r="AC102" s="8321"/>
      <c r="AD102" s="8322"/>
      <c r="AE102" s="8323"/>
      <c r="AF102" s="8324"/>
      <c r="AG102" s="8325"/>
      <c r="AH102" s="8326"/>
      <c r="AI102" s="8327"/>
      <c r="AJ102" s="8328"/>
      <c r="AK102" s="8329"/>
      <c r="AL102" s="8330"/>
      <c r="AM102" s="8331"/>
      <c r="AN102" s="8332"/>
      <c r="AO102" s="8333"/>
      <c r="AP102" s="8334"/>
      <c r="AQ102" s="8335"/>
      <c r="AR102" s="8336"/>
      <c r="AS102" s="8337"/>
      <c r="AT102" s="8338"/>
      <c r="AU102" s="8339"/>
      <c r="AV102" s="8340"/>
      <c r="AW102" s="8341"/>
      <c r="AX102" s="8342"/>
      <c r="AY102" s="8343"/>
      <c r="AZ102" s="8344"/>
      <c r="BA102" s="8345" t="s">
        <v>993</v>
      </c>
      <c r="BB102" s="8346"/>
      <c r="BC102" s="8347"/>
      <c r="BD102" s="7584"/>
      <c r="BE102" s="7743"/>
      <c r="BF102" s="8348"/>
      <c r="BG102" s="7827"/>
      <c r="BH102" s="8175"/>
      <c r="BI102" s="8257"/>
      <c r="BJ102" s="8349"/>
      <c r="BK102" s="8350"/>
      <c r="BL102" s="8351"/>
      <c r="BM102" s="8352"/>
      <c r="BN102" s="8353"/>
      <c r="BO102" s="8354"/>
      <c r="BP102" s="8355"/>
      <c r="BQ102" s="8356"/>
      <c r="BR102" s="8357"/>
      <c r="BS102" s="8358"/>
      <c r="BT102" s="8359"/>
      <c r="BU102" s="8360"/>
      <c r="BV102" s="8361"/>
      <c r="BW102" s="8362"/>
      <c r="BX102" s="8363"/>
      <c r="BY102" s="8364"/>
      <c r="BZ102" s="8365"/>
      <c r="CA102" s="8366"/>
      <c r="CB102" s="8367"/>
      <c r="CC102" s="8368"/>
      <c r="CD102" s="8369"/>
      <c r="CE102" s="7448"/>
      <c r="CF102" s="8370"/>
      <c r="CG102" s="7790"/>
      <c r="CH102" s="8371"/>
      <c r="CI102" s="7954"/>
      <c r="CJ102" s="8372"/>
      <c r="CK102" s="8373"/>
      <c r="CL102" s="8374"/>
      <c r="CM102" s="8132"/>
      <c r="CN102" s="8375"/>
      <c r="CO102" s="8374"/>
      <c r="CP102" s="7955"/>
    </row>
    <row r="103" spans="1:94">
      <c r="A103" s="8376"/>
      <c r="B103" s="8377"/>
      <c r="C103" s="8378"/>
      <c r="D103" s="8379"/>
      <c r="E103" s="8380"/>
      <c r="F103" s="8381"/>
      <c r="G103" s="8382"/>
      <c r="H103" s="8383"/>
      <c r="I103" s="8384"/>
      <c r="J103" s="8385"/>
      <c r="K103" s="8386"/>
      <c r="L103" s="8387"/>
      <c r="M103" s="8388"/>
      <c r="N103" s="8144"/>
      <c r="O103" s="8057"/>
      <c r="P103" s="8389"/>
      <c r="Q103" s="8390"/>
      <c r="R103" s="8391"/>
      <c r="S103" s="8392" t="s">
        <v>995</v>
      </c>
      <c r="T103" s="8393"/>
      <c r="U103" s="8394"/>
      <c r="V103" s="8395"/>
      <c r="W103" s="8396"/>
      <c r="X103" s="8397"/>
      <c r="Y103" s="8398"/>
      <c r="Z103" s="7290"/>
      <c r="AA103" s="8399"/>
      <c r="AB103" s="8400"/>
      <c r="AC103" s="8401"/>
      <c r="AD103" s="8402"/>
      <c r="AE103" s="8403"/>
      <c r="AF103" s="8404"/>
      <c r="AG103" s="8405"/>
      <c r="AH103" s="8406"/>
      <c r="AI103" s="8407"/>
      <c r="AJ103" s="8408"/>
      <c r="AK103" s="8409"/>
      <c r="AL103" s="8410"/>
      <c r="AM103" s="8411"/>
      <c r="AN103" s="8412"/>
      <c r="AO103" s="8413"/>
      <c r="AP103" s="8414"/>
      <c r="AQ103" s="8415"/>
      <c r="AR103" s="8416"/>
      <c r="AS103" s="8417"/>
      <c r="AT103" s="8418"/>
      <c r="AU103" s="8419"/>
      <c r="AV103" s="8420"/>
      <c r="AW103" s="8421"/>
      <c r="AX103" s="8422"/>
      <c r="AY103" s="8423"/>
      <c r="AZ103" s="8424"/>
      <c r="BA103" s="8425" t="s">
        <v>993</v>
      </c>
      <c r="BB103" s="8426"/>
      <c r="BC103" s="8427"/>
      <c r="BD103" s="8428"/>
      <c r="BE103" s="7577"/>
      <c r="BF103" s="8429"/>
      <c r="BG103" s="8348"/>
      <c r="BH103" s="8341"/>
      <c r="BI103" s="8430"/>
      <c r="BJ103" s="8431"/>
      <c r="BK103" s="8432"/>
      <c r="BL103" s="8433"/>
      <c r="BM103" s="8434"/>
      <c r="BN103" s="7080"/>
      <c r="BO103" s="8435"/>
      <c r="BP103" s="8436"/>
      <c r="BQ103" s="8437"/>
      <c r="BR103" s="8438"/>
      <c r="BS103" s="8439"/>
      <c r="BT103" s="8440"/>
      <c r="BU103" s="8441"/>
      <c r="BV103" s="8442"/>
      <c r="BW103" s="8443"/>
      <c r="BX103" s="8444"/>
      <c r="BY103" s="8445"/>
      <c r="BZ103" s="8446"/>
      <c r="CA103" s="8447"/>
      <c r="CB103" s="8448"/>
      <c r="CC103" s="8449"/>
      <c r="CD103" s="8450"/>
      <c r="CE103" s="8451"/>
      <c r="CF103" s="8452"/>
      <c r="CG103" s="8452"/>
      <c r="CH103" s="8453"/>
      <c r="CI103" s="8454"/>
      <c r="CJ103" s="8455"/>
      <c r="CK103" s="8456"/>
      <c r="CL103" s="8457"/>
      <c r="CM103" s="8458"/>
      <c r="CN103" s="7789"/>
      <c r="CO103" s="7534"/>
      <c r="CP103" s="8459"/>
    </row>
    <row r="104" spans="1:94">
      <c r="A104" s="8460"/>
      <c r="B104" s="8461"/>
      <c r="C104" s="8462"/>
      <c r="D104" s="8463"/>
      <c r="E104" s="8464"/>
      <c r="F104" s="8465"/>
      <c r="G104" s="8466"/>
      <c r="H104" s="8467"/>
      <c r="I104" s="8468"/>
      <c r="J104" s="8469"/>
      <c r="K104" s="8470"/>
      <c r="L104" s="8304"/>
      <c r="M104" s="8471"/>
      <c r="N104" s="8472"/>
      <c r="O104" s="8057"/>
      <c r="P104" s="8473"/>
      <c r="Q104" s="8474"/>
      <c r="R104" s="8475"/>
      <c r="S104" s="8476" t="s">
        <v>995</v>
      </c>
      <c r="T104" s="8477"/>
      <c r="U104" s="8478"/>
      <c r="V104" s="8479"/>
      <c r="W104" s="8480"/>
      <c r="X104" s="8481"/>
      <c r="Y104" s="8482"/>
      <c r="Z104" s="8483"/>
      <c r="AA104" s="8484"/>
      <c r="AB104" s="8485"/>
      <c r="AC104" s="8486"/>
      <c r="AD104" s="8487"/>
      <c r="AE104" s="8488"/>
      <c r="AF104" s="8489"/>
      <c r="AG104" s="6327"/>
      <c r="AH104" s="8318"/>
      <c r="AI104" s="8490"/>
      <c r="AJ104" s="8491"/>
      <c r="AK104" s="8492"/>
      <c r="AL104" s="8493"/>
      <c r="AM104" s="8494"/>
      <c r="AN104" s="8495"/>
      <c r="AO104" s="8496"/>
      <c r="AP104" s="8497"/>
      <c r="AQ104" s="8498"/>
      <c r="AR104" s="8499"/>
      <c r="AS104" s="8500"/>
      <c r="AT104" s="8129"/>
      <c r="AU104" s="8501"/>
      <c r="AV104" s="8502"/>
      <c r="AW104" s="8094"/>
      <c r="AX104" s="6796"/>
      <c r="AY104" s="8503"/>
      <c r="AZ104" s="8504"/>
      <c r="BA104" s="8505" t="s">
        <v>993</v>
      </c>
      <c r="BB104" s="8506"/>
      <c r="BC104" s="8507"/>
      <c r="BD104" s="6900"/>
      <c r="BE104" s="7743"/>
      <c r="BF104" s="7743"/>
      <c r="BG104" s="8508"/>
      <c r="BH104" s="8509"/>
      <c r="BI104" s="8510"/>
      <c r="BJ104" s="8511"/>
      <c r="BK104" s="8512"/>
      <c r="BL104" s="8513"/>
      <c r="BM104" s="8514"/>
      <c r="BN104" s="8515"/>
      <c r="BO104" s="7659"/>
      <c r="BP104" s="7659"/>
      <c r="BQ104" s="8516"/>
      <c r="BR104" s="7172"/>
      <c r="BS104" s="8517"/>
      <c r="BT104" s="8518"/>
      <c r="BU104" s="8519"/>
      <c r="BV104" s="8520"/>
      <c r="BW104" s="8521"/>
      <c r="BX104" s="8522"/>
      <c r="BY104" s="8523"/>
      <c r="BZ104" s="8524"/>
      <c r="CA104" s="8525"/>
      <c r="CB104" s="8526"/>
      <c r="CC104" s="8527"/>
      <c r="CD104" s="8528"/>
      <c r="CE104" s="8529"/>
      <c r="CF104" s="7870"/>
      <c r="CG104" s="8211"/>
      <c r="CH104" s="8530"/>
      <c r="CI104" s="8531"/>
      <c r="CJ104" s="8532"/>
      <c r="CK104" s="8533"/>
      <c r="CL104" s="8534"/>
      <c r="CM104" s="8130"/>
      <c r="CN104" s="7534"/>
      <c r="CO104" s="7703"/>
      <c r="CP104" s="8535"/>
    </row>
    <row r="105" spans="1:94">
      <c r="A105" s="8536"/>
      <c r="B105" s="7553"/>
      <c r="C105" s="8537"/>
      <c r="D105" s="8538"/>
      <c r="E105" s="8539"/>
      <c r="F105" s="8540"/>
      <c r="G105" s="8541"/>
      <c r="H105" s="8542"/>
      <c r="I105" s="8054"/>
      <c r="J105" s="8543"/>
      <c r="K105" s="8544"/>
      <c r="L105" s="8545"/>
      <c r="M105" s="8546"/>
      <c r="N105" s="8048"/>
      <c r="O105" s="8547"/>
      <c r="P105" s="8548"/>
      <c r="Q105" s="8549"/>
      <c r="R105" s="8550"/>
      <c r="S105" s="8551" t="s">
        <v>995</v>
      </c>
      <c r="T105" s="8552"/>
      <c r="U105" s="8553"/>
      <c r="V105" s="8554"/>
      <c r="W105" s="8555"/>
      <c r="X105" s="8480"/>
      <c r="Y105" s="8556"/>
      <c r="Z105" s="5729"/>
      <c r="AA105" s="8557"/>
      <c r="AB105" s="8558"/>
      <c r="AC105" s="8559"/>
      <c r="AD105" s="8560"/>
      <c r="AE105" s="8561"/>
      <c r="AF105" s="8562"/>
      <c r="AG105" s="8563"/>
      <c r="AH105" s="8564"/>
      <c r="AI105" s="8565"/>
      <c r="AJ105" s="8566"/>
      <c r="AK105" s="8567"/>
      <c r="AL105" s="8568"/>
      <c r="AM105" s="8569"/>
      <c r="AN105" s="8570"/>
      <c r="AO105" s="8571"/>
      <c r="AP105" s="8572"/>
      <c r="AQ105" s="8573"/>
      <c r="AR105" s="8574"/>
      <c r="AS105" s="8575"/>
      <c r="AT105" s="8576"/>
      <c r="AU105" s="8577"/>
      <c r="AV105" s="8578"/>
      <c r="AW105" s="8579"/>
      <c r="AX105" s="8580"/>
      <c r="AY105" s="8581"/>
      <c r="AZ105" s="8582"/>
      <c r="BA105" s="8583" t="s">
        <v>993</v>
      </c>
      <c r="BB105" s="8584"/>
      <c r="BC105" s="8585"/>
      <c r="BD105" s="8586"/>
      <c r="BE105" s="8587"/>
      <c r="BF105" s="8254"/>
      <c r="BG105" s="8588"/>
      <c r="BH105" s="8589"/>
      <c r="BI105" s="8590"/>
      <c r="BJ105" s="8591"/>
      <c r="BK105" s="8592"/>
      <c r="BL105" s="8593"/>
      <c r="BM105" s="8594"/>
      <c r="BN105" s="8595"/>
      <c r="BO105" s="8596"/>
      <c r="BP105" s="8597"/>
      <c r="BQ105" s="8598"/>
      <c r="BR105" s="8599"/>
      <c r="BS105" s="8516"/>
      <c r="BT105" s="8600"/>
      <c r="BU105" s="8601"/>
      <c r="BV105" s="8602"/>
      <c r="BW105" s="8603"/>
      <c r="BX105" s="8604"/>
      <c r="BY105" s="7531"/>
      <c r="BZ105" s="8605"/>
      <c r="CA105" s="8606"/>
      <c r="CB105" s="8607"/>
      <c r="CC105" s="8608"/>
      <c r="CD105" s="8609"/>
      <c r="CE105" s="8529"/>
      <c r="CF105" s="8610"/>
      <c r="CG105" s="8292"/>
      <c r="CH105" s="8611"/>
      <c r="CI105" s="8612"/>
      <c r="CJ105" s="8613"/>
      <c r="CK105" s="8614"/>
      <c r="CL105" s="8615"/>
      <c r="CM105" s="8046"/>
      <c r="CN105" s="8616"/>
      <c r="CO105" s="8617"/>
      <c r="CP105" s="8618"/>
    </row>
    <row r="106" spans="1:94">
      <c r="A106" s="8619"/>
      <c r="B106" s="8620"/>
      <c r="C106" s="8621"/>
      <c r="D106" s="8304"/>
      <c r="E106" s="8622"/>
      <c r="F106" s="8623"/>
      <c r="G106" s="8624"/>
      <c r="H106" s="8625"/>
      <c r="I106" s="8136"/>
      <c r="J106" s="8626"/>
      <c r="K106" s="8216"/>
      <c r="L106" s="8472"/>
      <c r="M106" s="8216"/>
      <c r="N106" s="8627"/>
      <c r="O106" s="8628"/>
      <c r="P106" s="8629"/>
      <c r="Q106" s="8630"/>
      <c r="R106" s="8631"/>
      <c r="S106" s="8632" t="s">
        <v>995</v>
      </c>
      <c r="T106" s="8633"/>
      <c r="U106" s="8634"/>
      <c r="V106" s="8635"/>
      <c r="W106" s="8636"/>
      <c r="X106" s="8637"/>
      <c r="Y106" s="7471"/>
      <c r="Z106" s="8638"/>
      <c r="AA106" s="8639"/>
      <c r="AB106" s="8640"/>
      <c r="AC106" s="8641"/>
      <c r="AD106" s="8642"/>
      <c r="AE106" s="8643"/>
      <c r="AF106" s="8644"/>
      <c r="AG106" s="8645"/>
      <c r="AH106" s="8646"/>
      <c r="AI106" s="8647"/>
      <c r="AJ106" s="6289"/>
      <c r="AK106" s="8648"/>
      <c r="AL106" s="8649"/>
      <c r="AM106" s="8650"/>
      <c r="AN106" s="8651"/>
      <c r="AO106" s="8652"/>
      <c r="AP106" s="8653"/>
      <c r="AQ106" s="8654"/>
      <c r="AR106" s="8655"/>
      <c r="AS106" s="8656"/>
      <c r="AT106" s="8657"/>
      <c r="AU106" s="8658"/>
      <c r="AV106" s="8659"/>
      <c r="AW106" s="8660"/>
      <c r="AX106" s="8661"/>
      <c r="AY106" s="8662"/>
      <c r="AZ106" s="8663"/>
      <c r="BA106" s="8664" t="s">
        <v>993</v>
      </c>
      <c r="BB106" s="8665"/>
      <c r="BC106" s="8666"/>
      <c r="BD106" s="8667"/>
      <c r="BE106" s="8668"/>
      <c r="BF106" s="8669"/>
      <c r="BG106" s="8670"/>
      <c r="BH106" s="8671"/>
      <c r="BI106" s="8672"/>
      <c r="BJ106" s="8673"/>
      <c r="BK106" s="8674"/>
      <c r="BL106" s="8675"/>
      <c r="BM106" s="8676"/>
      <c r="BN106" s="8677"/>
      <c r="BO106" s="8678"/>
      <c r="BP106" s="8679"/>
      <c r="BQ106" s="8680"/>
      <c r="BR106" s="8681"/>
      <c r="BS106" s="8682"/>
      <c r="BT106" s="7573"/>
      <c r="BU106" s="8683"/>
      <c r="BV106" s="8684"/>
      <c r="BW106" s="8685"/>
      <c r="BX106" s="8686"/>
      <c r="BY106" s="8687"/>
      <c r="BZ106" s="8688"/>
      <c r="CA106" s="8689"/>
      <c r="CB106" s="8690"/>
      <c r="CC106" s="8691"/>
      <c r="CD106" s="8692"/>
      <c r="CE106" s="8693"/>
      <c r="CF106" s="8292"/>
      <c r="CG106" s="8694"/>
      <c r="CH106" s="8695"/>
      <c r="CI106" s="8290"/>
      <c r="CJ106" s="8696"/>
      <c r="CK106" s="8697"/>
      <c r="CL106" s="8698"/>
      <c r="CM106" s="8699"/>
      <c r="CN106" s="8532"/>
      <c r="CO106" s="8700"/>
      <c r="CP106" s="8701"/>
    </row>
    <row r="107" spans="1:94">
      <c r="A107" s="8702"/>
      <c r="B107" s="8703"/>
      <c r="C107" s="8704"/>
      <c r="D107" s="8217"/>
      <c r="E107" s="8705"/>
      <c r="F107" s="8706"/>
      <c r="G107" s="8707"/>
      <c r="H107" s="8708"/>
      <c r="I107" s="8709"/>
      <c r="J107" s="8710"/>
      <c r="K107" s="8711"/>
      <c r="L107" s="8712"/>
      <c r="M107" s="8713"/>
      <c r="N107" s="8627"/>
      <c r="O107" s="8714"/>
      <c r="P107" s="8715"/>
      <c r="Q107" s="8716"/>
      <c r="R107" s="8717"/>
      <c r="S107" s="8718" t="s">
        <v>995</v>
      </c>
      <c r="T107" s="8719"/>
      <c r="U107" s="8720"/>
      <c r="V107" s="8721"/>
      <c r="W107" s="8722"/>
      <c r="X107" s="8723"/>
      <c r="Y107" s="8724"/>
      <c r="Z107" s="7471"/>
      <c r="AA107" s="8725"/>
      <c r="AB107" s="8726"/>
      <c r="AC107" s="8727"/>
      <c r="AD107" s="8728"/>
      <c r="AE107" s="8729"/>
      <c r="AF107" s="7198"/>
      <c r="AG107" s="8730"/>
      <c r="AH107" s="8731"/>
      <c r="AI107" s="8732"/>
      <c r="AJ107" s="8733"/>
      <c r="AK107" s="8734"/>
      <c r="AL107" s="8735"/>
      <c r="AM107" s="8736"/>
      <c r="AN107" s="8737"/>
      <c r="AO107" s="8738"/>
      <c r="AP107" s="8739"/>
      <c r="AQ107" s="8740"/>
      <c r="AR107" s="8741"/>
      <c r="AS107" s="8742"/>
      <c r="AT107" s="8743"/>
      <c r="AU107" s="8744"/>
      <c r="AV107" s="8745"/>
      <c r="AW107" s="8746"/>
      <c r="AX107" s="8747"/>
      <c r="AY107" s="8748"/>
      <c r="AZ107" s="8749"/>
      <c r="BA107" s="8750" t="s">
        <v>993</v>
      </c>
      <c r="BB107" s="8751"/>
      <c r="BC107" s="8752"/>
      <c r="BD107" s="8753"/>
      <c r="BE107" s="8754"/>
      <c r="BF107" s="8755"/>
      <c r="BG107" s="8756"/>
      <c r="BH107" s="8757"/>
      <c r="BI107" s="8758"/>
      <c r="BJ107" s="8759"/>
      <c r="BK107" s="8760"/>
      <c r="BL107" s="8761"/>
      <c r="BM107" s="8762"/>
      <c r="BN107" s="8763"/>
      <c r="BO107" s="8764"/>
      <c r="BP107" s="8765"/>
      <c r="BQ107" s="8766"/>
      <c r="BR107" s="8436"/>
      <c r="BS107" s="8767"/>
      <c r="BT107" s="8768"/>
      <c r="BU107" s="8769"/>
      <c r="BV107" s="8770"/>
      <c r="BW107" s="8771"/>
      <c r="BX107" s="8772"/>
      <c r="BY107" s="8773"/>
      <c r="BZ107" s="8774"/>
      <c r="CA107" s="8775"/>
      <c r="CB107" s="8776"/>
      <c r="CC107" s="8777"/>
      <c r="CD107" s="8778"/>
      <c r="CE107" s="8779"/>
      <c r="CF107" s="8780"/>
      <c r="CG107" s="8213"/>
      <c r="CH107" s="8453"/>
      <c r="CI107" s="8534"/>
      <c r="CJ107" s="8781"/>
      <c r="CK107" s="8782"/>
      <c r="CL107" s="8783"/>
      <c r="CM107" s="8456"/>
      <c r="CN107" s="8784"/>
      <c r="CO107" s="8785"/>
      <c r="CP107" s="8786"/>
    </row>
    <row r="108" spans="1:94">
      <c r="A108" s="8787"/>
      <c r="B108" s="8788"/>
      <c r="C108" s="8789"/>
      <c r="D108" s="8790"/>
      <c r="E108" s="8791"/>
      <c r="F108" s="8792"/>
      <c r="G108" s="8793"/>
      <c r="H108" s="8794"/>
      <c r="I108" s="8795"/>
      <c r="J108" s="8796"/>
      <c r="K108" s="8711"/>
      <c r="L108" s="8538"/>
      <c r="M108" s="8797"/>
      <c r="N108" s="8469"/>
      <c r="O108" s="8798"/>
      <c r="P108" s="8799"/>
      <c r="Q108" s="8800" t="s">
        <v>995</v>
      </c>
      <c r="R108" s="8801" t="s">
        <v>996</v>
      </c>
      <c r="S108" s="6472" t="s">
        <v>996</v>
      </c>
      <c r="T108" s="8802"/>
      <c r="U108" s="8803"/>
      <c r="V108" s="8804"/>
      <c r="W108" s="8635"/>
      <c r="X108" s="8805"/>
      <c r="Y108" s="7559"/>
      <c r="Z108" s="8806"/>
      <c r="AA108" s="7727"/>
      <c r="AB108" s="8807"/>
      <c r="AC108" s="8808"/>
      <c r="AD108" s="8388"/>
      <c r="AE108" s="8809"/>
      <c r="AF108" s="8810"/>
      <c r="AG108" s="8811"/>
      <c r="AH108" s="8812"/>
      <c r="AI108" s="8813"/>
      <c r="AJ108" s="8814"/>
      <c r="AK108" s="8815"/>
      <c r="AL108" s="8816"/>
      <c r="AM108" s="8817"/>
      <c r="AN108" s="8735"/>
      <c r="AO108" s="8818"/>
      <c r="AP108" s="8819"/>
      <c r="AQ108" s="8820"/>
      <c r="AR108" s="8821"/>
      <c r="AS108" s="8822"/>
      <c r="AT108" s="8823"/>
      <c r="AU108" s="8824"/>
      <c r="AV108" s="8825"/>
      <c r="AW108" s="8826"/>
      <c r="AX108" s="8827"/>
      <c r="AY108" s="8828"/>
      <c r="AZ108" s="8829"/>
      <c r="BA108" s="8830" t="s">
        <v>993</v>
      </c>
      <c r="BB108" s="8831"/>
      <c r="BC108" s="8832"/>
      <c r="BD108" s="8833"/>
      <c r="BE108" s="8834"/>
      <c r="BF108" s="8835"/>
      <c r="BG108" s="8836"/>
      <c r="BH108" s="8298"/>
      <c r="BI108" s="8837"/>
      <c r="BJ108" s="8838"/>
      <c r="BK108" s="8839"/>
      <c r="BL108" s="8840"/>
      <c r="BM108" s="8841"/>
      <c r="BN108" s="8842"/>
      <c r="BO108" s="8843"/>
      <c r="BP108" s="8844"/>
      <c r="BQ108" s="7485"/>
      <c r="BR108" s="8845"/>
      <c r="BS108" s="8846"/>
      <c r="BT108" s="8847"/>
      <c r="BU108" s="8848"/>
      <c r="BV108" s="8849"/>
      <c r="BW108" s="8850"/>
      <c r="BX108" s="8851"/>
      <c r="BY108" s="8852"/>
      <c r="BZ108" s="8853"/>
      <c r="CA108" s="8854"/>
      <c r="CB108" s="8855"/>
      <c r="CC108" s="8856"/>
      <c r="CD108" s="8857"/>
      <c r="CE108" s="8858"/>
      <c r="CF108" s="8780"/>
      <c r="CG108" s="8043"/>
      <c r="CH108" s="8130"/>
      <c r="CI108" s="8292"/>
      <c r="CJ108" s="8859"/>
      <c r="CK108" s="8860"/>
      <c r="CL108" s="8861"/>
      <c r="CM108" s="8862"/>
      <c r="CN108" s="8699"/>
      <c r="CO108" s="8863"/>
      <c r="CP108" s="8786"/>
    </row>
    <row r="109" spans="1:94">
      <c r="A109" s="8787"/>
      <c r="B109" s="8864"/>
      <c r="C109" s="8865"/>
      <c r="D109" s="8866"/>
      <c r="E109" s="8712"/>
      <c r="F109" s="8867"/>
      <c r="G109" s="8868"/>
      <c r="H109" s="8869"/>
      <c r="I109" s="8467"/>
      <c r="J109" s="8870"/>
      <c r="K109" s="8871"/>
      <c r="L109" s="8872"/>
      <c r="M109" s="8873"/>
      <c r="N109" s="8874"/>
      <c r="O109" s="8875"/>
      <c r="P109" s="8876"/>
      <c r="Q109" s="8877" t="s">
        <v>995</v>
      </c>
      <c r="R109" s="8878"/>
      <c r="S109" s="8879"/>
      <c r="T109" s="8880"/>
      <c r="U109" s="8881"/>
      <c r="V109" s="8882"/>
      <c r="W109" s="8883"/>
      <c r="X109" s="8884"/>
      <c r="Y109" s="8885"/>
      <c r="Z109" s="8886"/>
      <c r="AA109" s="8887"/>
      <c r="AB109" s="8888"/>
      <c r="AC109" s="8889"/>
      <c r="AD109" s="8890"/>
      <c r="AE109" s="8891"/>
      <c r="AF109" s="8892"/>
      <c r="AG109" s="8893"/>
      <c r="AH109" s="8894"/>
      <c r="AI109" s="8895"/>
      <c r="AJ109" s="8896"/>
      <c r="AK109" s="8897"/>
      <c r="AL109" s="8897"/>
      <c r="AM109" s="8898"/>
      <c r="AN109" s="8899"/>
      <c r="AO109" s="8900"/>
      <c r="AP109" s="8901"/>
      <c r="AQ109" s="8902"/>
      <c r="AR109" s="8903"/>
      <c r="AS109" s="8904"/>
      <c r="AT109" s="8905"/>
      <c r="AU109" s="8906"/>
      <c r="AV109" s="8907"/>
      <c r="AW109" s="8908"/>
      <c r="AX109" s="8909"/>
      <c r="AY109" s="8910"/>
      <c r="AZ109" s="8911"/>
      <c r="BA109" s="8912" t="s">
        <v>993</v>
      </c>
      <c r="BB109" s="8913"/>
      <c r="BC109" s="8914"/>
      <c r="BD109" s="8915"/>
      <c r="BE109" s="8916"/>
      <c r="BF109" s="8917"/>
      <c r="BG109" s="8918"/>
      <c r="BH109" s="8919"/>
      <c r="BI109" s="8920"/>
      <c r="BJ109" s="8921"/>
      <c r="BK109" s="8922"/>
      <c r="BL109" s="8923"/>
      <c r="BM109" s="8924"/>
      <c r="BN109" s="8925"/>
      <c r="BO109" s="8926"/>
      <c r="BP109" s="8927"/>
      <c r="BQ109" s="8436"/>
      <c r="BR109" s="8928"/>
      <c r="BS109" s="7846"/>
      <c r="BT109" s="8929"/>
      <c r="BU109" s="8930"/>
      <c r="BV109" s="8931"/>
      <c r="BW109" s="8932"/>
      <c r="BX109" s="8933"/>
      <c r="BY109" s="8934"/>
      <c r="BZ109" s="8774"/>
      <c r="CA109" s="8935"/>
      <c r="CB109" s="8936"/>
      <c r="CC109" s="8937"/>
      <c r="CD109" s="8938"/>
      <c r="CE109" s="8939"/>
      <c r="CF109" s="8940"/>
      <c r="CG109" s="8941"/>
      <c r="CH109" s="8292"/>
      <c r="CI109" s="8454"/>
      <c r="CJ109" s="8942"/>
      <c r="CK109" s="8859"/>
      <c r="CL109" s="8943"/>
      <c r="CM109" s="8944"/>
      <c r="CN109" s="8945"/>
      <c r="CO109" s="8946"/>
      <c r="CP109" s="8947"/>
    </row>
    <row r="110" spans="1:94">
      <c r="A110" s="8948"/>
      <c r="B110" s="8949"/>
      <c r="C110" s="8950"/>
      <c r="D110" s="8951"/>
      <c r="E110" s="8952"/>
      <c r="F110" s="8953"/>
      <c r="G110" s="8954"/>
      <c r="H110" s="8955"/>
      <c r="I110" s="8956"/>
      <c r="J110" s="8957"/>
      <c r="K110" s="8300"/>
      <c r="L110" s="8872"/>
      <c r="M110" s="8300"/>
      <c r="N110" s="8958"/>
      <c r="O110" s="8959"/>
      <c r="P110" s="8960"/>
      <c r="Q110" s="8961" t="s">
        <v>995</v>
      </c>
      <c r="R110" s="8962"/>
      <c r="S110" s="8963"/>
      <c r="T110" s="8964"/>
      <c r="U110" s="8965"/>
      <c r="V110" s="8966"/>
      <c r="W110" s="8967"/>
      <c r="X110" s="8968"/>
      <c r="Y110" s="8969"/>
      <c r="Z110" s="8970"/>
      <c r="AA110" s="8805"/>
      <c r="AB110" s="8971"/>
      <c r="AC110" s="8972"/>
      <c r="AD110" s="6625"/>
      <c r="AE110" s="8973"/>
      <c r="AF110" s="8974"/>
      <c r="AG110" s="8975"/>
      <c r="AH110" s="8976"/>
      <c r="AI110" s="8836"/>
      <c r="AJ110" s="8480"/>
      <c r="AK110" s="8977"/>
      <c r="AL110" s="8978"/>
      <c r="AM110" s="8979"/>
      <c r="AN110" s="8980"/>
      <c r="AO110" s="6417"/>
      <c r="AP110" s="8981"/>
      <c r="AQ110" s="8982"/>
      <c r="AR110" s="8983"/>
      <c r="AS110" s="8984"/>
      <c r="AT110" s="8985"/>
      <c r="AU110" s="8986"/>
      <c r="AV110" s="8908"/>
      <c r="AW110" s="8987"/>
      <c r="AX110" s="8988"/>
      <c r="AY110" s="8989"/>
      <c r="AZ110" s="8990"/>
      <c r="BA110" s="8991" t="s">
        <v>993</v>
      </c>
      <c r="BB110" s="8992"/>
      <c r="BC110" s="8993"/>
      <c r="BD110" s="8994"/>
      <c r="BE110" s="8995"/>
      <c r="BF110" s="8996"/>
      <c r="BG110" s="8997"/>
      <c r="BH110" s="8998"/>
      <c r="BI110" s="8999"/>
      <c r="BJ110" s="9000"/>
      <c r="BK110" s="9001"/>
      <c r="BL110" s="9002"/>
      <c r="BM110" s="9003"/>
      <c r="BN110" s="9004"/>
      <c r="BO110" s="9005"/>
      <c r="BP110" s="9006"/>
      <c r="BQ110" s="9007"/>
      <c r="BR110" s="9008"/>
      <c r="BS110" s="9009"/>
      <c r="BT110" s="9010"/>
      <c r="BU110" s="9011"/>
      <c r="BV110" s="9012"/>
      <c r="BW110" s="9013"/>
      <c r="BX110" s="9014"/>
      <c r="BY110" s="9015"/>
      <c r="BZ110" s="9016"/>
      <c r="CA110" s="6878"/>
      <c r="CB110" s="9017"/>
      <c r="CC110" s="9018"/>
      <c r="CD110" s="9019"/>
      <c r="CE110" s="9020"/>
      <c r="CF110" s="9021"/>
      <c r="CG110" s="9022"/>
      <c r="CH110" s="9023"/>
      <c r="CI110" s="9024"/>
      <c r="CJ110" s="7448"/>
      <c r="CK110" s="8942"/>
      <c r="CL110" s="9025"/>
      <c r="CM110" s="8944"/>
      <c r="CN110" s="8944"/>
      <c r="CO110" s="9026"/>
      <c r="CP110" s="9027"/>
    </row>
    <row r="111" spans="1:94">
      <c r="A111" s="9028"/>
      <c r="B111" s="9029"/>
      <c r="C111" s="9030"/>
      <c r="D111" s="8957"/>
      <c r="E111" s="9031"/>
      <c r="F111" s="9032"/>
      <c r="G111" s="9033"/>
      <c r="H111" s="9034"/>
      <c r="I111" s="9035"/>
      <c r="J111" s="8538"/>
      <c r="K111" s="9036"/>
      <c r="L111" s="8463"/>
      <c r="M111" s="8870"/>
      <c r="N111" s="9037"/>
      <c r="O111" s="9038"/>
      <c r="P111" s="9039"/>
      <c r="Q111" s="9040" t="s">
        <v>995</v>
      </c>
      <c r="R111" s="9041"/>
      <c r="S111" s="9042"/>
      <c r="T111" s="9043"/>
      <c r="U111" s="9044"/>
      <c r="V111" s="9045"/>
      <c r="W111" s="9046"/>
      <c r="X111" s="9047"/>
      <c r="Y111" s="9048"/>
      <c r="Z111" s="9049"/>
      <c r="AA111" s="8480"/>
      <c r="AB111" s="9050"/>
      <c r="AC111" s="8555"/>
      <c r="AD111" s="9051"/>
      <c r="AE111" s="9052"/>
      <c r="AF111" s="9051"/>
      <c r="AG111" s="9053"/>
      <c r="AH111" s="9054"/>
      <c r="AI111" s="8315"/>
      <c r="AJ111" s="9055"/>
      <c r="AK111" s="9056"/>
      <c r="AL111" s="9057"/>
      <c r="AM111" s="8836"/>
      <c r="AN111" s="8732"/>
      <c r="AO111" s="6508"/>
      <c r="AP111" s="9058"/>
      <c r="AQ111" s="9059"/>
      <c r="AR111" s="9060"/>
      <c r="AS111" s="9061"/>
      <c r="AT111" s="9062"/>
      <c r="AU111" s="9063"/>
      <c r="AV111" s="9064"/>
      <c r="AW111" s="9065"/>
      <c r="AX111" s="9066"/>
      <c r="AY111" s="9067"/>
      <c r="AZ111" s="9068"/>
      <c r="BA111" s="9069" t="s">
        <v>993</v>
      </c>
      <c r="BB111" s="9070"/>
      <c r="BC111" s="9071"/>
      <c r="BD111" s="9072"/>
      <c r="BE111" s="9073"/>
      <c r="BF111" s="9074"/>
      <c r="BG111" s="9075"/>
      <c r="BH111" s="9076"/>
      <c r="BI111" s="9077"/>
      <c r="BJ111" s="9078"/>
      <c r="BK111" s="9079"/>
      <c r="BL111" s="9080"/>
      <c r="BM111" s="9081"/>
      <c r="BN111" s="9082"/>
      <c r="BO111" s="9083"/>
      <c r="BP111" s="9084"/>
      <c r="BQ111" s="9085"/>
      <c r="BR111" s="9086"/>
      <c r="BS111" s="9087"/>
      <c r="BT111" s="7831"/>
      <c r="BU111" s="9088"/>
      <c r="BV111" s="9089"/>
      <c r="BW111" s="9090"/>
      <c r="BX111" s="9091"/>
      <c r="BY111" s="9092"/>
      <c r="BZ111" s="9093"/>
      <c r="CA111" s="9094"/>
      <c r="CB111" s="9095"/>
      <c r="CC111" s="9096"/>
      <c r="CD111" s="9097"/>
      <c r="CE111" s="9098"/>
      <c r="CF111" s="9099"/>
      <c r="CG111" s="9100"/>
      <c r="CH111" s="8860"/>
      <c r="CI111" s="9101"/>
      <c r="CJ111" s="9024"/>
      <c r="CK111" s="9102"/>
      <c r="CL111" s="9103"/>
      <c r="CM111" s="8944"/>
      <c r="CN111" s="8944"/>
      <c r="CO111" s="9104"/>
      <c r="CP111" s="9026"/>
    </row>
    <row r="112" spans="1:94">
      <c r="A112" s="9105"/>
      <c r="B112" s="9106"/>
      <c r="C112" s="9107"/>
      <c r="D112" s="9108"/>
      <c r="E112" s="8462"/>
      <c r="F112" s="9109"/>
      <c r="G112" s="9110"/>
      <c r="H112" s="9111"/>
      <c r="I112" s="9112"/>
      <c r="J112" s="9113"/>
      <c r="K112" s="8708"/>
      <c r="L112" s="9114"/>
      <c r="M112" s="8952"/>
      <c r="N112" s="9115"/>
      <c r="O112" s="9116"/>
      <c r="P112" s="9117"/>
      <c r="Q112" s="9118" t="s">
        <v>995</v>
      </c>
      <c r="R112" s="9119"/>
      <c r="S112" s="9120"/>
      <c r="T112" s="9121"/>
      <c r="U112" s="9122"/>
      <c r="V112" s="9123"/>
      <c r="W112" s="9124"/>
      <c r="X112" s="9125"/>
      <c r="Y112" s="9126"/>
      <c r="Z112" s="8907"/>
      <c r="AA112" s="9053"/>
      <c r="AB112" s="9127"/>
      <c r="AC112" s="9128"/>
      <c r="AD112" s="6244"/>
      <c r="AE112" s="9129"/>
      <c r="AF112" s="9130"/>
      <c r="AG112" s="9131"/>
      <c r="AH112" s="9132"/>
      <c r="AI112" s="8975"/>
      <c r="AJ112" s="8746"/>
      <c r="AK112" s="9133"/>
      <c r="AL112" s="8970"/>
      <c r="AM112" s="9134"/>
      <c r="AN112" s="8974"/>
      <c r="AO112" s="9135"/>
      <c r="AP112" s="9136"/>
      <c r="AQ112" s="9137"/>
      <c r="AR112" s="9138"/>
      <c r="AS112" s="9139"/>
      <c r="AT112" s="9140"/>
      <c r="AU112" s="9063"/>
      <c r="AV112" s="9141"/>
      <c r="AW112" s="9142"/>
      <c r="AX112" s="9143"/>
      <c r="AY112" s="9144"/>
      <c r="AZ112" s="9145"/>
      <c r="BA112" s="9146" t="s">
        <v>993</v>
      </c>
      <c r="BB112" s="9147"/>
      <c r="BC112" s="9148"/>
      <c r="BD112" s="9149"/>
      <c r="BE112" s="9073"/>
      <c r="BF112" s="9150"/>
      <c r="BG112" s="9151"/>
      <c r="BH112" s="9152"/>
      <c r="BI112" s="9153"/>
      <c r="BJ112" s="9154"/>
      <c r="BK112" s="9155"/>
      <c r="BL112" s="9156"/>
      <c r="BM112" s="9157"/>
      <c r="BN112" s="9158"/>
      <c r="BO112" s="9159"/>
      <c r="BP112" s="9160"/>
      <c r="BQ112" s="9161"/>
      <c r="BR112" s="9162"/>
      <c r="BS112" s="9163"/>
      <c r="BT112" s="9164"/>
      <c r="BU112" s="9165"/>
      <c r="BV112" s="9166"/>
      <c r="BW112" s="9167"/>
      <c r="BX112" s="9168"/>
      <c r="BY112" s="9169"/>
      <c r="BZ112" s="9170"/>
      <c r="CA112" s="9171"/>
      <c r="CB112" s="9172"/>
      <c r="CC112" s="9173"/>
      <c r="CD112" s="9174"/>
      <c r="CE112" s="9175"/>
      <c r="CF112" s="9022"/>
      <c r="CG112" s="9176"/>
      <c r="CH112" s="9177"/>
      <c r="CI112" s="8860"/>
      <c r="CJ112" s="8942"/>
      <c r="CK112" s="8699"/>
      <c r="CL112" s="9178"/>
      <c r="CM112" s="8944"/>
      <c r="CN112" s="9179"/>
      <c r="CO112" s="9179"/>
      <c r="CP112" s="9180"/>
    </row>
    <row r="113" spans="1:94">
      <c r="A113" s="9181"/>
      <c r="B113" s="9029"/>
      <c r="C113" s="9182"/>
      <c r="D113" s="9183"/>
      <c r="E113" s="8712"/>
      <c r="F113" s="9184"/>
      <c r="G113" s="9185"/>
      <c r="H113" s="9186"/>
      <c r="I113" s="9187"/>
      <c r="J113" s="9188"/>
      <c r="K113" s="9189"/>
      <c r="L113" s="9190"/>
      <c r="M113" s="9191"/>
      <c r="N113" s="9192"/>
      <c r="O113" s="9193"/>
      <c r="P113" s="9194"/>
      <c r="Q113" s="9195" t="s">
        <v>995</v>
      </c>
      <c r="R113" s="9196"/>
      <c r="S113" s="9197"/>
      <c r="T113" s="9198"/>
      <c r="U113" s="9199"/>
      <c r="V113" s="9200"/>
      <c r="W113" s="9201"/>
      <c r="X113" s="9202"/>
      <c r="Y113" s="8471"/>
      <c r="Z113" s="9203"/>
      <c r="AA113" s="9204"/>
      <c r="AB113" s="9205"/>
      <c r="AC113" s="9206"/>
      <c r="AD113" s="9054"/>
      <c r="AE113" s="9207"/>
      <c r="AF113" s="9208"/>
      <c r="AG113" s="8997"/>
      <c r="AH113" s="8824"/>
      <c r="AI113" s="8824"/>
      <c r="AJ113" s="9209"/>
      <c r="AK113" s="9210"/>
      <c r="AL113" s="9048"/>
      <c r="AM113" s="9211"/>
      <c r="AN113" s="9212"/>
      <c r="AO113" s="8971"/>
      <c r="AP113" s="9213"/>
      <c r="AQ113" s="9214"/>
      <c r="AR113" s="9215"/>
      <c r="AS113" s="9216"/>
      <c r="AT113" s="9217"/>
      <c r="AU113" s="9218"/>
      <c r="AV113" s="9123"/>
      <c r="AW113" s="8798"/>
      <c r="AX113" s="9219"/>
      <c r="AY113" s="9220"/>
      <c r="AZ113" s="9221"/>
      <c r="BA113" s="9222" t="s">
        <v>993</v>
      </c>
      <c r="BB113" s="9223"/>
      <c r="BC113" s="9224"/>
      <c r="BD113" s="9225"/>
      <c r="BE113" s="9226"/>
      <c r="BF113" s="9227"/>
      <c r="BG113" s="9228"/>
      <c r="BH113" s="9229"/>
      <c r="BI113" s="9230"/>
      <c r="BJ113" s="9231"/>
      <c r="BK113" s="9232"/>
      <c r="BL113" s="9233"/>
      <c r="BM113" s="9234"/>
      <c r="BN113" s="9235"/>
      <c r="BO113" s="9236"/>
      <c r="BP113" s="9237"/>
      <c r="BQ113" s="9238"/>
      <c r="BR113" s="9239"/>
      <c r="BS113" s="9240"/>
      <c r="BT113" s="9241"/>
      <c r="BU113" s="9242"/>
      <c r="BV113" s="9243"/>
      <c r="BW113" s="9244"/>
      <c r="BX113" s="9245"/>
      <c r="BY113" s="9246"/>
      <c r="BZ113" s="9247"/>
      <c r="CA113" s="9248"/>
      <c r="CB113" s="9249"/>
      <c r="CC113" s="9250"/>
      <c r="CD113" s="9251"/>
      <c r="CE113" s="9252"/>
      <c r="CF113" s="9253"/>
      <c r="CG113" s="8534"/>
      <c r="CH113" s="7619"/>
      <c r="CI113" s="9254"/>
      <c r="CJ113" s="8453"/>
      <c r="CK113" s="9255"/>
      <c r="CL113" s="8616"/>
      <c r="CM113" s="9256"/>
      <c r="CN113" s="8942"/>
      <c r="CO113" s="9256"/>
      <c r="CP113" s="9025"/>
    </row>
    <row r="114" spans="1:94">
      <c r="A114" s="9045"/>
      <c r="B114" s="9030"/>
      <c r="C114" s="8711"/>
      <c r="D114" s="9257"/>
      <c r="E114" s="9258"/>
      <c r="F114" s="9202"/>
      <c r="G114" s="9259"/>
      <c r="H114" s="9260"/>
      <c r="I114" s="9261"/>
      <c r="J114" s="9064"/>
      <c r="K114" s="9262"/>
      <c r="L114" s="8788"/>
      <c r="M114" s="7874"/>
      <c r="N114" s="9263"/>
      <c r="O114" s="9264"/>
      <c r="P114" s="9265"/>
      <c r="Q114" s="9266" t="s">
        <v>995</v>
      </c>
      <c r="R114" s="9267"/>
      <c r="S114" s="9268"/>
      <c r="T114" s="9269"/>
      <c r="U114" s="9270"/>
      <c r="V114" s="9271"/>
      <c r="W114" s="9272"/>
      <c r="X114" s="9273"/>
      <c r="Y114" s="9274"/>
      <c r="Z114" s="9275"/>
      <c r="AA114" s="9276"/>
      <c r="AB114" s="9277"/>
      <c r="AC114" s="9054"/>
      <c r="AD114" s="8895"/>
      <c r="AE114" s="9278"/>
      <c r="AF114" s="8908"/>
      <c r="AG114" s="9279"/>
      <c r="AH114" s="9280"/>
      <c r="AI114" s="9206"/>
      <c r="AJ114" s="9281"/>
      <c r="AK114" s="9282"/>
      <c r="AL114" s="8997"/>
      <c r="AM114" s="8824"/>
      <c r="AN114" s="9283"/>
      <c r="AO114" s="9284"/>
      <c r="AP114" s="9285"/>
      <c r="AQ114" s="9286"/>
      <c r="AR114" s="9287"/>
      <c r="AS114" s="9288"/>
      <c r="AT114" s="8987"/>
      <c r="AU114" s="9289"/>
      <c r="AV114" s="9290"/>
      <c r="AW114" s="9291"/>
      <c r="AX114" s="9292"/>
      <c r="AY114" s="9293"/>
      <c r="AZ114" s="9294"/>
      <c r="BA114" s="9295" t="s">
        <v>993</v>
      </c>
      <c r="BB114" s="9296"/>
      <c r="BC114" s="9297"/>
      <c r="BD114" s="8908"/>
      <c r="BE114" s="9298"/>
      <c r="BF114" s="9299"/>
      <c r="BG114" s="9300"/>
      <c r="BH114" s="9301"/>
      <c r="BI114" s="9302"/>
      <c r="BJ114" s="9303"/>
      <c r="BK114" s="9304"/>
      <c r="BL114" s="9305"/>
      <c r="BM114" s="9306"/>
      <c r="BN114" s="9307"/>
      <c r="BO114" s="9308"/>
      <c r="BP114" s="9309"/>
      <c r="BQ114" s="9310"/>
      <c r="BR114" s="9311"/>
      <c r="BS114" s="9312"/>
      <c r="BT114" s="9313"/>
      <c r="BU114" s="9314"/>
      <c r="BV114" s="9315"/>
      <c r="BW114" s="9316"/>
      <c r="BX114" s="9317"/>
      <c r="BY114" s="9318"/>
      <c r="BZ114" s="9319"/>
      <c r="CA114" s="9320"/>
      <c r="CB114" s="9321"/>
      <c r="CC114" s="9322"/>
      <c r="CD114" s="9323"/>
      <c r="CE114" s="9324"/>
      <c r="CF114" s="9325"/>
      <c r="CG114" s="9326"/>
      <c r="CH114" s="9327"/>
      <c r="CI114" s="9328"/>
      <c r="CJ114" s="9329"/>
      <c r="CK114" s="9330"/>
      <c r="CL114" s="9331"/>
      <c r="CM114" s="9332"/>
      <c r="CN114" s="9333"/>
      <c r="CO114" s="9334"/>
      <c r="CP114" s="9335"/>
    </row>
    <row r="115" spans="1:94">
      <c r="A115" s="9201"/>
      <c r="B115" s="9336"/>
      <c r="C115" s="9337"/>
      <c r="D115" s="9338"/>
      <c r="E115" s="9339"/>
      <c r="F115" s="8708"/>
      <c r="G115" s="9340"/>
      <c r="H115" s="9341"/>
      <c r="I115" s="9342"/>
      <c r="J115" s="9343"/>
      <c r="K115" s="9344"/>
      <c r="L115" s="9345"/>
      <c r="M115" s="9346"/>
      <c r="N115" s="9347"/>
      <c r="O115" s="9348"/>
      <c r="P115" s="9349"/>
      <c r="Q115" s="9350" t="s">
        <v>995</v>
      </c>
      <c r="R115" s="9351"/>
      <c r="S115" s="9352"/>
      <c r="T115" s="9353"/>
      <c r="U115" s="9354"/>
      <c r="V115" s="9355"/>
      <c r="W115" s="9356"/>
      <c r="X115" s="9357"/>
      <c r="Y115" s="9358"/>
      <c r="Z115" s="9359"/>
      <c r="AA115" s="9360"/>
      <c r="AB115" s="9361"/>
      <c r="AC115" s="9362"/>
      <c r="AD115" s="9363"/>
      <c r="AE115" s="9277"/>
      <c r="AF115" s="9364"/>
      <c r="AG115" s="8997"/>
      <c r="AH115" s="8824"/>
      <c r="AI115" s="9278"/>
      <c r="AJ115" s="9365"/>
      <c r="AK115" s="9366"/>
      <c r="AL115" s="8997"/>
      <c r="AM115" s="9367"/>
      <c r="AN115" s="9368"/>
      <c r="AO115" s="9369"/>
      <c r="AP115" s="9370"/>
      <c r="AQ115" s="9371"/>
      <c r="AR115" s="9372"/>
      <c r="AS115" s="9373"/>
      <c r="AT115" s="9374"/>
      <c r="AU115" s="9375"/>
      <c r="AV115" s="9208"/>
      <c r="AW115" s="9064"/>
      <c r="AX115" s="9376"/>
      <c r="AY115" s="9377"/>
      <c r="AZ115" s="9378"/>
      <c r="BA115" s="9379" t="s">
        <v>993</v>
      </c>
      <c r="BB115" s="9380"/>
      <c r="BC115" s="9381"/>
      <c r="BD115" s="9382"/>
      <c r="BE115" s="9383"/>
      <c r="BF115" s="9300"/>
      <c r="BG115" s="9384"/>
      <c r="BH115" s="9384"/>
      <c r="BI115" s="9228"/>
      <c r="BJ115" s="9385"/>
      <c r="BK115" s="9386"/>
      <c r="BL115" s="9387"/>
      <c r="BM115" s="9388"/>
      <c r="BN115" s="9389"/>
      <c r="BO115" s="9390"/>
      <c r="BP115" s="9391"/>
      <c r="BQ115" s="9392"/>
      <c r="BR115" s="9393"/>
      <c r="BS115" s="9394"/>
      <c r="BT115" s="9395"/>
      <c r="BU115" s="9396"/>
      <c r="BV115" s="9397"/>
      <c r="BW115" s="9398"/>
      <c r="BX115" s="9399"/>
      <c r="BY115" s="9400"/>
      <c r="BZ115" s="9401"/>
      <c r="CA115" s="9402"/>
      <c r="CB115" s="9403"/>
      <c r="CC115" s="9404"/>
      <c r="CD115" s="9405"/>
      <c r="CE115" s="9406"/>
      <c r="CF115" s="9407"/>
      <c r="CG115" s="9408"/>
      <c r="CH115" s="9409"/>
      <c r="CI115" s="9410"/>
      <c r="CJ115" s="9411"/>
      <c r="CK115" s="9412"/>
      <c r="CL115" s="9413"/>
      <c r="CM115" s="9414"/>
      <c r="CN115" s="9415"/>
      <c r="CO115" s="9416"/>
      <c r="CP115" s="9417"/>
    </row>
    <row r="116" spans="1:94">
      <c r="A116" s="9114"/>
      <c r="B116" s="9418"/>
      <c r="C116" s="9419"/>
      <c r="D116" s="9420"/>
      <c r="E116" s="9421"/>
      <c r="F116" s="8464"/>
      <c r="G116" s="9422"/>
      <c r="H116" s="9423"/>
      <c r="I116" s="9424"/>
      <c r="J116" s="9425"/>
      <c r="K116" s="9426"/>
      <c r="L116" s="9427"/>
      <c r="M116" s="9428"/>
      <c r="N116" s="9429"/>
      <c r="O116" s="9430"/>
      <c r="P116" s="9431"/>
      <c r="Q116" s="9432" t="s">
        <v>995</v>
      </c>
      <c r="R116" s="9433"/>
      <c r="S116" s="9434"/>
      <c r="T116" s="9435"/>
      <c r="U116" s="9436"/>
      <c r="V116" s="9437"/>
      <c r="W116" s="9438"/>
      <c r="X116" s="9439"/>
      <c r="Y116" s="9440"/>
      <c r="Z116" s="9441"/>
      <c r="AA116" s="9442"/>
      <c r="AB116" s="9443"/>
      <c r="AC116" s="9444"/>
      <c r="AD116" s="9443"/>
      <c r="AE116" s="8376"/>
      <c r="AF116" s="9445"/>
      <c r="AG116" s="9274"/>
      <c r="AH116" s="9280"/>
      <c r="AI116" s="9443"/>
      <c r="AJ116" s="9278"/>
      <c r="AK116" s="9363"/>
      <c r="AL116" s="9208"/>
      <c r="AM116" s="9443"/>
      <c r="AN116" s="9368"/>
      <c r="AO116" s="9446"/>
      <c r="AP116" s="5807"/>
      <c r="AQ116" s="9447"/>
      <c r="AR116" s="9448"/>
      <c r="AS116" s="9449"/>
      <c r="AT116" s="9450"/>
      <c r="AU116" s="9451"/>
      <c r="AV116" s="9441"/>
      <c r="AW116" s="9452"/>
      <c r="AX116" s="9453"/>
      <c r="AY116" s="9454"/>
      <c r="AZ116" s="9455"/>
      <c r="BA116" s="9456" t="s">
        <v>993</v>
      </c>
      <c r="BB116" s="9457"/>
      <c r="BC116" s="9458"/>
      <c r="BD116" s="9459"/>
      <c r="BE116" s="9460"/>
      <c r="BF116" s="9461"/>
      <c r="BG116" s="9462"/>
      <c r="BH116" s="9463"/>
      <c r="BI116" s="9464"/>
      <c r="BJ116" s="9465"/>
      <c r="BK116" s="9466"/>
      <c r="BL116" s="9467"/>
      <c r="BM116" s="9468"/>
      <c r="BN116" s="9469"/>
      <c r="BO116" s="9470"/>
      <c r="BP116" s="9471"/>
      <c r="BQ116" s="9472"/>
      <c r="BR116" s="9473"/>
      <c r="BS116" s="9474"/>
      <c r="BT116" s="9475"/>
      <c r="BU116" s="9476"/>
      <c r="BV116" s="9477"/>
      <c r="BW116" s="9478"/>
      <c r="BX116" s="9479"/>
      <c r="BY116" s="9480"/>
      <c r="BZ116" s="9481"/>
      <c r="CA116" s="9482"/>
      <c r="CB116" s="9483"/>
      <c r="CC116" s="9484"/>
      <c r="CD116" s="9485"/>
      <c r="CE116" s="9486"/>
      <c r="CF116" s="9487"/>
      <c r="CG116" s="9488"/>
      <c r="CH116" s="9489"/>
      <c r="CI116" s="9490"/>
      <c r="CJ116" s="9491"/>
      <c r="CK116" s="9492"/>
      <c r="CL116" s="9493"/>
      <c r="CM116" s="9494"/>
      <c r="CN116" s="9495"/>
      <c r="CO116" s="9496"/>
      <c r="CP116" s="9497"/>
    </row>
    <row r="117" spans="1:94">
      <c r="A117" s="9498"/>
      <c r="B117" s="9499"/>
      <c r="C117" s="9500"/>
      <c r="D117" s="9501"/>
      <c r="E117" s="9502"/>
      <c r="F117" s="9181"/>
      <c r="G117" s="9503"/>
      <c r="H117" s="9504"/>
      <c r="I117" s="9505"/>
      <c r="J117" s="9506"/>
      <c r="K117" s="9107"/>
      <c r="L117" s="9507"/>
      <c r="M117" s="9219"/>
      <c r="N117" s="9508"/>
      <c r="O117" s="9509"/>
      <c r="P117" s="9510"/>
      <c r="Q117" s="9511" t="s">
        <v>995</v>
      </c>
      <c r="R117" s="9512"/>
      <c r="S117" s="9513"/>
      <c r="T117" s="9514"/>
      <c r="U117" s="9515"/>
      <c r="V117" s="9516"/>
      <c r="W117" s="9517"/>
      <c r="X117" s="9518"/>
      <c r="Y117" s="9519"/>
      <c r="Z117" s="9520"/>
      <c r="AA117" s="9521"/>
      <c r="AB117" s="9046"/>
      <c r="AC117" s="9522"/>
      <c r="AD117" s="9523"/>
      <c r="AE117" s="9524"/>
      <c r="AF117" s="9274"/>
      <c r="AG117" s="9525"/>
      <c r="AH117" s="9526"/>
      <c r="AI117" s="9280"/>
      <c r="AJ117" s="9527"/>
      <c r="AK117" s="8997"/>
      <c r="AL117" s="9528"/>
      <c r="AM117" s="7958"/>
      <c r="AN117" s="7969"/>
      <c r="AO117" s="9529"/>
      <c r="AP117" s="9530"/>
      <c r="AQ117" s="9531"/>
      <c r="AR117" s="9532"/>
      <c r="AS117" s="9533"/>
      <c r="AT117" s="9534"/>
      <c r="AU117" s="9275"/>
      <c r="AV117" s="9452"/>
      <c r="AW117" s="9535"/>
      <c r="AX117" s="9536"/>
      <c r="AY117" s="9537"/>
      <c r="AZ117" s="9538"/>
      <c r="BA117" s="9539" t="s">
        <v>993</v>
      </c>
      <c r="BB117" s="9540"/>
      <c r="BC117" s="8906"/>
      <c r="BD117" s="9541"/>
      <c r="BE117" s="9227"/>
      <c r="BF117" s="9542"/>
      <c r="BG117" s="9543"/>
      <c r="BH117" s="9544"/>
      <c r="BI117" s="8987"/>
      <c r="BJ117" s="9545"/>
      <c r="BK117" s="9546"/>
      <c r="BL117" s="9547"/>
      <c r="BM117" s="9548"/>
      <c r="BN117" s="9469"/>
      <c r="BO117" s="9549"/>
      <c r="BP117" s="9550"/>
      <c r="BQ117" s="9551"/>
      <c r="BR117" s="9552"/>
      <c r="BS117" s="9553"/>
      <c r="BT117" s="9554"/>
      <c r="BU117" s="9555"/>
      <c r="BV117" s="9556"/>
      <c r="BW117" s="9557"/>
      <c r="BX117" s="9558"/>
      <c r="BY117" s="9559"/>
      <c r="BZ117" s="9560"/>
      <c r="CA117" s="9561"/>
      <c r="CB117" s="9562"/>
      <c r="CC117" s="9563"/>
      <c r="CD117" s="9564"/>
      <c r="CE117" s="9565"/>
      <c r="CF117" s="9566"/>
      <c r="CG117" s="9567"/>
      <c r="CH117" s="9568"/>
      <c r="CI117" s="9569"/>
      <c r="CJ117" s="9570"/>
      <c r="CK117" s="9571"/>
      <c r="CL117" s="9572"/>
      <c r="CM117" s="9573"/>
      <c r="CN117" s="9574"/>
      <c r="CO117" s="9575"/>
      <c r="CP117" s="9576"/>
    </row>
    <row r="118" spans="1:94">
      <c r="A118" s="9577"/>
      <c r="B118" s="9578"/>
      <c r="C118" s="9579"/>
      <c r="D118" s="9580"/>
      <c r="E118" s="9581"/>
      <c r="F118" s="9108"/>
      <c r="G118" s="9582"/>
      <c r="H118" s="9583"/>
      <c r="I118" s="9584"/>
      <c r="J118" s="9585"/>
      <c r="K118" s="9586"/>
      <c r="L118" s="9587"/>
      <c r="M118" s="8873"/>
      <c r="N118" s="9588"/>
      <c r="O118" s="9589"/>
      <c r="P118" s="9590"/>
      <c r="Q118" s="9591" t="s">
        <v>995</v>
      </c>
      <c r="R118" s="9592"/>
      <c r="S118" s="9593"/>
      <c r="T118" s="9594"/>
      <c r="U118" s="9595"/>
      <c r="V118" s="9596"/>
      <c r="W118" s="9597"/>
      <c r="X118" s="9598"/>
      <c r="Y118" s="9520"/>
      <c r="Z118" s="9599"/>
      <c r="AA118" s="8910"/>
      <c r="AB118" s="9279"/>
      <c r="AC118" s="9525"/>
      <c r="AD118" s="9600"/>
      <c r="AE118" s="8376"/>
      <c r="AF118" s="9526"/>
      <c r="AG118" s="9601"/>
      <c r="AH118" s="9602"/>
      <c r="AI118" s="9603"/>
      <c r="AJ118" s="9604"/>
      <c r="AK118" s="9605"/>
      <c r="AL118" s="9606"/>
      <c r="AM118" s="9607"/>
      <c r="AN118" s="8970"/>
      <c r="AO118" s="8979"/>
      <c r="AP118" s="5808"/>
      <c r="AQ118" s="9608"/>
      <c r="AR118" s="9609"/>
      <c r="AS118" s="9610"/>
      <c r="AT118" s="9611"/>
      <c r="AU118" s="9612"/>
      <c r="AV118" s="9613"/>
      <c r="AW118" s="9614"/>
      <c r="AX118" s="9615"/>
      <c r="AY118" s="9616"/>
      <c r="AZ118" s="9617"/>
      <c r="BA118" s="9618" t="s">
        <v>993</v>
      </c>
      <c r="BB118" s="9619"/>
      <c r="BC118" s="9620"/>
      <c r="BD118" s="9298"/>
      <c r="BE118" s="9228"/>
      <c r="BF118" s="9621"/>
      <c r="BG118" s="9622"/>
      <c r="BH118" s="9623"/>
      <c r="BI118" s="9624"/>
      <c r="BJ118" s="9625"/>
      <c r="BK118" s="9626"/>
      <c r="BL118" s="9627"/>
      <c r="BM118" s="9628"/>
      <c r="BN118" s="9629"/>
      <c r="BO118" s="9630"/>
      <c r="BP118" s="9631"/>
      <c r="BQ118" s="9551"/>
      <c r="BR118" s="9632"/>
      <c r="BS118" s="9633"/>
      <c r="BT118" s="9634"/>
      <c r="BU118" s="9635"/>
      <c r="BV118" s="9636"/>
      <c r="BW118" s="9637"/>
      <c r="BX118" s="9638"/>
      <c r="BY118" s="9639"/>
      <c r="BZ118" s="9640"/>
      <c r="CA118" s="9641"/>
      <c r="CB118" s="9642"/>
      <c r="CC118" s="9643"/>
      <c r="CD118" s="9644"/>
      <c r="CE118" s="9645"/>
      <c r="CF118" s="9646"/>
      <c r="CG118" s="9647"/>
      <c r="CH118" s="9648"/>
      <c r="CI118" s="9649"/>
      <c r="CJ118" s="9650"/>
      <c r="CK118" s="9651"/>
      <c r="CL118" s="9652"/>
      <c r="CM118" s="9653"/>
      <c r="CN118" s="9654"/>
      <c r="CO118" s="9655"/>
      <c r="CP118" s="9656"/>
    </row>
    <row r="119" spans="1:94">
      <c r="A119" s="9657"/>
      <c r="B119" s="9658"/>
      <c r="C119" s="9659"/>
      <c r="D119" s="9660"/>
      <c r="E119" s="9661"/>
      <c r="F119" s="9199"/>
      <c r="G119" s="9662"/>
      <c r="H119" s="9663"/>
      <c r="I119" s="9664"/>
      <c r="J119" s="9661"/>
      <c r="K119" s="9665"/>
      <c r="L119" s="9666"/>
      <c r="M119" s="9201"/>
      <c r="N119" s="9667"/>
      <c r="O119" s="9668"/>
      <c r="P119" s="9669"/>
      <c r="Q119" s="9670" t="s">
        <v>995</v>
      </c>
      <c r="R119" s="9671"/>
      <c r="S119" s="9459"/>
      <c r="T119" s="8953"/>
      <c r="U119" s="9672"/>
      <c r="V119" s="9673"/>
      <c r="W119" s="9674"/>
      <c r="X119" s="9675"/>
      <c r="Y119" s="9676"/>
      <c r="Z119" s="9677"/>
      <c r="AA119" s="9678"/>
      <c r="AB119" s="9679"/>
      <c r="AC119" s="9680"/>
      <c r="AD119" s="9382"/>
      <c r="AE119" s="9150"/>
      <c r="AF119" s="9279"/>
      <c r="AG119" s="9681"/>
      <c r="AH119" s="6625"/>
      <c r="AI119" s="9682"/>
      <c r="AJ119" s="9604"/>
      <c r="AK119" s="9204"/>
      <c r="AL119" s="9683"/>
      <c r="AM119" s="9684"/>
      <c r="AN119" s="9685"/>
      <c r="AO119" s="8805"/>
      <c r="AP119" s="9686"/>
      <c r="AQ119" s="9687"/>
      <c r="AR119" s="9688"/>
      <c r="AS119" s="9689"/>
      <c r="AT119" s="9690"/>
      <c r="AU119" s="9691"/>
      <c r="AV119" s="9692"/>
      <c r="AW119" s="9693"/>
      <c r="AX119" s="9694"/>
      <c r="AY119" s="9695"/>
      <c r="AZ119" s="9696"/>
      <c r="BA119" s="9697" t="s">
        <v>993</v>
      </c>
      <c r="BB119" s="9698"/>
      <c r="BC119" s="9062"/>
      <c r="BD119" s="9699"/>
      <c r="BE119" s="9700"/>
      <c r="BF119" s="9701"/>
      <c r="BG119" s="9623"/>
      <c r="BH119" s="9702"/>
      <c r="BI119" s="9703"/>
      <c r="BJ119" s="9704"/>
      <c r="BK119" s="9705"/>
      <c r="BL119" s="9706"/>
      <c r="BM119" s="9707"/>
      <c r="BN119" s="9708"/>
      <c r="BO119" s="9709"/>
      <c r="BP119" s="9710"/>
      <c r="BQ119" s="9711"/>
      <c r="BR119" s="9712"/>
      <c r="BS119" s="9713"/>
      <c r="BT119" s="9714"/>
      <c r="BU119" s="9715"/>
      <c r="BV119" s="9716"/>
      <c r="BW119" s="9717"/>
      <c r="BX119" s="9639"/>
      <c r="BY119" s="9718"/>
      <c r="BZ119" s="9719"/>
      <c r="CA119" s="9720"/>
      <c r="CB119" s="9721"/>
      <c r="CC119" s="9722"/>
      <c r="CD119" s="9723"/>
      <c r="CE119" s="9724"/>
      <c r="CF119" s="9725"/>
      <c r="CG119" s="9726"/>
      <c r="CH119" s="9727"/>
      <c r="CI119" s="9728"/>
      <c r="CJ119" s="9729"/>
      <c r="CK119" s="9730"/>
      <c r="CL119" s="9729"/>
      <c r="CM119" s="9731"/>
      <c r="CN119" s="9732"/>
      <c r="CO119" s="9733"/>
      <c r="CP119" s="9734"/>
    </row>
    <row r="120" spans="1:94">
      <c r="A120" s="9735"/>
      <c r="B120" s="9736"/>
      <c r="C120" s="9737"/>
      <c r="D120" s="9738"/>
      <c r="E120" s="9739"/>
      <c r="F120" s="9740"/>
      <c r="G120" s="9741"/>
      <c r="H120" s="9742"/>
      <c r="I120" s="9743"/>
      <c r="J120" s="9744"/>
      <c r="K120" s="9506"/>
      <c r="L120" s="9745"/>
      <c r="M120" s="9746"/>
      <c r="N120" s="9747"/>
      <c r="O120" s="9748"/>
      <c r="P120" s="9749"/>
      <c r="Q120" s="9750" t="s">
        <v>995</v>
      </c>
      <c r="R120" s="9751"/>
      <c r="S120" s="9752"/>
      <c r="T120" s="9272"/>
      <c r="U120" s="9753"/>
      <c r="V120" s="9754"/>
      <c r="W120" s="9755"/>
      <c r="X120" s="9756"/>
      <c r="Y120" s="9757"/>
      <c r="Z120" s="9593"/>
      <c r="AA120" s="9680"/>
      <c r="AB120" s="9758"/>
      <c r="AC120" s="8910"/>
      <c r="AD120" s="9759"/>
      <c r="AE120" s="9760"/>
      <c r="AF120" s="9759"/>
      <c r="AG120" s="9526"/>
      <c r="AH120" s="9761"/>
      <c r="AI120" s="9762"/>
      <c r="AJ120" s="9763"/>
      <c r="AK120" s="9764"/>
      <c r="AL120" s="9683"/>
      <c r="AM120" s="9765"/>
      <c r="AN120" s="9766"/>
      <c r="AO120" s="8744"/>
      <c r="AP120" s="9767"/>
      <c r="AQ120" s="9768"/>
      <c r="AR120" s="9769"/>
      <c r="AS120" s="9770"/>
      <c r="AT120" s="9771"/>
      <c r="AU120" s="9772"/>
      <c r="AV120" s="9773"/>
      <c r="AW120" s="9599"/>
      <c r="AX120" s="9774"/>
      <c r="AY120" s="9775"/>
      <c r="AZ120" s="9776"/>
      <c r="BA120" s="9777" t="s">
        <v>993</v>
      </c>
      <c r="BB120" s="9778"/>
      <c r="BC120" s="9779"/>
      <c r="BD120" s="9677"/>
      <c r="BE120" s="9780"/>
      <c r="BF120" s="9781"/>
      <c r="BG120" s="9622"/>
      <c r="BH120" s="9782"/>
      <c r="BI120" s="9783"/>
      <c r="BJ120" s="9784"/>
      <c r="BK120" s="9785"/>
      <c r="BL120" s="9786"/>
      <c r="BM120" s="9787"/>
      <c r="BN120" s="9788"/>
      <c r="BO120" s="9789"/>
      <c r="BP120" s="9790"/>
      <c r="BQ120" s="9710"/>
      <c r="BR120" s="9791"/>
      <c r="BS120" s="9792"/>
      <c r="BT120" s="9793"/>
      <c r="BU120" s="9794"/>
      <c r="BV120" s="9795"/>
      <c r="BW120" s="9796"/>
      <c r="BX120" s="9797"/>
      <c r="BY120" s="9561"/>
      <c r="BZ120" s="9798"/>
      <c r="CA120" s="9799"/>
      <c r="CB120" s="9800"/>
      <c r="CC120" s="9801"/>
      <c r="CD120" s="9802"/>
      <c r="CE120" s="9803"/>
      <c r="CF120" s="9804"/>
      <c r="CG120" s="9805"/>
      <c r="CH120" s="9806"/>
      <c r="CI120" s="9807"/>
      <c r="CJ120" s="9808"/>
      <c r="CK120" s="9808"/>
      <c r="CL120" s="9809"/>
      <c r="CM120" s="9810"/>
      <c r="CN120" s="9811"/>
      <c r="CO120" s="9812"/>
      <c r="CP120" s="9813"/>
    </row>
    <row r="121" spans="1:94">
      <c r="A121" s="9814"/>
      <c r="B121" s="9815"/>
      <c r="C121" s="9816"/>
      <c r="D121" s="9817"/>
      <c r="E121" s="9818"/>
      <c r="F121" s="9819"/>
      <c r="G121" s="9820"/>
      <c r="H121" s="9821"/>
      <c r="I121" s="9822"/>
      <c r="J121" s="9823"/>
      <c r="K121" s="9824"/>
      <c r="L121" s="9825"/>
      <c r="M121" s="9826"/>
      <c r="N121" s="9429"/>
      <c r="O121" s="9827"/>
      <c r="P121" s="9828"/>
      <c r="Q121" s="9829" t="s">
        <v>995</v>
      </c>
      <c r="R121" s="9830"/>
      <c r="S121" s="9700"/>
      <c r="T121" s="9831"/>
      <c r="U121" s="9436"/>
      <c r="V121" s="9832"/>
      <c r="W121" s="9833"/>
      <c r="X121" s="9834"/>
      <c r="Y121" s="9835"/>
      <c r="Z121" s="9836"/>
      <c r="AA121" s="9837"/>
      <c r="AB121" s="9838"/>
      <c r="AC121" s="9839"/>
      <c r="AD121" s="9299"/>
      <c r="AE121" s="9840"/>
      <c r="AF121" s="9841"/>
      <c r="AG121" s="9842"/>
      <c r="AH121" s="9843"/>
      <c r="AI121" s="9844"/>
      <c r="AJ121" s="9845"/>
      <c r="AK121" s="9846"/>
      <c r="AL121" s="9277"/>
      <c r="AM121" s="9847"/>
      <c r="AN121" s="9848"/>
      <c r="AO121" s="9849"/>
      <c r="AP121" s="9850"/>
      <c r="AQ121" s="9851"/>
      <c r="AR121" s="9852"/>
      <c r="AS121" s="9853"/>
      <c r="AT121" s="9854"/>
      <c r="AU121" s="9855"/>
      <c r="AV121" s="9856"/>
      <c r="AW121" s="9857"/>
      <c r="AX121" s="9858"/>
      <c r="AY121" s="9859"/>
      <c r="AZ121" s="9860"/>
      <c r="BA121" s="9861" t="s">
        <v>993</v>
      </c>
      <c r="BB121" s="9862"/>
      <c r="BC121" s="9291"/>
      <c r="BD121" s="9863"/>
      <c r="BE121" s="9782"/>
      <c r="BF121" s="9783"/>
      <c r="BG121" s="9864"/>
      <c r="BH121" s="9865"/>
      <c r="BI121" s="9866"/>
      <c r="BJ121" s="9867"/>
      <c r="BK121" s="9868"/>
      <c r="BL121" s="9869"/>
      <c r="BM121" s="9870"/>
      <c r="BN121" s="9871"/>
      <c r="BO121" s="9631"/>
      <c r="BP121" s="9872"/>
      <c r="BQ121" s="9873"/>
      <c r="BR121" s="9874"/>
      <c r="BS121" s="9875"/>
      <c r="BT121" s="9876"/>
      <c r="BU121" s="9877"/>
      <c r="BV121" s="9878"/>
      <c r="BW121" s="9879"/>
      <c r="BX121" s="9880"/>
      <c r="BY121" s="9881"/>
      <c r="BZ121" s="9882"/>
      <c r="CA121" s="9883"/>
      <c r="CB121" s="9884"/>
      <c r="CC121" s="9885"/>
      <c r="CD121" s="9886"/>
      <c r="CE121" s="9887"/>
      <c r="CF121" s="9888"/>
      <c r="CG121" s="9889"/>
      <c r="CH121" s="9890"/>
      <c r="CI121" s="9807"/>
      <c r="CJ121" s="9891"/>
      <c r="CK121" s="9892"/>
      <c r="CL121" s="9893"/>
      <c r="CM121" s="9894"/>
      <c r="CN121" s="9895"/>
      <c r="CO121" s="9896"/>
      <c r="CP121" s="9897"/>
    </row>
    <row r="122" spans="1:94">
      <c r="A122" s="9898"/>
      <c r="B122" s="9899"/>
      <c r="C122" s="9900"/>
      <c r="D122" s="9901"/>
      <c r="E122" s="9902"/>
      <c r="F122" s="9903"/>
      <c r="G122" s="9904"/>
      <c r="H122" s="9905"/>
      <c r="I122" s="9906"/>
      <c r="J122" s="9907"/>
      <c r="K122" s="9908"/>
      <c r="L122" s="9909"/>
      <c r="M122" s="8873"/>
      <c r="N122" s="9910"/>
      <c r="O122" s="9911"/>
      <c r="P122" s="9912"/>
      <c r="Q122" s="9913" t="s">
        <v>995</v>
      </c>
      <c r="R122" s="9914"/>
      <c r="S122" s="9754"/>
      <c r="T122" s="9676"/>
      <c r="U122" s="9915"/>
      <c r="V122" s="9916"/>
      <c r="W122" s="9917"/>
      <c r="X122" s="9918"/>
      <c r="Y122" s="9919"/>
      <c r="Z122" s="9920"/>
      <c r="AA122" s="9921"/>
      <c r="AB122" s="9922"/>
      <c r="AC122" s="9922"/>
      <c r="AD122" s="9923"/>
      <c r="AE122" s="9924"/>
      <c r="AF122" s="9675"/>
      <c r="AG122" s="9925"/>
      <c r="AH122" s="9926"/>
      <c r="AI122" s="9927"/>
      <c r="AJ122" s="9928"/>
      <c r="AK122" s="9593"/>
      <c r="AL122" s="9765"/>
      <c r="AM122" s="9929"/>
      <c r="AN122" s="9930"/>
      <c r="AO122" s="9931"/>
      <c r="AP122" s="9932"/>
      <c r="AQ122" s="9933"/>
      <c r="AR122" s="9934"/>
      <c r="AS122" s="9935"/>
      <c r="AT122" s="9936"/>
      <c r="AU122" s="9937"/>
      <c r="AV122" s="9938"/>
      <c r="AW122" s="9939"/>
      <c r="AX122" s="9940"/>
      <c r="AY122" s="9941"/>
      <c r="AZ122" s="9942"/>
      <c r="BA122" s="9943" t="s">
        <v>993</v>
      </c>
      <c r="BB122" s="9944"/>
      <c r="BC122" s="9440"/>
      <c r="BD122" s="9300"/>
      <c r="BE122" s="9622"/>
      <c r="BF122" s="9945"/>
      <c r="BG122" s="9946"/>
      <c r="BH122" s="9947"/>
      <c r="BI122" s="9948"/>
      <c r="BJ122" s="9949"/>
      <c r="BK122" s="9950"/>
      <c r="BL122" s="9951"/>
      <c r="BM122" s="9952"/>
      <c r="BN122" s="9953"/>
      <c r="BO122" s="9954"/>
      <c r="BP122" s="9955"/>
      <c r="BQ122" s="9956"/>
      <c r="BR122" s="9957"/>
      <c r="BS122" s="9958"/>
      <c r="BT122" s="9959"/>
      <c r="BU122" s="9960"/>
      <c r="BV122" s="9961"/>
      <c r="BW122" s="9962"/>
      <c r="BX122" s="9963"/>
      <c r="BY122" s="9964"/>
      <c r="BZ122" s="9965"/>
      <c r="CA122" s="9966"/>
      <c r="CB122" s="9967"/>
      <c r="CC122" s="9968"/>
      <c r="CD122" s="9969"/>
      <c r="CE122" s="9970"/>
      <c r="CF122" s="9971"/>
      <c r="CG122" s="9972"/>
      <c r="CH122" s="9973"/>
      <c r="CI122" s="9974"/>
      <c r="CJ122" s="9975"/>
      <c r="CK122" s="9976"/>
      <c r="CL122" s="9890"/>
      <c r="CM122" s="9977"/>
      <c r="CN122" s="9978"/>
      <c r="CO122" s="9979"/>
      <c r="CP122" s="9980"/>
    </row>
    <row r="123" spans="1:94">
      <c r="A123" s="9981"/>
      <c r="B123" s="9982"/>
      <c r="C123" s="9983"/>
      <c r="D123" s="9984"/>
      <c r="E123" s="9985"/>
      <c r="F123" s="9986"/>
      <c r="G123" s="9987"/>
      <c r="H123" s="9988"/>
      <c r="I123" s="9989"/>
      <c r="J123" s="9990"/>
      <c r="K123" s="9991"/>
      <c r="L123" s="9992"/>
      <c r="M123" s="9122"/>
      <c r="N123" s="9993"/>
      <c r="O123" s="9994"/>
      <c r="P123" s="9995"/>
      <c r="Q123" s="9996" t="s">
        <v>995</v>
      </c>
      <c r="R123" s="9997"/>
      <c r="S123" s="9998"/>
      <c r="T123" s="9999"/>
      <c r="U123" s="10000"/>
      <c r="V123" s="10000"/>
      <c r="W123" s="10001"/>
      <c r="X123" s="9918"/>
      <c r="Y123" s="10002"/>
      <c r="Z123" s="10003"/>
      <c r="AA123" s="10004"/>
      <c r="AB123" s="9677"/>
      <c r="AC123" s="9756"/>
      <c r="AD123" s="10005"/>
      <c r="AE123" s="10006"/>
      <c r="AF123" s="10007"/>
      <c r="AG123" s="10008"/>
      <c r="AH123" s="10009"/>
      <c r="AI123" s="10010"/>
      <c r="AJ123" s="10011"/>
      <c r="AK123" s="10012"/>
      <c r="AL123" s="10013"/>
      <c r="AM123" s="10014"/>
      <c r="AN123" s="10015"/>
      <c r="AO123" s="10016"/>
      <c r="AP123" s="10017"/>
      <c r="AQ123" s="10018"/>
      <c r="AR123" s="10019"/>
      <c r="AS123" s="10020"/>
      <c r="AT123" s="10021"/>
      <c r="AU123" s="10022"/>
      <c r="AV123" s="10023"/>
      <c r="AW123" s="10024"/>
      <c r="AX123" s="10025"/>
      <c r="AY123" s="10026"/>
      <c r="AZ123" s="10027"/>
      <c r="BA123" s="10028" t="s">
        <v>993</v>
      </c>
      <c r="BB123" s="10029"/>
      <c r="BC123" s="10030"/>
      <c r="BD123" s="10031"/>
      <c r="BE123" s="10032"/>
      <c r="BF123" s="10033"/>
      <c r="BG123" s="10034"/>
      <c r="BH123" s="10035"/>
      <c r="BI123" s="10036"/>
      <c r="BJ123" s="10037"/>
      <c r="BK123" s="10038"/>
      <c r="BL123" s="10039"/>
      <c r="BM123" s="10040"/>
      <c r="BN123" s="10041"/>
      <c r="BO123" s="10042"/>
      <c r="BP123" s="10043"/>
      <c r="BQ123" s="10044"/>
      <c r="BR123" s="10045"/>
      <c r="BS123" s="10046"/>
      <c r="BT123" s="10047"/>
      <c r="BU123" s="10048"/>
      <c r="BV123" s="9718"/>
      <c r="BW123" s="10049"/>
      <c r="BX123" s="10050"/>
      <c r="BY123" s="10051"/>
      <c r="BZ123" s="10052"/>
      <c r="CA123" s="10053"/>
      <c r="CB123" s="10054"/>
      <c r="CC123" s="10055"/>
      <c r="CD123" s="10056"/>
      <c r="CE123" s="10057"/>
      <c r="CF123" s="10058"/>
      <c r="CG123" s="9891"/>
      <c r="CH123" s="10059"/>
      <c r="CI123" s="10060"/>
      <c r="CJ123" s="10061"/>
      <c r="CK123" s="10062"/>
      <c r="CL123" s="10063"/>
      <c r="CM123" s="10064"/>
      <c r="CN123" s="10065"/>
      <c r="CO123" s="10066"/>
      <c r="CP123" s="10067"/>
    </row>
    <row r="124" spans="1:94">
      <c r="A124" s="10068"/>
      <c r="B124" s="10069"/>
      <c r="C124" s="10070"/>
      <c r="D124" s="10071"/>
      <c r="E124" s="10072"/>
      <c r="F124" s="10073"/>
      <c r="G124" s="10074"/>
      <c r="H124" s="10075"/>
      <c r="I124" s="10076"/>
      <c r="J124" s="10077"/>
      <c r="K124" s="10078"/>
      <c r="L124" s="10079"/>
      <c r="M124" s="10080"/>
      <c r="N124" s="10081"/>
      <c r="O124" s="10082"/>
      <c r="P124" s="10083"/>
      <c r="Q124" s="10084" t="s">
        <v>995</v>
      </c>
      <c r="R124" s="10085"/>
      <c r="S124" s="10086"/>
      <c r="T124" s="9999"/>
      <c r="U124" s="10087"/>
      <c r="V124" s="10088"/>
      <c r="W124" s="10089"/>
      <c r="X124" s="10090"/>
      <c r="Y124" s="10091"/>
      <c r="Z124" s="10092"/>
      <c r="AA124" s="10093"/>
      <c r="AB124" s="10094"/>
      <c r="AC124" s="10095"/>
      <c r="AD124" s="10096"/>
      <c r="AE124" s="10097"/>
      <c r="AF124" s="10098"/>
      <c r="AG124" s="10099"/>
      <c r="AH124" s="10100"/>
      <c r="AI124" s="10101"/>
      <c r="AJ124" s="10102"/>
      <c r="AK124" s="10103"/>
      <c r="AL124" s="10104"/>
      <c r="AM124" s="10105"/>
      <c r="AN124" s="10106"/>
      <c r="AO124" s="10107"/>
      <c r="AP124" s="10108"/>
      <c r="AQ124" s="10109"/>
      <c r="AR124" s="10110"/>
      <c r="AS124" s="10111"/>
      <c r="AT124" s="10112"/>
      <c r="AU124" s="10113"/>
      <c r="AV124" s="10114"/>
      <c r="AW124" s="10115"/>
      <c r="AX124" s="10116"/>
      <c r="AY124" s="10117"/>
      <c r="AZ124" s="10118"/>
      <c r="BA124" s="10119" t="s">
        <v>993</v>
      </c>
      <c r="BB124" s="10120"/>
      <c r="BC124" s="10121"/>
      <c r="BD124" s="9925"/>
      <c r="BE124" s="10122"/>
      <c r="BF124" s="10123"/>
      <c r="BG124" s="10124"/>
      <c r="BH124" s="10125"/>
      <c r="BI124" s="10036"/>
      <c r="BJ124" s="10126"/>
      <c r="BK124" s="10127"/>
      <c r="BL124" s="10128"/>
      <c r="BM124" s="10129"/>
      <c r="BN124" s="10130"/>
      <c r="BO124" s="10131"/>
      <c r="BP124" s="10132"/>
      <c r="BQ124" s="10133"/>
      <c r="BR124" s="10134"/>
      <c r="BS124" s="10135"/>
      <c r="BT124" s="10136"/>
      <c r="BU124" s="10137"/>
      <c r="BV124" s="10138"/>
      <c r="BW124" s="10139"/>
      <c r="BX124" s="10140"/>
      <c r="BY124" s="10141"/>
      <c r="BZ124" s="10142"/>
      <c r="CA124" s="10143"/>
      <c r="CB124" s="10144"/>
      <c r="CC124" s="10145"/>
      <c r="CD124" s="10146"/>
      <c r="CE124" s="10147"/>
      <c r="CF124" s="10148"/>
      <c r="CG124" s="10149"/>
      <c r="CH124" s="10059"/>
      <c r="CI124" s="10150"/>
      <c r="CJ124" s="10151"/>
      <c r="CK124" s="10152"/>
      <c r="CL124" s="10153"/>
      <c r="CM124" s="9979"/>
      <c r="CN124" s="10154"/>
      <c r="CO124" s="10155"/>
      <c r="CP124" s="10156"/>
    </row>
    <row r="125" spans="1:94" ht="16.5" thickBot="1">
      <c r="A125" s="10157"/>
      <c r="B125" s="10158"/>
      <c r="C125" s="10159"/>
      <c r="D125" s="10160"/>
      <c r="E125" s="10161"/>
      <c r="F125" s="10162"/>
      <c r="G125" s="10163"/>
      <c r="H125" s="10164"/>
      <c r="I125" s="10165"/>
      <c r="J125" s="10166"/>
      <c r="K125" s="10167"/>
      <c r="L125" s="10168"/>
      <c r="M125" s="10169"/>
      <c r="N125" s="10170"/>
      <c r="O125" s="10171"/>
      <c r="P125" s="10172"/>
      <c r="Q125" s="10173" t="s">
        <v>995</v>
      </c>
      <c r="R125" s="10174"/>
      <c r="S125" s="10175"/>
      <c r="T125" s="9272"/>
      <c r="U125" s="10176"/>
      <c r="V125" s="10177"/>
      <c r="W125" s="10178"/>
      <c r="X125" s="10179"/>
      <c r="Y125" s="10180"/>
      <c r="Z125" s="10091"/>
      <c r="AA125" s="9835"/>
      <c r="AB125" s="9915"/>
      <c r="AC125" s="9832"/>
      <c r="AD125" s="10181"/>
      <c r="AE125" s="10182"/>
      <c r="AF125" s="10183"/>
      <c r="AG125" s="10184"/>
      <c r="AH125" s="10185"/>
      <c r="AI125" s="10186"/>
      <c r="AJ125" s="10102"/>
      <c r="AK125" s="10187"/>
      <c r="AL125" s="10188"/>
      <c r="AM125" s="10189"/>
      <c r="AN125" s="10190"/>
      <c r="AO125" s="10191"/>
      <c r="AP125" s="10107"/>
      <c r="AQ125" s="10192"/>
      <c r="AR125" s="10193"/>
      <c r="AS125" s="10194"/>
      <c r="AT125" s="10195"/>
      <c r="AU125" s="10196"/>
      <c r="AV125" s="10197"/>
      <c r="AW125" s="10198"/>
      <c r="AX125" s="10199"/>
      <c r="AY125" s="10200"/>
      <c r="AZ125" s="10201"/>
      <c r="BA125" s="10202" t="s">
        <v>993</v>
      </c>
      <c r="BB125" s="10203"/>
      <c r="BC125" s="10204"/>
      <c r="BD125" s="10205"/>
      <c r="BE125" s="10206"/>
      <c r="BF125" s="10207"/>
      <c r="BG125" s="10208"/>
      <c r="BH125" s="10209"/>
      <c r="BI125" s="10210"/>
      <c r="BJ125" s="10211"/>
      <c r="BK125" s="10212"/>
      <c r="BL125" s="10213"/>
      <c r="BM125" s="10214"/>
      <c r="BN125" s="10215"/>
      <c r="BO125" s="10216"/>
      <c r="BP125" s="10217"/>
      <c r="BQ125" s="10218"/>
      <c r="BR125" s="10219"/>
      <c r="BS125" s="10220"/>
      <c r="BT125" s="10221"/>
      <c r="BU125" s="10222"/>
      <c r="BV125" s="10223"/>
      <c r="BW125" s="10224"/>
      <c r="BX125" s="10225"/>
      <c r="BY125" s="10226"/>
      <c r="BZ125" s="10227"/>
      <c r="CA125" s="10228"/>
      <c r="CB125" s="10229"/>
      <c r="CC125" s="10230"/>
      <c r="CD125" s="10231"/>
      <c r="CE125" s="10232"/>
      <c r="CF125" s="10233"/>
      <c r="CG125" s="10234"/>
      <c r="CH125" s="10235"/>
      <c r="CI125" s="10236"/>
      <c r="CJ125" s="10237"/>
      <c r="CK125" s="10238"/>
      <c r="CL125" s="10239"/>
      <c r="CM125" s="10240"/>
      <c r="CN125" s="10241"/>
      <c r="CO125" s="10156"/>
      <c r="CP125" s="10242"/>
    </row>
    <row r="126" spans="1:94">
      <c r="A126" s="10243"/>
      <c r="B126" s="10244"/>
      <c r="C126" s="10245"/>
      <c r="D126" s="10246"/>
      <c r="E126" s="10247"/>
      <c r="F126" s="10248"/>
      <c r="G126" s="10249"/>
      <c r="H126" s="10250"/>
      <c r="I126" s="10251"/>
      <c r="J126" s="10252"/>
      <c r="K126" s="10253"/>
      <c r="L126" s="10254"/>
      <c r="M126" s="10255"/>
      <c r="N126" s="10256"/>
      <c r="O126" s="10257"/>
      <c r="P126" s="10258"/>
      <c r="Q126" s="10259" t="s">
        <v>995</v>
      </c>
      <c r="R126" s="10260"/>
      <c r="S126" s="10261"/>
      <c r="T126" s="10262"/>
      <c r="U126" s="10263"/>
      <c r="V126" s="10264"/>
      <c r="W126" s="10265"/>
      <c r="X126" s="10266"/>
      <c r="Y126" s="10267"/>
      <c r="Z126" s="10268"/>
      <c r="AA126" s="9920"/>
      <c r="AB126" s="10269"/>
      <c r="AC126" s="10270"/>
      <c r="AD126" s="9833"/>
      <c r="AE126" s="10271"/>
      <c r="AF126" s="10272"/>
      <c r="AG126" s="10273"/>
      <c r="AH126" s="10274"/>
      <c r="AI126" s="10275"/>
      <c r="AJ126" s="10276"/>
      <c r="AK126" s="10277"/>
      <c r="AL126" s="10278"/>
      <c r="AM126" s="10279">
        <v>4</v>
      </c>
      <c r="AN126" s="10280">
        <v>6</v>
      </c>
      <c r="AO126" s="10281">
        <v>4</v>
      </c>
      <c r="AP126" s="10282">
        <v>1</v>
      </c>
      <c r="AQ126" s="10283">
        <v>6</v>
      </c>
      <c r="AR126" s="10284">
        <v>2</v>
      </c>
      <c r="AS126" s="10285">
        <v>6</v>
      </c>
      <c r="AT126" s="10286">
        <v>4</v>
      </c>
      <c r="AU126" s="10287">
        <v>5</v>
      </c>
      <c r="AV126" s="10288"/>
      <c r="AW126" s="10289"/>
      <c r="AX126" s="10290"/>
      <c r="AY126" s="10291"/>
      <c r="AZ126" s="10292"/>
      <c r="BA126" s="10293" t="s">
        <v>993</v>
      </c>
      <c r="BB126" s="10294"/>
      <c r="BC126" s="10295"/>
      <c r="BD126" s="10296"/>
      <c r="BE126" s="10297"/>
      <c r="BF126" s="10298"/>
      <c r="BG126" s="10299"/>
      <c r="BH126" s="10300"/>
      <c r="BI126" s="9399"/>
      <c r="BJ126" s="10301"/>
      <c r="BK126" s="10302"/>
      <c r="BL126" s="10303"/>
      <c r="BM126" s="10304"/>
      <c r="BN126" s="10305"/>
      <c r="BO126" s="8822"/>
      <c r="BP126" s="10124"/>
      <c r="BQ126" s="10306"/>
      <c r="BR126" s="10307"/>
      <c r="BS126" s="10308"/>
      <c r="BT126" s="10309"/>
      <c r="BU126" s="10310"/>
      <c r="BV126" s="10311"/>
      <c r="BW126" s="10312"/>
      <c r="BX126" s="10313"/>
      <c r="BY126" s="10314"/>
      <c r="BZ126" s="10315"/>
      <c r="CA126" s="10316"/>
      <c r="CB126" s="10317"/>
      <c r="CC126" s="10318"/>
      <c r="CD126" s="10319"/>
      <c r="CE126" s="10320"/>
      <c r="CF126" s="10321"/>
      <c r="CG126" s="10322"/>
      <c r="CH126" s="10323"/>
      <c r="CI126" s="10324"/>
      <c r="CJ126" s="10325"/>
      <c r="CK126" s="10326"/>
      <c r="CL126" s="10327"/>
      <c r="CM126" s="10328"/>
      <c r="CN126" s="10329"/>
      <c r="CO126" s="10067"/>
      <c r="CP126" s="10330"/>
    </row>
    <row r="127" spans="1:94">
      <c r="A127" s="10331"/>
      <c r="B127" s="10332"/>
      <c r="C127" s="10333"/>
      <c r="D127" s="10334"/>
      <c r="E127" s="10335"/>
      <c r="F127" s="10336"/>
      <c r="G127" s="10337"/>
      <c r="H127" s="10338"/>
      <c r="I127" s="10339"/>
      <c r="J127" s="10340"/>
      <c r="K127" s="10341"/>
      <c r="L127" s="10342"/>
      <c r="M127" s="10343"/>
      <c r="N127" s="10344"/>
      <c r="O127" s="10345"/>
      <c r="P127" s="10346"/>
      <c r="Q127" s="10347" t="s">
        <v>995</v>
      </c>
      <c r="R127" s="10348"/>
      <c r="S127" s="10349"/>
      <c r="T127" s="10350"/>
      <c r="U127" s="10351"/>
      <c r="V127" s="10352"/>
      <c r="W127" s="10353"/>
      <c r="X127" s="10354"/>
      <c r="Y127" s="9673"/>
      <c r="Z127" s="10355"/>
      <c r="AA127" s="10356"/>
      <c r="AB127" s="10357"/>
      <c r="AC127" s="9916"/>
      <c r="AD127" s="10358"/>
      <c r="AE127" s="10359"/>
      <c r="AF127" s="10360"/>
      <c r="AG127" s="10361"/>
      <c r="AH127" s="10362"/>
      <c r="AI127" s="10363"/>
      <c r="AJ127" s="10364"/>
      <c r="AK127" s="10365"/>
      <c r="AL127" s="10366"/>
      <c r="AM127" s="10598">
        <f>AM126+1</f>
        <v>5</v>
      </c>
      <c r="AN127" s="10598">
        <f t="shared" ref="AN127:AU127" si="0">AN126+1</f>
        <v>7</v>
      </c>
      <c r="AO127" s="10598">
        <f t="shared" si="0"/>
        <v>5</v>
      </c>
      <c r="AP127" s="10598">
        <f t="shared" si="0"/>
        <v>2</v>
      </c>
      <c r="AQ127" s="10598">
        <f t="shared" si="0"/>
        <v>7</v>
      </c>
      <c r="AR127" s="10598">
        <f t="shared" si="0"/>
        <v>3</v>
      </c>
      <c r="AS127" s="10598">
        <f t="shared" si="0"/>
        <v>7</v>
      </c>
      <c r="AT127" s="10598">
        <f t="shared" si="0"/>
        <v>5</v>
      </c>
      <c r="AU127" s="10598">
        <f t="shared" si="0"/>
        <v>6</v>
      </c>
      <c r="AV127" s="10368"/>
      <c r="AW127" s="10369"/>
      <c r="AX127" s="10370"/>
      <c r="AY127" s="10371"/>
      <c r="AZ127" s="10372"/>
      <c r="BA127" s="10373" t="s">
        <v>993</v>
      </c>
      <c r="BB127" s="10374"/>
      <c r="BC127" s="10375"/>
      <c r="BD127" s="10376"/>
      <c r="BE127" s="10377"/>
      <c r="BF127" s="10378"/>
      <c r="BG127" s="10379"/>
      <c r="BH127" s="10380"/>
      <c r="BI127" s="10381"/>
      <c r="BJ127" s="10382"/>
      <c r="BK127" s="10383"/>
      <c r="BL127" s="10384"/>
      <c r="BM127" s="10385"/>
      <c r="BN127" s="10386"/>
      <c r="BO127" s="10034"/>
      <c r="BP127" s="10387"/>
      <c r="BQ127" s="10388"/>
      <c r="BR127" s="10389"/>
      <c r="BS127" s="10390"/>
      <c r="BT127" s="10391"/>
      <c r="BU127" s="10392"/>
      <c r="BV127" s="10393"/>
      <c r="BW127" s="10394"/>
      <c r="BX127" s="10395"/>
      <c r="BY127" s="10396"/>
      <c r="BZ127" s="10397"/>
      <c r="CA127" s="10397"/>
      <c r="CB127" s="10398"/>
      <c r="CC127" s="10399"/>
      <c r="CD127" s="10400"/>
      <c r="CE127" s="10401"/>
      <c r="CF127" s="10402"/>
      <c r="CG127" s="10403"/>
      <c r="CH127" s="10404"/>
      <c r="CI127" s="10405"/>
      <c r="CJ127" s="10406"/>
      <c r="CK127" s="10407"/>
      <c r="CL127" s="10408"/>
      <c r="CM127" s="10409"/>
      <c r="CN127" s="10410"/>
      <c r="CO127" s="10411"/>
      <c r="CP127" s="10412"/>
    </row>
    <row r="128" spans="1:94" ht="16.5" thickBot="1">
      <c r="A128" s="10413"/>
      <c r="B128" s="10414"/>
      <c r="C128" s="10415"/>
      <c r="D128" s="10416"/>
      <c r="E128" s="10417"/>
      <c r="F128" s="10418"/>
      <c r="G128" s="10419"/>
      <c r="H128" s="10420"/>
      <c r="I128" s="10421"/>
      <c r="J128" s="10422"/>
      <c r="K128" s="10423"/>
      <c r="L128" s="10424"/>
      <c r="M128" s="10425"/>
      <c r="N128" s="10426"/>
      <c r="O128" s="10129"/>
      <c r="P128" s="10427"/>
      <c r="Q128" s="10428" t="s">
        <v>995</v>
      </c>
      <c r="R128" s="10429"/>
      <c r="S128" s="10430"/>
      <c r="T128" s="10431"/>
      <c r="U128" s="10432"/>
      <c r="V128" s="10433"/>
      <c r="W128" s="10353"/>
      <c r="X128" s="10434"/>
      <c r="Y128" s="10264"/>
      <c r="Z128" s="10435"/>
      <c r="AA128" s="10264"/>
      <c r="AB128" s="10436"/>
      <c r="AC128" s="10437"/>
      <c r="AD128" s="9909"/>
      <c r="AE128" s="10438"/>
      <c r="AF128" s="10439"/>
      <c r="AG128" s="10440"/>
      <c r="AH128" s="10441"/>
      <c r="AI128" s="10442"/>
      <c r="AJ128" s="10443"/>
      <c r="AK128" s="10444"/>
      <c r="AL128" s="10445"/>
      <c r="AM128" s="10601" cm="1">
        <f t="array" ref="AM128:AU128">AM127:AU127/AM126:AU126</f>
        <v>1.25</v>
      </c>
      <c r="AN128" s="10602">
        <v>1.1666666666666667</v>
      </c>
      <c r="AO128" s="10602">
        <v>1.25</v>
      </c>
      <c r="AP128" s="10602">
        <v>2</v>
      </c>
      <c r="AQ128" s="10602">
        <v>1.1666666666666667</v>
      </c>
      <c r="AR128" s="10602">
        <v>1.5</v>
      </c>
      <c r="AS128" s="10602">
        <v>1.1666666666666667</v>
      </c>
      <c r="AT128" s="10602">
        <v>1.25</v>
      </c>
      <c r="AU128" s="10603">
        <v>1.2</v>
      </c>
      <c r="AV128" s="10446"/>
      <c r="AW128" s="10447"/>
      <c r="AX128" s="10448"/>
      <c r="AY128" s="10449"/>
      <c r="AZ128" s="10450"/>
      <c r="BA128" s="10451" t="s">
        <v>993</v>
      </c>
      <c r="BB128" s="10452"/>
      <c r="BC128" s="10453"/>
      <c r="BD128" s="10454"/>
      <c r="BE128" s="10455"/>
      <c r="BF128" s="10456"/>
      <c r="BG128" s="10457"/>
      <c r="BH128" s="10458"/>
      <c r="BI128" s="10359"/>
      <c r="BJ128" s="10459"/>
      <c r="BK128" s="10460"/>
      <c r="BL128" s="10461"/>
      <c r="BM128" s="10462"/>
      <c r="BN128" s="10463"/>
      <c r="BO128" s="10464"/>
      <c r="BP128" s="10380"/>
      <c r="BQ128" s="10465"/>
      <c r="BR128" s="10466"/>
      <c r="BS128" s="10467"/>
      <c r="BT128" s="10468"/>
      <c r="BU128" s="10469"/>
      <c r="BV128" s="10470"/>
      <c r="BW128" s="10471"/>
      <c r="BX128" s="10472"/>
      <c r="BY128" s="10473"/>
      <c r="BZ128" s="10474"/>
      <c r="CA128" s="10475"/>
      <c r="CB128" s="10476"/>
      <c r="CC128" s="10477"/>
      <c r="CD128" s="10478"/>
      <c r="CE128" s="10479"/>
      <c r="CF128" s="10480"/>
      <c r="CG128" s="10481"/>
      <c r="CH128" s="10482"/>
      <c r="CI128" s="10483"/>
      <c r="CJ128" s="10484"/>
      <c r="CK128" s="10485"/>
      <c r="CL128" s="10486"/>
      <c r="CM128" s="10487"/>
      <c r="CN128" s="10488"/>
      <c r="CO128" s="10489"/>
      <c r="CP128" s="10490"/>
    </row>
    <row r="129" spans="1:94">
      <c r="A129" s="10491"/>
      <c r="B129" s="10492"/>
      <c r="C129" s="10493"/>
      <c r="D129" s="10494"/>
      <c r="E129" s="10495"/>
      <c r="F129" s="10496"/>
      <c r="G129" s="10497"/>
      <c r="H129" s="10498"/>
      <c r="I129" s="10499"/>
      <c r="J129" s="10500"/>
      <c r="K129" s="10501"/>
      <c r="L129" s="10502"/>
      <c r="M129" s="10503"/>
      <c r="N129" s="9438"/>
      <c r="O129" s="10504"/>
      <c r="P129" s="10505"/>
      <c r="Q129" s="6472" t="s">
        <v>994</v>
      </c>
      <c r="R129" s="10506" t="s">
        <v>994</v>
      </c>
      <c r="S129" s="10507" t="s">
        <v>994</v>
      </c>
      <c r="T129" s="10508" t="s">
        <v>994</v>
      </c>
      <c r="U129" s="10509" t="s">
        <v>994</v>
      </c>
      <c r="V129" s="10510" t="s">
        <v>994</v>
      </c>
      <c r="W129" s="10511" t="s">
        <v>994</v>
      </c>
      <c r="X129" s="10512" t="s">
        <v>994</v>
      </c>
      <c r="Y129" s="10513" t="s">
        <v>994</v>
      </c>
      <c r="Z129" s="10514" t="s">
        <v>994</v>
      </c>
      <c r="AA129" s="10515" t="s">
        <v>994</v>
      </c>
      <c r="AB129" s="10516" t="s">
        <v>994</v>
      </c>
      <c r="AC129" s="9515" t="s">
        <v>994</v>
      </c>
      <c r="AD129" s="10517" t="s">
        <v>994</v>
      </c>
      <c r="AE129" s="10518" t="s">
        <v>994</v>
      </c>
      <c r="AF129" s="10519" t="s">
        <v>994</v>
      </c>
      <c r="AG129" s="10520" t="s">
        <v>994</v>
      </c>
      <c r="AH129" s="10521" t="s">
        <v>994</v>
      </c>
      <c r="AI129" s="10522" t="s">
        <v>994</v>
      </c>
      <c r="AJ129" s="10523" t="s">
        <v>994</v>
      </c>
      <c r="AK129" s="10366" t="s">
        <v>994</v>
      </c>
      <c r="AL129" s="10524" t="s">
        <v>994</v>
      </c>
      <c r="AM129" s="10573">
        <f>SUM(AM126:AU128)</f>
        <v>96.950000000000017</v>
      </c>
      <c r="AN129" s="10525" t="s">
        <v>994</v>
      </c>
      <c r="AO129" s="10367" t="s">
        <v>994</v>
      </c>
      <c r="AP129" s="10526" t="s">
        <v>994</v>
      </c>
      <c r="AQ129" s="10527" t="s">
        <v>994</v>
      </c>
      <c r="AR129" s="10528" t="s">
        <v>994</v>
      </c>
      <c r="AS129" s="10573">
        <f>SUM(AS127:AU128)</f>
        <v>21.616666666666667</v>
      </c>
      <c r="AT129" s="10529" t="s">
        <v>994</v>
      </c>
      <c r="AU129" s="10368" t="s">
        <v>994</v>
      </c>
      <c r="AV129" s="10527" t="s">
        <v>994</v>
      </c>
      <c r="AW129" s="10446" t="s">
        <v>994</v>
      </c>
      <c r="AX129" s="10530" t="s">
        <v>994</v>
      </c>
      <c r="AY129" s="10531" t="s">
        <v>994</v>
      </c>
      <c r="AZ129" s="10532" t="s">
        <v>994</v>
      </c>
      <c r="BA129" s="113" t="s">
        <v>993</v>
      </c>
      <c r="BB129" s="10533"/>
      <c r="BC129" s="10534"/>
      <c r="BD129" s="10535"/>
      <c r="BE129" s="10536"/>
      <c r="BF129" s="10537"/>
      <c r="BG129" s="8984"/>
      <c r="BH129" s="10538"/>
      <c r="BI129" s="10538"/>
      <c r="BJ129" s="10539"/>
      <c r="BK129" s="10540"/>
      <c r="BL129" s="10541"/>
      <c r="BM129" s="10542"/>
      <c r="BN129" s="10543"/>
      <c r="BO129" s="10544"/>
      <c r="BP129" s="10545"/>
      <c r="BQ129" s="10546"/>
      <c r="BR129" s="10547"/>
      <c r="BS129" s="10548"/>
      <c r="BT129" s="10549"/>
      <c r="BU129" s="10550"/>
      <c r="BV129" s="10551"/>
      <c r="BW129" s="10552"/>
      <c r="BX129" s="10553"/>
      <c r="BY129" s="10554"/>
      <c r="BZ129" s="10555"/>
      <c r="CA129" s="10556"/>
      <c r="CB129" s="10557"/>
      <c r="CC129" s="10558"/>
      <c r="CD129" s="10559"/>
      <c r="CE129" s="10560"/>
      <c r="CF129" s="10561"/>
      <c r="CG129" s="10562"/>
      <c r="CH129" s="10563"/>
      <c r="CI129" s="10564"/>
      <c r="CJ129" s="10565"/>
      <c r="CK129" s="10566"/>
      <c r="CL129" s="10567"/>
      <c r="CM129" s="10568"/>
      <c r="CN129" s="10569"/>
      <c r="CO129" s="10570"/>
      <c r="CP129" s="10571"/>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039E6-0AA5-44EB-A199-9D0A823F759C}">
  <sheetPr codeName="Sheet1">
    <tabColor rgb="FF001838"/>
  </sheetPr>
  <dimension ref="B1:XX1000"/>
  <sheetViews>
    <sheetView showGridLines="0" zoomScale="70" zoomScaleNormal="70" workbookViewId="0"/>
  </sheetViews>
  <sheetFormatPr defaultColWidth="8.85546875" defaultRowHeight="15"/>
  <cols>
    <col min="1" max="1" width="3.28515625" customWidth="1"/>
    <col min="2" max="2" width="14.42578125" customWidth="1"/>
    <col min="3" max="3" width="11.140625" customWidth="1"/>
    <col min="4" max="4" width="8.42578125" customWidth="1"/>
    <col min="5" max="5" width="13.140625" bestFit="1" customWidth="1"/>
    <col min="6" max="6" width="239.85546875" bestFit="1" customWidth="1"/>
  </cols>
  <sheetData>
    <row r="1" spans="2:6" ht="15.75" thickBot="1"/>
    <row r="2" spans="2:6" ht="16.5" thickBot="1">
      <c r="B2" s="10614" t="s">
        <v>15</v>
      </c>
      <c r="C2" s="10615" t="s">
        <v>1053</v>
      </c>
      <c r="D2" s="10615" t="s">
        <v>1052</v>
      </c>
      <c r="E2" s="10615" t="s">
        <v>1054</v>
      </c>
      <c r="F2" s="10616" t="s">
        <v>24</v>
      </c>
    </row>
    <row r="3" spans="2:6">
      <c r="B3" s="10617" cm="1">
        <f t="array" ref="B3:B30">_xlfn.SEQUENCE(28,,1)</f>
        <v>1</v>
      </c>
      <c r="C3" s="10617" t="s">
        <v>1011</v>
      </c>
      <c r="D3" s="10617" t="s">
        <v>1057</v>
      </c>
      <c r="E3" s="10617">
        <f>BackgroundCalcs!W2</f>
        <v>1</v>
      </c>
      <c r="F3" t="str">
        <f>BackgroundCalcs!AE2</f>
        <v>"Your first task is to sum up the values in the rows and columns in cells B39:K48. Enter the row and column sums in the dark green cells, including the corner cell L49 (either sum the adjacent rows or columns), then navigate to the dark green cell, Q49."</v>
      </c>
    </row>
    <row r="4" spans="2:6">
      <c r="B4" s="10617">
        <v>2</v>
      </c>
      <c r="C4" s="10617" t="s">
        <v>1055</v>
      </c>
      <c r="D4" s="10617" t="s">
        <v>1070</v>
      </c>
      <c r="E4" s="10617">
        <f>BackgroundCalcs!W3</f>
        <v>1</v>
      </c>
      <c r="F4" t="str">
        <f>BackgroundCalcs!AE3</f>
        <v>"Go to the next tab to the right (""Maze Tab""). Follow the arrows through the maze. Each time you go off the path you will be penalized 1 second."</v>
      </c>
    </row>
    <row r="5" spans="2:6">
      <c r="B5" s="10617">
        <v>3</v>
      </c>
      <c r="C5" s="10617" t="s">
        <v>1055</v>
      </c>
      <c r="D5" s="10617" t="s">
        <v>1071</v>
      </c>
      <c r="E5" s="10617">
        <f>BackgroundCalcs!W4</f>
        <v>1</v>
      </c>
      <c r="F5" t="str">
        <f>BackgroundCalcs!AE4</f>
        <v>"Follow the arrows through the maze. Each time you go off the path you will be penalized 1 second."</v>
      </c>
    </row>
    <row r="6" spans="2:6">
      <c r="B6" s="10617">
        <v>4</v>
      </c>
      <c r="C6" s="10617" t="s">
        <v>1055</v>
      </c>
      <c r="D6" s="10617" t="s">
        <v>1072</v>
      </c>
      <c r="E6" s="10617">
        <f>BackgroundCalcs!W5</f>
        <v>1</v>
      </c>
      <c r="F6" t="str">
        <f>BackgroundCalcs!AE5</f>
        <v>"Follow the arrows through the maze. Each time you go off the path you will be penalized 1 second."</v>
      </c>
    </row>
    <row r="7" spans="2:6">
      <c r="B7" s="10617">
        <v>5</v>
      </c>
      <c r="C7" s="10617" t="s">
        <v>1055</v>
      </c>
      <c r="D7" s="10617" t="s">
        <v>1073</v>
      </c>
      <c r="E7" s="10617">
        <f>BackgroundCalcs!W6</f>
        <v>1</v>
      </c>
      <c r="F7" t="str">
        <f>BackgroundCalcs!AE6</f>
        <v>"Follow the arrows through the maze. Each time you go off the path you will be penalized 1 second."</v>
      </c>
    </row>
    <row r="8" spans="2:6">
      <c r="B8" s="10617">
        <v>6</v>
      </c>
      <c r="C8" s="10617" t="s">
        <v>1055</v>
      </c>
      <c r="D8" s="10617" t="s">
        <v>1074</v>
      </c>
      <c r="E8" s="10617">
        <f>BackgroundCalcs!W7</f>
        <v>1</v>
      </c>
      <c r="F8" t="str">
        <f>BackgroundCalcs!AE7</f>
        <v>"Follow the arrows through the maze. Each time you go off the path you will be penalized 1 second."</v>
      </c>
    </row>
    <row r="9" spans="2:6">
      <c r="B9" s="10617">
        <v>7</v>
      </c>
      <c r="C9" s="10617" t="s">
        <v>1055</v>
      </c>
      <c r="D9" s="10617" t="s">
        <v>1075</v>
      </c>
      <c r="E9" s="10617">
        <f>BackgroundCalcs!W8</f>
        <v>1</v>
      </c>
      <c r="F9" t="str">
        <f>BackgroundCalcs!AE8</f>
        <v>"Follow the arrows through the maze. Each time you go off the path you will be penalized 1 second."</v>
      </c>
    </row>
    <row r="10" spans="2:6">
      <c r="B10" s="10617">
        <v>8</v>
      </c>
      <c r="C10" s="10617" t="s">
        <v>1055</v>
      </c>
      <c r="D10" s="10617" t="s">
        <v>1076</v>
      </c>
      <c r="E10" s="10617">
        <f>BackgroundCalcs!W9</f>
        <v>1</v>
      </c>
      <c r="F10" t="str">
        <f>BackgroundCalcs!AE9</f>
        <v>"Follow the arrows through the maze. Each time you go off the path you will be penalized 1 second."</v>
      </c>
    </row>
    <row r="11" spans="2:6">
      <c r="B11" s="10617">
        <v>9</v>
      </c>
      <c r="C11" s="10617" t="s">
        <v>1055</v>
      </c>
      <c r="D11" s="10617" t="s">
        <v>1077</v>
      </c>
      <c r="E11" s="10617">
        <f>BackgroundCalcs!W10</f>
        <v>1</v>
      </c>
      <c r="F11" t="str">
        <f>BackgroundCalcs!AE10</f>
        <v>"Follow the arrows through the maze. Each time you go off the path you will be penalized 1 second."</v>
      </c>
    </row>
    <row r="12" spans="2:6">
      <c r="B12" s="10617">
        <v>10</v>
      </c>
      <c r="C12" s="10617" t="s">
        <v>1055</v>
      </c>
      <c r="D12" s="10617" t="s">
        <v>1078</v>
      </c>
      <c r="E12" s="10617">
        <f>BackgroundCalcs!W11</f>
        <v>1</v>
      </c>
      <c r="F12" t="str">
        <f>BackgroundCalcs!AE11</f>
        <v>"Follow the arrows through the maze. Each time you go off the path you will be penalized 1 second."</v>
      </c>
    </row>
    <row r="13" spans="2:6">
      <c r="B13" s="10617">
        <v>11</v>
      </c>
      <c r="C13" s="10617" t="s">
        <v>1055</v>
      </c>
      <c r="D13" s="10617" t="s">
        <v>1079</v>
      </c>
      <c r="E13" s="10617">
        <f>BackgroundCalcs!W12</f>
        <v>1</v>
      </c>
      <c r="F13" t="str">
        <f>BackgroundCalcs!AE12</f>
        <v>"Follow the arrows through the maze. Each time you go off the path you will be penalized 1 second."</v>
      </c>
    </row>
    <row r="14" spans="2:6">
      <c r="B14" s="10617">
        <v>12</v>
      </c>
      <c r="C14" s="10617" t="s">
        <v>1055</v>
      </c>
      <c r="D14" s="10617" t="s">
        <v>1080</v>
      </c>
      <c r="E14" s="10617">
        <f>BackgroundCalcs!W13</f>
        <v>1</v>
      </c>
      <c r="F14" t="str">
        <f>BackgroundCalcs!AE13</f>
        <v>"Follow the arrows through the maze. Each time you go off the path you will be penalized 1 second."</v>
      </c>
    </row>
    <row r="15" spans="2:6">
      <c r="B15" s="10617">
        <v>13</v>
      </c>
      <c r="C15" s="10617" t="s">
        <v>1055</v>
      </c>
      <c r="D15" s="10617" t="s">
        <v>1081</v>
      </c>
      <c r="E15" s="10617">
        <f>BackgroundCalcs!W14</f>
        <v>1</v>
      </c>
      <c r="F15" t="str">
        <f>BackgroundCalcs!AE14</f>
        <v>"Follow the arrows through the maze. Each time you go off the path you will be penalized 1 second."</v>
      </c>
    </row>
    <row r="16" spans="2:6">
      <c r="B16" s="10617">
        <v>14</v>
      </c>
      <c r="C16" s="10617" t="s">
        <v>1055</v>
      </c>
      <c r="D16" s="10617" t="s">
        <v>1082</v>
      </c>
      <c r="E16" s="10617">
        <f>BackgroundCalcs!W15</f>
        <v>1</v>
      </c>
      <c r="F16" t="str">
        <f>BackgroundCalcs!AE15</f>
        <v>"Follow the arrows through the maze. Each time you go off the path you will be penalized 1 second."</v>
      </c>
    </row>
    <row r="17" spans="2:6">
      <c r="B17" s="10617">
        <v>15</v>
      </c>
      <c r="C17" s="10617" t="s">
        <v>1056</v>
      </c>
      <c r="D17" s="10617" t="s">
        <v>1083</v>
      </c>
      <c r="E17" s="10617">
        <f>BackgroundCalcs!W16</f>
        <v>1</v>
      </c>
      <c r="F17" t="str">
        <f>BackgroundCalcs!AE16</f>
        <v>"Sum the values in the rectangle below (L16:R20)."</v>
      </c>
    </row>
    <row r="18" spans="2:6">
      <c r="B18" s="10617">
        <v>16</v>
      </c>
      <c r="C18" s="10617" t="s">
        <v>1056</v>
      </c>
      <c r="D18" s="10617" t="s">
        <v>1084</v>
      </c>
      <c r="E18" s="10617">
        <f>BackgroundCalcs!W17</f>
        <v>1</v>
      </c>
      <c r="F18" t="str">
        <f>BackgroundCalcs!AE17</f>
        <v>"Replace the zeros with twos then sum the rectangle below (AE21:AK25)."</v>
      </c>
    </row>
    <row r="19" spans="2:6">
      <c r="B19" s="10617">
        <v>17</v>
      </c>
      <c r="C19" s="10617" t="s">
        <v>1056</v>
      </c>
      <c r="D19" s="10617" t="s">
        <v>1085</v>
      </c>
      <c r="E19" s="10617">
        <f ca="1">BackgroundCalcs!W18</f>
        <v>1</v>
      </c>
      <c r="F19" t="str">
        <f>BackgroundCalcs!AE18</f>
        <v>"Sum the values of the left-most and right-most columns of the rectangle below (P31:V35)."</v>
      </c>
    </row>
    <row r="20" spans="2:6">
      <c r="B20" s="10617">
        <v>18</v>
      </c>
      <c r="C20" s="10617" t="s">
        <v>1056</v>
      </c>
      <c r="D20" s="10617" t="s">
        <v>1086</v>
      </c>
      <c r="E20" s="10617">
        <f>BackgroundCalcs!W19</f>
        <v>1</v>
      </c>
      <c r="F20" t="str">
        <f>BackgroundCalcs!AE19</f>
        <v>"Follow the arrows along the path. Each time you go off the path you will be penalized 1 second."</v>
      </c>
    </row>
    <row r="21" spans="2:6">
      <c r="B21" s="10617">
        <v>19</v>
      </c>
      <c r="C21" s="10617" t="s">
        <v>1056</v>
      </c>
      <c r="D21" s="10617" t="s">
        <v>1087</v>
      </c>
      <c r="E21" s="10617">
        <f>BackgroundCalcs!W20</f>
        <v>1</v>
      </c>
      <c r="F21" t="str">
        <f>BackgroundCalcs!AE20</f>
        <v>"Follow the arrows along the path. Each time you go off the path you will be penalized 1 second."</v>
      </c>
    </row>
    <row r="22" spans="2:6">
      <c r="B22" s="10617">
        <v>20</v>
      </c>
      <c r="C22" s="10617" t="s">
        <v>1056</v>
      </c>
      <c r="D22" s="10617" t="s">
        <v>1088</v>
      </c>
      <c r="E22" s="10617">
        <f>BackgroundCalcs!W21</f>
        <v>1</v>
      </c>
      <c r="F22" t="str">
        <f>BackgroundCalcs!AE21</f>
        <v>"Follow the arrows along the path. Each time you go off the path you will be penalized 1 second."</v>
      </c>
    </row>
    <row r="23" spans="2:6">
      <c r="B23" s="10617">
        <v>21</v>
      </c>
      <c r="C23" s="10617" t="s">
        <v>1056</v>
      </c>
      <c r="D23" s="10617" t="s">
        <v>1089</v>
      </c>
      <c r="E23" s="10617">
        <f>BackgroundCalcs!W22</f>
        <v>1</v>
      </c>
      <c r="F23" t="str">
        <f>BackgroundCalcs!AE22</f>
        <v>"In cells AM127:AU127, add 1 to each value in the cells above (AM126:AU126). In cells AM128:AU128, divide the values in cells AM127:AU127 by the values in cells AM126:AU126. Finally, sum the range AM126:AU128 and enter it in cell AM129."</v>
      </c>
    </row>
    <row r="24" spans="2:6">
      <c r="B24" s="10617">
        <v>22</v>
      </c>
      <c r="C24" s="10617" t="s">
        <v>1056</v>
      </c>
      <c r="D24" s="10617" t="s">
        <v>1090</v>
      </c>
      <c r="E24" s="10617">
        <f>BackgroundCalcs!W23</f>
        <v>1</v>
      </c>
      <c r="F24" t="str">
        <f>BackgroundCalcs!AE23</f>
        <v>"Copy the values in cells AS127:AU128. Go to cell AR72 and paste values. Sum the values in AR72:AT73 and enter it in cell AS129."</v>
      </c>
    </row>
    <row r="25" spans="2:6">
      <c r="B25" s="10617">
        <v>23</v>
      </c>
      <c r="C25" s="10617" t="s">
        <v>1056</v>
      </c>
      <c r="D25" s="10617" t="s">
        <v>1091</v>
      </c>
      <c r="E25" s="10617">
        <f>BackgroundCalcs!W24</f>
        <v>1</v>
      </c>
      <c r="F25" t="str">
        <f>BackgroundCalcs!AE24</f>
        <v>"Follow the arrows along the path. Each time you go off the path you will be penalized 1 second."</v>
      </c>
    </row>
    <row r="26" spans="2:6">
      <c r="B26" s="10617">
        <v>24</v>
      </c>
      <c r="C26" s="10617" t="s">
        <v>1056</v>
      </c>
      <c r="D26" s="10617" t="s">
        <v>1092</v>
      </c>
      <c r="E26" s="10617">
        <f>BackgroundCalcs!W25</f>
        <v>1</v>
      </c>
      <c r="F26" t="str">
        <f>BackgroundCalcs!AE25</f>
        <v>"In cells AX51:BB56, fill in the integers from 1 to 30 in this arrangement: " &amp; vbCrLf &amp; "1  2  3  4  5" &amp; vbCrLf &amp; "6  7  8  9 10" &amp; vbCrLf &amp; "11 12 13 14 15" &amp; vbCrLf &amp; "16 17 18 19 20" &amp; vbCrLf &amp; "21 22 23 24 25" &amp; vbCrLf &amp; "26 27 28 29 30. Then sum the values in AX51:BB56 in cell BA57."</v>
      </c>
    </row>
    <row r="27" spans="2:6">
      <c r="B27" s="10617">
        <v>25</v>
      </c>
      <c r="C27" s="10617" t="s">
        <v>1056</v>
      </c>
      <c r="D27" s="10617" t="s">
        <v>1093</v>
      </c>
      <c r="E27" s="10617">
        <f ca="1">BackgroundCalcs!W26</f>
        <v>1</v>
      </c>
      <c r="F27" t="str">
        <f>BackgroundCalcs!AE26</f>
        <v>"Count the number of blank cells in the rectange below (BR23:CD33)."</v>
      </c>
    </row>
    <row r="28" spans="2:6">
      <c r="B28" s="10617">
        <v>26</v>
      </c>
      <c r="C28" s="10617" t="s">
        <v>1056</v>
      </c>
      <c r="D28" s="10617" t="s">
        <v>1094</v>
      </c>
      <c r="E28" s="10617">
        <f>BackgroundCalcs!W27</f>
        <v>1</v>
      </c>
      <c r="F28" t="str">
        <f>BackgroundCalcs!AE27</f>
        <v>"Fill in the blank cells in the rectangle below (BV93:CA97) with the number three then sum the values in the rectangle."</v>
      </c>
    </row>
    <row r="29" spans="2:6">
      <c r="B29" s="10617">
        <v>27</v>
      </c>
      <c r="C29" s="10617" t="s">
        <v>1056</v>
      </c>
      <c r="D29" s="10617" t="s">
        <v>1095</v>
      </c>
      <c r="E29" s="10617">
        <f ca="1">BackgroundCalcs!W28</f>
        <v>1</v>
      </c>
      <c r="F29" t="str">
        <f>BackgroundCalcs!AE28</f>
        <v>"Sum the odd values in the rectangle below (BR23:CD33)."</v>
      </c>
    </row>
    <row r="30" spans="2:6">
      <c r="B30" s="10617">
        <v>28</v>
      </c>
      <c r="C30" s="10617" t="s">
        <v>1056</v>
      </c>
      <c r="D30" s="10617" t="s">
        <v>1096</v>
      </c>
      <c r="E30" s="10617">
        <f>BackgroundCalcs!W29</f>
        <v>1</v>
      </c>
      <c r="F30" t="str">
        <f>BackgroundCalcs!AE29</f>
        <v>"Go to cell CE6 to complete the speed challenge."</v>
      </c>
    </row>
    <row r="31" spans="2:6">
      <c r="B31" s="10617"/>
    </row>
    <row r="1000" spans="648:648" ht="15.75">
      <c r="XX1000" s="10641">
        <v>125713</v>
      </c>
    </row>
  </sheetData>
  <conditionalFormatting sqref="E3:E30">
    <cfRule type="iconSet" priority="1">
      <iconSet iconSet="3Symbols" showValue="0">
        <cfvo type="percent" val="0"/>
        <cfvo type="num" val="0" gte="0"/>
        <cfvo type="num" val="1"/>
      </iconSet>
    </cfRule>
    <cfRule type="iconSet" priority="2">
      <iconSet iconSet="3Symbols">
        <cfvo type="percent" val="0"/>
        <cfvo type="percent" val="33"/>
        <cfvo type="percent" val="67"/>
      </iconSet>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1D967-8F43-493B-8C81-43C90010F3B5}">
  <sheetPr codeName="Sheet7">
    <tabColor rgb="FF001838"/>
  </sheetPr>
  <dimension ref="A1:XX1000"/>
  <sheetViews>
    <sheetView topLeftCell="A3" zoomScale="115" zoomScaleNormal="115" workbookViewId="0">
      <selection activeCell="A139" sqref="A139"/>
    </sheetView>
  </sheetViews>
  <sheetFormatPr defaultColWidth="0" defaultRowHeight="15" customHeight="1" zeroHeight="1"/>
  <cols>
    <col min="1" max="1" width="3.140625" style="15" customWidth="1"/>
    <col min="2" max="2" width="19.85546875" style="11" customWidth="1"/>
    <col min="3" max="5" width="19.85546875" style="15" customWidth="1"/>
    <col min="6" max="6" width="3.140625" style="15" customWidth="1"/>
    <col min="7" max="8" width="0" style="15" hidden="1" customWidth="1"/>
    <col min="9" max="26" width="8.85546875" style="15" hidden="1"/>
    <col min="27" max="69" width="5.85546875" style="15" hidden="1" customWidth="1"/>
    <col min="70" max="70" width="8.85546875" style="15" hidden="1" customWidth="1"/>
    <col min="71" max="71" width="5.85546875" style="15" hidden="1" customWidth="1"/>
    <col min="72" max="72" width="8.85546875" style="15" hidden="1" customWidth="1"/>
    <col min="73" max="103" width="5.85546875" style="15" hidden="1" customWidth="1"/>
    <col min="104" max="104" width="8.85546875" style="15" hidden="1" customWidth="1"/>
    <col min="105" max="16384" width="8.85546875" style="15" hidden="1"/>
  </cols>
  <sheetData>
    <row r="1" spans="1:99" ht="18.75">
      <c r="A1" s="23"/>
      <c r="B1" s="24"/>
      <c r="C1" s="23"/>
      <c r="D1" s="23"/>
      <c r="E1" s="23"/>
      <c r="F1" s="23"/>
    </row>
    <row r="2" spans="1:99" ht="18.75">
      <c r="A2" s="45">
        <f>IF(ISNUMBER(E16),1,0)</f>
        <v>1</v>
      </c>
      <c r="B2" s="24" t="str">
        <f>SpreadsheetName</f>
        <v>MECC 2025 Regionals - Speed Challenge - Varsity</v>
      </c>
      <c r="C2" s="23"/>
      <c r="D2" s="23"/>
      <c r="E2" s="23"/>
      <c r="F2" s="23"/>
    </row>
    <row r="3" spans="1:99">
      <c r="A3" s="23"/>
      <c r="B3" s="25"/>
      <c r="C3" s="23"/>
      <c r="D3" s="23"/>
      <c r="E3" s="23"/>
      <c r="F3" s="23"/>
    </row>
    <row r="4" spans="1:99" ht="16.5" thickBot="1">
      <c r="A4" s="23"/>
      <c r="B4" s="26" t="s">
        <v>60</v>
      </c>
      <c r="C4" s="23"/>
      <c r="D4" s="23"/>
      <c r="E4" s="23"/>
      <c r="F4" s="23"/>
    </row>
    <row r="5" spans="1:99" ht="39.75" customHeight="1" thickBot="1">
      <c r="A5" s="23"/>
      <c r="B5" s="27" t="str">
        <f>BackgroundCalcs!D55</f>
        <v>I finished the MECC 2025 Regionals - Speed Challenge - Varsity in 634 seconds. Sign up for the Microsoft Excel Collegiate Challenge and give it a try! #ExcelEsports #MECC #ExcelChampionships #DataSkills</v>
      </c>
      <c r="C5" s="28"/>
      <c r="D5" s="28"/>
      <c r="E5" s="29"/>
      <c r="F5" s="23"/>
    </row>
    <row r="6" spans="1:99" ht="15.75" thickBot="1">
      <c r="A6" s="23"/>
      <c r="B6" s="23"/>
      <c r="C6" s="23"/>
      <c r="D6" s="23"/>
      <c r="E6" s="23"/>
      <c r="F6" s="23"/>
    </row>
    <row r="7" spans="1:99">
      <c r="A7" s="23"/>
      <c r="B7" s="23"/>
      <c r="C7" s="10652" t="str">
        <f>HYPERLINK(BackgroundCalcs!D65,"Post to Twitter/X")</f>
        <v>Post to Twitter/X</v>
      </c>
      <c r="D7" s="10652" t="str">
        <f>HYPERLINK(BackgroundCalcs!D59,"Post to LinkedIn")</f>
        <v>Post to LinkedIn</v>
      </c>
      <c r="E7" s="23"/>
      <c r="F7" s="23"/>
    </row>
    <row r="8" spans="1:99" ht="15.75" thickBot="1">
      <c r="A8" s="23"/>
      <c r="B8" s="23"/>
      <c r="C8" s="10653"/>
      <c r="D8" s="10653"/>
      <c r="E8" s="23"/>
      <c r="F8" s="23"/>
      <c r="CT8" s="22"/>
      <c r="CU8" s="22"/>
    </row>
    <row r="9" spans="1:99">
      <c r="A9" s="23"/>
      <c r="B9" s="23"/>
      <c r="C9" s="23"/>
      <c r="D9" s="23"/>
      <c r="E9" s="23"/>
      <c r="F9" s="23"/>
    </row>
    <row r="10" spans="1:99">
      <c r="A10" s="23"/>
      <c r="B10" s="30" t="s">
        <v>61</v>
      </c>
      <c r="C10" s="23"/>
      <c r="D10" s="23"/>
      <c r="E10" s="23"/>
      <c r="F10" s="23"/>
    </row>
    <row r="11" spans="1:99" ht="15.75" thickBot="1">
      <c r="A11" s="23"/>
      <c r="B11" s="31" t="s">
        <v>62</v>
      </c>
      <c r="C11" s="31" t="s">
        <v>63</v>
      </c>
      <c r="D11" s="31" t="s">
        <v>64</v>
      </c>
      <c r="E11" s="31" t="s">
        <v>38</v>
      </c>
      <c r="F11" s="23"/>
      <c r="BF11" s="32"/>
    </row>
    <row r="12" spans="1:99">
      <c r="A12" s="23"/>
      <c r="B12" s="33">
        <v>46084.946273148147</v>
      </c>
      <c r="C12" s="34">
        <v>624</v>
      </c>
      <c r="D12" s="34">
        <v>10</v>
      </c>
      <c r="E12" s="35">
        <v>634</v>
      </c>
      <c r="F12" s="23"/>
    </row>
    <row r="13" spans="1:99">
      <c r="A13" s="23"/>
      <c r="B13" s="23"/>
      <c r="C13" s="23"/>
      <c r="D13" s="23"/>
      <c r="E13" s="23"/>
      <c r="F13" s="23"/>
    </row>
    <row r="14" spans="1:99" ht="15.75" thickBot="1">
      <c r="A14" s="23"/>
      <c r="B14" s="30" t="s">
        <v>65</v>
      </c>
      <c r="C14" s="23"/>
      <c r="D14" s="23"/>
      <c r="E14" s="23"/>
      <c r="F14" s="23"/>
    </row>
    <row r="15" spans="1:99" ht="15.75" thickBot="1">
      <c r="A15" s="23"/>
      <c r="B15" s="31" t="s">
        <v>62</v>
      </c>
      <c r="C15" s="31" t="s">
        <v>63</v>
      </c>
      <c r="D15" s="31" t="s">
        <v>64</v>
      </c>
      <c r="E15" s="31" t="s">
        <v>38</v>
      </c>
      <c r="F15" s="23"/>
      <c r="BP15" s="36"/>
      <c r="BR15" s="36"/>
      <c r="BT15" s="36"/>
      <c r="BW15" s="32"/>
      <c r="BY15" s="32"/>
      <c r="CA15" s="32"/>
      <c r="CC15" s="37"/>
    </row>
    <row r="16" spans="1:99">
      <c r="A16" s="23"/>
      <c r="B16" s="33">
        <f>IF(ISBLANK(B20),"",INDEX(B20:B138,MATCH(C16,C20:C138,0)))</f>
        <v>46084.946273148147</v>
      </c>
      <c r="C16" s="34">
        <f>IF(ISBLANK(C20),"",INDEX(C20:C138,MATCH($E$16,$E$20:$E$138,0)))</f>
        <v>624</v>
      </c>
      <c r="D16" s="34">
        <f>IF(ISBLANK(D20),"",INDEX(D20:D138,MATCH($E$16,$E$20:$E$138,0)))</f>
        <v>10</v>
      </c>
      <c r="E16" s="35">
        <f>IF(ISBLANK(E20),"",MIN(E20:E138))</f>
        <v>634</v>
      </c>
      <c r="F16" s="23"/>
    </row>
    <row r="17" spans="1:104">
      <c r="A17" s="23"/>
      <c r="B17" s="23"/>
      <c r="C17" s="23"/>
      <c r="D17" s="23"/>
      <c r="E17" s="23"/>
      <c r="F17" s="23"/>
      <c r="CZ17" s="32"/>
    </row>
    <row r="18" spans="1:104">
      <c r="A18" s="23"/>
      <c r="B18" s="30" t="s">
        <v>66</v>
      </c>
      <c r="C18" s="23"/>
      <c r="D18" s="23"/>
      <c r="E18" s="23"/>
      <c r="F18" s="23"/>
    </row>
    <row r="19" spans="1:104" ht="15.75" thickBot="1">
      <c r="A19" s="23"/>
      <c r="B19" s="31" t="s">
        <v>62</v>
      </c>
      <c r="C19" s="31" t="s">
        <v>63</v>
      </c>
      <c r="D19" s="31" t="s">
        <v>64</v>
      </c>
      <c r="E19" s="31" t="s">
        <v>38</v>
      </c>
      <c r="F19" s="23"/>
    </row>
    <row r="20" spans="1:104">
      <c r="A20" s="23"/>
      <c r="B20" s="33">
        <v>46084.946273148147</v>
      </c>
      <c r="C20" s="35">
        <v>624</v>
      </c>
      <c r="D20" s="35">
        <v>10</v>
      </c>
      <c r="E20" s="35">
        <v>634</v>
      </c>
      <c r="F20" s="23"/>
    </row>
    <row r="21" spans="1:104">
      <c r="A21" s="23"/>
      <c r="B21" s="33"/>
      <c r="C21" s="35"/>
      <c r="D21" s="35"/>
      <c r="E21" s="35"/>
      <c r="F21" s="23"/>
    </row>
    <row r="22" spans="1:104">
      <c r="A22" s="23"/>
      <c r="B22" s="33"/>
      <c r="C22" s="35"/>
      <c r="D22" s="35"/>
      <c r="E22" s="35"/>
      <c r="F22" s="23"/>
    </row>
    <row r="23" spans="1:104">
      <c r="A23" s="23"/>
      <c r="B23" s="33"/>
      <c r="C23" s="35"/>
      <c r="D23" s="35"/>
      <c r="E23" s="35"/>
      <c r="F23" s="23"/>
    </row>
    <row r="24" spans="1:104">
      <c r="A24" s="23"/>
      <c r="B24" s="33"/>
      <c r="C24" s="35"/>
      <c r="D24" s="35"/>
      <c r="E24" s="35"/>
      <c r="F24" s="23"/>
    </row>
    <row r="25" spans="1:104">
      <c r="A25" s="23"/>
      <c r="B25" s="33"/>
      <c r="C25" s="35"/>
      <c r="D25" s="35"/>
      <c r="E25" s="35"/>
      <c r="F25" s="23"/>
    </row>
    <row r="26" spans="1:104">
      <c r="A26" s="23"/>
      <c r="B26" s="33"/>
      <c r="C26" s="35"/>
      <c r="D26" s="35"/>
      <c r="E26" s="35"/>
      <c r="F26" s="23"/>
    </row>
    <row r="27" spans="1:104">
      <c r="A27" s="23"/>
      <c r="B27" s="33"/>
      <c r="C27" s="35"/>
      <c r="D27" s="35"/>
      <c r="E27" s="35"/>
      <c r="F27" s="23"/>
    </row>
    <row r="28" spans="1:104">
      <c r="A28" s="23"/>
      <c r="B28" s="33"/>
      <c r="C28" s="35"/>
      <c r="D28" s="35"/>
      <c r="E28" s="35"/>
      <c r="F28" s="23"/>
    </row>
    <row r="29" spans="1:104">
      <c r="A29" s="23"/>
      <c r="B29" s="33"/>
      <c r="C29" s="35"/>
      <c r="D29" s="35"/>
      <c r="E29" s="35"/>
      <c r="F29" s="23"/>
    </row>
    <row r="30" spans="1:104">
      <c r="A30" s="23"/>
      <c r="B30" s="33"/>
      <c r="C30" s="35"/>
      <c r="D30" s="35"/>
      <c r="E30" s="35"/>
      <c r="F30" s="23"/>
    </row>
    <row r="31" spans="1:104">
      <c r="A31" s="23"/>
      <c r="B31" s="33"/>
      <c r="C31" s="35"/>
      <c r="D31" s="35"/>
      <c r="E31" s="35"/>
      <c r="F31" s="23"/>
    </row>
    <row r="32" spans="1:104">
      <c r="A32" s="23"/>
      <c r="B32" s="33"/>
      <c r="C32" s="35"/>
      <c r="D32" s="35"/>
      <c r="E32" s="35"/>
      <c r="F32" s="23"/>
    </row>
    <row r="33" spans="1:6">
      <c r="A33" s="23"/>
      <c r="B33" s="33"/>
      <c r="C33" s="35"/>
      <c r="D33" s="35"/>
      <c r="E33" s="35"/>
      <c r="F33" s="23"/>
    </row>
    <row r="34" spans="1:6">
      <c r="A34" s="23"/>
      <c r="B34" s="33"/>
      <c r="C34" s="35"/>
      <c r="D34" s="35"/>
      <c r="E34" s="35"/>
      <c r="F34" s="23"/>
    </row>
    <row r="35" spans="1:6">
      <c r="A35" s="23"/>
      <c r="B35" s="33"/>
      <c r="C35" s="35"/>
      <c r="D35" s="35"/>
      <c r="E35" s="35"/>
      <c r="F35" s="23"/>
    </row>
    <row r="36" spans="1:6">
      <c r="A36" s="23"/>
      <c r="B36" s="33"/>
      <c r="C36" s="35"/>
      <c r="D36" s="35"/>
      <c r="E36" s="35"/>
      <c r="F36" s="23"/>
    </row>
    <row r="37" spans="1:6">
      <c r="A37" s="23"/>
      <c r="B37" s="33"/>
      <c r="C37" s="35"/>
      <c r="D37" s="35"/>
      <c r="E37" s="35"/>
      <c r="F37" s="23"/>
    </row>
    <row r="38" spans="1:6">
      <c r="A38" s="23"/>
      <c r="B38" s="33"/>
      <c r="C38" s="35"/>
      <c r="D38" s="35"/>
      <c r="E38" s="35"/>
      <c r="F38" s="23"/>
    </row>
    <row r="39" spans="1:6">
      <c r="A39" s="23"/>
      <c r="B39" s="33"/>
      <c r="C39" s="35"/>
      <c r="D39" s="35"/>
      <c r="E39" s="35"/>
      <c r="F39" s="23"/>
    </row>
    <row r="40" spans="1:6">
      <c r="A40" s="23"/>
      <c r="B40" s="33"/>
      <c r="C40" s="35"/>
      <c r="D40" s="35"/>
      <c r="E40" s="35"/>
      <c r="F40" s="23"/>
    </row>
    <row r="41" spans="1:6">
      <c r="A41" s="23"/>
      <c r="B41" s="33"/>
      <c r="C41" s="35"/>
      <c r="D41" s="35"/>
      <c r="E41" s="35"/>
      <c r="F41" s="23"/>
    </row>
    <row r="42" spans="1:6">
      <c r="A42" s="23"/>
      <c r="B42" s="33"/>
      <c r="C42" s="35"/>
      <c r="D42" s="35"/>
      <c r="E42" s="35"/>
      <c r="F42" s="23"/>
    </row>
    <row r="43" spans="1:6">
      <c r="A43" s="23"/>
      <c r="B43" s="33"/>
      <c r="C43" s="35"/>
      <c r="D43" s="35"/>
      <c r="E43" s="35"/>
      <c r="F43" s="23"/>
    </row>
    <row r="44" spans="1:6">
      <c r="A44" s="23"/>
      <c r="B44" s="33"/>
      <c r="C44" s="35"/>
      <c r="D44" s="35"/>
      <c r="E44" s="35"/>
      <c r="F44" s="23"/>
    </row>
    <row r="45" spans="1:6">
      <c r="A45" s="23"/>
      <c r="B45" s="33"/>
      <c r="C45" s="35"/>
      <c r="D45" s="35"/>
      <c r="E45" s="35"/>
      <c r="F45" s="23"/>
    </row>
    <row r="46" spans="1:6">
      <c r="A46" s="23"/>
      <c r="B46" s="33"/>
      <c r="C46" s="35"/>
      <c r="D46" s="35"/>
      <c r="E46" s="35"/>
      <c r="F46" s="23"/>
    </row>
    <row r="47" spans="1:6">
      <c r="A47" s="23"/>
      <c r="B47" s="33"/>
      <c r="C47" s="35"/>
      <c r="D47" s="35"/>
      <c r="E47" s="35"/>
      <c r="F47" s="23"/>
    </row>
    <row r="48" spans="1:6">
      <c r="A48" s="23"/>
      <c r="B48" s="33"/>
      <c r="C48" s="35"/>
      <c r="D48" s="35"/>
      <c r="E48" s="35"/>
      <c r="F48" s="23"/>
    </row>
    <row r="49" spans="1:6">
      <c r="A49" s="23"/>
      <c r="B49" s="33"/>
      <c r="C49" s="35"/>
      <c r="D49" s="35"/>
      <c r="E49" s="35"/>
      <c r="F49" s="23"/>
    </row>
    <row r="50" spans="1:6">
      <c r="A50" s="23"/>
      <c r="B50" s="33"/>
      <c r="C50" s="35"/>
      <c r="D50" s="35"/>
      <c r="E50" s="35"/>
      <c r="F50" s="23"/>
    </row>
    <row r="51" spans="1:6">
      <c r="A51" s="23"/>
      <c r="B51" s="33"/>
      <c r="C51" s="35"/>
      <c r="D51" s="35"/>
      <c r="E51" s="35"/>
      <c r="F51" s="23"/>
    </row>
    <row r="52" spans="1:6">
      <c r="A52" s="23"/>
      <c r="B52" s="33"/>
      <c r="C52" s="35"/>
      <c r="D52" s="35"/>
      <c r="E52" s="35"/>
      <c r="F52" s="23"/>
    </row>
    <row r="53" spans="1:6">
      <c r="A53" s="23"/>
      <c r="B53" s="33"/>
      <c r="C53" s="35"/>
      <c r="D53" s="35"/>
      <c r="E53" s="35"/>
      <c r="F53" s="23"/>
    </row>
    <row r="54" spans="1:6">
      <c r="A54" s="23"/>
      <c r="B54" s="33"/>
      <c r="C54" s="35"/>
      <c r="D54" s="35"/>
      <c r="E54" s="35"/>
      <c r="F54" s="23"/>
    </row>
    <row r="55" spans="1:6">
      <c r="A55" s="23"/>
      <c r="B55" s="33"/>
      <c r="C55" s="35"/>
      <c r="D55" s="35"/>
      <c r="E55" s="35"/>
      <c r="F55" s="23"/>
    </row>
    <row r="56" spans="1:6">
      <c r="A56" s="23"/>
      <c r="B56" s="33"/>
      <c r="C56" s="35"/>
      <c r="D56" s="35"/>
      <c r="E56" s="35"/>
      <c r="F56" s="23"/>
    </row>
    <row r="57" spans="1:6">
      <c r="A57" s="23"/>
      <c r="B57" s="33"/>
      <c r="C57" s="35"/>
      <c r="D57" s="35"/>
      <c r="E57" s="35"/>
      <c r="F57" s="23"/>
    </row>
    <row r="58" spans="1:6">
      <c r="A58" s="23"/>
      <c r="B58" s="33"/>
      <c r="C58" s="35"/>
      <c r="D58" s="35"/>
      <c r="E58" s="35"/>
      <c r="F58" s="23"/>
    </row>
    <row r="59" spans="1:6">
      <c r="A59" s="23"/>
      <c r="B59" s="33"/>
      <c r="C59" s="35"/>
      <c r="D59" s="35"/>
      <c r="E59" s="35"/>
      <c r="F59" s="23"/>
    </row>
    <row r="60" spans="1:6">
      <c r="A60" s="23"/>
      <c r="B60" s="33"/>
      <c r="C60" s="35"/>
      <c r="D60" s="35"/>
      <c r="E60" s="35"/>
      <c r="F60" s="23"/>
    </row>
    <row r="61" spans="1:6">
      <c r="A61" s="23"/>
      <c r="B61" s="33"/>
      <c r="C61" s="35"/>
      <c r="D61" s="35"/>
      <c r="E61" s="35"/>
      <c r="F61" s="23"/>
    </row>
    <row r="62" spans="1:6">
      <c r="A62" s="23"/>
      <c r="B62" s="33"/>
      <c r="C62" s="35"/>
      <c r="D62" s="35"/>
      <c r="E62" s="35"/>
      <c r="F62" s="23"/>
    </row>
    <row r="63" spans="1:6">
      <c r="A63" s="23"/>
      <c r="B63" s="33"/>
      <c r="C63" s="35"/>
      <c r="D63" s="35"/>
      <c r="E63" s="35"/>
      <c r="F63" s="23"/>
    </row>
    <row r="64" spans="1:6">
      <c r="A64" s="23"/>
      <c r="B64" s="33"/>
      <c r="C64" s="35"/>
      <c r="D64" s="35"/>
      <c r="E64" s="35"/>
      <c r="F64" s="23"/>
    </row>
    <row r="65" spans="1:6">
      <c r="A65" s="23"/>
      <c r="B65" s="33"/>
      <c r="C65" s="35"/>
      <c r="D65" s="35"/>
      <c r="E65" s="35"/>
      <c r="F65" s="23"/>
    </row>
    <row r="66" spans="1:6">
      <c r="A66" s="23"/>
      <c r="B66" s="33"/>
      <c r="C66" s="35"/>
      <c r="D66" s="35"/>
      <c r="E66" s="35"/>
      <c r="F66" s="23"/>
    </row>
    <row r="67" spans="1:6">
      <c r="A67" s="23"/>
      <c r="B67" s="33"/>
      <c r="C67" s="35"/>
      <c r="D67" s="35"/>
      <c r="E67" s="35"/>
      <c r="F67" s="23"/>
    </row>
    <row r="68" spans="1:6">
      <c r="A68" s="23"/>
      <c r="B68" s="33"/>
      <c r="C68" s="35"/>
      <c r="D68" s="35"/>
      <c r="E68" s="35"/>
      <c r="F68" s="23"/>
    </row>
    <row r="69" spans="1:6">
      <c r="A69" s="23"/>
      <c r="B69" s="33"/>
      <c r="C69" s="35"/>
      <c r="D69" s="35"/>
      <c r="E69" s="35"/>
      <c r="F69" s="23"/>
    </row>
    <row r="70" spans="1:6">
      <c r="A70" s="23"/>
      <c r="B70" s="33"/>
      <c r="C70" s="35"/>
      <c r="D70" s="35"/>
      <c r="E70" s="35"/>
      <c r="F70" s="23"/>
    </row>
    <row r="71" spans="1:6">
      <c r="A71" s="23"/>
      <c r="B71" s="33"/>
      <c r="C71" s="35"/>
      <c r="D71" s="35"/>
      <c r="E71" s="35"/>
      <c r="F71" s="23"/>
    </row>
    <row r="72" spans="1:6">
      <c r="A72" s="23"/>
      <c r="B72" s="33"/>
      <c r="C72" s="35"/>
      <c r="D72" s="35"/>
      <c r="E72" s="35"/>
      <c r="F72" s="23"/>
    </row>
    <row r="73" spans="1:6">
      <c r="A73" s="23"/>
      <c r="B73" s="33"/>
      <c r="C73" s="35"/>
      <c r="D73" s="35"/>
      <c r="E73" s="35"/>
      <c r="F73" s="23"/>
    </row>
    <row r="74" spans="1:6">
      <c r="A74" s="23"/>
      <c r="B74" s="33"/>
      <c r="C74" s="35"/>
      <c r="D74" s="35"/>
      <c r="E74" s="35"/>
      <c r="F74" s="23"/>
    </row>
    <row r="75" spans="1:6">
      <c r="A75" s="23"/>
      <c r="B75" s="33"/>
      <c r="C75" s="35"/>
      <c r="D75" s="35"/>
      <c r="E75" s="35"/>
      <c r="F75" s="23"/>
    </row>
    <row r="76" spans="1:6">
      <c r="A76" s="23"/>
      <c r="B76" s="33"/>
      <c r="C76" s="35"/>
      <c r="D76" s="35"/>
      <c r="E76" s="35"/>
      <c r="F76" s="23"/>
    </row>
    <row r="77" spans="1:6">
      <c r="A77" s="23"/>
      <c r="B77" s="33"/>
      <c r="C77" s="35"/>
      <c r="D77" s="35"/>
      <c r="E77" s="35"/>
      <c r="F77" s="23"/>
    </row>
    <row r="78" spans="1:6">
      <c r="A78" s="23"/>
      <c r="B78" s="33"/>
      <c r="C78" s="35"/>
      <c r="D78" s="35"/>
      <c r="E78" s="35"/>
      <c r="F78" s="23"/>
    </row>
    <row r="79" spans="1:6">
      <c r="A79" s="23"/>
      <c r="B79" s="33"/>
      <c r="C79" s="35"/>
      <c r="D79" s="35"/>
      <c r="E79" s="35"/>
      <c r="F79" s="23"/>
    </row>
    <row r="80" spans="1:6">
      <c r="A80" s="23"/>
      <c r="B80" s="33"/>
      <c r="C80" s="35"/>
      <c r="D80" s="35"/>
      <c r="E80" s="35"/>
      <c r="F80" s="23"/>
    </row>
    <row r="81" spans="1:6">
      <c r="A81" s="23"/>
      <c r="B81" s="33"/>
      <c r="C81" s="35"/>
      <c r="D81" s="35"/>
      <c r="E81" s="35"/>
      <c r="F81" s="23"/>
    </row>
    <row r="82" spans="1:6">
      <c r="A82" s="23"/>
      <c r="B82" s="33"/>
      <c r="C82" s="35"/>
      <c r="D82" s="35"/>
      <c r="E82" s="35"/>
      <c r="F82" s="23"/>
    </row>
    <row r="83" spans="1:6">
      <c r="A83" s="23"/>
      <c r="B83" s="33"/>
      <c r="C83" s="35"/>
      <c r="D83" s="35"/>
      <c r="E83" s="35"/>
      <c r="F83" s="23"/>
    </row>
    <row r="84" spans="1:6">
      <c r="A84" s="23"/>
      <c r="B84" s="33"/>
      <c r="C84" s="35"/>
      <c r="D84" s="35"/>
      <c r="E84" s="35"/>
      <c r="F84" s="23"/>
    </row>
    <row r="85" spans="1:6">
      <c r="A85" s="23"/>
      <c r="B85" s="33"/>
      <c r="C85" s="35"/>
      <c r="D85" s="35"/>
      <c r="E85" s="35"/>
      <c r="F85" s="23"/>
    </row>
    <row r="86" spans="1:6">
      <c r="A86" s="23"/>
      <c r="B86" s="33"/>
      <c r="C86" s="35"/>
      <c r="D86" s="35"/>
      <c r="E86" s="35"/>
      <c r="F86" s="23"/>
    </row>
    <row r="87" spans="1:6">
      <c r="A87" s="23"/>
      <c r="B87" s="33"/>
      <c r="C87" s="35"/>
      <c r="D87" s="35"/>
      <c r="E87" s="35"/>
      <c r="F87" s="23"/>
    </row>
    <row r="88" spans="1:6">
      <c r="A88" s="23"/>
      <c r="B88" s="33"/>
      <c r="C88" s="35"/>
      <c r="D88" s="35"/>
      <c r="E88" s="35"/>
      <c r="F88" s="23"/>
    </row>
    <row r="89" spans="1:6">
      <c r="A89" s="23"/>
      <c r="B89" s="33"/>
      <c r="C89" s="35"/>
      <c r="D89" s="35"/>
      <c r="E89" s="35"/>
      <c r="F89" s="23"/>
    </row>
    <row r="90" spans="1:6">
      <c r="A90" s="23"/>
      <c r="B90" s="33"/>
      <c r="C90" s="35"/>
      <c r="D90" s="35"/>
      <c r="E90" s="35"/>
      <c r="F90" s="23"/>
    </row>
    <row r="91" spans="1:6">
      <c r="A91" s="23"/>
      <c r="B91" s="33"/>
      <c r="C91" s="35"/>
      <c r="D91" s="35"/>
      <c r="E91" s="35"/>
      <c r="F91" s="23"/>
    </row>
    <row r="92" spans="1:6">
      <c r="A92" s="23"/>
      <c r="B92" s="33"/>
      <c r="C92" s="35"/>
      <c r="D92" s="35"/>
      <c r="E92" s="35"/>
      <c r="F92" s="23"/>
    </row>
    <row r="93" spans="1:6">
      <c r="A93" s="23"/>
      <c r="B93" s="33"/>
      <c r="C93" s="35"/>
      <c r="D93" s="35"/>
      <c r="E93" s="35"/>
      <c r="F93" s="23"/>
    </row>
    <row r="94" spans="1:6">
      <c r="A94" s="23"/>
      <c r="B94" s="33"/>
      <c r="C94" s="35"/>
      <c r="D94" s="35"/>
      <c r="E94" s="35"/>
      <c r="F94" s="23"/>
    </row>
    <row r="95" spans="1:6">
      <c r="A95" s="23"/>
      <c r="B95" s="33"/>
      <c r="C95" s="35"/>
      <c r="D95" s="35"/>
      <c r="E95" s="35"/>
      <c r="F95" s="23"/>
    </row>
    <row r="96" spans="1:6">
      <c r="A96" s="23"/>
      <c r="B96" s="33"/>
      <c r="C96" s="35"/>
      <c r="D96" s="35"/>
      <c r="E96" s="35"/>
      <c r="F96" s="23"/>
    </row>
    <row r="97" spans="1:6">
      <c r="A97" s="23"/>
      <c r="B97" s="33"/>
      <c r="C97" s="35"/>
      <c r="D97" s="35"/>
      <c r="E97" s="35"/>
      <c r="F97" s="23"/>
    </row>
    <row r="98" spans="1:6">
      <c r="A98" s="23"/>
      <c r="B98" s="33"/>
      <c r="C98" s="35"/>
      <c r="D98" s="35"/>
      <c r="E98" s="35"/>
      <c r="F98" s="23"/>
    </row>
    <row r="99" spans="1:6">
      <c r="A99" s="23"/>
      <c r="B99" s="33"/>
      <c r="C99" s="35"/>
      <c r="D99" s="35"/>
      <c r="E99" s="35"/>
      <c r="F99" s="23"/>
    </row>
    <row r="100" spans="1:6">
      <c r="A100" s="23"/>
      <c r="B100" s="33"/>
      <c r="C100" s="35"/>
      <c r="D100" s="35"/>
      <c r="E100" s="35"/>
      <c r="F100" s="23"/>
    </row>
    <row r="101" spans="1:6">
      <c r="A101" s="23"/>
      <c r="B101" s="33"/>
      <c r="C101" s="35"/>
      <c r="D101" s="35"/>
      <c r="E101" s="35"/>
      <c r="F101" s="23"/>
    </row>
    <row r="102" spans="1:6">
      <c r="A102" s="23"/>
      <c r="B102" s="33"/>
      <c r="C102" s="35"/>
      <c r="D102" s="35"/>
      <c r="E102" s="35"/>
      <c r="F102" s="23"/>
    </row>
    <row r="103" spans="1:6">
      <c r="A103" s="23"/>
      <c r="B103" s="33"/>
      <c r="C103" s="35"/>
      <c r="D103" s="35"/>
      <c r="E103" s="35"/>
      <c r="F103" s="23"/>
    </row>
    <row r="104" spans="1:6">
      <c r="A104" s="23"/>
      <c r="B104" s="33"/>
      <c r="C104" s="35"/>
      <c r="D104" s="35"/>
      <c r="E104" s="35"/>
      <c r="F104" s="23"/>
    </row>
    <row r="105" spans="1:6">
      <c r="A105" s="23"/>
      <c r="B105" s="33"/>
      <c r="C105" s="35"/>
      <c r="D105" s="35"/>
      <c r="E105" s="35"/>
      <c r="F105" s="23"/>
    </row>
    <row r="106" spans="1:6">
      <c r="A106" s="23"/>
      <c r="B106" s="33"/>
      <c r="C106" s="35"/>
      <c r="D106" s="35"/>
      <c r="E106" s="35"/>
      <c r="F106" s="23"/>
    </row>
    <row r="107" spans="1:6">
      <c r="A107" s="23"/>
      <c r="B107" s="33"/>
      <c r="C107" s="35"/>
      <c r="D107" s="35"/>
      <c r="E107" s="35"/>
      <c r="F107" s="23"/>
    </row>
    <row r="108" spans="1:6">
      <c r="A108" s="23"/>
      <c r="B108" s="33"/>
      <c r="C108" s="35"/>
      <c r="D108" s="35"/>
      <c r="E108" s="35"/>
      <c r="F108" s="23"/>
    </row>
    <row r="109" spans="1:6">
      <c r="A109" s="23"/>
      <c r="B109" s="33"/>
      <c r="C109" s="35"/>
      <c r="D109" s="35"/>
      <c r="E109" s="35"/>
      <c r="F109" s="23"/>
    </row>
    <row r="110" spans="1:6">
      <c r="A110" s="23"/>
      <c r="B110" s="33"/>
      <c r="C110" s="35"/>
      <c r="D110" s="35"/>
      <c r="E110" s="35"/>
      <c r="F110" s="23"/>
    </row>
    <row r="111" spans="1:6">
      <c r="A111" s="23"/>
      <c r="B111" s="33"/>
      <c r="C111" s="35"/>
      <c r="D111" s="35"/>
      <c r="E111" s="35"/>
      <c r="F111" s="23"/>
    </row>
    <row r="112" spans="1:6">
      <c r="A112" s="23"/>
      <c r="B112" s="33"/>
      <c r="C112" s="35"/>
      <c r="D112" s="35"/>
      <c r="E112" s="35"/>
      <c r="F112" s="23"/>
    </row>
    <row r="113" spans="1:6">
      <c r="A113" s="23"/>
      <c r="B113" s="33"/>
      <c r="C113" s="35"/>
      <c r="D113" s="35"/>
      <c r="E113" s="35"/>
      <c r="F113" s="23"/>
    </row>
    <row r="114" spans="1:6">
      <c r="A114" s="23"/>
      <c r="B114" s="33"/>
      <c r="C114" s="35"/>
      <c r="D114" s="35"/>
      <c r="E114" s="35"/>
      <c r="F114" s="23"/>
    </row>
    <row r="115" spans="1:6">
      <c r="A115" s="23"/>
      <c r="B115" s="33"/>
      <c r="C115" s="35"/>
      <c r="D115" s="35"/>
      <c r="E115" s="35"/>
      <c r="F115" s="23"/>
    </row>
    <row r="116" spans="1:6">
      <c r="A116" s="23"/>
      <c r="B116" s="33"/>
      <c r="C116" s="35"/>
      <c r="D116" s="35"/>
      <c r="E116" s="35"/>
      <c r="F116" s="23"/>
    </row>
    <row r="117" spans="1:6">
      <c r="A117" s="23"/>
      <c r="B117" s="33"/>
      <c r="C117" s="35"/>
      <c r="D117" s="35"/>
      <c r="E117" s="35"/>
      <c r="F117" s="23"/>
    </row>
    <row r="118" spans="1:6">
      <c r="A118" s="23"/>
      <c r="B118" s="33"/>
      <c r="C118" s="35"/>
      <c r="D118" s="35"/>
      <c r="E118" s="35"/>
      <c r="F118" s="23"/>
    </row>
    <row r="119" spans="1:6">
      <c r="A119" s="23"/>
      <c r="B119" s="33"/>
      <c r="C119" s="35"/>
      <c r="D119" s="35"/>
      <c r="E119" s="35"/>
      <c r="F119" s="23"/>
    </row>
    <row r="120" spans="1:6">
      <c r="A120" s="23"/>
      <c r="B120" s="33"/>
      <c r="C120" s="35"/>
      <c r="D120" s="35"/>
      <c r="E120" s="35"/>
      <c r="F120" s="23"/>
    </row>
    <row r="121" spans="1:6">
      <c r="A121" s="23"/>
      <c r="B121" s="33"/>
      <c r="C121" s="35"/>
      <c r="D121" s="35"/>
      <c r="E121" s="35"/>
      <c r="F121" s="23"/>
    </row>
    <row r="122" spans="1:6">
      <c r="A122" s="23"/>
      <c r="B122" s="33"/>
      <c r="C122" s="35"/>
      <c r="D122" s="35"/>
      <c r="E122" s="35"/>
      <c r="F122" s="23"/>
    </row>
    <row r="123" spans="1:6">
      <c r="A123" s="23"/>
      <c r="B123" s="33"/>
      <c r="C123" s="35"/>
      <c r="D123" s="35"/>
      <c r="E123" s="35"/>
      <c r="F123" s="23"/>
    </row>
    <row r="124" spans="1:6">
      <c r="A124" s="23"/>
      <c r="B124" s="33"/>
      <c r="C124" s="35"/>
      <c r="D124" s="35"/>
      <c r="E124" s="35"/>
      <c r="F124" s="23"/>
    </row>
    <row r="125" spans="1:6">
      <c r="A125" s="23"/>
      <c r="B125" s="33"/>
      <c r="C125" s="35"/>
      <c r="D125" s="35"/>
      <c r="E125" s="35"/>
      <c r="F125" s="23"/>
    </row>
    <row r="126" spans="1:6">
      <c r="A126" s="23"/>
      <c r="B126" s="33"/>
      <c r="C126" s="35"/>
      <c r="D126" s="35"/>
      <c r="E126" s="35"/>
      <c r="F126" s="23"/>
    </row>
    <row r="127" spans="1:6">
      <c r="A127" s="23"/>
      <c r="B127" s="33"/>
      <c r="C127" s="35"/>
      <c r="D127" s="35"/>
      <c r="E127" s="35"/>
      <c r="F127" s="23"/>
    </row>
    <row r="128" spans="1:6">
      <c r="A128" s="23"/>
      <c r="B128" s="33"/>
      <c r="C128" s="35"/>
      <c r="D128" s="35"/>
      <c r="E128" s="35"/>
      <c r="F128" s="23"/>
    </row>
    <row r="129" spans="1:6">
      <c r="A129" s="23"/>
      <c r="B129" s="33"/>
      <c r="C129" s="35"/>
      <c r="D129" s="35"/>
      <c r="E129" s="35"/>
      <c r="F129" s="23"/>
    </row>
    <row r="130" spans="1:6">
      <c r="A130" s="23"/>
      <c r="B130" s="33"/>
      <c r="C130" s="35"/>
      <c r="D130" s="35"/>
      <c r="E130" s="35"/>
      <c r="F130" s="23"/>
    </row>
    <row r="131" spans="1:6">
      <c r="A131" s="23"/>
      <c r="B131" s="33"/>
      <c r="C131" s="35"/>
      <c r="D131" s="35"/>
      <c r="E131" s="35"/>
      <c r="F131" s="23"/>
    </row>
    <row r="132" spans="1:6">
      <c r="A132" s="23"/>
      <c r="B132" s="33"/>
      <c r="C132" s="35"/>
      <c r="D132" s="35"/>
      <c r="E132" s="35"/>
      <c r="F132" s="23"/>
    </row>
    <row r="133" spans="1:6">
      <c r="A133" s="23"/>
      <c r="B133" s="33"/>
      <c r="C133" s="35"/>
      <c r="D133" s="35"/>
      <c r="E133" s="35"/>
      <c r="F133" s="23"/>
    </row>
    <row r="134" spans="1:6">
      <c r="A134" s="23"/>
      <c r="B134" s="33"/>
      <c r="C134" s="35"/>
      <c r="D134" s="35"/>
      <c r="E134" s="35"/>
      <c r="F134" s="23"/>
    </row>
    <row r="135" spans="1:6">
      <c r="A135" s="23"/>
      <c r="B135" s="33"/>
      <c r="C135" s="35"/>
      <c r="D135" s="35"/>
      <c r="E135" s="35"/>
      <c r="F135" s="23"/>
    </row>
    <row r="136" spans="1:6">
      <c r="A136" s="23"/>
      <c r="B136" s="33"/>
      <c r="C136" s="35"/>
      <c r="D136" s="35"/>
      <c r="E136" s="35"/>
      <c r="F136" s="23"/>
    </row>
    <row r="137" spans="1:6">
      <c r="A137" s="23"/>
      <c r="B137" s="33"/>
      <c r="C137" s="35"/>
      <c r="D137" s="35"/>
      <c r="E137" s="35"/>
      <c r="F137" s="23"/>
    </row>
    <row r="138" spans="1:6">
      <c r="A138" s="23"/>
      <c r="B138" s="33"/>
      <c r="C138" s="35"/>
      <c r="D138" s="35"/>
      <c r="E138" s="35"/>
      <c r="F138" s="23"/>
    </row>
    <row r="139" spans="1:6"/>
    <row r="140" spans="1:6"/>
    <row r="141" spans="1:6"/>
    <row r="142" spans="1:6"/>
    <row r="1000" spans="648:648" ht="15.75">
      <c r="XX1000" s="10641">
        <v>125713</v>
      </c>
    </row>
  </sheetData>
  <sheetProtection algorithmName="SHA-512" hashValue="KoA6Uw5DUvY2OP50Hnd2c6dK0CHau7WnXg6Nm/f4rfCFENMrhqWcQz1YgAWbjdOXousiUpEx8tqcsq8pkehkCA==" saltValue="yAnOvhIPRMc98wM4psxcAg==" spinCount="100000" sheet="1" objects="1" scenarios="1" selectLockedCells="1"/>
  <mergeCells count="2">
    <mergeCell ref="C7:C8"/>
    <mergeCell ref="D7:D8"/>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990BC-4AE1-4C7A-BFAD-2951B480B74B}">
  <sheetPr codeName="Sheet8"/>
  <dimension ref="A1:AH71"/>
  <sheetViews>
    <sheetView zoomScale="90" zoomScaleNormal="90" workbookViewId="0">
      <selection activeCell="Y2" sqref="Y2:Y29"/>
    </sheetView>
  </sheetViews>
  <sheetFormatPr defaultColWidth="8.85546875" defaultRowHeight="15"/>
  <cols>
    <col min="1" max="1" width="8.85546875" style="2"/>
    <col min="2" max="2" width="22.85546875" style="2" bestFit="1" customWidth="1"/>
    <col min="3" max="3" width="3.85546875" style="2" customWidth="1"/>
    <col min="4" max="4" width="23.42578125" style="2" customWidth="1"/>
    <col min="5" max="5" width="3.85546875" style="2" customWidth="1"/>
    <col min="6" max="6" width="17.85546875" style="2" customWidth="1"/>
    <col min="7" max="7" width="21.85546875" style="2" bestFit="1" customWidth="1"/>
    <col min="8" max="8" width="3.85546875" style="2" customWidth="1"/>
    <col min="9" max="9" width="17.85546875" style="2" bestFit="1" customWidth="1"/>
    <col min="10" max="12" width="15.42578125" style="2" customWidth="1"/>
    <col min="13" max="13" width="3.85546875" style="2" customWidth="1"/>
    <col min="14" max="15" width="15.42578125" style="2" customWidth="1"/>
    <col min="16" max="16" width="3.85546875" style="2" customWidth="1"/>
    <col min="17" max="18" width="15.42578125" style="2" customWidth="1"/>
    <col min="19" max="19" width="16.85546875" style="2" bestFit="1" customWidth="1"/>
    <col min="20" max="20" width="16.85546875" style="2" customWidth="1"/>
    <col min="21" max="21" width="3.85546875" style="2" customWidth="1"/>
    <col min="22" max="22" width="14.140625" style="2" bestFit="1" customWidth="1"/>
    <col min="23" max="23" width="13" style="2" customWidth="1"/>
    <col min="24" max="24" width="3.85546875" style="2" customWidth="1"/>
    <col min="25" max="28" width="15.140625" style="2" customWidth="1"/>
    <col min="29" max="29" width="12.42578125" style="2" bestFit="1" customWidth="1"/>
    <col min="30" max="30" width="36.85546875" style="2" bestFit="1" customWidth="1"/>
    <col min="31" max="31" width="8.85546875" style="2"/>
    <col min="32" max="32" width="153.85546875" style="2" bestFit="1" customWidth="1"/>
    <col min="33" max="16384" width="8.85546875" style="2"/>
  </cols>
  <sheetData>
    <row r="1" spans="1:34">
      <c r="A1" s="1"/>
      <c r="B1" s="1"/>
      <c r="D1" s="1" t="s">
        <v>4</v>
      </c>
      <c r="F1" s="1" t="s">
        <v>5</v>
      </c>
      <c r="G1" s="1" t="s">
        <v>6</v>
      </c>
      <c r="I1" s="1" t="s">
        <v>7</v>
      </c>
      <c r="J1" s="1" t="s">
        <v>8</v>
      </c>
      <c r="K1" s="1" t="s">
        <v>9</v>
      </c>
      <c r="L1" s="1" t="s">
        <v>10</v>
      </c>
      <c r="N1" s="1" t="s">
        <v>7</v>
      </c>
      <c r="O1" s="1" t="s">
        <v>11</v>
      </c>
      <c r="P1"/>
      <c r="Q1" s="3" t="s">
        <v>1</v>
      </c>
      <c r="R1" s="4" t="s">
        <v>12</v>
      </c>
      <c r="S1" s="4" t="s">
        <v>13</v>
      </c>
      <c r="T1" s="5" t="s">
        <v>14</v>
      </c>
      <c r="V1" s="43" t="s">
        <v>15</v>
      </c>
      <c r="W1" s="43" t="s">
        <v>16</v>
      </c>
      <c r="X1" s="43"/>
      <c r="Y1" s="43" t="s">
        <v>17</v>
      </c>
      <c r="Z1" s="43" t="s">
        <v>18</v>
      </c>
      <c r="AA1" s="43" t="s">
        <v>19</v>
      </c>
      <c r="AB1" s="43" t="s">
        <v>1044</v>
      </c>
      <c r="AC1" s="2" t="s">
        <v>1045</v>
      </c>
      <c r="AD1" s="2" t="s">
        <v>1069</v>
      </c>
      <c r="AE1" s="2" t="s">
        <v>1043</v>
      </c>
    </row>
    <row r="2" spans="1:34">
      <c r="B2" s="7"/>
      <c r="D2" s="2" t="s">
        <v>20</v>
      </c>
      <c r="F2" s="8">
        <v>46084.946273148147</v>
      </c>
      <c r="G2" s="8">
        <v>46084.95349537037</v>
      </c>
      <c r="I2" s="8" t="s">
        <v>1011</v>
      </c>
      <c r="J2" s="8" t="s">
        <v>1058</v>
      </c>
      <c r="K2" s="8"/>
      <c r="L2" s="8" t="s">
        <v>21</v>
      </c>
      <c r="N2" s="2" t="s">
        <v>22</v>
      </c>
      <c r="O2" s="2" t="s">
        <v>23</v>
      </c>
      <c r="P2">
        <v>1</v>
      </c>
      <c r="Q2" s="9" t="s">
        <v>997</v>
      </c>
      <c r="R2" s="9" t="b">
        <v>1</v>
      </c>
      <c r="S2" s="10">
        <v>10</v>
      </c>
      <c r="T2" s="10">
        <f>pCountNew</f>
        <v>10</v>
      </c>
      <c r="V2" s="43" cm="1">
        <f t="array" ref="V2:V29">_xlfn.SEQUENCE(28)</f>
        <v>1</v>
      </c>
      <c r="W2" s="43">
        <f>IFERROR(IF(AND(AA2=AB2,R2,AC2),1,0),0)</f>
        <v>1</v>
      </c>
      <c r="X2" s="43"/>
      <c r="Y2" s="43">
        <v>0</v>
      </c>
      <c r="Z2" s="43">
        <f t="shared" ref="Z2:Z7" si="0">W2*Y2</f>
        <v>0</v>
      </c>
      <c r="AA2" s="43">
        <v>1022</v>
      </c>
      <c r="AB2" s="43">
        <f>SUM('Start Tab'!L49,'Start Tab'!B49:K49)</f>
        <v>1022</v>
      </c>
      <c r="AC2" s="2" t="b">
        <v>1</v>
      </c>
      <c r="AD2" s="2" t="s">
        <v>1046</v>
      </c>
      <c r="AE2" s="11" t="s">
        <v>1106</v>
      </c>
    </row>
    <row r="3" spans="1:34">
      <c r="B3" s="7"/>
      <c r="I3" s="8"/>
      <c r="J3" s="8"/>
      <c r="K3" s="8"/>
      <c r="L3" s="8"/>
      <c r="N3" s="2" t="s">
        <v>24</v>
      </c>
      <c r="O3" s="2" t="s">
        <v>25</v>
      </c>
      <c r="P3">
        <v>2</v>
      </c>
      <c r="Q3" s="9" t="s">
        <v>998</v>
      </c>
      <c r="R3" s="9" t="b">
        <v>1</v>
      </c>
      <c r="S3" s="7"/>
      <c r="T3" s="7"/>
      <c r="V3" s="43">
        <v>2</v>
      </c>
      <c r="W3" s="43">
        <f t="shared" ref="W3:W29" si="1">IFERROR(IF(AND(AA3=AB3,R3,AC3),1,0),0)</f>
        <v>1</v>
      </c>
      <c r="X3" s="43"/>
      <c r="Y3" s="43">
        <v>0</v>
      </c>
      <c r="Z3" s="43">
        <f t="shared" si="0"/>
        <v>0</v>
      </c>
      <c r="AA3" s="2" t="b">
        <v>1</v>
      </c>
      <c r="AB3" s="2" t="b">
        <f>R3</f>
        <v>1</v>
      </c>
      <c r="AC3" s="2" t="b">
        <v>1</v>
      </c>
      <c r="AD3" s="2" t="s">
        <v>1046</v>
      </c>
      <c r="AE3" s="11" t="s">
        <v>1059</v>
      </c>
    </row>
    <row r="4" spans="1:34">
      <c r="B4" s="7"/>
      <c r="C4" s="12"/>
      <c r="D4" s="1" t="s">
        <v>26</v>
      </c>
      <c r="F4" s="1" t="s">
        <v>27</v>
      </c>
      <c r="G4" s="1" t="s">
        <v>28</v>
      </c>
      <c r="I4" s="8"/>
      <c r="J4" s="8"/>
      <c r="K4" s="8"/>
      <c r="L4" s="8"/>
      <c r="O4" s="8"/>
      <c r="P4" s="42">
        <v>3</v>
      </c>
      <c r="Q4" s="9" t="s">
        <v>999</v>
      </c>
      <c r="R4" s="9" t="b">
        <v>1</v>
      </c>
      <c r="U4" s="42"/>
      <c r="V4" s="2">
        <v>3</v>
      </c>
      <c r="W4" s="43">
        <f t="shared" si="1"/>
        <v>1</v>
      </c>
      <c r="Y4" s="43">
        <v>0</v>
      </c>
      <c r="Z4" s="43">
        <f t="shared" si="0"/>
        <v>0</v>
      </c>
      <c r="AA4" s="2" t="b">
        <v>1</v>
      </c>
      <c r="AB4" s="2" t="b">
        <f t="shared" ref="AB4:AB15" si="2">R4</f>
        <v>1</v>
      </c>
      <c r="AC4" s="2" t="b">
        <v>1</v>
      </c>
      <c r="AD4" s="2" t="s">
        <v>1046</v>
      </c>
      <c r="AE4" s="11" t="s">
        <v>1097</v>
      </c>
    </row>
    <row r="5" spans="1:34">
      <c r="B5" s="7"/>
      <c r="D5" s="2" t="s">
        <v>1105</v>
      </c>
      <c r="F5" s="2" t="b">
        <v>0</v>
      </c>
      <c r="G5" s="2">
        <f>ROUND((endTime-startTime)*3600*24,0)</f>
        <v>624</v>
      </c>
      <c r="I5" s="8"/>
      <c r="J5" s="8"/>
      <c r="K5" s="8"/>
      <c r="L5" s="8"/>
      <c r="P5">
        <v>4</v>
      </c>
      <c r="Q5" s="9" t="s">
        <v>1000</v>
      </c>
      <c r="R5" s="9" t="b">
        <v>1</v>
      </c>
      <c r="S5" s="7"/>
      <c r="T5" s="7"/>
      <c r="U5" s="12"/>
      <c r="V5" s="43">
        <v>4</v>
      </c>
      <c r="W5" s="43">
        <f t="shared" si="1"/>
        <v>1</v>
      </c>
      <c r="X5" s="43"/>
      <c r="Y5" s="43">
        <v>0</v>
      </c>
      <c r="Z5" s="43">
        <f t="shared" si="0"/>
        <v>0</v>
      </c>
      <c r="AA5" s="2" t="b">
        <v>1</v>
      </c>
      <c r="AB5" s="2" t="b">
        <f t="shared" si="2"/>
        <v>1</v>
      </c>
      <c r="AC5" s="2" t="b">
        <v>1</v>
      </c>
      <c r="AD5" s="2" t="s">
        <v>1046</v>
      </c>
      <c r="AE5" s="11" t="s">
        <v>1097</v>
      </c>
    </row>
    <row r="6" spans="1:34">
      <c r="B6" s="7"/>
      <c r="J6" s="8"/>
      <c r="K6" s="8"/>
      <c r="L6" s="8"/>
      <c r="N6" s="8"/>
      <c r="O6" s="8"/>
      <c r="P6">
        <v>5</v>
      </c>
      <c r="Q6" s="9" t="s">
        <v>1001</v>
      </c>
      <c r="R6" s="9" t="b">
        <v>1</v>
      </c>
      <c r="S6" s="7"/>
      <c r="T6" s="7"/>
      <c r="V6" s="43">
        <v>5</v>
      </c>
      <c r="W6" s="43">
        <f t="shared" si="1"/>
        <v>1</v>
      </c>
      <c r="X6" s="43"/>
      <c r="Y6" s="43">
        <v>0</v>
      </c>
      <c r="Z6" s="43">
        <f t="shared" si="0"/>
        <v>0</v>
      </c>
      <c r="AA6" s="2" t="b">
        <v>1</v>
      </c>
      <c r="AB6" s="2" t="b">
        <f t="shared" si="2"/>
        <v>1</v>
      </c>
      <c r="AC6" s="2" t="b">
        <v>1</v>
      </c>
      <c r="AD6" s="2" t="s">
        <v>1046</v>
      </c>
      <c r="AE6" s="11" t="s">
        <v>1097</v>
      </c>
    </row>
    <row r="7" spans="1:34">
      <c r="B7" s="7"/>
      <c r="D7" s="1"/>
      <c r="F7" s="1" t="s">
        <v>29</v>
      </c>
      <c r="G7" s="1" t="s">
        <v>30</v>
      </c>
      <c r="J7" s="8"/>
      <c r="K7" s="8"/>
      <c r="L7" s="8"/>
      <c r="N7" s="8"/>
      <c r="P7">
        <v>6</v>
      </c>
      <c r="Q7" s="9" t="s">
        <v>1002</v>
      </c>
      <c r="R7" s="9" t="b">
        <v>1</v>
      </c>
      <c r="S7" s="7"/>
      <c r="T7" s="7"/>
      <c r="V7" s="43">
        <v>6</v>
      </c>
      <c r="W7" s="43">
        <f t="shared" si="1"/>
        <v>1</v>
      </c>
      <c r="X7" s="43"/>
      <c r="Y7" s="43">
        <v>0</v>
      </c>
      <c r="Z7" s="43">
        <f t="shared" si="0"/>
        <v>0</v>
      </c>
      <c r="AA7" s="2" t="b">
        <v>1</v>
      </c>
      <c r="AB7" s="2" t="b">
        <f t="shared" si="2"/>
        <v>1</v>
      </c>
      <c r="AC7" s="2" t="b">
        <v>1</v>
      </c>
      <c r="AD7" s="2" t="s">
        <v>1046</v>
      </c>
      <c r="AE7" s="11" t="s">
        <v>1097</v>
      </c>
      <c r="AH7" s="11"/>
    </row>
    <row r="8" spans="1:34">
      <c r="B8" s="7"/>
      <c r="F8" s="2" t="b">
        <f ca="1">IF(AND(ISERROR(MATCH(FALSE,R2:R29,0)),PRODUCT(W2:W29)=1),TRUE,FALSE)</f>
        <v>1</v>
      </c>
      <c r="G8" s="2" t="b">
        <v>0</v>
      </c>
      <c r="N8" s="8"/>
      <c r="O8" s="8"/>
      <c r="P8">
        <v>7</v>
      </c>
      <c r="Q8" s="9" t="s">
        <v>1003</v>
      </c>
      <c r="R8" s="9" t="b">
        <v>1</v>
      </c>
      <c r="S8" s="7"/>
      <c r="T8" s="7"/>
      <c r="V8" s="43">
        <v>7</v>
      </c>
      <c r="W8" s="43">
        <f t="shared" si="1"/>
        <v>1</v>
      </c>
      <c r="X8" s="43"/>
      <c r="Y8" s="43">
        <v>0</v>
      </c>
      <c r="Z8" s="43">
        <f t="shared" ref="Z8:Z29" si="3">W8*Y8</f>
        <v>0</v>
      </c>
      <c r="AA8" s="2" t="b">
        <v>1</v>
      </c>
      <c r="AB8" s="2" t="b">
        <f t="shared" si="2"/>
        <v>1</v>
      </c>
      <c r="AC8" s="2" t="b">
        <v>1</v>
      </c>
      <c r="AD8" s="2" t="s">
        <v>1046</v>
      </c>
      <c r="AE8" s="11" t="s">
        <v>1097</v>
      </c>
    </row>
    <row r="9" spans="1:34">
      <c r="B9" s="7"/>
      <c r="N9" s="8"/>
      <c r="P9">
        <v>8</v>
      </c>
      <c r="Q9" s="9" t="s">
        <v>1004</v>
      </c>
      <c r="R9" s="9" t="b">
        <v>1</v>
      </c>
      <c r="S9" s="13"/>
      <c r="T9" s="13"/>
      <c r="V9" s="43">
        <v>8</v>
      </c>
      <c r="W9" s="43">
        <f t="shared" si="1"/>
        <v>1</v>
      </c>
      <c r="X9" s="43"/>
      <c r="Y9" s="43">
        <v>0</v>
      </c>
      <c r="Z9" s="43">
        <f t="shared" si="3"/>
        <v>0</v>
      </c>
      <c r="AA9" s="2" t="b">
        <v>1</v>
      </c>
      <c r="AB9" s="2" t="b">
        <f t="shared" si="2"/>
        <v>1</v>
      </c>
      <c r="AC9" s="2" t="b">
        <v>1</v>
      </c>
      <c r="AD9" s="2" t="s">
        <v>1046</v>
      </c>
      <c r="AE9" s="11" t="s">
        <v>1097</v>
      </c>
      <c r="AH9" s="11"/>
    </row>
    <row r="10" spans="1:34">
      <c r="B10" s="7"/>
      <c r="D10" s="1"/>
      <c r="F10" s="1" t="s">
        <v>1026</v>
      </c>
      <c r="G10" s="1"/>
      <c r="N10" s="8"/>
      <c r="O10" s="8"/>
      <c r="P10">
        <v>9</v>
      </c>
      <c r="Q10" s="9" t="s">
        <v>1005</v>
      </c>
      <c r="R10" s="9" t="b">
        <v>1</v>
      </c>
      <c r="V10" s="43">
        <v>9</v>
      </c>
      <c r="W10" s="43">
        <f t="shared" si="1"/>
        <v>1</v>
      </c>
      <c r="X10" s="43"/>
      <c r="Y10" s="43">
        <v>0</v>
      </c>
      <c r="Z10" s="43">
        <f t="shared" si="3"/>
        <v>0</v>
      </c>
      <c r="AA10" s="2" t="b">
        <v>1</v>
      </c>
      <c r="AB10" s="2" t="b">
        <f t="shared" si="2"/>
        <v>1</v>
      </c>
      <c r="AC10" s="2" t="b">
        <v>1</v>
      </c>
      <c r="AD10" s="2" t="s">
        <v>1046</v>
      </c>
      <c r="AE10" s="11" t="s">
        <v>1097</v>
      </c>
      <c r="AH10" s="11"/>
    </row>
    <row r="11" spans="1:34">
      <c r="B11" s="7"/>
      <c r="F11" s="2">
        <f>SUM(W3:W15)</f>
        <v>13</v>
      </c>
      <c r="N11" s="8"/>
      <c r="P11">
        <v>10</v>
      </c>
      <c r="Q11" s="9" t="s">
        <v>1006</v>
      </c>
      <c r="R11" s="9" t="b">
        <v>1</v>
      </c>
      <c r="S11" s="7"/>
      <c r="T11" s="7"/>
      <c r="V11" s="43">
        <v>10</v>
      </c>
      <c r="W11" s="43">
        <f t="shared" si="1"/>
        <v>1</v>
      </c>
      <c r="X11" s="43"/>
      <c r="Y11" s="43">
        <v>0</v>
      </c>
      <c r="Z11" s="43">
        <f t="shared" si="3"/>
        <v>0</v>
      </c>
      <c r="AA11" s="2" t="b">
        <v>1</v>
      </c>
      <c r="AB11" s="2" t="b">
        <f t="shared" si="2"/>
        <v>1</v>
      </c>
      <c r="AC11" s="2" t="b">
        <v>1</v>
      </c>
      <c r="AD11" s="2" t="s">
        <v>1046</v>
      </c>
      <c r="AE11" s="11" t="s">
        <v>1097</v>
      </c>
      <c r="AH11" s="11"/>
    </row>
    <row r="12" spans="1:34">
      <c r="B12" s="7"/>
      <c r="N12" s="8"/>
      <c r="O12" s="8"/>
      <c r="P12">
        <v>11</v>
      </c>
      <c r="Q12" s="9" t="s">
        <v>1007</v>
      </c>
      <c r="R12" s="9" t="b">
        <v>1</v>
      </c>
      <c r="V12" s="43">
        <v>11</v>
      </c>
      <c r="W12" s="43">
        <f t="shared" si="1"/>
        <v>1</v>
      </c>
      <c r="X12" s="43"/>
      <c r="Y12" s="43">
        <v>0</v>
      </c>
      <c r="Z12" s="43">
        <f t="shared" si="3"/>
        <v>0</v>
      </c>
      <c r="AA12" s="2" t="b">
        <v>1</v>
      </c>
      <c r="AB12" s="2" t="b">
        <f t="shared" si="2"/>
        <v>1</v>
      </c>
      <c r="AC12" s="2" t="b">
        <v>1</v>
      </c>
      <c r="AD12" s="2" t="s">
        <v>1046</v>
      </c>
      <c r="AE12" s="11" t="s">
        <v>1097</v>
      </c>
    </row>
    <row r="13" spans="1:34">
      <c r="B13" s="7"/>
      <c r="D13" s="1" t="s">
        <v>31</v>
      </c>
      <c r="F13" s="1"/>
      <c r="N13" s="8"/>
      <c r="P13">
        <v>12</v>
      </c>
      <c r="Q13" s="9" t="s">
        <v>1008</v>
      </c>
      <c r="R13" s="9" t="b">
        <v>1</v>
      </c>
      <c r="V13" s="43">
        <v>12</v>
      </c>
      <c r="W13" s="43">
        <f t="shared" si="1"/>
        <v>1</v>
      </c>
      <c r="X13" s="43"/>
      <c r="Y13" s="43">
        <v>0</v>
      </c>
      <c r="Z13" s="43">
        <f t="shared" si="3"/>
        <v>0</v>
      </c>
      <c r="AA13" s="2" t="b">
        <v>1</v>
      </c>
      <c r="AB13" s="2" t="b">
        <f t="shared" si="2"/>
        <v>1</v>
      </c>
      <c r="AC13" s="2" t="b">
        <v>1</v>
      </c>
      <c r="AD13" s="2" t="s">
        <v>1046</v>
      </c>
      <c r="AE13" s="11" t="s">
        <v>1097</v>
      </c>
      <c r="AH13" s="11"/>
    </row>
    <row r="14" spans="1:34">
      <c r="B14" s="7"/>
      <c r="D14" s="2">
        <f>COUNTA(I2:I26)</f>
        <v>1</v>
      </c>
      <c r="P14">
        <v>13</v>
      </c>
      <c r="Q14" s="9" t="s">
        <v>1009</v>
      </c>
      <c r="R14" s="9" t="b">
        <v>1</v>
      </c>
      <c r="V14" s="43">
        <v>13</v>
      </c>
      <c r="W14" s="43">
        <f t="shared" si="1"/>
        <v>1</v>
      </c>
      <c r="X14" s="43"/>
      <c r="Y14" s="43">
        <v>0</v>
      </c>
      <c r="Z14" s="43">
        <f t="shared" si="3"/>
        <v>0</v>
      </c>
      <c r="AA14" s="2" t="b">
        <v>1</v>
      </c>
      <c r="AB14" s="2" t="b">
        <f t="shared" si="2"/>
        <v>1</v>
      </c>
      <c r="AC14" s="2" t="b">
        <v>1</v>
      </c>
      <c r="AD14" s="2" t="s">
        <v>1046</v>
      </c>
      <c r="AE14" s="11" t="s">
        <v>1097</v>
      </c>
      <c r="AH14" s="11"/>
    </row>
    <row r="15" spans="1:34">
      <c r="B15" s="7"/>
      <c r="G15" s="1" t="s">
        <v>32</v>
      </c>
      <c r="P15" s="2">
        <v>14</v>
      </c>
      <c r="Q15" s="9" t="s">
        <v>1010</v>
      </c>
      <c r="R15" s="9" t="b">
        <v>1</v>
      </c>
      <c r="V15" s="43">
        <v>14</v>
      </c>
      <c r="W15" s="43">
        <f t="shared" si="1"/>
        <v>1</v>
      </c>
      <c r="X15" s="43"/>
      <c r="Y15" s="43">
        <v>0</v>
      </c>
      <c r="Z15" s="43">
        <f t="shared" si="3"/>
        <v>0</v>
      </c>
      <c r="AA15" s="2" t="b">
        <v>1</v>
      </c>
      <c r="AB15" s="2" t="b">
        <f t="shared" si="2"/>
        <v>1</v>
      </c>
      <c r="AC15" s="2" t="b">
        <v>1</v>
      </c>
      <c r="AD15" s="2" t="s">
        <v>1046</v>
      </c>
      <c r="AE15" s="11" t="s">
        <v>1097</v>
      </c>
      <c r="AH15" s="11"/>
    </row>
    <row r="16" spans="1:34">
      <c r="B16" s="7"/>
      <c r="D16" s="1" t="s">
        <v>33</v>
      </c>
      <c r="G16" s="2">
        <f ca="1">SUM(W2:W29)</f>
        <v>28</v>
      </c>
      <c r="P16">
        <v>15</v>
      </c>
      <c r="Q16" s="9" t="s">
        <v>1012</v>
      </c>
      <c r="R16" s="9" t="b">
        <v>1</v>
      </c>
      <c r="V16" s="43">
        <v>15</v>
      </c>
      <c r="W16" s="43">
        <f t="shared" si="1"/>
        <v>1</v>
      </c>
      <c r="X16" s="43"/>
      <c r="Y16" s="43">
        <v>0</v>
      </c>
      <c r="Z16" s="43">
        <f t="shared" si="3"/>
        <v>0</v>
      </c>
      <c r="AA16" s="43">
        <v>159</v>
      </c>
      <c r="AB16" s="2">
        <f>stop15</f>
        <v>159</v>
      </c>
      <c r="AC16" s="2" t="b">
        <v>1</v>
      </c>
      <c r="AD16" s="2" t="s">
        <v>1046</v>
      </c>
      <c r="AE16" s="11" t="s">
        <v>1060</v>
      </c>
    </row>
    <row r="17" spans="2:34">
      <c r="B17" s="7"/>
      <c r="D17" s="2">
        <f>COUNTA(N2:N100)</f>
        <v>2</v>
      </c>
      <c r="P17">
        <v>16</v>
      </c>
      <c r="Q17" s="9" t="s">
        <v>1013</v>
      </c>
      <c r="R17" s="9" t="b">
        <v>1</v>
      </c>
      <c r="V17" s="43">
        <v>16</v>
      </c>
      <c r="W17" s="43">
        <f t="shared" si="1"/>
        <v>1</v>
      </c>
      <c r="X17" s="43"/>
      <c r="Y17" s="43">
        <v>0</v>
      </c>
      <c r="Z17" s="43">
        <f t="shared" si="3"/>
        <v>0</v>
      </c>
      <c r="AA17" s="43">
        <v>166</v>
      </c>
      <c r="AB17" s="2">
        <f>stop16</f>
        <v>166</v>
      </c>
      <c r="AC17" s="10612" t="b">
        <f>IFERROR(COUNTIF('Last Tab'!$AE$21:$AK$25,2)=10,FALSE)</f>
        <v>1</v>
      </c>
      <c r="AD17" s="10612" t="s">
        <v>1047</v>
      </c>
      <c r="AE17" s="11" t="s">
        <v>1061</v>
      </c>
      <c r="AH17" s="11"/>
    </row>
    <row r="18" spans="2:34">
      <c r="B18" s="7"/>
      <c r="P18">
        <v>17</v>
      </c>
      <c r="Q18" s="9" t="s">
        <v>1014</v>
      </c>
      <c r="R18" s="9" t="b">
        <v>1</v>
      </c>
      <c r="V18" s="43">
        <v>17</v>
      </c>
      <c r="W18" s="43">
        <f t="shared" ca="1" si="1"/>
        <v>1</v>
      </c>
      <c r="X18" s="43"/>
      <c r="Y18" s="43">
        <v>0</v>
      </c>
      <c r="Z18" s="43">
        <f t="shared" ca="1" si="3"/>
        <v>0</v>
      </c>
      <c r="AA18" s="43">
        <v>25</v>
      </c>
      <c r="AB18" s="43">
        <f>stop17</f>
        <v>25</v>
      </c>
      <c r="AC18" s="10612" t="b">
        <f ca="1">IFERROR(IFERROR(LEN(_xlfn.FORMULATEXT(stop17)),0)&gt;5,FALSE)</f>
        <v>1</v>
      </c>
      <c r="AD18" s="10612" t="s">
        <v>1048</v>
      </c>
      <c r="AE18" s="11" t="s">
        <v>1062</v>
      </c>
      <c r="AH18" s="11"/>
    </row>
    <row r="19" spans="2:34">
      <c r="B19" s="7"/>
      <c r="D19" s="1" t="s">
        <v>34</v>
      </c>
      <c r="P19">
        <v>18</v>
      </c>
      <c r="Q19" s="9" t="s">
        <v>1015</v>
      </c>
      <c r="R19" s="9" t="b">
        <v>1</v>
      </c>
      <c r="V19" s="2">
        <v>18</v>
      </c>
      <c r="W19" s="43">
        <f t="shared" si="1"/>
        <v>1</v>
      </c>
      <c r="Y19" s="43">
        <v>0</v>
      </c>
      <c r="Z19" s="43">
        <f t="shared" si="3"/>
        <v>0</v>
      </c>
      <c r="AA19" s="2" t="b">
        <v>1</v>
      </c>
      <c r="AB19" s="2" t="b">
        <f t="shared" ref="AB19:AB21" si="4">R19</f>
        <v>1</v>
      </c>
      <c r="AC19" s="2" t="b">
        <v>1</v>
      </c>
      <c r="AD19" s="2" t="s">
        <v>1046</v>
      </c>
      <c r="AE19" s="11" t="s">
        <v>1098</v>
      </c>
      <c r="AH19" s="11"/>
    </row>
    <row r="20" spans="2:34">
      <c r="B20" s="7"/>
      <c r="D20" s="2">
        <f>COUNTA(AB2:AB100)</f>
        <v>28</v>
      </c>
      <c r="J20" s="15"/>
      <c r="P20" s="2">
        <v>19</v>
      </c>
      <c r="Q20" s="9" t="s">
        <v>1016</v>
      </c>
      <c r="R20" s="9" t="b">
        <v>1</v>
      </c>
      <c r="V20" s="2">
        <v>19</v>
      </c>
      <c r="W20" s="43">
        <f t="shared" si="1"/>
        <v>1</v>
      </c>
      <c r="Y20" s="43">
        <v>0</v>
      </c>
      <c r="Z20" s="43">
        <f t="shared" si="3"/>
        <v>0</v>
      </c>
      <c r="AA20" s="2" t="b">
        <v>1</v>
      </c>
      <c r="AB20" s="2" t="b">
        <f t="shared" si="4"/>
        <v>1</v>
      </c>
      <c r="AC20" s="2" t="b">
        <v>1</v>
      </c>
      <c r="AD20" s="2" t="s">
        <v>1046</v>
      </c>
      <c r="AE20" s="11" t="s">
        <v>1098</v>
      </c>
    </row>
    <row r="21" spans="2:34">
      <c r="B21" s="7"/>
      <c r="J21" s="15"/>
      <c r="P21">
        <v>20</v>
      </c>
      <c r="Q21" s="9" t="s">
        <v>1017</v>
      </c>
      <c r="R21" s="9" t="b">
        <v>1</v>
      </c>
      <c r="V21" s="2">
        <v>20</v>
      </c>
      <c r="W21" s="43">
        <f t="shared" si="1"/>
        <v>1</v>
      </c>
      <c r="Y21" s="43">
        <v>0</v>
      </c>
      <c r="Z21" s="43">
        <f t="shared" si="3"/>
        <v>0</v>
      </c>
      <c r="AA21" s="2" t="b">
        <v>1</v>
      </c>
      <c r="AB21" s="2" t="b">
        <f t="shared" si="4"/>
        <v>1</v>
      </c>
      <c r="AC21" s="2" t="b">
        <v>1</v>
      </c>
      <c r="AD21" s="2" t="s">
        <v>1046</v>
      </c>
      <c r="AE21" s="11" t="s">
        <v>1098</v>
      </c>
      <c r="AH21" s="11"/>
    </row>
    <row r="22" spans="2:34">
      <c r="B22" s="7"/>
      <c r="F22" s="1"/>
      <c r="G22" s="1" t="s">
        <v>35</v>
      </c>
      <c r="J22" s="15"/>
      <c r="P22">
        <v>21</v>
      </c>
      <c r="Q22" s="9" t="s">
        <v>1018</v>
      </c>
      <c r="R22" s="9" t="b">
        <v>1</v>
      </c>
      <c r="V22" s="2">
        <v>21</v>
      </c>
      <c r="W22" s="43">
        <f t="shared" si="1"/>
        <v>1</v>
      </c>
      <c r="Y22" s="43">
        <v>0</v>
      </c>
      <c r="Z22" s="43">
        <f t="shared" si="3"/>
        <v>0</v>
      </c>
      <c r="AA22" s="43">
        <v>96.950000000000017</v>
      </c>
      <c r="AB22" s="43">
        <f>stop21</f>
        <v>96.950000000000017</v>
      </c>
      <c r="AC22" s="10612" t="b">
        <f>IFERROR(SUM('Last Tab'!$AM$126:$AU$128)=BackgroundCalcs!AA22,FALSE)</f>
        <v>1</v>
      </c>
      <c r="AD22" s="10612" t="s">
        <v>1049</v>
      </c>
      <c r="AE22" s="11" t="s">
        <v>1063</v>
      </c>
      <c r="AH22" s="11"/>
    </row>
    <row r="23" spans="2:34">
      <c r="B23" s="7"/>
      <c r="G23" s="2">
        <v>0</v>
      </c>
      <c r="J23" s="15"/>
      <c r="P23">
        <v>22</v>
      </c>
      <c r="Q23" s="9" t="s">
        <v>1019</v>
      </c>
      <c r="R23" s="9" t="b">
        <v>1</v>
      </c>
      <c r="V23" s="2">
        <v>22</v>
      </c>
      <c r="W23" s="43">
        <f t="shared" si="1"/>
        <v>1</v>
      </c>
      <c r="Y23" s="43">
        <v>0</v>
      </c>
      <c r="Z23" s="43">
        <f t="shared" si="3"/>
        <v>0</v>
      </c>
      <c r="AA23" s="43">
        <v>21.616666666666667</v>
      </c>
      <c r="AB23" s="2">
        <f>stop22</f>
        <v>21.616666666666667</v>
      </c>
      <c r="AC23" s="10612" t="b">
        <f>IFERROR(SUM('Last Tab'!AR72:AT73)=BackgroundCalcs!AA23,FALSE)</f>
        <v>1</v>
      </c>
      <c r="AD23" s="10612" t="s">
        <v>1050</v>
      </c>
      <c r="AE23" s="11" t="s">
        <v>1064</v>
      </c>
      <c r="AH23" s="11"/>
    </row>
    <row r="24" spans="2:34">
      <c r="B24" s="7"/>
      <c r="J24" s="15"/>
      <c r="P24">
        <v>23</v>
      </c>
      <c r="Q24" s="9" t="s">
        <v>1020</v>
      </c>
      <c r="R24" s="9" t="b">
        <v>1</v>
      </c>
      <c r="V24" s="2">
        <v>23</v>
      </c>
      <c r="W24" s="43">
        <f t="shared" si="1"/>
        <v>1</v>
      </c>
      <c r="Y24" s="43">
        <v>0</v>
      </c>
      <c r="Z24" s="43">
        <f t="shared" si="3"/>
        <v>0</v>
      </c>
      <c r="AA24" s="2" t="b">
        <v>1</v>
      </c>
      <c r="AB24" s="2" t="b">
        <f t="shared" ref="AB24" si="5">R24</f>
        <v>1</v>
      </c>
      <c r="AC24" s="2" t="b">
        <v>1</v>
      </c>
      <c r="AD24" s="2" t="s">
        <v>1046</v>
      </c>
      <c r="AE24" s="11" t="s">
        <v>1098</v>
      </c>
    </row>
    <row r="25" spans="2:34">
      <c r="B25" s="7"/>
      <c r="F25" s="1" t="s">
        <v>36</v>
      </c>
      <c r="G25" s="1" t="s">
        <v>37</v>
      </c>
      <c r="J25" s="15"/>
      <c r="P25" s="2">
        <v>24</v>
      </c>
      <c r="Q25" s="9" t="s">
        <v>1021</v>
      </c>
      <c r="R25" s="9" t="b">
        <v>1</v>
      </c>
      <c r="V25" s="2">
        <v>24</v>
      </c>
      <c r="W25" s="43">
        <f t="shared" si="1"/>
        <v>1</v>
      </c>
      <c r="Y25" s="43">
        <v>0</v>
      </c>
      <c r="Z25" s="43">
        <f t="shared" si="3"/>
        <v>0</v>
      </c>
      <c r="AA25" s="43">
        <v>465</v>
      </c>
      <c r="AB25" s="2">
        <f>stop24</f>
        <v>465</v>
      </c>
      <c r="AC25" s="10612" t="b">
        <f>IFERROR(SUM('Last Tab'!$AX$51:$BB$56)=BackgroundCalcs!AA25,FALSE)</f>
        <v>1</v>
      </c>
      <c r="AD25" s="10612" t="s">
        <v>1050</v>
      </c>
      <c r="AE25" s="11" t="s">
        <v>1104</v>
      </c>
      <c r="AH25" s="11"/>
    </row>
    <row r="26" spans="2:34">
      <c r="B26" s="7"/>
      <c r="F26" s="2" t="b">
        <v>1</v>
      </c>
      <c r="G26" s="7">
        <v>45747.435613425929</v>
      </c>
      <c r="J26" s="15"/>
      <c r="P26">
        <v>25</v>
      </c>
      <c r="Q26" s="9" t="s">
        <v>1022</v>
      </c>
      <c r="R26" s="9" t="b">
        <v>1</v>
      </c>
      <c r="V26" s="2">
        <v>25</v>
      </c>
      <c r="W26" s="43">
        <f t="shared" ca="1" si="1"/>
        <v>1</v>
      </c>
      <c r="Y26" s="43">
        <v>0</v>
      </c>
      <c r="Z26" s="43">
        <f t="shared" ca="1" si="3"/>
        <v>0</v>
      </c>
      <c r="AA26" s="43">
        <v>54</v>
      </c>
      <c r="AB26" s="2">
        <f>stop25</f>
        <v>54</v>
      </c>
      <c r="AC26" s="10612" t="b">
        <f ca="1">IFERROR(IFERROR(LEN(_xlfn.FORMULATEXT(stop25)),0)&gt;5,FALSE)</f>
        <v>1</v>
      </c>
      <c r="AD26" s="10612" t="s">
        <v>1048</v>
      </c>
      <c r="AE26" s="11" t="s">
        <v>1065</v>
      </c>
      <c r="AH26" s="11"/>
    </row>
    <row r="27" spans="2:34">
      <c r="B27" s="7"/>
      <c r="J27" s="15"/>
      <c r="P27">
        <v>26</v>
      </c>
      <c r="Q27" s="9" t="s">
        <v>1023</v>
      </c>
      <c r="R27" s="9" t="b">
        <v>1</v>
      </c>
      <c r="V27" s="2">
        <v>26</v>
      </c>
      <c r="W27" s="43">
        <f t="shared" si="1"/>
        <v>1</v>
      </c>
      <c r="Y27" s="43">
        <v>0</v>
      </c>
      <c r="Z27" s="43">
        <f t="shared" si="3"/>
        <v>0</v>
      </c>
      <c r="AA27" s="43">
        <v>131</v>
      </c>
      <c r="AB27" s="2">
        <f>stop26</f>
        <v>131</v>
      </c>
      <c r="AC27" s="10612" t="b">
        <f>IFERROR(COUNTIF('Last Tab'!$BV$93:$CA$97,3)=15,FALSE)</f>
        <v>1</v>
      </c>
      <c r="AD27" s="10612" t="s">
        <v>1051</v>
      </c>
      <c r="AE27" s="11" t="s">
        <v>1066</v>
      </c>
      <c r="AH27" s="11"/>
    </row>
    <row r="28" spans="2:34">
      <c r="B28" s="7"/>
      <c r="F28" s="1" t="s">
        <v>38</v>
      </c>
      <c r="G28" s="1" t="s">
        <v>39</v>
      </c>
      <c r="J28" s="15"/>
      <c r="P28">
        <v>27</v>
      </c>
      <c r="Q28" s="9" t="s">
        <v>1024</v>
      </c>
      <c r="R28" s="9" t="b">
        <v>1</v>
      </c>
      <c r="V28" s="2">
        <v>27</v>
      </c>
      <c r="W28" s="43">
        <f t="shared" ca="1" si="1"/>
        <v>1</v>
      </c>
      <c r="Y28" s="43">
        <v>0</v>
      </c>
      <c r="Z28" s="43">
        <f t="shared" ca="1" si="3"/>
        <v>0</v>
      </c>
      <c r="AA28" s="2">
        <v>207</v>
      </c>
      <c r="AB28" s="2">
        <f>stop27</f>
        <v>207</v>
      </c>
      <c r="AC28" s="10612" t="b">
        <f ca="1">IFERROR(IFERROR(LEN(_xlfn.FORMULATEXT(stop27)),0)&gt;5,FALSE)</f>
        <v>1</v>
      </c>
      <c r="AD28" s="10612" t="s">
        <v>1048</v>
      </c>
      <c r="AE28" s="11" t="s">
        <v>1067</v>
      </c>
    </row>
    <row r="29" spans="2:34">
      <c r="B29" s="7"/>
      <c r="F29" s="16">
        <v>0.56788194442196982</v>
      </c>
      <c r="G29" s="2">
        <f>totalTime*24*3600</f>
        <v>49064.999998058192</v>
      </c>
      <c r="J29" s="15"/>
      <c r="P29">
        <v>28</v>
      </c>
      <c r="Q29" s="9" t="s">
        <v>1025</v>
      </c>
      <c r="R29" s="9" t="b">
        <v>1</v>
      </c>
      <c r="V29" s="2">
        <v>28</v>
      </c>
      <c r="W29" s="43">
        <f t="shared" si="1"/>
        <v>1</v>
      </c>
      <c r="Y29" s="43">
        <v>0</v>
      </c>
      <c r="Z29" s="43">
        <f t="shared" si="3"/>
        <v>0</v>
      </c>
      <c r="AA29" s="2" t="b">
        <v>1</v>
      </c>
      <c r="AB29" s="2" t="b">
        <v>1</v>
      </c>
      <c r="AC29" s="2" t="b">
        <v>1</v>
      </c>
      <c r="AD29" s="2" t="s">
        <v>1046</v>
      </c>
      <c r="AE29" s="11" t="s">
        <v>1068</v>
      </c>
      <c r="AH29" s="11"/>
    </row>
    <row r="30" spans="2:34">
      <c r="B30" s="7"/>
      <c r="J30" s="15"/>
      <c r="Q30" s="9"/>
      <c r="R30" s="9"/>
      <c r="AE30" s="11" t="s">
        <v>1099</v>
      </c>
      <c r="AH30" s="11"/>
    </row>
    <row r="31" spans="2:34">
      <c r="B31" s="7"/>
      <c r="J31" s="15"/>
      <c r="P31"/>
      <c r="Q31" s="9"/>
      <c r="R31" s="9"/>
      <c r="AC31" s="10613"/>
      <c r="AH31" s="11"/>
    </row>
    <row r="32" spans="2:34">
      <c r="B32" s="7"/>
      <c r="J32" s="15"/>
      <c r="P32"/>
      <c r="Q32" s="14"/>
      <c r="R32"/>
    </row>
    <row r="33" spans="2:34">
      <c r="B33" s="7"/>
      <c r="P33"/>
      <c r="Q33" s="14"/>
      <c r="R33"/>
      <c r="AH33" s="11"/>
    </row>
    <row r="34" spans="2:34">
      <c r="B34" s="7"/>
      <c r="P34"/>
      <c r="Q34" s="14"/>
      <c r="R34"/>
      <c r="AH34" s="11"/>
    </row>
    <row r="35" spans="2:34">
      <c r="B35" s="7"/>
      <c r="D35" s="1" t="s">
        <v>40</v>
      </c>
      <c r="AH35" s="11"/>
    </row>
    <row r="36" spans="2:34">
      <c r="B36" s="7"/>
      <c r="D36" s="2">
        <f>StudentIDCell</f>
        <v>0</v>
      </c>
    </row>
    <row r="37" spans="2:34">
      <c r="B37" s="7"/>
      <c r="D37" s="2">
        <f>StudentNameCell</f>
        <v>0</v>
      </c>
      <c r="AH37" s="11"/>
    </row>
    <row r="38" spans="2:34">
      <c r="B38" s="7"/>
      <c r="AH38" s="11"/>
    </row>
    <row r="39" spans="2:34">
      <c r="B39" s="7"/>
      <c r="AH39" s="11"/>
    </row>
    <row r="40" spans="2:34">
      <c r="B40" s="7"/>
    </row>
    <row r="41" spans="2:34">
      <c r="B41" s="7"/>
      <c r="AH41" s="11"/>
    </row>
    <row r="42" spans="2:34">
      <c r="B42" s="7"/>
      <c r="F42" s="6" t="s">
        <v>1028</v>
      </c>
      <c r="AH42" s="11"/>
    </row>
    <row r="43" spans="2:34">
      <c r="B43" s="7"/>
      <c r="F43" s="2">
        <f>'Start Tab'!AN11</f>
        <v>1</v>
      </c>
      <c r="AH43" s="11"/>
    </row>
    <row r="44" spans="2:34">
      <c r="B44" s="7"/>
    </row>
    <row r="45" spans="2:34">
      <c r="B45" s="7"/>
      <c r="D45" s="6" t="s">
        <v>41</v>
      </c>
      <c r="F45" s="6" t="s">
        <v>42</v>
      </c>
      <c r="AH45" s="11"/>
    </row>
    <row r="46" spans="2:34">
      <c r="B46" s="7"/>
      <c r="D46" s="2" t="s">
        <v>43</v>
      </c>
      <c r="F46" s="2">
        <f>'Start Tab'!AN8</f>
        <v>1</v>
      </c>
      <c r="AH46" s="11"/>
    </row>
    <row r="47" spans="2:34">
      <c r="B47" s="7"/>
      <c r="D47" s="2" t="s">
        <v>20</v>
      </c>
      <c r="AH47" s="11"/>
    </row>
    <row r="48" spans="2:34">
      <c r="B48" s="7"/>
      <c r="F48" s="6" t="s">
        <v>44</v>
      </c>
    </row>
    <row r="49" spans="2:34">
      <c r="B49" s="7"/>
      <c r="D49" s="6" t="s">
        <v>45</v>
      </c>
      <c r="F49" s="2">
        <f>'Start Tab'!AN9</f>
        <v>0</v>
      </c>
      <c r="AH49" s="11"/>
    </row>
    <row r="50" spans="2:34">
      <c r="B50" s="7"/>
      <c r="D50" s="17" t="s">
        <v>46</v>
      </c>
      <c r="AH50" s="11"/>
    </row>
    <row r="51" spans="2:34">
      <c r="B51" s="7"/>
      <c r="D51" t="s">
        <v>0</v>
      </c>
      <c r="F51" s="6" t="s">
        <v>47</v>
      </c>
      <c r="AH51" s="11"/>
    </row>
    <row r="52" spans="2:34">
      <c r="B52" s="7"/>
      <c r="F52" s="2">
        <f>'Start Tab'!AN10</f>
        <v>0</v>
      </c>
    </row>
    <row r="53" spans="2:34">
      <c r="B53" s="7"/>
      <c r="AH53" s="11"/>
    </row>
    <row r="54" spans="2:34">
      <c r="B54" s="7"/>
      <c r="AH54" s="11"/>
    </row>
    <row r="55" spans="2:34">
      <c r="B55" s="7"/>
      <c r="D55" s="9" t="str">
        <f>"I finished the "&amp;SpreadsheetName&amp;" in "&amp;Results!$E$16&amp;" seconds. Sign up for the Microsoft Excel Collegiate Challenge and give it a try! #ExcelEsports #MECC #ExcelChampionships #DataSkills"</f>
        <v>I finished the MECC 2025 Regionals - Speed Challenge - Varsity in 634 seconds. Sign up for the Microsoft Excel Collegiate Challenge and give it a try! #ExcelEsports #MECC #ExcelChampionships #DataSkills</v>
      </c>
    </row>
    <row r="56" spans="2:34">
      <c r="D56" s="2">
        <f>LEN(D55)</f>
        <v>202</v>
      </c>
    </row>
    <row r="58" spans="2:34">
      <c r="D58" s="18"/>
    </row>
    <row r="59" spans="2:34">
      <c r="D59" s="19" t="s">
        <v>48</v>
      </c>
    </row>
    <row r="61" spans="2:34">
      <c r="D61" s="11" t="s">
        <v>49</v>
      </c>
    </row>
    <row r="63" spans="2:34">
      <c r="D63" s="20"/>
    </row>
    <row r="64" spans="2:34">
      <c r="D64" s="11"/>
    </row>
    <row r="65" spans="2:4">
      <c r="D65" s="11" t="str">
        <f>"https://twitter.com/intent/tweet?text=I+finished+the+MECC+Varsity+Speed+Challenge+in+"&amp;Results!$E$16&amp;"+seconds.+Sign+up+and+give+it+a+try!&amp;hashtags=ExcelEsports,MECC,ExcelChampionships,DataSkills"</f>
        <v>https://twitter.com/intent/tweet?text=I+finished+the+MECC+Varsity+Speed+Challenge+in+634+seconds.+Sign+up+and+give+it+a+try!&amp;hashtags=ExcelEsports,MECC,ExcelChampionships,DataSkills</v>
      </c>
    </row>
    <row r="67" spans="2:4">
      <c r="D67" s="21" t="s">
        <v>50</v>
      </c>
    </row>
    <row r="69" spans="2:4">
      <c r="D69" s="11" t="str">
        <f>"http://www.facebook.com/sharer.php?t=I%20finished%20the%20MECC%20Keyboarding%20Challenge%20in%20"&amp;Results!$E$16&amp;"%20seconds.%20Sign%20up%20for%20the%20Microsoft%20Excel%20Collegiate%20Challenge%20and%20give%20it%20a%20try!"</f>
        <v>http://www.facebook.com/sharer.php?t=I%20finished%20the%20MECC%20Keyboarding%20Challenge%20in%20634%20seconds.%20Sign%20up%20for%20the%20Microsoft%20Excel%20Collegiate%20Challenge%20and%20give%20it%20a%20try!</v>
      </c>
    </row>
    <row r="71" spans="2:4">
      <c r="B71" s="2" t="s">
        <v>3</v>
      </c>
    </row>
  </sheetData>
  <phoneticPr fontId="28" type="noConversion"/>
  <hyperlinks>
    <hyperlink ref="D59" r:id="rId1" xr:uid="{51656B79-AD81-4663-BE92-5F81067B31E0}"/>
    <hyperlink ref="D67" r:id="rId2" xr:uid="{C2E34A70-9F68-4258-948D-469F61ECA54C}"/>
  </hyperlinks>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FEDF4-44E1-48A5-97A8-3EC0638E998E}">
  <sheetPr codeName="Sheet6"/>
  <dimension ref="A1:B2"/>
  <sheetViews>
    <sheetView workbookViewId="0">
      <selection activeCell="B2" sqref="B2"/>
    </sheetView>
  </sheetViews>
  <sheetFormatPr defaultColWidth="8.85546875" defaultRowHeight="15"/>
  <cols>
    <col min="1" max="1" width="14" bestFit="1" customWidth="1"/>
  </cols>
  <sheetData>
    <row r="1" spans="1:2">
      <c r="A1" t="s">
        <v>84</v>
      </c>
      <c r="B1" s="46">
        <f>Results!E16</f>
        <v>634</v>
      </c>
    </row>
    <row r="2" spans="1:2">
      <c r="A2" t="s">
        <v>85</v>
      </c>
      <c r="B2">
        <f>IF(ISNUMBER(B1),IF(B1&lt;900,B1,900),0)</f>
        <v>634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EA1A0-9F14-41EF-8EA5-B63FA65F8505}">
  <sheetPr codeName="Sheet2"/>
  <dimension ref="A1:G902"/>
  <sheetViews>
    <sheetView workbookViewId="0"/>
  </sheetViews>
  <sheetFormatPr defaultColWidth="8.85546875" defaultRowHeight="15"/>
  <cols>
    <col min="1" max="1" width="12.140625" bestFit="1" customWidth="1"/>
    <col min="2" max="2" width="15.140625" bestFit="1" customWidth="1"/>
    <col min="3" max="3" width="6" bestFit="1" customWidth="1"/>
    <col min="4" max="4" width="30.140625" bestFit="1" customWidth="1"/>
    <col min="5" max="5" width="7.85546875" bestFit="1" customWidth="1"/>
    <col min="6" max="6" width="15.140625" bestFit="1" customWidth="1"/>
    <col min="7" max="7" width="16.85546875" bestFit="1" customWidth="1"/>
  </cols>
  <sheetData>
    <row r="1" spans="1:7">
      <c r="A1" t="s">
        <v>51</v>
      </c>
      <c r="B1" t="s">
        <v>52</v>
      </c>
      <c r="C1" t="s">
        <v>53</v>
      </c>
      <c r="D1" t="s">
        <v>54</v>
      </c>
      <c r="E1" t="s">
        <v>55</v>
      </c>
      <c r="F1" t="s">
        <v>56</v>
      </c>
      <c r="G1" t="s">
        <v>57</v>
      </c>
    </row>
    <row r="2" spans="1:7">
      <c r="A2" t="s">
        <v>58</v>
      </c>
      <c r="B2" t="s">
        <v>22</v>
      </c>
      <c r="C2" t="s">
        <v>59</v>
      </c>
      <c r="D2" t="s">
        <v>86</v>
      </c>
      <c r="E2">
        <v>1000000</v>
      </c>
      <c r="F2" t="s">
        <v>87</v>
      </c>
      <c r="G2" t="s">
        <v>88</v>
      </c>
    </row>
    <row r="3" spans="1:7">
      <c r="A3" t="s">
        <v>58</v>
      </c>
      <c r="B3" t="s">
        <v>89</v>
      </c>
      <c r="C3" t="s">
        <v>90</v>
      </c>
      <c r="D3" t="s">
        <v>86</v>
      </c>
      <c r="E3">
        <v>-1</v>
      </c>
      <c r="F3" t="s">
        <v>91</v>
      </c>
      <c r="G3" t="s">
        <v>92</v>
      </c>
    </row>
    <row r="4" spans="1:7">
      <c r="A4" t="s">
        <v>58</v>
      </c>
      <c r="B4" t="s">
        <v>89</v>
      </c>
      <c r="C4" t="s">
        <v>90</v>
      </c>
      <c r="D4" t="s">
        <v>93</v>
      </c>
      <c r="E4">
        <v>-2</v>
      </c>
      <c r="F4" t="s">
        <v>91</v>
      </c>
      <c r="G4" t="s">
        <v>92</v>
      </c>
    </row>
    <row r="5" spans="1:7">
      <c r="A5" t="s">
        <v>58</v>
      </c>
      <c r="B5" t="s">
        <v>89</v>
      </c>
      <c r="C5" t="s">
        <v>90</v>
      </c>
      <c r="D5" t="s">
        <v>94</v>
      </c>
      <c r="E5">
        <v>-3</v>
      </c>
      <c r="F5" t="s">
        <v>91</v>
      </c>
      <c r="G5" t="s">
        <v>92</v>
      </c>
    </row>
    <row r="6" spans="1:7">
      <c r="A6" t="s">
        <v>58</v>
      </c>
      <c r="B6" t="s">
        <v>89</v>
      </c>
      <c r="C6" t="s">
        <v>90</v>
      </c>
      <c r="D6" t="s">
        <v>95</v>
      </c>
      <c r="E6">
        <v>-4</v>
      </c>
      <c r="F6" t="s">
        <v>91</v>
      </c>
      <c r="G6" t="s">
        <v>92</v>
      </c>
    </row>
    <row r="7" spans="1:7">
      <c r="A7" t="s">
        <v>58</v>
      </c>
      <c r="B7" t="s">
        <v>89</v>
      </c>
      <c r="C7" t="s">
        <v>90</v>
      </c>
      <c r="D7" t="s">
        <v>96</v>
      </c>
      <c r="E7">
        <v>-5</v>
      </c>
      <c r="F7" t="s">
        <v>91</v>
      </c>
      <c r="G7" t="s">
        <v>92</v>
      </c>
    </row>
    <row r="8" spans="1:7">
      <c r="A8" t="s">
        <v>58</v>
      </c>
      <c r="B8" t="s">
        <v>89</v>
      </c>
      <c r="C8" t="s">
        <v>90</v>
      </c>
      <c r="D8" t="s">
        <v>97</v>
      </c>
      <c r="E8">
        <v>-6</v>
      </c>
      <c r="F8" t="s">
        <v>91</v>
      </c>
      <c r="G8" t="s">
        <v>92</v>
      </c>
    </row>
    <row r="9" spans="1:7">
      <c r="A9" t="s">
        <v>58</v>
      </c>
      <c r="B9" t="s">
        <v>89</v>
      </c>
      <c r="C9" t="s">
        <v>90</v>
      </c>
      <c r="D9" t="s">
        <v>98</v>
      </c>
      <c r="E9">
        <v>-7</v>
      </c>
      <c r="F9" t="s">
        <v>91</v>
      </c>
      <c r="G9" t="s">
        <v>92</v>
      </c>
    </row>
    <row r="10" spans="1:7">
      <c r="A10" t="s">
        <v>58</v>
      </c>
      <c r="B10" t="s">
        <v>89</v>
      </c>
      <c r="C10" t="s">
        <v>90</v>
      </c>
      <c r="D10" t="s">
        <v>99</v>
      </c>
      <c r="E10">
        <v>-8</v>
      </c>
      <c r="F10" t="s">
        <v>91</v>
      </c>
      <c r="G10" t="s">
        <v>92</v>
      </c>
    </row>
    <row r="11" spans="1:7">
      <c r="A11" t="s">
        <v>58</v>
      </c>
      <c r="B11" t="s">
        <v>89</v>
      </c>
      <c r="C11" t="s">
        <v>90</v>
      </c>
      <c r="D11" t="s">
        <v>100</v>
      </c>
      <c r="E11">
        <v>-9</v>
      </c>
      <c r="F11" t="s">
        <v>91</v>
      </c>
      <c r="G11" t="s">
        <v>92</v>
      </c>
    </row>
    <row r="12" spans="1:7">
      <c r="A12" t="s">
        <v>58</v>
      </c>
      <c r="B12" t="s">
        <v>89</v>
      </c>
      <c r="C12" t="s">
        <v>90</v>
      </c>
      <c r="D12" t="s">
        <v>101</v>
      </c>
      <c r="E12">
        <v>-10</v>
      </c>
      <c r="F12" t="s">
        <v>91</v>
      </c>
      <c r="G12" t="s">
        <v>92</v>
      </c>
    </row>
    <row r="13" spans="1:7">
      <c r="A13" t="s">
        <v>58</v>
      </c>
      <c r="B13" t="s">
        <v>89</v>
      </c>
      <c r="C13" t="s">
        <v>90</v>
      </c>
      <c r="D13" t="s">
        <v>102</v>
      </c>
      <c r="E13">
        <v>-11</v>
      </c>
      <c r="F13" t="s">
        <v>91</v>
      </c>
      <c r="G13" t="s">
        <v>92</v>
      </c>
    </row>
    <row r="14" spans="1:7">
      <c r="A14" t="s">
        <v>58</v>
      </c>
      <c r="B14" t="s">
        <v>89</v>
      </c>
      <c r="C14" t="s">
        <v>90</v>
      </c>
      <c r="D14" t="s">
        <v>103</v>
      </c>
      <c r="E14">
        <v>-12</v>
      </c>
      <c r="F14" t="s">
        <v>91</v>
      </c>
      <c r="G14" t="s">
        <v>92</v>
      </c>
    </row>
    <row r="15" spans="1:7">
      <c r="A15" t="s">
        <v>58</v>
      </c>
      <c r="B15" t="s">
        <v>89</v>
      </c>
      <c r="C15" t="s">
        <v>90</v>
      </c>
      <c r="D15" t="s">
        <v>104</v>
      </c>
      <c r="E15">
        <v>-13</v>
      </c>
      <c r="F15" t="s">
        <v>91</v>
      </c>
      <c r="G15" t="s">
        <v>92</v>
      </c>
    </row>
    <row r="16" spans="1:7">
      <c r="A16" t="s">
        <v>58</v>
      </c>
      <c r="B16" t="s">
        <v>89</v>
      </c>
      <c r="C16" t="s">
        <v>90</v>
      </c>
      <c r="D16" t="s">
        <v>105</v>
      </c>
      <c r="E16">
        <v>-14</v>
      </c>
      <c r="F16" t="s">
        <v>91</v>
      </c>
      <c r="G16" t="s">
        <v>92</v>
      </c>
    </row>
    <row r="17" spans="1:7">
      <c r="A17" t="s">
        <v>58</v>
      </c>
      <c r="B17" t="s">
        <v>89</v>
      </c>
      <c r="C17" t="s">
        <v>90</v>
      </c>
      <c r="D17" t="s">
        <v>106</v>
      </c>
      <c r="E17">
        <v>-15</v>
      </c>
      <c r="F17" t="s">
        <v>91</v>
      </c>
      <c r="G17" t="s">
        <v>92</v>
      </c>
    </row>
    <row r="18" spans="1:7">
      <c r="A18" t="s">
        <v>58</v>
      </c>
      <c r="B18" t="s">
        <v>89</v>
      </c>
      <c r="C18" t="s">
        <v>90</v>
      </c>
      <c r="D18" t="s">
        <v>107</v>
      </c>
      <c r="E18">
        <v>-16</v>
      </c>
      <c r="F18" t="s">
        <v>91</v>
      </c>
      <c r="G18" t="s">
        <v>92</v>
      </c>
    </row>
    <row r="19" spans="1:7">
      <c r="A19" t="s">
        <v>58</v>
      </c>
      <c r="B19" t="s">
        <v>89</v>
      </c>
      <c r="C19" t="s">
        <v>90</v>
      </c>
      <c r="D19" t="s">
        <v>108</v>
      </c>
      <c r="E19">
        <v>-17</v>
      </c>
      <c r="F19" t="s">
        <v>91</v>
      </c>
      <c r="G19" t="s">
        <v>92</v>
      </c>
    </row>
    <row r="20" spans="1:7">
      <c r="A20" t="s">
        <v>58</v>
      </c>
      <c r="B20" t="s">
        <v>89</v>
      </c>
      <c r="C20" t="s">
        <v>90</v>
      </c>
      <c r="D20" t="s">
        <v>109</v>
      </c>
      <c r="E20">
        <v>-18</v>
      </c>
      <c r="F20" t="s">
        <v>91</v>
      </c>
      <c r="G20" t="s">
        <v>92</v>
      </c>
    </row>
    <row r="21" spans="1:7">
      <c r="A21" t="s">
        <v>58</v>
      </c>
      <c r="B21" t="s">
        <v>89</v>
      </c>
      <c r="C21" t="s">
        <v>90</v>
      </c>
      <c r="D21" t="s">
        <v>110</v>
      </c>
      <c r="E21">
        <v>-19</v>
      </c>
      <c r="F21" t="s">
        <v>91</v>
      </c>
      <c r="G21" t="s">
        <v>92</v>
      </c>
    </row>
    <row r="22" spans="1:7">
      <c r="A22" t="s">
        <v>58</v>
      </c>
      <c r="B22" t="s">
        <v>89</v>
      </c>
      <c r="C22" t="s">
        <v>90</v>
      </c>
      <c r="D22" t="s">
        <v>111</v>
      </c>
      <c r="E22">
        <v>-20</v>
      </c>
      <c r="F22" t="s">
        <v>91</v>
      </c>
      <c r="G22" t="s">
        <v>92</v>
      </c>
    </row>
    <row r="23" spans="1:7">
      <c r="A23" t="s">
        <v>58</v>
      </c>
      <c r="B23" t="s">
        <v>89</v>
      </c>
      <c r="C23" t="s">
        <v>90</v>
      </c>
      <c r="D23" t="s">
        <v>112</v>
      </c>
      <c r="E23">
        <v>-21</v>
      </c>
      <c r="F23" t="s">
        <v>91</v>
      </c>
      <c r="G23" t="s">
        <v>92</v>
      </c>
    </row>
    <row r="24" spans="1:7">
      <c r="A24" t="s">
        <v>58</v>
      </c>
      <c r="B24" t="s">
        <v>89</v>
      </c>
      <c r="C24" t="s">
        <v>90</v>
      </c>
      <c r="D24" t="s">
        <v>113</v>
      </c>
      <c r="E24">
        <v>-22</v>
      </c>
      <c r="F24" t="s">
        <v>91</v>
      </c>
      <c r="G24" t="s">
        <v>92</v>
      </c>
    </row>
    <row r="25" spans="1:7">
      <c r="A25" t="s">
        <v>58</v>
      </c>
      <c r="B25" t="s">
        <v>89</v>
      </c>
      <c r="C25" t="s">
        <v>90</v>
      </c>
      <c r="D25" t="s">
        <v>114</v>
      </c>
      <c r="E25">
        <v>-23</v>
      </c>
      <c r="F25" t="s">
        <v>91</v>
      </c>
      <c r="G25" t="s">
        <v>92</v>
      </c>
    </row>
    <row r="26" spans="1:7">
      <c r="A26" t="s">
        <v>58</v>
      </c>
      <c r="B26" t="s">
        <v>89</v>
      </c>
      <c r="C26" t="s">
        <v>90</v>
      </c>
      <c r="D26" t="s">
        <v>115</v>
      </c>
      <c r="E26">
        <v>-24</v>
      </c>
      <c r="F26" t="s">
        <v>91</v>
      </c>
      <c r="G26" t="s">
        <v>92</v>
      </c>
    </row>
    <row r="27" spans="1:7">
      <c r="A27" t="s">
        <v>58</v>
      </c>
      <c r="B27" t="s">
        <v>89</v>
      </c>
      <c r="C27" t="s">
        <v>90</v>
      </c>
      <c r="D27" t="s">
        <v>116</v>
      </c>
      <c r="E27">
        <v>-25</v>
      </c>
      <c r="F27" t="s">
        <v>91</v>
      </c>
      <c r="G27" t="s">
        <v>92</v>
      </c>
    </row>
    <row r="28" spans="1:7">
      <c r="A28" t="s">
        <v>58</v>
      </c>
      <c r="B28" t="s">
        <v>89</v>
      </c>
      <c r="C28" t="s">
        <v>90</v>
      </c>
      <c r="D28" t="s">
        <v>117</v>
      </c>
      <c r="E28">
        <v>-26</v>
      </c>
      <c r="F28" t="s">
        <v>91</v>
      </c>
      <c r="G28" t="s">
        <v>92</v>
      </c>
    </row>
    <row r="29" spans="1:7">
      <c r="A29" t="s">
        <v>58</v>
      </c>
      <c r="B29" t="s">
        <v>89</v>
      </c>
      <c r="C29" t="s">
        <v>90</v>
      </c>
      <c r="D29" t="s">
        <v>118</v>
      </c>
      <c r="E29">
        <v>-27</v>
      </c>
      <c r="F29" t="s">
        <v>91</v>
      </c>
      <c r="G29" t="s">
        <v>92</v>
      </c>
    </row>
    <row r="30" spans="1:7">
      <c r="A30" t="s">
        <v>58</v>
      </c>
      <c r="B30" t="s">
        <v>89</v>
      </c>
      <c r="C30" t="s">
        <v>90</v>
      </c>
      <c r="D30" t="s">
        <v>119</v>
      </c>
      <c r="E30">
        <v>-28</v>
      </c>
      <c r="F30" t="s">
        <v>91</v>
      </c>
      <c r="G30" t="s">
        <v>92</v>
      </c>
    </row>
    <row r="31" spans="1:7">
      <c r="A31" t="s">
        <v>58</v>
      </c>
      <c r="B31" t="s">
        <v>89</v>
      </c>
      <c r="C31" t="s">
        <v>90</v>
      </c>
      <c r="D31" t="s">
        <v>120</v>
      </c>
      <c r="E31">
        <v>-29</v>
      </c>
      <c r="F31" t="s">
        <v>91</v>
      </c>
      <c r="G31" t="s">
        <v>92</v>
      </c>
    </row>
    <row r="32" spans="1:7">
      <c r="A32" t="s">
        <v>58</v>
      </c>
      <c r="B32" t="s">
        <v>89</v>
      </c>
      <c r="C32" t="s">
        <v>90</v>
      </c>
      <c r="D32" t="s">
        <v>121</v>
      </c>
      <c r="E32">
        <v>-30</v>
      </c>
      <c r="F32" t="s">
        <v>91</v>
      </c>
      <c r="G32" t="s">
        <v>92</v>
      </c>
    </row>
    <row r="33" spans="1:7">
      <c r="A33" t="s">
        <v>58</v>
      </c>
      <c r="B33" t="s">
        <v>89</v>
      </c>
      <c r="C33" t="s">
        <v>90</v>
      </c>
      <c r="D33" t="s">
        <v>122</v>
      </c>
      <c r="E33">
        <v>-31</v>
      </c>
      <c r="F33" t="s">
        <v>91</v>
      </c>
      <c r="G33" t="s">
        <v>92</v>
      </c>
    </row>
    <row r="34" spans="1:7">
      <c r="A34" t="s">
        <v>58</v>
      </c>
      <c r="B34" t="s">
        <v>89</v>
      </c>
      <c r="C34" t="s">
        <v>90</v>
      </c>
      <c r="D34" t="s">
        <v>123</v>
      </c>
      <c r="E34">
        <v>-32</v>
      </c>
      <c r="F34" t="s">
        <v>91</v>
      </c>
      <c r="G34" t="s">
        <v>92</v>
      </c>
    </row>
    <row r="35" spans="1:7">
      <c r="A35" t="s">
        <v>58</v>
      </c>
      <c r="B35" t="s">
        <v>89</v>
      </c>
      <c r="C35" t="s">
        <v>90</v>
      </c>
      <c r="D35" t="s">
        <v>124</v>
      </c>
      <c r="E35">
        <v>-33</v>
      </c>
      <c r="F35" t="s">
        <v>91</v>
      </c>
      <c r="G35" t="s">
        <v>92</v>
      </c>
    </row>
    <row r="36" spans="1:7">
      <c r="A36" t="s">
        <v>58</v>
      </c>
      <c r="B36" t="s">
        <v>89</v>
      </c>
      <c r="C36" t="s">
        <v>90</v>
      </c>
      <c r="D36" t="s">
        <v>125</v>
      </c>
      <c r="E36">
        <v>-34</v>
      </c>
      <c r="F36" t="s">
        <v>91</v>
      </c>
      <c r="G36" t="s">
        <v>92</v>
      </c>
    </row>
    <row r="37" spans="1:7">
      <c r="A37" t="s">
        <v>58</v>
      </c>
      <c r="B37" t="s">
        <v>89</v>
      </c>
      <c r="C37" t="s">
        <v>90</v>
      </c>
      <c r="D37" t="s">
        <v>126</v>
      </c>
      <c r="E37">
        <v>-35</v>
      </c>
      <c r="F37" t="s">
        <v>91</v>
      </c>
      <c r="G37" t="s">
        <v>92</v>
      </c>
    </row>
    <row r="38" spans="1:7">
      <c r="A38" t="s">
        <v>58</v>
      </c>
      <c r="B38" t="s">
        <v>89</v>
      </c>
      <c r="C38" t="s">
        <v>90</v>
      </c>
      <c r="D38" t="s">
        <v>127</v>
      </c>
      <c r="E38">
        <v>-36</v>
      </c>
      <c r="F38" t="s">
        <v>91</v>
      </c>
      <c r="G38" t="s">
        <v>92</v>
      </c>
    </row>
    <row r="39" spans="1:7">
      <c r="A39" t="s">
        <v>58</v>
      </c>
      <c r="B39" t="s">
        <v>89</v>
      </c>
      <c r="C39" t="s">
        <v>90</v>
      </c>
      <c r="D39" t="s">
        <v>128</v>
      </c>
      <c r="E39">
        <v>-37</v>
      </c>
      <c r="F39" t="s">
        <v>91</v>
      </c>
      <c r="G39" t="s">
        <v>92</v>
      </c>
    </row>
    <row r="40" spans="1:7">
      <c r="A40" t="s">
        <v>58</v>
      </c>
      <c r="B40" t="s">
        <v>89</v>
      </c>
      <c r="C40" t="s">
        <v>90</v>
      </c>
      <c r="D40" t="s">
        <v>129</v>
      </c>
      <c r="E40">
        <v>-38</v>
      </c>
      <c r="F40" t="s">
        <v>91</v>
      </c>
      <c r="G40" t="s">
        <v>92</v>
      </c>
    </row>
    <row r="41" spans="1:7">
      <c r="A41" t="s">
        <v>58</v>
      </c>
      <c r="B41" t="s">
        <v>89</v>
      </c>
      <c r="C41" t="s">
        <v>90</v>
      </c>
      <c r="D41" t="s">
        <v>130</v>
      </c>
      <c r="E41">
        <v>-39</v>
      </c>
      <c r="F41" t="s">
        <v>91</v>
      </c>
      <c r="G41" t="s">
        <v>92</v>
      </c>
    </row>
    <row r="42" spans="1:7">
      <c r="A42" t="s">
        <v>58</v>
      </c>
      <c r="B42" t="s">
        <v>89</v>
      </c>
      <c r="C42" t="s">
        <v>90</v>
      </c>
      <c r="D42" t="s">
        <v>131</v>
      </c>
      <c r="E42">
        <v>-40</v>
      </c>
      <c r="F42" t="s">
        <v>91</v>
      </c>
      <c r="G42" t="s">
        <v>92</v>
      </c>
    </row>
    <row r="43" spans="1:7">
      <c r="A43" t="s">
        <v>58</v>
      </c>
      <c r="B43" t="s">
        <v>89</v>
      </c>
      <c r="C43" t="s">
        <v>90</v>
      </c>
      <c r="D43" t="s">
        <v>132</v>
      </c>
      <c r="E43">
        <v>-41</v>
      </c>
      <c r="F43" t="s">
        <v>91</v>
      </c>
      <c r="G43" t="s">
        <v>92</v>
      </c>
    </row>
    <row r="44" spans="1:7">
      <c r="A44" t="s">
        <v>58</v>
      </c>
      <c r="B44" t="s">
        <v>89</v>
      </c>
      <c r="C44" t="s">
        <v>90</v>
      </c>
      <c r="D44" t="s">
        <v>133</v>
      </c>
      <c r="E44">
        <v>-42</v>
      </c>
      <c r="F44" t="s">
        <v>91</v>
      </c>
      <c r="G44" t="s">
        <v>92</v>
      </c>
    </row>
    <row r="45" spans="1:7">
      <c r="A45" t="s">
        <v>58</v>
      </c>
      <c r="B45" t="s">
        <v>89</v>
      </c>
      <c r="C45" t="s">
        <v>90</v>
      </c>
      <c r="D45" t="s">
        <v>134</v>
      </c>
      <c r="E45">
        <v>-43</v>
      </c>
      <c r="F45" t="s">
        <v>91</v>
      </c>
      <c r="G45" t="s">
        <v>92</v>
      </c>
    </row>
    <row r="46" spans="1:7">
      <c r="A46" t="s">
        <v>58</v>
      </c>
      <c r="B46" t="s">
        <v>89</v>
      </c>
      <c r="C46" t="s">
        <v>90</v>
      </c>
      <c r="D46" t="s">
        <v>135</v>
      </c>
      <c r="E46">
        <v>-44</v>
      </c>
      <c r="F46" t="s">
        <v>91</v>
      </c>
      <c r="G46" t="s">
        <v>92</v>
      </c>
    </row>
    <row r="47" spans="1:7">
      <c r="A47" t="s">
        <v>58</v>
      </c>
      <c r="B47" t="s">
        <v>89</v>
      </c>
      <c r="C47" t="s">
        <v>90</v>
      </c>
      <c r="D47" t="s">
        <v>136</v>
      </c>
      <c r="E47">
        <v>-45</v>
      </c>
      <c r="F47" t="s">
        <v>91</v>
      </c>
      <c r="G47" t="s">
        <v>92</v>
      </c>
    </row>
    <row r="48" spans="1:7">
      <c r="A48" t="s">
        <v>58</v>
      </c>
      <c r="B48" t="s">
        <v>89</v>
      </c>
      <c r="C48" t="s">
        <v>90</v>
      </c>
      <c r="D48" t="s">
        <v>137</v>
      </c>
      <c r="E48">
        <v>-46</v>
      </c>
      <c r="F48" t="s">
        <v>91</v>
      </c>
      <c r="G48" t="s">
        <v>92</v>
      </c>
    </row>
    <row r="49" spans="1:7">
      <c r="A49" t="s">
        <v>58</v>
      </c>
      <c r="B49" t="s">
        <v>89</v>
      </c>
      <c r="C49" t="s">
        <v>90</v>
      </c>
      <c r="D49" t="s">
        <v>138</v>
      </c>
      <c r="E49">
        <v>-47</v>
      </c>
      <c r="F49" t="s">
        <v>91</v>
      </c>
      <c r="G49" t="s">
        <v>92</v>
      </c>
    </row>
    <row r="50" spans="1:7">
      <c r="A50" t="s">
        <v>58</v>
      </c>
      <c r="B50" t="s">
        <v>89</v>
      </c>
      <c r="C50" t="s">
        <v>90</v>
      </c>
      <c r="D50" t="s">
        <v>139</v>
      </c>
      <c r="E50">
        <v>-48</v>
      </c>
      <c r="F50" t="s">
        <v>91</v>
      </c>
      <c r="G50" t="s">
        <v>92</v>
      </c>
    </row>
    <row r="51" spans="1:7">
      <c r="A51" t="s">
        <v>58</v>
      </c>
      <c r="B51" t="s">
        <v>89</v>
      </c>
      <c r="C51" t="s">
        <v>90</v>
      </c>
      <c r="D51" t="s">
        <v>140</v>
      </c>
      <c r="E51">
        <v>-49</v>
      </c>
      <c r="F51" t="s">
        <v>91</v>
      </c>
      <c r="G51" t="s">
        <v>92</v>
      </c>
    </row>
    <row r="52" spans="1:7">
      <c r="A52" t="s">
        <v>58</v>
      </c>
      <c r="B52" t="s">
        <v>89</v>
      </c>
      <c r="C52" t="s">
        <v>90</v>
      </c>
      <c r="D52" t="s">
        <v>141</v>
      </c>
      <c r="E52">
        <v>-50</v>
      </c>
      <c r="F52" t="s">
        <v>91</v>
      </c>
      <c r="G52" t="s">
        <v>92</v>
      </c>
    </row>
    <row r="53" spans="1:7">
      <c r="A53" t="s">
        <v>58</v>
      </c>
      <c r="B53" t="s">
        <v>89</v>
      </c>
      <c r="C53" t="s">
        <v>90</v>
      </c>
      <c r="D53" t="s">
        <v>142</v>
      </c>
      <c r="E53">
        <v>-51</v>
      </c>
      <c r="F53" t="s">
        <v>91</v>
      </c>
      <c r="G53" t="s">
        <v>92</v>
      </c>
    </row>
    <row r="54" spans="1:7">
      <c r="A54" t="s">
        <v>58</v>
      </c>
      <c r="B54" t="s">
        <v>89</v>
      </c>
      <c r="C54" t="s">
        <v>90</v>
      </c>
      <c r="D54" t="s">
        <v>143</v>
      </c>
      <c r="E54">
        <v>-52</v>
      </c>
      <c r="F54" t="s">
        <v>91</v>
      </c>
      <c r="G54" t="s">
        <v>92</v>
      </c>
    </row>
    <row r="55" spans="1:7">
      <c r="A55" t="s">
        <v>58</v>
      </c>
      <c r="B55" t="s">
        <v>89</v>
      </c>
      <c r="C55" t="s">
        <v>90</v>
      </c>
      <c r="D55" t="s">
        <v>144</v>
      </c>
      <c r="E55">
        <v>-53</v>
      </c>
      <c r="F55" t="s">
        <v>91</v>
      </c>
      <c r="G55" t="s">
        <v>92</v>
      </c>
    </row>
    <row r="56" spans="1:7">
      <c r="A56" t="s">
        <v>58</v>
      </c>
      <c r="B56" t="s">
        <v>89</v>
      </c>
      <c r="C56" t="s">
        <v>90</v>
      </c>
      <c r="D56" t="s">
        <v>145</v>
      </c>
      <c r="E56">
        <v>-54</v>
      </c>
      <c r="F56" t="s">
        <v>91</v>
      </c>
      <c r="G56" t="s">
        <v>92</v>
      </c>
    </row>
    <row r="57" spans="1:7">
      <c r="A57" t="s">
        <v>58</v>
      </c>
      <c r="B57" t="s">
        <v>89</v>
      </c>
      <c r="C57" t="s">
        <v>90</v>
      </c>
      <c r="D57" t="s">
        <v>146</v>
      </c>
      <c r="E57">
        <v>-55</v>
      </c>
      <c r="F57" t="s">
        <v>91</v>
      </c>
      <c r="G57" t="s">
        <v>92</v>
      </c>
    </row>
    <row r="58" spans="1:7">
      <c r="A58" t="s">
        <v>58</v>
      </c>
      <c r="B58" t="s">
        <v>89</v>
      </c>
      <c r="C58" t="s">
        <v>90</v>
      </c>
      <c r="D58" t="s">
        <v>147</v>
      </c>
      <c r="E58">
        <v>-56</v>
      </c>
      <c r="F58" t="s">
        <v>91</v>
      </c>
      <c r="G58" t="s">
        <v>92</v>
      </c>
    </row>
    <row r="59" spans="1:7">
      <c r="A59" t="s">
        <v>58</v>
      </c>
      <c r="B59" t="s">
        <v>89</v>
      </c>
      <c r="C59" t="s">
        <v>90</v>
      </c>
      <c r="D59" t="s">
        <v>148</v>
      </c>
      <c r="E59">
        <v>-57</v>
      </c>
      <c r="F59" t="s">
        <v>91</v>
      </c>
      <c r="G59" t="s">
        <v>92</v>
      </c>
    </row>
    <row r="60" spans="1:7">
      <c r="A60" t="s">
        <v>58</v>
      </c>
      <c r="B60" t="s">
        <v>89</v>
      </c>
      <c r="C60" t="s">
        <v>90</v>
      </c>
      <c r="D60" t="s">
        <v>149</v>
      </c>
      <c r="E60">
        <v>-58</v>
      </c>
      <c r="F60" t="s">
        <v>91</v>
      </c>
      <c r="G60" t="s">
        <v>92</v>
      </c>
    </row>
    <row r="61" spans="1:7">
      <c r="A61" t="s">
        <v>58</v>
      </c>
      <c r="B61" t="s">
        <v>89</v>
      </c>
      <c r="C61" t="s">
        <v>90</v>
      </c>
      <c r="D61" t="s">
        <v>150</v>
      </c>
      <c r="E61">
        <v>-59</v>
      </c>
      <c r="F61" t="s">
        <v>91</v>
      </c>
      <c r="G61" t="s">
        <v>92</v>
      </c>
    </row>
    <row r="62" spans="1:7">
      <c r="A62" t="s">
        <v>58</v>
      </c>
      <c r="B62" t="s">
        <v>89</v>
      </c>
      <c r="C62" t="s">
        <v>90</v>
      </c>
      <c r="D62" t="s">
        <v>151</v>
      </c>
      <c r="E62">
        <v>-60</v>
      </c>
      <c r="F62" t="s">
        <v>91</v>
      </c>
      <c r="G62" t="s">
        <v>92</v>
      </c>
    </row>
    <row r="63" spans="1:7">
      <c r="A63" t="s">
        <v>58</v>
      </c>
      <c r="B63" t="s">
        <v>89</v>
      </c>
      <c r="C63" t="s">
        <v>90</v>
      </c>
      <c r="D63" t="s">
        <v>152</v>
      </c>
      <c r="E63">
        <v>-61</v>
      </c>
      <c r="F63" t="s">
        <v>91</v>
      </c>
      <c r="G63" t="s">
        <v>92</v>
      </c>
    </row>
    <row r="64" spans="1:7">
      <c r="A64" t="s">
        <v>58</v>
      </c>
      <c r="B64" t="s">
        <v>89</v>
      </c>
      <c r="C64" t="s">
        <v>90</v>
      </c>
      <c r="D64" t="s">
        <v>153</v>
      </c>
      <c r="E64">
        <v>-62</v>
      </c>
      <c r="F64" t="s">
        <v>91</v>
      </c>
      <c r="G64" t="s">
        <v>92</v>
      </c>
    </row>
    <row r="65" spans="1:7">
      <c r="A65" t="s">
        <v>58</v>
      </c>
      <c r="B65" t="s">
        <v>89</v>
      </c>
      <c r="C65" t="s">
        <v>90</v>
      </c>
      <c r="D65" t="s">
        <v>154</v>
      </c>
      <c r="E65">
        <v>-63</v>
      </c>
      <c r="F65" t="s">
        <v>91</v>
      </c>
      <c r="G65" t="s">
        <v>92</v>
      </c>
    </row>
    <row r="66" spans="1:7">
      <c r="A66" t="s">
        <v>58</v>
      </c>
      <c r="B66" t="s">
        <v>89</v>
      </c>
      <c r="C66" t="s">
        <v>90</v>
      </c>
      <c r="D66" t="s">
        <v>155</v>
      </c>
      <c r="E66">
        <v>-64</v>
      </c>
      <c r="F66" t="s">
        <v>91</v>
      </c>
      <c r="G66" t="s">
        <v>92</v>
      </c>
    </row>
    <row r="67" spans="1:7">
      <c r="A67" t="s">
        <v>58</v>
      </c>
      <c r="B67" t="s">
        <v>89</v>
      </c>
      <c r="C67" t="s">
        <v>90</v>
      </c>
      <c r="D67" t="s">
        <v>156</v>
      </c>
      <c r="E67">
        <v>-65</v>
      </c>
      <c r="F67" t="s">
        <v>91</v>
      </c>
      <c r="G67" t="s">
        <v>92</v>
      </c>
    </row>
    <row r="68" spans="1:7">
      <c r="A68" t="s">
        <v>58</v>
      </c>
      <c r="B68" t="s">
        <v>89</v>
      </c>
      <c r="C68" t="s">
        <v>90</v>
      </c>
      <c r="D68" t="s">
        <v>157</v>
      </c>
      <c r="E68">
        <v>-66</v>
      </c>
      <c r="F68" t="s">
        <v>91</v>
      </c>
      <c r="G68" t="s">
        <v>92</v>
      </c>
    </row>
    <row r="69" spans="1:7">
      <c r="A69" t="s">
        <v>58</v>
      </c>
      <c r="B69" t="s">
        <v>89</v>
      </c>
      <c r="C69" t="s">
        <v>90</v>
      </c>
      <c r="D69" t="s">
        <v>158</v>
      </c>
      <c r="E69">
        <v>-67</v>
      </c>
      <c r="F69" t="s">
        <v>91</v>
      </c>
      <c r="G69" t="s">
        <v>92</v>
      </c>
    </row>
    <row r="70" spans="1:7">
      <c r="A70" t="s">
        <v>58</v>
      </c>
      <c r="B70" t="s">
        <v>89</v>
      </c>
      <c r="C70" t="s">
        <v>90</v>
      </c>
      <c r="D70" t="s">
        <v>159</v>
      </c>
      <c r="E70">
        <v>-68</v>
      </c>
      <c r="F70" t="s">
        <v>91</v>
      </c>
      <c r="G70" t="s">
        <v>92</v>
      </c>
    </row>
    <row r="71" spans="1:7">
      <c r="A71" t="s">
        <v>58</v>
      </c>
      <c r="B71" t="s">
        <v>89</v>
      </c>
      <c r="C71" t="s">
        <v>90</v>
      </c>
      <c r="D71" t="s">
        <v>160</v>
      </c>
      <c r="E71">
        <v>-69</v>
      </c>
      <c r="F71" t="s">
        <v>91</v>
      </c>
      <c r="G71" t="s">
        <v>92</v>
      </c>
    </row>
    <row r="72" spans="1:7">
      <c r="A72" t="s">
        <v>58</v>
      </c>
      <c r="B72" t="s">
        <v>89</v>
      </c>
      <c r="C72" t="s">
        <v>90</v>
      </c>
      <c r="D72" t="s">
        <v>161</v>
      </c>
      <c r="E72">
        <v>-70</v>
      </c>
      <c r="F72" t="s">
        <v>91</v>
      </c>
      <c r="G72" t="s">
        <v>92</v>
      </c>
    </row>
    <row r="73" spans="1:7">
      <c r="A73" t="s">
        <v>58</v>
      </c>
      <c r="B73" t="s">
        <v>89</v>
      </c>
      <c r="C73" t="s">
        <v>90</v>
      </c>
      <c r="D73" t="s">
        <v>162</v>
      </c>
      <c r="E73">
        <v>-71</v>
      </c>
      <c r="F73" t="s">
        <v>91</v>
      </c>
      <c r="G73" t="s">
        <v>92</v>
      </c>
    </row>
    <row r="74" spans="1:7">
      <c r="A74" t="s">
        <v>58</v>
      </c>
      <c r="B74" t="s">
        <v>89</v>
      </c>
      <c r="C74" t="s">
        <v>90</v>
      </c>
      <c r="D74" t="s">
        <v>163</v>
      </c>
      <c r="E74">
        <v>-72</v>
      </c>
      <c r="F74" t="s">
        <v>91</v>
      </c>
      <c r="G74" t="s">
        <v>92</v>
      </c>
    </row>
    <row r="75" spans="1:7">
      <c r="A75" t="s">
        <v>58</v>
      </c>
      <c r="B75" t="s">
        <v>89</v>
      </c>
      <c r="C75" t="s">
        <v>90</v>
      </c>
      <c r="D75" t="s">
        <v>164</v>
      </c>
      <c r="E75">
        <v>-73</v>
      </c>
      <c r="F75" t="s">
        <v>91</v>
      </c>
      <c r="G75" t="s">
        <v>92</v>
      </c>
    </row>
    <row r="76" spans="1:7">
      <c r="A76" t="s">
        <v>58</v>
      </c>
      <c r="B76" t="s">
        <v>89</v>
      </c>
      <c r="C76" t="s">
        <v>90</v>
      </c>
      <c r="D76" t="s">
        <v>165</v>
      </c>
      <c r="E76">
        <v>-74</v>
      </c>
      <c r="F76" t="s">
        <v>91</v>
      </c>
      <c r="G76" t="s">
        <v>92</v>
      </c>
    </row>
    <row r="77" spans="1:7">
      <c r="A77" t="s">
        <v>58</v>
      </c>
      <c r="B77" t="s">
        <v>89</v>
      </c>
      <c r="C77" t="s">
        <v>90</v>
      </c>
      <c r="D77" t="s">
        <v>166</v>
      </c>
      <c r="E77">
        <v>-75</v>
      </c>
      <c r="F77" t="s">
        <v>91</v>
      </c>
      <c r="G77" t="s">
        <v>92</v>
      </c>
    </row>
    <row r="78" spans="1:7">
      <c r="A78" t="s">
        <v>58</v>
      </c>
      <c r="B78" t="s">
        <v>89</v>
      </c>
      <c r="C78" t="s">
        <v>90</v>
      </c>
      <c r="D78" t="s">
        <v>167</v>
      </c>
      <c r="E78">
        <v>-76</v>
      </c>
      <c r="F78" t="s">
        <v>91</v>
      </c>
      <c r="G78" t="s">
        <v>92</v>
      </c>
    </row>
    <row r="79" spans="1:7">
      <c r="A79" t="s">
        <v>58</v>
      </c>
      <c r="B79" t="s">
        <v>89</v>
      </c>
      <c r="C79" t="s">
        <v>90</v>
      </c>
      <c r="D79" t="s">
        <v>168</v>
      </c>
      <c r="E79">
        <v>-77</v>
      </c>
      <c r="F79" t="s">
        <v>91</v>
      </c>
      <c r="G79" t="s">
        <v>92</v>
      </c>
    </row>
    <row r="80" spans="1:7">
      <c r="A80" t="s">
        <v>58</v>
      </c>
      <c r="B80" t="s">
        <v>89</v>
      </c>
      <c r="C80" t="s">
        <v>90</v>
      </c>
      <c r="D80" t="s">
        <v>169</v>
      </c>
      <c r="E80">
        <v>-78</v>
      </c>
      <c r="F80" t="s">
        <v>91</v>
      </c>
      <c r="G80" t="s">
        <v>92</v>
      </c>
    </row>
    <row r="81" spans="1:7">
      <c r="A81" t="s">
        <v>58</v>
      </c>
      <c r="B81" t="s">
        <v>89</v>
      </c>
      <c r="C81" t="s">
        <v>90</v>
      </c>
      <c r="D81" t="s">
        <v>170</v>
      </c>
      <c r="E81">
        <v>-79</v>
      </c>
      <c r="F81" t="s">
        <v>91</v>
      </c>
      <c r="G81" t="s">
        <v>92</v>
      </c>
    </row>
    <row r="82" spans="1:7">
      <c r="A82" t="s">
        <v>58</v>
      </c>
      <c r="B82" t="s">
        <v>89</v>
      </c>
      <c r="C82" t="s">
        <v>90</v>
      </c>
      <c r="D82" t="s">
        <v>171</v>
      </c>
      <c r="E82">
        <v>-80</v>
      </c>
      <c r="F82" t="s">
        <v>91</v>
      </c>
      <c r="G82" t="s">
        <v>92</v>
      </c>
    </row>
    <row r="83" spans="1:7">
      <c r="A83" t="s">
        <v>58</v>
      </c>
      <c r="B83" t="s">
        <v>89</v>
      </c>
      <c r="C83" t="s">
        <v>90</v>
      </c>
      <c r="D83" t="s">
        <v>172</v>
      </c>
      <c r="E83">
        <v>-81</v>
      </c>
      <c r="F83" t="s">
        <v>91</v>
      </c>
      <c r="G83" t="s">
        <v>92</v>
      </c>
    </row>
    <row r="84" spans="1:7">
      <c r="A84" t="s">
        <v>58</v>
      </c>
      <c r="B84" t="s">
        <v>89</v>
      </c>
      <c r="C84" t="s">
        <v>90</v>
      </c>
      <c r="D84" t="s">
        <v>173</v>
      </c>
      <c r="E84">
        <v>-82</v>
      </c>
      <c r="F84" t="s">
        <v>91</v>
      </c>
      <c r="G84" t="s">
        <v>92</v>
      </c>
    </row>
    <row r="85" spans="1:7">
      <c r="A85" t="s">
        <v>58</v>
      </c>
      <c r="B85" t="s">
        <v>89</v>
      </c>
      <c r="C85" t="s">
        <v>90</v>
      </c>
      <c r="D85" t="s">
        <v>174</v>
      </c>
      <c r="E85">
        <v>-83</v>
      </c>
      <c r="F85" t="s">
        <v>91</v>
      </c>
      <c r="G85" t="s">
        <v>92</v>
      </c>
    </row>
    <row r="86" spans="1:7">
      <c r="A86" t="s">
        <v>58</v>
      </c>
      <c r="B86" t="s">
        <v>89</v>
      </c>
      <c r="C86" t="s">
        <v>90</v>
      </c>
      <c r="D86" t="s">
        <v>175</v>
      </c>
      <c r="E86">
        <v>-84</v>
      </c>
      <c r="F86" t="s">
        <v>91</v>
      </c>
      <c r="G86" t="s">
        <v>92</v>
      </c>
    </row>
    <row r="87" spans="1:7">
      <c r="A87" t="s">
        <v>58</v>
      </c>
      <c r="B87" t="s">
        <v>89</v>
      </c>
      <c r="C87" t="s">
        <v>90</v>
      </c>
      <c r="D87" t="s">
        <v>176</v>
      </c>
      <c r="E87">
        <v>-85</v>
      </c>
      <c r="F87" t="s">
        <v>91</v>
      </c>
      <c r="G87" t="s">
        <v>92</v>
      </c>
    </row>
    <row r="88" spans="1:7">
      <c r="A88" t="s">
        <v>58</v>
      </c>
      <c r="B88" t="s">
        <v>89</v>
      </c>
      <c r="C88" t="s">
        <v>90</v>
      </c>
      <c r="D88" t="s">
        <v>177</v>
      </c>
      <c r="E88">
        <v>-86</v>
      </c>
      <c r="F88" t="s">
        <v>91</v>
      </c>
      <c r="G88" t="s">
        <v>92</v>
      </c>
    </row>
    <row r="89" spans="1:7">
      <c r="A89" t="s">
        <v>58</v>
      </c>
      <c r="B89" t="s">
        <v>89</v>
      </c>
      <c r="C89" t="s">
        <v>90</v>
      </c>
      <c r="D89" t="s">
        <v>178</v>
      </c>
      <c r="E89">
        <v>-87</v>
      </c>
      <c r="F89" t="s">
        <v>91</v>
      </c>
      <c r="G89" t="s">
        <v>92</v>
      </c>
    </row>
    <row r="90" spans="1:7">
      <c r="A90" t="s">
        <v>58</v>
      </c>
      <c r="B90" t="s">
        <v>89</v>
      </c>
      <c r="C90" t="s">
        <v>90</v>
      </c>
      <c r="D90" t="s">
        <v>179</v>
      </c>
      <c r="E90">
        <v>-88</v>
      </c>
      <c r="F90" t="s">
        <v>91</v>
      </c>
      <c r="G90" t="s">
        <v>92</v>
      </c>
    </row>
    <row r="91" spans="1:7">
      <c r="A91" t="s">
        <v>58</v>
      </c>
      <c r="B91" t="s">
        <v>89</v>
      </c>
      <c r="C91" t="s">
        <v>90</v>
      </c>
      <c r="D91" t="s">
        <v>180</v>
      </c>
      <c r="E91">
        <v>-89</v>
      </c>
      <c r="F91" t="s">
        <v>91</v>
      </c>
      <c r="G91" t="s">
        <v>92</v>
      </c>
    </row>
    <row r="92" spans="1:7">
      <c r="A92" t="s">
        <v>58</v>
      </c>
      <c r="B92" t="s">
        <v>89</v>
      </c>
      <c r="C92" t="s">
        <v>90</v>
      </c>
      <c r="D92" t="s">
        <v>181</v>
      </c>
      <c r="E92">
        <v>-90</v>
      </c>
      <c r="F92" t="s">
        <v>91</v>
      </c>
      <c r="G92" t="s">
        <v>92</v>
      </c>
    </row>
    <row r="93" spans="1:7">
      <c r="A93" t="s">
        <v>58</v>
      </c>
      <c r="B93" t="s">
        <v>89</v>
      </c>
      <c r="C93" t="s">
        <v>90</v>
      </c>
      <c r="D93" t="s">
        <v>182</v>
      </c>
      <c r="E93">
        <v>-91</v>
      </c>
      <c r="F93" t="s">
        <v>91</v>
      </c>
      <c r="G93" t="s">
        <v>92</v>
      </c>
    </row>
    <row r="94" spans="1:7">
      <c r="A94" t="s">
        <v>58</v>
      </c>
      <c r="B94" t="s">
        <v>89</v>
      </c>
      <c r="C94" t="s">
        <v>90</v>
      </c>
      <c r="D94" t="s">
        <v>183</v>
      </c>
      <c r="E94">
        <v>-92</v>
      </c>
      <c r="F94" t="s">
        <v>91</v>
      </c>
      <c r="G94" t="s">
        <v>92</v>
      </c>
    </row>
    <row r="95" spans="1:7">
      <c r="A95" t="s">
        <v>58</v>
      </c>
      <c r="B95" t="s">
        <v>89</v>
      </c>
      <c r="C95" t="s">
        <v>90</v>
      </c>
      <c r="D95" t="s">
        <v>184</v>
      </c>
      <c r="E95">
        <v>-93</v>
      </c>
      <c r="F95" t="s">
        <v>91</v>
      </c>
      <c r="G95" t="s">
        <v>92</v>
      </c>
    </row>
    <row r="96" spans="1:7">
      <c r="A96" t="s">
        <v>58</v>
      </c>
      <c r="B96" t="s">
        <v>89</v>
      </c>
      <c r="C96" t="s">
        <v>90</v>
      </c>
      <c r="D96" t="s">
        <v>185</v>
      </c>
      <c r="E96">
        <v>-94</v>
      </c>
      <c r="F96" t="s">
        <v>91</v>
      </c>
      <c r="G96" t="s">
        <v>92</v>
      </c>
    </row>
    <row r="97" spans="1:7">
      <c r="A97" t="s">
        <v>58</v>
      </c>
      <c r="B97" t="s">
        <v>89</v>
      </c>
      <c r="C97" t="s">
        <v>90</v>
      </c>
      <c r="D97" t="s">
        <v>186</v>
      </c>
      <c r="E97">
        <v>-95</v>
      </c>
      <c r="F97" t="s">
        <v>91</v>
      </c>
      <c r="G97" t="s">
        <v>92</v>
      </c>
    </row>
    <row r="98" spans="1:7">
      <c r="A98" t="s">
        <v>58</v>
      </c>
      <c r="B98" t="s">
        <v>89</v>
      </c>
      <c r="C98" t="s">
        <v>90</v>
      </c>
      <c r="D98" t="s">
        <v>187</v>
      </c>
      <c r="E98">
        <v>-96</v>
      </c>
      <c r="F98" t="s">
        <v>91</v>
      </c>
      <c r="G98" t="s">
        <v>92</v>
      </c>
    </row>
    <row r="99" spans="1:7">
      <c r="A99" t="s">
        <v>58</v>
      </c>
      <c r="B99" t="s">
        <v>89</v>
      </c>
      <c r="C99" t="s">
        <v>90</v>
      </c>
      <c r="D99" t="s">
        <v>188</v>
      </c>
      <c r="E99">
        <v>-97</v>
      </c>
      <c r="F99" t="s">
        <v>91</v>
      </c>
      <c r="G99" t="s">
        <v>92</v>
      </c>
    </row>
    <row r="100" spans="1:7">
      <c r="A100" t="s">
        <v>58</v>
      </c>
      <c r="B100" t="s">
        <v>89</v>
      </c>
      <c r="C100" t="s">
        <v>90</v>
      </c>
      <c r="D100" t="s">
        <v>189</v>
      </c>
      <c r="E100">
        <v>-98</v>
      </c>
      <c r="F100" t="s">
        <v>91</v>
      </c>
      <c r="G100" t="s">
        <v>92</v>
      </c>
    </row>
    <row r="101" spans="1:7">
      <c r="A101" t="s">
        <v>58</v>
      </c>
      <c r="B101" t="s">
        <v>89</v>
      </c>
      <c r="C101" t="s">
        <v>90</v>
      </c>
      <c r="D101" t="s">
        <v>190</v>
      </c>
      <c r="E101">
        <v>-99</v>
      </c>
      <c r="F101" t="s">
        <v>91</v>
      </c>
      <c r="G101" t="s">
        <v>92</v>
      </c>
    </row>
    <row r="102" spans="1:7">
      <c r="A102" t="s">
        <v>58</v>
      </c>
      <c r="B102" t="s">
        <v>89</v>
      </c>
      <c r="C102" t="s">
        <v>90</v>
      </c>
      <c r="D102" t="s">
        <v>191</v>
      </c>
      <c r="E102">
        <v>-100</v>
      </c>
      <c r="F102" t="s">
        <v>91</v>
      </c>
      <c r="G102" t="s">
        <v>92</v>
      </c>
    </row>
    <row r="103" spans="1:7">
      <c r="A103" t="s">
        <v>58</v>
      </c>
      <c r="B103" t="s">
        <v>89</v>
      </c>
      <c r="C103" t="s">
        <v>90</v>
      </c>
      <c r="D103" t="s">
        <v>192</v>
      </c>
      <c r="E103">
        <v>-101</v>
      </c>
      <c r="F103" t="s">
        <v>91</v>
      </c>
      <c r="G103" t="s">
        <v>92</v>
      </c>
    </row>
    <row r="104" spans="1:7">
      <c r="A104" t="s">
        <v>58</v>
      </c>
      <c r="B104" t="s">
        <v>89</v>
      </c>
      <c r="C104" t="s">
        <v>90</v>
      </c>
      <c r="D104" t="s">
        <v>193</v>
      </c>
      <c r="E104">
        <v>-102</v>
      </c>
      <c r="F104" t="s">
        <v>91</v>
      </c>
      <c r="G104" t="s">
        <v>92</v>
      </c>
    </row>
    <row r="105" spans="1:7">
      <c r="A105" t="s">
        <v>58</v>
      </c>
      <c r="B105" t="s">
        <v>89</v>
      </c>
      <c r="C105" t="s">
        <v>90</v>
      </c>
      <c r="D105" t="s">
        <v>194</v>
      </c>
      <c r="E105">
        <v>-103</v>
      </c>
      <c r="F105" t="s">
        <v>91</v>
      </c>
      <c r="G105" t="s">
        <v>92</v>
      </c>
    </row>
    <row r="106" spans="1:7">
      <c r="A106" t="s">
        <v>58</v>
      </c>
      <c r="B106" t="s">
        <v>89</v>
      </c>
      <c r="C106" t="s">
        <v>90</v>
      </c>
      <c r="D106" t="s">
        <v>195</v>
      </c>
      <c r="E106">
        <v>-104</v>
      </c>
      <c r="F106" t="s">
        <v>91</v>
      </c>
      <c r="G106" t="s">
        <v>92</v>
      </c>
    </row>
    <row r="107" spans="1:7">
      <c r="A107" t="s">
        <v>58</v>
      </c>
      <c r="B107" t="s">
        <v>89</v>
      </c>
      <c r="C107" t="s">
        <v>90</v>
      </c>
      <c r="D107" t="s">
        <v>196</v>
      </c>
      <c r="E107">
        <v>-105</v>
      </c>
      <c r="F107" t="s">
        <v>91</v>
      </c>
      <c r="G107" t="s">
        <v>92</v>
      </c>
    </row>
    <row r="108" spans="1:7">
      <c r="A108" t="s">
        <v>58</v>
      </c>
      <c r="B108" t="s">
        <v>89</v>
      </c>
      <c r="C108" t="s">
        <v>90</v>
      </c>
      <c r="D108" t="s">
        <v>197</v>
      </c>
      <c r="E108">
        <v>-106</v>
      </c>
      <c r="F108" t="s">
        <v>91</v>
      </c>
      <c r="G108" t="s">
        <v>92</v>
      </c>
    </row>
    <row r="109" spans="1:7">
      <c r="A109" t="s">
        <v>58</v>
      </c>
      <c r="B109" t="s">
        <v>89</v>
      </c>
      <c r="C109" t="s">
        <v>90</v>
      </c>
      <c r="D109" t="s">
        <v>198</v>
      </c>
      <c r="E109">
        <v>-107</v>
      </c>
      <c r="F109" t="s">
        <v>91</v>
      </c>
      <c r="G109" t="s">
        <v>92</v>
      </c>
    </row>
    <row r="110" spans="1:7">
      <c r="A110" t="s">
        <v>58</v>
      </c>
      <c r="B110" t="s">
        <v>89</v>
      </c>
      <c r="C110" t="s">
        <v>90</v>
      </c>
      <c r="D110" t="s">
        <v>199</v>
      </c>
      <c r="E110">
        <v>-108</v>
      </c>
      <c r="F110" t="s">
        <v>91</v>
      </c>
      <c r="G110" t="s">
        <v>92</v>
      </c>
    </row>
    <row r="111" spans="1:7">
      <c r="A111" t="s">
        <v>58</v>
      </c>
      <c r="B111" t="s">
        <v>89</v>
      </c>
      <c r="C111" t="s">
        <v>90</v>
      </c>
      <c r="D111" t="s">
        <v>200</v>
      </c>
      <c r="E111">
        <v>-109</v>
      </c>
      <c r="F111" t="s">
        <v>91</v>
      </c>
      <c r="G111" t="s">
        <v>92</v>
      </c>
    </row>
    <row r="112" spans="1:7">
      <c r="A112" t="s">
        <v>58</v>
      </c>
      <c r="B112" t="s">
        <v>89</v>
      </c>
      <c r="C112" t="s">
        <v>90</v>
      </c>
      <c r="D112" t="s">
        <v>201</v>
      </c>
      <c r="E112">
        <v>-110</v>
      </c>
      <c r="F112" t="s">
        <v>91</v>
      </c>
      <c r="G112" t="s">
        <v>92</v>
      </c>
    </row>
    <row r="113" spans="1:7">
      <c r="A113" t="s">
        <v>58</v>
      </c>
      <c r="B113" t="s">
        <v>89</v>
      </c>
      <c r="C113" t="s">
        <v>90</v>
      </c>
      <c r="D113" t="s">
        <v>202</v>
      </c>
      <c r="E113">
        <v>-111</v>
      </c>
      <c r="F113" t="s">
        <v>91</v>
      </c>
      <c r="G113" t="s">
        <v>92</v>
      </c>
    </row>
    <row r="114" spans="1:7">
      <c r="A114" t="s">
        <v>58</v>
      </c>
      <c r="B114" t="s">
        <v>89</v>
      </c>
      <c r="C114" t="s">
        <v>90</v>
      </c>
      <c r="D114" t="s">
        <v>203</v>
      </c>
      <c r="E114">
        <v>-112</v>
      </c>
      <c r="F114" t="s">
        <v>91</v>
      </c>
      <c r="G114" t="s">
        <v>92</v>
      </c>
    </row>
    <row r="115" spans="1:7">
      <c r="A115" t="s">
        <v>58</v>
      </c>
      <c r="B115" t="s">
        <v>89</v>
      </c>
      <c r="C115" t="s">
        <v>90</v>
      </c>
      <c r="D115" t="s">
        <v>204</v>
      </c>
      <c r="E115">
        <v>-113</v>
      </c>
      <c r="F115" t="s">
        <v>91</v>
      </c>
      <c r="G115" t="s">
        <v>92</v>
      </c>
    </row>
    <row r="116" spans="1:7">
      <c r="A116" t="s">
        <v>58</v>
      </c>
      <c r="B116" t="s">
        <v>89</v>
      </c>
      <c r="C116" t="s">
        <v>90</v>
      </c>
      <c r="D116" t="s">
        <v>205</v>
      </c>
      <c r="E116">
        <v>-114</v>
      </c>
      <c r="F116" t="s">
        <v>91</v>
      </c>
      <c r="G116" t="s">
        <v>92</v>
      </c>
    </row>
    <row r="117" spans="1:7">
      <c r="A117" t="s">
        <v>58</v>
      </c>
      <c r="B117" t="s">
        <v>89</v>
      </c>
      <c r="C117" t="s">
        <v>90</v>
      </c>
      <c r="D117" t="s">
        <v>206</v>
      </c>
      <c r="E117">
        <v>-115</v>
      </c>
      <c r="F117" t="s">
        <v>91</v>
      </c>
      <c r="G117" t="s">
        <v>92</v>
      </c>
    </row>
    <row r="118" spans="1:7">
      <c r="A118" t="s">
        <v>58</v>
      </c>
      <c r="B118" t="s">
        <v>89</v>
      </c>
      <c r="C118" t="s">
        <v>90</v>
      </c>
      <c r="D118" t="s">
        <v>207</v>
      </c>
      <c r="E118">
        <v>-116</v>
      </c>
      <c r="F118" t="s">
        <v>91</v>
      </c>
      <c r="G118" t="s">
        <v>92</v>
      </c>
    </row>
    <row r="119" spans="1:7">
      <c r="A119" t="s">
        <v>58</v>
      </c>
      <c r="B119" t="s">
        <v>89</v>
      </c>
      <c r="C119" t="s">
        <v>90</v>
      </c>
      <c r="D119" t="s">
        <v>208</v>
      </c>
      <c r="E119">
        <v>-117</v>
      </c>
      <c r="F119" t="s">
        <v>91</v>
      </c>
      <c r="G119" t="s">
        <v>92</v>
      </c>
    </row>
    <row r="120" spans="1:7">
      <c r="A120" t="s">
        <v>58</v>
      </c>
      <c r="B120" t="s">
        <v>89</v>
      </c>
      <c r="C120" t="s">
        <v>90</v>
      </c>
      <c r="D120" t="s">
        <v>209</v>
      </c>
      <c r="E120">
        <v>-118</v>
      </c>
      <c r="F120" t="s">
        <v>91</v>
      </c>
      <c r="G120" t="s">
        <v>92</v>
      </c>
    </row>
    <row r="121" spans="1:7">
      <c r="A121" t="s">
        <v>58</v>
      </c>
      <c r="B121" t="s">
        <v>89</v>
      </c>
      <c r="C121" t="s">
        <v>90</v>
      </c>
      <c r="D121" t="s">
        <v>210</v>
      </c>
      <c r="E121">
        <v>-119</v>
      </c>
      <c r="F121" t="s">
        <v>91</v>
      </c>
      <c r="G121" t="s">
        <v>92</v>
      </c>
    </row>
    <row r="122" spans="1:7">
      <c r="A122" t="s">
        <v>58</v>
      </c>
      <c r="B122" t="s">
        <v>89</v>
      </c>
      <c r="C122" t="s">
        <v>90</v>
      </c>
      <c r="D122" t="s">
        <v>211</v>
      </c>
      <c r="E122">
        <v>-120</v>
      </c>
      <c r="F122" t="s">
        <v>91</v>
      </c>
      <c r="G122" t="s">
        <v>92</v>
      </c>
    </row>
    <row r="123" spans="1:7">
      <c r="A123" t="s">
        <v>58</v>
      </c>
      <c r="B123" t="s">
        <v>89</v>
      </c>
      <c r="C123" t="s">
        <v>90</v>
      </c>
      <c r="D123" t="s">
        <v>212</v>
      </c>
      <c r="E123">
        <v>-121</v>
      </c>
      <c r="F123" t="s">
        <v>91</v>
      </c>
      <c r="G123" t="s">
        <v>92</v>
      </c>
    </row>
    <row r="124" spans="1:7">
      <c r="A124" t="s">
        <v>58</v>
      </c>
      <c r="B124" t="s">
        <v>89</v>
      </c>
      <c r="C124" t="s">
        <v>90</v>
      </c>
      <c r="D124" t="s">
        <v>213</v>
      </c>
      <c r="E124">
        <v>-122</v>
      </c>
      <c r="F124" t="s">
        <v>91</v>
      </c>
      <c r="G124" t="s">
        <v>92</v>
      </c>
    </row>
    <row r="125" spans="1:7">
      <c r="A125" t="s">
        <v>58</v>
      </c>
      <c r="B125" t="s">
        <v>89</v>
      </c>
      <c r="C125" t="s">
        <v>90</v>
      </c>
      <c r="D125" t="s">
        <v>214</v>
      </c>
      <c r="E125">
        <v>-123</v>
      </c>
      <c r="F125" t="s">
        <v>91</v>
      </c>
      <c r="G125" t="s">
        <v>92</v>
      </c>
    </row>
    <row r="126" spans="1:7">
      <c r="A126" t="s">
        <v>58</v>
      </c>
      <c r="B126" t="s">
        <v>89</v>
      </c>
      <c r="C126" t="s">
        <v>90</v>
      </c>
      <c r="D126" t="s">
        <v>215</v>
      </c>
      <c r="E126">
        <v>-124</v>
      </c>
      <c r="F126" t="s">
        <v>91</v>
      </c>
      <c r="G126" t="s">
        <v>92</v>
      </c>
    </row>
    <row r="127" spans="1:7">
      <c r="A127" t="s">
        <v>58</v>
      </c>
      <c r="B127" t="s">
        <v>89</v>
      </c>
      <c r="C127" t="s">
        <v>90</v>
      </c>
      <c r="D127" t="s">
        <v>216</v>
      </c>
      <c r="E127">
        <v>-125</v>
      </c>
      <c r="F127" t="s">
        <v>91</v>
      </c>
      <c r="G127" t="s">
        <v>92</v>
      </c>
    </row>
    <row r="128" spans="1:7">
      <c r="A128" t="s">
        <v>58</v>
      </c>
      <c r="B128" t="s">
        <v>89</v>
      </c>
      <c r="C128" t="s">
        <v>90</v>
      </c>
      <c r="D128" t="s">
        <v>217</v>
      </c>
      <c r="E128">
        <v>-126</v>
      </c>
      <c r="F128" t="s">
        <v>91</v>
      </c>
      <c r="G128" t="s">
        <v>92</v>
      </c>
    </row>
    <row r="129" spans="1:7">
      <c r="A129" t="s">
        <v>58</v>
      </c>
      <c r="B129" t="s">
        <v>89</v>
      </c>
      <c r="C129" t="s">
        <v>90</v>
      </c>
      <c r="D129" t="s">
        <v>218</v>
      </c>
      <c r="E129">
        <v>-127</v>
      </c>
      <c r="F129" t="s">
        <v>91</v>
      </c>
      <c r="G129" t="s">
        <v>92</v>
      </c>
    </row>
    <row r="130" spans="1:7">
      <c r="A130" t="s">
        <v>58</v>
      </c>
      <c r="B130" t="s">
        <v>89</v>
      </c>
      <c r="C130" t="s">
        <v>90</v>
      </c>
      <c r="D130" t="s">
        <v>219</v>
      </c>
      <c r="E130">
        <v>-128</v>
      </c>
      <c r="F130" t="s">
        <v>91</v>
      </c>
      <c r="G130" t="s">
        <v>92</v>
      </c>
    </row>
    <row r="131" spans="1:7">
      <c r="A131" t="s">
        <v>58</v>
      </c>
      <c r="B131" t="s">
        <v>89</v>
      </c>
      <c r="C131" t="s">
        <v>90</v>
      </c>
      <c r="D131" t="s">
        <v>220</v>
      </c>
      <c r="E131">
        <v>-129</v>
      </c>
      <c r="F131" t="s">
        <v>91</v>
      </c>
      <c r="G131" t="s">
        <v>92</v>
      </c>
    </row>
    <row r="132" spans="1:7">
      <c r="A132" t="s">
        <v>58</v>
      </c>
      <c r="B132" t="s">
        <v>89</v>
      </c>
      <c r="C132" t="s">
        <v>90</v>
      </c>
      <c r="D132" t="s">
        <v>221</v>
      </c>
      <c r="E132">
        <v>-130</v>
      </c>
      <c r="F132" t="s">
        <v>91</v>
      </c>
      <c r="G132" t="s">
        <v>92</v>
      </c>
    </row>
    <row r="133" spans="1:7">
      <c r="A133" t="s">
        <v>58</v>
      </c>
      <c r="B133" t="s">
        <v>89</v>
      </c>
      <c r="C133" t="s">
        <v>90</v>
      </c>
      <c r="D133" t="s">
        <v>222</v>
      </c>
      <c r="E133">
        <v>-131</v>
      </c>
      <c r="F133" t="s">
        <v>91</v>
      </c>
      <c r="G133" t="s">
        <v>92</v>
      </c>
    </row>
    <row r="134" spans="1:7">
      <c r="A134" t="s">
        <v>58</v>
      </c>
      <c r="B134" t="s">
        <v>89</v>
      </c>
      <c r="C134" t="s">
        <v>90</v>
      </c>
      <c r="D134" t="s">
        <v>223</v>
      </c>
      <c r="E134">
        <v>-132</v>
      </c>
      <c r="F134" t="s">
        <v>91</v>
      </c>
      <c r="G134" t="s">
        <v>92</v>
      </c>
    </row>
    <row r="135" spans="1:7">
      <c r="A135" t="s">
        <v>58</v>
      </c>
      <c r="B135" t="s">
        <v>89</v>
      </c>
      <c r="C135" t="s">
        <v>90</v>
      </c>
      <c r="D135" t="s">
        <v>224</v>
      </c>
      <c r="E135">
        <v>-133</v>
      </c>
      <c r="F135" t="s">
        <v>91</v>
      </c>
      <c r="G135" t="s">
        <v>92</v>
      </c>
    </row>
    <row r="136" spans="1:7">
      <c r="A136" t="s">
        <v>58</v>
      </c>
      <c r="B136" t="s">
        <v>89</v>
      </c>
      <c r="C136" t="s">
        <v>90</v>
      </c>
      <c r="D136" t="s">
        <v>225</v>
      </c>
      <c r="E136">
        <v>-134</v>
      </c>
      <c r="F136" t="s">
        <v>91</v>
      </c>
      <c r="G136" t="s">
        <v>92</v>
      </c>
    </row>
    <row r="137" spans="1:7">
      <c r="A137" t="s">
        <v>58</v>
      </c>
      <c r="B137" t="s">
        <v>89</v>
      </c>
      <c r="C137" t="s">
        <v>90</v>
      </c>
      <c r="D137" t="s">
        <v>226</v>
      </c>
      <c r="E137">
        <v>-135</v>
      </c>
      <c r="F137" t="s">
        <v>91</v>
      </c>
      <c r="G137" t="s">
        <v>92</v>
      </c>
    </row>
    <row r="138" spans="1:7">
      <c r="A138" t="s">
        <v>58</v>
      </c>
      <c r="B138" t="s">
        <v>89</v>
      </c>
      <c r="C138" t="s">
        <v>90</v>
      </c>
      <c r="D138" t="s">
        <v>227</v>
      </c>
      <c r="E138">
        <v>-136</v>
      </c>
      <c r="F138" t="s">
        <v>91</v>
      </c>
      <c r="G138" t="s">
        <v>92</v>
      </c>
    </row>
    <row r="139" spans="1:7">
      <c r="A139" t="s">
        <v>58</v>
      </c>
      <c r="B139" t="s">
        <v>89</v>
      </c>
      <c r="C139" t="s">
        <v>90</v>
      </c>
      <c r="D139" t="s">
        <v>228</v>
      </c>
      <c r="E139">
        <v>-137</v>
      </c>
      <c r="F139" t="s">
        <v>91</v>
      </c>
      <c r="G139" t="s">
        <v>92</v>
      </c>
    </row>
    <row r="140" spans="1:7">
      <c r="A140" t="s">
        <v>58</v>
      </c>
      <c r="B140" t="s">
        <v>89</v>
      </c>
      <c r="C140" t="s">
        <v>90</v>
      </c>
      <c r="D140" t="s">
        <v>229</v>
      </c>
      <c r="E140">
        <v>-138</v>
      </c>
      <c r="F140" t="s">
        <v>91</v>
      </c>
      <c r="G140" t="s">
        <v>92</v>
      </c>
    </row>
    <row r="141" spans="1:7">
      <c r="A141" t="s">
        <v>58</v>
      </c>
      <c r="B141" t="s">
        <v>89</v>
      </c>
      <c r="C141" t="s">
        <v>90</v>
      </c>
      <c r="D141" t="s">
        <v>230</v>
      </c>
      <c r="E141">
        <v>-139</v>
      </c>
      <c r="F141" t="s">
        <v>91</v>
      </c>
      <c r="G141" t="s">
        <v>92</v>
      </c>
    </row>
    <row r="142" spans="1:7">
      <c r="A142" t="s">
        <v>58</v>
      </c>
      <c r="B142" t="s">
        <v>89</v>
      </c>
      <c r="C142" t="s">
        <v>90</v>
      </c>
      <c r="D142" t="s">
        <v>231</v>
      </c>
      <c r="E142">
        <v>-140</v>
      </c>
      <c r="F142" t="s">
        <v>91</v>
      </c>
      <c r="G142" t="s">
        <v>92</v>
      </c>
    </row>
    <row r="143" spans="1:7">
      <c r="A143" t="s">
        <v>58</v>
      </c>
      <c r="B143" t="s">
        <v>89</v>
      </c>
      <c r="C143" t="s">
        <v>90</v>
      </c>
      <c r="D143" t="s">
        <v>232</v>
      </c>
      <c r="E143">
        <v>-141</v>
      </c>
      <c r="F143" t="s">
        <v>91</v>
      </c>
      <c r="G143" t="s">
        <v>92</v>
      </c>
    </row>
    <row r="144" spans="1:7">
      <c r="A144" t="s">
        <v>58</v>
      </c>
      <c r="B144" t="s">
        <v>89</v>
      </c>
      <c r="C144" t="s">
        <v>90</v>
      </c>
      <c r="D144" t="s">
        <v>233</v>
      </c>
      <c r="E144">
        <v>-142</v>
      </c>
      <c r="F144" t="s">
        <v>91</v>
      </c>
      <c r="G144" t="s">
        <v>92</v>
      </c>
    </row>
    <row r="145" spans="1:7">
      <c r="A145" t="s">
        <v>58</v>
      </c>
      <c r="B145" t="s">
        <v>89</v>
      </c>
      <c r="C145" t="s">
        <v>90</v>
      </c>
      <c r="D145" t="s">
        <v>234</v>
      </c>
      <c r="E145">
        <v>-143</v>
      </c>
      <c r="F145" t="s">
        <v>91</v>
      </c>
      <c r="G145" t="s">
        <v>92</v>
      </c>
    </row>
    <row r="146" spans="1:7">
      <c r="A146" t="s">
        <v>58</v>
      </c>
      <c r="B146" t="s">
        <v>89</v>
      </c>
      <c r="C146" t="s">
        <v>90</v>
      </c>
      <c r="D146" t="s">
        <v>235</v>
      </c>
      <c r="E146">
        <v>-144</v>
      </c>
      <c r="F146" t="s">
        <v>91</v>
      </c>
      <c r="G146" t="s">
        <v>92</v>
      </c>
    </row>
    <row r="147" spans="1:7">
      <c r="A147" t="s">
        <v>58</v>
      </c>
      <c r="B147" t="s">
        <v>89</v>
      </c>
      <c r="C147" t="s">
        <v>90</v>
      </c>
      <c r="D147" t="s">
        <v>236</v>
      </c>
      <c r="E147">
        <v>-145</v>
      </c>
      <c r="F147" t="s">
        <v>91</v>
      </c>
      <c r="G147" t="s">
        <v>92</v>
      </c>
    </row>
    <row r="148" spans="1:7">
      <c r="A148" t="s">
        <v>58</v>
      </c>
      <c r="B148" t="s">
        <v>89</v>
      </c>
      <c r="C148" t="s">
        <v>90</v>
      </c>
      <c r="D148" t="s">
        <v>237</v>
      </c>
      <c r="E148">
        <v>-146</v>
      </c>
      <c r="F148" t="s">
        <v>91</v>
      </c>
      <c r="G148" t="s">
        <v>92</v>
      </c>
    </row>
    <row r="149" spans="1:7">
      <c r="A149" t="s">
        <v>58</v>
      </c>
      <c r="B149" t="s">
        <v>89</v>
      </c>
      <c r="C149" t="s">
        <v>90</v>
      </c>
      <c r="D149" t="s">
        <v>238</v>
      </c>
      <c r="E149">
        <v>-147</v>
      </c>
      <c r="F149" t="s">
        <v>91</v>
      </c>
      <c r="G149" t="s">
        <v>92</v>
      </c>
    </row>
    <row r="150" spans="1:7">
      <c r="A150" t="s">
        <v>58</v>
      </c>
      <c r="B150" t="s">
        <v>89</v>
      </c>
      <c r="C150" t="s">
        <v>90</v>
      </c>
      <c r="D150" t="s">
        <v>239</v>
      </c>
      <c r="E150">
        <v>-148</v>
      </c>
      <c r="F150" t="s">
        <v>91</v>
      </c>
      <c r="G150" t="s">
        <v>92</v>
      </c>
    </row>
    <row r="151" spans="1:7">
      <c r="A151" t="s">
        <v>58</v>
      </c>
      <c r="B151" t="s">
        <v>89</v>
      </c>
      <c r="C151" t="s">
        <v>90</v>
      </c>
      <c r="D151" t="s">
        <v>240</v>
      </c>
      <c r="E151">
        <v>-149</v>
      </c>
      <c r="F151" t="s">
        <v>91</v>
      </c>
      <c r="G151" t="s">
        <v>92</v>
      </c>
    </row>
    <row r="152" spans="1:7">
      <c r="A152" t="s">
        <v>58</v>
      </c>
      <c r="B152" t="s">
        <v>89</v>
      </c>
      <c r="C152" t="s">
        <v>90</v>
      </c>
      <c r="D152" t="s">
        <v>241</v>
      </c>
      <c r="E152">
        <v>-150</v>
      </c>
      <c r="F152" t="s">
        <v>91</v>
      </c>
      <c r="G152" t="s">
        <v>92</v>
      </c>
    </row>
    <row r="153" spans="1:7">
      <c r="A153" t="s">
        <v>58</v>
      </c>
      <c r="B153" t="s">
        <v>89</v>
      </c>
      <c r="C153" t="s">
        <v>90</v>
      </c>
      <c r="D153" t="s">
        <v>242</v>
      </c>
      <c r="E153">
        <v>-151</v>
      </c>
      <c r="F153" t="s">
        <v>91</v>
      </c>
      <c r="G153" t="s">
        <v>92</v>
      </c>
    </row>
    <row r="154" spans="1:7">
      <c r="A154" t="s">
        <v>58</v>
      </c>
      <c r="B154" t="s">
        <v>89</v>
      </c>
      <c r="C154" t="s">
        <v>90</v>
      </c>
      <c r="D154" t="s">
        <v>243</v>
      </c>
      <c r="E154">
        <v>-152</v>
      </c>
      <c r="F154" t="s">
        <v>91</v>
      </c>
      <c r="G154" t="s">
        <v>92</v>
      </c>
    </row>
    <row r="155" spans="1:7">
      <c r="A155" t="s">
        <v>58</v>
      </c>
      <c r="B155" t="s">
        <v>89</v>
      </c>
      <c r="C155" t="s">
        <v>90</v>
      </c>
      <c r="D155" t="s">
        <v>244</v>
      </c>
      <c r="E155">
        <v>-153</v>
      </c>
      <c r="F155" t="s">
        <v>91</v>
      </c>
      <c r="G155" t="s">
        <v>92</v>
      </c>
    </row>
    <row r="156" spans="1:7">
      <c r="A156" t="s">
        <v>58</v>
      </c>
      <c r="B156" t="s">
        <v>89</v>
      </c>
      <c r="C156" t="s">
        <v>90</v>
      </c>
      <c r="D156" t="s">
        <v>245</v>
      </c>
      <c r="E156">
        <v>-154</v>
      </c>
      <c r="F156" t="s">
        <v>91</v>
      </c>
      <c r="G156" t="s">
        <v>92</v>
      </c>
    </row>
    <row r="157" spans="1:7">
      <c r="A157" t="s">
        <v>58</v>
      </c>
      <c r="B157" t="s">
        <v>89</v>
      </c>
      <c r="C157" t="s">
        <v>90</v>
      </c>
      <c r="D157" t="s">
        <v>246</v>
      </c>
      <c r="E157">
        <v>-155</v>
      </c>
      <c r="F157" t="s">
        <v>91</v>
      </c>
      <c r="G157" t="s">
        <v>92</v>
      </c>
    </row>
    <row r="158" spans="1:7">
      <c r="A158" t="s">
        <v>58</v>
      </c>
      <c r="B158" t="s">
        <v>89</v>
      </c>
      <c r="C158" t="s">
        <v>90</v>
      </c>
      <c r="D158" t="s">
        <v>247</v>
      </c>
      <c r="E158">
        <v>-156</v>
      </c>
      <c r="F158" t="s">
        <v>91</v>
      </c>
      <c r="G158" t="s">
        <v>92</v>
      </c>
    </row>
    <row r="159" spans="1:7">
      <c r="A159" t="s">
        <v>58</v>
      </c>
      <c r="B159" t="s">
        <v>89</v>
      </c>
      <c r="C159" t="s">
        <v>90</v>
      </c>
      <c r="D159" t="s">
        <v>248</v>
      </c>
      <c r="E159">
        <v>-157</v>
      </c>
      <c r="F159" t="s">
        <v>91</v>
      </c>
      <c r="G159" t="s">
        <v>92</v>
      </c>
    </row>
    <row r="160" spans="1:7">
      <c r="A160" t="s">
        <v>58</v>
      </c>
      <c r="B160" t="s">
        <v>89</v>
      </c>
      <c r="C160" t="s">
        <v>90</v>
      </c>
      <c r="D160" t="s">
        <v>249</v>
      </c>
      <c r="E160">
        <v>-158</v>
      </c>
      <c r="F160" t="s">
        <v>91</v>
      </c>
      <c r="G160" t="s">
        <v>92</v>
      </c>
    </row>
    <row r="161" spans="1:7">
      <c r="A161" t="s">
        <v>58</v>
      </c>
      <c r="B161" t="s">
        <v>89</v>
      </c>
      <c r="C161" t="s">
        <v>90</v>
      </c>
      <c r="D161" t="s">
        <v>250</v>
      </c>
      <c r="E161">
        <v>-159</v>
      </c>
      <c r="F161" t="s">
        <v>91</v>
      </c>
      <c r="G161" t="s">
        <v>92</v>
      </c>
    </row>
    <row r="162" spans="1:7">
      <c r="A162" t="s">
        <v>58</v>
      </c>
      <c r="B162" t="s">
        <v>89</v>
      </c>
      <c r="C162" t="s">
        <v>90</v>
      </c>
      <c r="D162" t="s">
        <v>251</v>
      </c>
      <c r="E162">
        <v>-160</v>
      </c>
      <c r="F162" t="s">
        <v>91</v>
      </c>
      <c r="G162" t="s">
        <v>92</v>
      </c>
    </row>
    <row r="163" spans="1:7">
      <c r="A163" t="s">
        <v>58</v>
      </c>
      <c r="B163" t="s">
        <v>89</v>
      </c>
      <c r="C163" t="s">
        <v>90</v>
      </c>
      <c r="D163" t="s">
        <v>252</v>
      </c>
      <c r="E163">
        <v>-161</v>
      </c>
      <c r="F163" t="s">
        <v>91</v>
      </c>
      <c r="G163" t="s">
        <v>92</v>
      </c>
    </row>
    <row r="164" spans="1:7">
      <c r="A164" t="s">
        <v>58</v>
      </c>
      <c r="B164" t="s">
        <v>89</v>
      </c>
      <c r="C164" t="s">
        <v>90</v>
      </c>
      <c r="D164" t="s">
        <v>253</v>
      </c>
      <c r="E164">
        <v>-162</v>
      </c>
      <c r="F164" t="s">
        <v>91</v>
      </c>
      <c r="G164" t="s">
        <v>92</v>
      </c>
    </row>
    <row r="165" spans="1:7">
      <c r="A165" t="s">
        <v>58</v>
      </c>
      <c r="B165" t="s">
        <v>89</v>
      </c>
      <c r="C165" t="s">
        <v>90</v>
      </c>
      <c r="D165" t="s">
        <v>254</v>
      </c>
      <c r="E165">
        <v>-163</v>
      </c>
      <c r="F165" t="s">
        <v>91</v>
      </c>
      <c r="G165" t="s">
        <v>92</v>
      </c>
    </row>
    <row r="166" spans="1:7">
      <c r="A166" t="s">
        <v>58</v>
      </c>
      <c r="B166" t="s">
        <v>89</v>
      </c>
      <c r="C166" t="s">
        <v>90</v>
      </c>
      <c r="D166" t="s">
        <v>255</v>
      </c>
      <c r="E166">
        <v>-164</v>
      </c>
      <c r="F166" t="s">
        <v>91</v>
      </c>
      <c r="G166" t="s">
        <v>92</v>
      </c>
    </row>
    <row r="167" spans="1:7">
      <c r="A167" t="s">
        <v>58</v>
      </c>
      <c r="B167" t="s">
        <v>89</v>
      </c>
      <c r="C167" t="s">
        <v>90</v>
      </c>
      <c r="D167" t="s">
        <v>256</v>
      </c>
      <c r="E167">
        <v>-165</v>
      </c>
      <c r="F167" t="s">
        <v>91</v>
      </c>
      <c r="G167" t="s">
        <v>92</v>
      </c>
    </row>
    <row r="168" spans="1:7">
      <c r="A168" t="s">
        <v>58</v>
      </c>
      <c r="B168" t="s">
        <v>89</v>
      </c>
      <c r="C168" t="s">
        <v>90</v>
      </c>
      <c r="D168" t="s">
        <v>257</v>
      </c>
      <c r="E168">
        <v>-166</v>
      </c>
      <c r="F168" t="s">
        <v>91</v>
      </c>
      <c r="G168" t="s">
        <v>92</v>
      </c>
    </row>
    <row r="169" spans="1:7">
      <c r="A169" t="s">
        <v>58</v>
      </c>
      <c r="B169" t="s">
        <v>89</v>
      </c>
      <c r="C169" t="s">
        <v>90</v>
      </c>
      <c r="D169" t="s">
        <v>258</v>
      </c>
      <c r="E169">
        <v>-167</v>
      </c>
      <c r="F169" t="s">
        <v>91</v>
      </c>
      <c r="G169" t="s">
        <v>92</v>
      </c>
    </row>
    <row r="170" spans="1:7">
      <c r="A170" t="s">
        <v>58</v>
      </c>
      <c r="B170" t="s">
        <v>89</v>
      </c>
      <c r="C170" t="s">
        <v>90</v>
      </c>
      <c r="D170" t="s">
        <v>259</v>
      </c>
      <c r="E170">
        <v>-168</v>
      </c>
      <c r="F170" t="s">
        <v>91</v>
      </c>
      <c r="G170" t="s">
        <v>92</v>
      </c>
    </row>
    <row r="171" spans="1:7">
      <c r="A171" t="s">
        <v>58</v>
      </c>
      <c r="B171" t="s">
        <v>89</v>
      </c>
      <c r="C171" t="s">
        <v>90</v>
      </c>
      <c r="D171" t="s">
        <v>260</v>
      </c>
      <c r="E171">
        <v>-169</v>
      </c>
      <c r="F171" t="s">
        <v>91</v>
      </c>
      <c r="G171" t="s">
        <v>92</v>
      </c>
    </row>
    <row r="172" spans="1:7">
      <c r="A172" t="s">
        <v>58</v>
      </c>
      <c r="B172" t="s">
        <v>89</v>
      </c>
      <c r="C172" t="s">
        <v>90</v>
      </c>
      <c r="D172" t="s">
        <v>261</v>
      </c>
      <c r="E172">
        <v>-170</v>
      </c>
      <c r="F172" t="s">
        <v>91</v>
      </c>
      <c r="G172" t="s">
        <v>92</v>
      </c>
    </row>
    <row r="173" spans="1:7">
      <c r="A173" t="s">
        <v>58</v>
      </c>
      <c r="B173" t="s">
        <v>89</v>
      </c>
      <c r="C173" t="s">
        <v>90</v>
      </c>
      <c r="D173" t="s">
        <v>262</v>
      </c>
      <c r="E173">
        <v>-171</v>
      </c>
      <c r="F173" t="s">
        <v>91</v>
      </c>
      <c r="G173" t="s">
        <v>92</v>
      </c>
    </row>
    <row r="174" spans="1:7">
      <c r="A174" t="s">
        <v>58</v>
      </c>
      <c r="B174" t="s">
        <v>89</v>
      </c>
      <c r="C174" t="s">
        <v>90</v>
      </c>
      <c r="D174" t="s">
        <v>263</v>
      </c>
      <c r="E174">
        <v>-172</v>
      </c>
      <c r="F174" t="s">
        <v>91</v>
      </c>
      <c r="G174" t="s">
        <v>92</v>
      </c>
    </row>
    <row r="175" spans="1:7">
      <c r="A175" t="s">
        <v>58</v>
      </c>
      <c r="B175" t="s">
        <v>89</v>
      </c>
      <c r="C175" t="s">
        <v>90</v>
      </c>
      <c r="D175" t="s">
        <v>264</v>
      </c>
      <c r="E175">
        <v>-173</v>
      </c>
      <c r="F175" t="s">
        <v>91</v>
      </c>
      <c r="G175" t="s">
        <v>92</v>
      </c>
    </row>
    <row r="176" spans="1:7">
      <c r="A176" t="s">
        <v>58</v>
      </c>
      <c r="B176" t="s">
        <v>89</v>
      </c>
      <c r="C176" t="s">
        <v>90</v>
      </c>
      <c r="D176" t="s">
        <v>265</v>
      </c>
      <c r="E176">
        <v>-174</v>
      </c>
      <c r="F176" t="s">
        <v>91</v>
      </c>
      <c r="G176" t="s">
        <v>92</v>
      </c>
    </row>
    <row r="177" spans="1:7">
      <c r="A177" t="s">
        <v>58</v>
      </c>
      <c r="B177" t="s">
        <v>89</v>
      </c>
      <c r="C177" t="s">
        <v>90</v>
      </c>
      <c r="D177" t="s">
        <v>266</v>
      </c>
      <c r="E177">
        <v>-175</v>
      </c>
      <c r="F177" t="s">
        <v>91</v>
      </c>
      <c r="G177" t="s">
        <v>92</v>
      </c>
    </row>
    <row r="178" spans="1:7">
      <c r="A178" t="s">
        <v>58</v>
      </c>
      <c r="B178" t="s">
        <v>89</v>
      </c>
      <c r="C178" t="s">
        <v>90</v>
      </c>
      <c r="D178" t="s">
        <v>267</v>
      </c>
      <c r="E178">
        <v>-176</v>
      </c>
      <c r="F178" t="s">
        <v>91</v>
      </c>
      <c r="G178" t="s">
        <v>92</v>
      </c>
    </row>
    <row r="179" spans="1:7">
      <c r="A179" t="s">
        <v>58</v>
      </c>
      <c r="B179" t="s">
        <v>89</v>
      </c>
      <c r="C179" t="s">
        <v>90</v>
      </c>
      <c r="D179" t="s">
        <v>268</v>
      </c>
      <c r="E179">
        <v>-177</v>
      </c>
      <c r="F179" t="s">
        <v>91</v>
      </c>
      <c r="G179" t="s">
        <v>92</v>
      </c>
    </row>
    <row r="180" spans="1:7">
      <c r="A180" t="s">
        <v>58</v>
      </c>
      <c r="B180" t="s">
        <v>89</v>
      </c>
      <c r="C180" t="s">
        <v>90</v>
      </c>
      <c r="D180" t="s">
        <v>269</v>
      </c>
      <c r="E180">
        <v>-178</v>
      </c>
      <c r="F180" t="s">
        <v>91</v>
      </c>
      <c r="G180" t="s">
        <v>92</v>
      </c>
    </row>
    <row r="181" spans="1:7">
      <c r="A181" t="s">
        <v>58</v>
      </c>
      <c r="B181" t="s">
        <v>89</v>
      </c>
      <c r="C181" t="s">
        <v>90</v>
      </c>
      <c r="D181" t="s">
        <v>270</v>
      </c>
      <c r="E181">
        <v>-179</v>
      </c>
      <c r="F181" t="s">
        <v>91</v>
      </c>
      <c r="G181" t="s">
        <v>92</v>
      </c>
    </row>
    <row r="182" spans="1:7">
      <c r="A182" t="s">
        <v>58</v>
      </c>
      <c r="B182" t="s">
        <v>89</v>
      </c>
      <c r="C182" t="s">
        <v>90</v>
      </c>
      <c r="D182" t="s">
        <v>271</v>
      </c>
      <c r="E182">
        <v>-180</v>
      </c>
      <c r="F182" t="s">
        <v>91</v>
      </c>
      <c r="G182" t="s">
        <v>92</v>
      </c>
    </row>
    <row r="183" spans="1:7">
      <c r="A183" t="s">
        <v>58</v>
      </c>
      <c r="B183" t="s">
        <v>89</v>
      </c>
      <c r="C183" t="s">
        <v>90</v>
      </c>
      <c r="D183" t="s">
        <v>272</v>
      </c>
      <c r="E183">
        <v>-181</v>
      </c>
      <c r="F183" t="s">
        <v>91</v>
      </c>
      <c r="G183" t="s">
        <v>92</v>
      </c>
    </row>
    <row r="184" spans="1:7">
      <c r="A184" t="s">
        <v>58</v>
      </c>
      <c r="B184" t="s">
        <v>89</v>
      </c>
      <c r="C184" t="s">
        <v>90</v>
      </c>
      <c r="D184" t="s">
        <v>273</v>
      </c>
      <c r="E184">
        <v>-182</v>
      </c>
      <c r="F184" t="s">
        <v>91</v>
      </c>
      <c r="G184" t="s">
        <v>92</v>
      </c>
    </row>
    <row r="185" spans="1:7">
      <c r="A185" t="s">
        <v>58</v>
      </c>
      <c r="B185" t="s">
        <v>89</v>
      </c>
      <c r="C185" t="s">
        <v>90</v>
      </c>
      <c r="D185" t="s">
        <v>274</v>
      </c>
      <c r="E185">
        <v>-183</v>
      </c>
      <c r="F185" t="s">
        <v>91</v>
      </c>
      <c r="G185" t="s">
        <v>92</v>
      </c>
    </row>
    <row r="186" spans="1:7">
      <c r="A186" t="s">
        <v>58</v>
      </c>
      <c r="B186" t="s">
        <v>89</v>
      </c>
      <c r="C186" t="s">
        <v>90</v>
      </c>
      <c r="D186" t="s">
        <v>275</v>
      </c>
      <c r="E186">
        <v>-184</v>
      </c>
      <c r="F186" t="s">
        <v>91</v>
      </c>
      <c r="G186" t="s">
        <v>92</v>
      </c>
    </row>
    <row r="187" spans="1:7">
      <c r="A187" t="s">
        <v>58</v>
      </c>
      <c r="B187" t="s">
        <v>89</v>
      </c>
      <c r="C187" t="s">
        <v>90</v>
      </c>
      <c r="D187" t="s">
        <v>276</v>
      </c>
      <c r="E187">
        <v>-185</v>
      </c>
      <c r="F187" t="s">
        <v>91</v>
      </c>
      <c r="G187" t="s">
        <v>92</v>
      </c>
    </row>
    <row r="188" spans="1:7">
      <c r="A188" t="s">
        <v>58</v>
      </c>
      <c r="B188" t="s">
        <v>89</v>
      </c>
      <c r="C188" t="s">
        <v>90</v>
      </c>
      <c r="D188" t="s">
        <v>277</v>
      </c>
      <c r="E188">
        <v>-186</v>
      </c>
      <c r="F188" t="s">
        <v>91</v>
      </c>
      <c r="G188" t="s">
        <v>92</v>
      </c>
    </row>
    <row r="189" spans="1:7">
      <c r="A189" t="s">
        <v>58</v>
      </c>
      <c r="B189" t="s">
        <v>89</v>
      </c>
      <c r="C189" t="s">
        <v>90</v>
      </c>
      <c r="D189" t="s">
        <v>278</v>
      </c>
      <c r="E189">
        <v>-187</v>
      </c>
      <c r="F189" t="s">
        <v>91</v>
      </c>
      <c r="G189" t="s">
        <v>92</v>
      </c>
    </row>
    <row r="190" spans="1:7">
      <c r="A190" t="s">
        <v>58</v>
      </c>
      <c r="B190" t="s">
        <v>89</v>
      </c>
      <c r="C190" t="s">
        <v>90</v>
      </c>
      <c r="D190" t="s">
        <v>279</v>
      </c>
      <c r="E190">
        <v>-188</v>
      </c>
      <c r="F190" t="s">
        <v>91</v>
      </c>
      <c r="G190" t="s">
        <v>92</v>
      </c>
    </row>
    <row r="191" spans="1:7">
      <c r="A191" t="s">
        <v>58</v>
      </c>
      <c r="B191" t="s">
        <v>89</v>
      </c>
      <c r="C191" t="s">
        <v>90</v>
      </c>
      <c r="D191" t="s">
        <v>280</v>
      </c>
      <c r="E191">
        <v>-189</v>
      </c>
      <c r="F191" t="s">
        <v>91</v>
      </c>
      <c r="G191" t="s">
        <v>92</v>
      </c>
    </row>
    <row r="192" spans="1:7">
      <c r="A192" t="s">
        <v>58</v>
      </c>
      <c r="B192" t="s">
        <v>89</v>
      </c>
      <c r="C192" t="s">
        <v>90</v>
      </c>
      <c r="D192" t="s">
        <v>281</v>
      </c>
      <c r="E192">
        <v>-190</v>
      </c>
      <c r="F192" t="s">
        <v>91</v>
      </c>
      <c r="G192" t="s">
        <v>92</v>
      </c>
    </row>
    <row r="193" spans="1:7">
      <c r="A193" t="s">
        <v>58</v>
      </c>
      <c r="B193" t="s">
        <v>89</v>
      </c>
      <c r="C193" t="s">
        <v>90</v>
      </c>
      <c r="D193" t="s">
        <v>282</v>
      </c>
      <c r="E193">
        <v>-191</v>
      </c>
      <c r="F193" t="s">
        <v>91</v>
      </c>
      <c r="G193" t="s">
        <v>92</v>
      </c>
    </row>
    <row r="194" spans="1:7">
      <c r="A194" t="s">
        <v>58</v>
      </c>
      <c r="B194" t="s">
        <v>89</v>
      </c>
      <c r="C194" t="s">
        <v>90</v>
      </c>
      <c r="D194" t="s">
        <v>283</v>
      </c>
      <c r="E194">
        <v>-192</v>
      </c>
      <c r="F194" t="s">
        <v>91</v>
      </c>
      <c r="G194" t="s">
        <v>92</v>
      </c>
    </row>
    <row r="195" spans="1:7">
      <c r="A195" t="s">
        <v>58</v>
      </c>
      <c r="B195" t="s">
        <v>89</v>
      </c>
      <c r="C195" t="s">
        <v>90</v>
      </c>
      <c r="D195" t="s">
        <v>284</v>
      </c>
      <c r="E195">
        <v>-193</v>
      </c>
      <c r="F195" t="s">
        <v>91</v>
      </c>
      <c r="G195" t="s">
        <v>92</v>
      </c>
    </row>
    <row r="196" spans="1:7">
      <c r="A196" t="s">
        <v>58</v>
      </c>
      <c r="B196" t="s">
        <v>89</v>
      </c>
      <c r="C196" t="s">
        <v>90</v>
      </c>
      <c r="D196" t="s">
        <v>285</v>
      </c>
      <c r="E196">
        <v>-194</v>
      </c>
      <c r="F196" t="s">
        <v>91</v>
      </c>
      <c r="G196" t="s">
        <v>92</v>
      </c>
    </row>
    <row r="197" spans="1:7">
      <c r="A197" t="s">
        <v>58</v>
      </c>
      <c r="B197" t="s">
        <v>89</v>
      </c>
      <c r="C197" t="s">
        <v>90</v>
      </c>
      <c r="D197" t="s">
        <v>286</v>
      </c>
      <c r="E197">
        <v>-195</v>
      </c>
      <c r="F197" t="s">
        <v>91</v>
      </c>
      <c r="G197" t="s">
        <v>92</v>
      </c>
    </row>
    <row r="198" spans="1:7">
      <c r="A198" t="s">
        <v>58</v>
      </c>
      <c r="B198" t="s">
        <v>89</v>
      </c>
      <c r="C198" t="s">
        <v>90</v>
      </c>
      <c r="D198" t="s">
        <v>287</v>
      </c>
      <c r="E198">
        <v>-196</v>
      </c>
      <c r="F198" t="s">
        <v>91</v>
      </c>
      <c r="G198" t="s">
        <v>92</v>
      </c>
    </row>
    <row r="199" spans="1:7">
      <c r="A199" t="s">
        <v>58</v>
      </c>
      <c r="B199" t="s">
        <v>89</v>
      </c>
      <c r="C199" t="s">
        <v>90</v>
      </c>
      <c r="D199" t="s">
        <v>288</v>
      </c>
      <c r="E199">
        <v>-197</v>
      </c>
      <c r="F199" t="s">
        <v>91</v>
      </c>
      <c r="G199" t="s">
        <v>92</v>
      </c>
    </row>
    <row r="200" spans="1:7">
      <c r="A200" t="s">
        <v>58</v>
      </c>
      <c r="B200" t="s">
        <v>89</v>
      </c>
      <c r="C200" t="s">
        <v>90</v>
      </c>
      <c r="D200" t="s">
        <v>289</v>
      </c>
      <c r="E200">
        <v>-198</v>
      </c>
      <c r="F200" t="s">
        <v>91</v>
      </c>
      <c r="G200" t="s">
        <v>92</v>
      </c>
    </row>
    <row r="201" spans="1:7">
      <c r="A201" t="s">
        <v>58</v>
      </c>
      <c r="B201" t="s">
        <v>89</v>
      </c>
      <c r="C201" t="s">
        <v>90</v>
      </c>
      <c r="D201" t="s">
        <v>290</v>
      </c>
      <c r="E201">
        <v>-199</v>
      </c>
      <c r="F201" t="s">
        <v>91</v>
      </c>
      <c r="G201" t="s">
        <v>92</v>
      </c>
    </row>
    <row r="202" spans="1:7">
      <c r="A202" t="s">
        <v>58</v>
      </c>
      <c r="B202" t="s">
        <v>89</v>
      </c>
      <c r="C202" t="s">
        <v>90</v>
      </c>
      <c r="D202" t="s">
        <v>291</v>
      </c>
      <c r="E202">
        <v>-200</v>
      </c>
      <c r="F202" t="s">
        <v>91</v>
      </c>
      <c r="G202" t="s">
        <v>92</v>
      </c>
    </row>
    <row r="203" spans="1:7">
      <c r="A203" t="s">
        <v>58</v>
      </c>
      <c r="B203" t="s">
        <v>89</v>
      </c>
      <c r="C203" t="s">
        <v>90</v>
      </c>
      <c r="D203" t="s">
        <v>292</v>
      </c>
      <c r="E203">
        <v>-201</v>
      </c>
      <c r="F203" t="s">
        <v>91</v>
      </c>
      <c r="G203" t="s">
        <v>92</v>
      </c>
    </row>
    <row r="204" spans="1:7">
      <c r="A204" t="s">
        <v>58</v>
      </c>
      <c r="B204" t="s">
        <v>89</v>
      </c>
      <c r="C204" t="s">
        <v>90</v>
      </c>
      <c r="D204" t="s">
        <v>293</v>
      </c>
      <c r="E204">
        <v>-202</v>
      </c>
      <c r="F204" t="s">
        <v>91</v>
      </c>
      <c r="G204" t="s">
        <v>92</v>
      </c>
    </row>
    <row r="205" spans="1:7">
      <c r="A205" t="s">
        <v>58</v>
      </c>
      <c r="B205" t="s">
        <v>89</v>
      </c>
      <c r="C205" t="s">
        <v>90</v>
      </c>
      <c r="D205" t="s">
        <v>294</v>
      </c>
      <c r="E205">
        <v>-203</v>
      </c>
      <c r="F205" t="s">
        <v>91</v>
      </c>
      <c r="G205" t="s">
        <v>92</v>
      </c>
    </row>
    <row r="206" spans="1:7">
      <c r="A206" t="s">
        <v>58</v>
      </c>
      <c r="B206" t="s">
        <v>89</v>
      </c>
      <c r="C206" t="s">
        <v>90</v>
      </c>
      <c r="D206" t="s">
        <v>295</v>
      </c>
      <c r="E206">
        <v>-204</v>
      </c>
      <c r="F206" t="s">
        <v>91</v>
      </c>
      <c r="G206" t="s">
        <v>92</v>
      </c>
    </row>
    <row r="207" spans="1:7">
      <c r="A207" t="s">
        <v>58</v>
      </c>
      <c r="B207" t="s">
        <v>89</v>
      </c>
      <c r="C207" t="s">
        <v>90</v>
      </c>
      <c r="D207" t="s">
        <v>296</v>
      </c>
      <c r="E207">
        <v>-205</v>
      </c>
      <c r="F207" t="s">
        <v>91</v>
      </c>
      <c r="G207" t="s">
        <v>92</v>
      </c>
    </row>
    <row r="208" spans="1:7">
      <c r="A208" t="s">
        <v>58</v>
      </c>
      <c r="B208" t="s">
        <v>89</v>
      </c>
      <c r="C208" t="s">
        <v>90</v>
      </c>
      <c r="D208" t="s">
        <v>297</v>
      </c>
      <c r="E208">
        <v>-206</v>
      </c>
      <c r="F208" t="s">
        <v>91</v>
      </c>
      <c r="G208" t="s">
        <v>92</v>
      </c>
    </row>
    <row r="209" spans="1:7">
      <c r="A209" t="s">
        <v>58</v>
      </c>
      <c r="B209" t="s">
        <v>89</v>
      </c>
      <c r="C209" t="s">
        <v>90</v>
      </c>
      <c r="D209" t="s">
        <v>298</v>
      </c>
      <c r="E209">
        <v>-207</v>
      </c>
      <c r="F209" t="s">
        <v>91</v>
      </c>
      <c r="G209" t="s">
        <v>92</v>
      </c>
    </row>
    <row r="210" spans="1:7">
      <c r="A210" t="s">
        <v>58</v>
      </c>
      <c r="B210" t="s">
        <v>89</v>
      </c>
      <c r="C210" t="s">
        <v>90</v>
      </c>
      <c r="D210" t="s">
        <v>299</v>
      </c>
      <c r="E210">
        <v>-208</v>
      </c>
      <c r="F210" t="s">
        <v>91</v>
      </c>
      <c r="G210" t="s">
        <v>92</v>
      </c>
    </row>
    <row r="211" spans="1:7">
      <c r="A211" t="s">
        <v>58</v>
      </c>
      <c r="B211" t="s">
        <v>89</v>
      </c>
      <c r="C211" t="s">
        <v>90</v>
      </c>
      <c r="D211" t="s">
        <v>300</v>
      </c>
      <c r="E211">
        <v>-209</v>
      </c>
      <c r="F211" t="s">
        <v>91</v>
      </c>
      <c r="G211" t="s">
        <v>92</v>
      </c>
    </row>
    <row r="212" spans="1:7">
      <c r="A212" t="s">
        <v>58</v>
      </c>
      <c r="B212" t="s">
        <v>89</v>
      </c>
      <c r="C212" t="s">
        <v>90</v>
      </c>
      <c r="D212" t="s">
        <v>301</v>
      </c>
      <c r="E212">
        <v>-210</v>
      </c>
      <c r="F212" t="s">
        <v>91</v>
      </c>
      <c r="G212" t="s">
        <v>92</v>
      </c>
    </row>
    <row r="213" spans="1:7">
      <c r="A213" t="s">
        <v>58</v>
      </c>
      <c r="B213" t="s">
        <v>89</v>
      </c>
      <c r="C213" t="s">
        <v>90</v>
      </c>
      <c r="D213" t="s">
        <v>302</v>
      </c>
      <c r="E213">
        <v>-211</v>
      </c>
      <c r="F213" t="s">
        <v>91</v>
      </c>
      <c r="G213" t="s">
        <v>92</v>
      </c>
    </row>
    <row r="214" spans="1:7">
      <c r="A214" t="s">
        <v>58</v>
      </c>
      <c r="B214" t="s">
        <v>89</v>
      </c>
      <c r="C214" t="s">
        <v>90</v>
      </c>
      <c r="D214" t="s">
        <v>303</v>
      </c>
      <c r="E214">
        <v>-212</v>
      </c>
      <c r="F214" t="s">
        <v>91</v>
      </c>
      <c r="G214" t="s">
        <v>92</v>
      </c>
    </row>
    <row r="215" spans="1:7">
      <c r="A215" t="s">
        <v>58</v>
      </c>
      <c r="B215" t="s">
        <v>89</v>
      </c>
      <c r="C215" t="s">
        <v>90</v>
      </c>
      <c r="D215" t="s">
        <v>304</v>
      </c>
      <c r="E215">
        <v>-213</v>
      </c>
      <c r="F215" t="s">
        <v>91</v>
      </c>
      <c r="G215" t="s">
        <v>92</v>
      </c>
    </row>
    <row r="216" spans="1:7">
      <c r="A216" t="s">
        <v>58</v>
      </c>
      <c r="B216" t="s">
        <v>89</v>
      </c>
      <c r="C216" t="s">
        <v>90</v>
      </c>
      <c r="D216" t="s">
        <v>305</v>
      </c>
      <c r="E216">
        <v>-214</v>
      </c>
      <c r="F216" t="s">
        <v>91</v>
      </c>
      <c r="G216" t="s">
        <v>92</v>
      </c>
    </row>
    <row r="217" spans="1:7">
      <c r="A217" t="s">
        <v>58</v>
      </c>
      <c r="B217" t="s">
        <v>89</v>
      </c>
      <c r="C217" t="s">
        <v>90</v>
      </c>
      <c r="D217" t="s">
        <v>306</v>
      </c>
      <c r="E217">
        <v>-215</v>
      </c>
      <c r="F217" t="s">
        <v>91</v>
      </c>
      <c r="G217" t="s">
        <v>92</v>
      </c>
    </row>
    <row r="218" spans="1:7">
      <c r="A218" t="s">
        <v>58</v>
      </c>
      <c r="B218" t="s">
        <v>89</v>
      </c>
      <c r="C218" t="s">
        <v>90</v>
      </c>
      <c r="D218" t="s">
        <v>307</v>
      </c>
      <c r="E218">
        <v>-216</v>
      </c>
      <c r="F218" t="s">
        <v>91</v>
      </c>
      <c r="G218" t="s">
        <v>92</v>
      </c>
    </row>
    <row r="219" spans="1:7">
      <c r="A219" t="s">
        <v>58</v>
      </c>
      <c r="B219" t="s">
        <v>89</v>
      </c>
      <c r="C219" t="s">
        <v>90</v>
      </c>
      <c r="D219" t="s">
        <v>308</v>
      </c>
      <c r="E219">
        <v>-217</v>
      </c>
      <c r="F219" t="s">
        <v>91</v>
      </c>
      <c r="G219" t="s">
        <v>92</v>
      </c>
    </row>
    <row r="220" spans="1:7">
      <c r="A220" t="s">
        <v>58</v>
      </c>
      <c r="B220" t="s">
        <v>89</v>
      </c>
      <c r="C220" t="s">
        <v>90</v>
      </c>
      <c r="D220" t="s">
        <v>309</v>
      </c>
      <c r="E220">
        <v>-218</v>
      </c>
      <c r="F220" t="s">
        <v>91</v>
      </c>
      <c r="G220" t="s">
        <v>92</v>
      </c>
    </row>
    <row r="221" spans="1:7">
      <c r="A221" t="s">
        <v>58</v>
      </c>
      <c r="B221" t="s">
        <v>89</v>
      </c>
      <c r="C221" t="s">
        <v>90</v>
      </c>
      <c r="D221" t="s">
        <v>310</v>
      </c>
      <c r="E221">
        <v>-219</v>
      </c>
      <c r="F221" t="s">
        <v>91</v>
      </c>
      <c r="G221" t="s">
        <v>92</v>
      </c>
    </row>
    <row r="222" spans="1:7">
      <c r="A222" t="s">
        <v>58</v>
      </c>
      <c r="B222" t="s">
        <v>89</v>
      </c>
      <c r="C222" t="s">
        <v>90</v>
      </c>
      <c r="D222" t="s">
        <v>311</v>
      </c>
      <c r="E222">
        <v>-220</v>
      </c>
      <c r="F222" t="s">
        <v>91</v>
      </c>
      <c r="G222" t="s">
        <v>92</v>
      </c>
    </row>
    <row r="223" spans="1:7">
      <c r="A223" t="s">
        <v>58</v>
      </c>
      <c r="B223" t="s">
        <v>89</v>
      </c>
      <c r="C223" t="s">
        <v>90</v>
      </c>
      <c r="D223" t="s">
        <v>312</v>
      </c>
      <c r="E223">
        <v>-221</v>
      </c>
      <c r="F223" t="s">
        <v>91</v>
      </c>
      <c r="G223" t="s">
        <v>92</v>
      </c>
    </row>
    <row r="224" spans="1:7">
      <c r="A224" t="s">
        <v>58</v>
      </c>
      <c r="B224" t="s">
        <v>89</v>
      </c>
      <c r="C224" t="s">
        <v>90</v>
      </c>
      <c r="D224" t="s">
        <v>313</v>
      </c>
      <c r="E224">
        <v>-222</v>
      </c>
      <c r="F224" t="s">
        <v>91</v>
      </c>
      <c r="G224" t="s">
        <v>92</v>
      </c>
    </row>
    <row r="225" spans="1:7">
      <c r="A225" t="s">
        <v>58</v>
      </c>
      <c r="B225" t="s">
        <v>89</v>
      </c>
      <c r="C225" t="s">
        <v>90</v>
      </c>
      <c r="D225" t="s">
        <v>314</v>
      </c>
      <c r="E225">
        <v>-223</v>
      </c>
      <c r="F225" t="s">
        <v>91</v>
      </c>
      <c r="G225" t="s">
        <v>92</v>
      </c>
    </row>
    <row r="226" spans="1:7">
      <c r="A226" t="s">
        <v>58</v>
      </c>
      <c r="B226" t="s">
        <v>89</v>
      </c>
      <c r="C226" t="s">
        <v>90</v>
      </c>
      <c r="D226" t="s">
        <v>315</v>
      </c>
      <c r="E226">
        <v>-224</v>
      </c>
      <c r="F226" t="s">
        <v>91</v>
      </c>
      <c r="G226" t="s">
        <v>92</v>
      </c>
    </row>
    <row r="227" spans="1:7">
      <c r="A227" t="s">
        <v>58</v>
      </c>
      <c r="B227" t="s">
        <v>89</v>
      </c>
      <c r="C227" t="s">
        <v>90</v>
      </c>
      <c r="D227" t="s">
        <v>316</v>
      </c>
      <c r="E227">
        <v>-225</v>
      </c>
      <c r="F227" t="s">
        <v>91</v>
      </c>
      <c r="G227" t="s">
        <v>92</v>
      </c>
    </row>
    <row r="228" spans="1:7">
      <c r="A228" t="s">
        <v>58</v>
      </c>
      <c r="B228" t="s">
        <v>89</v>
      </c>
      <c r="C228" t="s">
        <v>90</v>
      </c>
      <c r="D228" t="s">
        <v>317</v>
      </c>
      <c r="E228">
        <v>-226</v>
      </c>
      <c r="F228" t="s">
        <v>91</v>
      </c>
      <c r="G228" t="s">
        <v>92</v>
      </c>
    </row>
    <row r="229" spans="1:7">
      <c r="A229" t="s">
        <v>58</v>
      </c>
      <c r="B229" t="s">
        <v>89</v>
      </c>
      <c r="C229" t="s">
        <v>90</v>
      </c>
      <c r="D229" t="s">
        <v>318</v>
      </c>
      <c r="E229">
        <v>-227</v>
      </c>
      <c r="F229" t="s">
        <v>91</v>
      </c>
      <c r="G229" t="s">
        <v>92</v>
      </c>
    </row>
    <row r="230" spans="1:7">
      <c r="A230" t="s">
        <v>58</v>
      </c>
      <c r="B230" t="s">
        <v>89</v>
      </c>
      <c r="C230" t="s">
        <v>90</v>
      </c>
      <c r="D230" t="s">
        <v>319</v>
      </c>
      <c r="E230">
        <v>-228</v>
      </c>
      <c r="F230" t="s">
        <v>91</v>
      </c>
      <c r="G230" t="s">
        <v>92</v>
      </c>
    </row>
    <row r="231" spans="1:7">
      <c r="A231" t="s">
        <v>58</v>
      </c>
      <c r="B231" t="s">
        <v>89</v>
      </c>
      <c r="C231" t="s">
        <v>90</v>
      </c>
      <c r="D231" t="s">
        <v>320</v>
      </c>
      <c r="E231">
        <v>-229</v>
      </c>
      <c r="F231" t="s">
        <v>91</v>
      </c>
      <c r="G231" t="s">
        <v>92</v>
      </c>
    </row>
    <row r="232" spans="1:7">
      <c r="A232" t="s">
        <v>58</v>
      </c>
      <c r="B232" t="s">
        <v>89</v>
      </c>
      <c r="C232" t="s">
        <v>90</v>
      </c>
      <c r="D232" t="s">
        <v>321</v>
      </c>
      <c r="E232">
        <v>-230</v>
      </c>
      <c r="F232" t="s">
        <v>91</v>
      </c>
      <c r="G232" t="s">
        <v>92</v>
      </c>
    </row>
    <row r="233" spans="1:7">
      <c r="A233" t="s">
        <v>58</v>
      </c>
      <c r="B233" t="s">
        <v>89</v>
      </c>
      <c r="C233" t="s">
        <v>90</v>
      </c>
      <c r="D233" t="s">
        <v>322</v>
      </c>
      <c r="E233">
        <v>-231</v>
      </c>
      <c r="F233" t="s">
        <v>91</v>
      </c>
      <c r="G233" t="s">
        <v>92</v>
      </c>
    </row>
    <row r="234" spans="1:7">
      <c r="A234" t="s">
        <v>58</v>
      </c>
      <c r="B234" t="s">
        <v>89</v>
      </c>
      <c r="C234" t="s">
        <v>90</v>
      </c>
      <c r="D234" t="s">
        <v>323</v>
      </c>
      <c r="E234">
        <v>-232</v>
      </c>
      <c r="F234" t="s">
        <v>91</v>
      </c>
      <c r="G234" t="s">
        <v>92</v>
      </c>
    </row>
    <row r="235" spans="1:7">
      <c r="A235" t="s">
        <v>58</v>
      </c>
      <c r="B235" t="s">
        <v>89</v>
      </c>
      <c r="C235" t="s">
        <v>90</v>
      </c>
      <c r="D235" t="s">
        <v>324</v>
      </c>
      <c r="E235">
        <v>-233</v>
      </c>
      <c r="F235" t="s">
        <v>91</v>
      </c>
      <c r="G235" t="s">
        <v>92</v>
      </c>
    </row>
    <row r="236" spans="1:7">
      <c r="A236" t="s">
        <v>58</v>
      </c>
      <c r="B236" t="s">
        <v>89</v>
      </c>
      <c r="C236" t="s">
        <v>90</v>
      </c>
      <c r="D236" t="s">
        <v>325</v>
      </c>
      <c r="E236">
        <v>-234</v>
      </c>
      <c r="F236" t="s">
        <v>91</v>
      </c>
      <c r="G236" t="s">
        <v>92</v>
      </c>
    </row>
    <row r="237" spans="1:7">
      <c r="A237" t="s">
        <v>58</v>
      </c>
      <c r="B237" t="s">
        <v>89</v>
      </c>
      <c r="C237" t="s">
        <v>90</v>
      </c>
      <c r="D237" t="s">
        <v>326</v>
      </c>
      <c r="E237">
        <v>-235</v>
      </c>
      <c r="F237" t="s">
        <v>91</v>
      </c>
      <c r="G237" t="s">
        <v>92</v>
      </c>
    </row>
    <row r="238" spans="1:7">
      <c r="A238" t="s">
        <v>58</v>
      </c>
      <c r="B238" t="s">
        <v>89</v>
      </c>
      <c r="C238" t="s">
        <v>90</v>
      </c>
      <c r="D238" t="s">
        <v>327</v>
      </c>
      <c r="E238">
        <v>-236</v>
      </c>
      <c r="F238" t="s">
        <v>91</v>
      </c>
      <c r="G238" t="s">
        <v>92</v>
      </c>
    </row>
    <row r="239" spans="1:7">
      <c r="A239" t="s">
        <v>58</v>
      </c>
      <c r="B239" t="s">
        <v>89</v>
      </c>
      <c r="C239" t="s">
        <v>90</v>
      </c>
      <c r="D239" t="s">
        <v>328</v>
      </c>
      <c r="E239">
        <v>-237</v>
      </c>
      <c r="F239" t="s">
        <v>91</v>
      </c>
      <c r="G239" t="s">
        <v>92</v>
      </c>
    </row>
    <row r="240" spans="1:7">
      <c r="A240" t="s">
        <v>58</v>
      </c>
      <c r="B240" t="s">
        <v>89</v>
      </c>
      <c r="C240" t="s">
        <v>90</v>
      </c>
      <c r="D240" t="s">
        <v>329</v>
      </c>
      <c r="E240">
        <v>-238</v>
      </c>
      <c r="F240" t="s">
        <v>91</v>
      </c>
      <c r="G240" t="s">
        <v>92</v>
      </c>
    </row>
    <row r="241" spans="1:7">
      <c r="A241" t="s">
        <v>58</v>
      </c>
      <c r="B241" t="s">
        <v>89</v>
      </c>
      <c r="C241" t="s">
        <v>90</v>
      </c>
      <c r="D241" t="s">
        <v>330</v>
      </c>
      <c r="E241">
        <v>-239</v>
      </c>
      <c r="F241" t="s">
        <v>91</v>
      </c>
      <c r="G241" t="s">
        <v>92</v>
      </c>
    </row>
    <row r="242" spans="1:7">
      <c r="A242" t="s">
        <v>58</v>
      </c>
      <c r="B242" t="s">
        <v>89</v>
      </c>
      <c r="C242" t="s">
        <v>90</v>
      </c>
      <c r="D242" t="s">
        <v>331</v>
      </c>
      <c r="E242">
        <v>-240</v>
      </c>
      <c r="F242" t="s">
        <v>91</v>
      </c>
      <c r="G242" t="s">
        <v>92</v>
      </c>
    </row>
    <row r="243" spans="1:7">
      <c r="A243" t="s">
        <v>58</v>
      </c>
      <c r="B243" t="s">
        <v>89</v>
      </c>
      <c r="C243" t="s">
        <v>90</v>
      </c>
      <c r="D243" t="s">
        <v>332</v>
      </c>
      <c r="E243">
        <v>-241</v>
      </c>
      <c r="F243" t="s">
        <v>91</v>
      </c>
      <c r="G243" t="s">
        <v>92</v>
      </c>
    </row>
    <row r="244" spans="1:7">
      <c r="A244" t="s">
        <v>58</v>
      </c>
      <c r="B244" t="s">
        <v>89</v>
      </c>
      <c r="C244" t="s">
        <v>90</v>
      </c>
      <c r="D244" t="s">
        <v>333</v>
      </c>
      <c r="E244">
        <v>-242</v>
      </c>
      <c r="F244" t="s">
        <v>91</v>
      </c>
      <c r="G244" t="s">
        <v>92</v>
      </c>
    </row>
    <row r="245" spans="1:7">
      <c r="A245" t="s">
        <v>58</v>
      </c>
      <c r="B245" t="s">
        <v>89</v>
      </c>
      <c r="C245" t="s">
        <v>90</v>
      </c>
      <c r="D245" t="s">
        <v>334</v>
      </c>
      <c r="E245">
        <v>-243</v>
      </c>
      <c r="F245" t="s">
        <v>91</v>
      </c>
      <c r="G245" t="s">
        <v>92</v>
      </c>
    </row>
    <row r="246" spans="1:7">
      <c r="A246" t="s">
        <v>58</v>
      </c>
      <c r="B246" t="s">
        <v>89</v>
      </c>
      <c r="C246" t="s">
        <v>90</v>
      </c>
      <c r="D246" t="s">
        <v>335</v>
      </c>
      <c r="E246">
        <v>-244</v>
      </c>
      <c r="F246" t="s">
        <v>91</v>
      </c>
      <c r="G246" t="s">
        <v>92</v>
      </c>
    </row>
    <row r="247" spans="1:7">
      <c r="A247" t="s">
        <v>58</v>
      </c>
      <c r="B247" t="s">
        <v>89</v>
      </c>
      <c r="C247" t="s">
        <v>90</v>
      </c>
      <c r="D247" t="s">
        <v>336</v>
      </c>
      <c r="E247">
        <v>-245</v>
      </c>
      <c r="F247" t="s">
        <v>91</v>
      </c>
      <c r="G247" t="s">
        <v>92</v>
      </c>
    </row>
    <row r="248" spans="1:7">
      <c r="A248" t="s">
        <v>58</v>
      </c>
      <c r="B248" t="s">
        <v>89</v>
      </c>
      <c r="C248" t="s">
        <v>90</v>
      </c>
      <c r="D248" t="s">
        <v>337</v>
      </c>
      <c r="E248">
        <v>-246</v>
      </c>
      <c r="F248" t="s">
        <v>91</v>
      </c>
      <c r="G248" t="s">
        <v>92</v>
      </c>
    </row>
    <row r="249" spans="1:7">
      <c r="A249" t="s">
        <v>58</v>
      </c>
      <c r="B249" t="s">
        <v>89</v>
      </c>
      <c r="C249" t="s">
        <v>90</v>
      </c>
      <c r="D249" t="s">
        <v>338</v>
      </c>
      <c r="E249">
        <v>-247</v>
      </c>
      <c r="F249" t="s">
        <v>91</v>
      </c>
      <c r="G249" t="s">
        <v>92</v>
      </c>
    </row>
    <row r="250" spans="1:7">
      <c r="A250" t="s">
        <v>58</v>
      </c>
      <c r="B250" t="s">
        <v>89</v>
      </c>
      <c r="C250" t="s">
        <v>90</v>
      </c>
      <c r="D250" t="s">
        <v>339</v>
      </c>
      <c r="E250">
        <v>-248</v>
      </c>
      <c r="F250" t="s">
        <v>91</v>
      </c>
      <c r="G250" t="s">
        <v>92</v>
      </c>
    </row>
    <row r="251" spans="1:7">
      <c r="A251" t="s">
        <v>58</v>
      </c>
      <c r="B251" t="s">
        <v>89</v>
      </c>
      <c r="C251" t="s">
        <v>90</v>
      </c>
      <c r="D251" t="s">
        <v>340</v>
      </c>
      <c r="E251">
        <v>-249</v>
      </c>
      <c r="F251" t="s">
        <v>91</v>
      </c>
      <c r="G251" t="s">
        <v>92</v>
      </c>
    </row>
    <row r="252" spans="1:7">
      <c r="A252" t="s">
        <v>58</v>
      </c>
      <c r="B252" t="s">
        <v>89</v>
      </c>
      <c r="C252" t="s">
        <v>90</v>
      </c>
      <c r="D252" t="s">
        <v>341</v>
      </c>
      <c r="E252">
        <v>-250</v>
      </c>
      <c r="F252" t="s">
        <v>91</v>
      </c>
      <c r="G252" t="s">
        <v>92</v>
      </c>
    </row>
    <row r="253" spans="1:7">
      <c r="A253" t="s">
        <v>58</v>
      </c>
      <c r="B253" t="s">
        <v>89</v>
      </c>
      <c r="C253" t="s">
        <v>90</v>
      </c>
      <c r="D253" t="s">
        <v>342</v>
      </c>
      <c r="E253">
        <v>-251</v>
      </c>
      <c r="F253" t="s">
        <v>91</v>
      </c>
      <c r="G253" t="s">
        <v>92</v>
      </c>
    </row>
    <row r="254" spans="1:7">
      <c r="A254" t="s">
        <v>58</v>
      </c>
      <c r="B254" t="s">
        <v>89</v>
      </c>
      <c r="C254" t="s">
        <v>90</v>
      </c>
      <c r="D254" t="s">
        <v>343</v>
      </c>
      <c r="E254">
        <v>-252</v>
      </c>
      <c r="F254" t="s">
        <v>91</v>
      </c>
      <c r="G254" t="s">
        <v>92</v>
      </c>
    </row>
    <row r="255" spans="1:7">
      <c r="A255" t="s">
        <v>58</v>
      </c>
      <c r="B255" t="s">
        <v>89</v>
      </c>
      <c r="C255" t="s">
        <v>90</v>
      </c>
      <c r="D255" t="s">
        <v>344</v>
      </c>
      <c r="E255">
        <v>-253</v>
      </c>
      <c r="F255" t="s">
        <v>91</v>
      </c>
      <c r="G255" t="s">
        <v>92</v>
      </c>
    </row>
    <row r="256" spans="1:7">
      <c r="A256" t="s">
        <v>58</v>
      </c>
      <c r="B256" t="s">
        <v>89</v>
      </c>
      <c r="C256" t="s">
        <v>90</v>
      </c>
      <c r="D256" t="s">
        <v>345</v>
      </c>
      <c r="E256">
        <v>-254</v>
      </c>
      <c r="F256" t="s">
        <v>91</v>
      </c>
      <c r="G256" t="s">
        <v>92</v>
      </c>
    </row>
    <row r="257" spans="1:7">
      <c r="A257" t="s">
        <v>58</v>
      </c>
      <c r="B257" t="s">
        <v>89</v>
      </c>
      <c r="C257" t="s">
        <v>90</v>
      </c>
      <c r="D257" t="s">
        <v>346</v>
      </c>
      <c r="E257">
        <v>-255</v>
      </c>
      <c r="F257" t="s">
        <v>91</v>
      </c>
      <c r="G257" t="s">
        <v>92</v>
      </c>
    </row>
    <row r="258" spans="1:7">
      <c r="A258" t="s">
        <v>58</v>
      </c>
      <c r="B258" t="s">
        <v>89</v>
      </c>
      <c r="C258" t="s">
        <v>90</v>
      </c>
      <c r="D258" t="s">
        <v>347</v>
      </c>
      <c r="E258">
        <v>-256</v>
      </c>
      <c r="F258" t="s">
        <v>91</v>
      </c>
      <c r="G258" t="s">
        <v>92</v>
      </c>
    </row>
    <row r="259" spans="1:7">
      <c r="A259" t="s">
        <v>58</v>
      </c>
      <c r="B259" t="s">
        <v>89</v>
      </c>
      <c r="C259" t="s">
        <v>90</v>
      </c>
      <c r="D259" t="s">
        <v>348</v>
      </c>
      <c r="E259">
        <v>-257</v>
      </c>
      <c r="F259" t="s">
        <v>91</v>
      </c>
      <c r="G259" t="s">
        <v>92</v>
      </c>
    </row>
    <row r="260" spans="1:7">
      <c r="A260" t="s">
        <v>58</v>
      </c>
      <c r="B260" t="s">
        <v>89</v>
      </c>
      <c r="C260" t="s">
        <v>90</v>
      </c>
      <c r="D260" t="s">
        <v>349</v>
      </c>
      <c r="E260">
        <v>-258</v>
      </c>
      <c r="F260" t="s">
        <v>91</v>
      </c>
      <c r="G260" t="s">
        <v>92</v>
      </c>
    </row>
    <row r="261" spans="1:7">
      <c r="A261" t="s">
        <v>58</v>
      </c>
      <c r="B261" t="s">
        <v>89</v>
      </c>
      <c r="C261" t="s">
        <v>90</v>
      </c>
      <c r="D261" t="s">
        <v>350</v>
      </c>
      <c r="E261">
        <v>-259</v>
      </c>
      <c r="F261" t="s">
        <v>91</v>
      </c>
      <c r="G261" t="s">
        <v>92</v>
      </c>
    </row>
    <row r="262" spans="1:7">
      <c r="A262" t="s">
        <v>58</v>
      </c>
      <c r="B262" t="s">
        <v>89</v>
      </c>
      <c r="C262" t="s">
        <v>90</v>
      </c>
      <c r="D262" t="s">
        <v>351</v>
      </c>
      <c r="E262">
        <v>-260</v>
      </c>
      <c r="F262" t="s">
        <v>91</v>
      </c>
      <c r="G262" t="s">
        <v>92</v>
      </c>
    </row>
    <row r="263" spans="1:7">
      <c r="A263" t="s">
        <v>58</v>
      </c>
      <c r="B263" t="s">
        <v>89</v>
      </c>
      <c r="C263" t="s">
        <v>90</v>
      </c>
      <c r="D263" t="s">
        <v>352</v>
      </c>
      <c r="E263">
        <v>-261</v>
      </c>
      <c r="F263" t="s">
        <v>91</v>
      </c>
      <c r="G263" t="s">
        <v>92</v>
      </c>
    </row>
    <row r="264" spans="1:7">
      <c r="A264" t="s">
        <v>58</v>
      </c>
      <c r="B264" t="s">
        <v>89</v>
      </c>
      <c r="C264" t="s">
        <v>90</v>
      </c>
      <c r="D264" t="s">
        <v>353</v>
      </c>
      <c r="E264">
        <v>-262</v>
      </c>
      <c r="F264" t="s">
        <v>91</v>
      </c>
      <c r="G264" t="s">
        <v>92</v>
      </c>
    </row>
    <row r="265" spans="1:7">
      <c r="A265" t="s">
        <v>58</v>
      </c>
      <c r="B265" t="s">
        <v>89</v>
      </c>
      <c r="C265" t="s">
        <v>90</v>
      </c>
      <c r="D265" t="s">
        <v>354</v>
      </c>
      <c r="E265">
        <v>-263</v>
      </c>
      <c r="F265" t="s">
        <v>91</v>
      </c>
      <c r="G265" t="s">
        <v>92</v>
      </c>
    </row>
    <row r="266" spans="1:7">
      <c r="A266" t="s">
        <v>58</v>
      </c>
      <c r="B266" t="s">
        <v>89</v>
      </c>
      <c r="C266" t="s">
        <v>90</v>
      </c>
      <c r="D266" t="s">
        <v>355</v>
      </c>
      <c r="E266">
        <v>-264</v>
      </c>
      <c r="F266" t="s">
        <v>91</v>
      </c>
      <c r="G266" t="s">
        <v>92</v>
      </c>
    </row>
    <row r="267" spans="1:7">
      <c r="A267" t="s">
        <v>58</v>
      </c>
      <c r="B267" t="s">
        <v>89</v>
      </c>
      <c r="C267" t="s">
        <v>90</v>
      </c>
      <c r="D267" t="s">
        <v>356</v>
      </c>
      <c r="E267">
        <v>-265</v>
      </c>
      <c r="F267" t="s">
        <v>91</v>
      </c>
      <c r="G267" t="s">
        <v>92</v>
      </c>
    </row>
    <row r="268" spans="1:7">
      <c r="A268" t="s">
        <v>58</v>
      </c>
      <c r="B268" t="s">
        <v>89</v>
      </c>
      <c r="C268" t="s">
        <v>90</v>
      </c>
      <c r="D268" t="s">
        <v>357</v>
      </c>
      <c r="E268">
        <v>-266</v>
      </c>
      <c r="F268" t="s">
        <v>91</v>
      </c>
      <c r="G268" t="s">
        <v>92</v>
      </c>
    </row>
    <row r="269" spans="1:7">
      <c r="A269" t="s">
        <v>58</v>
      </c>
      <c r="B269" t="s">
        <v>89</v>
      </c>
      <c r="C269" t="s">
        <v>90</v>
      </c>
      <c r="D269" t="s">
        <v>358</v>
      </c>
      <c r="E269">
        <v>-267</v>
      </c>
      <c r="F269" t="s">
        <v>91</v>
      </c>
      <c r="G269" t="s">
        <v>92</v>
      </c>
    </row>
    <row r="270" spans="1:7">
      <c r="A270" t="s">
        <v>58</v>
      </c>
      <c r="B270" t="s">
        <v>89</v>
      </c>
      <c r="C270" t="s">
        <v>90</v>
      </c>
      <c r="D270" t="s">
        <v>359</v>
      </c>
      <c r="E270">
        <v>-268</v>
      </c>
      <c r="F270" t="s">
        <v>91</v>
      </c>
      <c r="G270" t="s">
        <v>92</v>
      </c>
    </row>
    <row r="271" spans="1:7">
      <c r="A271" t="s">
        <v>58</v>
      </c>
      <c r="B271" t="s">
        <v>89</v>
      </c>
      <c r="C271" t="s">
        <v>90</v>
      </c>
      <c r="D271" t="s">
        <v>360</v>
      </c>
      <c r="E271">
        <v>-269</v>
      </c>
      <c r="F271" t="s">
        <v>91</v>
      </c>
      <c r="G271" t="s">
        <v>92</v>
      </c>
    </row>
    <row r="272" spans="1:7">
      <c r="A272" t="s">
        <v>58</v>
      </c>
      <c r="B272" t="s">
        <v>89</v>
      </c>
      <c r="C272" t="s">
        <v>90</v>
      </c>
      <c r="D272" t="s">
        <v>361</v>
      </c>
      <c r="E272">
        <v>-270</v>
      </c>
      <c r="F272" t="s">
        <v>91</v>
      </c>
      <c r="G272" t="s">
        <v>92</v>
      </c>
    </row>
    <row r="273" spans="1:7">
      <c r="A273" t="s">
        <v>58</v>
      </c>
      <c r="B273" t="s">
        <v>89</v>
      </c>
      <c r="C273" t="s">
        <v>90</v>
      </c>
      <c r="D273" t="s">
        <v>362</v>
      </c>
      <c r="E273">
        <v>-271</v>
      </c>
      <c r="F273" t="s">
        <v>91</v>
      </c>
      <c r="G273" t="s">
        <v>92</v>
      </c>
    </row>
    <row r="274" spans="1:7">
      <c r="A274" t="s">
        <v>58</v>
      </c>
      <c r="B274" t="s">
        <v>89</v>
      </c>
      <c r="C274" t="s">
        <v>90</v>
      </c>
      <c r="D274" t="s">
        <v>363</v>
      </c>
      <c r="E274">
        <v>-272</v>
      </c>
      <c r="F274" t="s">
        <v>91</v>
      </c>
      <c r="G274" t="s">
        <v>92</v>
      </c>
    </row>
    <row r="275" spans="1:7">
      <c r="A275" t="s">
        <v>58</v>
      </c>
      <c r="B275" t="s">
        <v>89</v>
      </c>
      <c r="C275" t="s">
        <v>90</v>
      </c>
      <c r="D275" t="s">
        <v>364</v>
      </c>
      <c r="E275">
        <v>-273</v>
      </c>
      <c r="F275" t="s">
        <v>91</v>
      </c>
      <c r="G275" t="s">
        <v>92</v>
      </c>
    </row>
    <row r="276" spans="1:7">
      <c r="A276" t="s">
        <v>58</v>
      </c>
      <c r="B276" t="s">
        <v>89</v>
      </c>
      <c r="C276" t="s">
        <v>90</v>
      </c>
      <c r="D276" t="s">
        <v>365</v>
      </c>
      <c r="E276">
        <v>-274</v>
      </c>
      <c r="F276" t="s">
        <v>91</v>
      </c>
      <c r="G276" t="s">
        <v>92</v>
      </c>
    </row>
    <row r="277" spans="1:7">
      <c r="A277" t="s">
        <v>58</v>
      </c>
      <c r="B277" t="s">
        <v>89</v>
      </c>
      <c r="C277" t="s">
        <v>90</v>
      </c>
      <c r="D277" t="s">
        <v>366</v>
      </c>
      <c r="E277">
        <v>-275</v>
      </c>
      <c r="F277" t="s">
        <v>91</v>
      </c>
      <c r="G277" t="s">
        <v>92</v>
      </c>
    </row>
    <row r="278" spans="1:7">
      <c r="A278" t="s">
        <v>58</v>
      </c>
      <c r="B278" t="s">
        <v>89</v>
      </c>
      <c r="C278" t="s">
        <v>90</v>
      </c>
      <c r="D278" t="s">
        <v>367</v>
      </c>
      <c r="E278">
        <v>-276</v>
      </c>
      <c r="F278" t="s">
        <v>91</v>
      </c>
      <c r="G278" t="s">
        <v>92</v>
      </c>
    </row>
    <row r="279" spans="1:7">
      <c r="A279" t="s">
        <v>58</v>
      </c>
      <c r="B279" t="s">
        <v>89</v>
      </c>
      <c r="C279" t="s">
        <v>90</v>
      </c>
      <c r="D279" t="s">
        <v>368</v>
      </c>
      <c r="E279">
        <v>-277</v>
      </c>
      <c r="F279" t="s">
        <v>91</v>
      </c>
      <c r="G279" t="s">
        <v>92</v>
      </c>
    </row>
    <row r="280" spans="1:7">
      <c r="A280" t="s">
        <v>58</v>
      </c>
      <c r="B280" t="s">
        <v>89</v>
      </c>
      <c r="C280" t="s">
        <v>90</v>
      </c>
      <c r="D280" t="s">
        <v>369</v>
      </c>
      <c r="E280">
        <v>-278</v>
      </c>
      <c r="F280" t="s">
        <v>91</v>
      </c>
      <c r="G280" t="s">
        <v>92</v>
      </c>
    </row>
    <row r="281" spans="1:7">
      <c r="A281" t="s">
        <v>58</v>
      </c>
      <c r="B281" t="s">
        <v>89</v>
      </c>
      <c r="C281" t="s">
        <v>90</v>
      </c>
      <c r="D281" t="s">
        <v>370</v>
      </c>
      <c r="E281">
        <v>-279</v>
      </c>
      <c r="F281" t="s">
        <v>91</v>
      </c>
      <c r="G281" t="s">
        <v>92</v>
      </c>
    </row>
    <row r="282" spans="1:7">
      <c r="A282" t="s">
        <v>58</v>
      </c>
      <c r="B282" t="s">
        <v>89</v>
      </c>
      <c r="C282" t="s">
        <v>90</v>
      </c>
      <c r="D282" t="s">
        <v>371</v>
      </c>
      <c r="E282">
        <v>-280</v>
      </c>
      <c r="F282" t="s">
        <v>91</v>
      </c>
      <c r="G282" t="s">
        <v>92</v>
      </c>
    </row>
    <row r="283" spans="1:7">
      <c r="A283" t="s">
        <v>58</v>
      </c>
      <c r="B283" t="s">
        <v>89</v>
      </c>
      <c r="C283" t="s">
        <v>90</v>
      </c>
      <c r="D283" t="s">
        <v>372</v>
      </c>
      <c r="E283">
        <v>-281</v>
      </c>
      <c r="F283" t="s">
        <v>91</v>
      </c>
      <c r="G283" t="s">
        <v>92</v>
      </c>
    </row>
    <row r="284" spans="1:7">
      <c r="A284" t="s">
        <v>58</v>
      </c>
      <c r="B284" t="s">
        <v>89</v>
      </c>
      <c r="C284" t="s">
        <v>90</v>
      </c>
      <c r="D284" t="s">
        <v>373</v>
      </c>
      <c r="E284">
        <v>-282</v>
      </c>
      <c r="F284" t="s">
        <v>91</v>
      </c>
      <c r="G284" t="s">
        <v>92</v>
      </c>
    </row>
    <row r="285" spans="1:7">
      <c r="A285" t="s">
        <v>58</v>
      </c>
      <c r="B285" t="s">
        <v>89</v>
      </c>
      <c r="C285" t="s">
        <v>90</v>
      </c>
      <c r="D285" t="s">
        <v>374</v>
      </c>
      <c r="E285">
        <v>-283</v>
      </c>
      <c r="F285" t="s">
        <v>91</v>
      </c>
      <c r="G285" t="s">
        <v>92</v>
      </c>
    </row>
    <row r="286" spans="1:7">
      <c r="A286" t="s">
        <v>58</v>
      </c>
      <c r="B286" t="s">
        <v>89</v>
      </c>
      <c r="C286" t="s">
        <v>90</v>
      </c>
      <c r="D286" t="s">
        <v>375</v>
      </c>
      <c r="E286">
        <v>-284</v>
      </c>
      <c r="F286" t="s">
        <v>91</v>
      </c>
      <c r="G286" t="s">
        <v>92</v>
      </c>
    </row>
    <row r="287" spans="1:7">
      <c r="A287" t="s">
        <v>58</v>
      </c>
      <c r="B287" t="s">
        <v>89</v>
      </c>
      <c r="C287" t="s">
        <v>90</v>
      </c>
      <c r="D287" t="s">
        <v>376</v>
      </c>
      <c r="E287">
        <v>-285</v>
      </c>
      <c r="F287" t="s">
        <v>91</v>
      </c>
      <c r="G287" t="s">
        <v>92</v>
      </c>
    </row>
    <row r="288" spans="1:7">
      <c r="A288" t="s">
        <v>58</v>
      </c>
      <c r="B288" t="s">
        <v>89</v>
      </c>
      <c r="C288" t="s">
        <v>90</v>
      </c>
      <c r="D288" t="s">
        <v>377</v>
      </c>
      <c r="E288">
        <v>-286</v>
      </c>
      <c r="F288" t="s">
        <v>91</v>
      </c>
      <c r="G288" t="s">
        <v>92</v>
      </c>
    </row>
    <row r="289" spans="1:7">
      <c r="A289" t="s">
        <v>58</v>
      </c>
      <c r="B289" t="s">
        <v>89</v>
      </c>
      <c r="C289" t="s">
        <v>90</v>
      </c>
      <c r="D289" t="s">
        <v>378</v>
      </c>
      <c r="E289">
        <v>-287</v>
      </c>
      <c r="F289" t="s">
        <v>91</v>
      </c>
      <c r="G289" t="s">
        <v>92</v>
      </c>
    </row>
    <row r="290" spans="1:7">
      <c r="A290" t="s">
        <v>58</v>
      </c>
      <c r="B290" t="s">
        <v>89</v>
      </c>
      <c r="C290" t="s">
        <v>90</v>
      </c>
      <c r="D290" t="s">
        <v>379</v>
      </c>
      <c r="E290">
        <v>-288</v>
      </c>
      <c r="F290" t="s">
        <v>91</v>
      </c>
      <c r="G290" t="s">
        <v>92</v>
      </c>
    </row>
    <row r="291" spans="1:7">
      <c r="A291" t="s">
        <v>58</v>
      </c>
      <c r="B291" t="s">
        <v>89</v>
      </c>
      <c r="C291" t="s">
        <v>90</v>
      </c>
      <c r="D291" t="s">
        <v>380</v>
      </c>
      <c r="E291">
        <v>-289</v>
      </c>
      <c r="F291" t="s">
        <v>91</v>
      </c>
      <c r="G291" t="s">
        <v>92</v>
      </c>
    </row>
    <row r="292" spans="1:7">
      <c r="A292" t="s">
        <v>58</v>
      </c>
      <c r="B292" t="s">
        <v>89</v>
      </c>
      <c r="C292" t="s">
        <v>90</v>
      </c>
      <c r="D292" t="s">
        <v>381</v>
      </c>
      <c r="E292">
        <v>-290</v>
      </c>
      <c r="F292" t="s">
        <v>91</v>
      </c>
      <c r="G292" t="s">
        <v>92</v>
      </c>
    </row>
    <row r="293" spans="1:7">
      <c r="A293" t="s">
        <v>58</v>
      </c>
      <c r="B293" t="s">
        <v>89</v>
      </c>
      <c r="C293" t="s">
        <v>90</v>
      </c>
      <c r="D293" t="s">
        <v>382</v>
      </c>
      <c r="E293">
        <v>-291</v>
      </c>
      <c r="F293" t="s">
        <v>91</v>
      </c>
      <c r="G293" t="s">
        <v>92</v>
      </c>
    </row>
    <row r="294" spans="1:7">
      <c r="A294" t="s">
        <v>58</v>
      </c>
      <c r="B294" t="s">
        <v>89</v>
      </c>
      <c r="C294" t="s">
        <v>90</v>
      </c>
      <c r="D294" t="s">
        <v>383</v>
      </c>
      <c r="E294">
        <v>-292</v>
      </c>
      <c r="F294" t="s">
        <v>91</v>
      </c>
      <c r="G294" t="s">
        <v>92</v>
      </c>
    </row>
    <row r="295" spans="1:7">
      <c r="A295" t="s">
        <v>58</v>
      </c>
      <c r="B295" t="s">
        <v>89</v>
      </c>
      <c r="C295" t="s">
        <v>90</v>
      </c>
      <c r="D295" t="s">
        <v>384</v>
      </c>
      <c r="E295">
        <v>-293</v>
      </c>
      <c r="F295" t="s">
        <v>91</v>
      </c>
      <c r="G295" t="s">
        <v>92</v>
      </c>
    </row>
    <row r="296" spans="1:7">
      <c r="A296" t="s">
        <v>58</v>
      </c>
      <c r="B296" t="s">
        <v>89</v>
      </c>
      <c r="C296" t="s">
        <v>90</v>
      </c>
      <c r="D296" t="s">
        <v>385</v>
      </c>
      <c r="E296">
        <v>-294</v>
      </c>
      <c r="F296" t="s">
        <v>91</v>
      </c>
      <c r="G296" t="s">
        <v>92</v>
      </c>
    </row>
    <row r="297" spans="1:7">
      <c r="A297" t="s">
        <v>58</v>
      </c>
      <c r="B297" t="s">
        <v>89</v>
      </c>
      <c r="C297" t="s">
        <v>90</v>
      </c>
      <c r="D297" t="s">
        <v>386</v>
      </c>
      <c r="E297">
        <v>-295</v>
      </c>
      <c r="F297" t="s">
        <v>91</v>
      </c>
      <c r="G297" t="s">
        <v>92</v>
      </c>
    </row>
    <row r="298" spans="1:7">
      <c r="A298" t="s">
        <v>58</v>
      </c>
      <c r="B298" t="s">
        <v>89</v>
      </c>
      <c r="C298" t="s">
        <v>90</v>
      </c>
      <c r="D298" t="s">
        <v>387</v>
      </c>
      <c r="E298">
        <v>-296</v>
      </c>
      <c r="F298" t="s">
        <v>91</v>
      </c>
      <c r="G298" t="s">
        <v>92</v>
      </c>
    </row>
    <row r="299" spans="1:7">
      <c r="A299" t="s">
        <v>58</v>
      </c>
      <c r="B299" t="s">
        <v>89</v>
      </c>
      <c r="C299" t="s">
        <v>90</v>
      </c>
      <c r="D299" t="s">
        <v>388</v>
      </c>
      <c r="E299">
        <v>-297</v>
      </c>
      <c r="F299" t="s">
        <v>91</v>
      </c>
      <c r="G299" t="s">
        <v>92</v>
      </c>
    </row>
    <row r="300" spans="1:7">
      <c r="A300" t="s">
        <v>58</v>
      </c>
      <c r="B300" t="s">
        <v>89</v>
      </c>
      <c r="C300" t="s">
        <v>90</v>
      </c>
      <c r="D300" t="s">
        <v>389</v>
      </c>
      <c r="E300">
        <v>-298</v>
      </c>
      <c r="F300" t="s">
        <v>91</v>
      </c>
      <c r="G300" t="s">
        <v>92</v>
      </c>
    </row>
    <row r="301" spans="1:7">
      <c r="A301" t="s">
        <v>58</v>
      </c>
      <c r="B301" t="s">
        <v>89</v>
      </c>
      <c r="C301" t="s">
        <v>90</v>
      </c>
      <c r="D301" t="s">
        <v>390</v>
      </c>
      <c r="E301">
        <v>-299</v>
      </c>
      <c r="F301" t="s">
        <v>91</v>
      </c>
      <c r="G301" t="s">
        <v>92</v>
      </c>
    </row>
    <row r="302" spans="1:7">
      <c r="A302" t="s">
        <v>58</v>
      </c>
      <c r="B302" t="s">
        <v>89</v>
      </c>
      <c r="C302" t="s">
        <v>90</v>
      </c>
      <c r="D302" t="s">
        <v>391</v>
      </c>
      <c r="E302">
        <v>-300</v>
      </c>
      <c r="F302" t="s">
        <v>91</v>
      </c>
      <c r="G302" t="s">
        <v>92</v>
      </c>
    </row>
    <row r="303" spans="1:7">
      <c r="A303" t="s">
        <v>58</v>
      </c>
      <c r="B303" t="s">
        <v>89</v>
      </c>
      <c r="C303" t="s">
        <v>90</v>
      </c>
      <c r="D303" t="s">
        <v>392</v>
      </c>
      <c r="E303">
        <v>-301</v>
      </c>
      <c r="F303" t="s">
        <v>91</v>
      </c>
      <c r="G303" t="s">
        <v>92</v>
      </c>
    </row>
    <row r="304" spans="1:7">
      <c r="A304" t="s">
        <v>58</v>
      </c>
      <c r="B304" t="s">
        <v>89</v>
      </c>
      <c r="C304" t="s">
        <v>90</v>
      </c>
      <c r="D304" t="s">
        <v>393</v>
      </c>
      <c r="E304">
        <v>-302</v>
      </c>
      <c r="F304" t="s">
        <v>91</v>
      </c>
      <c r="G304" t="s">
        <v>92</v>
      </c>
    </row>
    <row r="305" spans="1:7">
      <c r="A305" t="s">
        <v>58</v>
      </c>
      <c r="B305" t="s">
        <v>89</v>
      </c>
      <c r="C305" t="s">
        <v>90</v>
      </c>
      <c r="D305" t="s">
        <v>394</v>
      </c>
      <c r="E305">
        <v>-303</v>
      </c>
      <c r="F305" t="s">
        <v>91</v>
      </c>
      <c r="G305" t="s">
        <v>92</v>
      </c>
    </row>
    <row r="306" spans="1:7">
      <c r="A306" t="s">
        <v>58</v>
      </c>
      <c r="B306" t="s">
        <v>89</v>
      </c>
      <c r="C306" t="s">
        <v>90</v>
      </c>
      <c r="D306" t="s">
        <v>395</v>
      </c>
      <c r="E306">
        <v>-304</v>
      </c>
      <c r="F306" t="s">
        <v>91</v>
      </c>
      <c r="G306" t="s">
        <v>92</v>
      </c>
    </row>
    <row r="307" spans="1:7">
      <c r="A307" t="s">
        <v>58</v>
      </c>
      <c r="B307" t="s">
        <v>89</v>
      </c>
      <c r="C307" t="s">
        <v>90</v>
      </c>
      <c r="D307" t="s">
        <v>396</v>
      </c>
      <c r="E307">
        <v>-305</v>
      </c>
      <c r="F307" t="s">
        <v>91</v>
      </c>
      <c r="G307" t="s">
        <v>92</v>
      </c>
    </row>
    <row r="308" spans="1:7">
      <c r="A308" t="s">
        <v>58</v>
      </c>
      <c r="B308" t="s">
        <v>89</v>
      </c>
      <c r="C308" t="s">
        <v>90</v>
      </c>
      <c r="D308" t="s">
        <v>397</v>
      </c>
      <c r="E308">
        <v>-306</v>
      </c>
      <c r="F308" t="s">
        <v>91</v>
      </c>
      <c r="G308" t="s">
        <v>92</v>
      </c>
    </row>
    <row r="309" spans="1:7">
      <c r="A309" t="s">
        <v>58</v>
      </c>
      <c r="B309" t="s">
        <v>89</v>
      </c>
      <c r="C309" t="s">
        <v>90</v>
      </c>
      <c r="D309" t="s">
        <v>398</v>
      </c>
      <c r="E309">
        <v>-307</v>
      </c>
      <c r="F309" t="s">
        <v>91</v>
      </c>
      <c r="G309" t="s">
        <v>92</v>
      </c>
    </row>
    <row r="310" spans="1:7">
      <c r="A310" t="s">
        <v>58</v>
      </c>
      <c r="B310" t="s">
        <v>89</v>
      </c>
      <c r="C310" t="s">
        <v>90</v>
      </c>
      <c r="D310" t="s">
        <v>399</v>
      </c>
      <c r="E310">
        <v>-308</v>
      </c>
      <c r="F310" t="s">
        <v>91</v>
      </c>
      <c r="G310" t="s">
        <v>92</v>
      </c>
    </row>
    <row r="311" spans="1:7">
      <c r="A311" t="s">
        <v>58</v>
      </c>
      <c r="B311" t="s">
        <v>89</v>
      </c>
      <c r="C311" t="s">
        <v>90</v>
      </c>
      <c r="D311" t="s">
        <v>400</v>
      </c>
      <c r="E311">
        <v>-309</v>
      </c>
      <c r="F311" t="s">
        <v>91</v>
      </c>
      <c r="G311" t="s">
        <v>92</v>
      </c>
    </row>
    <row r="312" spans="1:7">
      <c r="A312" t="s">
        <v>58</v>
      </c>
      <c r="B312" t="s">
        <v>89</v>
      </c>
      <c r="C312" t="s">
        <v>90</v>
      </c>
      <c r="D312" t="s">
        <v>401</v>
      </c>
      <c r="E312">
        <v>-310</v>
      </c>
      <c r="F312" t="s">
        <v>91</v>
      </c>
      <c r="G312" t="s">
        <v>92</v>
      </c>
    </row>
    <row r="313" spans="1:7">
      <c r="A313" t="s">
        <v>58</v>
      </c>
      <c r="B313" t="s">
        <v>89</v>
      </c>
      <c r="C313" t="s">
        <v>90</v>
      </c>
      <c r="D313" t="s">
        <v>402</v>
      </c>
      <c r="E313">
        <v>-311</v>
      </c>
      <c r="F313" t="s">
        <v>91</v>
      </c>
      <c r="G313" t="s">
        <v>92</v>
      </c>
    </row>
    <row r="314" spans="1:7">
      <c r="A314" t="s">
        <v>58</v>
      </c>
      <c r="B314" t="s">
        <v>89</v>
      </c>
      <c r="C314" t="s">
        <v>90</v>
      </c>
      <c r="D314" t="s">
        <v>403</v>
      </c>
      <c r="E314">
        <v>-312</v>
      </c>
      <c r="F314" t="s">
        <v>91</v>
      </c>
      <c r="G314" t="s">
        <v>92</v>
      </c>
    </row>
    <row r="315" spans="1:7">
      <c r="A315" t="s">
        <v>58</v>
      </c>
      <c r="B315" t="s">
        <v>89</v>
      </c>
      <c r="C315" t="s">
        <v>90</v>
      </c>
      <c r="D315" t="s">
        <v>404</v>
      </c>
      <c r="E315">
        <v>-313</v>
      </c>
      <c r="F315" t="s">
        <v>91</v>
      </c>
      <c r="G315" t="s">
        <v>92</v>
      </c>
    </row>
    <row r="316" spans="1:7">
      <c r="A316" t="s">
        <v>58</v>
      </c>
      <c r="B316" t="s">
        <v>89</v>
      </c>
      <c r="C316" t="s">
        <v>90</v>
      </c>
      <c r="D316" t="s">
        <v>405</v>
      </c>
      <c r="E316">
        <v>-314</v>
      </c>
      <c r="F316" t="s">
        <v>91</v>
      </c>
      <c r="G316" t="s">
        <v>92</v>
      </c>
    </row>
    <row r="317" spans="1:7">
      <c r="A317" t="s">
        <v>58</v>
      </c>
      <c r="B317" t="s">
        <v>89</v>
      </c>
      <c r="C317" t="s">
        <v>90</v>
      </c>
      <c r="D317" t="s">
        <v>406</v>
      </c>
      <c r="E317">
        <v>-315</v>
      </c>
      <c r="F317" t="s">
        <v>91</v>
      </c>
      <c r="G317" t="s">
        <v>92</v>
      </c>
    </row>
    <row r="318" spans="1:7">
      <c r="A318" t="s">
        <v>58</v>
      </c>
      <c r="B318" t="s">
        <v>89</v>
      </c>
      <c r="C318" t="s">
        <v>90</v>
      </c>
      <c r="D318" t="s">
        <v>407</v>
      </c>
      <c r="E318">
        <v>-316</v>
      </c>
      <c r="F318" t="s">
        <v>91</v>
      </c>
      <c r="G318" t="s">
        <v>92</v>
      </c>
    </row>
    <row r="319" spans="1:7">
      <c r="A319" t="s">
        <v>58</v>
      </c>
      <c r="B319" t="s">
        <v>89</v>
      </c>
      <c r="C319" t="s">
        <v>90</v>
      </c>
      <c r="D319" t="s">
        <v>408</v>
      </c>
      <c r="E319">
        <v>-317</v>
      </c>
      <c r="F319" t="s">
        <v>91</v>
      </c>
      <c r="G319" t="s">
        <v>92</v>
      </c>
    </row>
    <row r="320" spans="1:7">
      <c r="A320" t="s">
        <v>58</v>
      </c>
      <c r="B320" t="s">
        <v>89</v>
      </c>
      <c r="C320" t="s">
        <v>90</v>
      </c>
      <c r="D320" t="s">
        <v>409</v>
      </c>
      <c r="E320">
        <v>-318</v>
      </c>
      <c r="F320" t="s">
        <v>91</v>
      </c>
      <c r="G320" t="s">
        <v>92</v>
      </c>
    </row>
    <row r="321" spans="1:7">
      <c r="A321" t="s">
        <v>58</v>
      </c>
      <c r="B321" t="s">
        <v>89</v>
      </c>
      <c r="C321" t="s">
        <v>90</v>
      </c>
      <c r="D321" t="s">
        <v>410</v>
      </c>
      <c r="E321">
        <v>-319</v>
      </c>
      <c r="F321" t="s">
        <v>91</v>
      </c>
      <c r="G321" t="s">
        <v>92</v>
      </c>
    </row>
    <row r="322" spans="1:7">
      <c r="A322" t="s">
        <v>58</v>
      </c>
      <c r="B322" t="s">
        <v>89</v>
      </c>
      <c r="C322" t="s">
        <v>90</v>
      </c>
      <c r="D322" t="s">
        <v>411</v>
      </c>
      <c r="E322">
        <v>-320</v>
      </c>
      <c r="F322" t="s">
        <v>91</v>
      </c>
      <c r="G322" t="s">
        <v>92</v>
      </c>
    </row>
    <row r="323" spans="1:7">
      <c r="A323" t="s">
        <v>58</v>
      </c>
      <c r="B323" t="s">
        <v>89</v>
      </c>
      <c r="C323" t="s">
        <v>90</v>
      </c>
      <c r="D323" t="s">
        <v>412</v>
      </c>
      <c r="E323">
        <v>-321</v>
      </c>
      <c r="F323" t="s">
        <v>91</v>
      </c>
      <c r="G323" t="s">
        <v>92</v>
      </c>
    </row>
    <row r="324" spans="1:7">
      <c r="A324" t="s">
        <v>58</v>
      </c>
      <c r="B324" t="s">
        <v>89</v>
      </c>
      <c r="C324" t="s">
        <v>90</v>
      </c>
      <c r="D324" t="s">
        <v>413</v>
      </c>
      <c r="E324">
        <v>-322</v>
      </c>
      <c r="F324" t="s">
        <v>91</v>
      </c>
      <c r="G324" t="s">
        <v>92</v>
      </c>
    </row>
    <row r="325" spans="1:7">
      <c r="A325" t="s">
        <v>58</v>
      </c>
      <c r="B325" t="s">
        <v>89</v>
      </c>
      <c r="C325" t="s">
        <v>90</v>
      </c>
      <c r="D325" t="s">
        <v>414</v>
      </c>
      <c r="E325">
        <v>-323</v>
      </c>
      <c r="F325" t="s">
        <v>91</v>
      </c>
      <c r="G325" t="s">
        <v>92</v>
      </c>
    </row>
    <row r="326" spans="1:7">
      <c r="A326" t="s">
        <v>58</v>
      </c>
      <c r="B326" t="s">
        <v>89</v>
      </c>
      <c r="C326" t="s">
        <v>90</v>
      </c>
      <c r="D326" t="s">
        <v>415</v>
      </c>
      <c r="E326">
        <v>-324</v>
      </c>
      <c r="F326" t="s">
        <v>91</v>
      </c>
      <c r="G326" t="s">
        <v>92</v>
      </c>
    </row>
    <row r="327" spans="1:7">
      <c r="A327" t="s">
        <v>58</v>
      </c>
      <c r="B327" t="s">
        <v>89</v>
      </c>
      <c r="C327" t="s">
        <v>90</v>
      </c>
      <c r="D327" t="s">
        <v>416</v>
      </c>
      <c r="E327">
        <v>-325</v>
      </c>
      <c r="F327" t="s">
        <v>91</v>
      </c>
      <c r="G327" t="s">
        <v>92</v>
      </c>
    </row>
    <row r="328" spans="1:7">
      <c r="A328" t="s">
        <v>58</v>
      </c>
      <c r="B328" t="s">
        <v>89</v>
      </c>
      <c r="C328" t="s">
        <v>90</v>
      </c>
      <c r="D328" t="s">
        <v>417</v>
      </c>
      <c r="E328">
        <v>-326</v>
      </c>
      <c r="F328" t="s">
        <v>91</v>
      </c>
      <c r="G328" t="s">
        <v>92</v>
      </c>
    </row>
    <row r="329" spans="1:7">
      <c r="A329" t="s">
        <v>58</v>
      </c>
      <c r="B329" t="s">
        <v>89</v>
      </c>
      <c r="C329" t="s">
        <v>90</v>
      </c>
      <c r="D329" t="s">
        <v>418</v>
      </c>
      <c r="E329">
        <v>-327</v>
      </c>
      <c r="F329" t="s">
        <v>91</v>
      </c>
      <c r="G329" t="s">
        <v>92</v>
      </c>
    </row>
    <row r="330" spans="1:7">
      <c r="A330" t="s">
        <v>58</v>
      </c>
      <c r="B330" t="s">
        <v>89</v>
      </c>
      <c r="C330" t="s">
        <v>90</v>
      </c>
      <c r="D330" t="s">
        <v>419</v>
      </c>
      <c r="E330">
        <v>-328</v>
      </c>
      <c r="F330" t="s">
        <v>91</v>
      </c>
      <c r="G330" t="s">
        <v>92</v>
      </c>
    </row>
    <row r="331" spans="1:7">
      <c r="A331" t="s">
        <v>58</v>
      </c>
      <c r="B331" t="s">
        <v>89</v>
      </c>
      <c r="C331" t="s">
        <v>90</v>
      </c>
      <c r="D331" t="s">
        <v>420</v>
      </c>
      <c r="E331">
        <v>-329</v>
      </c>
      <c r="F331" t="s">
        <v>91</v>
      </c>
      <c r="G331" t="s">
        <v>92</v>
      </c>
    </row>
    <row r="332" spans="1:7">
      <c r="A332" t="s">
        <v>58</v>
      </c>
      <c r="B332" t="s">
        <v>89</v>
      </c>
      <c r="C332" t="s">
        <v>90</v>
      </c>
      <c r="D332" t="s">
        <v>421</v>
      </c>
      <c r="E332">
        <v>-330</v>
      </c>
      <c r="F332" t="s">
        <v>91</v>
      </c>
      <c r="G332" t="s">
        <v>92</v>
      </c>
    </row>
    <row r="333" spans="1:7">
      <c r="A333" t="s">
        <v>58</v>
      </c>
      <c r="B333" t="s">
        <v>89</v>
      </c>
      <c r="C333" t="s">
        <v>90</v>
      </c>
      <c r="D333" t="s">
        <v>422</v>
      </c>
      <c r="E333">
        <v>-331</v>
      </c>
      <c r="F333" t="s">
        <v>91</v>
      </c>
      <c r="G333" t="s">
        <v>92</v>
      </c>
    </row>
    <row r="334" spans="1:7">
      <c r="A334" t="s">
        <v>58</v>
      </c>
      <c r="B334" t="s">
        <v>89</v>
      </c>
      <c r="C334" t="s">
        <v>90</v>
      </c>
      <c r="D334" t="s">
        <v>423</v>
      </c>
      <c r="E334">
        <v>-332</v>
      </c>
      <c r="F334" t="s">
        <v>91</v>
      </c>
      <c r="G334" t="s">
        <v>92</v>
      </c>
    </row>
    <row r="335" spans="1:7">
      <c r="A335" t="s">
        <v>58</v>
      </c>
      <c r="B335" t="s">
        <v>89</v>
      </c>
      <c r="C335" t="s">
        <v>90</v>
      </c>
      <c r="D335" t="s">
        <v>424</v>
      </c>
      <c r="E335">
        <v>-333</v>
      </c>
      <c r="F335" t="s">
        <v>91</v>
      </c>
      <c r="G335" t="s">
        <v>92</v>
      </c>
    </row>
    <row r="336" spans="1:7">
      <c r="A336" t="s">
        <v>58</v>
      </c>
      <c r="B336" t="s">
        <v>89</v>
      </c>
      <c r="C336" t="s">
        <v>90</v>
      </c>
      <c r="D336" t="s">
        <v>425</v>
      </c>
      <c r="E336">
        <v>-334</v>
      </c>
      <c r="F336" t="s">
        <v>91</v>
      </c>
      <c r="G336" t="s">
        <v>92</v>
      </c>
    </row>
    <row r="337" spans="1:7">
      <c r="A337" t="s">
        <v>58</v>
      </c>
      <c r="B337" t="s">
        <v>89</v>
      </c>
      <c r="C337" t="s">
        <v>90</v>
      </c>
      <c r="D337" t="s">
        <v>426</v>
      </c>
      <c r="E337">
        <v>-335</v>
      </c>
      <c r="F337" t="s">
        <v>91</v>
      </c>
      <c r="G337" t="s">
        <v>92</v>
      </c>
    </row>
    <row r="338" spans="1:7">
      <c r="A338" t="s">
        <v>58</v>
      </c>
      <c r="B338" t="s">
        <v>89</v>
      </c>
      <c r="C338" t="s">
        <v>90</v>
      </c>
      <c r="D338" t="s">
        <v>427</v>
      </c>
      <c r="E338">
        <v>-336</v>
      </c>
      <c r="F338" t="s">
        <v>91</v>
      </c>
      <c r="G338" t="s">
        <v>92</v>
      </c>
    </row>
    <row r="339" spans="1:7">
      <c r="A339" t="s">
        <v>58</v>
      </c>
      <c r="B339" t="s">
        <v>89</v>
      </c>
      <c r="C339" t="s">
        <v>90</v>
      </c>
      <c r="D339" t="s">
        <v>428</v>
      </c>
      <c r="E339">
        <v>-337</v>
      </c>
      <c r="F339" t="s">
        <v>91</v>
      </c>
      <c r="G339" t="s">
        <v>92</v>
      </c>
    </row>
    <row r="340" spans="1:7">
      <c r="A340" t="s">
        <v>58</v>
      </c>
      <c r="B340" t="s">
        <v>89</v>
      </c>
      <c r="C340" t="s">
        <v>90</v>
      </c>
      <c r="D340" t="s">
        <v>429</v>
      </c>
      <c r="E340">
        <v>-338</v>
      </c>
      <c r="F340" t="s">
        <v>91</v>
      </c>
      <c r="G340" t="s">
        <v>92</v>
      </c>
    </row>
    <row r="341" spans="1:7">
      <c r="A341" t="s">
        <v>58</v>
      </c>
      <c r="B341" t="s">
        <v>89</v>
      </c>
      <c r="C341" t="s">
        <v>90</v>
      </c>
      <c r="D341" t="s">
        <v>430</v>
      </c>
      <c r="E341">
        <v>-339</v>
      </c>
      <c r="F341" t="s">
        <v>91</v>
      </c>
      <c r="G341" t="s">
        <v>92</v>
      </c>
    </row>
    <row r="342" spans="1:7">
      <c r="A342" t="s">
        <v>58</v>
      </c>
      <c r="B342" t="s">
        <v>89</v>
      </c>
      <c r="C342" t="s">
        <v>90</v>
      </c>
      <c r="D342" t="s">
        <v>431</v>
      </c>
      <c r="E342">
        <v>-340</v>
      </c>
      <c r="F342" t="s">
        <v>91</v>
      </c>
      <c r="G342" t="s">
        <v>92</v>
      </c>
    </row>
    <row r="343" spans="1:7">
      <c r="A343" t="s">
        <v>58</v>
      </c>
      <c r="B343" t="s">
        <v>89</v>
      </c>
      <c r="C343" t="s">
        <v>90</v>
      </c>
      <c r="D343" t="s">
        <v>432</v>
      </c>
      <c r="E343">
        <v>-341</v>
      </c>
      <c r="F343" t="s">
        <v>91</v>
      </c>
      <c r="G343" t="s">
        <v>92</v>
      </c>
    </row>
    <row r="344" spans="1:7">
      <c r="A344" t="s">
        <v>58</v>
      </c>
      <c r="B344" t="s">
        <v>89</v>
      </c>
      <c r="C344" t="s">
        <v>90</v>
      </c>
      <c r="D344" t="s">
        <v>433</v>
      </c>
      <c r="E344">
        <v>-342</v>
      </c>
      <c r="F344" t="s">
        <v>91</v>
      </c>
      <c r="G344" t="s">
        <v>92</v>
      </c>
    </row>
    <row r="345" spans="1:7">
      <c r="A345" t="s">
        <v>58</v>
      </c>
      <c r="B345" t="s">
        <v>89</v>
      </c>
      <c r="C345" t="s">
        <v>90</v>
      </c>
      <c r="D345" t="s">
        <v>434</v>
      </c>
      <c r="E345">
        <v>-343</v>
      </c>
      <c r="F345" t="s">
        <v>91</v>
      </c>
      <c r="G345" t="s">
        <v>92</v>
      </c>
    </row>
    <row r="346" spans="1:7">
      <c r="A346" t="s">
        <v>58</v>
      </c>
      <c r="B346" t="s">
        <v>89</v>
      </c>
      <c r="C346" t="s">
        <v>90</v>
      </c>
      <c r="D346" t="s">
        <v>435</v>
      </c>
      <c r="E346">
        <v>-344</v>
      </c>
      <c r="F346" t="s">
        <v>91</v>
      </c>
      <c r="G346" t="s">
        <v>92</v>
      </c>
    </row>
    <row r="347" spans="1:7">
      <c r="A347" t="s">
        <v>58</v>
      </c>
      <c r="B347" t="s">
        <v>89</v>
      </c>
      <c r="C347" t="s">
        <v>90</v>
      </c>
      <c r="D347" t="s">
        <v>436</v>
      </c>
      <c r="E347">
        <v>-345</v>
      </c>
      <c r="F347" t="s">
        <v>91</v>
      </c>
      <c r="G347" t="s">
        <v>92</v>
      </c>
    </row>
    <row r="348" spans="1:7">
      <c r="A348" t="s">
        <v>58</v>
      </c>
      <c r="B348" t="s">
        <v>89</v>
      </c>
      <c r="C348" t="s">
        <v>90</v>
      </c>
      <c r="D348" t="s">
        <v>437</v>
      </c>
      <c r="E348">
        <v>-346</v>
      </c>
      <c r="F348" t="s">
        <v>91</v>
      </c>
      <c r="G348" t="s">
        <v>92</v>
      </c>
    </row>
    <row r="349" spans="1:7">
      <c r="A349" t="s">
        <v>58</v>
      </c>
      <c r="B349" t="s">
        <v>89</v>
      </c>
      <c r="C349" t="s">
        <v>90</v>
      </c>
      <c r="D349" t="s">
        <v>438</v>
      </c>
      <c r="E349">
        <v>-347</v>
      </c>
      <c r="F349" t="s">
        <v>91</v>
      </c>
      <c r="G349" t="s">
        <v>92</v>
      </c>
    </row>
    <row r="350" spans="1:7">
      <c r="A350" t="s">
        <v>58</v>
      </c>
      <c r="B350" t="s">
        <v>89</v>
      </c>
      <c r="C350" t="s">
        <v>90</v>
      </c>
      <c r="D350" t="s">
        <v>439</v>
      </c>
      <c r="E350">
        <v>-348</v>
      </c>
      <c r="F350" t="s">
        <v>91</v>
      </c>
      <c r="G350" t="s">
        <v>92</v>
      </c>
    </row>
    <row r="351" spans="1:7">
      <c r="A351" t="s">
        <v>58</v>
      </c>
      <c r="B351" t="s">
        <v>89</v>
      </c>
      <c r="C351" t="s">
        <v>90</v>
      </c>
      <c r="D351" t="s">
        <v>440</v>
      </c>
      <c r="E351">
        <v>-349</v>
      </c>
      <c r="F351" t="s">
        <v>91</v>
      </c>
      <c r="G351" t="s">
        <v>92</v>
      </c>
    </row>
    <row r="352" spans="1:7">
      <c r="A352" t="s">
        <v>58</v>
      </c>
      <c r="B352" t="s">
        <v>89</v>
      </c>
      <c r="C352" t="s">
        <v>90</v>
      </c>
      <c r="D352" t="s">
        <v>441</v>
      </c>
      <c r="E352">
        <v>-350</v>
      </c>
      <c r="F352" t="s">
        <v>91</v>
      </c>
      <c r="G352" t="s">
        <v>92</v>
      </c>
    </row>
    <row r="353" spans="1:7">
      <c r="A353" t="s">
        <v>58</v>
      </c>
      <c r="B353" t="s">
        <v>89</v>
      </c>
      <c r="C353" t="s">
        <v>90</v>
      </c>
      <c r="D353" t="s">
        <v>442</v>
      </c>
      <c r="E353">
        <v>-351</v>
      </c>
      <c r="F353" t="s">
        <v>91</v>
      </c>
      <c r="G353" t="s">
        <v>92</v>
      </c>
    </row>
    <row r="354" spans="1:7">
      <c r="A354" t="s">
        <v>58</v>
      </c>
      <c r="B354" t="s">
        <v>89</v>
      </c>
      <c r="C354" t="s">
        <v>90</v>
      </c>
      <c r="D354" t="s">
        <v>443</v>
      </c>
      <c r="E354">
        <v>-352</v>
      </c>
      <c r="F354" t="s">
        <v>91</v>
      </c>
      <c r="G354" t="s">
        <v>92</v>
      </c>
    </row>
    <row r="355" spans="1:7">
      <c r="A355" t="s">
        <v>58</v>
      </c>
      <c r="B355" t="s">
        <v>89</v>
      </c>
      <c r="C355" t="s">
        <v>90</v>
      </c>
      <c r="D355" t="s">
        <v>444</v>
      </c>
      <c r="E355">
        <v>-353</v>
      </c>
      <c r="F355" t="s">
        <v>91</v>
      </c>
      <c r="G355" t="s">
        <v>92</v>
      </c>
    </row>
    <row r="356" spans="1:7">
      <c r="A356" t="s">
        <v>58</v>
      </c>
      <c r="B356" t="s">
        <v>89</v>
      </c>
      <c r="C356" t="s">
        <v>90</v>
      </c>
      <c r="D356" t="s">
        <v>445</v>
      </c>
      <c r="E356">
        <v>-354</v>
      </c>
      <c r="F356" t="s">
        <v>91</v>
      </c>
      <c r="G356" t="s">
        <v>92</v>
      </c>
    </row>
    <row r="357" spans="1:7">
      <c r="A357" t="s">
        <v>58</v>
      </c>
      <c r="B357" t="s">
        <v>89</v>
      </c>
      <c r="C357" t="s">
        <v>90</v>
      </c>
      <c r="D357" t="s">
        <v>446</v>
      </c>
      <c r="E357">
        <v>-355</v>
      </c>
      <c r="F357" t="s">
        <v>91</v>
      </c>
      <c r="G357" t="s">
        <v>92</v>
      </c>
    </row>
    <row r="358" spans="1:7">
      <c r="A358" t="s">
        <v>58</v>
      </c>
      <c r="B358" t="s">
        <v>89</v>
      </c>
      <c r="C358" t="s">
        <v>90</v>
      </c>
      <c r="D358" t="s">
        <v>447</v>
      </c>
      <c r="E358">
        <v>-356</v>
      </c>
      <c r="F358" t="s">
        <v>91</v>
      </c>
      <c r="G358" t="s">
        <v>92</v>
      </c>
    </row>
    <row r="359" spans="1:7">
      <c r="A359" t="s">
        <v>58</v>
      </c>
      <c r="B359" t="s">
        <v>89</v>
      </c>
      <c r="C359" t="s">
        <v>90</v>
      </c>
      <c r="D359" t="s">
        <v>448</v>
      </c>
      <c r="E359">
        <v>-357</v>
      </c>
      <c r="F359" t="s">
        <v>91</v>
      </c>
      <c r="G359" t="s">
        <v>92</v>
      </c>
    </row>
    <row r="360" spans="1:7">
      <c r="A360" t="s">
        <v>58</v>
      </c>
      <c r="B360" t="s">
        <v>89</v>
      </c>
      <c r="C360" t="s">
        <v>90</v>
      </c>
      <c r="D360" t="s">
        <v>449</v>
      </c>
      <c r="E360">
        <v>-358</v>
      </c>
      <c r="F360" t="s">
        <v>91</v>
      </c>
      <c r="G360" t="s">
        <v>92</v>
      </c>
    </row>
    <row r="361" spans="1:7">
      <c r="A361" t="s">
        <v>58</v>
      </c>
      <c r="B361" t="s">
        <v>89</v>
      </c>
      <c r="C361" t="s">
        <v>90</v>
      </c>
      <c r="D361" t="s">
        <v>450</v>
      </c>
      <c r="E361">
        <v>-359</v>
      </c>
      <c r="F361" t="s">
        <v>91</v>
      </c>
      <c r="G361" t="s">
        <v>92</v>
      </c>
    </row>
    <row r="362" spans="1:7">
      <c r="A362" t="s">
        <v>58</v>
      </c>
      <c r="B362" t="s">
        <v>89</v>
      </c>
      <c r="C362" t="s">
        <v>90</v>
      </c>
      <c r="D362" t="s">
        <v>451</v>
      </c>
      <c r="E362">
        <v>-360</v>
      </c>
      <c r="F362" t="s">
        <v>91</v>
      </c>
      <c r="G362" t="s">
        <v>92</v>
      </c>
    </row>
    <row r="363" spans="1:7">
      <c r="A363" t="s">
        <v>58</v>
      </c>
      <c r="B363" t="s">
        <v>89</v>
      </c>
      <c r="C363" t="s">
        <v>90</v>
      </c>
      <c r="D363" t="s">
        <v>452</v>
      </c>
      <c r="E363">
        <v>-361</v>
      </c>
      <c r="F363" t="s">
        <v>91</v>
      </c>
      <c r="G363" t="s">
        <v>92</v>
      </c>
    </row>
    <row r="364" spans="1:7">
      <c r="A364" t="s">
        <v>58</v>
      </c>
      <c r="B364" t="s">
        <v>89</v>
      </c>
      <c r="C364" t="s">
        <v>90</v>
      </c>
      <c r="D364" t="s">
        <v>453</v>
      </c>
      <c r="E364">
        <v>-362</v>
      </c>
      <c r="F364" t="s">
        <v>91</v>
      </c>
      <c r="G364" t="s">
        <v>92</v>
      </c>
    </row>
    <row r="365" spans="1:7">
      <c r="A365" t="s">
        <v>58</v>
      </c>
      <c r="B365" t="s">
        <v>89</v>
      </c>
      <c r="C365" t="s">
        <v>90</v>
      </c>
      <c r="D365" t="s">
        <v>454</v>
      </c>
      <c r="E365">
        <v>-363</v>
      </c>
      <c r="F365" t="s">
        <v>91</v>
      </c>
      <c r="G365" t="s">
        <v>92</v>
      </c>
    </row>
    <row r="366" spans="1:7">
      <c r="A366" t="s">
        <v>58</v>
      </c>
      <c r="B366" t="s">
        <v>89</v>
      </c>
      <c r="C366" t="s">
        <v>90</v>
      </c>
      <c r="D366" t="s">
        <v>455</v>
      </c>
      <c r="E366">
        <v>-364</v>
      </c>
      <c r="F366" t="s">
        <v>91</v>
      </c>
      <c r="G366" t="s">
        <v>92</v>
      </c>
    </row>
    <row r="367" spans="1:7">
      <c r="A367" t="s">
        <v>58</v>
      </c>
      <c r="B367" t="s">
        <v>89</v>
      </c>
      <c r="C367" t="s">
        <v>90</v>
      </c>
      <c r="D367" t="s">
        <v>456</v>
      </c>
      <c r="E367">
        <v>-365</v>
      </c>
      <c r="F367" t="s">
        <v>91</v>
      </c>
      <c r="G367" t="s">
        <v>92</v>
      </c>
    </row>
    <row r="368" spans="1:7">
      <c r="A368" t="s">
        <v>58</v>
      </c>
      <c r="B368" t="s">
        <v>89</v>
      </c>
      <c r="C368" t="s">
        <v>90</v>
      </c>
      <c r="D368" t="s">
        <v>457</v>
      </c>
      <c r="E368">
        <v>-366</v>
      </c>
      <c r="F368" t="s">
        <v>91</v>
      </c>
      <c r="G368" t="s">
        <v>92</v>
      </c>
    </row>
    <row r="369" spans="1:7">
      <c r="A369" t="s">
        <v>58</v>
      </c>
      <c r="B369" t="s">
        <v>89</v>
      </c>
      <c r="C369" t="s">
        <v>90</v>
      </c>
      <c r="D369" t="s">
        <v>458</v>
      </c>
      <c r="E369">
        <v>-367</v>
      </c>
      <c r="F369" t="s">
        <v>91</v>
      </c>
      <c r="G369" t="s">
        <v>92</v>
      </c>
    </row>
    <row r="370" spans="1:7">
      <c r="A370" t="s">
        <v>58</v>
      </c>
      <c r="B370" t="s">
        <v>89</v>
      </c>
      <c r="C370" t="s">
        <v>90</v>
      </c>
      <c r="D370" t="s">
        <v>459</v>
      </c>
      <c r="E370">
        <v>-368</v>
      </c>
      <c r="F370" t="s">
        <v>91</v>
      </c>
      <c r="G370" t="s">
        <v>92</v>
      </c>
    </row>
    <row r="371" spans="1:7">
      <c r="A371" t="s">
        <v>58</v>
      </c>
      <c r="B371" t="s">
        <v>89</v>
      </c>
      <c r="C371" t="s">
        <v>90</v>
      </c>
      <c r="D371" t="s">
        <v>460</v>
      </c>
      <c r="E371">
        <v>-369</v>
      </c>
      <c r="F371" t="s">
        <v>91</v>
      </c>
      <c r="G371" t="s">
        <v>92</v>
      </c>
    </row>
    <row r="372" spans="1:7">
      <c r="A372" t="s">
        <v>58</v>
      </c>
      <c r="B372" t="s">
        <v>89</v>
      </c>
      <c r="C372" t="s">
        <v>90</v>
      </c>
      <c r="D372" t="s">
        <v>461</v>
      </c>
      <c r="E372">
        <v>-370</v>
      </c>
      <c r="F372" t="s">
        <v>91</v>
      </c>
      <c r="G372" t="s">
        <v>92</v>
      </c>
    </row>
    <row r="373" spans="1:7">
      <c r="A373" t="s">
        <v>58</v>
      </c>
      <c r="B373" t="s">
        <v>89</v>
      </c>
      <c r="C373" t="s">
        <v>90</v>
      </c>
      <c r="D373" t="s">
        <v>462</v>
      </c>
      <c r="E373">
        <v>-371</v>
      </c>
      <c r="F373" t="s">
        <v>91</v>
      </c>
      <c r="G373" t="s">
        <v>92</v>
      </c>
    </row>
    <row r="374" spans="1:7">
      <c r="A374" t="s">
        <v>58</v>
      </c>
      <c r="B374" t="s">
        <v>89</v>
      </c>
      <c r="C374" t="s">
        <v>90</v>
      </c>
      <c r="D374" t="s">
        <v>463</v>
      </c>
      <c r="E374">
        <v>-372</v>
      </c>
      <c r="F374" t="s">
        <v>91</v>
      </c>
      <c r="G374" t="s">
        <v>92</v>
      </c>
    </row>
    <row r="375" spans="1:7">
      <c r="A375" t="s">
        <v>58</v>
      </c>
      <c r="B375" t="s">
        <v>89</v>
      </c>
      <c r="C375" t="s">
        <v>90</v>
      </c>
      <c r="D375" t="s">
        <v>464</v>
      </c>
      <c r="E375">
        <v>-373</v>
      </c>
      <c r="F375" t="s">
        <v>91</v>
      </c>
      <c r="G375" t="s">
        <v>92</v>
      </c>
    </row>
    <row r="376" spans="1:7">
      <c r="A376" t="s">
        <v>58</v>
      </c>
      <c r="B376" t="s">
        <v>89</v>
      </c>
      <c r="C376" t="s">
        <v>90</v>
      </c>
      <c r="D376" t="s">
        <v>465</v>
      </c>
      <c r="E376">
        <v>-374</v>
      </c>
      <c r="F376" t="s">
        <v>91</v>
      </c>
      <c r="G376" t="s">
        <v>92</v>
      </c>
    </row>
    <row r="377" spans="1:7">
      <c r="A377" t="s">
        <v>58</v>
      </c>
      <c r="B377" t="s">
        <v>89</v>
      </c>
      <c r="C377" t="s">
        <v>90</v>
      </c>
      <c r="D377" t="s">
        <v>466</v>
      </c>
      <c r="E377">
        <v>-375</v>
      </c>
      <c r="F377" t="s">
        <v>91</v>
      </c>
      <c r="G377" t="s">
        <v>92</v>
      </c>
    </row>
    <row r="378" spans="1:7">
      <c r="A378" t="s">
        <v>58</v>
      </c>
      <c r="B378" t="s">
        <v>89</v>
      </c>
      <c r="C378" t="s">
        <v>90</v>
      </c>
      <c r="D378" t="s">
        <v>467</v>
      </c>
      <c r="E378">
        <v>-376</v>
      </c>
      <c r="F378" t="s">
        <v>91</v>
      </c>
      <c r="G378" t="s">
        <v>92</v>
      </c>
    </row>
    <row r="379" spans="1:7">
      <c r="A379" t="s">
        <v>58</v>
      </c>
      <c r="B379" t="s">
        <v>89</v>
      </c>
      <c r="C379" t="s">
        <v>90</v>
      </c>
      <c r="D379" t="s">
        <v>468</v>
      </c>
      <c r="E379">
        <v>-377</v>
      </c>
      <c r="F379" t="s">
        <v>91</v>
      </c>
      <c r="G379" t="s">
        <v>92</v>
      </c>
    </row>
    <row r="380" spans="1:7">
      <c r="A380" t="s">
        <v>58</v>
      </c>
      <c r="B380" t="s">
        <v>89</v>
      </c>
      <c r="C380" t="s">
        <v>90</v>
      </c>
      <c r="D380" t="s">
        <v>469</v>
      </c>
      <c r="E380">
        <v>-378</v>
      </c>
      <c r="F380" t="s">
        <v>91</v>
      </c>
      <c r="G380" t="s">
        <v>92</v>
      </c>
    </row>
    <row r="381" spans="1:7">
      <c r="A381" t="s">
        <v>58</v>
      </c>
      <c r="B381" t="s">
        <v>89</v>
      </c>
      <c r="C381" t="s">
        <v>90</v>
      </c>
      <c r="D381" t="s">
        <v>470</v>
      </c>
      <c r="E381">
        <v>-379</v>
      </c>
      <c r="F381" t="s">
        <v>91</v>
      </c>
      <c r="G381" t="s">
        <v>92</v>
      </c>
    </row>
    <row r="382" spans="1:7">
      <c r="A382" t="s">
        <v>58</v>
      </c>
      <c r="B382" t="s">
        <v>89</v>
      </c>
      <c r="C382" t="s">
        <v>90</v>
      </c>
      <c r="D382" t="s">
        <v>471</v>
      </c>
      <c r="E382">
        <v>-380</v>
      </c>
      <c r="F382" t="s">
        <v>91</v>
      </c>
      <c r="G382" t="s">
        <v>92</v>
      </c>
    </row>
    <row r="383" spans="1:7">
      <c r="A383" t="s">
        <v>58</v>
      </c>
      <c r="B383" t="s">
        <v>89</v>
      </c>
      <c r="C383" t="s">
        <v>90</v>
      </c>
      <c r="D383" t="s">
        <v>472</v>
      </c>
      <c r="E383">
        <v>-381</v>
      </c>
      <c r="F383" t="s">
        <v>91</v>
      </c>
      <c r="G383" t="s">
        <v>92</v>
      </c>
    </row>
    <row r="384" spans="1:7">
      <c r="A384" t="s">
        <v>58</v>
      </c>
      <c r="B384" t="s">
        <v>89</v>
      </c>
      <c r="C384" t="s">
        <v>90</v>
      </c>
      <c r="D384" t="s">
        <v>473</v>
      </c>
      <c r="E384">
        <v>-382</v>
      </c>
      <c r="F384" t="s">
        <v>91</v>
      </c>
      <c r="G384" t="s">
        <v>92</v>
      </c>
    </row>
    <row r="385" spans="1:7">
      <c r="A385" t="s">
        <v>58</v>
      </c>
      <c r="B385" t="s">
        <v>89</v>
      </c>
      <c r="C385" t="s">
        <v>90</v>
      </c>
      <c r="D385" t="s">
        <v>474</v>
      </c>
      <c r="E385">
        <v>-383</v>
      </c>
      <c r="F385" t="s">
        <v>91</v>
      </c>
      <c r="G385" t="s">
        <v>92</v>
      </c>
    </row>
    <row r="386" spans="1:7">
      <c r="A386" t="s">
        <v>58</v>
      </c>
      <c r="B386" t="s">
        <v>89</v>
      </c>
      <c r="C386" t="s">
        <v>90</v>
      </c>
      <c r="D386" t="s">
        <v>475</v>
      </c>
      <c r="E386">
        <v>-384</v>
      </c>
      <c r="F386" t="s">
        <v>91</v>
      </c>
      <c r="G386" t="s">
        <v>92</v>
      </c>
    </row>
    <row r="387" spans="1:7">
      <c r="A387" t="s">
        <v>58</v>
      </c>
      <c r="B387" t="s">
        <v>89</v>
      </c>
      <c r="C387" t="s">
        <v>90</v>
      </c>
      <c r="D387" t="s">
        <v>476</v>
      </c>
      <c r="E387">
        <v>-385</v>
      </c>
      <c r="F387" t="s">
        <v>91</v>
      </c>
      <c r="G387" t="s">
        <v>92</v>
      </c>
    </row>
    <row r="388" spans="1:7">
      <c r="A388" t="s">
        <v>58</v>
      </c>
      <c r="B388" t="s">
        <v>89</v>
      </c>
      <c r="C388" t="s">
        <v>90</v>
      </c>
      <c r="D388" t="s">
        <v>477</v>
      </c>
      <c r="E388">
        <v>-386</v>
      </c>
      <c r="F388" t="s">
        <v>91</v>
      </c>
      <c r="G388" t="s">
        <v>92</v>
      </c>
    </row>
    <row r="389" spans="1:7">
      <c r="A389" t="s">
        <v>58</v>
      </c>
      <c r="B389" t="s">
        <v>89</v>
      </c>
      <c r="C389" t="s">
        <v>90</v>
      </c>
      <c r="D389" t="s">
        <v>478</v>
      </c>
      <c r="E389">
        <v>-387</v>
      </c>
      <c r="F389" t="s">
        <v>91</v>
      </c>
      <c r="G389" t="s">
        <v>92</v>
      </c>
    </row>
    <row r="390" spans="1:7">
      <c r="A390" t="s">
        <v>58</v>
      </c>
      <c r="B390" t="s">
        <v>89</v>
      </c>
      <c r="C390" t="s">
        <v>90</v>
      </c>
      <c r="D390" t="s">
        <v>479</v>
      </c>
      <c r="E390">
        <v>-388</v>
      </c>
      <c r="F390" t="s">
        <v>91</v>
      </c>
      <c r="G390" t="s">
        <v>92</v>
      </c>
    </row>
    <row r="391" spans="1:7">
      <c r="A391" t="s">
        <v>58</v>
      </c>
      <c r="B391" t="s">
        <v>89</v>
      </c>
      <c r="C391" t="s">
        <v>90</v>
      </c>
      <c r="D391" t="s">
        <v>480</v>
      </c>
      <c r="E391">
        <v>-389</v>
      </c>
      <c r="F391" t="s">
        <v>91</v>
      </c>
      <c r="G391" t="s">
        <v>92</v>
      </c>
    </row>
    <row r="392" spans="1:7">
      <c r="A392" t="s">
        <v>58</v>
      </c>
      <c r="B392" t="s">
        <v>89</v>
      </c>
      <c r="C392" t="s">
        <v>90</v>
      </c>
      <c r="D392" t="s">
        <v>481</v>
      </c>
      <c r="E392">
        <v>-390</v>
      </c>
      <c r="F392" t="s">
        <v>91</v>
      </c>
      <c r="G392" t="s">
        <v>92</v>
      </c>
    </row>
    <row r="393" spans="1:7">
      <c r="A393" t="s">
        <v>58</v>
      </c>
      <c r="B393" t="s">
        <v>89</v>
      </c>
      <c r="C393" t="s">
        <v>90</v>
      </c>
      <c r="D393" t="s">
        <v>482</v>
      </c>
      <c r="E393">
        <v>-391</v>
      </c>
      <c r="F393" t="s">
        <v>91</v>
      </c>
      <c r="G393" t="s">
        <v>92</v>
      </c>
    </row>
    <row r="394" spans="1:7">
      <c r="A394" t="s">
        <v>58</v>
      </c>
      <c r="B394" t="s">
        <v>89</v>
      </c>
      <c r="C394" t="s">
        <v>90</v>
      </c>
      <c r="D394" t="s">
        <v>483</v>
      </c>
      <c r="E394">
        <v>-392</v>
      </c>
      <c r="F394" t="s">
        <v>91</v>
      </c>
      <c r="G394" t="s">
        <v>92</v>
      </c>
    </row>
    <row r="395" spans="1:7">
      <c r="A395" t="s">
        <v>58</v>
      </c>
      <c r="B395" t="s">
        <v>89</v>
      </c>
      <c r="C395" t="s">
        <v>90</v>
      </c>
      <c r="D395" t="s">
        <v>484</v>
      </c>
      <c r="E395">
        <v>-393</v>
      </c>
      <c r="F395" t="s">
        <v>91</v>
      </c>
      <c r="G395" t="s">
        <v>92</v>
      </c>
    </row>
    <row r="396" spans="1:7">
      <c r="A396" t="s">
        <v>58</v>
      </c>
      <c r="B396" t="s">
        <v>89</v>
      </c>
      <c r="C396" t="s">
        <v>90</v>
      </c>
      <c r="D396" t="s">
        <v>485</v>
      </c>
      <c r="E396">
        <v>-394</v>
      </c>
      <c r="F396" t="s">
        <v>91</v>
      </c>
      <c r="G396" t="s">
        <v>92</v>
      </c>
    </row>
    <row r="397" spans="1:7">
      <c r="A397" t="s">
        <v>58</v>
      </c>
      <c r="B397" t="s">
        <v>89</v>
      </c>
      <c r="C397" t="s">
        <v>90</v>
      </c>
      <c r="D397" t="s">
        <v>486</v>
      </c>
      <c r="E397">
        <v>-395</v>
      </c>
      <c r="F397" t="s">
        <v>91</v>
      </c>
      <c r="G397" t="s">
        <v>92</v>
      </c>
    </row>
    <row r="398" spans="1:7">
      <c r="A398" t="s">
        <v>58</v>
      </c>
      <c r="B398" t="s">
        <v>89</v>
      </c>
      <c r="C398" t="s">
        <v>90</v>
      </c>
      <c r="D398" t="s">
        <v>487</v>
      </c>
      <c r="E398">
        <v>-396</v>
      </c>
      <c r="F398" t="s">
        <v>91</v>
      </c>
      <c r="G398" t="s">
        <v>92</v>
      </c>
    </row>
    <row r="399" spans="1:7">
      <c r="A399" t="s">
        <v>58</v>
      </c>
      <c r="B399" t="s">
        <v>89</v>
      </c>
      <c r="C399" t="s">
        <v>90</v>
      </c>
      <c r="D399" t="s">
        <v>488</v>
      </c>
      <c r="E399">
        <v>-397</v>
      </c>
      <c r="F399" t="s">
        <v>91</v>
      </c>
      <c r="G399" t="s">
        <v>92</v>
      </c>
    </row>
    <row r="400" spans="1:7">
      <c r="A400" t="s">
        <v>58</v>
      </c>
      <c r="B400" t="s">
        <v>89</v>
      </c>
      <c r="C400" t="s">
        <v>90</v>
      </c>
      <c r="D400" t="s">
        <v>489</v>
      </c>
      <c r="E400">
        <v>-398</v>
      </c>
      <c r="F400" t="s">
        <v>91</v>
      </c>
      <c r="G400" t="s">
        <v>92</v>
      </c>
    </row>
    <row r="401" spans="1:7">
      <c r="A401" t="s">
        <v>58</v>
      </c>
      <c r="B401" t="s">
        <v>89</v>
      </c>
      <c r="C401" t="s">
        <v>90</v>
      </c>
      <c r="D401" t="s">
        <v>490</v>
      </c>
      <c r="E401">
        <v>-399</v>
      </c>
      <c r="F401" t="s">
        <v>91</v>
      </c>
      <c r="G401" t="s">
        <v>92</v>
      </c>
    </row>
    <row r="402" spans="1:7">
      <c r="A402" t="s">
        <v>58</v>
      </c>
      <c r="B402" t="s">
        <v>89</v>
      </c>
      <c r="C402" t="s">
        <v>90</v>
      </c>
      <c r="D402" t="s">
        <v>491</v>
      </c>
      <c r="E402">
        <v>-400</v>
      </c>
      <c r="F402" t="s">
        <v>91</v>
      </c>
      <c r="G402" t="s">
        <v>92</v>
      </c>
    </row>
    <row r="403" spans="1:7">
      <c r="A403" t="s">
        <v>58</v>
      </c>
      <c r="B403" t="s">
        <v>89</v>
      </c>
      <c r="C403" t="s">
        <v>90</v>
      </c>
      <c r="D403" t="s">
        <v>492</v>
      </c>
      <c r="E403">
        <v>-401</v>
      </c>
      <c r="F403" t="s">
        <v>91</v>
      </c>
      <c r="G403" t="s">
        <v>92</v>
      </c>
    </row>
    <row r="404" spans="1:7">
      <c r="A404" t="s">
        <v>58</v>
      </c>
      <c r="B404" t="s">
        <v>89</v>
      </c>
      <c r="C404" t="s">
        <v>90</v>
      </c>
      <c r="D404" t="s">
        <v>493</v>
      </c>
      <c r="E404">
        <v>-402</v>
      </c>
      <c r="F404" t="s">
        <v>91</v>
      </c>
      <c r="G404" t="s">
        <v>92</v>
      </c>
    </row>
    <row r="405" spans="1:7">
      <c r="A405" t="s">
        <v>58</v>
      </c>
      <c r="B405" t="s">
        <v>89</v>
      </c>
      <c r="C405" t="s">
        <v>90</v>
      </c>
      <c r="D405" t="s">
        <v>494</v>
      </c>
      <c r="E405">
        <v>-403</v>
      </c>
      <c r="F405" t="s">
        <v>91</v>
      </c>
      <c r="G405" t="s">
        <v>92</v>
      </c>
    </row>
    <row r="406" spans="1:7">
      <c r="A406" t="s">
        <v>58</v>
      </c>
      <c r="B406" t="s">
        <v>89</v>
      </c>
      <c r="C406" t="s">
        <v>90</v>
      </c>
      <c r="D406" t="s">
        <v>495</v>
      </c>
      <c r="E406">
        <v>-404</v>
      </c>
      <c r="F406" t="s">
        <v>91</v>
      </c>
      <c r="G406" t="s">
        <v>92</v>
      </c>
    </row>
    <row r="407" spans="1:7">
      <c r="A407" t="s">
        <v>58</v>
      </c>
      <c r="B407" t="s">
        <v>89</v>
      </c>
      <c r="C407" t="s">
        <v>90</v>
      </c>
      <c r="D407" t="s">
        <v>496</v>
      </c>
      <c r="E407">
        <v>-405</v>
      </c>
      <c r="F407" t="s">
        <v>91</v>
      </c>
      <c r="G407" t="s">
        <v>92</v>
      </c>
    </row>
    <row r="408" spans="1:7">
      <c r="A408" t="s">
        <v>58</v>
      </c>
      <c r="B408" t="s">
        <v>89</v>
      </c>
      <c r="C408" t="s">
        <v>90</v>
      </c>
      <c r="D408" t="s">
        <v>497</v>
      </c>
      <c r="E408">
        <v>-406</v>
      </c>
      <c r="F408" t="s">
        <v>91</v>
      </c>
      <c r="G408" t="s">
        <v>92</v>
      </c>
    </row>
    <row r="409" spans="1:7">
      <c r="A409" t="s">
        <v>58</v>
      </c>
      <c r="B409" t="s">
        <v>89</v>
      </c>
      <c r="C409" t="s">
        <v>90</v>
      </c>
      <c r="D409" t="s">
        <v>498</v>
      </c>
      <c r="E409">
        <v>-407</v>
      </c>
      <c r="F409" t="s">
        <v>91</v>
      </c>
      <c r="G409" t="s">
        <v>92</v>
      </c>
    </row>
    <row r="410" spans="1:7">
      <c r="A410" t="s">
        <v>58</v>
      </c>
      <c r="B410" t="s">
        <v>89</v>
      </c>
      <c r="C410" t="s">
        <v>90</v>
      </c>
      <c r="D410" t="s">
        <v>499</v>
      </c>
      <c r="E410">
        <v>-408</v>
      </c>
      <c r="F410" t="s">
        <v>91</v>
      </c>
      <c r="G410" t="s">
        <v>92</v>
      </c>
    </row>
    <row r="411" spans="1:7">
      <c r="A411" t="s">
        <v>58</v>
      </c>
      <c r="B411" t="s">
        <v>89</v>
      </c>
      <c r="C411" t="s">
        <v>90</v>
      </c>
      <c r="D411" t="s">
        <v>500</v>
      </c>
      <c r="E411">
        <v>-409</v>
      </c>
      <c r="F411" t="s">
        <v>91</v>
      </c>
      <c r="G411" t="s">
        <v>92</v>
      </c>
    </row>
    <row r="412" spans="1:7">
      <c r="A412" t="s">
        <v>58</v>
      </c>
      <c r="B412" t="s">
        <v>89</v>
      </c>
      <c r="C412" t="s">
        <v>90</v>
      </c>
      <c r="D412" t="s">
        <v>501</v>
      </c>
      <c r="E412">
        <v>-410</v>
      </c>
      <c r="F412" t="s">
        <v>91</v>
      </c>
      <c r="G412" t="s">
        <v>92</v>
      </c>
    </row>
    <row r="413" spans="1:7">
      <c r="A413" t="s">
        <v>58</v>
      </c>
      <c r="B413" t="s">
        <v>89</v>
      </c>
      <c r="C413" t="s">
        <v>90</v>
      </c>
      <c r="D413" t="s">
        <v>502</v>
      </c>
      <c r="E413">
        <v>-411</v>
      </c>
      <c r="F413" t="s">
        <v>91</v>
      </c>
      <c r="G413" t="s">
        <v>92</v>
      </c>
    </row>
    <row r="414" spans="1:7">
      <c r="A414" t="s">
        <v>58</v>
      </c>
      <c r="B414" t="s">
        <v>89</v>
      </c>
      <c r="C414" t="s">
        <v>90</v>
      </c>
      <c r="D414" t="s">
        <v>503</v>
      </c>
      <c r="E414">
        <v>-412</v>
      </c>
      <c r="F414" t="s">
        <v>91</v>
      </c>
      <c r="G414" t="s">
        <v>92</v>
      </c>
    </row>
    <row r="415" spans="1:7">
      <c r="A415" t="s">
        <v>58</v>
      </c>
      <c r="B415" t="s">
        <v>89</v>
      </c>
      <c r="C415" t="s">
        <v>90</v>
      </c>
      <c r="D415" t="s">
        <v>504</v>
      </c>
      <c r="E415">
        <v>-413</v>
      </c>
      <c r="F415" t="s">
        <v>91</v>
      </c>
      <c r="G415" t="s">
        <v>92</v>
      </c>
    </row>
    <row r="416" spans="1:7">
      <c r="A416" t="s">
        <v>58</v>
      </c>
      <c r="B416" t="s">
        <v>89</v>
      </c>
      <c r="C416" t="s">
        <v>90</v>
      </c>
      <c r="D416" t="s">
        <v>505</v>
      </c>
      <c r="E416">
        <v>-414</v>
      </c>
      <c r="F416" t="s">
        <v>91</v>
      </c>
      <c r="G416" t="s">
        <v>92</v>
      </c>
    </row>
    <row r="417" spans="1:7">
      <c r="A417" t="s">
        <v>58</v>
      </c>
      <c r="B417" t="s">
        <v>89</v>
      </c>
      <c r="C417" t="s">
        <v>90</v>
      </c>
      <c r="D417" t="s">
        <v>506</v>
      </c>
      <c r="E417">
        <v>-415</v>
      </c>
      <c r="F417" t="s">
        <v>91</v>
      </c>
      <c r="G417" t="s">
        <v>92</v>
      </c>
    </row>
    <row r="418" spans="1:7">
      <c r="A418" t="s">
        <v>58</v>
      </c>
      <c r="B418" t="s">
        <v>89</v>
      </c>
      <c r="C418" t="s">
        <v>90</v>
      </c>
      <c r="D418" t="s">
        <v>507</v>
      </c>
      <c r="E418">
        <v>-416</v>
      </c>
      <c r="F418" t="s">
        <v>91</v>
      </c>
      <c r="G418" t="s">
        <v>92</v>
      </c>
    </row>
    <row r="419" spans="1:7">
      <c r="A419" t="s">
        <v>58</v>
      </c>
      <c r="B419" t="s">
        <v>89</v>
      </c>
      <c r="C419" t="s">
        <v>90</v>
      </c>
      <c r="D419" t="s">
        <v>508</v>
      </c>
      <c r="E419">
        <v>-417</v>
      </c>
      <c r="F419" t="s">
        <v>91</v>
      </c>
      <c r="G419" t="s">
        <v>92</v>
      </c>
    </row>
    <row r="420" spans="1:7">
      <c r="A420" t="s">
        <v>58</v>
      </c>
      <c r="B420" t="s">
        <v>89</v>
      </c>
      <c r="C420" t="s">
        <v>90</v>
      </c>
      <c r="D420" t="s">
        <v>509</v>
      </c>
      <c r="E420">
        <v>-418</v>
      </c>
      <c r="F420" t="s">
        <v>91</v>
      </c>
      <c r="G420" t="s">
        <v>92</v>
      </c>
    </row>
    <row r="421" spans="1:7">
      <c r="A421" t="s">
        <v>58</v>
      </c>
      <c r="B421" t="s">
        <v>89</v>
      </c>
      <c r="C421" t="s">
        <v>90</v>
      </c>
      <c r="D421" t="s">
        <v>510</v>
      </c>
      <c r="E421">
        <v>-419</v>
      </c>
      <c r="F421" t="s">
        <v>91</v>
      </c>
      <c r="G421" t="s">
        <v>92</v>
      </c>
    </row>
    <row r="422" spans="1:7">
      <c r="A422" t="s">
        <v>58</v>
      </c>
      <c r="B422" t="s">
        <v>89</v>
      </c>
      <c r="C422" t="s">
        <v>90</v>
      </c>
      <c r="D422" t="s">
        <v>511</v>
      </c>
      <c r="E422">
        <v>-420</v>
      </c>
      <c r="F422" t="s">
        <v>91</v>
      </c>
      <c r="G422" t="s">
        <v>92</v>
      </c>
    </row>
    <row r="423" spans="1:7">
      <c r="A423" t="s">
        <v>58</v>
      </c>
      <c r="B423" t="s">
        <v>89</v>
      </c>
      <c r="C423" t="s">
        <v>90</v>
      </c>
      <c r="D423" t="s">
        <v>512</v>
      </c>
      <c r="E423">
        <v>-421</v>
      </c>
      <c r="F423" t="s">
        <v>91</v>
      </c>
      <c r="G423" t="s">
        <v>92</v>
      </c>
    </row>
    <row r="424" spans="1:7">
      <c r="A424" t="s">
        <v>58</v>
      </c>
      <c r="B424" t="s">
        <v>89</v>
      </c>
      <c r="C424" t="s">
        <v>90</v>
      </c>
      <c r="D424" t="s">
        <v>513</v>
      </c>
      <c r="E424">
        <v>-422</v>
      </c>
      <c r="F424" t="s">
        <v>91</v>
      </c>
      <c r="G424" t="s">
        <v>92</v>
      </c>
    </row>
    <row r="425" spans="1:7">
      <c r="A425" t="s">
        <v>58</v>
      </c>
      <c r="B425" t="s">
        <v>89</v>
      </c>
      <c r="C425" t="s">
        <v>90</v>
      </c>
      <c r="D425" t="s">
        <v>514</v>
      </c>
      <c r="E425">
        <v>-423</v>
      </c>
      <c r="F425" t="s">
        <v>91</v>
      </c>
      <c r="G425" t="s">
        <v>92</v>
      </c>
    </row>
    <row r="426" spans="1:7">
      <c r="A426" t="s">
        <v>58</v>
      </c>
      <c r="B426" t="s">
        <v>89</v>
      </c>
      <c r="C426" t="s">
        <v>90</v>
      </c>
      <c r="D426" t="s">
        <v>515</v>
      </c>
      <c r="E426">
        <v>-424</v>
      </c>
      <c r="F426" t="s">
        <v>91</v>
      </c>
      <c r="G426" t="s">
        <v>92</v>
      </c>
    </row>
    <row r="427" spans="1:7">
      <c r="A427" t="s">
        <v>58</v>
      </c>
      <c r="B427" t="s">
        <v>89</v>
      </c>
      <c r="C427" t="s">
        <v>90</v>
      </c>
      <c r="D427" t="s">
        <v>516</v>
      </c>
      <c r="E427">
        <v>-425</v>
      </c>
      <c r="F427" t="s">
        <v>91</v>
      </c>
      <c r="G427" t="s">
        <v>92</v>
      </c>
    </row>
    <row r="428" spans="1:7">
      <c r="A428" t="s">
        <v>58</v>
      </c>
      <c r="B428" t="s">
        <v>89</v>
      </c>
      <c r="C428" t="s">
        <v>90</v>
      </c>
      <c r="D428" t="s">
        <v>517</v>
      </c>
      <c r="E428">
        <v>-426</v>
      </c>
      <c r="F428" t="s">
        <v>91</v>
      </c>
      <c r="G428" t="s">
        <v>92</v>
      </c>
    </row>
    <row r="429" spans="1:7">
      <c r="A429" t="s">
        <v>58</v>
      </c>
      <c r="B429" t="s">
        <v>89</v>
      </c>
      <c r="C429" t="s">
        <v>90</v>
      </c>
      <c r="D429" t="s">
        <v>518</v>
      </c>
      <c r="E429">
        <v>-427</v>
      </c>
      <c r="F429" t="s">
        <v>91</v>
      </c>
      <c r="G429" t="s">
        <v>92</v>
      </c>
    </row>
    <row r="430" spans="1:7">
      <c r="A430" t="s">
        <v>58</v>
      </c>
      <c r="B430" t="s">
        <v>89</v>
      </c>
      <c r="C430" t="s">
        <v>90</v>
      </c>
      <c r="D430" t="s">
        <v>519</v>
      </c>
      <c r="E430">
        <v>-428</v>
      </c>
      <c r="F430" t="s">
        <v>91</v>
      </c>
      <c r="G430" t="s">
        <v>92</v>
      </c>
    </row>
    <row r="431" spans="1:7">
      <c r="A431" t="s">
        <v>58</v>
      </c>
      <c r="B431" t="s">
        <v>89</v>
      </c>
      <c r="C431" t="s">
        <v>90</v>
      </c>
      <c r="D431" t="s">
        <v>520</v>
      </c>
      <c r="E431">
        <v>-429</v>
      </c>
      <c r="F431" t="s">
        <v>91</v>
      </c>
      <c r="G431" t="s">
        <v>92</v>
      </c>
    </row>
    <row r="432" spans="1:7">
      <c r="A432" t="s">
        <v>58</v>
      </c>
      <c r="B432" t="s">
        <v>89</v>
      </c>
      <c r="C432" t="s">
        <v>90</v>
      </c>
      <c r="D432" t="s">
        <v>521</v>
      </c>
      <c r="E432">
        <v>-430</v>
      </c>
      <c r="F432" t="s">
        <v>91</v>
      </c>
      <c r="G432" t="s">
        <v>92</v>
      </c>
    </row>
    <row r="433" spans="1:7">
      <c r="A433" t="s">
        <v>58</v>
      </c>
      <c r="B433" t="s">
        <v>89</v>
      </c>
      <c r="C433" t="s">
        <v>90</v>
      </c>
      <c r="D433" t="s">
        <v>522</v>
      </c>
      <c r="E433">
        <v>-431</v>
      </c>
      <c r="F433" t="s">
        <v>91</v>
      </c>
      <c r="G433" t="s">
        <v>92</v>
      </c>
    </row>
    <row r="434" spans="1:7">
      <c r="A434" t="s">
        <v>58</v>
      </c>
      <c r="B434" t="s">
        <v>89</v>
      </c>
      <c r="C434" t="s">
        <v>90</v>
      </c>
      <c r="D434" t="s">
        <v>523</v>
      </c>
      <c r="E434">
        <v>-432</v>
      </c>
      <c r="F434" t="s">
        <v>91</v>
      </c>
      <c r="G434" t="s">
        <v>92</v>
      </c>
    </row>
    <row r="435" spans="1:7">
      <c r="A435" t="s">
        <v>58</v>
      </c>
      <c r="B435" t="s">
        <v>89</v>
      </c>
      <c r="C435" t="s">
        <v>90</v>
      </c>
      <c r="D435" t="s">
        <v>524</v>
      </c>
      <c r="E435">
        <v>-433</v>
      </c>
      <c r="F435" t="s">
        <v>91</v>
      </c>
      <c r="G435" t="s">
        <v>92</v>
      </c>
    </row>
    <row r="436" spans="1:7">
      <c r="A436" t="s">
        <v>58</v>
      </c>
      <c r="B436" t="s">
        <v>89</v>
      </c>
      <c r="C436" t="s">
        <v>90</v>
      </c>
      <c r="D436" t="s">
        <v>525</v>
      </c>
      <c r="E436">
        <v>-434</v>
      </c>
      <c r="F436" t="s">
        <v>91</v>
      </c>
      <c r="G436" t="s">
        <v>92</v>
      </c>
    </row>
    <row r="437" spans="1:7">
      <c r="A437" t="s">
        <v>58</v>
      </c>
      <c r="B437" t="s">
        <v>89</v>
      </c>
      <c r="C437" t="s">
        <v>90</v>
      </c>
      <c r="D437" t="s">
        <v>526</v>
      </c>
      <c r="E437">
        <v>-435</v>
      </c>
      <c r="F437" t="s">
        <v>91</v>
      </c>
      <c r="G437" t="s">
        <v>92</v>
      </c>
    </row>
    <row r="438" spans="1:7">
      <c r="A438" t="s">
        <v>58</v>
      </c>
      <c r="B438" t="s">
        <v>89</v>
      </c>
      <c r="C438" t="s">
        <v>90</v>
      </c>
      <c r="D438" t="s">
        <v>527</v>
      </c>
      <c r="E438">
        <v>-436</v>
      </c>
      <c r="F438" t="s">
        <v>91</v>
      </c>
      <c r="G438" t="s">
        <v>92</v>
      </c>
    </row>
    <row r="439" spans="1:7">
      <c r="A439" t="s">
        <v>58</v>
      </c>
      <c r="B439" t="s">
        <v>89</v>
      </c>
      <c r="C439" t="s">
        <v>90</v>
      </c>
      <c r="D439" t="s">
        <v>528</v>
      </c>
      <c r="E439">
        <v>-437</v>
      </c>
      <c r="F439" t="s">
        <v>91</v>
      </c>
      <c r="G439" t="s">
        <v>92</v>
      </c>
    </row>
    <row r="440" spans="1:7">
      <c r="A440" t="s">
        <v>58</v>
      </c>
      <c r="B440" t="s">
        <v>89</v>
      </c>
      <c r="C440" t="s">
        <v>90</v>
      </c>
      <c r="D440" t="s">
        <v>529</v>
      </c>
      <c r="E440">
        <v>-438</v>
      </c>
      <c r="F440" t="s">
        <v>91</v>
      </c>
      <c r="G440" t="s">
        <v>92</v>
      </c>
    </row>
    <row r="441" spans="1:7">
      <c r="A441" t="s">
        <v>58</v>
      </c>
      <c r="B441" t="s">
        <v>89</v>
      </c>
      <c r="C441" t="s">
        <v>90</v>
      </c>
      <c r="D441" t="s">
        <v>530</v>
      </c>
      <c r="E441">
        <v>-439</v>
      </c>
      <c r="F441" t="s">
        <v>91</v>
      </c>
      <c r="G441" t="s">
        <v>92</v>
      </c>
    </row>
    <row r="442" spans="1:7">
      <c r="A442" t="s">
        <v>58</v>
      </c>
      <c r="B442" t="s">
        <v>89</v>
      </c>
      <c r="C442" t="s">
        <v>90</v>
      </c>
      <c r="D442" t="s">
        <v>531</v>
      </c>
      <c r="E442">
        <v>-440</v>
      </c>
      <c r="F442" t="s">
        <v>91</v>
      </c>
      <c r="G442" t="s">
        <v>92</v>
      </c>
    </row>
    <row r="443" spans="1:7">
      <c r="A443" t="s">
        <v>58</v>
      </c>
      <c r="B443" t="s">
        <v>89</v>
      </c>
      <c r="C443" t="s">
        <v>90</v>
      </c>
      <c r="D443" t="s">
        <v>532</v>
      </c>
      <c r="E443">
        <v>-441</v>
      </c>
      <c r="F443" t="s">
        <v>91</v>
      </c>
      <c r="G443" t="s">
        <v>92</v>
      </c>
    </row>
    <row r="444" spans="1:7">
      <c r="A444" t="s">
        <v>58</v>
      </c>
      <c r="B444" t="s">
        <v>89</v>
      </c>
      <c r="C444" t="s">
        <v>90</v>
      </c>
      <c r="D444" t="s">
        <v>533</v>
      </c>
      <c r="E444">
        <v>-442</v>
      </c>
      <c r="F444" t="s">
        <v>91</v>
      </c>
      <c r="G444" t="s">
        <v>92</v>
      </c>
    </row>
    <row r="445" spans="1:7">
      <c r="A445" t="s">
        <v>58</v>
      </c>
      <c r="B445" t="s">
        <v>89</v>
      </c>
      <c r="C445" t="s">
        <v>90</v>
      </c>
      <c r="D445" t="s">
        <v>534</v>
      </c>
      <c r="E445">
        <v>-443</v>
      </c>
      <c r="F445" t="s">
        <v>91</v>
      </c>
      <c r="G445" t="s">
        <v>92</v>
      </c>
    </row>
    <row r="446" spans="1:7">
      <c r="A446" t="s">
        <v>58</v>
      </c>
      <c r="B446" t="s">
        <v>89</v>
      </c>
      <c r="C446" t="s">
        <v>90</v>
      </c>
      <c r="D446" t="s">
        <v>535</v>
      </c>
      <c r="E446">
        <v>-444</v>
      </c>
      <c r="F446" t="s">
        <v>91</v>
      </c>
      <c r="G446" t="s">
        <v>92</v>
      </c>
    </row>
    <row r="447" spans="1:7">
      <c r="A447" t="s">
        <v>58</v>
      </c>
      <c r="B447" t="s">
        <v>89</v>
      </c>
      <c r="C447" t="s">
        <v>90</v>
      </c>
      <c r="D447" t="s">
        <v>536</v>
      </c>
      <c r="E447">
        <v>-445</v>
      </c>
      <c r="F447" t="s">
        <v>91</v>
      </c>
      <c r="G447" t="s">
        <v>92</v>
      </c>
    </row>
    <row r="448" spans="1:7">
      <c r="A448" t="s">
        <v>58</v>
      </c>
      <c r="B448" t="s">
        <v>89</v>
      </c>
      <c r="C448" t="s">
        <v>90</v>
      </c>
      <c r="D448" t="s">
        <v>537</v>
      </c>
      <c r="E448">
        <v>-446</v>
      </c>
      <c r="F448" t="s">
        <v>91</v>
      </c>
      <c r="G448" t="s">
        <v>92</v>
      </c>
    </row>
    <row r="449" spans="1:7">
      <c r="A449" t="s">
        <v>58</v>
      </c>
      <c r="B449" t="s">
        <v>89</v>
      </c>
      <c r="C449" t="s">
        <v>90</v>
      </c>
      <c r="D449" t="s">
        <v>538</v>
      </c>
      <c r="E449">
        <v>-447</v>
      </c>
      <c r="F449" t="s">
        <v>91</v>
      </c>
      <c r="G449" t="s">
        <v>92</v>
      </c>
    </row>
    <row r="450" spans="1:7">
      <c r="A450" t="s">
        <v>58</v>
      </c>
      <c r="B450" t="s">
        <v>89</v>
      </c>
      <c r="C450" t="s">
        <v>90</v>
      </c>
      <c r="D450" t="s">
        <v>539</v>
      </c>
      <c r="E450">
        <v>-448</v>
      </c>
      <c r="F450" t="s">
        <v>91</v>
      </c>
      <c r="G450" t="s">
        <v>92</v>
      </c>
    </row>
    <row r="451" spans="1:7">
      <c r="A451" t="s">
        <v>58</v>
      </c>
      <c r="B451" t="s">
        <v>89</v>
      </c>
      <c r="C451" t="s">
        <v>90</v>
      </c>
      <c r="D451" t="s">
        <v>540</v>
      </c>
      <c r="E451">
        <v>-449</v>
      </c>
      <c r="F451" t="s">
        <v>91</v>
      </c>
      <c r="G451" t="s">
        <v>92</v>
      </c>
    </row>
    <row r="452" spans="1:7">
      <c r="A452" t="s">
        <v>58</v>
      </c>
      <c r="B452" t="s">
        <v>89</v>
      </c>
      <c r="C452" t="s">
        <v>90</v>
      </c>
      <c r="D452" t="s">
        <v>541</v>
      </c>
      <c r="E452">
        <v>-450</v>
      </c>
      <c r="F452" t="s">
        <v>91</v>
      </c>
      <c r="G452" t="s">
        <v>92</v>
      </c>
    </row>
    <row r="453" spans="1:7">
      <c r="A453" t="s">
        <v>58</v>
      </c>
      <c r="B453" t="s">
        <v>89</v>
      </c>
      <c r="C453" t="s">
        <v>90</v>
      </c>
      <c r="D453" t="s">
        <v>542</v>
      </c>
      <c r="E453">
        <v>-451</v>
      </c>
      <c r="F453" t="s">
        <v>91</v>
      </c>
      <c r="G453" t="s">
        <v>92</v>
      </c>
    </row>
    <row r="454" spans="1:7">
      <c r="A454" t="s">
        <v>58</v>
      </c>
      <c r="B454" t="s">
        <v>89</v>
      </c>
      <c r="C454" t="s">
        <v>90</v>
      </c>
      <c r="D454" t="s">
        <v>543</v>
      </c>
      <c r="E454">
        <v>-452</v>
      </c>
      <c r="F454" t="s">
        <v>91</v>
      </c>
      <c r="G454" t="s">
        <v>92</v>
      </c>
    </row>
    <row r="455" spans="1:7">
      <c r="A455" t="s">
        <v>58</v>
      </c>
      <c r="B455" t="s">
        <v>89</v>
      </c>
      <c r="C455" t="s">
        <v>90</v>
      </c>
      <c r="D455" t="s">
        <v>544</v>
      </c>
      <c r="E455">
        <v>-453</v>
      </c>
      <c r="F455" t="s">
        <v>91</v>
      </c>
      <c r="G455" t="s">
        <v>92</v>
      </c>
    </row>
    <row r="456" spans="1:7">
      <c r="A456" t="s">
        <v>58</v>
      </c>
      <c r="B456" t="s">
        <v>89</v>
      </c>
      <c r="C456" t="s">
        <v>90</v>
      </c>
      <c r="D456" t="s">
        <v>545</v>
      </c>
      <c r="E456">
        <v>-454</v>
      </c>
      <c r="F456" t="s">
        <v>91</v>
      </c>
      <c r="G456" t="s">
        <v>92</v>
      </c>
    </row>
    <row r="457" spans="1:7">
      <c r="A457" t="s">
        <v>58</v>
      </c>
      <c r="B457" t="s">
        <v>89</v>
      </c>
      <c r="C457" t="s">
        <v>90</v>
      </c>
      <c r="D457" t="s">
        <v>546</v>
      </c>
      <c r="E457">
        <v>-455</v>
      </c>
      <c r="F457" t="s">
        <v>91</v>
      </c>
      <c r="G457" t="s">
        <v>92</v>
      </c>
    </row>
    <row r="458" spans="1:7">
      <c r="A458" t="s">
        <v>58</v>
      </c>
      <c r="B458" t="s">
        <v>89</v>
      </c>
      <c r="C458" t="s">
        <v>90</v>
      </c>
      <c r="D458" t="s">
        <v>547</v>
      </c>
      <c r="E458">
        <v>-456</v>
      </c>
      <c r="F458" t="s">
        <v>91</v>
      </c>
      <c r="G458" t="s">
        <v>92</v>
      </c>
    </row>
    <row r="459" spans="1:7">
      <c r="A459" t="s">
        <v>58</v>
      </c>
      <c r="B459" t="s">
        <v>89</v>
      </c>
      <c r="C459" t="s">
        <v>90</v>
      </c>
      <c r="D459" t="s">
        <v>548</v>
      </c>
      <c r="E459">
        <v>-457</v>
      </c>
      <c r="F459" t="s">
        <v>91</v>
      </c>
      <c r="G459" t="s">
        <v>92</v>
      </c>
    </row>
    <row r="460" spans="1:7">
      <c r="A460" t="s">
        <v>58</v>
      </c>
      <c r="B460" t="s">
        <v>89</v>
      </c>
      <c r="C460" t="s">
        <v>90</v>
      </c>
      <c r="D460" t="s">
        <v>549</v>
      </c>
      <c r="E460">
        <v>-458</v>
      </c>
      <c r="F460" t="s">
        <v>91</v>
      </c>
      <c r="G460" t="s">
        <v>92</v>
      </c>
    </row>
    <row r="461" spans="1:7">
      <c r="A461" t="s">
        <v>58</v>
      </c>
      <c r="B461" t="s">
        <v>89</v>
      </c>
      <c r="C461" t="s">
        <v>90</v>
      </c>
      <c r="D461" t="s">
        <v>550</v>
      </c>
      <c r="E461">
        <v>-459</v>
      </c>
      <c r="F461" t="s">
        <v>91</v>
      </c>
      <c r="G461" t="s">
        <v>92</v>
      </c>
    </row>
    <row r="462" spans="1:7">
      <c r="A462" t="s">
        <v>58</v>
      </c>
      <c r="B462" t="s">
        <v>89</v>
      </c>
      <c r="C462" t="s">
        <v>90</v>
      </c>
      <c r="D462" t="s">
        <v>551</v>
      </c>
      <c r="E462">
        <v>-460</v>
      </c>
      <c r="F462" t="s">
        <v>91</v>
      </c>
      <c r="G462" t="s">
        <v>92</v>
      </c>
    </row>
    <row r="463" spans="1:7">
      <c r="A463" t="s">
        <v>58</v>
      </c>
      <c r="B463" t="s">
        <v>89</v>
      </c>
      <c r="C463" t="s">
        <v>90</v>
      </c>
      <c r="D463" t="s">
        <v>552</v>
      </c>
      <c r="E463">
        <v>-461</v>
      </c>
      <c r="F463" t="s">
        <v>91</v>
      </c>
      <c r="G463" t="s">
        <v>92</v>
      </c>
    </row>
    <row r="464" spans="1:7">
      <c r="A464" t="s">
        <v>58</v>
      </c>
      <c r="B464" t="s">
        <v>89</v>
      </c>
      <c r="C464" t="s">
        <v>90</v>
      </c>
      <c r="D464" t="s">
        <v>553</v>
      </c>
      <c r="E464">
        <v>-462</v>
      </c>
      <c r="F464" t="s">
        <v>91</v>
      </c>
      <c r="G464" t="s">
        <v>92</v>
      </c>
    </row>
    <row r="465" spans="1:7">
      <c r="A465" t="s">
        <v>58</v>
      </c>
      <c r="B465" t="s">
        <v>89</v>
      </c>
      <c r="C465" t="s">
        <v>90</v>
      </c>
      <c r="D465" t="s">
        <v>554</v>
      </c>
      <c r="E465">
        <v>-463</v>
      </c>
      <c r="F465" t="s">
        <v>91</v>
      </c>
      <c r="G465" t="s">
        <v>92</v>
      </c>
    </row>
    <row r="466" spans="1:7">
      <c r="A466" t="s">
        <v>58</v>
      </c>
      <c r="B466" t="s">
        <v>89</v>
      </c>
      <c r="C466" t="s">
        <v>90</v>
      </c>
      <c r="D466" t="s">
        <v>555</v>
      </c>
      <c r="E466">
        <v>-464</v>
      </c>
      <c r="F466" t="s">
        <v>91</v>
      </c>
      <c r="G466" t="s">
        <v>92</v>
      </c>
    </row>
    <row r="467" spans="1:7">
      <c r="A467" t="s">
        <v>58</v>
      </c>
      <c r="B467" t="s">
        <v>89</v>
      </c>
      <c r="C467" t="s">
        <v>90</v>
      </c>
      <c r="D467" t="s">
        <v>556</v>
      </c>
      <c r="E467">
        <v>-465</v>
      </c>
      <c r="F467" t="s">
        <v>91</v>
      </c>
      <c r="G467" t="s">
        <v>92</v>
      </c>
    </row>
    <row r="468" spans="1:7">
      <c r="A468" t="s">
        <v>58</v>
      </c>
      <c r="B468" t="s">
        <v>89</v>
      </c>
      <c r="C468" t="s">
        <v>90</v>
      </c>
      <c r="D468" t="s">
        <v>557</v>
      </c>
      <c r="E468">
        <v>-466</v>
      </c>
      <c r="F468" t="s">
        <v>91</v>
      </c>
      <c r="G468" t="s">
        <v>92</v>
      </c>
    </row>
    <row r="469" spans="1:7">
      <c r="A469" t="s">
        <v>58</v>
      </c>
      <c r="B469" t="s">
        <v>89</v>
      </c>
      <c r="C469" t="s">
        <v>90</v>
      </c>
      <c r="D469" t="s">
        <v>558</v>
      </c>
      <c r="E469">
        <v>-467</v>
      </c>
      <c r="F469" t="s">
        <v>91</v>
      </c>
      <c r="G469" t="s">
        <v>92</v>
      </c>
    </row>
    <row r="470" spans="1:7">
      <c r="A470" t="s">
        <v>58</v>
      </c>
      <c r="B470" t="s">
        <v>89</v>
      </c>
      <c r="C470" t="s">
        <v>90</v>
      </c>
      <c r="D470" t="s">
        <v>559</v>
      </c>
      <c r="E470">
        <v>-468</v>
      </c>
      <c r="F470" t="s">
        <v>91</v>
      </c>
      <c r="G470" t="s">
        <v>92</v>
      </c>
    </row>
    <row r="471" spans="1:7">
      <c r="A471" t="s">
        <v>58</v>
      </c>
      <c r="B471" t="s">
        <v>89</v>
      </c>
      <c r="C471" t="s">
        <v>90</v>
      </c>
      <c r="D471" t="s">
        <v>560</v>
      </c>
      <c r="E471">
        <v>-469</v>
      </c>
      <c r="F471" t="s">
        <v>91</v>
      </c>
      <c r="G471" t="s">
        <v>92</v>
      </c>
    </row>
    <row r="472" spans="1:7">
      <c r="A472" t="s">
        <v>58</v>
      </c>
      <c r="B472" t="s">
        <v>89</v>
      </c>
      <c r="C472" t="s">
        <v>90</v>
      </c>
      <c r="D472" t="s">
        <v>561</v>
      </c>
      <c r="E472">
        <v>-470</v>
      </c>
      <c r="F472" t="s">
        <v>91</v>
      </c>
      <c r="G472" t="s">
        <v>92</v>
      </c>
    </row>
    <row r="473" spans="1:7">
      <c r="A473" t="s">
        <v>58</v>
      </c>
      <c r="B473" t="s">
        <v>89</v>
      </c>
      <c r="C473" t="s">
        <v>90</v>
      </c>
      <c r="D473" t="s">
        <v>562</v>
      </c>
      <c r="E473">
        <v>-471</v>
      </c>
      <c r="F473" t="s">
        <v>91</v>
      </c>
      <c r="G473" t="s">
        <v>92</v>
      </c>
    </row>
    <row r="474" spans="1:7">
      <c r="A474" t="s">
        <v>58</v>
      </c>
      <c r="B474" t="s">
        <v>89</v>
      </c>
      <c r="C474" t="s">
        <v>90</v>
      </c>
      <c r="D474" t="s">
        <v>563</v>
      </c>
      <c r="E474">
        <v>-472</v>
      </c>
      <c r="F474" t="s">
        <v>91</v>
      </c>
      <c r="G474" t="s">
        <v>92</v>
      </c>
    </row>
    <row r="475" spans="1:7">
      <c r="A475" t="s">
        <v>58</v>
      </c>
      <c r="B475" t="s">
        <v>89</v>
      </c>
      <c r="C475" t="s">
        <v>90</v>
      </c>
      <c r="D475" t="s">
        <v>564</v>
      </c>
      <c r="E475">
        <v>-473</v>
      </c>
      <c r="F475" t="s">
        <v>91</v>
      </c>
      <c r="G475" t="s">
        <v>92</v>
      </c>
    </row>
    <row r="476" spans="1:7">
      <c r="A476" t="s">
        <v>58</v>
      </c>
      <c r="B476" t="s">
        <v>89</v>
      </c>
      <c r="C476" t="s">
        <v>90</v>
      </c>
      <c r="D476" t="s">
        <v>565</v>
      </c>
      <c r="E476">
        <v>-474</v>
      </c>
      <c r="F476" t="s">
        <v>91</v>
      </c>
      <c r="G476" t="s">
        <v>92</v>
      </c>
    </row>
    <row r="477" spans="1:7">
      <c r="A477" t="s">
        <v>58</v>
      </c>
      <c r="B477" t="s">
        <v>89</v>
      </c>
      <c r="C477" t="s">
        <v>90</v>
      </c>
      <c r="D477" t="s">
        <v>566</v>
      </c>
      <c r="E477">
        <v>-475</v>
      </c>
      <c r="F477" t="s">
        <v>91</v>
      </c>
      <c r="G477" t="s">
        <v>92</v>
      </c>
    </row>
    <row r="478" spans="1:7">
      <c r="A478" t="s">
        <v>58</v>
      </c>
      <c r="B478" t="s">
        <v>89</v>
      </c>
      <c r="C478" t="s">
        <v>90</v>
      </c>
      <c r="D478" t="s">
        <v>567</v>
      </c>
      <c r="E478">
        <v>-476</v>
      </c>
      <c r="F478" t="s">
        <v>91</v>
      </c>
      <c r="G478" t="s">
        <v>92</v>
      </c>
    </row>
    <row r="479" spans="1:7">
      <c r="A479" t="s">
        <v>58</v>
      </c>
      <c r="B479" t="s">
        <v>89</v>
      </c>
      <c r="C479" t="s">
        <v>90</v>
      </c>
      <c r="D479" t="s">
        <v>568</v>
      </c>
      <c r="E479">
        <v>-477</v>
      </c>
      <c r="F479" t="s">
        <v>91</v>
      </c>
      <c r="G479" t="s">
        <v>92</v>
      </c>
    </row>
    <row r="480" spans="1:7">
      <c r="A480" t="s">
        <v>58</v>
      </c>
      <c r="B480" t="s">
        <v>89</v>
      </c>
      <c r="C480" t="s">
        <v>90</v>
      </c>
      <c r="D480" t="s">
        <v>569</v>
      </c>
      <c r="E480">
        <v>-478</v>
      </c>
      <c r="F480" t="s">
        <v>91</v>
      </c>
      <c r="G480" t="s">
        <v>92</v>
      </c>
    </row>
    <row r="481" spans="1:7">
      <c r="A481" t="s">
        <v>58</v>
      </c>
      <c r="B481" t="s">
        <v>89</v>
      </c>
      <c r="C481" t="s">
        <v>90</v>
      </c>
      <c r="D481" t="s">
        <v>570</v>
      </c>
      <c r="E481">
        <v>-479</v>
      </c>
      <c r="F481" t="s">
        <v>91</v>
      </c>
      <c r="G481" t="s">
        <v>92</v>
      </c>
    </row>
    <row r="482" spans="1:7">
      <c r="A482" t="s">
        <v>58</v>
      </c>
      <c r="B482" t="s">
        <v>89</v>
      </c>
      <c r="C482" t="s">
        <v>90</v>
      </c>
      <c r="D482" t="s">
        <v>571</v>
      </c>
      <c r="E482">
        <v>-480</v>
      </c>
      <c r="F482" t="s">
        <v>91</v>
      </c>
      <c r="G482" t="s">
        <v>92</v>
      </c>
    </row>
    <row r="483" spans="1:7">
      <c r="A483" t="s">
        <v>58</v>
      </c>
      <c r="B483" t="s">
        <v>89</v>
      </c>
      <c r="C483" t="s">
        <v>90</v>
      </c>
      <c r="D483" t="s">
        <v>572</v>
      </c>
      <c r="E483">
        <v>-481</v>
      </c>
      <c r="F483" t="s">
        <v>91</v>
      </c>
      <c r="G483" t="s">
        <v>92</v>
      </c>
    </row>
    <row r="484" spans="1:7">
      <c r="A484" t="s">
        <v>58</v>
      </c>
      <c r="B484" t="s">
        <v>89</v>
      </c>
      <c r="C484" t="s">
        <v>90</v>
      </c>
      <c r="D484" t="s">
        <v>573</v>
      </c>
      <c r="E484">
        <v>-482</v>
      </c>
      <c r="F484" t="s">
        <v>91</v>
      </c>
      <c r="G484" t="s">
        <v>92</v>
      </c>
    </row>
    <row r="485" spans="1:7">
      <c r="A485" t="s">
        <v>58</v>
      </c>
      <c r="B485" t="s">
        <v>89</v>
      </c>
      <c r="C485" t="s">
        <v>90</v>
      </c>
      <c r="D485" t="s">
        <v>574</v>
      </c>
      <c r="E485">
        <v>-483</v>
      </c>
      <c r="F485" t="s">
        <v>91</v>
      </c>
      <c r="G485" t="s">
        <v>92</v>
      </c>
    </row>
    <row r="486" spans="1:7">
      <c r="A486" t="s">
        <v>58</v>
      </c>
      <c r="B486" t="s">
        <v>89</v>
      </c>
      <c r="C486" t="s">
        <v>90</v>
      </c>
      <c r="D486" t="s">
        <v>575</v>
      </c>
      <c r="E486">
        <v>-484</v>
      </c>
      <c r="F486" t="s">
        <v>91</v>
      </c>
      <c r="G486" t="s">
        <v>92</v>
      </c>
    </row>
    <row r="487" spans="1:7">
      <c r="A487" t="s">
        <v>58</v>
      </c>
      <c r="B487" t="s">
        <v>89</v>
      </c>
      <c r="C487" t="s">
        <v>90</v>
      </c>
      <c r="D487" t="s">
        <v>576</v>
      </c>
      <c r="E487">
        <v>-485</v>
      </c>
      <c r="F487" t="s">
        <v>91</v>
      </c>
      <c r="G487" t="s">
        <v>92</v>
      </c>
    </row>
    <row r="488" spans="1:7">
      <c r="A488" t="s">
        <v>58</v>
      </c>
      <c r="B488" t="s">
        <v>89</v>
      </c>
      <c r="C488" t="s">
        <v>90</v>
      </c>
      <c r="D488" t="s">
        <v>577</v>
      </c>
      <c r="E488">
        <v>-486</v>
      </c>
      <c r="F488" t="s">
        <v>91</v>
      </c>
      <c r="G488" t="s">
        <v>92</v>
      </c>
    </row>
    <row r="489" spans="1:7">
      <c r="A489" t="s">
        <v>58</v>
      </c>
      <c r="B489" t="s">
        <v>89</v>
      </c>
      <c r="C489" t="s">
        <v>90</v>
      </c>
      <c r="D489" t="s">
        <v>578</v>
      </c>
      <c r="E489">
        <v>-487</v>
      </c>
      <c r="F489" t="s">
        <v>91</v>
      </c>
      <c r="G489" t="s">
        <v>92</v>
      </c>
    </row>
    <row r="490" spans="1:7">
      <c r="A490" t="s">
        <v>58</v>
      </c>
      <c r="B490" t="s">
        <v>89</v>
      </c>
      <c r="C490" t="s">
        <v>90</v>
      </c>
      <c r="D490" t="s">
        <v>579</v>
      </c>
      <c r="E490">
        <v>-488</v>
      </c>
      <c r="F490" t="s">
        <v>91</v>
      </c>
      <c r="G490" t="s">
        <v>92</v>
      </c>
    </row>
    <row r="491" spans="1:7">
      <c r="A491" t="s">
        <v>58</v>
      </c>
      <c r="B491" t="s">
        <v>89</v>
      </c>
      <c r="C491" t="s">
        <v>90</v>
      </c>
      <c r="D491" t="s">
        <v>580</v>
      </c>
      <c r="E491">
        <v>-489</v>
      </c>
      <c r="F491" t="s">
        <v>91</v>
      </c>
      <c r="G491" t="s">
        <v>92</v>
      </c>
    </row>
    <row r="492" spans="1:7">
      <c r="A492" t="s">
        <v>58</v>
      </c>
      <c r="B492" t="s">
        <v>89</v>
      </c>
      <c r="C492" t="s">
        <v>90</v>
      </c>
      <c r="D492" t="s">
        <v>581</v>
      </c>
      <c r="E492">
        <v>-490</v>
      </c>
      <c r="F492" t="s">
        <v>91</v>
      </c>
      <c r="G492" t="s">
        <v>92</v>
      </c>
    </row>
    <row r="493" spans="1:7">
      <c r="A493" t="s">
        <v>58</v>
      </c>
      <c r="B493" t="s">
        <v>89</v>
      </c>
      <c r="C493" t="s">
        <v>90</v>
      </c>
      <c r="D493" t="s">
        <v>582</v>
      </c>
      <c r="E493">
        <v>-491</v>
      </c>
      <c r="F493" t="s">
        <v>91</v>
      </c>
      <c r="G493" t="s">
        <v>92</v>
      </c>
    </row>
    <row r="494" spans="1:7">
      <c r="A494" t="s">
        <v>58</v>
      </c>
      <c r="B494" t="s">
        <v>89</v>
      </c>
      <c r="C494" t="s">
        <v>90</v>
      </c>
      <c r="D494" t="s">
        <v>583</v>
      </c>
      <c r="E494">
        <v>-492</v>
      </c>
      <c r="F494" t="s">
        <v>91</v>
      </c>
      <c r="G494" t="s">
        <v>92</v>
      </c>
    </row>
    <row r="495" spans="1:7">
      <c r="A495" t="s">
        <v>58</v>
      </c>
      <c r="B495" t="s">
        <v>89</v>
      </c>
      <c r="C495" t="s">
        <v>90</v>
      </c>
      <c r="D495" t="s">
        <v>584</v>
      </c>
      <c r="E495">
        <v>-493</v>
      </c>
      <c r="F495" t="s">
        <v>91</v>
      </c>
      <c r="G495" t="s">
        <v>92</v>
      </c>
    </row>
    <row r="496" spans="1:7">
      <c r="A496" t="s">
        <v>58</v>
      </c>
      <c r="B496" t="s">
        <v>89</v>
      </c>
      <c r="C496" t="s">
        <v>90</v>
      </c>
      <c r="D496" t="s">
        <v>585</v>
      </c>
      <c r="E496">
        <v>-494</v>
      </c>
      <c r="F496" t="s">
        <v>91</v>
      </c>
      <c r="G496" t="s">
        <v>92</v>
      </c>
    </row>
    <row r="497" spans="1:7">
      <c r="A497" t="s">
        <v>58</v>
      </c>
      <c r="B497" t="s">
        <v>89</v>
      </c>
      <c r="C497" t="s">
        <v>90</v>
      </c>
      <c r="D497" t="s">
        <v>586</v>
      </c>
      <c r="E497">
        <v>-495</v>
      </c>
      <c r="F497" t="s">
        <v>91</v>
      </c>
      <c r="G497" t="s">
        <v>92</v>
      </c>
    </row>
    <row r="498" spans="1:7">
      <c r="A498" t="s">
        <v>58</v>
      </c>
      <c r="B498" t="s">
        <v>89</v>
      </c>
      <c r="C498" t="s">
        <v>90</v>
      </c>
      <c r="D498" t="s">
        <v>587</v>
      </c>
      <c r="E498">
        <v>-496</v>
      </c>
      <c r="F498" t="s">
        <v>91</v>
      </c>
      <c r="G498" t="s">
        <v>92</v>
      </c>
    </row>
    <row r="499" spans="1:7">
      <c r="A499" t="s">
        <v>58</v>
      </c>
      <c r="B499" t="s">
        <v>89</v>
      </c>
      <c r="C499" t="s">
        <v>90</v>
      </c>
      <c r="D499" t="s">
        <v>588</v>
      </c>
      <c r="E499">
        <v>-497</v>
      </c>
      <c r="F499" t="s">
        <v>91</v>
      </c>
      <c r="G499" t="s">
        <v>92</v>
      </c>
    </row>
    <row r="500" spans="1:7">
      <c r="A500" t="s">
        <v>58</v>
      </c>
      <c r="B500" t="s">
        <v>89</v>
      </c>
      <c r="C500" t="s">
        <v>90</v>
      </c>
      <c r="D500" t="s">
        <v>589</v>
      </c>
      <c r="E500">
        <v>-498</v>
      </c>
      <c r="F500" t="s">
        <v>91</v>
      </c>
      <c r="G500" t="s">
        <v>92</v>
      </c>
    </row>
    <row r="501" spans="1:7">
      <c r="A501" t="s">
        <v>58</v>
      </c>
      <c r="B501" t="s">
        <v>89</v>
      </c>
      <c r="C501" t="s">
        <v>90</v>
      </c>
      <c r="D501" t="s">
        <v>590</v>
      </c>
      <c r="E501">
        <v>-499</v>
      </c>
      <c r="F501" t="s">
        <v>91</v>
      </c>
      <c r="G501" t="s">
        <v>92</v>
      </c>
    </row>
    <row r="502" spans="1:7">
      <c r="A502" t="s">
        <v>58</v>
      </c>
      <c r="B502" t="s">
        <v>89</v>
      </c>
      <c r="C502" t="s">
        <v>90</v>
      </c>
      <c r="D502" t="s">
        <v>591</v>
      </c>
      <c r="E502">
        <v>-500</v>
      </c>
      <c r="F502" t="s">
        <v>91</v>
      </c>
      <c r="G502" t="s">
        <v>92</v>
      </c>
    </row>
    <row r="503" spans="1:7">
      <c r="A503" t="s">
        <v>58</v>
      </c>
      <c r="B503" t="s">
        <v>89</v>
      </c>
      <c r="C503" t="s">
        <v>90</v>
      </c>
      <c r="D503" t="s">
        <v>592</v>
      </c>
      <c r="E503">
        <v>-501</v>
      </c>
      <c r="F503" t="s">
        <v>91</v>
      </c>
      <c r="G503" t="s">
        <v>92</v>
      </c>
    </row>
    <row r="504" spans="1:7">
      <c r="A504" t="s">
        <v>58</v>
      </c>
      <c r="B504" t="s">
        <v>89</v>
      </c>
      <c r="C504" t="s">
        <v>90</v>
      </c>
      <c r="D504" t="s">
        <v>593</v>
      </c>
      <c r="E504">
        <v>-502</v>
      </c>
      <c r="F504" t="s">
        <v>91</v>
      </c>
      <c r="G504" t="s">
        <v>92</v>
      </c>
    </row>
    <row r="505" spans="1:7">
      <c r="A505" t="s">
        <v>58</v>
      </c>
      <c r="B505" t="s">
        <v>89</v>
      </c>
      <c r="C505" t="s">
        <v>90</v>
      </c>
      <c r="D505" t="s">
        <v>594</v>
      </c>
      <c r="E505">
        <v>-503</v>
      </c>
      <c r="F505" t="s">
        <v>91</v>
      </c>
      <c r="G505" t="s">
        <v>92</v>
      </c>
    </row>
    <row r="506" spans="1:7">
      <c r="A506" t="s">
        <v>58</v>
      </c>
      <c r="B506" t="s">
        <v>89</v>
      </c>
      <c r="C506" t="s">
        <v>90</v>
      </c>
      <c r="D506" t="s">
        <v>595</v>
      </c>
      <c r="E506">
        <v>-504</v>
      </c>
      <c r="F506" t="s">
        <v>91</v>
      </c>
      <c r="G506" t="s">
        <v>92</v>
      </c>
    </row>
    <row r="507" spans="1:7">
      <c r="A507" t="s">
        <v>58</v>
      </c>
      <c r="B507" t="s">
        <v>89</v>
      </c>
      <c r="C507" t="s">
        <v>90</v>
      </c>
      <c r="D507" t="s">
        <v>596</v>
      </c>
      <c r="E507">
        <v>-505</v>
      </c>
      <c r="F507" t="s">
        <v>91</v>
      </c>
      <c r="G507" t="s">
        <v>92</v>
      </c>
    </row>
    <row r="508" spans="1:7">
      <c r="A508" t="s">
        <v>58</v>
      </c>
      <c r="B508" t="s">
        <v>89</v>
      </c>
      <c r="C508" t="s">
        <v>90</v>
      </c>
      <c r="D508" t="s">
        <v>597</v>
      </c>
      <c r="E508">
        <v>-506</v>
      </c>
      <c r="F508" t="s">
        <v>91</v>
      </c>
      <c r="G508" t="s">
        <v>92</v>
      </c>
    </row>
    <row r="509" spans="1:7">
      <c r="A509" t="s">
        <v>58</v>
      </c>
      <c r="B509" t="s">
        <v>89</v>
      </c>
      <c r="C509" t="s">
        <v>90</v>
      </c>
      <c r="D509" t="s">
        <v>598</v>
      </c>
      <c r="E509">
        <v>-507</v>
      </c>
      <c r="F509" t="s">
        <v>91</v>
      </c>
      <c r="G509" t="s">
        <v>92</v>
      </c>
    </row>
    <row r="510" spans="1:7">
      <c r="A510" t="s">
        <v>58</v>
      </c>
      <c r="B510" t="s">
        <v>89</v>
      </c>
      <c r="C510" t="s">
        <v>90</v>
      </c>
      <c r="D510" t="s">
        <v>599</v>
      </c>
      <c r="E510">
        <v>-508</v>
      </c>
      <c r="F510" t="s">
        <v>91</v>
      </c>
      <c r="G510" t="s">
        <v>92</v>
      </c>
    </row>
    <row r="511" spans="1:7">
      <c r="A511" t="s">
        <v>58</v>
      </c>
      <c r="B511" t="s">
        <v>89</v>
      </c>
      <c r="C511" t="s">
        <v>90</v>
      </c>
      <c r="D511" t="s">
        <v>600</v>
      </c>
      <c r="E511">
        <v>-509</v>
      </c>
      <c r="F511" t="s">
        <v>91</v>
      </c>
      <c r="G511" t="s">
        <v>92</v>
      </c>
    </row>
    <row r="512" spans="1:7">
      <c r="A512" t="s">
        <v>58</v>
      </c>
      <c r="B512" t="s">
        <v>89</v>
      </c>
      <c r="C512" t="s">
        <v>90</v>
      </c>
      <c r="D512" t="s">
        <v>601</v>
      </c>
      <c r="E512">
        <v>-510</v>
      </c>
      <c r="F512" t="s">
        <v>91</v>
      </c>
      <c r="G512" t="s">
        <v>92</v>
      </c>
    </row>
    <row r="513" spans="1:7">
      <c r="A513" t="s">
        <v>58</v>
      </c>
      <c r="B513" t="s">
        <v>89</v>
      </c>
      <c r="C513" t="s">
        <v>90</v>
      </c>
      <c r="D513" t="s">
        <v>602</v>
      </c>
      <c r="E513">
        <v>-511</v>
      </c>
      <c r="F513" t="s">
        <v>91</v>
      </c>
      <c r="G513" t="s">
        <v>92</v>
      </c>
    </row>
    <row r="514" spans="1:7">
      <c r="A514" t="s">
        <v>58</v>
      </c>
      <c r="B514" t="s">
        <v>89</v>
      </c>
      <c r="C514" t="s">
        <v>90</v>
      </c>
      <c r="D514" t="s">
        <v>603</v>
      </c>
      <c r="E514">
        <v>-512</v>
      </c>
      <c r="F514" t="s">
        <v>91</v>
      </c>
      <c r="G514" t="s">
        <v>92</v>
      </c>
    </row>
    <row r="515" spans="1:7">
      <c r="A515" t="s">
        <v>58</v>
      </c>
      <c r="B515" t="s">
        <v>89</v>
      </c>
      <c r="C515" t="s">
        <v>90</v>
      </c>
      <c r="D515" t="s">
        <v>604</v>
      </c>
      <c r="E515">
        <v>-513</v>
      </c>
      <c r="F515" t="s">
        <v>91</v>
      </c>
      <c r="G515" t="s">
        <v>92</v>
      </c>
    </row>
    <row r="516" spans="1:7">
      <c r="A516" t="s">
        <v>58</v>
      </c>
      <c r="B516" t="s">
        <v>89</v>
      </c>
      <c r="C516" t="s">
        <v>90</v>
      </c>
      <c r="D516" t="s">
        <v>605</v>
      </c>
      <c r="E516">
        <v>-514</v>
      </c>
      <c r="F516" t="s">
        <v>91</v>
      </c>
      <c r="G516" t="s">
        <v>92</v>
      </c>
    </row>
    <row r="517" spans="1:7">
      <c r="A517" t="s">
        <v>58</v>
      </c>
      <c r="B517" t="s">
        <v>89</v>
      </c>
      <c r="C517" t="s">
        <v>90</v>
      </c>
      <c r="D517" t="s">
        <v>606</v>
      </c>
      <c r="E517">
        <v>-515</v>
      </c>
      <c r="F517" t="s">
        <v>91</v>
      </c>
      <c r="G517" t="s">
        <v>92</v>
      </c>
    </row>
    <row r="518" spans="1:7">
      <c r="A518" t="s">
        <v>58</v>
      </c>
      <c r="B518" t="s">
        <v>89</v>
      </c>
      <c r="C518" t="s">
        <v>90</v>
      </c>
      <c r="D518" t="s">
        <v>607</v>
      </c>
      <c r="E518">
        <v>-516</v>
      </c>
      <c r="F518" t="s">
        <v>91</v>
      </c>
      <c r="G518" t="s">
        <v>92</v>
      </c>
    </row>
    <row r="519" spans="1:7">
      <c r="A519" t="s">
        <v>58</v>
      </c>
      <c r="B519" t="s">
        <v>89</v>
      </c>
      <c r="C519" t="s">
        <v>90</v>
      </c>
      <c r="D519" t="s">
        <v>608</v>
      </c>
      <c r="E519">
        <v>-517</v>
      </c>
      <c r="F519" t="s">
        <v>91</v>
      </c>
      <c r="G519" t="s">
        <v>92</v>
      </c>
    </row>
    <row r="520" spans="1:7">
      <c r="A520" t="s">
        <v>58</v>
      </c>
      <c r="B520" t="s">
        <v>89</v>
      </c>
      <c r="C520" t="s">
        <v>90</v>
      </c>
      <c r="D520" t="s">
        <v>609</v>
      </c>
      <c r="E520">
        <v>-518</v>
      </c>
      <c r="F520" t="s">
        <v>91</v>
      </c>
      <c r="G520" t="s">
        <v>92</v>
      </c>
    </row>
    <row r="521" spans="1:7">
      <c r="A521" t="s">
        <v>58</v>
      </c>
      <c r="B521" t="s">
        <v>89</v>
      </c>
      <c r="C521" t="s">
        <v>90</v>
      </c>
      <c r="D521" t="s">
        <v>610</v>
      </c>
      <c r="E521">
        <v>-519</v>
      </c>
      <c r="F521" t="s">
        <v>91</v>
      </c>
      <c r="G521" t="s">
        <v>92</v>
      </c>
    </row>
    <row r="522" spans="1:7">
      <c r="A522" t="s">
        <v>58</v>
      </c>
      <c r="B522" t="s">
        <v>89</v>
      </c>
      <c r="C522" t="s">
        <v>90</v>
      </c>
      <c r="D522" t="s">
        <v>611</v>
      </c>
      <c r="E522">
        <v>-520</v>
      </c>
      <c r="F522" t="s">
        <v>91</v>
      </c>
      <c r="G522" t="s">
        <v>92</v>
      </c>
    </row>
    <row r="523" spans="1:7">
      <c r="A523" t="s">
        <v>58</v>
      </c>
      <c r="B523" t="s">
        <v>89</v>
      </c>
      <c r="C523" t="s">
        <v>90</v>
      </c>
      <c r="D523" t="s">
        <v>612</v>
      </c>
      <c r="E523">
        <v>-521</v>
      </c>
      <c r="F523" t="s">
        <v>91</v>
      </c>
      <c r="G523" t="s">
        <v>92</v>
      </c>
    </row>
    <row r="524" spans="1:7">
      <c r="A524" t="s">
        <v>58</v>
      </c>
      <c r="B524" t="s">
        <v>89</v>
      </c>
      <c r="C524" t="s">
        <v>90</v>
      </c>
      <c r="D524" t="s">
        <v>613</v>
      </c>
      <c r="E524">
        <v>-522</v>
      </c>
      <c r="F524" t="s">
        <v>91</v>
      </c>
      <c r="G524" t="s">
        <v>92</v>
      </c>
    </row>
    <row r="525" spans="1:7">
      <c r="A525" t="s">
        <v>58</v>
      </c>
      <c r="B525" t="s">
        <v>89</v>
      </c>
      <c r="C525" t="s">
        <v>90</v>
      </c>
      <c r="D525" t="s">
        <v>614</v>
      </c>
      <c r="E525">
        <v>-523</v>
      </c>
      <c r="F525" t="s">
        <v>91</v>
      </c>
      <c r="G525" t="s">
        <v>92</v>
      </c>
    </row>
    <row r="526" spans="1:7">
      <c r="A526" t="s">
        <v>58</v>
      </c>
      <c r="B526" t="s">
        <v>89</v>
      </c>
      <c r="C526" t="s">
        <v>90</v>
      </c>
      <c r="D526" t="s">
        <v>615</v>
      </c>
      <c r="E526">
        <v>-524</v>
      </c>
      <c r="F526" t="s">
        <v>91</v>
      </c>
      <c r="G526" t="s">
        <v>92</v>
      </c>
    </row>
    <row r="527" spans="1:7">
      <c r="A527" t="s">
        <v>58</v>
      </c>
      <c r="B527" t="s">
        <v>89</v>
      </c>
      <c r="C527" t="s">
        <v>90</v>
      </c>
      <c r="D527" t="s">
        <v>616</v>
      </c>
      <c r="E527">
        <v>-525</v>
      </c>
      <c r="F527" t="s">
        <v>91</v>
      </c>
      <c r="G527" t="s">
        <v>92</v>
      </c>
    </row>
    <row r="528" spans="1:7">
      <c r="A528" t="s">
        <v>58</v>
      </c>
      <c r="B528" t="s">
        <v>89</v>
      </c>
      <c r="C528" t="s">
        <v>90</v>
      </c>
      <c r="D528" t="s">
        <v>617</v>
      </c>
      <c r="E528">
        <v>-526</v>
      </c>
      <c r="F528" t="s">
        <v>91</v>
      </c>
      <c r="G528" t="s">
        <v>92</v>
      </c>
    </row>
    <row r="529" spans="1:7">
      <c r="A529" t="s">
        <v>58</v>
      </c>
      <c r="B529" t="s">
        <v>89</v>
      </c>
      <c r="C529" t="s">
        <v>90</v>
      </c>
      <c r="D529" t="s">
        <v>618</v>
      </c>
      <c r="E529">
        <v>-527</v>
      </c>
      <c r="F529" t="s">
        <v>91</v>
      </c>
      <c r="G529" t="s">
        <v>92</v>
      </c>
    </row>
    <row r="530" spans="1:7">
      <c r="A530" t="s">
        <v>58</v>
      </c>
      <c r="B530" t="s">
        <v>89</v>
      </c>
      <c r="C530" t="s">
        <v>90</v>
      </c>
      <c r="D530" t="s">
        <v>619</v>
      </c>
      <c r="E530">
        <v>-528</v>
      </c>
      <c r="F530" t="s">
        <v>91</v>
      </c>
      <c r="G530" t="s">
        <v>92</v>
      </c>
    </row>
    <row r="531" spans="1:7">
      <c r="A531" t="s">
        <v>58</v>
      </c>
      <c r="B531" t="s">
        <v>89</v>
      </c>
      <c r="C531" t="s">
        <v>90</v>
      </c>
      <c r="D531" t="s">
        <v>620</v>
      </c>
      <c r="E531">
        <v>-529</v>
      </c>
      <c r="F531" t="s">
        <v>91</v>
      </c>
      <c r="G531" t="s">
        <v>92</v>
      </c>
    </row>
    <row r="532" spans="1:7">
      <c r="A532" t="s">
        <v>58</v>
      </c>
      <c r="B532" t="s">
        <v>89</v>
      </c>
      <c r="C532" t="s">
        <v>90</v>
      </c>
      <c r="D532" t="s">
        <v>621</v>
      </c>
      <c r="E532">
        <v>-530</v>
      </c>
      <c r="F532" t="s">
        <v>91</v>
      </c>
      <c r="G532" t="s">
        <v>92</v>
      </c>
    </row>
    <row r="533" spans="1:7">
      <c r="A533" t="s">
        <v>58</v>
      </c>
      <c r="B533" t="s">
        <v>89</v>
      </c>
      <c r="C533" t="s">
        <v>90</v>
      </c>
      <c r="D533" t="s">
        <v>622</v>
      </c>
      <c r="E533">
        <v>-531</v>
      </c>
      <c r="F533" t="s">
        <v>91</v>
      </c>
      <c r="G533" t="s">
        <v>92</v>
      </c>
    </row>
    <row r="534" spans="1:7">
      <c r="A534" t="s">
        <v>58</v>
      </c>
      <c r="B534" t="s">
        <v>89</v>
      </c>
      <c r="C534" t="s">
        <v>90</v>
      </c>
      <c r="D534" t="s">
        <v>623</v>
      </c>
      <c r="E534">
        <v>-532</v>
      </c>
      <c r="F534" t="s">
        <v>91</v>
      </c>
      <c r="G534" t="s">
        <v>92</v>
      </c>
    </row>
    <row r="535" spans="1:7">
      <c r="A535" t="s">
        <v>58</v>
      </c>
      <c r="B535" t="s">
        <v>89</v>
      </c>
      <c r="C535" t="s">
        <v>90</v>
      </c>
      <c r="D535" t="s">
        <v>624</v>
      </c>
      <c r="E535">
        <v>-533</v>
      </c>
      <c r="F535" t="s">
        <v>91</v>
      </c>
      <c r="G535" t="s">
        <v>92</v>
      </c>
    </row>
    <row r="536" spans="1:7">
      <c r="A536" t="s">
        <v>58</v>
      </c>
      <c r="B536" t="s">
        <v>89</v>
      </c>
      <c r="C536" t="s">
        <v>90</v>
      </c>
      <c r="D536" t="s">
        <v>625</v>
      </c>
      <c r="E536">
        <v>-534</v>
      </c>
      <c r="F536" t="s">
        <v>91</v>
      </c>
      <c r="G536" t="s">
        <v>92</v>
      </c>
    </row>
    <row r="537" spans="1:7">
      <c r="A537" t="s">
        <v>58</v>
      </c>
      <c r="B537" t="s">
        <v>89</v>
      </c>
      <c r="C537" t="s">
        <v>90</v>
      </c>
      <c r="D537" t="s">
        <v>626</v>
      </c>
      <c r="E537">
        <v>-535</v>
      </c>
      <c r="F537" t="s">
        <v>91</v>
      </c>
      <c r="G537" t="s">
        <v>92</v>
      </c>
    </row>
    <row r="538" spans="1:7">
      <c r="A538" t="s">
        <v>58</v>
      </c>
      <c r="B538" t="s">
        <v>89</v>
      </c>
      <c r="C538" t="s">
        <v>90</v>
      </c>
      <c r="D538" t="s">
        <v>627</v>
      </c>
      <c r="E538">
        <v>-536</v>
      </c>
      <c r="F538" t="s">
        <v>91</v>
      </c>
      <c r="G538" t="s">
        <v>92</v>
      </c>
    </row>
    <row r="539" spans="1:7">
      <c r="A539" t="s">
        <v>58</v>
      </c>
      <c r="B539" t="s">
        <v>89</v>
      </c>
      <c r="C539" t="s">
        <v>90</v>
      </c>
      <c r="D539" t="s">
        <v>628</v>
      </c>
      <c r="E539">
        <v>-537</v>
      </c>
      <c r="F539" t="s">
        <v>91</v>
      </c>
      <c r="G539" t="s">
        <v>92</v>
      </c>
    </row>
    <row r="540" spans="1:7">
      <c r="A540" t="s">
        <v>58</v>
      </c>
      <c r="B540" t="s">
        <v>89</v>
      </c>
      <c r="C540" t="s">
        <v>90</v>
      </c>
      <c r="D540" t="s">
        <v>629</v>
      </c>
      <c r="E540">
        <v>-538</v>
      </c>
      <c r="F540" t="s">
        <v>91</v>
      </c>
      <c r="G540" t="s">
        <v>92</v>
      </c>
    </row>
    <row r="541" spans="1:7">
      <c r="A541" t="s">
        <v>58</v>
      </c>
      <c r="B541" t="s">
        <v>89</v>
      </c>
      <c r="C541" t="s">
        <v>90</v>
      </c>
      <c r="D541" t="s">
        <v>630</v>
      </c>
      <c r="E541">
        <v>-539</v>
      </c>
      <c r="F541" t="s">
        <v>91</v>
      </c>
      <c r="G541" t="s">
        <v>92</v>
      </c>
    </row>
    <row r="542" spans="1:7">
      <c r="A542" t="s">
        <v>58</v>
      </c>
      <c r="B542" t="s">
        <v>89</v>
      </c>
      <c r="C542" t="s">
        <v>90</v>
      </c>
      <c r="D542" t="s">
        <v>631</v>
      </c>
      <c r="E542">
        <v>-540</v>
      </c>
      <c r="F542" t="s">
        <v>91</v>
      </c>
      <c r="G542" t="s">
        <v>92</v>
      </c>
    </row>
    <row r="543" spans="1:7">
      <c r="A543" t="s">
        <v>58</v>
      </c>
      <c r="B543" t="s">
        <v>89</v>
      </c>
      <c r="C543" t="s">
        <v>90</v>
      </c>
      <c r="D543" t="s">
        <v>632</v>
      </c>
      <c r="E543">
        <v>-541</v>
      </c>
      <c r="F543" t="s">
        <v>91</v>
      </c>
      <c r="G543" t="s">
        <v>92</v>
      </c>
    </row>
    <row r="544" spans="1:7">
      <c r="A544" t="s">
        <v>58</v>
      </c>
      <c r="B544" t="s">
        <v>89</v>
      </c>
      <c r="C544" t="s">
        <v>90</v>
      </c>
      <c r="D544" t="s">
        <v>633</v>
      </c>
      <c r="E544">
        <v>-542</v>
      </c>
      <c r="F544" t="s">
        <v>91</v>
      </c>
      <c r="G544" t="s">
        <v>92</v>
      </c>
    </row>
    <row r="545" spans="1:7">
      <c r="A545" t="s">
        <v>58</v>
      </c>
      <c r="B545" t="s">
        <v>89</v>
      </c>
      <c r="C545" t="s">
        <v>90</v>
      </c>
      <c r="D545" t="s">
        <v>634</v>
      </c>
      <c r="E545">
        <v>-543</v>
      </c>
      <c r="F545" t="s">
        <v>91</v>
      </c>
      <c r="G545" t="s">
        <v>92</v>
      </c>
    </row>
    <row r="546" spans="1:7">
      <c r="A546" t="s">
        <v>58</v>
      </c>
      <c r="B546" t="s">
        <v>89</v>
      </c>
      <c r="C546" t="s">
        <v>90</v>
      </c>
      <c r="D546" t="s">
        <v>635</v>
      </c>
      <c r="E546">
        <v>-544</v>
      </c>
      <c r="F546" t="s">
        <v>91</v>
      </c>
      <c r="G546" t="s">
        <v>92</v>
      </c>
    </row>
    <row r="547" spans="1:7">
      <c r="A547" t="s">
        <v>58</v>
      </c>
      <c r="B547" t="s">
        <v>89</v>
      </c>
      <c r="C547" t="s">
        <v>90</v>
      </c>
      <c r="D547" t="s">
        <v>636</v>
      </c>
      <c r="E547">
        <v>-545</v>
      </c>
      <c r="F547" t="s">
        <v>91</v>
      </c>
      <c r="G547" t="s">
        <v>92</v>
      </c>
    </row>
    <row r="548" spans="1:7">
      <c r="A548" t="s">
        <v>58</v>
      </c>
      <c r="B548" t="s">
        <v>89</v>
      </c>
      <c r="C548" t="s">
        <v>90</v>
      </c>
      <c r="D548" t="s">
        <v>637</v>
      </c>
      <c r="E548">
        <v>-546</v>
      </c>
      <c r="F548" t="s">
        <v>91</v>
      </c>
      <c r="G548" t="s">
        <v>92</v>
      </c>
    </row>
    <row r="549" spans="1:7">
      <c r="A549" t="s">
        <v>58</v>
      </c>
      <c r="B549" t="s">
        <v>89</v>
      </c>
      <c r="C549" t="s">
        <v>90</v>
      </c>
      <c r="D549" t="s">
        <v>638</v>
      </c>
      <c r="E549">
        <v>-547</v>
      </c>
      <c r="F549" t="s">
        <v>91</v>
      </c>
      <c r="G549" t="s">
        <v>92</v>
      </c>
    </row>
    <row r="550" spans="1:7">
      <c r="A550" t="s">
        <v>58</v>
      </c>
      <c r="B550" t="s">
        <v>89</v>
      </c>
      <c r="C550" t="s">
        <v>90</v>
      </c>
      <c r="D550" t="s">
        <v>639</v>
      </c>
      <c r="E550">
        <v>-548</v>
      </c>
      <c r="F550" t="s">
        <v>91</v>
      </c>
      <c r="G550" t="s">
        <v>92</v>
      </c>
    </row>
    <row r="551" spans="1:7">
      <c r="A551" t="s">
        <v>58</v>
      </c>
      <c r="B551" t="s">
        <v>89</v>
      </c>
      <c r="C551" t="s">
        <v>90</v>
      </c>
      <c r="D551" t="s">
        <v>640</v>
      </c>
      <c r="E551">
        <v>-549</v>
      </c>
      <c r="F551" t="s">
        <v>91</v>
      </c>
      <c r="G551" t="s">
        <v>92</v>
      </c>
    </row>
    <row r="552" spans="1:7">
      <c r="A552" t="s">
        <v>58</v>
      </c>
      <c r="B552" t="s">
        <v>89</v>
      </c>
      <c r="C552" t="s">
        <v>90</v>
      </c>
      <c r="D552" t="s">
        <v>641</v>
      </c>
      <c r="E552">
        <v>-550</v>
      </c>
      <c r="F552" t="s">
        <v>91</v>
      </c>
      <c r="G552" t="s">
        <v>92</v>
      </c>
    </row>
    <row r="553" spans="1:7">
      <c r="A553" t="s">
        <v>58</v>
      </c>
      <c r="B553" t="s">
        <v>89</v>
      </c>
      <c r="C553" t="s">
        <v>90</v>
      </c>
      <c r="D553" t="s">
        <v>642</v>
      </c>
      <c r="E553">
        <v>-551</v>
      </c>
      <c r="F553" t="s">
        <v>91</v>
      </c>
      <c r="G553" t="s">
        <v>92</v>
      </c>
    </row>
    <row r="554" spans="1:7">
      <c r="A554" t="s">
        <v>58</v>
      </c>
      <c r="B554" t="s">
        <v>89</v>
      </c>
      <c r="C554" t="s">
        <v>90</v>
      </c>
      <c r="D554" t="s">
        <v>643</v>
      </c>
      <c r="E554">
        <v>-552</v>
      </c>
      <c r="F554" t="s">
        <v>91</v>
      </c>
      <c r="G554" t="s">
        <v>92</v>
      </c>
    </row>
    <row r="555" spans="1:7">
      <c r="A555" t="s">
        <v>58</v>
      </c>
      <c r="B555" t="s">
        <v>89</v>
      </c>
      <c r="C555" t="s">
        <v>90</v>
      </c>
      <c r="D555" t="s">
        <v>644</v>
      </c>
      <c r="E555">
        <v>-553</v>
      </c>
      <c r="F555" t="s">
        <v>91</v>
      </c>
      <c r="G555" t="s">
        <v>92</v>
      </c>
    </row>
    <row r="556" spans="1:7">
      <c r="A556" t="s">
        <v>58</v>
      </c>
      <c r="B556" t="s">
        <v>89</v>
      </c>
      <c r="C556" t="s">
        <v>90</v>
      </c>
      <c r="D556" t="s">
        <v>645</v>
      </c>
      <c r="E556">
        <v>-554</v>
      </c>
      <c r="F556" t="s">
        <v>91</v>
      </c>
      <c r="G556" t="s">
        <v>92</v>
      </c>
    </row>
    <row r="557" spans="1:7">
      <c r="A557" t="s">
        <v>58</v>
      </c>
      <c r="B557" t="s">
        <v>89</v>
      </c>
      <c r="C557" t="s">
        <v>90</v>
      </c>
      <c r="D557" t="s">
        <v>646</v>
      </c>
      <c r="E557">
        <v>-555</v>
      </c>
      <c r="F557" t="s">
        <v>91</v>
      </c>
      <c r="G557" t="s">
        <v>92</v>
      </c>
    </row>
    <row r="558" spans="1:7">
      <c r="A558" t="s">
        <v>58</v>
      </c>
      <c r="B558" t="s">
        <v>89</v>
      </c>
      <c r="C558" t="s">
        <v>90</v>
      </c>
      <c r="D558" t="s">
        <v>647</v>
      </c>
      <c r="E558">
        <v>-556</v>
      </c>
      <c r="F558" t="s">
        <v>91</v>
      </c>
      <c r="G558" t="s">
        <v>92</v>
      </c>
    </row>
    <row r="559" spans="1:7">
      <c r="A559" t="s">
        <v>58</v>
      </c>
      <c r="B559" t="s">
        <v>89</v>
      </c>
      <c r="C559" t="s">
        <v>90</v>
      </c>
      <c r="D559" t="s">
        <v>648</v>
      </c>
      <c r="E559">
        <v>-557</v>
      </c>
      <c r="F559" t="s">
        <v>91</v>
      </c>
      <c r="G559" t="s">
        <v>92</v>
      </c>
    </row>
    <row r="560" spans="1:7">
      <c r="A560" t="s">
        <v>58</v>
      </c>
      <c r="B560" t="s">
        <v>89</v>
      </c>
      <c r="C560" t="s">
        <v>90</v>
      </c>
      <c r="D560" t="s">
        <v>649</v>
      </c>
      <c r="E560">
        <v>-558</v>
      </c>
      <c r="F560" t="s">
        <v>91</v>
      </c>
      <c r="G560" t="s">
        <v>92</v>
      </c>
    </row>
    <row r="561" spans="1:7">
      <c r="A561" t="s">
        <v>58</v>
      </c>
      <c r="B561" t="s">
        <v>89</v>
      </c>
      <c r="C561" t="s">
        <v>90</v>
      </c>
      <c r="D561" t="s">
        <v>650</v>
      </c>
      <c r="E561">
        <v>-559</v>
      </c>
      <c r="F561" t="s">
        <v>91</v>
      </c>
      <c r="G561" t="s">
        <v>92</v>
      </c>
    </row>
    <row r="562" spans="1:7">
      <c r="A562" t="s">
        <v>58</v>
      </c>
      <c r="B562" t="s">
        <v>89</v>
      </c>
      <c r="C562" t="s">
        <v>90</v>
      </c>
      <c r="D562" t="s">
        <v>651</v>
      </c>
      <c r="E562">
        <v>-560</v>
      </c>
      <c r="F562" t="s">
        <v>91</v>
      </c>
      <c r="G562" t="s">
        <v>92</v>
      </c>
    </row>
    <row r="563" spans="1:7">
      <c r="A563" t="s">
        <v>58</v>
      </c>
      <c r="B563" t="s">
        <v>89</v>
      </c>
      <c r="C563" t="s">
        <v>90</v>
      </c>
      <c r="D563" t="s">
        <v>652</v>
      </c>
      <c r="E563">
        <v>-561</v>
      </c>
      <c r="F563" t="s">
        <v>91</v>
      </c>
      <c r="G563" t="s">
        <v>92</v>
      </c>
    </row>
    <row r="564" spans="1:7">
      <c r="A564" t="s">
        <v>58</v>
      </c>
      <c r="B564" t="s">
        <v>89</v>
      </c>
      <c r="C564" t="s">
        <v>90</v>
      </c>
      <c r="D564" t="s">
        <v>653</v>
      </c>
      <c r="E564">
        <v>-562</v>
      </c>
      <c r="F564" t="s">
        <v>91</v>
      </c>
      <c r="G564" t="s">
        <v>92</v>
      </c>
    </row>
    <row r="565" spans="1:7">
      <c r="A565" t="s">
        <v>58</v>
      </c>
      <c r="B565" t="s">
        <v>89</v>
      </c>
      <c r="C565" t="s">
        <v>90</v>
      </c>
      <c r="D565" t="s">
        <v>654</v>
      </c>
      <c r="E565">
        <v>-563</v>
      </c>
      <c r="F565" t="s">
        <v>91</v>
      </c>
      <c r="G565" t="s">
        <v>92</v>
      </c>
    </row>
    <row r="566" spans="1:7">
      <c r="A566" t="s">
        <v>58</v>
      </c>
      <c r="B566" t="s">
        <v>89</v>
      </c>
      <c r="C566" t="s">
        <v>90</v>
      </c>
      <c r="D566" t="s">
        <v>655</v>
      </c>
      <c r="E566">
        <v>-564</v>
      </c>
      <c r="F566" t="s">
        <v>91</v>
      </c>
      <c r="G566" t="s">
        <v>92</v>
      </c>
    </row>
    <row r="567" spans="1:7">
      <c r="A567" t="s">
        <v>58</v>
      </c>
      <c r="B567" t="s">
        <v>89</v>
      </c>
      <c r="C567" t="s">
        <v>90</v>
      </c>
      <c r="D567" t="s">
        <v>656</v>
      </c>
      <c r="E567">
        <v>-565</v>
      </c>
      <c r="F567" t="s">
        <v>91</v>
      </c>
      <c r="G567" t="s">
        <v>92</v>
      </c>
    </row>
    <row r="568" spans="1:7">
      <c r="A568" t="s">
        <v>58</v>
      </c>
      <c r="B568" t="s">
        <v>89</v>
      </c>
      <c r="C568" t="s">
        <v>90</v>
      </c>
      <c r="D568" t="s">
        <v>657</v>
      </c>
      <c r="E568">
        <v>-566</v>
      </c>
      <c r="F568" t="s">
        <v>91</v>
      </c>
      <c r="G568" t="s">
        <v>92</v>
      </c>
    </row>
    <row r="569" spans="1:7">
      <c r="A569" t="s">
        <v>58</v>
      </c>
      <c r="B569" t="s">
        <v>89</v>
      </c>
      <c r="C569" t="s">
        <v>90</v>
      </c>
      <c r="D569" t="s">
        <v>658</v>
      </c>
      <c r="E569">
        <v>-567</v>
      </c>
      <c r="F569" t="s">
        <v>91</v>
      </c>
      <c r="G569" t="s">
        <v>92</v>
      </c>
    </row>
    <row r="570" spans="1:7">
      <c r="A570" t="s">
        <v>58</v>
      </c>
      <c r="B570" t="s">
        <v>89</v>
      </c>
      <c r="C570" t="s">
        <v>90</v>
      </c>
      <c r="D570" t="s">
        <v>659</v>
      </c>
      <c r="E570">
        <v>-568</v>
      </c>
      <c r="F570" t="s">
        <v>91</v>
      </c>
      <c r="G570" t="s">
        <v>92</v>
      </c>
    </row>
    <row r="571" spans="1:7">
      <c r="A571" t="s">
        <v>58</v>
      </c>
      <c r="B571" t="s">
        <v>89</v>
      </c>
      <c r="C571" t="s">
        <v>90</v>
      </c>
      <c r="D571" t="s">
        <v>660</v>
      </c>
      <c r="E571">
        <v>-569</v>
      </c>
      <c r="F571" t="s">
        <v>91</v>
      </c>
      <c r="G571" t="s">
        <v>92</v>
      </c>
    </row>
    <row r="572" spans="1:7">
      <c r="A572" t="s">
        <v>58</v>
      </c>
      <c r="B572" t="s">
        <v>89</v>
      </c>
      <c r="C572" t="s">
        <v>90</v>
      </c>
      <c r="D572" t="s">
        <v>661</v>
      </c>
      <c r="E572">
        <v>-570</v>
      </c>
      <c r="F572" t="s">
        <v>91</v>
      </c>
      <c r="G572" t="s">
        <v>92</v>
      </c>
    </row>
    <row r="573" spans="1:7">
      <c r="A573" t="s">
        <v>58</v>
      </c>
      <c r="B573" t="s">
        <v>89</v>
      </c>
      <c r="C573" t="s">
        <v>90</v>
      </c>
      <c r="D573" t="s">
        <v>662</v>
      </c>
      <c r="E573">
        <v>-571</v>
      </c>
      <c r="F573" t="s">
        <v>91</v>
      </c>
      <c r="G573" t="s">
        <v>92</v>
      </c>
    </row>
    <row r="574" spans="1:7">
      <c r="A574" t="s">
        <v>58</v>
      </c>
      <c r="B574" t="s">
        <v>89</v>
      </c>
      <c r="C574" t="s">
        <v>90</v>
      </c>
      <c r="D574" t="s">
        <v>663</v>
      </c>
      <c r="E574">
        <v>-572</v>
      </c>
      <c r="F574" t="s">
        <v>91</v>
      </c>
      <c r="G574" t="s">
        <v>92</v>
      </c>
    </row>
    <row r="575" spans="1:7">
      <c r="A575" t="s">
        <v>58</v>
      </c>
      <c r="B575" t="s">
        <v>89</v>
      </c>
      <c r="C575" t="s">
        <v>90</v>
      </c>
      <c r="D575" t="s">
        <v>664</v>
      </c>
      <c r="E575">
        <v>-573</v>
      </c>
      <c r="F575" t="s">
        <v>91</v>
      </c>
      <c r="G575" t="s">
        <v>92</v>
      </c>
    </row>
    <row r="576" spans="1:7">
      <c r="A576" t="s">
        <v>58</v>
      </c>
      <c r="B576" t="s">
        <v>89</v>
      </c>
      <c r="C576" t="s">
        <v>90</v>
      </c>
      <c r="D576" t="s">
        <v>665</v>
      </c>
      <c r="E576">
        <v>-574</v>
      </c>
      <c r="F576" t="s">
        <v>91</v>
      </c>
      <c r="G576" t="s">
        <v>92</v>
      </c>
    </row>
    <row r="577" spans="1:7">
      <c r="A577" t="s">
        <v>58</v>
      </c>
      <c r="B577" t="s">
        <v>89</v>
      </c>
      <c r="C577" t="s">
        <v>90</v>
      </c>
      <c r="D577" t="s">
        <v>666</v>
      </c>
      <c r="E577">
        <v>-575</v>
      </c>
      <c r="F577" t="s">
        <v>91</v>
      </c>
      <c r="G577" t="s">
        <v>92</v>
      </c>
    </row>
    <row r="578" spans="1:7">
      <c r="A578" t="s">
        <v>58</v>
      </c>
      <c r="B578" t="s">
        <v>89</v>
      </c>
      <c r="C578" t="s">
        <v>90</v>
      </c>
      <c r="D578" t="s">
        <v>667</v>
      </c>
      <c r="E578">
        <v>-576</v>
      </c>
      <c r="F578" t="s">
        <v>91</v>
      </c>
      <c r="G578" t="s">
        <v>92</v>
      </c>
    </row>
    <row r="579" spans="1:7">
      <c r="A579" t="s">
        <v>58</v>
      </c>
      <c r="B579" t="s">
        <v>89</v>
      </c>
      <c r="C579" t="s">
        <v>90</v>
      </c>
      <c r="D579" t="s">
        <v>668</v>
      </c>
      <c r="E579">
        <v>-577</v>
      </c>
      <c r="F579" t="s">
        <v>91</v>
      </c>
      <c r="G579" t="s">
        <v>92</v>
      </c>
    </row>
    <row r="580" spans="1:7">
      <c r="A580" t="s">
        <v>58</v>
      </c>
      <c r="B580" t="s">
        <v>89</v>
      </c>
      <c r="C580" t="s">
        <v>90</v>
      </c>
      <c r="D580" t="s">
        <v>669</v>
      </c>
      <c r="E580">
        <v>-578</v>
      </c>
      <c r="F580" t="s">
        <v>91</v>
      </c>
      <c r="G580" t="s">
        <v>92</v>
      </c>
    </row>
    <row r="581" spans="1:7">
      <c r="A581" t="s">
        <v>58</v>
      </c>
      <c r="B581" t="s">
        <v>89</v>
      </c>
      <c r="C581" t="s">
        <v>90</v>
      </c>
      <c r="D581" t="s">
        <v>670</v>
      </c>
      <c r="E581">
        <v>-579</v>
      </c>
      <c r="F581" t="s">
        <v>91</v>
      </c>
      <c r="G581" t="s">
        <v>92</v>
      </c>
    </row>
    <row r="582" spans="1:7">
      <c r="A582" t="s">
        <v>58</v>
      </c>
      <c r="B582" t="s">
        <v>89</v>
      </c>
      <c r="C582" t="s">
        <v>90</v>
      </c>
      <c r="D582" t="s">
        <v>671</v>
      </c>
      <c r="E582">
        <v>-580</v>
      </c>
      <c r="F582" t="s">
        <v>91</v>
      </c>
      <c r="G582" t="s">
        <v>92</v>
      </c>
    </row>
    <row r="583" spans="1:7">
      <c r="A583" t="s">
        <v>58</v>
      </c>
      <c r="B583" t="s">
        <v>89</v>
      </c>
      <c r="C583" t="s">
        <v>90</v>
      </c>
      <c r="D583" t="s">
        <v>672</v>
      </c>
      <c r="E583">
        <v>-581</v>
      </c>
      <c r="F583" t="s">
        <v>91</v>
      </c>
      <c r="G583" t="s">
        <v>92</v>
      </c>
    </row>
    <row r="584" spans="1:7">
      <c r="A584" t="s">
        <v>58</v>
      </c>
      <c r="B584" t="s">
        <v>89</v>
      </c>
      <c r="C584" t="s">
        <v>90</v>
      </c>
      <c r="D584" t="s">
        <v>673</v>
      </c>
      <c r="E584">
        <v>-582</v>
      </c>
      <c r="F584" t="s">
        <v>91</v>
      </c>
      <c r="G584" t="s">
        <v>92</v>
      </c>
    </row>
    <row r="585" spans="1:7">
      <c r="A585" t="s">
        <v>58</v>
      </c>
      <c r="B585" t="s">
        <v>89</v>
      </c>
      <c r="C585" t="s">
        <v>90</v>
      </c>
      <c r="D585" t="s">
        <v>674</v>
      </c>
      <c r="E585">
        <v>-583</v>
      </c>
      <c r="F585" t="s">
        <v>91</v>
      </c>
      <c r="G585" t="s">
        <v>92</v>
      </c>
    </row>
    <row r="586" spans="1:7">
      <c r="A586" t="s">
        <v>58</v>
      </c>
      <c r="B586" t="s">
        <v>89</v>
      </c>
      <c r="C586" t="s">
        <v>90</v>
      </c>
      <c r="D586" t="s">
        <v>675</v>
      </c>
      <c r="E586">
        <v>-584</v>
      </c>
      <c r="F586" t="s">
        <v>91</v>
      </c>
      <c r="G586" t="s">
        <v>92</v>
      </c>
    </row>
    <row r="587" spans="1:7">
      <c r="A587" t="s">
        <v>58</v>
      </c>
      <c r="B587" t="s">
        <v>89</v>
      </c>
      <c r="C587" t="s">
        <v>90</v>
      </c>
      <c r="D587" t="s">
        <v>676</v>
      </c>
      <c r="E587">
        <v>-585</v>
      </c>
      <c r="F587" t="s">
        <v>91</v>
      </c>
      <c r="G587" t="s">
        <v>92</v>
      </c>
    </row>
    <row r="588" spans="1:7">
      <c r="A588" t="s">
        <v>58</v>
      </c>
      <c r="B588" t="s">
        <v>89</v>
      </c>
      <c r="C588" t="s">
        <v>90</v>
      </c>
      <c r="D588" t="s">
        <v>677</v>
      </c>
      <c r="E588">
        <v>-586</v>
      </c>
      <c r="F588" t="s">
        <v>91</v>
      </c>
      <c r="G588" t="s">
        <v>92</v>
      </c>
    </row>
    <row r="589" spans="1:7">
      <c r="A589" t="s">
        <v>58</v>
      </c>
      <c r="B589" t="s">
        <v>89</v>
      </c>
      <c r="C589" t="s">
        <v>90</v>
      </c>
      <c r="D589" t="s">
        <v>678</v>
      </c>
      <c r="E589">
        <v>-587</v>
      </c>
      <c r="F589" t="s">
        <v>91</v>
      </c>
      <c r="G589" t="s">
        <v>92</v>
      </c>
    </row>
    <row r="590" spans="1:7">
      <c r="A590" t="s">
        <v>58</v>
      </c>
      <c r="B590" t="s">
        <v>89</v>
      </c>
      <c r="C590" t="s">
        <v>90</v>
      </c>
      <c r="D590" t="s">
        <v>679</v>
      </c>
      <c r="E590">
        <v>-588</v>
      </c>
      <c r="F590" t="s">
        <v>91</v>
      </c>
      <c r="G590" t="s">
        <v>92</v>
      </c>
    </row>
    <row r="591" spans="1:7">
      <c r="A591" t="s">
        <v>58</v>
      </c>
      <c r="B591" t="s">
        <v>89</v>
      </c>
      <c r="C591" t="s">
        <v>90</v>
      </c>
      <c r="D591" t="s">
        <v>680</v>
      </c>
      <c r="E591">
        <v>-589</v>
      </c>
      <c r="F591" t="s">
        <v>91</v>
      </c>
      <c r="G591" t="s">
        <v>92</v>
      </c>
    </row>
    <row r="592" spans="1:7">
      <c r="A592" t="s">
        <v>58</v>
      </c>
      <c r="B592" t="s">
        <v>89</v>
      </c>
      <c r="C592" t="s">
        <v>90</v>
      </c>
      <c r="D592" t="s">
        <v>681</v>
      </c>
      <c r="E592">
        <v>-590</v>
      </c>
      <c r="F592" t="s">
        <v>91</v>
      </c>
      <c r="G592" t="s">
        <v>92</v>
      </c>
    </row>
    <row r="593" spans="1:7">
      <c r="A593" t="s">
        <v>58</v>
      </c>
      <c r="B593" t="s">
        <v>89</v>
      </c>
      <c r="C593" t="s">
        <v>90</v>
      </c>
      <c r="D593" t="s">
        <v>682</v>
      </c>
      <c r="E593">
        <v>-591</v>
      </c>
      <c r="F593" t="s">
        <v>91</v>
      </c>
      <c r="G593" t="s">
        <v>92</v>
      </c>
    </row>
    <row r="594" spans="1:7">
      <c r="A594" t="s">
        <v>58</v>
      </c>
      <c r="B594" t="s">
        <v>89</v>
      </c>
      <c r="C594" t="s">
        <v>90</v>
      </c>
      <c r="D594" t="s">
        <v>683</v>
      </c>
      <c r="E594">
        <v>-592</v>
      </c>
      <c r="F594" t="s">
        <v>91</v>
      </c>
      <c r="G594" t="s">
        <v>92</v>
      </c>
    </row>
    <row r="595" spans="1:7">
      <c r="A595" t="s">
        <v>58</v>
      </c>
      <c r="B595" t="s">
        <v>89</v>
      </c>
      <c r="C595" t="s">
        <v>90</v>
      </c>
      <c r="D595" t="s">
        <v>684</v>
      </c>
      <c r="E595">
        <v>-593</v>
      </c>
      <c r="F595" t="s">
        <v>91</v>
      </c>
      <c r="G595" t="s">
        <v>92</v>
      </c>
    </row>
    <row r="596" spans="1:7">
      <c r="A596" t="s">
        <v>58</v>
      </c>
      <c r="B596" t="s">
        <v>89</v>
      </c>
      <c r="C596" t="s">
        <v>90</v>
      </c>
      <c r="D596" t="s">
        <v>685</v>
      </c>
      <c r="E596">
        <v>-594</v>
      </c>
      <c r="F596" t="s">
        <v>91</v>
      </c>
      <c r="G596" t="s">
        <v>92</v>
      </c>
    </row>
    <row r="597" spans="1:7">
      <c r="A597" t="s">
        <v>58</v>
      </c>
      <c r="B597" t="s">
        <v>89</v>
      </c>
      <c r="C597" t="s">
        <v>90</v>
      </c>
      <c r="D597" t="s">
        <v>686</v>
      </c>
      <c r="E597">
        <v>-595</v>
      </c>
      <c r="F597" t="s">
        <v>91</v>
      </c>
      <c r="G597" t="s">
        <v>92</v>
      </c>
    </row>
    <row r="598" spans="1:7">
      <c r="A598" t="s">
        <v>58</v>
      </c>
      <c r="B598" t="s">
        <v>89</v>
      </c>
      <c r="C598" t="s">
        <v>90</v>
      </c>
      <c r="D598" t="s">
        <v>687</v>
      </c>
      <c r="E598">
        <v>-596</v>
      </c>
      <c r="F598" t="s">
        <v>91</v>
      </c>
      <c r="G598" t="s">
        <v>92</v>
      </c>
    </row>
    <row r="599" spans="1:7">
      <c r="A599" t="s">
        <v>58</v>
      </c>
      <c r="B599" t="s">
        <v>89</v>
      </c>
      <c r="C599" t="s">
        <v>90</v>
      </c>
      <c r="D599" t="s">
        <v>688</v>
      </c>
      <c r="E599">
        <v>-597</v>
      </c>
      <c r="F599" t="s">
        <v>91</v>
      </c>
      <c r="G599" t="s">
        <v>92</v>
      </c>
    </row>
    <row r="600" spans="1:7">
      <c r="A600" t="s">
        <v>58</v>
      </c>
      <c r="B600" t="s">
        <v>89</v>
      </c>
      <c r="C600" t="s">
        <v>90</v>
      </c>
      <c r="D600" t="s">
        <v>689</v>
      </c>
      <c r="E600">
        <v>-598</v>
      </c>
      <c r="F600" t="s">
        <v>91</v>
      </c>
      <c r="G600" t="s">
        <v>92</v>
      </c>
    </row>
    <row r="601" spans="1:7">
      <c r="A601" t="s">
        <v>58</v>
      </c>
      <c r="B601" t="s">
        <v>89</v>
      </c>
      <c r="C601" t="s">
        <v>90</v>
      </c>
      <c r="D601" t="s">
        <v>690</v>
      </c>
      <c r="E601">
        <v>-599</v>
      </c>
      <c r="F601" t="s">
        <v>91</v>
      </c>
      <c r="G601" t="s">
        <v>92</v>
      </c>
    </row>
    <row r="602" spans="1:7">
      <c r="A602" t="s">
        <v>58</v>
      </c>
      <c r="B602" t="s">
        <v>89</v>
      </c>
      <c r="C602" t="s">
        <v>90</v>
      </c>
      <c r="D602" t="s">
        <v>691</v>
      </c>
      <c r="E602">
        <v>-600</v>
      </c>
      <c r="F602" t="s">
        <v>91</v>
      </c>
      <c r="G602" t="s">
        <v>92</v>
      </c>
    </row>
    <row r="603" spans="1:7">
      <c r="A603" t="s">
        <v>58</v>
      </c>
      <c r="B603" t="s">
        <v>89</v>
      </c>
      <c r="C603" t="s">
        <v>90</v>
      </c>
      <c r="D603" t="s">
        <v>692</v>
      </c>
      <c r="E603">
        <v>-601</v>
      </c>
      <c r="F603" t="s">
        <v>91</v>
      </c>
      <c r="G603" t="s">
        <v>92</v>
      </c>
    </row>
    <row r="604" spans="1:7">
      <c r="A604" t="s">
        <v>58</v>
      </c>
      <c r="B604" t="s">
        <v>89</v>
      </c>
      <c r="C604" t="s">
        <v>90</v>
      </c>
      <c r="D604" t="s">
        <v>693</v>
      </c>
      <c r="E604">
        <v>-602</v>
      </c>
      <c r="F604" t="s">
        <v>91</v>
      </c>
      <c r="G604" t="s">
        <v>92</v>
      </c>
    </row>
    <row r="605" spans="1:7">
      <c r="A605" t="s">
        <v>58</v>
      </c>
      <c r="B605" t="s">
        <v>89</v>
      </c>
      <c r="C605" t="s">
        <v>90</v>
      </c>
      <c r="D605" t="s">
        <v>694</v>
      </c>
      <c r="E605">
        <v>-603</v>
      </c>
      <c r="F605" t="s">
        <v>91</v>
      </c>
      <c r="G605" t="s">
        <v>92</v>
      </c>
    </row>
    <row r="606" spans="1:7">
      <c r="A606" t="s">
        <v>58</v>
      </c>
      <c r="B606" t="s">
        <v>89</v>
      </c>
      <c r="C606" t="s">
        <v>90</v>
      </c>
      <c r="D606" t="s">
        <v>695</v>
      </c>
      <c r="E606">
        <v>-604</v>
      </c>
      <c r="F606" t="s">
        <v>91</v>
      </c>
      <c r="G606" t="s">
        <v>92</v>
      </c>
    </row>
    <row r="607" spans="1:7">
      <c r="A607" t="s">
        <v>58</v>
      </c>
      <c r="B607" t="s">
        <v>89</v>
      </c>
      <c r="C607" t="s">
        <v>90</v>
      </c>
      <c r="D607" t="s">
        <v>696</v>
      </c>
      <c r="E607">
        <v>-605</v>
      </c>
      <c r="F607" t="s">
        <v>91</v>
      </c>
      <c r="G607" t="s">
        <v>92</v>
      </c>
    </row>
    <row r="608" spans="1:7">
      <c r="A608" t="s">
        <v>58</v>
      </c>
      <c r="B608" t="s">
        <v>89</v>
      </c>
      <c r="C608" t="s">
        <v>90</v>
      </c>
      <c r="D608" t="s">
        <v>697</v>
      </c>
      <c r="E608">
        <v>-606</v>
      </c>
      <c r="F608" t="s">
        <v>91</v>
      </c>
      <c r="G608" t="s">
        <v>92</v>
      </c>
    </row>
    <row r="609" spans="1:7">
      <c r="A609" t="s">
        <v>58</v>
      </c>
      <c r="B609" t="s">
        <v>89</v>
      </c>
      <c r="C609" t="s">
        <v>90</v>
      </c>
      <c r="D609" t="s">
        <v>698</v>
      </c>
      <c r="E609">
        <v>-607</v>
      </c>
      <c r="F609" t="s">
        <v>91</v>
      </c>
      <c r="G609" t="s">
        <v>92</v>
      </c>
    </row>
    <row r="610" spans="1:7">
      <c r="A610" t="s">
        <v>58</v>
      </c>
      <c r="B610" t="s">
        <v>89</v>
      </c>
      <c r="C610" t="s">
        <v>90</v>
      </c>
      <c r="D610" t="s">
        <v>699</v>
      </c>
      <c r="E610">
        <v>-608</v>
      </c>
      <c r="F610" t="s">
        <v>91</v>
      </c>
      <c r="G610" t="s">
        <v>92</v>
      </c>
    </row>
    <row r="611" spans="1:7">
      <c r="A611" t="s">
        <v>58</v>
      </c>
      <c r="B611" t="s">
        <v>89</v>
      </c>
      <c r="C611" t="s">
        <v>90</v>
      </c>
      <c r="D611" t="s">
        <v>700</v>
      </c>
      <c r="E611">
        <v>-609</v>
      </c>
      <c r="F611" t="s">
        <v>91</v>
      </c>
      <c r="G611" t="s">
        <v>92</v>
      </c>
    </row>
    <row r="612" spans="1:7">
      <c r="A612" t="s">
        <v>58</v>
      </c>
      <c r="B612" t="s">
        <v>89</v>
      </c>
      <c r="C612" t="s">
        <v>90</v>
      </c>
      <c r="D612" t="s">
        <v>701</v>
      </c>
      <c r="E612">
        <v>-610</v>
      </c>
      <c r="F612" t="s">
        <v>91</v>
      </c>
      <c r="G612" t="s">
        <v>92</v>
      </c>
    </row>
    <row r="613" spans="1:7">
      <c r="A613" t="s">
        <v>58</v>
      </c>
      <c r="B613" t="s">
        <v>89</v>
      </c>
      <c r="C613" t="s">
        <v>90</v>
      </c>
      <c r="D613" t="s">
        <v>702</v>
      </c>
      <c r="E613">
        <v>-611</v>
      </c>
      <c r="F613" t="s">
        <v>91</v>
      </c>
      <c r="G613" t="s">
        <v>92</v>
      </c>
    </row>
    <row r="614" spans="1:7">
      <c r="A614" t="s">
        <v>58</v>
      </c>
      <c r="B614" t="s">
        <v>89</v>
      </c>
      <c r="C614" t="s">
        <v>90</v>
      </c>
      <c r="D614" t="s">
        <v>703</v>
      </c>
      <c r="E614">
        <v>-612</v>
      </c>
      <c r="F614" t="s">
        <v>91</v>
      </c>
      <c r="G614" t="s">
        <v>92</v>
      </c>
    </row>
    <row r="615" spans="1:7">
      <c r="A615" t="s">
        <v>58</v>
      </c>
      <c r="B615" t="s">
        <v>89</v>
      </c>
      <c r="C615" t="s">
        <v>90</v>
      </c>
      <c r="D615" t="s">
        <v>704</v>
      </c>
      <c r="E615">
        <v>-613</v>
      </c>
      <c r="F615" t="s">
        <v>91</v>
      </c>
      <c r="G615" t="s">
        <v>92</v>
      </c>
    </row>
    <row r="616" spans="1:7">
      <c r="A616" t="s">
        <v>58</v>
      </c>
      <c r="B616" t="s">
        <v>89</v>
      </c>
      <c r="C616" t="s">
        <v>90</v>
      </c>
      <c r="D616" t="s">
        <v>705</v>
      </c>
      <c r="E616">
        <v>-614</v>
      </c>
      <c r="F616" t="s">
        <v>91</v>
      </c>
      <c r="G616" t="s">
        <v>92</v>
      </c>
    </row>
    <row r="617" spans="1:7">
      <c r="A617" t="s">
        <v>58</v>
      </c>
      <c r="B617" t="s">
        <v>89</v>
      </c>
      <c r="C617" t="s">
        <v>90</v>
      </c>
      <c r="D617" t="s">
        <v>706</v>
      </c>
      <c r="E617">
        <v>-615</v>
      </c>
      <c r="F617" t="s">
        <v>91</v>
      </c>
      <c r="G617" t="s">
        <v>92</v>
      </c>
    </row>
    <row r="618" spans="1:7">
      <c r="A618" t="s">
        <v>58</v>
      </c>
      <c r="B618" t="s">
        <v>89</v>
      </c>
      <c r="C618" t="s">
        <v>90</v>
      </c>
      <c r="D618" t="s">
        <v>707</v>
      </c>
      <c r="E618">
        <v>-616</v>
      </c>
      <c r="F618" t="s">
        <v>91</v>
      </c>
      <c r="G618" t="s">
        <v>92</v>
      </c>
    </row>
    <row r="619" spans="1:7">
      <c r="A619" t="s">
        <v>58</v>
      </c>
      <c r="B619" t="s">
        <v>89</v>
      </c>
      <c r="C619" t="s">
        <v>90</v>
      </c>
      <c r="D619" t="s">
        <v>708</v>
      </c>
      <c r="E619">
        <v>-617</v>
      </c>
      <c r="F619" t="s">
        <v>91</v>
      </c>
      <c r="G619" t="s">
        <v>92</v>
      </c>
    </row>
    <row r="620" spans="1:7">
      <c r="A620" t="s">
        <v>58</v>
      </c>
      <c r="B620" t="s">
        <v>89</v>
      </c>
      <c r="C620" t="s">
        <v>90</v>
      </c>
      <c r="D620" t="s">
        <v>709</v>
      </c>
      <c r="E620">
        <v>-618</v>
      </c>
      <c r="F620" t="s">
        <v>91</v>
      </c>
      <c r="G620" t="s">
        <v>92</v>
      </c>
    </row>
    <row r="621" spans="1:7">
      <c r="A621" t="s">
        <v>58</v>
      </c>
      <c r="B621" t="s">
        <v>89</v>
      </c>
      <c r="C621" t="s">
        <v>90</v>
      </c>
      <c r="D621" t="s">
        <v>710</v>
      </c>
      <c r="E621">
        <v>-619</v>
      </c>
      <c r="F621" t="s">
        <v>91</v>
      </c>
      <c r="G621" t="s">
        <v>92</v>
      </c>
    </row>
    <row r="622" spans="1:7">
      <c r="A622" t="s">
        <v>58</v>
      </c>
      <c r="B622" t="s">
        <v>89</v>
      </c>
      <c r="C622" t="s">
        <v>90</v>
      </c>
      <c r="D622" t="s">
        <v>711</v>
      </c>
      <c r="E622">
        <v>-620</v>
      </c>
      <c r="F622" t="s">
        <v>91</v>
      </c>
      <c r="G622" t="s">
        <v>92</v>
      </c>
    </row>
    <row r="623" spans="1:7">
      <c r="A623" t="s">
        <v>58</v>
      </c>
      <c r="B623" t="s">
        <v>89</v>
      </c>
      <c r="C623" t="s">
        <v>90</v>
      </c>
      <c r="D623" t="s">
        <v>712</v>
      </c>
      <c r="E623">
        <v>-621</v>
      </c>
      <c r="F623" t="s">
        <v>91</v>
      </c>
      <c r="G623" t="s">
        <v>92</v>
      </c>
    </row>
    <row r="624" spans="1:7">
      <c r="A624" t="s">
        <v>58</v>
      </c>
      <c r="B624" t="s">
        <v>89</v>
      </c>
      <c r="C624" t="s">
        <v>90</v>
      </c>
      <c r="D624" t="s">
        <v>713</v>
      </c>
      <c r="E624">
        <v>-622</v>
      </c>
      <c r="F624" t="s">
        <v>91</v>
      </c>
      <c r="G624" t="s">
        <v>92</v>
      </c>
    </row>
    <row r="625" spans="1:7">
      <c r="A625" t="s">
        <v>58</v>
      </c>
      <c r="B625" t="s">
        <v>89</v>
      </c>
      <c r="C625" t="s">
        <v>90</v>
      </c>
      <c r="D625" t="s">
        <v>714</v>
      </c>
      <c r="E625">
        <v>-623</v>
      </c>
      <c r="F625" t="s">
        <v>91</v>
      </c>
      <c r="G625" t="s">
        <v>92</v>
      </c>
    </row>
    <row r="626" spans="1:7">
      <c r="A626" t="s">
        <v>58</v>
      </c>
      <c r="B626" t="s">
        <v>89</v>
      </c>
      <c r="C626" t="s">
        <v>90</v>
      </c>
      <c r="D626" t="s">
        <v>715</v>
      </c>
      <c r="E626">
        <v>-624</v>
      </c>
      <c r="F626" t="s">
        <v>91</v>
      </c>
      <c r="G626" t="s">
        <v>92</v>
      </c>
    </row>
    <row r="627" spans="1:7">
      <c r="A627" t="s">
        <v>58</v>
      </c>
      <c r="B627" t="s">
        <v>89</v>
      </c>
      <c r="C627" t="s">
        <v>90</v>
      </c>
      <c r="D627" t="s">
        <v>716</v>
      </c>
      <c r="E627">
        <v>-625</v>
      </c>
      <c r="F627" t="s">
        <v>91</v>
      </c>
      <c r="G627" t="s">
        <v>92</v>
      </c>
    </row>
    <row r="628" spans="1:7">
      <c r="A628" t="s">
        <v>58</v>
      </c>
      <c r="B628" t="s">
        <v>89</v>
      </c>
      <c r="C628" t="s">
        <v>90</v>
      </c>
      <c r="D628" t="s">
        <v>717</v>
      </c>
      <c r="E628">
        <v>-626</v>
      </c>
      <c r="F628" t="s">
        <v>91</v>
      </c>
      <c r="G628" t="s">
        <v>92</v>
      </c>
    </row>
    <row r="629" spans="1:7">
      <c r="A629" t="s">
        <v>58</v>
      </c>
      <c r="B629" t="s">
        <v>89</v>
      </c>
      <c r="C629" t="s">
        <v>90</v>
      </c>
      <c r="D629" t="s">
        <v>718</v>
      </c>
      <c r="E629">
        <v>-627</v>
      </c>
      <c r="F629" t="s">
        <v>91</v>
      </c>
      <c r="G629" t="s">
        <v>92</v>
      </c>
    </row>
    <row r="630" spans="1:7">
      <c r="A630" t="s">
        <v>58</v>
      </c>
      <c r="B630" t="s">
        <v>89</v>
      </c>
      <c r="C630" t="s">
        <v>90</v>
      </c>
      <c r="D630" t="s">
        <v>719</v>
      </c>
      <c r="E630">
        <v>-628</v>
      </c>
      <c r="F630" t="s">
        <v>91</v>
      </c>
      <c r="G630" t="s">
        <v>92</v>
      </c>
    </row>
    <row r="631" spans="1:7">
      <c r="A631" t="s">
        <v>58</v>
      </c>
      <c r="B631" t="s">
        <v>89</v>
      </c>
      <c r="C631" t="s">
        <v>90</v>
      </c>
      <c r="D631" t="s">
        <v>720</v>
      </c>
      <c r="E631">
        <v>-629</v>
      </c>
      <c r="F631" t="s">
        <v>91</v>
      </c>
      <c r="G631" t="s">
        <v>92</v>
      </c>
    </row>
    <row r="632" spans="1:7">
      <c r="A632" t="s">
        <v>58</v>
      </c>
      <c r="B632" t="s">
        <v>89</v>
      </c>
      <c r="C632" t="s">
        <v>90</v>
      </c>
      <c r="D632" t="s">
        <v>721</v>
      </c>
      <c r="E632">
        <v>-630</v>
      </c>
      <c r="F632" t="s">
        <v>91</v>
      </c>
      <c r="G632" t="s">
        <v>92</v>
      </c>
    </row>
    <row r="633" spans="1:7">
      <c r="A633" t="s">
        <v>58</v>
      </c>
      <c r="B633" t="s">
        <v>89</v>
      </c>
      <c r="C633" t="s">
        <v>90</v>
      </c>
      <c r="D633" t="s">
        <v>722</v>
      </c>
      <c r="E633">
        <v>-631</v>
      </c>
      <c r="F633" t="s">
        <v>91</v>
      </c>
      <c r="G633" t="s">
        <v>92</v>
      </c>
    </row>
    <row r="634" spans="1:7">
      <c r="A634" t="s">
        <v>58</v>
      </c>
      <c r="B634" t="s">
        <v>89</v>
      </c>
      <c r="C634" t="s">
        <v>90</v>
      </c>
      <c r="D634" t="s">
        <v>723</v>
      </c>
      <c r="E634">
        <v>-632</v>
      </c>
      <c r="F634" t="s">
        <v>91</v>
      </c>
      <c r="G634" t="s">
        <v>92</v>
      </c>
    </row>
    <row r="635" spans="1:7">
      <c r="A635" t="s">
        <v>58</v>
      </c>
      <c r="B635" t="s">
        <v>89</v>
      </c>
      <c r="C635" t="s">
        <v>90</v>
      </c>
      <c r="D635" t="s">
        <v>724</v>
      </c>
      <c r="E635">
        <v>-633</v>
      </c>
      <c r="F635" t="s">
        <v>91</v>
      </c>
      <c r="G635" t="s">
        <v>92</v>
      </c>
    </row>
    <row r="636" spans="1:7">
      <c r="A636" t="s">
        <v>58</v>
      </c>
      <c r="B636" t="s">
        <v>89</v>
      </c>
      <c r="C636" t="s">
        <v>90</v>
      </c>
      <c r="D636" t="s">
        <v>725</v>
      </c>
      <c r="E636">
        <v>-634</v>
      </c>
      <c r="F636" t="s">
        <v>91</v>
      </c>
      <c r="G636" t="s">
        <v>92</v>
      </c>
    </row>
    <row r="637" spans="1:7">
      <c r="A637" t="s">
        <v>58</v>
      </c>
      <c r="B637" t="s">
        <v>89</v>
      </c>
      <c r="C637" t="s">
        <v>90</v>
      </c>
      <c r="D637" t="s">
        <v>726</v>
      </c>
      <c r="E637">
        <v>-635</v>
      </c>
      <c r="F637" t="s">
        <v>91</v>
      </c>
      <c r="G637" t="s">
        <v>92</v>
      </c>
    </row>
    <row r="638" spans="1:7">
      <c r="A638" t="s">
        <v>58</v>
      </c>
      <c r="B638" t="s">
        <v>89</v>
      </c>
      <c r="C638" t="s">
        <v>90</v>
      </c>
      <c r="D638" t="s">
        <v>727</v>
      </c>
      <c r="E638">
        <v>-636</v>
      </c>
      <c r="F638" t="s">
        <v>91</v>
      </c>
      <c r="G638" t="s">
        <v>92</v>
      </c>
    </row>
    <row r="639" spans="1:7">
      <c r="A639" t="s">
        <v>58</v>
      </c>
      <c r="B639" t="s">
        <v>89</v>
      </c>
      <c r="C639" t="s">
        <v>90</v>
      </c>
      <c r="D639" t="s">
        <v>728</v>
      </c>
      <c r="E639">
        <v>-637</v>
      </c>
      <c r="F639" t="s">
        <v>91</v>
      </c>
      <c r="G639" t="s">
        <v>92</v>
      </c>
    </row>
    <row r="640" spans="1:7">
      <c r="A640" t="s">
        <v>58</v>
      </c>
      <c r="B640" t="s">
        <v>89</v>
      </c>
      <c r="C640" t="s">
        <v>90</v>
      </c>
      <c r="D640" t="s">
        <v>729</v>
      </c>
      <c r="E640">
        <v>-638</v>
      </c>
      <c r="F640" t="s">
        <v>91</v>
      </c>
      <c r="G640" t="s">
        <v>92</v>
      </c>
    </row>
    <row r="641" spans="1:7">
      <c r="A641" t="s">
        <v>58</v>
      </c>
      <c r="B641" t="s">
        <v>89</v>
      </c>
      <c r="C641" t="s">
        <v>90</v>
      </c>
      <c r="D641" t="s">
        <v>730</v>
      </c>
      <c r="E641">
        <v>-639</v>
      </c>
      <c r="F641" t="s">
        <v>91</v>
      </c>
      <c r="G641" t="s">
        <v>92</v>
      </c>
    </row>
    <row r="642" spans="1:7">
      <c r="A642" t="s">
        <v>58</v>
      </c>
      <c r="B642" t="s">
        <v>89</v>
      </c>
      <c r="C642" t="s">
        <v>90</v>
      </c>
      <c r="D642" t="s">
        <v>731</v>
      </c>
      <c r="E642">
        <v>-640</v>
      </c>
      <c r="F642" t="s">
        <v>91</v>
      </c>
      <c r="G642" t="s">
        <v>92</v>
      </c>
    </row>
    <row r="643" spans="1:7">
      <c r="A643" t="s">
        <v>58</v>
      </c>
      <c r="B643" t="s">
        <v>89</v>
      </c>
      <c r="C643" t="s">
        <v>90</v>
      </c>
      <c r="D643" t="s">
        <v>732</v>
      </c>
      <c r="E643">
        <v>-641</v>
      </c>
      <c r="F643" t="s">
        <v>91</v>
      </c>
      <c r="G643" t="s">
        <v>92</v>
      </c>
    </row>
    <row r="644" spans="1:7">
      <c r="A644" t="s">
        <v>58</v>
      </c>
      <c r="B644" t="s">
        <v>89</v>
      </c>
      <c r="C644" t="s">
        <v>90</v>
      </c>
      <c r="D644" t="s">
        <v>733</v>
      </c>
      <c r="E644">
        <v>-642</v>
      </c>
      <c r="F644" t="s">
        <v>91</v>
      </c>
      <c r="G644" t="s">
        <v>92</v>
      </c>
    </row>
    <row r="645" spans="1:7">
      <c r="A645" t="s">
        <v>58</v>
      </c>
      <c r="B645" t="s">
        <v>89</v>
      </c>
      <c r="C645" t="s">
        <v>90</v>
      </c>
      <c r="D645" t="s">
        <v>734</v>
      </c>
      <c r="E645">
        <v>-643</v>
      </c>
      <c r="F645" t="s">
        <v>91</v>
      </c>
      <c r="G645" t="s">
        <v>92</v>
      </c>
    </row>
    <row r="646" spans="1:7">
      <c r="A646" t="s">
        <v>58</v>
      </c>
      <c r="B646" t="s">
        <v>89</v>
      </c>
      <c r="C646" t="s">
        <v>90</v>
      </c>
      <c r="D646" t="s">
        <v>735</v>
      </c>
      <c r="E646">
        <v>-644</v>
      </c>
      <c r="F646" t="s">
        <v>91</v>
      </c>
      <c r="G646" t="s">
        <v>92</v>
      </c>
    </row>
    <row r="647" spans="1:7">
      <c r="A647" t="s">
        <v>58</v>
      </c>
      <c r="B647" t="s">
        <v>89</v>
      </c>
      <c r="C647" t="s">
        <v>90</v>
      </c>
      <c r="D647" t="s">
        <v>736</v>
      </c>
      <c r="E647">
        <v>-645</v>
      </c>
      <c r="F647" t="s">
        <v>91</v>
      </c>
      <c r="G647" t="s">
        <v>92</v>
      </c>
    </row>
    <row r="648" spans="1:7">
      <c r="A648" t="s">
        <v>58</v>
      </c>
      <c r="B648" t="s">
        <v>89</v>
      </c>
      <c r="C648" t="s">
        <v>90</v>
      </c>
      <c r="D648" t="s">
        <v>737</v>
      </c>
      <c r="E648">
        <v>-646</v>
      </c>
      <c r="F648" t="s">
        <v>91</v>
      </c>
      <c r="G648" t="s">
        <v>92</v>
      </c>
    </row>
    <row r="649" spans="1:7">
      <c r="A649" t="s">
        <v>58</v>
      </c>
      <c r="B649" t="s">
        <v>89</v>
      </c>
      <c r="C649" t="s">
        <v>90</v>
      </c>
      <c r="D649" t="s">
        <v>738</v>
      </c>
      <c r="E649">
        <v>-647</v>
      </c>
      <c r="F649" t="s">
        <v>91</v>
      </c>
      <c r="G649" t="s">
        <v>92</v>
      </c>
    </row>
    <row r="650" spans="1:7">
      <c r="A650" t="s">
        <v>58</v>
      </c>
      <c r="B650" t="s">
        <v>89</v>
      </c>
      <c r="C650" t="s">
        <v>90</v>
      </c>
      <c r="D650" t="s">
        <v>739</v>
      </c>
      <c r="E650">
        <v>-648</v>
      </c>
      <c r="F650" t="s">
        <v>91</v>
      </c>
      <c r="G650" t="s">
        <v>92</v>
      </c>
    </row>
    <row r="651" spans="1:7">
      <c r="A651" t="s">
        <v>58</v>
      </c>
      <c r="B651" t="s">
        <v>89</v>
      </c>
      <c r="C651" t="s">
        <v>90</v>
      </c>
      <c r="D651" t="s">
        <v>740</v>
      </c>
      <c r="E651">
        <v>-649</v>
      </c>
      <c r="F651" t="s">
        <v>91</v>
      </c>
      <c r="G651" t="s">
        <v>92</v>
      </c>
    </row>
    <row r="652" spans="1:7">
      <c r="A652" t="s">
        <v>58</v>
      </c>
      <c r="B652" t="s">
        <v>89</v>
      </c>
      <c r="C652" t="s">
        <v>90</v>
      </c>
      <c r="D652" t="s">
        <v>741</v>
      </c>
      <c r="E652">
        <v>-650</v>
      </c>
      <c r="F652" t="s">
        <v>91</v>
      </c>
      <c r="G652" t="s">
        <v>92</v>
      </c>
    </row>
    <row r="653" spans="1:7">
      <c r="A653" t="s">
        <v>58</v>
      </c>
      <c r="B653" t="s">
        <v>89</v>
      </c>
      <c r="C653" t="s">
        <v>90</v>
      </c>
      <c r="D653" t="s">
        <v>742</v>
      </c>
      <c r="E653">
        <v>-651</v>
      </c>
      <c r="F653" t="s">
        <v>91</v>
      </c>
      <c r="G653" t="s">
        <v>92</v>
      </c>
    </row>
    <row r="654" spans="1:7">
      <c r="A654" t="s">
        <v>58</v>
      </c>
      <c r="B654" t="s">
        <v>89</v>
      </c>
      <c r="C654" t="s">
        <v>90</v>
      </c>
      <c r="D654" t="s">
        <v>743</v>
      </c>
      <c r="E654">
        <v>-652</v>
      </c>
      <c r="F654" t="s">
        <v>91</v>
      </c>
      <c r="G654" t="s">
        <v>92</v>
      </c>
    </row>
    <row r="655" spans="1:7">
      <c r="A655" t="s">
        <v>58</v>
      </c>
      <c r="B655" t="s">
        <v>89</v>
      </c>
      <c r="C655" t="s">
        <v>90</v>
      </c>
      <c r="D655" t="s">
        <v>744</v>
      </c>
      <c r="E655">
        <v>-653</v>
      </c>
      <c r="F655" t="s">
        <v>91</v>
      </c>
      <c r="G655" t="s">
        <v>92</v>
      </c>
    </row>
    <row r="656" spans="1:7">
      <c r="A656" t="s">
        <v>58</v>
      </c>
      <c r="B656" t="s">
        <v>89</v>
      </c>
      <c r="C656" t="s">
        <v>90</v>
      </c>
      <c r="D656" t="s">
        <v>745</v>
      </c>
      <c r="E656">
        <v>-654</v>
      </c>
      <c r="F656" t="s">
        <v>91</v>
      </c>
      <c r="G656" t="s">
        <v>92</v>
      </c>
    </row>
    <row r="657" spans="1:7">
      <c r="A657" t="s">
        <v>58</v>
      </c>
      <c r="B657" t="s">
        <v>89</v>
      </c>
      <c r="C657" t="s">
        <v>90</v>
      </c>
      <c r="D657" t="s">
        <v>746</v>
      </c>
      <c r="E657">
        <v>-655</v>
      </c>
      <c r="F657" t="s">
        <v>91</v>
      </c>
      <c r="G657" t="s">
        <v>92</v>
      </c>
    </row>
    <row r="658" spans="1:7">
      <c r="A658" t="s">
        <v>58</v>
      </c>
      <c r="B658" t="s">
        <v>89</v>
      </c>
      <c r="C658" t="s">
        <v>90</v>
      </c>
      <c r="D658" t="s">
        <v>747</v>
      </c>
      <c r="E658">
        <v>-656</v>
      </c>
      <c r="F658" t="s">
        <v>91</v>
      </c>
      <c r="G658" t="s">
        <v>92</v>
      </c>
    </row>
    <row r="659" spans="1:7">
      <c r="A659" t="s">
        <v>58</v>
      </c>
      <c r="B659" t="s">
        <v>89</v>
      </c>
      <c r="C659" t="s">
        <v>90</v>
      </c>
      <c r="D659" t="s">
        <v>748</v>
      </c>
      <c r="E659">
        <v>-657</v>
      </c>
      <c r="F659" t="s">
        <v>91</v>
      </c>
      <c r="G659" t="s">
        <v>92</v>
      </c>
    </row>
    <row r="660" spans="1:7">
      <c r="A660" t="s">
        <v>58</v>
      </c>
      <c r="B660" t="s">
        <v>89</v>
      </c>
      <c r="C660" t="s">
        <v>90</v>
      </c>
      <c r="D660" t="s">
        <v>749</v>
      </c>
      <c r="E660">
        <v>-658</v>
      </c>
      <c r="F660" t="s">
        <v>91</v>
      </c>
      <c r="G660" t="s">
        <v>92</v>
      </c>
    </row>
    <row r="661" spans="1:7">
      <c r="A661" t="s">
        <v>58</v>
      </c>
      <c r="B661" t="s">
        <v>89</v>
      </c>
      <c r="C661" t="s">
        <v>90</v>
      </c>
      <c r="D661" t="s">
        <v>750</v>
      </c>
      <c r="E661">
        <v>-659</v>
      </c>
      <c r="F661" t="s">
        <v>91</v>
      </c>
      <c r="G661" t="s">
        <v>92</v>
      </c>
    </row>
    <row r="662" spans="1:7">
      <c r="A662" t="s">
        <v>58</v>
      </c>
      <c r="B662" t="s">
        <v>89</v>
      </c>
      <c r="C662" t="s">
        <v>90</v>
      </c>
      <c r="D662" t="s">
        <v>751</v>
      </c>
      <c r="E662">
        <v>-660</v>
      </c>
      <c r="F662" t="s">
        <v>91</v>
      </c>
      <c r="G662" t="s">
        <v>92</v>
      </c>
    </row>
    <row r="663" spans="1:7">
      <c r="A663" t="s">
        <v>58</v>
      </c>
      <c r="B663" t="s">
        <v>89</v>
      </c>
      <c r="C663" t="s">
        <v>90</v>
      </c>
      <c r="D663" t="s">
        <v>752</v>
      </c>
      <c r="E663">
        <v>-661</v>
      </c>
      <c r="F663" t="s">
        <v>91</v>
      </c>
      <c r="G663" t="s">
        <v>92</v>
      </c>
    </row>
    <row r="664" spans="1:7">
      <c r="A664" t="s">
        <v>58</v>
      </c>
      <c r="B664" t="s">
        <v>89</v>
      </c>
      <c r="C664" t="s">
        <v>90</v>
      </c>
      <c r="D664" t="s">
        <v>753</v>
      </c>
      <c r="E664">
        <v>-662</v>
      </c>
      <c r="F664" t="s">
        <v>91</v>
      </c>
      <c r="G664" t="s">
        <v>92</v>
      </c>
    </row>
    <row r="665" spans="1:7">
      <c r="A665" t="s">
        <v>58</v>
      </c>
      <c r="B665" t="s">
        <v>89</v>
      </c>
      <c r="C665" t="s">
        <v>90</v>
      </c>
      <c r="D665" t="s">
        <v>754</v>
      </c>
      <c r="E665">
        <v>-663</v>
      </c>
      <c r="F665" t="s">
        <v>91</v>
      </c>
      <c r="G665" t="s">
        <v>92</v>
      </c>
    </row>
    <row r="666" spans="1:7">
      <c r="A666" t="s">
        <v>58</v>
      </c>
      <c r="B666" t="s">
        <v>89</v>
      </c>
      <c r="C666" t="s">
        <v>90</v>
      </c>
      <c r="D666" t="s">
        <v>755</v>
      </c>
      <c r="E666">
        <v>-664</v>
      </c>
      <c r="F666" t="s">
        <v>91</v>
      </c>
      <c r="G666" t="s">
        <v>92</v>
      </c>
    </row>
    <row r="667" spans="1:7">
      <c r="A667" t="s">
        <v>58</v>
      </c>
      <c r="B667" t="s">
        <v>89</v>
      </c>
      <c r="C667" t="s">
        <v>90</v>
      </c>
      <c r="D667" t="s">
        <v>756</v>
      </c>
      <c r="E667">
        <v>-665</v>
      </c>
      <c r="F667" t="s">
        <v>91</v>
      </c>
      <c r="G667" t="s">
        <v>92</v>
      </c>
    </row>
    <row r="668" spans="1:7">
      <c r="A668" t="s">
        <v>58</v>
      </c>
      <c r="B668" t="s">
        <v>89</v>
      </c>
      <c r="C668" t="s">
        <v>90</v>
      </c>
      <c r="D668" t="s">
        <v>757</v>
      </c>
      <c r="E668">
        <v>-666</v>
      </c>
      <c r="F668" t="s">
        <v>91</v>
      </c>
      <c r="G668" t="s">
        <v>92</v>
      </c>
    </row>
    <row r="669" spans="1:7">
      <c r="A669" t="s">
        <v>58</v>
      </c>
      <c r="B669" t="s">
        <v>89</v>
      </c>
      <c r="C669" t="s">
        <v>90</v>
      </c>
      <c r="D669" t="s">
        <v>758</v>
      </c>
      <c r="E669">
        <v>-667</v>
      </c>
      <c r="F669" t="s">
        <v>91</v>
      </c>
      <c r="G669" t="s">
        <v>92</v>
      </c>
    </row>
    <row r="670" spans="1:7">
      <c r="A670" t="s">
        <v>58</v>
      </c>
      <c r="B670" t="s">
        <v>89</v>
      </c>
      <c r="C670" t="s">
        <v>90</v>
      </c>
      <c r="D670" t="s">
        <v>759</v>
      </c>
      <c r="E670">
        <v>-668</v>
      </c>
      <c r="F670" t="s">
        <v>91</v>
      </c>
      <c r="G670" t="s">
        <v>92</v>
      </c>
    </row>
    <row r="671" spans="1:7">
      <c r="A671" t="s">
        <v>58</v>
      </c>
      <c r="B671" t="s">
        <v>89</v>
      </c>
      <c r="C671" t="s">
        <v>90</v>
      </c>
      <c r="D671" t="s">
        <v>760</v>
      </c>
      <c r="E671">
        <v>-669</v>
      </c>
      <c r="F671" t="s">
        <v>91</v>
      </c>
      <c r="G671" t="s">
        <v>92</v>
      </c>
    </row>
    <row r="672" spans="1:7">
      <c r="A672" t="s">
        <v>58</v>
      </c>
      <c r="B672" t="s">
        <v>89</v>
      </c>
      <c r="C672" t="s">
        <v>90</v>
      </c>
      <c r="D672" t="s">
        <v>761</v>
      </c>
      <c r="E672">
        <v>-670</v>
      </c>
      <c r="F672" t="s">
        <v>91</v>
      </c>
      <c r="G672" t="s">
        <v>92</v>
      </c>
    </row>
    <row r="673" spans="1:7">
      <c r="A673" t="s">
        <v>58</v>
      </c>
      <c r="B673" t="s">
        <v>89</v>
      </c>
      <c r="C673" t="s">
        <v>90</v>
      </c>
      <c r="D673" t="s">
        <v>762</v>
      </c>
      <c r="E673">
        <v>-671</v>
      </c>
      <c r="F673" t="s">
        <v>91</v>
      </c>
      <c r="G673" t="s">
        <v>92</v>
      </c>
    </row>
    <row r="674" spans="1:7">
      <c r="A674" t="s">
        <v>58</v>
      </c>
      <c r="B674" t="s">
        <v>89</v>
      </c>
      <c r="C674" t="s">
        <v>90</v>
      </c>
      <c r="D674" t="s">
        <v>763</v>
      </c>
      <c r="E674">
        <v>-672</v>
      </c>
      <c r="F674" t="s">
        <v>91</v>
      </c>
      <c r="G674" t="s">
        <v>92</v>
      </c>
    </row>
    <row r="675" spans="1:7">
      <c r="A675" t="s">
        <v>58</v>
      </c>
      <c r="B675" t="s">
        <v>89</v>
      </c>
      <c r="C675" t="s">
        <v>90</v>
      </c>
      <c r="D675" t="s">
        <v>764</v>
      </c>
      <c r="E675">
        <v>-673</v>
      </c>
      <c r="F675" t="s">
        <v>91</v>
      </c>
      <c r="G675" t="s">
        <v>92</v>
      </c>
    </row>
    <row r="676" spans="1:7">
      <c r="A676" t="s">
        <v>58</v>
      </c>
      <c r="B676" t="s">
        <v>89</v>
      </c>
      <c r="C676" t="s">
        <v>90</v>
      </c>
      <c r="D676" t="s">
        <v>765</v>
      </c>
      <c r="E676">
        <v>-674</v>
      </c>
      <c r="F676" t="s">
        <v>91</v>
      </c>
      <c r="G676" t="s">
        <v>92</v>
      </c>
    </row>
    <row r="677" spans="1:7">
      <c r="A677" t="s">
        <v>58</v>
      </c>
      <c r="B677" t="s">
        <v>89</v>
      </c>
      <c r="C677" t="s">
        <v>90</v>
      </c>
      <c r="D677" t="s">
        <v>766</v>
      </c>
      <c r="E677">
        <v>-675</v>
      </c>
      <c r="F677" t="s">
        <v>91</v>
      </c>
      <c r="G677" t="s">
        <v>92</v>
      </c>
    </row>
    <row r="678" spans="1:7">
      <c r="A678" t="s">
        <v>58</v>
      </c>
      <c r="B678" t="s">
        <v>89</v>
      </c>
      <c r="C678" t="s">
        <v>90</v>
      </c>
      <c r="D678" t="s">
        <v>767</v>
      </c>
      <c r="E678">
        <v>-676</v>
      </c>
      <c r="F678" t="s">
        <v>91</v>
      </c>
      <c r="G678" t="s">
        <v>92</v>
      </c>
    </row>
    <row r="679" spans="1:7">
      <c r="A679" t="s">
        <v>58</v>
      </c>
      <c r="B679" t="s">
        <v>89</v>
      </c>
      <c r="C679" t="s">
        <v>90</v>
      </c>
      <c r="D679" t="s">
        <v>768</v>
      </c>
      <c r="E679">
        <v>-677</v>
      </c>
      <c r="F679" t="s">
        <v>91</v>
      </c>
      <c r="G679" t="s">
        <v>92</v>
      </c>
    </row>
    <row r="680" spans="1:7">
      <c r="A680" t="s">
        <v>58</v>
      </c>
      <c r="B680" t="s">
        <v>89</v>
      </c>
      <c r="C680" t="s">
        <v>90</v>
      </c>
      <c r="D680" t="s">
        <v>769</v>
      </c>
      <c r="E680">
        <v>-678</v>
      </c>
      <c r="F680" t="s">
        <v>91</v>
      </c>
      <c r="G680" t="s">
        <v>92</v>
      </c>
    </row>
    <row r="681" spans="1:7">
      <c r="A681" t="s">
        <v>58</v>
      </c>
      <c r="B681" t="s">
        <v>89</v>
      </c>
      <c r="C681" t="s">
        <v>90</v>
      </c>
      <c r="D681" t="s">
        <v>770</v>
      </c>
      <c r="E681">
        <v>-679</v>
      </c>
      <c r="F681" t="s">
        <v>91</v>
      </c>
      <c r="G681" t="s">
        <v>92</v>
      </c>
    </row>
    <row r="682" spans="1:7">
      <c r="A682" t="s">
        <v>58</v>
      </c>
      <c r="B682" t="s">
        <v>89</v>
      </c>
      <c r="C682" t="s">
        <v>90</v>
      </c>
      <c r="D682" t="s">
        <v>771</v>
      </c>
      <c r="E682">
        <v>-680</v>
      </c>
      <c r="F682" t="s">
        <v>91</v>
      </c>
      <c r="G682" t="s">
        <v>92</v>
      </c>
    </row>
    <row r="683" spans="1:7">
      <c r="A683" t="s">
        <v>58</v>
      </c>
      <c r="B683" t="s">
        <v>89</v>
      </c>
      <c r="C683" t="s">
        <v>90</v>
      </c>
      <c r="D683" t="s">
        <v>772</v>
      </c>
      <c r="E683">
        <v>-681</v>
      </c>
      <c r="F683" t="s">
        <v>91</v>
      </c>
      <c r="G683" t="s">
        <v>92</v>
      </c>
    </row>
    <row r="684" spans="1:7">
      <c r="A684" t="s">
        <v>58</v>
      </c>
      <c r="B684" t="s">
        <v>89</v>
      </c>
      <c r="C684" t="s">
        <v>90</v>
      </c>
      <c r="D684" t="s">
        <v>773</v>
      </c>
      <c r="E684">
        <v>-682</v>
      </c>
      <c r="F684" t="s">
        <v>91</v>
      </c>
      <c r="G684" t="s">
        <v>92</v>
      </c>
    </row>
    <row r="685" spans="1:7">
      <c r="A685" t="s">
        <v>58</v>
      </c>
      <c r="B685" t="s">
        <v>89</v>
      </c>
      <c r="C685" t="s">
        <v>90</v>
      </c>
      <c r="D685" t="s">
        <v>774</v>
      </c>
      <c r="E685">
        <v>-683</v>
      </c>
      <c r="F685" t="s">
        <v>91</v>
      </c>
      <c r="G685" t="s">
        <v>92</v>
      </c>
    </row>
    <row r="686" spans="1:7">
      <c r="A686" t="s">
        <v>58</v>
      </c>
      <c r="B686" t="s">
        <v>89</v>
      </c>
      <c r="C686" t="s">
        <v>90</v>
      </c>
      <c r="D686" t="s">
        <v>775</v>
      </c>
      <c r="E686">
        <v>-684</v>
      </c>
      <c r="F686" t="s">
        <v>91</v>
      </c>
      <c r="G686" t="s">
        <v>92</v>
      </c>
    </row>
    <row r="687" spans="1:7">
      <c r="A687" t="s">
        <v>58</v>
      </c>
      <c r="B687" t="s">
        <v>89</v>
      </c>
      <c r="C687" t="s">
        <v>90</v>
      </c>
      <c r="D687" t="s">
        <v>776</v>
      </c>
      <c r="E687">
        <v>-685</v>
      </c>
      <c r="F687" t="s">
        <v>91</v>
      </c>
      <c r="G687" t="s">
        <v>92</v>
      </c>
    </row>
    <row r="688" spans="1:7">
      <c r="A688" t="s">
        <v>58</v>
      </c>
      <c r="B688" t="s">
        <v>89</v>
      </c>
      <c r="C688" t="s">
        <v>90</v>
      </c>
      <c r="D688" t="s">
        <v>777</v>
      </c>
      <c r="E688">
        <v>-686</v>
      </c>
      <c r="F688" t="s">
        <v>91</v>
      </c>
      <c r="G688" t="s">
        <v>92</v>
      </c>
    </row>
    <row r="689" spans="1:7">
      <c r="A689" t="s">
        <v>58</v>
      </c>
      <c r="B689" t="s">
        <v>89</v>
      </c>
      <c r="C689" t="s">
        <v>90</v>
      </c>
      <c r="D689" t="s">
        <v>778</v>
      </c>
      <c r="E689">
        <v>-687</v>
      </c>
      <c r="F689" t="s">
        <v>91</v>
      </c>
      <c r="G689" t="s">
        <v>92</v>
      </c>
    </row>
    <row r="690" spans="1:7">
      <c r="A690" t="s">
        <v>58</v>
      </c>
      <c r="B690" t="s">
        <v>89</v>
      </c>
      <c r="C690" t="s">
        <v>90</v>
      </c>
      <c r="D690" t="s">
        <v>779</v>
      </c>
      <c r="E690">
        <v>-688</v>
      </c>
      <c r="F690" t="s">
        <v>91</v>
      </c>
      <c r="G690" t="s">
        <v>92</v>
      </c>
    </row>
    <row r="691" spans="1:7">
      <c r="A691" t="s">
        <v>58</v>
      </c>
      <c r="B691" t="s">
        <v>89</v>
      </c>
      <c r="C691" t="s">
        <v>90</v>
      </c>
      <c r="D691" t="s">
        <v>780</v>
      </c>
      <c r="E691">
        <v>-689</v>
      </c>
      <c r="F691" t="s">
        <v>91</v>
      </c>
      <c r="G691" t="s">
        <v>92</v>
      </c>
    </row>
    <row r="692" spans="1:7">
      <c r="A692" t="s">
        <v>58</v>
      </c>
      <c r="B692" t="s">
        <v>89</v>
      </c>
      <c r="C692" t="s">
        <v>90</v>
      </c>
      <c r="D692" t="s">
        <v>781</v>
      </c>
      <c r="E692">
        <v>-690</v>
      </c>
      <c r="F692" t="s">
        <v>91</v>
      </c>
      <c r="G692" t="s">
        <v>92</v>
      </c>
    </row>
    <row r="693" spans="1:7">
      <c r="A693" t="s">
        <v>58</v>
      </c>
      <c r="B693" t="s">
        <v>89</v>
      </c>
      <c r="C693" t="s">
        <v>90</v>
      </c>
      <c r="D693" t="s">
        <v>782</v>
      </c>
      <c r="E693">
        <v>-691</v>
      </c>
      <c r="F693" t="s">
        <v>91</v>
      </c>
      <c r="G693" t="s">
        <v>92</v>
      </c>
    </row>
    <row r="694" spans="1:7">
      <c r="A694" t="s">
        <v>58</v>
      </c>
      <c r="B694" t="s">
        <v>89</v>
      </c>
      <c r="C694" t="s">
        <v>90</v>
      </c>
      <c r="D694" t="s">
        <v>783</v>
      </c>
      <c r="E694">
        <v>-692</v>
      </c>
      <c r="F694" t="s">
        <v>91</v>
      </c>
      <c r="G694" t="s">
        <v>92</v>
      </c>
    </row>
    <row r="695" spans="1:7">
      <c r="A695" t="s">
        <v>58</v>
      </c>
      <c r="B695" t="s">
        <v>89</v>
      </c>
      <c r="C695" t="s">
        <v>90</v>
      </c>
      <c r="D695" t="s">
        <v>784</v>
      </c>
      <c r="E695">
        <v>-693</v>
      </c>
      <c r="F695" t="s">
        <v>91</v>
      </c>
      <c r="G695" t="s">
        <v>92</v>
      </c>
    </row>
    <row r="696" spans="1:7">
      <c r="A696" t="s">
        <v>58</v>
      </c>
      <c r="B696" t="s">
        <v>89</v>
      </c>
      <c r="C696" t="s">
        <v>90</v>
      </c>
      <c r="D696" t="s">
        <v>785</v>
      </c>
      <c r="E696">
        <v>-694</v>
      </c>
      <c r="F696" t="s">
        <v>91</v>
      </c>
      <c r="G696" t="s">
        <v>92</v>
      </c>
    </row>
    <row r="697" spans="1:7">
      <c r="A697" t="s">
        <v>58</v>
      </c>
      <c r="B697" t="s">
        <v>89</v>
      </c>
      <c r="C697" t="s">
        <v>90</v>
      </c>
      <c r="D697" t="s">
        <v>786</v>
      </c>
      <c r="E697">
        <v>-695</v>
      </c>
      <c r="F697" t="s">
        <v>91</v>
      </c>
      <c r="G697" t="s">
        <v>92</v>
      </c>
    </row>
    <row r="698" spans="1:7">
      <c r="A698" t="s">
        <v>58</v>
      </c>
      <c r="B698" t="s">
        <v>89</v>
      </c>
      <c r="C698" t="s">
        <v>90</v>
      </c>
      <c r="D698" t="s">
        <v>787</v>
      </c>
      <c r="E698">
        <v>-696</v>
      </c>
      <c r="F698" t="s">
        <v>91</v>
      </c>
      <c r="G698" t="s">
        <v>92</v>
      </c>
    </row>
    <row r="699" spans="1:7">
      <c r="A699" t="s">
        <v>58</v>
      </c>
      <c r="B699" t="s">
        <v>89</v>
      </c>
      <c r="C699" t="s">
        <v>90</v>
      </c>
      <c r="D699" t="s">
        <v>788</v>
      </c>
      <c r="E699">
        <v>-697</v>
      </c>
      <c r="F699" t="s">
        <v>91</v>
      </c>
      <c r="G699" t="s">
        <v>92</v>
      </c>
    </row>
    <row r="700" spans="1:7">
      <c r="A700" t="s">
        <v>58</v>
      </c>
      <c r="B700" t="s">
        <v>89</v>
      </c>
      <c r="C700" t="s">
        <v>90</v>
      </c>
      <c r="D700" t="s">
        <v>789</v>
      </c>
      <c r="E700">
        <v>-698</v>
      </c>
      <c r="F700" t="s">
        <v>91</v>
      </c>
      <c r="G700" t="s">
        <v>92</v>
      </c>
    </row>
    <row r="701" spans="1:7">
      <c r="A701" t="s">
        <v>58</v>
      </c>
      <c r="B701" t="s">
        <v>89</v>
      </c>
      <c r="C701" t="s">
        <v>90</v>
      </c>
      <c r="D701" t="s">
        <v>790</v>
      </c>
      <c r="E701">
        <v>-699</v>
      </c>
      <c r="F701" t="s">
        <v>91</v>
      </c>
      <c r="G701" t="s">
        <v>92</v>
      </c>
    </row>
    <row r="702" spans="1:7">
      <c r="A702" t="s">
        <v>58</v>
      </c>
      <c r="B702" t="s">
        <v>89</v>
      </c>
      <c r="C702" t="s">
        <v>90</v>
      </c>
      <c r="D702" t="s">
        <v>791</v>
      </c>
      <c r="E702">
        <v>-700</v>
      </c>
      <c r="F702" t="s">
        <v>91</v>
      </c>
      <c r="G702" t="s">
        <v>92</v>
      </c>
    </row>
    <row r="703" spans="1:7">
      <c r="A703" t="s">
        <v>58</v>
      </c>
      <c r="B703" t="s">
        <v>89</v>
      </c>
      <c r="C703" t="s">
        <v>90</v>
      </c>
      <c r="D703" t="s">
        <v>792</v>
      </c>
      <c r="E703">
        <v>-701</v>
      </c>
      <c r="F703" t="s">
        <v>91</v>
      </c>
      <c r="G703" t="s">
        <v>92</v>
      </c>
    </row>
    <row r="704" spans="1:7">
      <c r="A704" t="s">
        <v>58</v>
      </c>
      <c r="B704" t="s">
        <v>89</v>
      </c>
      <c r="C704" t="s">
        <v>90</v>
      </c>
      <c r="D704" t="s">
        <v>793</v>
      </c>
      <c r="E704">
        <v>-702</v>
      </c>
      <c r="F704" t="s">
        <v>91</v>
      </c>
      <c r="G704" t="s">
        <v>92</v>
      </c>
    </row>
    <row r="705" spans="1:7">
      <c r="A705" t="s">
        <v>58</v>
      </c>
      <c r="B705" t="s">
        <v>89</v>
      </c>
      <c r="C705" t="s">
        <v>90</v>
      </c>
      <c r="D705" t="s">
        <v>794</v>
      </c>
      <c r="E705">
        <v>-703</v>
      </c>
      <c r="F705" t="s">
        <v>91</v>
      </c>
      <c r="G705" t="s">
        <v>92</v>
      </c>
    </row>
    <row r="706" spans="1:7">
      <c r="A706" t="s">
        <v>58</v>
      </c>
      <c r="B706" t="s">
        <v>89</v>
      </c>
      <c r="C706" t="s">
        <v>90</v>
      </c>
      <c r="D706" t="s">
        <v>795</v>
      </c>
      <c r="E706">
        <v>-704</v>
      </c>
      <c r="F706" t="s">
        <v>91</v>
      </c>
      <c r="G706" t="s">
        <v>92</v>
      </c>
    </row>
    <row r="707" spans="1:7">
      <c r="A707" t="s">
        <v>58</v>
      </c>
      <c r="B707" t="s">
        <v>89</v>
      </c>
      <c r="C707" t="s">
        <v>90</v>
      </c>
      <c r="D707" t="s">
        <v>796</v>
      </c>
      <c r="E707">
        <v>-705</v>
      </c>
      <c r="F707" t="s">
        <v>91</v>
      </c>
      <c r="G707" t="s">
        <v>92</v>
      </c>
    </row>
    <row r="708" spans="1:7">
      <c r="A708" t="s">
        <v>58</v>
      </c>
      <c r="B708" t="s">
        <v>89</v>
      </c>
      <c r="C708" t="s">
        <v>90</v>
      </c>
      <c r="D708" t="s">
        <v>797</v>
      </c>
      <c r="E708">
        <v>-706</v>
      </c>
      <c r="F708" t="s">
        <v>91</v>
      </c>
      <c r="G708" t="s">
        <v>92</v>
      </c>
    </row>
    <row r="709" spans="1:7">
      <c r="A709" t="s">
        <v>58</v>
      </c>
      <c r="B709" t="s">
        <v>89</v>
      </c>
      <c r="C709" t="s">
        <v>90</v>
      </c>
      <c r="D709" t="s">
        <v>798</v>
      </c>
      <c r="E709">
        <v>-707</v>
      </c>
      <c r="F709" t="s">
        <v>91</v>
      </c>
      <c r="G709" t="s">
        <v>92</v>
      </c>
    </row>
    <row r="710" spans="1:7">
      <c r="A710" t="s">
        <v>58</v>
      </c>
      <c r="B710" t="s">
        <v>89</v>
      </c>
      <c r="C710" t="s">
        <v>90</v>
      </c>
      <c r="D710" t="s">
        <v>799</v>
      </c>
      <c r="E710">
        <v>-708</v>
      </c>
      <c r="F710" t="s">
        <v>91</v>
      </c>
      <c r="G710" t="s">
        <v>92</v>
      </c>
    </row>
    <row r="711" spans="1:7">
      <c r="A711" t="s">
        <v>58</v>
      </c>
      <c r="B711" t="s">
        <v>89</v>
      </c>
      <c r="C711" t="s">
        <v>90</v>
      </c>
      <c r="D711" t="s">
        <v>800</v>
      </c>
      <c r="E711">
        <v>-709</v>
      </c>
      <c r="F711" t="s">
        <v>91</v>
      </c>
      <c r="G711" t="s">
        <v>92</v>
      </c>
    </row>
    <row r="712" spans="1:7">
      <c r="A712" t="s">
        <v>58</v>
      </c>
      <c r="B712" t="s">
        <v>89</v>
      </c>
      <c r="C712" t="s">
        <v>90</v>
      </c>
      <c r="D712" t="s">
        <v>801</v>
      </c>
      <c r="E712">
        <v>-710</v>
      </c>
      <c r="F712" t="s">
        <v>91</v>
      </c>
      <c r="G712" t="s">
        <v>92</v>
      </c>
    </row>
    <row r="713" spans="1:7">
      <c r="A713" t="s">
        <v>58</v>
      </c>
      <c r="B713" t="s">
        <v>89</v>
      </c>
      <c r="C713" t="s">
        <v>90</v>
      </c>
      <c r="D713" t="s">
        <v>802</v>
      </c>
      <c r="E713">
        <v>-711</v>
      </c>
      <c r="F713" t="s">
        <v>91</v>
      </c>
      <c r="G713" t="s">
        <v>92</v>
      </c>
    </row>
    <row r="714" spans="1:7">
      <c r="A714" t="s">
        <v>58</v>
      </c>
      <c r="B714" t="s">
        <v>89</v>
      </c>
      <c r="C714" t="s">
        <v>90</v>
      </c>
      <c r="D714" t="s">
        <v>803</v>
      </c>
      <c r="E714">
        <v>-712</v>
      </c>
      <c r="F714" t="s">
        <v>91</v>
      </c>
      <c r="G714" t="s">
        <v>92</v>
      </c>
    </row>
    <row r="715" spans="1:7">
      <c r="A715" t="s">
        <v>58</v>
      </c>
      <c r="B715" t="s">
        <v>89</v>
      </c>
      <c r="C715" t="s">
        <v>90</v>
      </c>
      <c r="D715" t="s">
        <v>804</v>
      </c>
      <c r="E715">
        <v>-713</v>
      </c>
      <c r="F715" t="s">
        <v>91</v>
      </c>
      <c r="G715" t="s">
        <v>92</v>
      </c>
    </row>
    <row r="716" spans="1:7">
      <c r="A716" t="s">
        <v>58</v>
      </c>
      <c r="B716" t="s">
        <v>89</v>
      </c>
      <c r="C716" t="s">
        <v>90</v>
      </c>
      <c r="D716" t="s">
        <v>805</v>
      </c>
      <c r="E716">
        <v>-714</v>
      </c>
      <c r="F716" t="s">
        <v>91</v>
      </c>
      <c r="G716" t="s">
        <v>92</v>
      </c>
    </row>
    <row r="717" spans="1:7">
      <c r="A717" t="s">
        <v>58</v>
      </c>
      <c r="B717" t="s">
        <v>89</v>
      </c>
      <c r="C717" t="s">
        <v>90</v>
      </c>
      <c r="D717" t="s">
        <v>806</v>
      </c>
      <c r="E717">
        <v>-715</v>
      </c>
      <c r="F717" t="s">
        <v>91</v>
      </c>
      <c r="G717" t="s">
        <v>92</v>
      </c>
    </row>
    <row r="718" spans="1:7">
      <c r="A718" t="s">
        <v>58</v>
      </c>
      <c r="B718" t="s">
        <v>89</v>
      </c>
      <c r="C718" t="s">
        <v>90</v>
      </c>
      <c r="D718" t="s">
        <v>807</v>
      </c>
      <c r="E718">
        <v>-716</v>
      </c>
      <c r="F718" t="s">
        <v>91</v>
      </c>
      <c r="G718" t="s">
        <v>92</v>
      </c>
    </row>
    <row r="719" spans="1:7">
      <c r="A719" t="s">
        <v>58</v>
      </c>
      <c r="B719" t="s">
        <v>89</v>
      </c>
      <c r="C719" t="s">
        <v>90</v>
      </c>
      <c r="D719" t="s">
        <v>808</v>
      </c>
      <c r="E719">
        <v>-717</v>
      </c>
      <c r="F719" t="s">
        <v>91</v>
      </c>
      <c r="G719" t="s">
        <v>92</v>
      </c>
    </row>
    <row r="720" spans="1:7">
      <c r="A720" t="s">
        <v>58</v>
      </c>
      <c r="B720" t="s">
        <v>89</v>
      </c>
      <c r="C720" t="s">
        <v>90</v>
      </c>
      <c r="D720" t="s">
        <v>809</v>
      </c>
      <c r="E720">
        <v>-718</v>
      </c>
      <c r="F720" t="s">
        <v>91</v>
      </c>
      <c r="G720" t="s">
        <v>92</v>
      </c>
    </row>
    <row r="721" spans="1:7">
      <c r="A721" t="s">
        <v>58</v>
      </c>
      <c r="B721" t="s">
        <v>89</v>
      </c>
      <c r="C721" t="s">
        <v>90</v>
      </c>
      <c r="D721" t="s">
        <v>810</v>
      </c>
      <c r="E721">
        <v>-719</v>
      </c>
      <c r="F721" t="s">
        <v>91</v>
      </c>
      <c r="G721" t="s">
        <v>92</v>
      </c>
    </row>
    <row r="722" spans="1:7">
      <c r="A722" t="s">
        <v>58</v>
      </c>
      <c r="B722" t="s">
        <v>89</v>
      </c>
      <c r="C722" t="s">
        <v>90</v>
      </c>
      <c r="D722" t="s">
        <v>811</v>
      </c>
      <c r="E722">
        <v>-720</v>
      </c>
      <c r="F722" t="s">
        <v>91</v>
      </c>
      <c r="G722" t="s">
        <v>92</v>
      </c>
    </row>
    <row r="723" spans="1:7">
      <c r="A723" t="s">
        <v>58</v>
      </c>
      <c r="B723" t="s">
        <v>89</v>
      </c>
      <c r="C723" t="s">
        <v>90</v>
      </c>
      <c r="D723" t="s">
        <v>812</v>
      </c>
      <c r="E723">
        <v>-721</v>
      </c>
      <c r="F723" t="s">
        <v>91</v>
      </c>
      <c r="G723" t="s">
        <v>92</v>
      </c>
    </row>
    <row r="724" spans="1:7">
      <c r="A724" t="s">
        <v>58</v>
      </c>
      <c r="B724" t="s">
        <v>89</v>
      </c>
      <c r="C724" t="s">
        <v>90</v>
      </c>
      <c r="D724" t="s">
        <v>813</v>
      </c>
      <c r="E724">
        <v>-722</v>
      </c>
      <c r="F724" t="s">
        <v>91</v>
      </c>
      <c r="G724" t="s">
        <v>92</v>
      </c>
    </row>
    <row r="725" spans="1:7">
      <c r="A725" t="s">
        <v>58</v>
      </c>
      <c r="B725" t="s">
        <v>89</v>
      </c>
      <c r="C725" t="s">
        <v>90</v>
      </c>
      <c r="D725" t="s">
        <v>814</v>
      </c>
      <c r="E725">
        <v>-723</v>
      </c>
      <c r="F725" t="s">
        <v>91</v>
      </c>
      <c r="G725" t="s">
        <v>92</v>
      </c>
    </row>
    <row r="726" spans="1:7">
      <c r="A726" t="s">
        <v>58</v>
      </c>
      <c r="B726" t="s">
        <v>89</v>
      </c>
      <c r="C726" t="s">
        <v>90</v>
      </c>
      <c r="D726" t="s">
        <v>815</v>
      </c>
      <c r="E726">
        <v>-724</v>
      </c>
      <c r="F726" t="s">
        <v>91</v>
      </c>
      <c r="G726" t="s">
        <v>92</v>
      </c>
    </row>
    <row r="727" spans="1:7">
      <c r="A727" t="s">
        <v>58</v>
      </c>
      <c r="B727" t="s">
        <v>89</v>
      </c>
      <c r="C727" t="s">
        <v>90</v>
      </c>
      <c r="D727" t="s">
        <v>816</v>
      </c>
      <c r="E727">
        <v>-725</v>
      </c>
      <c r="F727" t="s">
        <v>91</v>
      </c>
      <c r="G727" t="s">
        <v>92</v>
      </c>
    </row>
    <row r="728" spans="1:7">
      <c r="A728" t="s">
        <v>58</v>
      </c>
      <c r="B728" t="s">
        <v>89</v>
      </c>
      <c r="C728" t="s">
        <v>90</v>
      </c>
      <c r="D728" t="s">
        <v>817</v>
      </c>
      <c r="E728">
        <v>-726</v>
      </c>
      <c r="F728" t="s">
        <v>91</v>
      </c>
      <c r="G728" t="s">
        <v>92</v>
      </c>
    </row>
    <row r="729" spans="1:7">
      <c r="A729" t="s">
        <v>58</v>
      </c>
      <c r="B729" t="s">
        <v>89</v>
      </c>
      <c r="C729" t="s">
        <v>90</v>
      </c>
      <c r="D729" t="s">
        <v>818</v>
      </c>
      <c r="E729">
        <v>-727</v>
      </c>
      <c r="F729" t="s">
        <v>91</v>
      </c>
      <c r="G729" t="s">
        <v>92</v>
      </c>
    </row>
    <row r="730" spans="1:7">
      <c r="A730" t="s">
        <v>58</v>
      </c>
      <c r="B730" t="s">
        <v>89</v>
      </c>
      <c r="C730" t="s">
        <v>90</v>
      </c>
      <c r="D730" t="s">
        <v>819</v>
      </c>
      <c r="E730">
        <v>-728</v>
      </c>
      <c r="F730" t="s">
        <v>91</v>
      </c>
      <c r="G730" t="s">
        <v>92</v>
      </c>
    </row>
    <row r="731" spans="1:7">
      <c r="A731" t="s">
        <v>58</v>
      </c>
      <c r="B731" t="s">
        <v>89</v>
      </c>
      <c r="C731" t="s">
        <v>90</v>
      </c>
      <c r="D731" t="s">
        <v>820</v>
      </c>
      <c r="E731">
        <v>-729</v>
      </c>
      <c r="F731" t="s">
        <v>91</v>
      </c>
      <c r="G731" t="s">
        <v>92</v>
      </c>
    </row>
    <row r="732" spans="1:7">
      <c r="A732" t="s">
        <v>58</v>
      </c>
      <c r="B732" t="s">
        <v>89</v>
      </c>
      <c r="C732" t="s">
        <v>90</v>
      </c>
      <c r="D732" t="s">
        <v>821</v>
      </c>
      <c r="E732">
        <v>-730</v>
      </c>
      <c r="F732" t="s">
        <v>91</v>
      </c>
      <c r="G732" t="s">
        <v>92</v>
      </c>
    </row>
    <row r="733" spans="1:7">
      <c r="A733" t="s">
        <v>58</v>
      </c>
      <c r="B733" t="s">
        <v>89</v>
      </c>
      <c r="C733" t="s">
        <v>90</v>
      </c>
      <c r="D733" t="s">
        <v>822</v>
      </c>
      <c r="E733">
        <v>-731</v>
      </c>
      <c r="F733" t="s">
        <v>91</v>
      </c>
      <c r="G733" t="s">
        <v>92</v>
      </c>
    </row>
    <row r="734" spans="1:7">
      <c r="A734" t="s">
        <v>58</v>
      </c>
      <c r="B734" t="s">
        <v>89</v>
      </c>
      <c r="C734" t="s">
        <v>90</v>
      </c>
      <c r="D734" t="s">
        <v>823</v>
      </c>
      <c r="E734">
        <v>-732</v>
      </c>
      <c r="F734" t="s">
        <v>91</v>
      </c>
      <c r="G734" t="s">
        <v>92</v>
      </c>
    </row>
    <row r="735" spans="1:7">
      <c r="A735" t="s">
        <v>58</v>
      </c>
      <c r="B735" t="s">
        <v>89</v>
      </c>
      <c r="C735" t="s">
        <v>90</v>
      </c>
      <c r="D735" t="s">
        <v>824</v>
      </c>
      <c r="E735">
        <v>-733</v>
      </c>
      <c r="F735" t="s">
        <v>91</v>
      </c>
      <c r="G735" t="s">
        <v>92</v>
      </c>
    </row>
    <row r="736" spans="1:7">
      <c r="A736" t="s">
        <v>58</v>
      </c>
      <c r="B736" t="s">
        <v>89</v>
      </c>
      <c r="C736" t="s">
        <v>90</v>
      </c>
      <c r="D736" t="s">
        <v>825</v>
      </c>
      <c r="E736">
        <v>-734</v>
      </c>
      <c r="F736" t="s">
        <v>91</v>
      </c>
      <c r="G736" t="s">
        <v>92</v>
      </c>
    </row>
    <row r="737" spans="1:7">
      <c r="A737" t="s">
        <v>58</v>
      </c>
      <c r="B737" t="s">
        <v>89</v>
      </c>
      <c r="C737" t="s">
        <v>90</v>
      </c>
      <c r="D737" t="s">
        <v>826</v>
      </c>
      <c r="E737">
        <v>-735</v>
      </c>
      <c r="F737" t="s">
        <v>91</v>
      </c>
      <c r="G737" t="s">
        <v>92</v>
      </c>
    </row>
    <row r="738" spans="1:7">
      <c r="A738" t="s">
        <v>58</v>
      </c>
      <c r="B738" t="s">
        <v>89</v>
      </c>
      <c r="C738" t="s">
        <v>90</v>
      </c>
      <c r="D738" t="s">
        <v>827</v>
      </c>
      <c r="E738">
        <v>-736</v>
      </c>
      <c r="F738" t="s">
        <v>91</v>
      </c>
      <c r="G738" t="s">
        <v>92</v>
      </c>
    </row>
    <row r="739" spans="1:7">
      <c r="A739" t="s">
        <v>58</v>
      </c>
      <c r="B739" t="s">
        <v>89</v>
      </c>
      <c r="C739" t="s">
        <v>90</v>
      </c>
      <c r="D739" t="s">
        <v>828</v>
      </c>
      <c r="E739">
        <v>-737</v>
      </c>
      <c r="F739" t="s">
        <v>91</v>
      </c>
      <c r="G739" t="s">
        <v>92</v>
      </c>
    </row>
    <row r="740" spans="1:7">
      <c r="A740" t="s">
        <v>58</v>
      </c>
      <c r="B740" t="s">
        <v>89</v>
      </c>
      <c r="C740" t="s">
        <v>90</v>
      </c>
      <c r="D740" t="s">
        <v>829</v>
      </c>
      <c r="E740">
        <v>-738</v>
      </c>
      <c r="F740" t="s">
        <v>91</v>
      </c>
      <c r="G740" t="s">
        <v>92</v>
      </c>
    </row>
    <row r="741" spans="1:7">
      <c r="A741" t="s">
        <v>58</v>
      </c>
      <c r="B741" t="s">
        <v>89</v>
      </c>
      <c r="C741" t="s">
        <v>90</v>
      </c>
      <c r="D741" t="s">
        <v>830</v>
      </c>
      <c r="E741">
        <v>-739</v>
      </c>
      <c r="F741" t="s">
        <v>91</v>
      </c>
      <c r="G741" t="s">
        <v>92</v>
      </c>
    </row>
    <row r="742" spans="1:7">
      <c r="A742" t="s">
        <v>58</v>
      </c>
      <c r="B742" t="s">
        <v>89</v>
      </c>
      <c r="C742" t="s">
        <v>90</v>
      </c>
      <c r="D742" t="s">
        <v>831</v>
      </c>
      <c r="E742">
        <v>-740</v>
      </c>
      <c r="F742" t="s">
        <v>91</v>
      </c>
      <c r="G742" t="s">
        <v>92</v>
      </c>
    </row>
    <row r="743" spans="1:7">
      <c r="A743" t="s">
        <v>58</v>
      </c>
      <c r="B743" t="s">
        <v>89</v>
      </c>
      <c r="C743" t="s">
        <v>90</v>
      </c>
      <c r="D743" t="s">
        <v>832</v>
      </c>
      <c r="E743">
        <v>-741</v>
      </c>
      <c r="F743" t="s">
        <v>91</v>
      </c>
      <c r="G743" t="s">
        <v>92</v>
      </c>
    </row>
    <row r="744" spans="1:7">
      <c r="A744" t="s">
        <v>58</v>
      </c>
      <c r="B744" t="s">
        <v>89</v>
      </c>
      <c r="C744" t="s">
        <v>90</v>
      </c>
      <c r="D744" t="s">
        <v>833</v>
      </c>
      <c r="E744">
        <v>-742</v>
      </c>
      <c r="F744" t="s">
        <v>91</v>
      </c>
      <c r="G744" t="s">
        <v>92</v>
      </c>
    </row>
    <row r="745" spans="1:7">
      <c r="A745" t="s">
        <v>58</v>
      </c>
      <c r="B745" t="s">
        <v>89</v>
      </c>
      <c r="C745" t="s">
        <v>90</v>
      </c>
      <c r="D745" t="s">
        <v>834</v>
      </c>
      <c r="E745">
        <v>-743</v>
      </c>
      <c r="F745" t="s">
        <v>91</v>
      </c>
      <c r="G745" t="s">
        <v>92</v>
      </c>
    </row>
    <row r="746" spans="1:7">
      <c r="A746" t="s">
        <v>58</v>
      </c>
      <c r="B746" t="s">
        <v>89</v>
      </c>
      <c r="C746" t="s">
        <v>90</v>
      </c>
      <c r="D746" t="s">
        <v>835</v>
      </c>
      <c r="E746">
        <v>-744</v>
      </c>
      <c r="F746" t="s">
        <v>91</v>
      </c>
      <c r="G746" t="s">
        <v>92</v>
      </c>
    </row>
    <row r="747" spans="1:7">
      <c r="A747" t="s">
        <v>58</v>
      </c>
      <c r="B747" t="s">
        <v>89</v>
      </c>
      <c r="C747" t="s">
        <v>90</v>
      </c>
      <c r="D747" t="s">
        <v>836</v>
      </c>
      <c r="E747">
        <v>-745</v>
      </c>
      <c r="F747" t="s">
        <v>91</v>
      </c>
      <c r="G747" t="s">
        <v>92</v>
      </c>
    </row>
    <row r="748" spans="1:7">
      <c r="A748" t="s">
        <v>58</v>
      </c>
      <c r="B748" t="s">
        <v>89</v>
      </c>
      <c r="C748" t="s">
        <v>90</v>
      </c>
      <c r="D748" t="s">
        <v>837</v>
      </c>
      <c r="E748">
        <v>-746</v>
      </c>
      <c r="F748" t="s">
        <v>91</v>
      </c>
      <c r="G748" t="s">
        <v>92</v>
      </c>
    </row>
    <row r="749" spans="1:7">
      <c r="A749" t="s">
        <v>58</v>
      </c>
      <c r="B749" t="s">
        <v>89</v>
      </c>
      <c r="C749" t="s">
        <v>90</v>
      </c>
      <c r="D749" t="s">
        <v>838</v>
      </c>
      <c r="E749">
        <v>-747</v>
      </c>
      <c r="F749" t="s">
        <v>91</v>
      </c>
      <c r="G749" t="s">
        <v>92</v>
      </c>
    </row>
    <row r="750" spans="1:7">
      <c r="A750" t="s">
        <v>58</v>
      </c>
      <c r="B750" t="s">
        <v>89</v>
      </c>
      <c r="C750" t="s">
        <v>90</v>
      </c>
      <c r="D750" t="s">
        <v>839</v>
      </c>
      <c r="E750">
        <v>-748</v>
      </c>
      <c r="F750" t="s">
        <v>91</v>
      </c>
      <c r="G750" t="s">
        <v>92</v>
      </c>
    </row>
    <row r="751" spans="1:7">
      <c r="A751" t="s">
        <v>58</v>
      </c>
      <c r="B751" t="s">
        <v>89</v>
      </c>
      <c r="C751" t="s">
        <v>90</v>
      </c>
      <c r="D751" t="s">
        <v>840</v>
      </c>
      <c r="E751">
        <v>-749</v>
      </c>
      <c r="F751" t="s">
        <v>91</v>
      </c>
      <c r="G751" t="s">
        <v>92</v>
      </c>
    </row>
    <row r="752" spans="1:7">
      <c r="A752" t="s">
        <v>58</v>
      </c>
      <c r="B752" t="s">
        <v>89</v>
      </c>
      <c r="C752" t="s">
        <v>90</v>
      </c>
      <c r="D752" t="s">
        <v>841</v>
      </c>
      <c r="E752">
        <v>-750</v>
      </c>
      <c r="F752" t="s">
        <v>91</v>
      </c>
      <c r="G752" t="s">
        <v>92</v>
      </c>
    </row>
    <row r="753" spans="1:7">
      <c r="A753" t="s">
        <v>58</v>
      </c>
      <c r="B753" t="s">
        <v>89</v>
      </c>
      <c r="C753" t="s">
        <v>90</v>
      </c>
      <c r="D753" t="s">
        <v>842</v>
      </c>
      <c r="E753">
        <v>-751</v>
      </c>
      <c r="F753" t="s">
        <v>91</v>
      </c>
      <c r="G753" t="s">
        <v>92</v>
      </c>
    </row>
    <row r="754" spans="1:7">
      <c r="A754" t="s">
        <v>58</v>
      </c>
      <c r="B754" t="s">
        <v>89</v>
      </c>
      <c r="C754" t="s">
        <v>90</v>
      </c>
      <c r="D754" t="s">
        <v>843</v>
      </c>
      <c r="E754">
        <v>-752</v>
      </c>
      <c r="F754" t="s">
        <v>91</v>
      </c>
      <c r="G754" t="s">
        <v>92</v>
      </c>
    </row>
    <row r="755" spans="1:7">
      <c r="A755" t="s">
        <v>58</v>
      </c>
      <c r="B755" t="s">
        <v>89</v>
      </c>
      <c r="C755" t="s">
        <v>90</v>
      </c>
      <c r="D755" t="s">
        <v>844</v>
      </c>
      <c r="E755">
        <v>-753</v>
      </c>
      <c r="F755" t="s">
        <v>91</v>
      </c>
      <c r="G755" t="s">
        <v>92</v>
      </c>
    </row>
    <row r="756" spans="1:7">
      <c r="A756" t="s">
        <v>58</v>
      </c>
      <c r="B756" t="s">
        <v>89</v>
      </c>
      <c r="C756" t="s">
        <v>90</v>
      </c>
      <c r="D756" t="s">
        <v>845</v>
      </c>
      <c r="E756">
        <v>-754</v>
      </c>
      <c r="F756" t="s">
        <v>91</v>
      </c>
      <c r="G756" t="s">
        <v>92</v>
      </c>
    </row>
    <row r="757" spans="1:7">
      <c r="A757" t="s">
        <v>58</v>
      </c>
      <c r="B757" t="s">
        <v>89</v>
      </c>
      <c r="C757" t="s">
        <v>90</v>
      </c>
      <c r="D757" t="s">
        <v>846</v>
      </c>
      <c r="E757">
        <v>-755</v>
      </c>
      <c r="F757" t="s">
        <v>91</v>
      </c>
      <c r="G757" t="s">
        <v>92</v>
      </c>
    </row>
    <row r="758" spans="1:7">
      <c r="A758" t="s">
        <v>58</v>
      </c>
      <c r="B758" t="s">
        <v>89</v>
      </c>
      <c r="C758" t="s">
        <v>90</v>
      </c>
      <c r="D758" t="s">
        <v>847</v>
      </c>
      <c r="E758">
        <v>-756</v>
      </c>
      <c r="F758" t="s">
        <v>91</v>
      </c>
      <c r="G758" t="s">
        <v>92</v>
      </c>
    </row>
    <row r="759" spans="1:7">
      <c r="A759" t="s">
        <v>58</v>
      </c>
      <c r="B759" t="s">
        <v>89</v>
      </c>
      <c r="C759" t="s">
        <v>90</v>
      </c>
      <c r="D759" t="s">
        <v>848</v>
      </c>
      <c r="E759">
        <v>-757</v>
      </c>
      <c r="F759" t="s">
        <v>91</v>
      </c>
      <c r="G759" t="s">
        <v>92</v>
      </c>
    </row>
    <row r="760" spans="1:7">
      <c r="A760" t="s">
        <v>58</v>
      </c>
      <c r="B760" t="s">
        <v>89</v>
      </c>
      <c r="C760" t="s">
        <v>90</v>
      </c>
      <c r="D760" t="s">
        <v>849</v>
      </c>
      <c r="E760">
        <v>-758</v>
      </c>
      <c r="F760" t="s">
        <v>91</v>
      </c>
      <c r="G760" t="s">
        <v>92</v>
      </c>
    </row>
    <row r="761" spans="1:7">
      <c r="A761" t="s">
        <v>58</v>
      </c>
      <c r="B761" t="s">
        <v>89</v>
      </c>
      <c r="C761" t="s">
        <v>90</v>
      </c>
      <c r="D761" t="s">
        <v>850</v>
      </c>
      <c r="E761">
        <v>-759</v>
      </c>
      <c r="F761" t="s">
        <v>91</v>
      </c>
      <c r="G761" t="s">
        <v>92</v>
      </c>
    </row>
    <row r="762" spans="1:7">
      <c r="A762" t="s">
        <v>58</v>
      </c>
      <c r="B762" t="s">
        <v>89</v>
      </c>
      <c r="C762" t="s">
        <v>90</v>
      </c>
      <c r="D762" t="s">
        <v>851</v>
      </c>
      <c r="E762">
        <v>-760</v>
      </c>
      <c r="F762" t="s">
        <v>91</v>
      </c>
      <c r="G762" t="s">
        <v>92</v>
      </c>
    </row>
    <row r="763" spans="1:7">
      <c r="A763" t="s">
        <v>58</v>
      </c>
      <c r="B763" t="s">
        <v>89</v>
      </c>
      <c r="C763" t="s">
        <v>90</v>
      </c>
      <c r="D763" t="s">
        <v>852</v>
      </c>
      <c r="E763">
        <v>-761</v>
      </c>
      <c r="F763" t="s">
        <v>91</v>
      </c>
      <c r="G763" t="s">
        <v>92</v>
      </c>
    </row>
    <row r="764" spans="1:7">
      <c r="A764" t="s">
        <v>58</v>
      </c>
      <c r="B764" t="s">
        <v>89</v>
      </c>
      <c r="C764" t="s">
        <v>90</v>
      </c>
      <c r="D764" t="s">
        <v>853</v>
      </c>
      <c r="E764">
        <v>-762</v>
      </c>
      <c r="F764" t="s">
        <v>91</v>
      </c>
      <c r="G764" t="s">
        <v>92</v>
      </c>
    </row>
    <row r="765" spans="1:7">
      <c r="A765" t="s">
        <v>58</v>
      </c>
      <c r="B765" t="s">
        <v>89</v>
      </c>
      <c r="C765" t="s">
        <v>90</v>
      </c>
      <c r="D765" t="s">
        <v>854</v>
      </c>
      <c r="E765">
        <v>-763</v>
      </c>
      <c r="F765" t="s">
        <v>91</v>
      </c>
      <c r="G765" t="s">
        <v>92</v>
      </c>
    </row>
    <row r="766" spans="1:7">
      <c r="A766" t="s">
        <v>58</v>
      </c>
      <c r="B766" t="s">
        <v>89</v>
      </c>
      <c r="C766" t="s">
        <v>90</v>
      </c>
      <c r="D766" t="s">
        <v>855</v>
      </c>
      <c r="E766">
        <v>-764</v>
      </c>
      <c r="F766" t="s">
        <v>91</v>
      </c>
      <c r="G766" t="s">
        <v>92</v>
      </c>
    </row>
    <row r="767" spans="1:7">
      <c r="A767" t="s">
        <v>58</v>
      </c>
      <c r="B767" t="s">
        <v>89</v>
      </c>
      <c r="C767" t="s">
        <v>90</v>
      </c>
      <c r="D767" t="s">
        <v>856</v>
      </c>
      <c r="E767">
        <v>-765</v>
      </c>
      <c r="F767" t="s">
        <v>91</v>
      </c>
      <c r="G767" t="s">
        <v>92</v>
      </c>
    </row>
    <row r="768" spans="1:7">
      <c r="A768" t="s">
        <v>58</v>
      </c>
      <c r="B768" t="s">
        <v>89</v>
      </c>
      <c r="C768" t="s">
        <v>90</v>
      </c>
      <c r="D768" t="s">
        <v>857</v>
      </c>
      <c r="E768">
        <v>-766</v>
      </c>
      <c r="F768" t="s">
        <v>91</v>
      </c>
      <c r="G768" t="s">
        <v>92</v>
      </c>
    </row>
    <row r="769" spans="1:7">
      <c r="A769" t="s">
        <v>58</v>
      </c>
      <c r="B769" t="s">
        <v>89</v>
      </c>
      <c r="C769" t="s">
        <v>90</v>
      </c>
      <c r="D769" t="s">
        <v>858</v>
      </c>
      <c r="E769">
        <v>-767</v>
      </c>
      <c r="F769" t="s">
        <v>91</v>
      </c>
      <c r="G769" t="s">
        <v>92</v>
      </c>
    </row>
    <row r="770" spans="1:7">
      <c r="A770" t="s">
        <v>58</v>
      </c>
      <c r="B770" t="s">
        <v>89</v>
      </c>
      <c r="C770" t="s">
        <v>90</v>
      </c>
      <c r="D770" t="s">
        <v>859</v>
      </c>
      <c r="E770">
        <v>-768</v>
      </c>
      <c r="F770" t="s">
        <v>91</v>
      </c>
      <c r="G770" t="s">
        <v>92</v>
      </c>
    </row>
    <row r="771" spans="1:7">
      <c r="A771" t="s">
        <v>58</v>
      </c>
      <c r="B771" t="s">
        <v>89</v>
      </c>
      <c r="C771" t="s">
        <v>90</v>
      </c>
      <c r="D771" t="s">
        <v>860</v>
      </c>
      <c r="E771">
        <v>-769</v>
      </c>
      <c r="F771" t="s">
        <v>91</v>
      </c>
      <c r="G771" t="s">
        <v>92</v>
      </c>
    </row>
    <row r="772" spans="1:7">
      <c r="A772" t="s">
        <v>58</v>
      </c>
      <c r="B772" t="s">
        <v>89</v>
      </c>
      <c r="C772" t="s">
        <v>90</v>
      </c>
      <c r="D772" t="s">
        <v>861</v>
      </c>
      <c r="E772">
        <v>-770</v>
      </c>
      <c r="F772" t="s">
        <v>91</v>
      </c>
      <c r="G772" t="s">
        <v>92</v>
      </c>
    </row>
    <row r="773" spans="1:7">
      <c r="A773" t="s">
        <v>58</v>
      </c>
      <c r="B773" t="s">
        <v>89</v>
      </c>
      <c r="C773" t="s">
        <v>90</v>
      </c>
      <c r="D773" t="s">
        <v>862</v>
      </c>
      <c r="E773">
        <v>-771</v>
      </c>
      <c r="F773" t="s">
        <v>91</v>
      </c>
      <c r="G773" t="s">
        <v>92</v>
      </c>
    </row>
    <row r="774" spans="1:7">
      <c r="A774" t="s">
        <v>58</v>
      </c>
      <c r="B774" t="s">
        <v>89</v>
      </c>
      <c r="C774" t="s">
        <v>90</v>
      </c>
      <c r="D774" t="s">
        <v>863</v>
      </c>
      <c r="E774">
        <v>-772</v>
      </c>
      <c r="F774" t="s">
        <v>91</v>
      </c>
      <c r="G774" t="s">
        <v>92</v>
      </c>
    </row>
    <row r="775" spans="1:7">
      <c r="A775" t="s">
        <v>58</v>
      </c>
      <c r="B775" t="s">
        <v>89</v>
      </c>
      <c r="C775" t="s">
        <v>90</v>
      </c>
      <c r="D775" t="s">
        <v>864</v>
      </c>
      <c r="E775">
        <v>-773</v>
      </c>
      <c r="F775" t="s">
        <v>91</v>
      </c>
      <c r="G775" t="s">
        <v>92</v>
      </c>
    </row>
    <row r="776" spans="1:7">
      <c r="A776" t="s">
        <v>58</v>
      </c>
      <c r="B776" t="s">
        <v>89</v>
      </c>
      <c r="C776" t="s">
        <v>90</v>
      </c>
      <c r="D776" t="s">
        <v>865</v>
      </c>
      <c r="E776">
        <v>-774</v>
      </c>
      <c r="F776" t="s">
        <v>91</v>
      </c>
      <c r="G776" t="s">
        <v>92</v>
      </c>
    </row>
    <row r="777" spans="1:7">
      <c r="A777" t="s">
        <v>58</v>
      </c>
      <c r="B777" t="s">
        <v>89</v>
      </c>
      <c r="C777" t="s">
        <v>90</v>
      </c>
      <c r="D777" t="s">
        <v>866</v>
      </c>
      <c r="E777">
        <v>-775</v>
      </c>
      <c r="F777" t="s">
        <v>91</v>
      </c>
      <c r="G777" t="s">
        <v>92</v>
      </c>
    </row>
    <row r="778" spans="1:7">
      <c r="A778" t="s">
        <v>58</v>
      </c>
      <c r="B778" t="s">
        <v>89</v>
      </c>
      <c r="C778" t="s">
        <v>90</v>
      </c>
      <c r="D778" t="s">
        <v>867</v>
      </c>
      <c r="E778">
        <v>-776</v>
      </c>
      <c r="F778" t="s">
        <v>91</v>
      </c>
      <c r="G778" t="s">
        <v>92</v>
      </c>
    </row>
    <row r="779" spans="1:7">
      <c r="A779" t="s">
        <v>58</v>
      </c>
      <c r="B779" t="s">
        <v>89</v>
      </c>
      <c r="C779" t="s">
        <v>90</v>
      </c>
      <c r="D779" t="s">
        <v>868</v>
      </c>
      <c r="E779">
        <v>-777</v>
      </c>
      <c r="F779" t="s">
        <v>91</v>
      </c>
      <c r="G779" t="s">
        <v>92</v>
      </c>
    </row>
    <row r="780" spans="1:7">
      <c r="A780" t="s">
        <v>58</v>
      </c>
      <c r="B780" t="s">
        <v>89</v>
      </c>
      <c r="C780" t="s">
        <v>90</v>
      </c>
      <c r="D780" t="s">
        <v>869</v>
      </c>
      <c r="E780">
        <v>-778</v>
      </c>
      <c r="F780" t="s">
        <v>91</v>
      </c>
      <c r="G780" t="s">
        <v>92</v>
      </c>
    </row>
    <row r="781" spans="1:7">
      <c r="A781" t="s">
        <v>58</v>
      </c>
      <c r="B781" t="s">
        <v>89</v>
      </c>
      <c r="C781" t="s">
        <v>90</v>
      </c>
      <c r="D781" t="s">
        <v>870</v>
      </c>
      <c r="E781">
        <v>-779</v>
      </c>
      <c r="F781" t="s">
        <v>91</v>
      </c>
      <c r="G781" t="s">
        <v>92</v>
      </c>
    </row>
    <row r="782" spans="1:7">
      <c r="A782" t="s">
        <v>58</v>
      </c>
      <c r="B782" t="s">
        <v>89</v>
      </c>
      <c r="C782" t="s">
        <v>90</v>
      </c>
      <c r="D782" t="s">
        <v>871</v>
      </c>
      <c r="E782">
        <v>-780</v>
      </c>
      <c r="F782" t="s">
        <v>91</v>
      </c>
      <c r="G782" t="s">
        <v>92</v>
      </c>
    </row>
    <row r="783" spans="1:7">
      <c r="A783" t="s">
        <v>58</v>
      </c>
      <c r="B783" t="s">
        <v>89</v>
      </c>
      <c r="C783" t="s">
        <v>90</v>
      </c>
      <c r="D783" t="s">
        <v>872</v>
      </c>
      <c r="E783">
        <v>-781</v>
      </c>
      <c r="F783" t="s">
        <v>91</v>
      </c>
      <c r="G783" t="s">
        <v>92</v>
      </c>
    </row>
    <row r="784" spans="1:7">
      <c r="A784" t="s">
        <v>58</v>
      </c>
      <c r="B784" t="s">
        <v>89</v>
      </c>
      <c r="C784" t="s">
        <v>90</v>
      </c>
      <c r="D784" t="s">
        <v>873</v>
      </c>
      <c r="E784">
        <v>-782</v>
      </c>
      <c r="F784" t="s">
        <v>91</v>
      </c>
      <c r="G784" t="s">
        <v>92</v>
      </c>
    </row>
    <row r="785" spans="1:7">
      <c r="A785" t="s">
        <v>58</v>
      </c>
      <c r="B785" t="s">
        <v>89</v>
      </c>
      <c r="C785" t="s">
        <v>90</v>
      </c>
      <c r="D785" t="s">
        <v>874</v>
      </c>
      <c r="E785">
        <v>-783</v>
      </c>
      <c r="F785" t="s">
        <v>91</v>
      </c>
      <c r="G785" t="s">
        <v>92</v>
      </c>
    </row>
    <row r="786" spans="1:7">
      <c r="A786" t="s">
        <v>58</v>
      </c>
      <c r="B786" t="s">
        <v>89</v>
      </c>
      <c r="C786" t="s">
        <v>90</v>
      </c>
      <c r="D786" t="s">
        <v>875</v>
      </c>
      <c r="E786">
        <v>-784</v>
      </c>
      <c r="F786" t="s">
        <v>91</v>
      </c>
      <c r="G786" t="s">
        <v>92</v>
      </c>
    </row>
    <row r="787" spans="1:7">
      <c r="A787" t="s">
        <v>58</v>
      </c>
      <c r="B787" t="s">
        <v>89</v>
      </c>
      <c r="C787" t="s">
        <v>90</v>
      </c>
      <c r="D787" t="s">
        <v>876</v>
      </c>
      <c r="E787">
        <v>-785</v>
      </c>
      <c r="F787" t="s">
        <v>91</v>
      </c>
      <c r="G787" t="s">
        <v>92</v>
      </c>
    </row>
    <row r="788" spans="1:7">
      <c r="A788" t="s">
        <v>58</v>
      </c>
      <c r="B788" t="s">
        <v>89</v>
      </c>
      <c r="C788" t="s">
        <v>90</v>
      </c>
      <c r="D788" t="s">
        <v>877</v>
      </c>
      <c r="E788">
        <v>-786</v>
      </c>
      <c r="F788" t="s">
        <v>91</v>
      </c>
      <c r="G788" t="s">
        <v>92</v>
      </c>
    </row>
    <row r="789" spans="1:7">
      <c r="A789" t="s">
        <v>58</v>
      </c>
      <c r="B789" t="s">
        <v>89</v>
      </c>
      <c r="C789" t="s">
        <v>90</v>
      </c>
      <c r="D789" t="s">
        <v>878</v>
      </c>
      <c r="E789">
        <v>-787</v>
      </c>
      <c r="F789" t="s">
        <v>91</v>
      </c>
      <c r="G789" t="s">
        <v>92</v>
      </c>
    </row>
    <row r="790" spans="1:7">
      <c r="A790" t="s">
        <v>58</v>
      </c>
      <c r="B790" t="s">
        <v>89</v>
      </c>
      <c r="C790" t="s">
        <v>90</v>
      </c>
      <c r="D790" t="s">
        <v>879</v>
      </c>
      <c r="E790">
        <v>-788</v>
      </c>
      <c r="F790" t="s">
        <v>91</v>
      </c>
      <c r="G790" t="s">
        <v>92</v>
      </c>
    </row>
    <row r="791" spans="1:7">
      <c r="A791" t="s">
        <v>58</v>
      </c>
      <c r="B791" t="s">
        <v>89</v>
      </c>
      <c r="C791" t="s">
        <v>90</v>
      </c>
      <c r="D791" t="s">
        <v>880</v>
      </c>
      <c r="E791">
        <v>-789</v>
      </c>
      <c r="F791" t="s">
        <v>91</v>
      </c>
      <c r="G791" t="s">
        <v>92</v>
      </c>
    </row>
    <row r="792" spans="1:7">
      <c r="A792" t="s">
        <v>58</v>
      </c>
      <c r="B792" t="s">
        <v>89</v>
      </c>
      <c r="C792" t="s">
        <v>90</v>
      </c>
      <c r="D792" t="s">
        <v>881</v>
      </c>
      <c r="E792">
        <v>-790</v>
      </c>
      <c r="F792" t="s">
        <v>91</v>
      </c>
      <c r="G792" t="s">
        <v>92</v>
      </c>
    </row>
    <row r="793" spans="1:7">
      <c r="A793" t="s">
        <v>58</v>
      </c>
      <c r="B793" t="s">
        <v>89</v>
      </c>
      <c r="C793" t="s">
        <v>90</v>
      </c>
      <c r="D793" t="s">
        <v>882</v>
      </c>
      <c r="E793">
        <v>-791</v>
      </c>
      <c r="F793" t="s">
        <v>91</v>
      </c>
      <c r="G793" t="s">
        <v>92</v>
      </c>
    </row>
    <row r="794" spans="1:7">
      <c r="A794" t="s">
        <v>58</v>
      </c>
      <c r="B794" t="s">
        <v>89</v>
      </c>
      <c r="C794" t="s">
        <v>90</v>
      </c>
      <c r="D794" t="s">
        <v>883</v>
      </c>
      <c r="E794">
        <v>-792</v>
      </c>
      <c r="F794" t="s">
        <v>91</v>
      </c>
      <c r="G794" t="s">
        <v>92</v>
      </c>
    </row>
    <row r="795" spans="1:7">
      <c r="A795" t="s">
        <v>58</v>
      </c>
      <c r="B795" t="s">
        <v>89</v>
      </c>
      <c r="C795" t="s">
        <v>90</v>
      </c>
      <c r="D795" t="s">
        <v>884</v>
      </c>
      <c r="E795">
        <v>-793</v>
      </c>
      <c r="F795" t="s">
        <v>91</v>
      </c>
      <c r="G795" t="s">
        <v>92</v>
      </c>
    </row>
    <row r="796" spans="1:7">
      <c r="A796" t="s">
        <v>58</v>
      </c>
      <c r="B796" t="s">
        <v>89</v>
      </c>
      <c r="C796" t="s">
        <v>90</v>
      </c>
      <c r="D796" t="s">
        <v>885</v>
      </c>
      <c r="E796">
        <v>-794</v>
      </c>
      <c r="F796" t="s">
        <v>91</v>
      </c>
      <c r="G796" t="s">
        <v>92</v>
      </c>
    </row>
    <row r="797" spans="1:7">
      <c r="A797" t="s">
        <v>58</v>
      </c>
      <c r="B797" t="s">
        <v>89</v>
      </c>
      <c r="C797" t="s">
        <v>90</v>
      </c>
      <c r="D797" t="s">
        <v>886</v>
      </c>
      <c r="E797">
        <v>-795</v>
      </c>
      <c r="F797" t="s">
        <v>91</v>
      </c>
      <c r="G797" t="s">
        <v>92</v>
      </c>
    </row>
    <row r="798" spans="1:7">
      <c r="A798" t="s">
        <v>58</v>
      </c>
      <c r="B798" t="s">
        <v>89</v>
      </c>
      <c r="C798" t="s">
        <v>90</v>
      </c>
      <c r="D798" t="s">
        <v>887</v>
      </c>
      <c r="E798">
        <v>-796</v>
      </c>
      <c r="F798" t="s">
        <v>91</v>
      </c>
      <c r="G798" t="s">
        <v>92</v>
      </c>
    </row>
    <row r="799" spans="1:7">
      <c r="A799" t="s">
        <v>58</v>
      </c>
      <c r="B799" t="s">
        <v>89</v>
      </c>
      <c r="C799" t="s">
        <v>90</v>
      </c>
      <c r="D799" t="s">
        <v>888</v>
      </c>
      <c r="E799">
        <v>-797</v>
      </c>
      <c r="F799" t="s">
        <v>91</v>
      </c>
      <c r="G799" t="s">
        <v>92</v>
      </c>
    </row>
    <row r="800" spans="1:7">
      <c r="A800" t="s">
        <v>58</v>
      </c>
      <c r="B800" t="s">
        <v>89</v>
      </c>
      <c r="C800" t="s">
        <v>90</v>
      </c>
      <c r="D800" t="s">
        <v>889</v>
      </c>
      <c r="E800">
        <v>-798</v>
      </c>
      <c r="F800" t="s">
        <v>91</v>
      </c>
      <c r="G800" t="s">
        <v>92</v>
      </c>
    </row>
    <row r="801" spans="1:7">
      <c r="A801" t="s">
        <v>58</v>
      </c>
      <c r="B801" t="s">
        <v>89</v>
      </c>
      <c r="C801" t="s">
        <v>90</v>
      </c>
      <c r="D801" t="s">
        <v>890</v>
      </c>
      <c r="E801">
        <v>-799</v>
      </c>
      <c r="F801" t="s">
        <v>91</v>
      </c>
      <c r="G801" t="s">
        <v>92</v>
      </c>
    </row>
    <row r="802" spans="1:7">
      <c r="A802" t="s">
        <v>58</v>
      </c>
      <c r="B802" t="s">
        <v>89</v>
      </c>
      <c r="C802" t="s">
        <v>90</v>
      </c>
      <c r="D802" t="s">
        <v>891</v>
      </c>
      <c r="E802">
        <v>-800</v>
      </c>
      <c r="F802" t="s">
        <v>91</v>
      </c>
      <c r="G802" t="s">
        <v>92</v>
      </c>
    </row>
    <row r="803" spans="1:7">
      <c r="A803" t="s">
        <v>58</v>
      </c>
      <c r="B803" t="s">
        <v>89</v>
      </c>
      <c r="C803" t="s">
        <v>90</v>
      </c>
      <c r="D803" t="s">
        <v>892</v>
      </c>
      <c r="E803">
        <v>-801</v>
      </c>
      <c r="F803" t="s">
        <v>91</v>
      </c>
      <c r="G803" t="s">
        <v>92</v>
      </c>
    </row>
    <row r="804" spans="1:7">
      <c r="A804" t="s">
        <v>58</v>
      </c>
      <c r="B804" t="s">
        <v>89</v>
      </c>
      <c r="C804" t="s">
        <v>90</v>
      </c>
      <c r="D804" t="s">
        <v>893</v>
      </c>
      <c r="E804">
        <v>-802</v>
      </c>
      <c r="F804" t="s">
        <v>91</v>
      </c>
      <c r="G804" t="s">
        <v>92</v>
      </c>
    </row>
    <row r="805" spans="1:7">
      <c r="A805" t="s">
        <v>58</v>
      </c>
      <c r="B805" t="s">
        <v>89</v>
      </c>
      <c r="C805" t="s">
        <v>90</v>
      </c>
      <c r="D805" t="s">
        <v>894</v>
      </c>
      <c r="E805">
        <v>-803</v>
      </c>
      <c r="F805" t="s">
        <v>91</v>
      </c>
      <c r="G805" t="s">
        <v>92</v>
      </c>
    </row>
    <row r="806" spans="1:7">
      <c r="A806" t="s">
        <v>58</v>
      </c>
      <c r="B806" t="s">
        <v>89</v>
      </c>
      <c r="C806" t="s">
        <v>90</v>
      </c>
      <c r="D806" t="s">
        <v>895</v>
      </c>
      <c r="E806">
        <v>-804</v>
      </c>
      <c r="F806" t="s">
        <v>91</v>
      </c>
      <c r="G806" t="s">
        <v>92</v>
      </c>
    </row>
    <row r="807" spans="1:7">
      <c r="A807" t="s">
        <v>58</v>
      </c>
      <c r="B807" t="s">
        <v>89</v>
      </c>
      <c r="C807" t="s">
        <v>90</v>
      </c>
      <c r="D807" t="s">
        <v>896</v>
      </c>
      <c r="E807">
        <v>-805</v>
      </c>
      <c r="F807" t="s">
        <v>91</v>
      </c>
      <c r="G807" t="s">
        <v>92</v>
      </c>
    </row>
    <row r="808" spans="1:7">
      <c r="A808" t="s">
        <v>58</v>
      </c>
      <c r="B808" t="s">
        <v>89</v>
      </c>
      <c r="C808" t="s">
        <v>90</v>
      </c>
      <c r="D808" t="s">
        <v>897</v>
      </c>
      <c r="E808">
        <v>-806</v>
      </c>
      <c r="F808" t="s">
        <v>91</v>
      </c>
      <c r="G808" t="s">
        <v>92</v>
      </c>
    </row>
    <row r="809" spans="1:7">
      <c r="A809" t="s">
        <v>58</v>
      </c>
      <c r="B809" t="s">
        <v>89</v>
      </c>
      <c r="C809" t="s">
        <v>90</v>
      </c>
      <c r="D809" t="s">
        <v>898</v>
      </c>
      <c r="E809">
        <v>-807</v>
      </c>
      <c r="F809" t="s">
        <v>91</v>
      </c>
      <c r="G809" t="s">
        <v>92</v>
      </c>
    </row>
    <row r="810" spans="1:7">
      <c r="A810" t="s">
        <v>58</v>
      </c>
      <c r="B810" t="s">
        <v>89</v>
      </c>
      <c r="C810" t="s">
        <v>90</v>
      </c>
      <c r="D810" t="s">
        <v>899</v>
      </c>
      <c r="E810">
        <v>-808</v>
      </c>
      <c r="F810" t="s">
        <v>91</v>
      </c>
      <c r="G810" t="s">
        <v>92</v>
      </c>
    </row>
    <row r="811" spans="1:7">
      <c r="A811" t="s">
        <v>58</v>
      </c>
      <c r="B811" t="s">
        <v>89</v>
      </c>
      <c r="C811" t="s">
        <v>90</v>
      </c>
      <c r="D811" t="s">
        <v>900</v>
      </c>
      <c r="E811">
        <v>-809</v>
      </c>
      <c r="F811" t="s">
        <v>91</v>
      </c>
      <c r="G811" t="s">
        <v>92</v>
      </c>
    </row>
    <row r="812" spans="1:7">
      <c r="A812" t="s">
        <v>58</v>
      </c>
      <c r="B812" t="s">
        <v>89</v>
      </c>
      <c r="C812" t="s">
        <v>90</v>
      </c>
      <c r="D812" t="s">
        <v>901</v>
      </c>
      <c r="E812">
        <v>-810</v>
      </c>
      <c r="F812" t="s">
        <v>91</v>
      </c>
      <c r="G812" t="s">
        <v>92</v>
      </c>
    </row>
    <row r="813" spans="1:7">
      <c r="A813" t="s">
        <v>58</v>
      </c>
      <c r="B813" t="s">
        <v>89</v>
      </c>
      <c r="C813" t="s">
        <v>90</v>
      </c>
      <c r="D813" t="s">
        <v>902</v>
      </c>
      <c r="E813">
        <v>-811</v>
      </c>
      <c r="F813" t="s">
        <v>91</v>
      </c>
      <c r="G813" t="s">
        <v>92</v>
      </c>
    </row>
    <row r="814" spans="1:7">
      <c r="A814" t="s">
        <v>58</v>
      </c>
      <c r="B814" t="s">
        <v>89</v>
      </c>
      <c r="C814" t="s">
        <v>90</v>
      </c>
      <c r="D814" t="s">
        <v>903</v>
      </c>
      <c r="E814">
        <v>-812</v>
      </c>
      <c r="F814" t="s">
        <v>91</v>
      </c>
      <c r="G814" t="s">
        <v>92</v>
      </c>
    </row>
    <row r="815" spans="1:7">
      <c r="A815" t="s">
        <v>58</v>
      </c>
      <c r="B815" t="s">
        <v>89</v>
      </c>
      <c r="C815" t="s">
        <v>90</v>
      </c>
      <c r="D815" t="s">
        <v>904</v>
      </c>
      <c r="E815">
        <v>-813</v>
      </c>
      <c r="F815" t="s">
        <v>91</v>
      </c>
      <c r="G815" t="s">
        <v>92</v>
      </c>
    </row>
    <row r="816" spans="1:7">
      <c r="A816" t="s">
        <v>58</v>
      </c>
      <c r="B816" t="s">
        <v>89</v>
      </c>
      <c r="C816" t="s">
        <v>90</v>
      </c>
      <c r="D816" t="s">
        <v>905</v>
      </c>
      <c r="E816">
        <v>-814</v>
      </c>
      <c r="F816" t="s">
        <v>91</v>
      </c>
      <c r="G816" t="s">
        <v>92</v>
      </c>
    </row>
    <row r="817" spans="1:7">
      <c r="A817" t="s">
        <v>58</v>
      </c>
      <c r="B817" t="s">
        <v>89</v>
      </c>
      <c r="C817" t="s">
        <v>90</v>
      </c>
      <c r="D817" t="s">
        <v>906</v>
      </c>
      <c r="E817">
        <v>-815</v>
      </c>
      <c r="F817" t="s">
        <v>91</v>
      </c>
      <c r="G817" t="s">
        <v>92</v>
      </c>
    </row>
    <row r="818" spans="1:7">
      <c r="A818" t="s">
        <v>58</v>
      </c>
      <c r="B818" t="s">
        <v>89</v>
      </c>
      <c r="C818" t="s">
        <v>90</v>
      </c>
      <c r="D818" t="s">
        <v>907</v>
      </c>
      <c r="E818">
        <v>-816</v>
      </c>
      <c r="F818" t="s">
        <v>91</v>
      </c>
      <c r="G818" t="s">
        <v>92</v>
      </c>
    </row>
    <row r="819" spans="1:7">
      <c r="A819" t="s">
        <v>58</v>
      </c>
      <c r="B819" t="s">
        <v>89</v>
      </c>
      <c r="C819" t="s">
        <v>90</v>
      </c>
      <c r="D819" t="s">
        <v>908</v>
      </c>
      <c r="E819">
        <v>-817</v>
      </c>
      <c r="F819" t="s">
        <v>91</v>
      </c>
      <c r="G819" t="s">
        <v>92</v>
      </c>
    </row>
    <row r="820" spans="1:7">
      <c r="A820" t="s">
        <v>58</v>
      </c>
      <c r="B820" t="s">
        <v>89</v>
      </c>
      <c r="C820" t="s">
        <v>90</v>
      </c>
      <c r="D820" t="s">
        <v>909</v>
      </c>
      <c r="E820">
        <v>-818</v>
      </c>
      <c r="F820" t="s">
        <v>91</v>
      </c>
      <c r="G820" t="s">
        <v>92</v>
      </c>
    </row>
    <row r="821" spans="1:7">
      <c r="A821" t="s">
        <v>58</v>
      </c>
      <c r="B821" t="s">
        <v>89</v>
      </c>
      <c r="C821" t="s">
        <v>90</v>
      </c>
      <c r="D821" t="s">
        <v>910</v>
      </c>
      <c r="E821">
        <v>-819</v>
      </c>
      <c r="F821" t="s">
        <v>91</v>
      </c>
      <c r="G821" t="s">
        <v>92</v>
      </c>
    </row>
    <row r="822" spans="1:7">
      <c r="A822" t="s">
        <v>58</v>
      </c>
      <c r="B822" t="s">
        <v>89</v>
      </c>
      <c r="C822" t="s">
        <v>90</v>
      </c>
      <c r="D822" t="s">
        <v>911</v>
      </c>
      <c r="E822">
        <v>-820</v>
      </c>
      <c r="F822" t="s">
        <v>91</v>
      </c>
      <c r="G822" t="s">
        <v>92</v>
      </c>
    </row>
    <row r="823" spans="1:7">
      <c r="A823" t="s">
        <v>58</v>
      </c>
      <c r="B823" t="s">
        <v>89</v>
      </c>
      <c r="C823" t="s">
        <v>90</v>
      </c>
      <c r="D823" t="s">
        <v>912</v>
      </c>
      <c r="E823">
        <v>-821</v>
      </c>
      <c r="F823" t="s">
        <v>91</v>
      </c>
      <c r="G823" t="s">
        <v>92</v>
      </c>
    </row>
    <row r="824" spans="1:7">
      <c r="A824" t="s">
        <v>58</v>
      </c>
      <c r="B824" t="s">
        <v>89</v>
      </c>
      <c r="C824" t="s">
        <v>90</v>
      </c>
      <c r="D824" t="s">
        <v>913</v>
      </c>
      <c r="E824">
        <v>-822</v>
      </c>
      <c r="F824" t="s">
        <v>91</v>
      </c>
      <c r="G824" t="s">
        <v>92</v>
      </c>
    </row>
    <row r="825" spans="1:7">
      <c r="A825" t="s">
        <v>58</v>
      </c>
      <c r="B825" t="s">
        <v>89</v>
      </c>
      <c r="C825" t="s">
        <v>90</v>
      </c>
      <c r="D825" t="s">
        <v>914</v>
      </c>
      <c r="E825">
        <v>-823</v>
      </c>
      <c r="F825" t="s">
        <v>91</v>
      </c>
      <c r="G825" t="s">
        <v>92</v>
      </c>
    </row>
    <row r="826" spans="1:7">
      <c r="A826" t="s">
        <v>58</v>
      </c>
      <c r="B826" t="s">
        <v>89</v>
      </c>
      <c r="C826" t="s">
        <v>90</v>
      </c>
      <c r="D826" t="s">
        <v>915</v>
      </c>
      <c r="E826">
        <v>-824</v>
      </c>
      <c r="F826" t="s">
        <v>91</v>
      </c>
      <c r="G826" t="s">
        <v>92</v>
      </c>
    </row>
    <row r="827" spans="1:7">
      <c r="A827" t="s">
        <v>58</v>
      </c>
      <c r="B827" t="s">
        <v>89</v>
      </c>
      <c r="C827" t="s">
        <v>90</v>
      </c>
      <c r="D827" t="s">
        <v>916</v>
      </c>
      <c r="E827">
        <v>-825</v>
      </c>
      <c r="F827" t="s">
        <v>91</v>
      </c>
      <c r="G827" t="s">
        <v>92</v>
      </c>
    </row>
    <row r="828" spans="1:7">
      <c r="A828" t="s">
        <v>58</v>
      </c>
      <c r="B828" t="s">
        <v>89</v>
      </c>
      <c r="C828" t="s">
        <v>90</v>
      </c>
      <c r="D828" t="s">
        <v>917</v>
      </c>
      <c r="E828">
        <v>-826</v>
      </c>
      <c r="F828" t="s">
        <v>91</v>
      </c>
      <c r="G828" t="s">
        <v>92</v>
      </c>
    </row>
    <row r="829" spans="1:7">
      <c r="A829" t="s">
        <v>58</v>
      </c>
      <c r="B829" t="s">
        <v>89</v>
      </c>
      <c r="C829" t="s">
        <v>90</v>
      </c>
      <c r="D829" t="s">
        <v>918</v>
      </c>
      <c r="E829">
        <v>-827</v>
      </c>
      <c r="F829" t="s">
        <v>91</v>
      </c>
      <c r="G829" t="s">
        <v>92</v>
      </c>
    </row>
    <row r="830" spans="1:7">
      <c r="A830" t="s">
        <v>58</v>
      </c>
      <c r="B830" t="s">
        <v>89</v>
      </c>
      <c r="C830" t="s">
        <v>90</v>
      </c>
      <c r="D830" t="s">
        <v>919</v>
      </c>
      <c r="E830">
        <v>-828</v>
      </c>
      <c r="F830" t="s">
        <v>91</v>
      </c>
      <c r="G830" t="s">
        <v>92</v>
      </c>
    </row>
    <row r="831" spans="1:7">
      <c r="A831" t="s">
        <v>58</v>
      </c>
      <c r="B831" t="s">
        <v>89</v>
      </c>
      <c r="C831" t="s">
        <v>90</v>
      </c>
      <c r="D831" t="s">
        <v>920</v>
      </c>
      <c r="E831">
        <v>-829</v>
      </c>
      <c r="F831" t="s">
        <v>91</v>
      </c>
      <c r="G831" t="s">
        <v>92</v>
      </c>
    </row>
    <row r="832" spans="1:7">
      <c r="A832" t="s">
        <v>58</v>
      </c>
      <c r="B832" t="s">
        <v>89</v>
      </c>
      <c r="C832" t="s">
        <v>90</v>
      </c>
      <c r="D832" t="s">
        <v>921</v>
      </c>
      <c r="E832">
        <v>-830</v>
      </c>
      <c r="F832" t="s">
        <v>91</v>
      </c>
      <c r="G832" t="s">
        <v>92</v>
      </c>
    </row>
    <row r="833" spans="1:7">
      <c r="A833" t="s">
        <v>58</v>
      </c>
      <c r="B833" t="s">
        <v>89</v>
      </c>
      <c r="C833" t="s">
        <v>90</v>
      </c>
      <c r="D833" t="s">
        <v>922</v>
      </c>
      <c r="E833">
        <v>-831</v>
      </c>
      <c r="F833" t="s">
        <v>91</v>
      </c>
      <c r="G833" t="s">
        <v>92</v>
      </c>
    </row>
    <row r="834" spans="1:7">
      <c r="A834" t="s">
        <v>58</v>
      </c>
      <c r="B834" t="s">
        <v>89</v>
      </c>
      <c r="C834" t="s">
        <v>90</v>
      </c>
      <c r="D834" t="s">
        <v>923</v>
      </c>
      <c r="E834">
        <v>-832</v>
      </c>
      <c r="F834" t="s">
        <v>91</v>
      </c>
      <c r="G834" t="s">
        <v>92</v>
      </c>
    </row>
    <row r="835" spans="1:7">
      <c r="A835" t="s">
        <v>58</v>
      </c>
      <c r="B835" t="s">
        <v>89</v>
      </c>
      <c r="C835" t="s">
        <v>90</v>
      </c>
      <c r="D835" t="s">
        <v>924</v>
      </c>
      <c r="E835">
        <v>-833</v>
      </c>
      <c r="F835" t="s">
        <v>91</v>
      </c>
      <c r="G835" t="s">
        <v>92</v>
      </c>
    </row>
    <row r="836" spans="1:7">
      <c r="A836" t="s">
        <v>58</v>
      </c>
      <c r="B836" t="s">
        <v>89</v>
      </c>
      <c r="C836" t="s">
        <v>90</v>
      </c>
      <c r="D836" t="s">
        <v>925</v>
      </c>
      <c r="E836">
        <v>-834</v>
      </c>
      <c r="F836" t="s">
        <v>91</v>
      </c>
      <c r="G836" t="s">
        <v>92</v>
      </c>
    </row>
    <row r="837" spans="1:7">
      <c r="A837" t="s">
        <v>58</v>
      </c>
      <c r="B837" t="s">
        <v>89</v>
      </c>
      <c r="C837" t="s">
        <v>90</v>
      </c>
      <c r="D837" t="s">
        <v>926</v>
      </c>
      <c r="E837">
        <v>-835</v>
      </c>
      <c r="F837" t="s">
        <v>91</v>
      </c>
      <c r="G837" t="s">
        <v>92</v>
      </c>
    </row>
    <row r="838" spans="1:7">
      <c r="A838" t="s">
        <v>58</v>
      </c>
      <c r="B838" t="s">
        <v>89</v>
      </c>
      <c r="C838" t="s">
        <v>90</v>
      </c>
      <c r="D838" t="s">
        <v>927</v>
      </c>
      <c r="E838">
        <v>-836</v>
      </c>
      <c r="F838" t="s">
        <v>91</v>
      </c>
      <c r="G838" t="s">
        <v>92</v>
      </c>
    </row>
    <row r="839" spans="1:7">
      <c r="A839" t="s">
        <v>58</v>
      </c>
      <c r="B839" t="s">
        <v>89</v>
      </c>
      <c r="C839" t="s">
        <v>90</v>
      </c>
      <c r="D839" t="s">
        <v>928</v>
      </c>
      <c r="E839">
        <v>-837</v>
      </c>
      <c r="F839" t="s">
        <v>91</v>
      </c>
      <c r="G839" t="s">
        <v>92</v>
      </c>
    </row>
    <row r="840" spans="1:7">
      <c r="A840" t="s">
        <v>58</v>
      </c>
      <c r="B840" t="s">
        <v>89</v>
      </c>
      <c r="C840" t="s">
        <v>90</v>
      </c>
      <c r="D840" t="s">
        <v>929</v>
      </c>
      <c r="E840">
        <v>-838</v>
      </c>
      <c r="F840" t="s">
        <v>91</v>
      </c>
      <c r="G840" t="s">
        <v>92</v>
      </c>
    </row>
    <row r="841" spans="1:7">
      <c r="A841" t="s">
        <v>58</v>
      </c>
      <c r="B841" t="s">
        <v>89</v>
      </c>
      <c r="C841" t="s">
        <v>90</v>
      </c>
      <c r="D841" t="s">
        <v>930</v>
      </c>
      <c r="E841">
        <v>-839</v>
      </c>
      <c r="F841" t="s">
        <v>91</v>
      </c>
      <c r="G841" t="s">
        <v>92</v>
      </c>
    </row>
    <row r="842" spans="1:7">
      <c r="A842" t="s">
        <v>58</v>
      </c>
      <c r="B842" t="s">
        <v>89</v>
      </c>
      <c r="C842" t="s">
        <v>90</v>
      </c>
      <c r="D842" t="s">
        <v>931</v>
      </c>
      <c r="E842">
        <v>-840</v>
      </c>
      <c r="F842" t="s">
        <v>91</v>
      </c>
      <c r="G842" t="s">
        <v>92</v>
      </c>
    </row>
    <row r="843" spans="1:7">
      <c r="A843" t="s">
        <v>58</v>
      </c>
      <c r="B843" t="s">
        <v>89</v>
      </c>
      <c r="C843" t="s">
        <v>90</v>
      </c>
      <c r="D843" t="s">
        <v>932</v>
      </c>
      <c r="E843">
        <v>-841</v>
      </c>
      <c r="F843" t="s">
        <v>91</v>
      </c>
      <c r="G843" t="s">
        <v>92</v>
      </c>
    </row>
    <row r="844" spans="1:7">
      <c r="A844" t="s">
        <v>58</v>
      </c>
      <c r="B844" t="s">
        <v>89</v>
      </c>
      <c r="C844" t="s">
        <v>90</v>
      </c>
      <c r="D844" t="s">
        <v>933</v>
      </c>
      <c r="E844">
        <v>-842</v>
      </c>
      <c r="F844" t="s">
        <v>91</v>
      </c>
      <c r="G844" t="s">
        <v>92</v>
      </c>
    </row>
    <row r="845" spans="1:7">
      <c r="A845" t="s">
        <v>58</v>
      </c>
      <c r="B845" t="s">
        <v>89</v>
      </c>
      <c r="C845" t="s">
        <v>90</v>
      </c>
      <c r="D845" t="s">
        <v>934</v>
      </c>
      <c r="E845">
        <v>-843</v>
      </c>
      <c r="F845" t="s">
        <v>91</v>
      </c>
      <c r="G845" t="s">
        <v>92</v>
      </c>
    </row>
    <row r="846" spans="1:7">
      <c r="A846" t="s">
        <v>58</v>
      </c>
      <c r="B846" t="s">
        <v>89</v>
      </c>
      <c r="C846" t="s">
        <v>90</v>
      </c>
      <c r="D846" t="s">
        <v>935</v>
      </c>
      <c r="E846">
        <v>-844</v>
      </c>
      <c r="F846" t="s">
        <v>91</v>
      </c>
      <c r="G846" t="s">
        <v>92</v>
      </c>
    </row>
    <row r="847" spans="1:7">
      <c r="A847" t="s">
        <v>58</v>
      </c>
      <c r="B847" t="s">
        <v>89</v>
      </c>
      <c r="C847" t="s">
        <v>90</v>
      </c>
      <c r="D847" t="s">
        <v>936</v>
      </c>
      <c r="E847">
        <v>-845</v>
      </c>
      <c r="F847" t="s">
        <v>91</v>
      </c>
      <c r="G847" t="s">
        <v>92</v>
      </c>
    </row>
    <row r="848" spans="1:7">
      <c r="A848" t="s">
        <v>58</v>
      </c>
      <c r="B848" t="s">
        <v>89</v>
      </c>
      <c r="C848" t="s">
        <v>90</v>
      </c>
      <c r="D848" t="s">
        <v>937</v>
      </c>
      <c r="E848">
        <v>-846</v>
      </c>
      <c r="F848" t="s">
        <v>91</v>
      </c>
      <c r="G848" t="s">
        <v>92</v>
      </c>
    </row>
    <row r="849" spans="1:7">
      <c r="A849" t="s">
        <v>58</v>
      </c>
      <c r="B849" t="s">
        <v>89</v>
      </c>
      <c r="C849" t="s">
        <v>90</v>
      </c>
      <c r="D849" t="s">
        <v>938</v>
      </c>
      <c r="E849">
        <v>-847</v>
      </c>
      <c r="F849" t="s">
        <v>91</v>
      </c>
      <c r="G849" t="s">
        <v>92</v>
      </c>
    </row>
    <row r="850" spans="1:7">
      <c r="A850" t="s">
        <v>58</v>
      </c>
      <c r="B850" t="s">
        <v>89</v>
      </c>
      <c r="C850" t="s">
        <v>90</v>
      </c>
      <c r="D850" t="s">
        <v>939</v>
      </c>
      <c r="E850">
        <v>-848</v>
      </c>
      <c r="F850" t="s">
        <v>91</v>
      </c>
      <c r="G850" t="s">
        <v>92</v>
      </c>
    </row>
    <row r="851" spans="1:7">
      <c r="A851" t="s">
        <v>58</v>
      </c>
      <c r="B851" t="s">
        <v>89</v>
      </c>
      <c r="C851" t="s">
        <v>90</v>
      </c>
      <c r="D851" t="s">
        <v>940</v>
      </c>
      <c r="E851">
        <v>-849</v>
      </c>
      <c r="F851" t="s">
        <v>91</v>
      </c>
      <c r="G851" t="s">
        <v>92</v>
      </c>
    </row>
    <row r="852" spans="1:7">
      <c r="A852" t="s">
        <v>58</v>
      </c>
      <c r="B852" t="s">
        <v>89</v>
      </c>
      <c r="C852" t="s">
        <v>90</v>
      </c>
      <c r="D852" t="s">
        <v>941</v>
      </c>
      <c r="E852">
        <v>-850</v>
      </c>
      <c r="F852" t="s">
        <v>91</v>
      </c>
      <c r="G852" t="s">
        <v>92</v>
      </c>
    </row>
    <row r="853" spans="1:7">
      <c r="A853" t="s">
        <v>58</v>
      </c>
      <c r="B853" t="s">
        <v>89</v>
      </c>
      <c r="C853" t="s">
        <v>90</v>
      </c>
      <c r="D853" t="s">
        <v>942</v>
      </c>
      <c r="E853">
        <v>-851</v>
      </c>
      <c r="F853" t="s">
        <v>91</v>
      </c>
      <c r="G853" t="s">
        <v>92</v>
      </c>
    </row>
    <row r="854" spans="1:7">
      <c r="A854" t="s">
        <v>58</v>
      </c>
      <c r="B854" t="s">
        <v>89</v>
      </c>
      <c r="C854" t="s">
        <v>90</v>
      </c>
      <c r="D854" t="s">
        <v>943</v>
      </c>
      <c r="E854">
        <v>-852</v>
      </c>
      <c r="F854" t="s">
        <v>91</v>
      </c>
      <c r="G854" t="s">
        <v>92</v>
      </c>
    </row>
    <row r="855" spans="1:7">
      <c r="A855" t="s">
        <v>58</v>
      </c>
      <c r="B855" t="s">
        <v>89</v>
      </c>
      <c r="C855" t="s">
        <v>90</v>
      </c>
      <c r="D855" t="s">
        <v>944</v>
      </c>
      <c r="E855">
        <v>-853</v>
      </c>
      <c r="F855" t="s">
        <v>91</v>
      </c>
      <c r="G855" t="s">
        <v>92</v>
      </c>
    </row>
    <row r="856" spans="1:7">
      <c r="A856" t="s">
        <v>58</v>
      </c>
      <c r="B856" t="s">
        <v>89</v>
      </c>
      <c r="C856" t="s">
        <v>90</v>
      </c>
      <c r="D856" t="s">
        <v>945</v>
      </c>
      <c r="E856">
        <v>-854</v>
      </c>
      <c r="F856" t="s">
        <v>91</v>
      </c>
      <c r="G856" t="s">
        <v>92</v>
      </c>
    </row>
    <row r="857" spans="1:7">
      <c r="A857" t="s">
        <v>58</v>
      </c>
      <c r="B857" t="s">
        <v>89</v>
      </c>
      <c r="C857" t="s">
        <v>90</v>
      </c>
      <c r="D857" t="s">
        <v>946</v>
      </c>
      <c r="E857">
        <v>-855</v>
      </c>
      <c r="F857" t="s">
        <v>91</v>
      </c>
      <c r="G857" t="s">
        <v>92</v>
      </c>
    </row>
    <row r="858" spans="1:7">
      <c r="A858" t="s">
        <v>58</v>
      </c>
      <c r="B858" t="s">
        <v>89</v>
      </c>
      <c r="C858" t="s">
        <v>90</v>
      </c>
      <c r="D858" t="s">
        <v>947</v>
      </c>
      <c r="E858">
        <v>-856</v>
      </c>
      <c r="F858" t="s">
        <v>91</v>
      </c>
      <c r="G858" t="s">
        <v>92</v>
      </c>
    </row>
    <row r="859" spans="1:7">
      <c r="A859" t="s">
        <v>58</v>
      </c>
      <c r="B859" t="s">
        <v>89</v>
      </c>
      <c r="C859" t="s">
        <v>90</v>
      </c>
      <c r="D859" t="s">
        <v>948</v>
      </c>
      <c r="E859">
        <v>-857</v>
      </c>
      <c r="F859" t="s">
        <v>91</v>
      </c>
      <c r="G859" t="s">
        <v>92</v>
      </c>
    </row>
    <row r="860" spans="1:7">
      <c r="A860" t="s">
        <v>58</v>
      </c>
      <c r="B860" t="s">
        <v>89</v>
      </c>
      <c r="C860" t="s">
        <v>90</v>
      </c>
      <c r="D860" t="s">
        <v>949</v>
      </c>
      <c r="E860">
        <v>-858</v>
      </c>
      <c r="F860" t="s">
        <v>91</v>
      </c>
      <c r="G860" t="s">
        <v>92</v>
      </c>
    </row>
    <row r="861" spans="1:7">
      <c r="A861" t="s">
        <v>58</v>
      </c>
      <c r="B861" t="s">
        <v>89</v>
      </c>
      <c r="C861" t="s">
        <v>90</v>
      </c>
      <c r="D861" t="s">
        <v>950</v>
      </c>
      <c r="E861">
        <v>-859</v>
      </c>
      <c r="F861" t="s">
        <v>91</v>
      </c>
      <c r="G861" t="s">
        <v>92</v>
      </c>
    </row>
    <row r="862" spans="1:7">
      <c r="A862" t="s">
        <v>58</v>
      </c>
      <c r="B862" t="s">
        <v>89</v>
      </c>
      <c r="C862" t="s">
        <v>90</v>
      </c>
      <c r="D862" t="s">
        <v>951</v>
      </c>
      <c r="E862">
        <v>-860</v>
      </c>
      <c r="F862" t="s">
        <v>91</v>
      </c>
      <c r="G862" t="s">
        <v>92</v>
      </c>
    </row>
    <row r="863" spans="1:7">
      <c r="A863" t="s">
        <v>58</v>
      </c>
      <c r="B863" t="s">
        <v>89</v>
      </c>
      <c r="C863" t="s">
        <v>90</v>
      </c>
      <c r="D863" t="s">
        <v>952</v>
      </c>
      <c r="E863">
        <v>-861</v>
      </c>
      <c r="F863" t="s">
        <v>91</v>
      </c>
      <c r="G863" t="s">
        <v>92</v>
      </c>
    </row>
    <row r="864" spans="1:7">
      <c r="A864" t="s">
        <v>58</v>
      </c>
      <c r="B864" t="s">
        <v>89</v>
      </c>
      <c r="C864" t="s">
        <v>90</v>
      </c>
      <c r="D864" t="s">
        <v>953</v>
      </c>
      <c r="E864">
        <v>-862</v>
      </c>
      <c r="F864" t="s">
        <v>91</v>
      </c>
      <c r="G864" t="s">
        <v>92</v>
      </c>
    </row>
    <row r="865" spans="1:7">
      <c r="A865" t="s">
        <v>58</v>
      </c>
      <c r="B865" t="s">
        <v>89</v>
      </c>
      <c r="C865" t="s">
        <v>90</v>
      </c>
      <c r="D865" t="s">
        <v>954</v>
      </c>
      <c r="E865">
        <v>-863</v>
      </c>
      <c r="F865" t="s">
        <v>91</v>
      </c>
      <c r="G865" t="s">
        <v>92</v>
      </c>
    </row>
    <row r="866" spans="1:7">
      <c r="A866" t="s">
        <v>58</v>
      </c>
      <c r="B866" t="s">
        <v>89</v>
      </c>
      <c r="C866" t="s">
        <v>90</v>
      </c>
      <c r="D866" t="s">
        <v>955</v>
      </c>
      <c r="E866">
        <v>-864</v>
      </c>
      <c r="F866" t="s">
        <v>91</v>
      </c>
      <c r="G866" t="s">
        <v>92</v>
      </c>
    </row>
    <row r="867" spans="1:7">
      <c r="A867" t="s">
        <v>58</v>
      </c>
      <c r="B867" t="s">
        <v>89</v>
      </c>
      <c r="C867" t="s">
        <v>90</v>
      </c>
      <c r="D867" t="s">
        <v>956</v>
      </c>
      <c r="E867">
        <v>-865</v>
      </c>
      <c r="F867" t="s">
        <v>91</v>
      </c>
      <c r="G867" t="s">
        <v>92</v>
      </c>
    </row>
    <row r="868" spans="1:7">
      <c r="A868" t="s">
        <v>58</v>
      </c>
      <c r="B868" t="s">
        <v>89</v>
      </c>
      <c r="C868" t="s">
        <v>90</v>
      </c>
      <c r="D868" t="s">
        <v>957</v>
      </c>
      <c r="E868">
        <v>-866</v>
      </c>
      <c r="F868" t="s">
        <v>91</v>
      </c>
      <c r="G868" t="s">
        <v>92</v>
      </c>
    </row>
    <row r="869" spans="1:7">
      <c r="A869" t="s">
        <v>58</v>
      </c>
      <c r="B869" t="s">
        <v>89</v>
      </c>
      <c r="C869" t="s">
        <v>90</v>
      </c>
      <c r="D869" t="s">
        <v>958</v>
      </c>
      <c r="E869">
        <v>-867</v>
      </c>
      <c r="F869" t="s">
        <v>91</v>
      </c>
      <c r="G869" t="s">
        <v>92</v>
      </c>
    </row>
    <row r="870" spans="1:7">
      <c r="A870" t="s">
        <v>58</v>
      </c>
      <c r="B870" t="s">
        <v>89</v>
      </c>
      <c r="C870" t="s">
        <v>90</v>
      </c>
      <c r="D870" t="s">
        <v>959</v>
      </c>
      <c r="E870">
        <v>-868</v>
      </c>
      <c r="F870" t="s">
        <v>91</v>
      </c>
      <c r="G870" t="s">
        <v>92</v>
      </c>
    </row>
    <row r="871" spans="1:7">
      <c r="A871" t="s">
        <v>58</v>
      </c>
      <c r="B871" t="s">
        <v>89</v>
      </c>
      <c r="C871" t="s">
        <v>90</v>
      </c>
      <c r="D871" t="s">
        <v>960</v>
      </c>
      <c r="E871">
        <v>-869</v>
      </c>
      <c r="F871" t="s">
        <v>91</v>
      </c>
      <c r="G871" t="s">
        <v>92</v>
      </c>
    </row>
    <row r="872" spans="1:7">
      <c r="A872" t="s">
        <v>58</v>
      </c>
      <c r="B872" t="s">
        <v>89</v>
      </c>
      <c r="C872" t="s">
        <v>90</v>
      </c>
      <c r="D872" t="s">
        <v>961</v>
      </c>
      <c r="E872">
        <v>-870</v>
      </c>
      <c r="F872" t="s">
        <v>91</v>
      </c>
      <c r="G872" t="s">
        <v>92</v>
      </c>
    </row>
    <row r="873" spans="1:7">
      <c r="A873" t="s">
        <v>58</v>
      </c>
      <c r="B873" t="s">
        <v>89</v>
      </c>
      <c r="C873" t="s">
        <v>90</v>
      </c>
      <c r="D873" t="s">
        <v>962</v>
      </c>
      <c r="E873">
        <v>-871</v>
      </c>
      <c r="F873" t="s">
        <v>91</v>
      </c>
      <c r="G873" t="s">
        <v>92</v>
      </c>
    </row>
    <row r="874" spans="1:7">
      <c r="A874" t="s">
        <v>58</v>
      </c>
      <c r="B874" t="s">
        <v>89</v>
      </c>
      <c r="C874" t="s">
        <v>90</v>
      </c>
      <c r="D874" t="s">
        <v>963</v>
      </c>
      <c r="E874">
        <v>-872</v>
      </c>
      <c r="F874" t="s">
        <v>91</v>
      </c>
      <c r="G874" t="s">
        <v>92</v>
      </c>
    </row>
    <row r="875" spans="1:7">
      <c r="A875" t="s">
        <v>58</v>
      </c>
      <c r="B875" t="s">
        <v>89</v>
      </c>
      <c r="C875" t="s">
        <v>90</v>
      </c>
      <c r="D875" t="s">
        <v>964</v>
      </c>
      <c r="E875">
        <v>-873</v>
      </c>
      <c r="F875" t="s">
        <v>91</v>
      </c>
      <c r="G875" t="s">
        <v>92</v>
      </c>
    </row>
    <row r="876" spans="1:7">
      <c r="A876" t="s">
        <v>58</v>
      </c>
      <c r="B876" t="s">
        <v>89</v>
      </c>
      <c r="C876" t="s">
        <v>90</v>
      </c>
      <c r="D876" t="s">
        <v>965</v>
      </c>
      <c r="E876">
        <v>-874</v>
      </c>
      <c r="F876" t="s">
        <v>91</v>
      </c>
      <c r="G876" t="s">
        <v>92</v>
      </c>
    </row>
    <row r="877" spans="1:7">
      <c r="A877" t="s">
        <v>58</v>
      </c>
      <c r="B877" t="s">
        <v>89</v>
      </c>
      <c r="C877" t="s">
        <v>90</v>
      </c>
      <c r="D877" t="s">
        <v>966</v>
      </c>
      <c r="E877">
        <v>-875</v>
      </c>
      <c r="F877" t="s">
        <v>91</v>
      </c>
      <c r="G877" t="s">
        <v>92</v>
      </c>
    </row>
    <row r="878" spans="1:7">
      <c r="A878" t="s">
        <v>58</v>
      </c>
      <c r="B878" t="s">
        <v>89</v>
      </c>
      <c r="C878" t="s">
        <v>90</v>
      </c>
      <c r="D878" t="s">
        <v>967</v>
      </c>
      <c r="E878">
        <v>-876</v>
      </c>
      <c r="F878" t="s">
        <v>91</v>
      </c>
      <c r="G878" t="s">
        <v>92</v>
      </c>
    </row>
    <row r="879" spans="1:7">
      <c r="A879" t="s">
        <v>58</v>
      </c>
      <c r="B879" t="s">
        <v>89</v>
      </c>
      <c r="C879" t="s">
        <v>90</v>
      </c>
      <c r="D879" t="s">
        <v>968</v>
      </c>
      <c r="E879">
        <v>-877</v>
      </c>
      <c r="F879" t="s">
        <v>91</v>
      </c>
      <c r="G879" t="s">
        <v>92</v>
      </c>
    </row>
    <row r="880" spans="1:7">
      <c r="A880" t="s">
        <v>58</v>
      </c>
      <c r="B880" t="s">
        <v>89</v>
      </c>
      <c r="C880" t="s">
        <v>90</v>
      </c>
      <c r="D880" t="s">
        <v>969</v>
      </c>
      <c r="E880">
        <v>-878</v>
      </c>
      <c r="F880" t="s">
        <v>91</v>
      </c>
      <c r="G880" t="s">
        <v>92</v>
      </c>
    </row>
    <row r="881" spans="1:7">
      <c r="A881" t="s">
        <v>58</v>
      </c>
      <c r="B881" t="s">
        <v>89</v>
      </c>
      <c r="C881" t="s">
        <v>90</v>
      </c>
      <c r="D881" t="s">
        <v>970</v>
      </c>
      <c r="E881">
        <v>-879</v>
      </c>
      <c r="F881" t="s">
        <v>91</v>
      </c>
      <c r="G881" t="s">
        <v>92</v>
      </c>
    </row>
    <row r="882" spans="1:7">
      <c r="A882" t="s">
        <v>58</v>
      </c>
      <c r="B882" t="s">
        <v>89</v>
      </c>
      <c r="C882" t="s">
        <v>90</v>
      </c>
      <c r="D882" t="s">
        <v>971</v>
      </c>
      <c r="E882">
        <v>-880</v>
      </c>
      <c r="F882" t="s">
        <v>91</v>
      </c>
      <c r="G882" t="s">
        <v>92</v>
      </c>
    </row>
    <row r="883" spans="1:7">
      <c r="A883" t="s">
        <v>58</v>
      </c>
      <c r="B883" t="s">
        <v>89</v>
      </c>
      <c r="C883" t="s">
        <v>90</v>
      </c>
      <c r="D883" t="s">
        <v>972</v>
      </c>
      <c r="E883">
        <v>-881</v>
      </c>
      <c r="F883" t="s">
        <v>91</v>
      </c>
      <c r="G883" t="s">
        <v>92</v>
      </c>
    </row>
    <row r="884" spans="1:7">
      <c r="A884" t="s">
        <v>58</v>
      </c>
      <c r="B884" t="s">
        <v>89</v>
      </c>
      <c r="C884" t="s">
        <v>90</v>
      </c>
      <c r="D884" t="s">
        <v>973</v>
      </c>
      <c r="E884">
        <v>-882</v>
      </c>
      <c r="F884" t="s">
        <v>91</v>
      </c>
      <c r="G884" t="s">
        <v>92</v>
      </c>
    </row>
    <row r="885" spans="1:7">
      <c r="A885" t="s">
        <v>58</v>
      </c>
      <c r="B885" t="s">
        <v>89</v>
      </c>
      <c r="C885" t="s">
        <v>90</v>
      </c>
      <c r="D885" t="s">
        <v>974</v>
      </c>
      <c r="E885">
        <v>-883</v>
      </c>
      <c r="F885" t="s">
        <v>91</v>
      </c>
      <c r="G885" t="s">
        <v>92</v>
      </c>
    </row>
    <row r="886" spans="1:7">
      <c r="A886" t="s">
        <v>58</v>
      </c>
      <c r="B886" t="s">
        <v>89</v>
      </c>
      <c r="C886" t="s">
        <v>90</v>
      </c>
      <c r="D886" t="s">
        <v>975</v>
      </c>
      <c r="E886">
        <v>-884</v>
      </c>
      <c r="F886" t="s">
        <v>91</v>
      </c>
      <c r="G886" t="s">
        <v>92</v>
      </c>
    </row>
    <row r="887" spans="1:7">
      <c r="A887" t="s">
        <v>58</v>
      </c>
      <c r="B887" t="s">
        <v>89</v>
      </c>
      <c r="C887" t="s">
        <v>90</v>
      </c>
      <c r="D887" t="s">
        <v>976</v>
      </c>
      <c r="E887">
        <v>-885</v>
      </c>
      <c r="F887" t="s">
        <v>91</v>
      </c>
      <c r="G887" t="s">
        <v>92</v>
      </c>
    </row>
    <row r="888" spans="1:7">
      <c r="A888" t="s">
        <v>58</v>
      </c>
      <c r="B888" t="s">
        <v>89</v>
      </c>
      <c r="C888" t="s">
        <v>90</v>
      </c>
      <c r="D888" t="s">
        <v>977</v>
      </c>
      <c r="E888">
        <v>-886</v>
      </c>
      <c r="F888" t="s">
        <v>91</v>
      </c>
      <c r="G888" t="s">
        <v>92</v>
      </c>
    </row>
    <row r="889" spans="1:7">
      <c r="A889" t="s">
        <v>58</v>
      </c>
      <c r="B889" t="s">
        <v>89</v>
      </c>
      <c r="C889" t="s">
        <v>90</v>
      </c>
      <c r="D889" t="s">
        <v>978</v>
      </c>
      <c r="E889">
        <v>-887</v>
      </c>
      <c r="F889" t="s">
        <v>91</v>
      </c>
      <c r="G889" t="s">
        <v>92</v>
      </c>
    </row>
    <row r="890" spans="1:7">
      <c r="A890" t="s">
        <v>58</v>
      </c>
      <c r="B890" t="s">
        <v>89</v>
      </c>
      <c r="C890" t="s">
        <v>90</v>
      </c>
      <c r="D890" t="s">
        <v>979</v>
      </c>
      <c r="E890">
        <v>-888</v>
      </c>
      <c r="F890" t="s">
        <v>91</v>
      </c>
      <c r="G890" t="s">
        <v>92</v>
      </c>
    </row>
    <row r="891" spans="1:7">
      <c r="A891" t="s">
        <v>58</v>
      </c>
      <c r="B891" t="s">
        <v>89</v>
      </c>
      <c r="C891" t="s">
        <v>90</v>
      </c>
      <c r="D891" t="s">
        <v>980</v>
      </c>
      <c r="E891">
        <v>-889</v>
      </c>
      <c r="F891" t="s">
        <v>91</v>
      </c>
      <c r="G891" t="s">
        <v>92</v>
      </c>
    </row>
    <row r="892" spans="1:7">
      <c r="A892" t="s">
        <v>58</v>
      </c>
      <c r="B892" t="s">
        <v>89</v>
      </c>
      <c r="C892" t="s">
        <v>90</v>
      </c>
      <c r="D892" t="s">
        <v>981</v>
      </c>
      <c r="E892">
        <v>-890</v>
      </c>
      <c r="F892" t="s">
        <v>91</v>
      </c>
      <c r="G892" t="s">
        <v>92</v>
      </c>
    </row>
    <row r="893" spans="1:7">
      <c r="A893" t="s">
        <v>58</v>
      </c>
      <c r="B893" t="s">
        <v>89</v>
      </c>
      <c r="C893" t="s">
        <v>90</v>
      </c>
      <c r="D893" t="s">
        <v>982</v>
      </c>
      <c r="E893">
        <v>-891</v>
      </c>
      <c r="F893" t="s">
        <v>91</v>
      </c>
      <c r="G893" t="s">
        <v>92</v>
      </c>
    </row>
    <row r="894" spans="1:7">
      <c r="A894" t="s">
        <v>58</v>
      </c>
      <c r="B894" t="s">
        <v>89</v>
      </c>
      <c r="C894" t="s">
        <v>90</v>
      </c>
      <c r="D894" t="s">
        <v>983</v>
      </c>
      <c r="E894">
        <v>-892</v>
      </c>
      <c r="F894" t="s">
        <v>91</v>
      </c>
      <c r="G894" t="s">
        <v>92</v>
      </c>
    </row>
    <row r="895" spans="1:7">
      <c r="A895" t="s">
        <v>58</v>
      </c>
      <c r="B895" t="s">
        <v>89</v>
      </c>
      <c r="C895" t="s">
        <v>90</v>
      </c>
      <c r="D895" t="s">
        <v>984</v>
      </c>
      <c r="E895">
        <v>-893</v>
      </c>
      <c r="F895" t="s">
        <v>91</v>
      </c>
      <c r="G895" t="s">
        <v>92</v>
      </c>
    </row>
    <row r="896" spans="1:7">
      <c r="A896" t="s">
        <v>58</v>
      </c>
      <c r="B896" t="s">
        <v>89</v>
      </c>
      <c r="C896" t="s">
        <v>90</v>
      </c>
      <c r="D896" t="s">
        <v>985</v>
      </c>
      <c r="E896">
        <v>-894</v>
      </c>
      <c r="F896" t="s">
        <v>91</v>
      </c>
      <c r="G896" t="s">
        <v>92</v>
      </c>
    </row>
    <row r="897" spans="1:7">
      <c r="A897" t="s">
        <v>58</v>
      </c>
      <c r="B897" t="s">
        <v>89</v>
      </c>
      <c r="C897" t="s">
        <v>90</v>
      </c>
      <c r="D897" t="s">
        <v>986</v>
      </c>
      <c r="E897">
        <v>-895</v>
      </c>
      <c r="F897" t="s">
        <v>91</v>
      </c>
      <c r="G897" t="s">
        <v>92</v>
      </c>
    </row>
    <row r="898" spans="1:7">
      <c r="A898" t="s">
        <v>58</v>
      </c>
      <c r="B898" t="s">
        <v>89</v>
      </c>
      <c r="C898" t="s">
        <v>90</v>
      </c>
      <c r="D898" t="s">
        <v>987</v>
      </c>
      <c r="E898">
        <v>-896</v>
      </c>
      <c r="F898" t="s">
        <v>91</v>
      </c>
      <c r="G898" t="s">
        <v>92</v>
      </c>
    </row>
    <row r="899" spans="1:7">
      <c r="A899" t="s">
        <v>58</v>
      </c>
      <c r="B899" t="s">
        <v>89</v>
      </c>
      <c r="C899" t="s">
        <v>90</v>
      </c>
      <c r="D899" t="s">
        <v>988</v>
      </c>
      <c r="E899">
        <v>-897</v>
      </c>
      <c r="F899" t="s">
        <v>91</v>
      </c>
      <c r="G899" t="s">
        <v>92</v>
      </c>
    </row>
    <row r="900" spans="1:7">
      <c r="A900" t="s">
        <v>58</v>
      </c>
      <c r="B900" t="s">
        <v>89</v>
      </c>
      <c r="C900" t="s">
        <v>90</v>
      </c>
      <c r="D900" t="s">
        <v>989</v>
      </c>
      <c r="E900">
        <v>-898</v>
      </c>
      <c r="F900" t="s">
        <v>91</v>
      </c>
      <c r="G900" t="s">
        <v>92</v>
      </c>
    </row>
    <row r="901" spans="1:7">
      <c r="A901" t="s">
        <v>58</v>
      </c>
      <c r="B901" t="s">
        <v>89</v>
      </c>
      <c r="C901" t="s">
        <v>90</v>
      </c>
      <c r="D901" t="s">
        <v>990</v>
      </c>
      <c r="E901">
        <v>-899</v>
      </c>
      <c r="F901" t="s">
        <v>91</v>
      </c>
      <c r="G901" t="s">
        <v>92</v>
      </c>
    </row>
    <row r="902" spans="1:7">
      <c r="A902" t="s">
        <v>58</v>
      </c>
      <c r="B902" t="s">
        <v>89</v>
      </c>
      <c r="C902" t="s">
        <v>90</v>
      </c>
      <c r="D902" t="s">
        <v>991</v>
      </c>
      <c r="E902">
        <v>-900</v>
      </c>
      <c r="F902" t="s">
        <v>91</v>
      </c>
      <c r="G902" t="s">
        <v>92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A186B-4B73-4C92-ACD6-DEBF5EE044C2}">
  <sheetPr codeName="Sheet9"/>
  <dimension ref="A1:G76"/>
  <sheetViews>
    <sheetView workbookViewId="0">
      <selection activeCell="Y2" sqref="Y2:Y29"/>
    </sheetView>
  </sheetViews>
  <sheetFormatPr defaultColWidth="8.85546875" defaultRowHeight="15"/>
  <cols>
    <col min="1" max="3" width="21" style="2" customWidth="1"/>
    <col min="4" max="4" width="23.140625" style="2" bestFit="1" customWidth="1"/>
    <col min="5" max="16384" width="8.85546875" style="15"/>
  </cols>
  <sheetData>
    <row r="1" spans="1:7">
      <c r="A1" s="1" t="s">
        <v>67</v>
      </c>
      <c r="B1" s="1" t="s">
        <v>68</v>
      </c>
      <c r="C1" s="1" t="s">
        <v>69</v>
      </c>
      <c r="D1" s="1" t="s">
        <v>70</v>
      </c>
    </row>
    <row r="2" spans="1:7">
      <c r="A2" s="38">
        <f>Results!C16</f>
        <v>624</v>
      </c>
      <c r="B2" s="38">
        <f>Results!D16</f>
        <v>10</v>
      </c>
      <c r="C2" s="38">
        <f>Results!E16</f>
        <v>634</v>
      </c>
      <c r="D2" s="38">
        <f>ROUND(BackgroundCalcs!G29,0)</f>
        <v>49065</v>
      </c>
    </row>
    <row r="10" spans="1:7">
      <c r="G10" s="39"/>
    </row>
    <row r="11" spans="1:7">
      <c r="G11" s="40"/>
    </row>
    <row r="12" spans="1:7">
      <c r="G12" s="40"/>
    </row>
    <row r="14" spans="1:7">
      <c r="G14" s="39"/>
    </row>
    <row r="15" spans="1:7">
      <c r="G15" s="39"/>
    </row>
    <row r="16" spans="1:7">
      <c r="G16" s="39"/>
    </row>
    <row r="17" spans="7:7">
      <c r="G17" s="39"/>
    </row>
    <row r="18" spans="7:7">
      <c r="G18" s="39"/>
    </row>
    <row r="20" spans="7:7">
      <c r="G20" s="40"/>
    </row>
    <row r="21" spans="7:7">
      <c r="G21" s="41"/>
    </row>
    <row r="22" spans="7:7">
      <c r="G22" s="41"/>
    </row>
    <row r="23" spans="7:7">
      <c r="G23" s="41"/>
    </row>
    <row r="25" spans="7:7">
      <c r="G25" s="40"/>
    </row>
    <row r="26" spans="7:7">
      <c r="G26" s="41"/>
    </row>
    <row r="28" spans="7:7">
      <c r="G28" s="41"/>
    </row>
    <row r="29" spans="7:7">
      <c r="G29" s="41"/>
    </row>
    <row r="30" spans="7:7">
      <c r="G30" s="41"/>
    </row>
    <row r="31" spans="7:7">
      <c r="G31" s="41"/>
    </row>
    <row r="32" spans="7:7">
      <c r="G32" s="41"/>
    </row>
    <row r="33" spans="7:7">
      <c r="G33" s="41"/>
    </row>
    <row r="35" spans="7:7">
      <c r="G35" s="40"/>
    </row>
    <row r="36" spans="7:7">
      <c r="G36" s="41"/>
    </row>
    <row r="37" spans="7:7">
      <c r="G37" s="41"/>
    </row>
    <row r="38" spans="7:7">
      <c r="G38" s="41"/>
    </row>
    <row r="40" spans="7:7">
      <c r="G40" s="40"/>
    </row>
    <row r="41" spans="7:7">
      <c r="G41" s="41"/>
    </row>
    <row r="43" spans="7:7">
      <c r="G43" s="40"/>
    </row>
    <row r="44" spans="7:7">
      <c r="G44" s="41"/>
    </row>
    <row r="46" spans="7:7">
      <c r="G46" s="40"/>
    </row>
    <row r="47" spans="7:7">
      <c r="G47" s="41"/>
    </row>
    <row r="48" spans="7:7">
      <c r="G48" s="41"/>
    </row>
    <row r="49" spans="7:7">
      <c r="G49" s="41"/>
    </row>
    <row r="50" spans="7:7">
      <c r="G50" s="41"/>
    </row>
    <row r="51" spans="7:7">
      <c r="G51" s="41"/>
    </row>
    <row r="52" spans="7:7">
      <c r="G52" s="41"/>
    </row>
    <row r="53" spans="7:7">
      <c r="G53" s="41"/>
    </row>
    <row r="54" spans="7:7">
      <c r="G54" s="41"/>
    </row>
    <row r="55" spans="7:7">
      <c r="G55" s="41"/>
    </row>
    <row r="56" spans="7:7">
      <c r="G56" s="41"/>
    </row>
    <row r="57" spans="7:7">
      <c r="G57" s="41"/>
    </row>
    <row r="58" spans="7:7">
      <c r="G58" s="41"/>
    </row>
    <row r="59" spans="7:7">
      <c r="G59" s="41"/>
    </row>
    <row r="60" spans="7:7">
      <c r="G60" s="41"/>
    </row>
    <row r="61" spans="7:7">
      <c r="G61" s="41"/>
    </row>
    <row r="63" spans="7:7">
      <c r="G63" s="41"/>
    </row>
    <row r="64" spans="7:7">
      <c r="G64" s="41"/>
    </row>
    <row r="65" spans="7:7">
      <c r="G65" s="41"/>
    </row>
    <row r="67" spans="7:7">
      <c r="G67" s="40"/>
    </row>
    <row r="68" spans="7:7">
      <c r="G68" s="41"/>
    </row>
    <row r="70" spans="7:7">
      <c r="G70" s="41"/>
    </row>
    <row r="71" spans="7:7">
      <c r="G71" s="41"/>
    </row>
    <row r="72" spans="7:7">
      <c r="G72" s="41"/>
    </row>
    <row r="73" spans="7:7">
      <c r="G73" s="41"/>
    </row>
    <row r="74" spans="7:7">
      <c r="G74" s="41"/>
    </row>
    <row r="75" spans="7:7">
      <c r="G75" s="39"/>
    </row>
    <row r="76" spans="7:7">
      <c r="G76" s="3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A026A253F9D34418D92E89FCD085A69" ma:contentTypeVersion="2" ma:contentTypeDescription="Create a new document." ma:contentTypeScope="" ma:versionID="077ff3975ed1236d1dc02c54ce8f1bde">
  <xsd:schema xmlns:xsd="http://www.w3.org/2001/XMLSchema" xmlns:xs="http://www.w3.org/2001/XMLSchema" xmlns:p="http://schemas.microsoft.com/office/2006/metadata/properties" xmlns:ns3="53472db5-b091-4940-916c-b6d0a452e361" targetNamespace="http://schemas.microsoft.com/office/2006/metadata/properties" ma:root="true" ma:fieldsID="e12b66e40a6a95a9b2c2f7b1ef847540" ns3:_="">
    <xsd:import namespace="53472db5-b091-4940-916c-b6d0a452e361"/>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472db5-b091-4940-916c-b6d0a452e36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DA3C2C-A27E-4B57-9094-4A06F6F755F6}">
  <ds:schemaRefs>
    <ds:schemaRef ds:uri="http://purl.org/dc/dcmitype/"/>
    <ds:schemaRef ds:uri="http://purl.org/dc/terms/"/>
    <ds:schemaRef ds:uri="http://schemas.microsoft.com/office/infopath/2007/PartnerControls"/>
    <ds:schemaRef ds:uri="http://schemas.microsoft.com/office/2006/documentManagement/types"/>
    <ds:schemaRef ds:uri="http://purl.org/dc/elements/1.1/"/>
    <ds:schemaRef ds:uri="53472db5-b091-4940-916c-b6d0a452e361"/>
    <ds:schemaRef ds:uri="http://schemas.microsoft.com/office/2006/metadata/propertie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294CD24C-3A07-4054-9A82-EBD1F6CEAFD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472db5-b091-4940-916c-b6d0a452e36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C91E2F9-1C39-489F-B40D-F31469E2BE7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7</vt:i4>
      </vt:variant>
      <vt:variant>
        <vt:lpstr>Nazwane zakresy</vt:lpstr>
      </vt:variant>
      <vt:variant>
        <vt:i4>60</vt:i4>
      </vt:variant>
    </vt:vector>
  </HeadingPairs>
  <TitlesOfParts>
    <vt:vector size="67" baseType="lpstr">
      <vt:lpstr>Cover</vt:lpstr>
      <vt:lpstr>Unblock Guide</vt:lpstr>
      <vt:lpstr>Start Tab</vt:lpstr>
      <vt:lpstr>Maze Tab</vt:lpstr>
      <vt:lpstr>Last Tab</vt:lpstr>
      <vt:lpstr>Progress &amp; Instructions</vt:lpstr>
      <vt:lpstr>Results</vt:lpstr>
      <vt:lpstr>activateCount</vt:lpstr>
      <vt:lpstr>AllCorrect</vt:lpstr>
      <vt:lpstr>answerCheckOn</vt:lpstr>
      <vt:lpstr>cellNames</vt:lpstr>
      <vt:lpstr>elapsedTime</vt:lpstr>
      <vt:lpstr>endTime</vt:lpstr>
      <vt:lpstr>firstVisited</vt:lpstr>
      <vt:lpstr>instructionsOn</vt:lpstr>
      <vt:lpstr>isGameOn</vt:lpstr>
      <vt:lpstr>lastTime</vt:lpstr>
      <vt:lpstr>liveVersion</vt:lpstr>
      <vt:lpstr>macOn</vt:lpstr>
      <vt:lpstr>mazeCorrect</vt:lpstr>
      <vt:lpstr>mouseMovements</vt:lpstr>
      <vt:lpstr>numCorrect</vt:lpstr>
      <vt:lpstr>NumExercises</vt:lpstr>
      <vt:lpstr>numProtectedCells</vt:lpstr>
      <vt:lpstr>numRandomValues</vt:lpstr>
      <vt:lpstr>OverrideSave</vt:lpstr>
      <vt:lpstr>passwordOn</vt:lpstr>
      <vt:lpstr>pcOn</vt:lpstr>
      <vt:lpstr>pCountNew</vt:lpstr>
      <vt:lpstr>SheetNameRange</vt:lpstr>
      <vt:lpstr>SpreadsheetName</vt:lpstr>
      <vt:lpstr>startTime</vt:lpstr>
      <vt:lpstr>stop1</vt:lpstr>
      <vt:lpstr>stop10</vt:lpstr>
      <vt:lpstr>stop11</vt:lpstr>
      <vt:lpstr>stop12</vt:lpstr>
      <vt:lpstr>stop13</vt:lpstr>
      <vt:lpstr>stop14</vt:lpstr>
      <vt:lpstr>stop15</vt:lpstr>
      <vt:lpstr>stop16</vt:lpstr>
      <vt:lpstr>stop17</vt:lpstr>
      <vt:lpstr>stop18</vt:lpstr>
      <vt:lpstr>stop19</vt:lpstr>
      <vt:lpstr>stop2</vt:lpstr>
      <vt:lpstr>stop20</vt:lpstr>
      <vt:lpstr>stop21</vt:lpstr>
      <vt:lpstr>stop22</vt:lpstr>
      <vt:lpstr>stop23</vt:lpstr>
      <vt:lpstr>stop24</vt:lpstr>
      <vt:lpstr>stop25</vt:lpstr>
      <vt:lpstr>stop26</vt:lpstr>
      <vt:lpstr>stop27</vt:lpstr>
      <vt:lpstr>stop28</vt:lpstr>
      <vt:lpstr>stop3</vt:lpstr>
      <vt:lpstr>stop4</vt:lpstr>
      <vt:lpstr>stop5</vt:lpstr>
      <vt:lpstr>stop6</vt:lpstr>
      <vt:lpstr>stop7</vt:lpstr>
      <vt:lpstr>stop8</vt:lpstr>
      <vt:lpstr>stop9</vt:lpstr>
      <vt:lpstr>StudentIDCell</vt:lpstr>
      <vt:lpstr>StudentNameCell</vt:lpstr>
      <vt:lpstr>Tab1Answer</vt:lpstr>
      <vt:lpstr>Tab1ClearRange</vt:lpstr>
      <vt:lpstr>Tab1Name</vt:lpstr>
      <vt:lpstr>Tab1Start</vt:lpstr>
      <vt:lpstr>totalTime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Poorya Mehrabinia</dc:creator>
  <cp:lastModifiedBy>Maciej Kopczyński</cp:lastModifiedBy>
  <cp:lastPrinted>2023-04-12T19:17:11Z</cp:lastPrinted>
  <dcterms:created xsi:type="dcterms:W3CDTF">2015-06-05T18:17:20Z</dcterms:created>
  <dcterms:modified xsi:type="dcterms:W3CDTF">2026-03-03T21:53:13Z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0x010100AA026A253F9D34418D92E89FCD085A69</vt:lpwstr>
  </property>
</Properties>
</file>