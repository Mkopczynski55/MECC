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f448ec057303af/Pulpit/MECC 2026/ASUS/"/>
    </mc:Choice>
  </mc:AlternateContent>
  <xr:revisionPtr revIDLastSave="108" documentId="13_ncr:1_{FC072BEC-BB18-4D48-B2D8-1C738F8675C8}" xr6:coauthVersionLast="47" xr6:coauthVersionMax="47" xr10:uidLastSave="{B004F70A-E344-4592-B534-72E358379E4F}"/>
  <bookViews>
    <workbookView xWindow="-120" yWindow="-120" windowWidth="29040" windowHeight="15720" activeTab="1" xr2:uid="{43E40706-EB51-41B4-9D1B-8310667848C4}"/>
  </bookViews>
  <sheets>
    <sheet name="Cover" sheetId="13" r:id="rId1"/>
    <sheet name="Case" sheetId="11" r:id="rId2"/>
    <sheet name="Scene" sheetId="1" r:id="rId3"/>
    <sheet name="Scene (Numbered)" sheetId="9" r:id="rId4"/>
    <sheet name="Graded Answers" sheetId="12" state="hidden" r:id="rId5"/>
  </sheets>
  <externalReferences>
    <externalReference r:id="rId6"/>
  </externalReference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CountEachUniqueValue" xml:space="preserve"> _xlfn.LAMBDA(_xlpm.array,_xlop.exclude, _xlfn.LET(
   _xlpm.\\LambdaName, "CountUniqueValues",
   _xlpm.\\CommandName, "Count Unique Values",
   _xlpm.\\Description, "Returns counts of each unique value in array.",
   _xlpm._unique, _xlfn.UNIQUE(_xlfn.TOCOL(IF(_xlpm.array = "", "", _xlpm.array))),
   _xlpm._include, _xlfn.BYROW(_xlpm._unique &lt;&gt; _xlfn.TOROW(_xlpm.exclude), _xlfn.LAMBDA(_xlpm.x, PRODUCT(N(_xlpm.x)))),
   _xlpm._filtered, IF(_xlfn.ISOMITTED(_xlpm.exclude), _xlpm._unique, _xlfn._xlws.FILTER(_xlpm._unique, _xlpm._include)),
   _xlpm._countif, _xlfn.MAP(_xlpm._filtered, _xlfn.LAMBDA(_xlpm.x, SUM(--(_xlpm.array = _xlpm.x)))),
   _xlpm.Result, _xlfn.SORTBY(_xlfn.HSTACK(_xlpm._filtered, _xlpm._countif), _xlpm._countif, -1),
   _xlpm.Result
))</definedName>
    <definedName name="endTime">[1]BackgroundCalcs!$G$2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pCountNew">[1]BackgroundCalcs!$S$2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ceneNumbered">'Scene (Numbered)'!$B$1:$U$27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Cover!#REF!</definedName>
    <definedName name="solver_typ" localSheetId="0" hidden="1">1</definedName>
    <definedName name="solver_val" localSheetId="0" hidden="1">0</definedName>
    <definedName name="solver_ver" localSheetId="0" hidden="1">3</definedName>
    <definedName name="SpreadsheetName">[1]BackgroundCalcs!$D$5</definedName>
    <definedName name="startTime">[1]BackgroundCalcs!$F$2</definedName>
    <definedName name="stop15">'[1]Last Tab'!$L$15</definedName>
    <definedName name="stop16">'[1]Last Tab'!$AE$20</definedName>
    <definedName name="stop17">'[1]Last Tab'!$W$31</definedName>
    <definedName name="stop21">'[1]Last Tab'!$AM$129</definedName>
    <definedName name="stop22">'[1]Last Tab'!$AS$129</definedName>
    <definedName name="stop24">'[1]Last Tab'!$BA$57</definedName>
    <definedName name="stop25">'[1]Last Tab'!$BR$22</definedName>
    <definedName name="stop26">'[1]Last Tab'!$BV$92</definedName>
    <definedName name="stop27">'[1]Last Tab'!$BY$6</definedName>
    <definedName name="StudentIDCell">[1]BackgroundCalcs!$D$8</definedName>
    <definedName name="StudentNameCell">[1]BackgroundCalcs!$D$11</definedName>
    <definedName name="totalTime">[1]BackgroundCalcs!$F$29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11" l="1" a="1"/>
  <c r="S28" i="11" s="1"/>
  <c r="O28" i="11" a="1"/>
  <c r="X12" i="9"/>
  <c r="X10" i="9"/>
  <c r="X9" i="9"/>
  <c r="E25" i="11"/>
  <c r="C3" i="12" s="1"/>
  <c r="J298" i="11" a="1"/>
  <c r="J298" i="11" s="1"/>
  <c r="J297" i="11" a="1"/>
  <c r="J297" i="11" s="1"/>
  <c r="J296" i="11" a="1"/>
  <c r="J296" i="11" s="1"/>
  <c r="J295" i="11" a="1"/>
  <c r="J295" i="11" s="1"/>
  <c r="J294" i="11" a="1"/>
  <c r="J294" i="11" s="1"/>
  <c r="J293" i="11" a="1"/>
  <c r="J293" i="11" s="1"/>
  <c r="J292" i="11" a="1"/>
  <c r="J292" i="11" s="1"/>
  <c r="J291" i="11" a="1"/>
  <c r="J291" i="11" s="1"/>
  <c r="J290" i="11" a="1"/>
  <c r="J290" i="11" s="1"/>
  <c r="J289" i="11" a="1"/>
  <c r="J289" i="11" s="1"/>
  <c r="J288" i="11" a="1"/>
  <c r="J288" i="11" s="1"/>
  <c r="J287" i="11" a="1"/>
  <c r="J287" i="11" s="1"/>
  <c r="J286" i="11" a="1"/>
  <c r="J286" i="11" s="1"/>
  <c r="J285" i="11" a="1"/>
  <c r="J285" i="11" s="1"/>
  <c r="J284" i="11" a="1"/>
  <c r="J284" i="11" s="1"/>
  <c r="J283" i="11" a="1"/>
  <c r="J283" i="11" s="1"/>
  <c r="J282" i="11" a="1"/>
  <c r="J282" i="11" s="1"/>
  <c r="J281" i="11" a="1"/>
  <c r="J281" i="11" s="1"/>
  <c r="J280" i="11" a="1"/>
  <c r="J280" i="11" s="1"/>
  <c r="J279" i="11" a="1"/>
  <c r="J279" i="11" s="1"/>
  <c r="E197" i="11" a="1"/>
  <c r="E197" i="11" s="1"/>
  <c r="C88" i="12" s="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37" i="11"/>
  <c r="J237" i="11" a="1"/>
  <c r="J237" i="11" s="1"/>
  <c r="L237" i="11" s="1"/>
  <c r="E237" i="11" s="1" a="1"/>
  <c r="E237" i="11" s="1"/>
  <c r="C108" i="12" s="1"/>
  <c r="J256" i="11" a="1"/>
  <c r="J256" i="11" s="1"/>
  <c r="L256" i="11" s="1"/>
  <c r="E256" i="11" s="1" a="1"/>
  <c r="E256" i="11" s="1"/>
  <c r="C127" i="12" s="1"/>
  <c r="J255" i="11" a="1"/>
  <c r="J255" i="11" s="1"/>
  <c r="L255" i="11" s="1"/>
  <c r="E255" i="11" s="1" a="1"/>
  <c r="E255" i="11" s="1"/>
  <c r="C126" i="12" s="1"/>
  <c r="J254" i="11" a="1"/>
  <c r="J254" i="11" s="1"/>
  <c r="L254" i="11" s="1"/>
  <c r="E254" i="11" s="1" a="1"/>
  <c r="E254" i="11" s="1"/>
  <c r="C125" i="12" s="1"/>
  <c r="J253" i="11" a="1"/>
  <c r="J253" i="11" s="1"/>
  <c r="L253" i="11" s="1"/>
  <c r="E253" i="11" s="1" a="1"/>
  <c r="E253" i="11" s="1"/>
  <c r="C124" i="12" s="1"/>
  <c r="J252" i="11" a="1"/>
  <c r="J252" i="11" s="1"/>
  <c r="L252" i="11" s="1"/>
  <c r="E252" i="11" s="1" a="1"/>
  <c r="E252" i="11" s="1"/>
  <c r="C123" i="12" s="1"/>
  <c r="J251" i="11" a="1"/>
  <c r="J251" i="11" s="1"/>
  <c r="L251" i="11" s="1"/>
  <c r="E251" i="11" s="1" a="1"/>
  <c r="E251" i="11" s="1"/>
  <c r="C122" i="12" s="1"/>
  <c r="J250" i="11" a="1"/>
  <c r="J250" i="11" s="1"/>
  <c r="L250" i="11" s="1"/>
  <c r="E250" i="11" s="1" a="1"/>
  <c r="E250" i="11" s="1"/>
  <c r="C121" i="12" s="1"/>
  <c r="J249" i="11" a="1"/>
  <c r="J249" i="11" s="1"/>
  <c r="L249" i="11" s="1"/>
  <c r="E249" i="11" s="1" a="1"/>
  <c r="E249" i="11" s="1"/>
  <c r="C120" i="12" s="1"/>
  <c r="J248" i="11" a="1"/>
  <c r="J248" i="11" s="1"/>
  <c r="L248" i="11" s="1"/>
  <c r="E248" i="11" s="1" a="1"/>
  <c r="E248" i="11" s="1"/>
  <c r="C119" i="12" s="1"/>
  <c r="J247" i="11" a="1"/>
  <c r="J247" i="11" s="1"/>
  <c r="L247" i="11" s="1"/>
  <c r="E247" i="11" s="1" a="1"/>
  <c r="E247" i="11" s="1"/>
  <c r="C118" i="12" s="1"/>
  <c r="J246" i="11" a="1"/>
  <c r="J246" i="11" s="1"/>
  <c r="L246" i="11" s="1"/>
  <c r="E246" i="11" s="1" a="1"/>
  <c r="E246" i="11" s="1"/>
  <c r="C117" i="12" s="1"/>
  <c r="J245" i="11" a="1"/>
  <c r="J245" i="11" s="1"/>
  <c r="L245" i="11" s="1"/>
  <c r="E245" i="11" s="1" a="1"/>
  <c r="E245" i="11" s="1"/>
  <c r="C116" i="12" s="1"/>
  <c r="J244" i="11" a="1"/>
  <c r="J244" i="11" s="1"/>
  <c r="L244" i="11" s="1"/>
  <c r="E244" i="11" s="1" a="1"/>
  <c r="E244" i="11" s="1"/>
  <c r="C115" i="12" s="1"/>
  <c r="J243" i="11" a="1"/>
  <c r="J243" i="11" s="1"/>
  <c r="L243" i="11" s="1"/>
  <c r="E243" i="11" s="1" a="1"/>
  <c r="E243" i="11" s="1"/>
  <c r="C114" i="12" s="1"/>
  <c r="J242" i="11" a="1"/>
  <c r="J242" i="11" s="1"/>
  <c r="L242" i="11" s="1"/>
  <c r="E242" i="11" s="1" a="1"/>
  <c r="E242" i="11" s="1"/>
  <c r="C113" i="12" s="1"/>
  <c r="J241" i="11" a="1"/>
  <c r="J241" i="11" s="1"/>
  <c r="L241" i="11" s="1"/>
  <c r="E241" i="11" s="1" a="1"/>
  <c r="E241" i="11" s="1"/>
  <c r="C112" i="12" s="1"/>
  <c r="J240" i="11" a="1"/>
  <c r="J240" i="11" s="1"/>
  <c r="L240" i="11" s="1"/>
  <c r="E240" i="11" s="1" a="1"/>
  <c r="E240" i="11" s="1"/>
  <c r="C111" i="12" s="1"/>
  <c r="J239" i="11" a="1"/>
  <c r="J239" i="11" s="1"/>
  <c r="L239" i="11" s="1"/>
  <c r="E239" i="11" s="1" a="1"/>
  <c r="E239" i="11" s="1"/>
  <c r="C110" i="12" s="1"/>
  <c r="J238" i="11" a="1"/>
  <c r="J238" i="11" s="1"/>
  <c r="L238" i="11" s="1"/>
  <c r="E238" i="11" s="1" a="1"/>
  <c r="E238" i="11" s="1"/>
  <c r="C109" i="12" s="1"/>
  <c r="E198" i="11" a="1"/>
  <c r="E198" i="11" s="1"/>
  <c r="C89" i="12" s="1"/>
  <c r="E199" i="11" a="1"/>
  <c r="E199" i="11" s="1"/>
  <c r="C90" i="12" s="1"/>
  <c r="E200" i="11" a="1"/>
  <c r="E200" i="11" s="1"/>
  <c r="C91" i="12" s="1"/>
  <c r="E201" i="11" a="1"/>
  <c r="E201" i="11" s="1"/>
  <c r="C92" i="12" s="1"/>
  <c r="E202" i="11" a="1"/>
  <c r="E202" i="11" s="1"/>
  <c r="C93" i="12" s="1"/>
  <c r="E203" i="11" a="1"/>
  <c r="E203" i="11" s="1"/>
  <c r="C94" i="12" s="1"/>
  <c r="E204" i="11" a="1"/>
  <c r="E204" i="11" s="1"/>
  <c r="C95" i="12" s="1"/>
  <c r="E205" i="11" a="1"/>
  <c r="E205" i="11" s="1"/>
  <c r="C96" i="12" s="1"/>
  <c r="E206" i="11" a="1"/>
  <c r="E206" i="11" s="1"/>
  <c r="C97" i="12" s="1"/>
  <c r="E207" i="11" a="1"/>
  <c r="E207" i="11" s="1"/>
  <c r="C98" i="12" s="1"/>
  <c r="E208" i="11" a="1"/>
  <c r="E208" i="11" s="1"/>
  <c r="C99" i="12" s="1"/>
  <c r="E209" i="11" a="1"/>
  <c r="E209" i="11" s="1"/>
  <c r="C100" i="12" s="1"/>
  <c r="E210" i="11" a="1"/>
  <c r="E210" i="11" s="1"/>
  <c r="C101" i="12" s="1"/>
  <c r="E211" i="11" a="1"/>
  <c r="E211" i="11" s="1"/>
  <c r="C102" i="12" s="1"/>
  <c r="E212" i="11" a="1"/>
  <c r="E212" i="11" s="1"/>
  <c r="C103" i="12" s="1"/>
  <c r="E213" i="11" a="1"/>
  <c r="E213" i="11" s="1"/>
  <c r="C104" i="12" s="1"/>
  <c r="E214" i="11" a="1"/>
  <c r="E214" i="11" s="1"/>
  <c r="C105" i="12" s="1"/>
  <c r="E215" i="11" a="1"/>
  <c r="E215" i="11" s="1"/>
  <c r="C106" i="12" s="1"/>
  <c r="E216" i="11" a="1"/>
  <c r="E216" i="11" s="1"/>
  <c r="C107" i="12" s="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197" i="11"/>
  <c r="J198" i="11" a="1"/>
  <c r="J198" i="11" s="1"/>
  <c r="J199" i="11" a="1"/>
  <c r="J199" i="11" s="1"/>
  <c r="J200" i="11" a="1"/>
  <c r="J200" i="11" s="1"/>
  <c r="J201" i="11" a="1"/>
  <c r="J201" i="11" s="1"/>
  <c r="J202" i="11" a="1"/>
  <c r="J202" i="11" s="1"/>
  <c r="J203" i="11" a="1"/>
  <c r="J203" i="11" s="1"/>
  <c r="J204" i="11" a="1"/>
  <c r="J204" i="11" s="1"/>
  <c r="J205" i="11" a="1"/>
  <c r="J205" i="11" s="1"/>
  <c r="J206" i="11" a="1"/>
  <c r="J206" i="11" s="1"/>
  <c r="J207" i="11" a="1"/>
  <c r="J207" i="11" s="1"/>
  <c r="J208" i="11" a="1"/>
  <c r="J208" i="11" s="1"/>
  <c r="J209" i="11" a="1"/>
  <c r="J209" i="11" s="1"/>
  <c r="J210" i="11" a="1"/>
  <c r="J210" i="11" s="1"/>
  <c r="J211" i="11" a="1"/>
  <c r="J211" i="11" s="1"/>
  <c r="J212" i="11" a="1"/>
  <c r="J212" i="11" s="1"/>
  <c r="J213" i="11" a="1"/>
  <c r="J213" i="11" s="1"/>
  <c r="J214" i="11" a="1"/>
  <c r="J214" i="11" s="1"/>
  <c r="J215" i="11" a="1"/>
  <c r="J215" i="11" s="1"/>
  <c r="J216" i="11" a="1"/>
  <c r="J216" i="11" s="1"/>
  <c r="J197" i="11" a="1"/>
  <c r="J197" i="11" s="1"/>
  <c r="E158" i="11" a="1"/>
  <c r="E158" i="11" s="1"/>
  <c r="E159" i="11" a="1"/>
  <c r="E159" i="11" s="1"/>
  <c r="E160" i="11" a="1"/>
  <c r="E160" i="11" s="1"/>
  <c r="E161" i="11" a="1"/>
  <c r="E161" i="11" s="1"/>
  <c r="E162" i="11" a="1"/>
  <c r="E162" i="11" s="1"/>
  <c r="E163" i="11" a="1"/>
  <c r="E163" i="11" s="1"/>
  <c r="E164" i="11" a="1"/>
  <c r="E164" i="11" s="1"/>
  <c r="E165" i="11" a="1"/>
  <c r="E165" i="11" s="1"/>
  <c r="E166" i="11" a="1"/>
  <c r="E166" i="11" s="1"/>
  <c r="E167" i="11" a="1"/>
  <c r="E167" i="11" s="1"/>
  <c r="E168" i="11" a="1"/>
  <c r="E168" i="11" s="1"/>
  <c r="E169" i="11" a="1"/>
  <c r="E169" i="11" s="1"/>
  <c r="E170" i="11" a="1"/>
  <c r="E170" i="11" s="1"/>
  <c r="E171" i="11" a="1"/>
  <c r="E171" i="11" s="1"/>
  <c r="E172" i="11" a="1"/>
  <c r="E172" i="11" s="1"/>
  <c r="E173" i="11" a="1"/>
  <c r="E173" i="11" s="1"/>
  <c r="E174" i="11" a="1"/>
  <c r="E174" i="11" s="1"/>
  <c r="E175" i="11" a="1"/>
  <c r="E175" i="11" s="1"/>
  <c r="E176" i="11" a="1"/>
  <c r="E176" i="11" s="1"/>
  <c r="E157" i="11" a="1"/>
  <c r="E157" i="11" s="1"/>
  <c r="E121" i="11" a="1"/>
  <c r="E93" i="11" a="1"/>
  <c r="E93" i="11" s="1"/>
  <c r="C37" i="12" s="1"/>
  <c r="E91" i="11" a="1"/>
  <c r="E91" i="11" s="1"/>
  <c r="C35" i="12" s="1"/>
  <c r="E89" i="11" a="1"/>
  <c r="E89" i="11" s="1"/>
  <c r="C33" i="12" s="1"/>
  <c r="E88" i="11" a="1"/>
  <c r="E88" i="11" s="1"/>
  <c r="C32" i="12" s="1"/>
  <c r="E87" i="11" a="1"/>
  <c r="E87" i="11" s="1"/>
  <c r="C31" i="12" s="1"/>
  <c r="E86" i="11" a="1"/>
  <c r="E86" i="11" s="1"/>
  <c r="C30" i="12" s="1"/>
  <c r="E85" i="11" a="1"/>
  <c r="E85" i="11" s="1"/>
  <c r="C29" i="12" s="1"/>
  <c r="E84" i="11" a="1"/>
  <c r="E84" i="11" s="1"/>
  <c r="C28" i="12" s="1"/>
  <c r="E90" i="11" a="1"/>
  <c r="E90" i="11" s="1"/>
  <c r="C34" i="12" s="1"/>
  <c r="E92" i="11" a="1"/>
  <c r="E92" i="11" s="1"/>
  <c r="C36" i="12" s="1"/>
  <c r="E94" i="11" a="1"/>
  <c r="E94" i="11" s="1"/>
  <c r="C38" i="12" s="1"/>
  <c r="E95" i="11" a="1"/>
  <c r="E95" i="11" s="1"/>
  <c r="C39" i="12" s="1"/>
  <c r="E96" i="11" a="1"/>
  <c r="E96" i="11" s="1"/>
  <c r="C40" i="12" s="1"/>
  <c r="E97" i="11" a="1"/>
  <c r="E97" i="11" s="1"/>
  <c r="C41" i="12" s="1"/>
  <c r="E98" i="11" a="1"/>
  <c r="E98" i="11" s="1"/>
  <c r="C42" i="12" s="1"/>
  <c r="E99" i="11" a="1"/>
  <c r="E99" i="11" s="1"/>
  <c r="C43" i="12" s="1"/>
  <c r="E100" i="11" a="1"/>
  <c r="E100" i="11" s="1"/>
  <c r="C44" i="12" s="1"/>
  <c r="E101" i="11" a="1"/>
  <c r="E101" i="11" s="1"/>
  <c r="C45" i="12" s="1"/>
  <c r="E102" i="11" a="1"/>
  <c r="E102" i="11" s="1"/>
  <c r="C46" i="12" s="1"/>
  <c r="E103" i="11" a="1"/>
  <c r="E103" i="11" s="1"/>
  <c r="C47" i="12" s="1"/>
  <c r="E48" i="11" a="1"/>
  <c r="C6" i="12"/>
  <c r="C4" i="12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280" i="1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38" i="1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199" i="1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198" i="11"/>
  <c r="B158" i="1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22" i="1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85" i="1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49" i="1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O28" i="11" l="1"/>
  <c r="P28" i="11" a="1"/>
  <c r="P28" i="11" s="1"/>
  <c r="K279" i="11" a="1"/>
  <c r="E27" i="11"/>
  <c r="C5" i="12" s="1"/>
  <c r="C68" i="12"/>
  <c r="C87" i="12"/>
  <c r="C85" i="12"/>
  <c r="C84" i="12"/>
  <c r="C82" i="12"/>
  <c r="C80" i="12"/>
  <c r="C79" i="12"/>
  <c r="C77" i="12"/>
  <c r="C75" i="12"/>
  <c r="C73" i="12"/>
  <c r="C71" i="12"/>
  <c r="C69" i="12"/>
  <c r="C86" i="12"/>
  <c r="C83" i="12"/>
  <c r="C81" i="12"/>
  <c r="C78" i="12"/>
  <c r="C76" i="12"/>
  <c r="C74" i="12"/>
  <c r="C72" i="12"/>
  <c r="C70" i="12"/>
  <c r="E121" i="11"/>
  <c r="C48" i="12" s="1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E48" i="11"/>
  <c r="C8" i="12" s="1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E285" i="11" l="1" a="1"/>
  <c r="E285" i="11" s="1"/>
  <c r="C134" i="12" s="1"/>
  <c r="E286" i="11" a="1"/>
  <c r="E286" i="11" s="1"/>
  <c r="C135" i="12" s="1"/>
  <c r="E293" i="11" a="1"/>
  <c r="E293" i="11" s="1"/>
  <c r="C142" i="12" s="1"/>
  <c r="E283" i="11" a="1"/>
  <c r="E283" i="11" s="1"/>
  <c r="C132" i="12" s="1"/>
  <c r="E287" i="11" a="1"/>
  <c r="E287" i="11" s="1"/>
  <c r="C136" i="12" s="1"/>
  <c r="E288" i="11" a="1"/>
  <c r="E288" i="11" s="1"/>
  <c r="C137" i="12" s="1"/>
  <c r="E291" i="11" a="1"/>
  <c r="E291" i="11" s="1"/>
  <c r="C140" i="12" s="1"/>
  <c r="E289" i="11" a="1"/>
  <c r="E289" i="11" s="1"/>
  <c r="C138" i="12" s="1"/>
  <c r="E290" i="11" a="1"/>
  <c r="E290" i="11" s="1"/>
  <c r="C139" i="12" s="1"/>
  <c r="E292" i="11" a="1"/>
  <c r="E292" i="11" s="1"/>
  <c r="C141" i="12" s="1"/>
  <c r="E294" i="11" a="1"/>
  <c r="E294" i="11" s="1"/>
  <c r="C143" i="12" s="1"/>
  <c r="E295" i="11" a="1"/>
  <c r="E295" i="11" s="1"/>
  <c r="C144" i="12" s="1"/>
  <c r="E296" i="11" a="1"/>
  <c r="E296" i="11" s="1"/>
  <c r="C145" i="12" s="1"/>
  <c r="E297" i="11" a="1"/>
  <c r="E297" i="11" s="1"/>
  <c r="C146" i="12" s="1"/>
  <c r="E298" i="11" a="1"/>
  <c r="E298" i="11" s="1"/>
  <c r="C147" i="12" s="1"/>
  <c r="K279" i="11"/>
  <c r="E279" i="11" s="1" a="1"/>
  <c r="E279" i="11" s="1"/>
  <c r="E29" i="11" s="1" a="1"/>
  <c r="E29" i="11" s="1"/>
  <c r="E282" i="11" a="1"/>
  <c r="E282" i="11" s="1"/>
  <c r="C131" i="12" s="1"/>
  <c r="E284" i="11" a="1"/>
  <c r="E284" i="11" s="1"/>
  <c r="C133" i="12" s="1"/>
  <c r="E281" i="11" a="1"/>
  <c r="E281" i="11" s="1"/>
  <c r="C130" i="12" s="1"/>
  <c r="E280" i="11" a="1"/>
  <c r="E280" i="11" s="1"/>
  <c r="C129" i="12" s="1"/>
  <c r="C128" i="12" l="1"/>
  <c r="C7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<sst xmlns="http://schemas.openxmlformats.org/spreadsheetml/2006/main" count="428" uniqueCount="202">
  <si>
    <t>←</t>
  </si>
  <si>
    <t>→</t>
  </si>
  <si>
    <t>Seconds</t>
  </si>
  <si>
    <t>Game</t>
  </si>
  <si>
    <t>Relates to Level #</t>
  </si>
  <si>
    <t>Points</t>
  </si>
  <si>
    <t>Answer</t>
  </si>
  <si>
    <t>Bonus 1</t>
  </si>
  <si>
    <t>Bonus 2</t>
  </si>
  <si>
    <t>Bonus 3</t>
  </si>
  <si>
    <t>Bonus 4</t>
  </si>
  <si>
    <t>Bonus 5</t>
  </si>
  <si>
    <t>Level 1</t>
  </si>
  <si>
    <t>Easy</t>
  </si>
  <si>
    <t>Level</t>
  </si>
  <si>
    <t>Example1</t>
  </si>
  <si>
    <t>Level 2</t>
  </si>
  <si>
    <t>Medium</t>
  </si>
  <si>
    <t>Example2</t>
  </si>
  <si>
    <t>Level 3</t>
  </si>
  <si>
    <t>Example3</t>
  </si>
  <si>
    <t>Level 4</t>
  </si>
  <si>
    <t>Example4</t>
  </si>
  <si>
    <t>Level 5</t>
  </si>
  <si>
    <t>Level 6</t>
  </si>
  <si>
    <t>Example6</t>
  </si>
  <si>
    <t>Starting Cell</t>
  </si>
  <si>
    <t>Row</t>
  </si>
  <si>
    <t>Level 7</t>
  </si>
  <si>
    <t>Example7</t>
  </si>
  <si>
    <t>You are an ornithologist, studying the impact of duck hunting season on the duck population.</t>
  </si>
  <si>
    <t>You will track ducks as they fly across the 'Scene', determining how successful the duck hunters are during duck season.</t>
  </si>
  <si>
    <t>N/A</t>
  </si>
  <si>
    <t>Example5</t>
  </si>
  <si>
    <t>Hard</t>
  </si>
  <si>
    <t>A13</t>
  </si>
  <si>
    <t>A10</t>
  </si>
  <si>
    <t>A25</t>
  </si>
  <si>
    <t>A4</t>
  </si>
  <si>
    <t>A3</t>
  </si>
  <si>
    <t>A26</t>
  </si>
  <si>
    <t>A16</t>
  </si>
  <si>
    <t>A7</t>
  </si>
  <si>
    <t>A21</t>
  </si>
  <si>
    <t>A8</t>
  </si>
  <si>
    <t>A6</t>
  </si>
  <si>
    <t>A22</t>
  </si>
  <si>
    <t>A9</t>
  </si>
  <si>
    <t>A12</t>
  </si>
  <si>
    <t>A20</t>
  </si>
  <si>
    <t>A19</t>
  </si>
  <si>
    <t>A17</t>
  </si>
  <si>
    <t>V6</t>
  </si>
  <si>
    <t>V16</t>
  </si>
  <si>
    <t>V21</t>
  </si>
  <si>
    <t>V26</t>
  </si>
  <si>
    <t>V25</t>
  </si>
  <si>
    <t>V17</t>
  </si>
  <si>
    <t>V8</t>
  </si>
  <si>
    <t>V9</t>
  </si>
  <si>
    <t>V22</t>
  </si>
  <si>
    <t>V24</t>
  </si>
  <si>
    <t>V12</t>
  </si>
  <si>
    <t>V3</t>
  </si>
  <si>
    <t>V5</t>
  </si>
  <si>
    <t>V10</t>
  </si>
  <si>
    <t>A2</t>
  </si>
  <si>
    <t>A5</t>
  </si>
  <si>
    <t>A11</t>
  </si>
  <si>
    <t>V18</t>
  </si>
  <si>
    <t>A14</t>
  </si>
  <si>
    <t>V13</t>
  </si>
  <si>
    <t>V2</t>
  </si>
  <si>
    <t>C23</t>
  </si>
  <si>
    <t>N19</t>
  </si>
  <si>
    <t>B2</t>
  </si>
  <si>
    <t>U22</t>
  </si>
  <si>
    <t>L20</t>
  </si>
  <si>
    <t>U19</t>
  </si>
  <si>
    <t>P7</t>
  </si>
  <si>
    <t>P22</t>
  </si>
  <si>
    <t>M9</t>
  </si>
  <si>
    <t>S10</t>
  </si>
  <si>
    <t>O24</t>
  </si>
  <si>
    <t>B14</t>
  </si>
  <si>
    <t>S15</t>
  </si>
  <si>
    <t>J9</t>
  </si>
  <si>
    <t>Q11</t>
  </si>
  <si>
    <t>H8</t>
  </si>
  <si>
    <t>O23</t>
  </si>
  <si>
    <t>S12</t>
  </si>
  <si>
    <t>I4</t>
  </si>
  <si>
    <t>K17</t>
  </si>
  <si>
    <t>R2</t>
  </si>
  <si>
    <t>Duck Hunt</t>
  </si>
  <si>
    <t>Hunt Duck</t>
  </si>
  <si>
    <t>Cross-Eyed Hunter</t>
  </si>
  <si>
    <t>Easy-Medium</t>
  </si>
  <si>
    <t>Medium Hard</t>
  </si>
  <si>
    <t>Original Case Author</t>
  </si>
  <si>
    <t>Case Design Team</t>
  </si>
  <si>
    <t>David Brown</t>
  </si>
  <si>
    <t>Eric Kelley</t>
  </si>
  <si>
    <t>Instructions</t>
  </si>
  <si>
    <t>Bonus Questions</t>
  </si>
  <si>
    <t>Levels</t>
  </si>
  <si>
    <t>Game #</t>
  </si>
  <si>
    <t>Jack Franken</t>
  </si>
  <si>
    <t>All ducks begin outside of the scene, and fly in either from the left or right, flying horizontally in the same row that the duck began.</t>
  </si>
  <si>
    <t xml:space="preserve">What cell will the duck be in, given the starting cell and the number of seconds the duck has flown? </t>
  </si>
  <si>
    <t>The duck moves 1 cell each second moving from left to right (from column A to column V).</t>
  </si>
  <si>
    <t>The duck moves 1 cell each second moving from right to left (from column V to column A).</t>
  </si>
  <si>
    <t>What cell will the duck be in, given the starting cell and the number of seconds the duck has flown?</t>
  </si>
  <si>
    <t>Ducks that start in column A move 1 cell each second from left to right (from column A to column V).</t>
  </si>
  <si>
    <t>Ducks that start in column V move 1 cell each second from right to left (from column V to column A).</t>
  </si>
  <si>
    <t>Now ducks are flying in from both diretions.</t>
  </si>
  <si>
    <t>Cloud</t>
  </si>
  <si>
    <t>Sky</t>
  </si>
  <si>
    <t>Tree</t>
  </si>
  <si>
    <t>Trunk</t>
  </si>
  <si>
    <t>Grass</t>
  </si>
  <si>
    <t>How many cloud cells are in the scene? See the legend on the Scene tab.</t>
  </si>
  <si>
    <t>Leo Fernandez</t>
  </si>
  <si>
    <t>Nora Junaid</t>
  </si>
  <si>
    <t>Using the "Scene (Numbered)" tab, what is the sum of the color values in the given row?</t>
  </si>
  <si>
    <t>Surveying Your Surroundings</t>
  </si>
  <si>
    <t>Color</t>
  </si>
  <si>
    <t>Blue</t>
  </si>
  <si>
    <t>White</t>
  </si>
  <si>
    <t>Light Green</t>
  </si>
  <si>
    <t>Brown</t>
  </si>
  <si>
    <t>Dark Green</t>
  </si>
  <si>
    <t>Answer Hints:</t>
  </si>
  <si>
    <t>Take In the Colors</t>
  </si>
  <si>
    <t>Know Your Row</t>
  </si>
  <si>
    <t>Know Your Column</t>
  </si>
  <si>
    <t>How many cells in the scene are not blue?  See the legend on the Scene (Numbered) tab.</t>
  </si>
  <si>
    <t>In Level 7, excluding the example, how many ducks are flying from left-to-right?</t>
  </si>
  <si>
    <t>What is the sum of the row numbers for the answers, excluding the example, in level 7?</t>
  </si>
  <si>
    <t>Duck Hunt - Junior Varsity Edition</t>
  </si>
  <si>
    <t>3 to 7</t>
  </si>
  <si>
    <t>Bonus questions 1,2, 3, and 4 can be completed independent of the Levels. Bonus 5 requires solving Level 7 first.</t>
  </si>
  <si>
    <r>
      <t xml:space="preserve">Example1: </t>
    </r>
    <r>
      <rPr>
        <sz val="12"/>
        <rFont val="Roboto"/>
      </rPr>
      <t>There are 19 blue sky cells (value of 1) and 1 white cloud cell (value of 0) in row 13 and 19 x 1 + 1 x 0 = 19.</t>
    </r>
  </si>
  <si>
    <t>Game 1's answer is between 15 and 20.</t>
  </si>
  <si>
    <t>Game 2's answer is between 15 and 20.</t>
  </si>
  <si>
    <t>Game 3's answer is between 20 and 25.</t>
  </si>
  <si>
    <t>Using the "Scene (Numbered)" tab, how many cells of the given color are in the given row?</t>
  </si>
  <si>
    <r>
      <t xml:space="preserve">Example2: </t>
    </r>
    <r>
      <rPr>
        <sz val="12"/>
        <rFont val="Roboto"/>
      </rPr>
      <t>There are 11 blue sky cells in row 11.</t>
    </r>
  </si>
  <si>
    <t>Game 21's answer is between 0 and 5.</t>
  </si>
  <si>
    <t>Game 22's answer is between 15 and 20.</t>
  </si>
  <si>
    <t>What row is the given starting cell in?</t>
  </si>
  <si>
    <r>
      <t xml:space="preserve">Example3: </t>
    </r>
    <r>
      <rPr>
        <sz val="12"/>
        <rFont val="Roboto"/>
      </rPr>
      <t>A8 is in row 8.</t>
    </r>
  </si>
  <si>
    <t>Game 42's answer is between 5 and 10.</t>
  </si>
  <si>
    <t>Game 43's answer is between 5 and 10.</t>
  </si>
  <si>
    <t>Game 41's answer is between 15 and 20.</t>
  </si>
  <si>
    <t>What column number is the given starting cell in?</t>
  </si>
  <si>
    <t>Game 61's answer is between 0 and 5.</t>
  </si>
  <si>
    <t>Game 62's answer is between 10 and 15.</t>
  </si>
  <si>
    <t>Game 63's answer is between 0 and 5.</t>
  </si>
  <si>
    <r>
      <t xml:space="preserve">Example4: </t>
    </r>
    <r>
      <rPr>
        <sz val="12"/>
        <rFont val="Roboto"/>
      </rPr>
      <t>R2 is in column R. R is the 18th column.</t>
    </r>
  </si>
  <si>
    <t>The duck enters the scene, traveling to the right.</t>
  </si>
  <si>
    <t>The duck travels 6 cells (across 6 columns) in 6 seconds.</t>
  </si>
  <si>
    <t>The duck is at cell G13 (Column A + 6 Columns) after 6 seconds.</t>
  </si>
  <si>
    <r>
      <t>Example5:</t>
    </r>
    <r>
      <rPr>
        <sz val="12"/>
        <rFont val="Roboto"/>
      </rPr>
      <t xml:space="preserve"> The duck begins in cell A13.</t>
    </r>
  </si>
  <si>
    <t>Game 81's answer is within the range J7:L11.</t>
  </si>
  <si>
    <t>Game 82's answer is within the range R24:V27.</t>
  </si>
  <si>
    <t>Game 83's answer is within the range B3:E9.</t>
  </si>
  <si>
    <r>
      <t>Example6:</t>
    </r>
    <r>
      <rPr>
        <sz val="12"/>
        <rFont val="Roboto"/>
      </rPr>
      <t xml:space="preserve"> The duck begins in cell V6.</t>
    </r>
  </si>
  <si>
    <t>The duck travels 8 cells (across 8 columns) in 8 seconds.</t>
  </si>
  <si>
    <t>The duck enters the scene, traveling to the left.</t>
  </si>
  <si>
    <t>The duck is at cell N6 (Column V - 8 Columns) after 8 seconds.</t>
  </si>
  <si>
    <t>Game 101's answer is within the range D10:G14.</t>
  </si>
  <si>
    <t>Game 102's answer is within the range D15:J17.</t>
  </si>
  <si>
    <t>Game 103's answer is within the range N19:O22.</t>
  </si>
  <si>
    <r>
      <t>Example7:</t>
    </r>
    <r>
      <rPr>
        <sz val="12"/>
        <rFont val="Roboto"/>
      </rPr>
      <t xml:space="preserve"> The duck begins in Cell A8.</t>
    </r>
  </si>
  <si>
    <t>The duck enters the scene. Because the duck started in Column A, it is traveling to the right.</t>
  </si>
  <si>
    <t>The duck travels 7 cells (across 7 columns) in 7 seconds.</t>
  </si>
  <si>
    <t>The duck is at cell H8 (Column A + 7 Columns) after 7 seconds.</t>
  </si>
  <si>
    <t>Game 121's answer is within the range G15:I20.</t>
  </si>
  <si>
    <t>Game 122's answer is within the range R3:U6.</t>
  </si>
  <si>
    <t>Game 123's answer is within the range I2:J9.</t>
  </si>
  <si>
    <t>Return the row for the given cell, not the row number within the scene.</t>
  </si>
  <si>
    <t>Which row appears most often across the data, excluding the examples, given in levels 3 - 7?</t>
  </si>
  <si>
    <t>G13</t>
  </si>
  <si>
    <t>N6</t>
  </si>
  <si>
    <t>Your Answers</t>
  </si>
  <si>
    <t>Case Author</t>
  </si>
  <si>
    <t>Case Information</t>
  </si>
  <si>
    <t>MECC Jobs</t>
  </si>
  <si>
    <t>This case originally appeared as a part of the MECC Regionals in April 2025. The objective of this case is to model and analyze duck movement across a scene to measure the impact of hunting activity.</t>
  </si>
  <si>
    <t>MECC sponsors such as Siemens, New York Life, Alvarez &amp; Marsal, and BDO have all hired MECC participants. Will you be next?</t>
  </si>
  <si>
    <t>About ASUS</t>
  </si>
  <si>
    <t>Earn MECC Badges</t>
  </si>
  <si>
    <t>ASUS is a global tech leader known for pushing boundaries with innovative devices, powerful performance, and world-class engineering. The Republic of Gamers (ROG) sub-brand makes the best hardware for PC gaming, eSports, and overclocking, delivering top performance and premium experience.</t>
  </si>
  <si>
    <t>Completing MECC challenges can earn you a certificate to add to your résumé, showcasing your Excel knowledge. Learn more about the certificates available to earn this season.</t>
  </si>
  <si>
    <t>Visual Challenge - Junior Varsity Edition</t>
  </si>
  <si>
    <t>Microsoft Excel Collegiate Challenge</t>
  </si>
  <si>
    <t>Kolumna Startowa</t>
  </si>
  <si>
    <t>Kolumna końcowa</t>
  </si>
  <si>
    <t>Ruch łącznie</t>
  </si>
  <si>
    <t>Ruch w prawo</t>
  </si>
  <si>
    <t>Ruch w lewo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</si>
</sst>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sz val="12"/>
      <color theme="7" tint="-0.499984740745262"/>
      <name val="Roboto"/>
    </font>
    <font>
      <b/>
      <sz val="12"/>
      <color theme="7" tint="-0.499984740745262"/>
      <name val="Roboto"/>
    </font>
    <font>
      <b/>
      <sz val="18"/>
      <color theme="0"/>
      <name val="Roboto"/>
    </font>
    <font>
      <b/>
      <sz val="14"/>
      <color theme="0"/>
      <name val="Roboto"/>
    </font>
    <font>
      <i/>
      <sz val="10"/>
      <color theme="1"/>
      <name val="Roboto"/>
    </font>
    <font>
      <b/>
      <sz val="12"/>
      <color theme="1"/>
      <name val="Roboto"/>
    </font>
    <font>
      <i/>
      <sz val="14"/>
      <color theme="1"/>
      <name val="Roboto"/>
    </font>
    <font>
      <sz val="20"/>
      <color theme="1"/>
      <name val="Aptos"/>
      <family val="2"/>
    </font>
    <font>
      <b/>
      <sz val="26"/>
      <color theme="0"/>
      <name val="Futura"/>
      <family val="2"/>
    </font>
    <font>
      <b/>
      <sz val="24"/>
      <color theme="0"/>
      <name val="Futura"/>
      <family val="2"/>
    </font>
    <font>
      <b/>
      <sz val="12"/>
      <color theme="1"/>
      <name val="Robotech"/>
    </font>
    <font>
      <b/>
      <sz val="18"/>
      <color theme="0"/>
      <name val="Futura"/>
      <family val="2"/>
    </font>
    <font>
      <sz val="12"/>
      <color theme="1"/>
      <name val="Aptos"/>
      <family val="2"/>
    </font>
    <font>
      <sz val="18"/>
      <color theme="1"/>
      <name val="Roboto"/>
    </font>
    <font>
      <u/>
      <sz val="20"/>
      <color theme="10"/>
      <name val="Aptos"/>
      <family val="2"/>
    </font>
    <font>
      <b/>
      <sz val="12"/>
      <name val="Aptos"/>
      <family val="2"/>
    </font>
    <font>
      <b/>
      <sz val="12"/>
      <color theme="0"/>
      <name val="Roboto"/>
    </font>
    <font>
      <sz val="12"/>
      <color theme="1"/>
      <name val="Roboto"/>
    </font>
    <font>
      <b/>
      <sz val="12"/>
      <name val="Roboto"/>
    </font>
    <font>
      <sz val="12"/>
      <name val="Roboto"/>
    </font>
    <font>
      <b/>
      <sz val="14"/>
      <color theme="1"/>
      <name val="Roboto"/>
    </font>
    <font>
      <sz val="12"/>
      <color theme="0" tint="-0.499984740745262"/>
      <name val="Roboto"/>
    </font>
    <font>
      <b/>
      <sz val="16"/>
      <color theme="1"/>
      <name val="Roboto"/>
    </font>
    <font>
      <b/>
      <sz val="11"/>
      <color theme="0"/>
      <name val="Roboto"/>
    </font>
    <font>
      <sz val="11"/>
      <color theme="7" tint="-0.499984740745262"/>
      <name val="Roboto"/>
    </font>
    <font>
      <b/>
      <sz val="24"/>
      <color theme="0"/>
      <name val="Futura"/>
      <family val="2"/>
    </font>
    <font>
      <sz val="12"/>
      <color theme="1"/>
      <name val="Aptos Narrow"/>
      <family val="2"/>
      <scheme val="minor"/>
    </font>
    <font>
      <b/>
      <sz val="20"/>
      <color theme="0"/>
      <name val="Futura"/>
      <family val="2"/>
    </font>
    <font>
      <b/>
      <sz val="18"/>
      <color theme="0"/>
      <name val="Futura"/>
      <family val="2"/>
    </font>
    <font>
      <sz val="16"/>
      <name val="Roboto"/>
    </font>
    <font>
      <sz val="20"/>
      <color theme="1"/>
      <name val="Aptos Narrow"/>
      <family val="2"/>
      <scheme val="minor"/>
    </font>
    <font>
      <b/>
      <sz val="16"/>
      <color theme="0"/>
      <name val="Roboto"/>
    </font>
    <font>
      <i/>
      <sz val="11"/>
      <name val="Roboto"/>
    </font>
    <font>
      <sz val="12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F575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83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6C6CD"/>
        <bgColor indexed="64"/>
      </patternFill>
    </fill>
    <fill>
      <patternFill patternType="solid">
        <fgColor rgb="FF001838"/>
        <bgColor indexed="64"/>
      </patternFill>
    </fill>
    <fill>
      <patternFill patternType="solid">
        <fgColor rgb="FFED203F"/>
        <bgColor indexed="64"/>
      </patternFill>
    </fill>
    <fill>
      <patternFill patternType="solid">
        <fgColor rgb="FFBC1F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203F"/>
        <bgColor auto="1"/>
      </patternFill>
    </fill>
    <fill>
      <patternFill patternType="solid">
        <fgColor rgb="FF9E1B3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6F5755"/>
      </top>
      <bottom style="thin">
        <color indexed="64"/>
      </bottom>
      <diagonal/>
    </border>
    <border>
      <left/>
      <right/>
      <top style="thin">
        <color rgb="FF6F5755"/>
      </top>
      <bottom style="thin">
        <color indexed="64"/>
      </bottom>
      <diagonal/>
    </border>
    <border>
      <left/>
      <right style="thin">
        <color indexed="64"/>
      </right>
      <top style="thin">
        <color rgb="FF6F57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6F57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3" fillId="0" borderId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2" fillId="0" borderId="0"/>
    <xf numFmtId="0" fontId="36" fillId="0" borderId="0"/>
  </cellStyleXfs>
  <cellXfs count="185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4" borderId="0" xfId="0" applyFill="1"/>
    <xf numFmtId="0" fontId="0" fillId="2" borderId="0" xfId="0" applyFill="1" applyAlignment="1">
      <alignment horizontal="right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1" xfId="0" applyFill="1" applyBorder="1"/>
    <xf numFmtId="0" fontId="0" fillId="6" borderId="0" xfId="0" applyFill="1"/>
    <xf numFmtId="0" fontId="0" fillId="6" borderId="1" xfId="0" applyFill="1" applyBorder="1"/>
    <xf numFmtId="0" fontId="0" fillId="6" borderId="12" xfId="0" applyFill="1" applyBorder="1"/>
    <xf numFmtId="0" fontId="0" fillId="6" borderId="5" xfId="0" applyFill="1" applyBorder="1"/>
    <xf numFmtId="0" fontId="0" fillId="5" borderId="13" xfId="0" applyFill="1" applyBorder="1"/>
    <xf numFmtId="0" fontId="0" fillId="5" borderId="14" xfId="0" applyFill="1" applyBorder="1"/>
    <xf numFmtId="0" fontId="0" fillId="6" borderId="4" xfId="0" applyFill="1" applyBorder="1"/>
    <xf numFmtId="0" fontId="0" fillId="6" borderId="3" xfId="0" applyFill="1" applyBorder="1"/>
    <xf numFmtId="0" fontId="0" fillId="6" borderId="8" xfId="0" applyFill="1" applyBorder="1"/>
    <xf numFmtId="0" fontId="0" fillId="6" borderId="7" xfId="0" applyFill="1" applyBorder="1"/>
    <xf numFmtId="0" fontId="0" fillId="6" borderId="6" xfId="0" applyFill="1" applyBorder="1"/>
    <xf numFmtId="0" fontId="2" fillId="7" borderId="0" xfId="1" applyFont="1" applyFill="1"/>
    <xf numFmtId="0" fontId="3" fillId="7" borderId="0" xfId="1" applyFont="1" applyFill="1"/>
    <xf numFmtId="0" fontId="2" fillId="7" borderId="0" xfId="1" applyFont="1" applyFill="1" applyAlignment="1">
      <alignment horizontal="center"/>
    </xf>
    <xf numFmtId="0" fontId="2" fillId="7" borderId="0" xfId="1" applyFont="1" applyFill="1" applyAlignment="1">
      <alignment horizontal="left"/>
    </xf>
    <xf numFmtId="0" fontId="5" fillId="7" borderId="0" xfId="1" applyFont="1" applyFill="1" applyAlignment="1">
      <alignment horizontal="left"/>
    </xf>
    <xf numFmtId="0" fontId="4" fillId="7" borderId="0" xfId="1" applyFont="1" applyFill="1" applyAlignment="1">
      <alignment horizontal="left"/>
    </xf>
    <xf numFmtId="0" fontId="6" fillId="7" borderId="19" xfId="1" applyFont="1" applyFill="1" applyBorder="1" applyAlignment="1">
      <alignment horizontal="center" vertical="center" wrapText="1"/>
    </xf>
    <xf numFmtId="0" fontId="7" fillId="7" borderId="19" xfId="1" applyFont="1" applyFill="1" applyBorder="1" applyAlignment="1">
      <alignment horizontal="center" vertical="center"/>
    </xf>
    <xf numFmtId="0" fontId="6" fillId="0" borderId="19" xfId="1" applyFont="1" applyBorder="1" applyAlignment="1">
      <alignment horizontal="center" vertical="center" wrapText="1"/>
    </xf>
    <xf numFmtId="3" fontId="6" fillId="0" borderId="19" xfId="1" applyNumberFormat="1" applyFont="1" applyBorder="1" applyAlignment="1">
      <alignment horizontal="center" vertical="center"/>
    </xf>
    <xf numFmtId="1" fontId="8" fillId="8" borderId="20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12" fillId="9" borderId="16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center" vertical="center"/>
    </xf>
    <xf numFmtId="0" fontId="14" fillId="14" borderId="21" xfId="2" applyFont="1" applyFill="1" applyBorder="1" applyAlignment="1">
      <alignment horizontal="centerContinuous" vertical="center"/>
    </xf>
    <xf numFmtId="0" fontId="15" fillId="15" borderId="0" xfId="2" applyFont="1" applyFill="1" applyAlignment="1">
      <alignment horizontal="centerContinuous" vertical="center" wrapText="1"/>
    </xf>
    <xf numFmtId="0" fontId="17" fillId="16" borderId="21" xfId="2" applyFont="1" applyFill="1" applyBorder="1" applyAlignment="1">
      <alignment horizontal="centerContinuous" vertical="center"/>
    </xf>
    <xf numFmtId="0" fontId="18" fillId="7" borderId="0" xfId="2" applyFont="1" applyFill="1"/>
    <xf numFmtId="0" fontId="16" fillId="7" borderId="0" xfId="2" applyFont="1" applyFill="1" applyAlignment="1">
      <alignment wrapText="1"/>
    </xf>
    <xf numFmtId="0" fontId="21" fillId="7" borderId="0" xfId="3" applyFont="1" applyFill="1" applyBorder="1" applyAlignment="1">
      <alignment vertical="top"/>
    </xf>
    <xf numFmtId="3" fontId="18" fillId="7" borderId="0" xfId="2" applyNumberFormat="1" applyFont="1" applyFill="1"/>
    <xf numFmtId="0" fontId="17" fillId="16" borderId="12" xfId="2" applyFont="1" applyFill="1" applyBorder="1" applyAlignment="1">
      <alignment horizontal="centerContinuous" vertical="center"/>
    </xf>
    <xf numFmtId="0" fontId="17" fillId="14" borderId="21" xfId="2" applyFont="1" applyFill="1" applyBorder="1" applyAlignment="1">
      <alignment horizontal="centerContinuous" vertical="center"/>
    </xf>
    <xf numFmtId="0" fontId="22" fillId="16" borderId="16" xfId="2" applyFont="1" applyFill="1" applyBorder="1" applyAlignment="1">
      <alignment horizontal="center" vertical="center"/>
    </xf>
    <xf numFmtId="0" fontId="22" fillId="16" borderId="16" xfId="2" applyFont="1" applyFill="1" applyBorder="1" applyAlignment="1">
      <alignment horizontal="center" vertical="center" wrapText="1"/>
    </xf>
    <xf numFmtId="0" fontId="23" fillId="7" borderId="0" xfId="2" applyFont="1" applyFill="1" applyAlignment="1">
      <alignment horizontal="center" vertical="center"/>
    </xf>
    <xf numFmtId="0" fontId="22" fillId="16" borderId="16" xfId="2" applyFont="1" applyFill="1" applyBorder="1" applyAlignment="1">
      <alignment horizontal="centerContinuous" vertical="center"/>
    </xf>
    <xf numFmtId="0" fontId="19" fillId="0" borderId="21" xfId="2" applyFont="1" applyBorder="1" applyAlignment="1">
      <alignment horizontal="centerContinuous" vertical="center"/>
    </xf>
    <xf numFmtId="0" fontId="19" fillId="7" borderId="21" xfId="2" applyFont="1" applyFill="1" applyBorder="1" applyAlignment="1">
      <alignment horizontal="centerContinuous" vertical="center"/>
    </xf>
    <xf numFmtId="0" fontId="2" fillId="7" borderId="7" xfId="1" applyFont="1" applyFill="1" applyBorder="1" applyAlignment="1">
      <alignment horizontal="left"/>
    </xf>
    <xf numFmtId="0" fontId="2" fillId="7" borderId="7" xfId="1" applyFont="1" applyFill="1" applyBorder="1" applyAlignment="1">
      <alignment horizontal="center"/>
    </xf>
    <xf numFmtId="0" fontId="2" fillId="7" borderId="2" xfId="1" applyFont="1" applyFill="1" applyBorder="1" applyAlignment="1">
      <alignment horizontal="left"/>
    </xf>
    <xf numFmtId="0" fontId="2" fillId="7" borderId="2" xfId="1" applyFont="1" applyFill="1" applyBorder="1" applyAlignment="1">
      <alignment horizontal="center"/>
    </xf>
    <xf numFmtId="0" fontId="3" fillId="7" borderId="2" xfId="1" applyFont="1" applyFill="1" applyBorder="1"/>
    <xf numFmtId="0" fontId="25" fillId="7" borderId="6" xfId="1" applyFont="1" applyFill="1" applyBorder="1" applyAlignment="1">
      <alignment horizontal="left"/>
    </xf>
    <xf numFmtId="0" fontId="25" fillId="7" borderId="1" xfId="1" applyFont="1" applyFill="1" applyBorder="1" applyAlignment="1">
      <alignment horizontal="left" vertical="center"/>
    </xf>
    <xf numFmtId="0" fontId="25" fillId="7" borderId="4" xfId="1" applyFont="1" applyFill="1" applyBorder="1" applyAlignment="1">
      <alignment horizontal="left" vertical="center"/>
    </xf>
    <xf numFmtId="0" fontId="6" fillId="0" borderId="18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/>
    </xf>
    <xf numFmtId="0" fontId="8" fillId="8" borderId="22" xfId="2" applyFont="1" applyFill="1" applyBorder="1" applyAlignment="1">
      <alignment horizontal="center" vertical="center"/>
    </xf>
    <xf numFmtId="0" fontId="6" fillId="0" borderId="19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/>
    </xf>
    <xf numFmtId="0" fontId="8" fillId="8" borderId="20" xfId="2" applyFont="1" applyFill="1" applyBorder="1" applyAlignment="1">
      <alignment horizontal="center" vertical="center"/>
    </xf>
    <xf numFmtId="0" fontId="6" fillId="0" borderId="25" xfId="2" applyFont="1" applyBorder="1" applyAlignment="1">
      <alignment vertical="center"/>
    </xf>
    <xf numFmtId="1" fontId="8" fillId="8" borderId="20" xfId="2" applyNumberFormat="1" applyFont="1" applyFill="1" applyBorder="1" applyAlignment="1">
      <alignment horizontal="center" vertical="center"/>
    </xf>
    <xf numFmtId="0" fontId="24" fillId="7" borderId="0" xfId="1" applyFont="1" applyFill="1" applyAlignment="1">
      <alignment horizontal="left"/>
    </xf>
    <xf numFmtId="0" fontId="23" fillId="7" borderId="0" xfId="1" applyFont="1" applyFill="1"/>
    <xf numFmtId="0" fontId="23" fillId="7" borderId="0" xfId="1" applyFont="1" applyFill="1" applyAlignment="1">
      <alignment horizontal="center"/>
    </xf>
    <xf numFmtId="0" fontId="25" fillId="7" borderId="0" xfId="1" applyFont="1" applyFill="1"/>
    <xf numFmtId="0" fontId="23" fillId="7" borderId="0" xfId="1" applyFont="1" applyFill="1" applyAlignment="1">
      <alignment horizontal="left"/>
    </xf>
    <xf numFmtId="0" fontId="23" fillId="7" borderId="0" xfId="1" applyFont="1" applyFill="1" applyAlignment="1">
      <alignment horizontal="left" indent="1"/>
    </xf>
    <xf numFmtId="0" fontId="23" fillId="0" borderId="0" xfId="1" applyFont="1" applyAlignment="1">
      <alignment horizontal="left" indent="1"/>
    </xf>
    <xf numFmtId="0" fontId="25" fillId="7" borderId="0" xfId="1" applyFont="1" applyFill="1" applyAlignment="1">
      <alignment horizontal="left"/>
    </xf>
    <xf numFmtId="0" fontId="26" fillId="7" borderId="0" xfId="1" applyFont="1" applyFill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11" fillId="7" borderId="0" xfId="1" applyFont="1" applyFill="1" applyAlignment="1">
      <alignment horizontal="left"/>
    </xf>
    <xf numFmtId="0" fontId="23" fillId="4" borderId="16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/>
    </xf>
    <xf numFmtId="0" fontId="23" fillId="6" borderId="16" xfId="0" applyFont="1" applyFill="1" applyBorder="1" applyAlignment="1">
      <alignment horizontal="center"/>
    </xf>
    <xf numFmtId="0" fontId="23" fillId="5" borderId="16" xfId="0" applyFont="1" applyFill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0" fillId="17" borderId="0" xfId="0" applyFill="1"/>
    <xf numFmtId="0" fontId="8" fillId="8" borderId="20" xfId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23" fillId="17" borderId="0" xfId="0" applyFont="1" applyFill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0" fontId="23" fillId="6" borderId="3" xfId="0" applyFont="1" applyFill="1" applyBorder="1" applyAlignment="1">
      <alignment horizontal="center"/>
    </xf>
    <xf numFmtId="0" fontId="23" fillId="6" borderId="4" xfId="0" applyFont="1" applyFill="1" applyBorder="1" applyAlignment="1">
      <alignment horizontal="center"/>
    </xf>
    <xf numFmtId="0" fontId="23" fillId="6" borderId="5" xfId="0" applyFont="1" applyFill="1" applyBorder="1" applyAlignment="1">
      <alignment horizontal="center"/>
    </xf>
    <xf numFmtId="0" fontId="23" fillId="6" borderId="6" xfId="0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/>
    </xf>
    <xf numFmtId="0" fontId="23" fillId="6" borderId="8" xfId="0" applyFont="1" applyFill="1" applyBorder="1" applyAlignment="1">
      <alignment horizontal="center"/>
    </xf>
    <xf numFmtId="0" fontId="23" fillId="5" borderId="14" xfId="0" applyFont="1" applyFill="1" applyBorder="1" applyAlignment="1">
      <alignment horizontal="center"/>
    </xf>
    <xf numFmtId="0" fontId="23" fillId="5" borderId="13" xfId="0" applyFont="1" applyFill="1" applyBorder="1" applyAlignment="1">
      <alignment horizontal="center"/>
    </xf>
    <xf numFmtId="0" fontId="23" fillId="3" borderId="9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1" fillId="0" borderId="0" xfId="2" applyFont="1" applyAlignment="1">
      <alignment vertical="center"/>
    </xf>
    <xf numFmtId="0" fontId="22" fillId="16" borderId="15" xfId="1" applyFont="1" applyFill="1" applyBorder="1" applyAlignment="1">
      <alignment horizontal="center" vertical="center"/>
    </xf>
    <xf numFmtId="0" fontId="22" fillId="16" borderId="16" xfId="1" applyFont="1" applyFill="1" applyBorder="1" applyAlignment="1">
      <alignment horizontal="center" vertical="center"/>
    </xf>
    <xf numFmtId="0" fontId="22" fillId="16" borderId="17" xfId="1" applyFont="1" applyFill="1" applyBorder="1" applyAlignment="1">
      <alignment horizontal="center" vertical="center"/>
    </xf>
    <xf numFmtId="3" fontId="22" fillId="16" borderId="16" xfId="0" applyNumberFormat="1" applyFont="1" applyFill="1" applyBorder="1" applyAlignment="1">
      <alignment horizontal="center" vertical="center"/>
    </xf>
    <xf numFmtId="0" fontId="22" fillId="16" borderId="16" xfId="1" applyFont="1" applyFill="1" applyBorder="1" applyAlignment="1">
      <alignment horizontal="left" vertical="center" indent="1"/>
    </xf>
    <xf numFmtId="0" fontId="6" fillId="0" borderId="25" xfId="2" quotePrefix="1" applyFont="1" applyBorder="1" applyAlignment="1">
      <alignment vertical="center"/>
    </xf>
    <xf numFmtId="16" fontId="6" fillId="0" borderId="19" xfId="2" quotePrefix="1" applyNumberFormat="1" applyFont="1" applyBorder="1" applyAlignment="1">
      <alignment horizontal="center" vertical="center" wrapText="1"/>
    </xf>
    <xf numFmtId="0" fontId="23" fillId="0" borderId="0" xfId="2" applyFont="1" applyAlignment="1">
      <alignment vertical="center"/>
    </xf>
    <xf numFmtId="0" fontId="25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" fillId="7" borderId="3" xfId="1" applyFont="1" applyFill="1" applyBorder="1"/>
    <xf numFmtId="0" fontId="2" fillId="7" borderId="5" xfId="1" applyFont="1" applyFill="1" applyBorder="1"/>
    <xf numFmtId="0" fontId="2" fillId="7" borderId="7" xfId="1" applyFont="1" applyFill="1" applyBorder="1"/>
    <xf numFmtId="0" fontId="2" fillId="7" borderId="8" xfId="1" applyFont="1" applyFill="1" applyBorder="1"/>
    <xf numFmtId="0" fontId="6" fillId="0" borderId="26" xfId="2" applyFont="1" applyBorder="1" applyAlignment="1">
      <alignment vertical="center"/>
    </xf>
    <xf numFmtId="0" fontId="6" fillId="0" borderId="27" xfId="2" applyFont="1" applyBorder="1" applyAlignment="1">
      <alignment vertical="center"/>
    </xf>
    <xf numFmtId="0" fontId="6" fillId="0" borderId="28" xfId="2" applyFont="1" applyBorder="1" applyAlignment="1">
      <alignment vertical="center"/>
    </xf>
    <xf numFmtId="0" fontId="6" fillId="0" borderId="23" xfId="2" applyFont="1" applyBorder="1" applyAlignment="1">
      <alignment vertical="center"/>
    </xf>
    <xf numFmtId="0" fontId="6" fillId="0" borderId="24" xfId="2" applyFont="1" applyBorder="1" applyAlignment="1">
      <alignment vertical="center"/>
    </xf>
    <xf numFmtId="0" fontId="6" fillId="0" borderId="23" xfId="2" quotePrefix="1" applyFont="1" applyBorder="1" applyAlignment="1">
      <alignment vertical="center"/>
    </xf>
    <xf numFmtId="0" fontId="6" fillId="0" borderId="24" xfId="2" quotePrefix="1" applyFont="1" applyBorder="1" applyAlignment="1">
      <alignment vertical="center"/>
    </xf>
    <xf numFmtId="0" fontId="9" fillId="18" borderId="15" xfId="0" applyFont="1" applyFill="1" applyBorder="1" applyAlignment="1">
      <alignment horizontal="center" vertical="center"/>
    </xf>
    <xf numFmtId="0" fontId="28" fillId="7" borderId="0" xfId="1" applyFont="1" applyFill="1"/>
    <xf numFmtId="3" fontId="2" fillId="7" borderId="0" xfId="1" applyNumberFormat="1" applyFont="1" applyFill="1"/>
    <xf numFmtId="0" fontId="2" fillId="7" borderId="0" xfId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0" fontId="29" fillId="19" borderId="16" xfId="1" applyFont="1" applyFill="1" applyBorder="1" applyAlignment="1">
      <alignment horizontal="center" vertical="center"/>
    </xf>
    <xf numFmtId="3" fontId="29" fillId="19" borderId="16" xfId="1" applyNumberFormat="1" applyFont="1" applyFill="1" applyBorder="1" applyAlignment="1">
      <alignment horizontal="center" vertical="center"/>
    </xf>
    <xf numFmtId="0" fontId="30" fillId="7" borderId="18" xfId="1" applyFont="1" applyFill="1" applyBorder="1" applyAlignment="1">
      <alignment horizontal="center" vertical="center" wrapText="1"/>
    </xf>
    <xf numFmtId="1" fontId="8" fillId="8" borderId="22" xfId="1" applyNumberFormat="1" applyFont="1" applyFill="1" applyBorder="1" applyAlignment="1">
      <alignment horizontal="center" vertical="center"/>
    </xf>
    <xf numFmtId="0" fontId="1" fillId="0" borderId="0" xfId="4" applyAlignment="1">
      <alignment horizontal="left"/>
    </xf>
    <xf numFmtId="0" fontId="30" fillId="7" borderId="19" xfId="1" applyFont="1" applyFill="1" applyBorder="1" applyAlignment="1">
      <alignment horizontal="center" vertical="center" wrapText="1"/>
    </xf>
    <xf numFmtId="3" fontId="2" fillId="7" borderId="0" xfId="1" applyNumberFormat="1" applyFont="1" applyFill="1" applyAlignment="1">
      <alignment horizontal="center"/>
    </xf>
    <xf numFmtId="0" fontId="2" fillId="0" borderId="0" xfId="5" applyFont="1" applyAlignment="1">
      <alignment vertical="center"/>
    </xf>
    <xf numFmtId="0" fontId="4" fillId="0" borderId="0" xfId="5" applyFont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3" fillId="0" borderId="0" xfId="5" applyFont="1" applyAlignment="1">
      <alignment vertical="center"/>
    </xf>
    <xf numFmtId="0" fontId="8" fillId="16" borderId="29" xfId="6" applyFont="1" applyFill="1" applyBorder="1" applyAlignment="1">
      <alignment horizontal="centerContinuous" vertical="center"/>
    </xf>
    <xf numFmtId="0" fontId="8" fillId="16" borderId="30" xfId="6" applyFont="1" applyFill="1" applyBorder="1" applyAlignment="1">
      <alignment horizontal="centerContinuous" vertical="center" wrapText="1"/>
    </xf>
    <xf numFmtId="0" fontId="8" fillId="16" borderId="31" xfId="6" applyFont="1" applyFill="1" applyBorder="1" applyAlignment="1">
      <alignment horizontal="centerContinuous" vertical="center" wrapText="1"/>
    </xf>
    <xf numFmtId="0" fontId="2" fillId="7" borderId="32" xfId="5" applyFont="1" applyFill="1" applyBorder="1"/>
    <xf numFmtId="0" fontId="2" fillId="7" borderId="0" xfId="5" applyFont="1" applyFill="1"/>
    <xf numFmtId="0" fontId="2" fillId="0" borderId="33" xfId="5" applyFont="1" applyBorder="1" applyAlignment="1">
      <alignment vertical="center"/>
    </xf>
    <xf numFmtId="0" fontId="2" fillId="0" borderId="32" xfId="5" applyFont="1" applyBorder="1" applyAlignment="1">
      <alignment vertical="center"/>
    </xf>
    <xf numFmtId="0" fontId="31" fillId="15" borderId="0" xfId="6" applyFont="1" applyFill="1" applyAlignment="1">
      <alignment horizontal="centerContinuous" vertical="center" wrapText="1"/>
    </xf>
    <xf numFmtId="0" fontId="1" fillId="0" borderId="0" xfId="6"/>
    <xf numFmtId="0" fontId="33" fillId="14" borderId="29" xfId="7" applyFont="1" applyFill="1" applyBorder="1" applyAlignment="1">
      <alignment horizontal="centerContinuous" vertical="center"/>
    </xf>
    <xf numFmtId="0" fontId="34" fillId="14" borderId="30" xfId="7" applyFont="1" applyFill="1" applyBorder="1" applyAlignment="1">
      <alignment horizontal="centerContinuous" vertical="center"/>
    </xf>
    <xf numFmtId="0" fontId="34" fillId="14" borderId="31" xfId="7" applyFont="1" applyFill="1" applyBorder="1" applyAlignment="1">
      <alignment horizontal="centerContinuous" vertical="center"/>
    </xf>
    <xf numFmtId="0" fontId="33" fillId="14" borderId="30" xfId="7" applyFont="1" applyFill="1" applyBorder="1" applyAlignment="1">
      <alignment horizontal="centerContinuous" vertical="center"/>
    </xf>
    <xf numFmtId="0" fontId="33" fillId="14" borderId="31" xfId="7" applyFont="1" applyFill="1" applyBorder="1" applyAlignment="1">
      <alignment horizontal="centerContinuous" vertical="center"/>
    </xf>
    <xf numFmtId="0" fontId="3" fillId="0" borderId="0" xfId="5" applyFont="1" applyAlignment="1">
      <alignment horizontal="left" vertical="center"/>
    </xf>
    <xf numFmtId="0" fontId="2" fillId="0" borderId="0" xfId="5" applyFont="1" applyAlignment="1">
      <alignment horizontal="left" vertical="center"/>
    </xf>
    <xf numFmtId="0" fontId="36" fillId="0" borderId="0" xfId="8"/>
    <xf numFmtId="0" fontId="38" fillId="0" borderId="0" xfId="5" applyFont="1" applyAlignment="1">
      <alignment vertical="center"/>
    </xf>
    <xf numFmtId="0" fontId="5" fillId="0" borderId="0" xfId="5" applyFont="1" applyAlignment="1">
      <alignment horizontal="left" vertical="center"/>
    </xf>
    <xf numFmtId="0" fontId="39" fillId="0" borderId="0" xfId="0" applyFont="1"/>
    <xf numFmtId="0" fontId="3" fillId="16" borderId="21" xfId="5" applyFont="1" applyFill="1" applyBorder="1" applyAlignment="1">
      <alignment horizontal="center" vertical="center"/>
    </xf>
    <xf numFmtId="0" fontId="35" fillId="0" borderId="15" xfId="5" applyFont="1" applyBorder="1" applyAlignment="1">
      <alignment horizontal="left" vertical="top" wrapText="1"/>
    </xf>
    <xf numFmtId="0" fontId="35" fillId="0" borderId="17" xfId="5" applyFont="1" applyBorder="1" applyAlignment="1">
      <alignment horizontal="left" vertical="top" wrapText="1"/>
    </xf>
    <xf numFmtId="0" fontId="35" fillId="0" borderId="34" xfId="5" applyFont="1" applyBorder="1" applyAlignment="1">
      <alignment horizontal="left" vertical="top" wrapText="1"/>
    </xf>
    <xf numFmtId="0" fontId="35" fillId="0" borderId="35" xfId="5" applyFont="1" applyBorder="1" applyAlignment="1">
      <alignment horizontal="left" vertical="top" wrapText="1"/>
    </xf>
    <xf numFmtId="0" fontId="35" fillId="0" borderId="36" xfId="5" applyFont="1" applyBorder="1" applyAlignment="1">
      <alignment horizontal="left" vertical="top" wrapText="1"/>
    </xf>
    <xf numFmtId="0" fontId="35" fillId="0" borderId="37" xfId="5" applyFont="1" applyBorder="1" applyAlignment="1">
      <alignment horizontal="left" vertical="top" wrapText="1"/>
    </xf>
    <xf numFmtId="0" fontId="37" fillId="16" borderId="15" xfId="5" applyFont="1" applyFill="1" applyBorder="1" applyAlignment="1">
      <alignment vertical="center" wrapText="1"/>
    </xf>
    <xf numFmtId="0" fontId="37" fillId="16" borderId="17" xfId="5" applyFont="1" applyFill="1" applyBorder="1" applyAlignment="1">
      <alignment vertical="center" wrapText="1"/>
    </xf>
    <xf numFmtId="0" fontId="37" fillId="16" borderId="34" xfId="5" applyFont="1" applyFill="1" applyBorder="1" applyAlignment="1">
      <alignment vertical="center" wrapText="1"/>
    </xf>
  </cellXfs>
  <cellStyles count="9">
    <cellStyle name="Hyperlink 2" xfId="3" xr:uid="{1C76E17C-4543-44A7-98B1-B5FCEF5531E7}"/>
    <cellStyle name="Normal 2" xfId="2" xr:uid="{633B2FEE-2F40-4BE3-9FF1-ACB78585AA1C}"/>
    <cellStyle name="Normal 2 3" xfId="6" xr:uid="{38207E09-875E-4151-A163-72A68FB2930E}"/>
    <cellStyle name="Normal 3" xfId="1" xr:uid="{5EFB4202-9941-45CC-B734-602F8005A97D}"/>
    <cellStyle name="Normal 3 2" xfId="4" xr:uid="{05C1518F-F384-46FA-AFD3-C4C64E3CFC5A}"/>
    <cellStyle name="Normal 3 2 2" xfId="5" xr:uid="{7AB11C19-FA1D-4704-82FB-F05A1DB3101B}"/>
    <cellStyle name="Normal 4 2" xfId="7" xr:uid="{45065B06-6CC0-4552-9713-54D74F3390B5}"/>
    <cellStyle name="Normal 4 2 2" xfId="8" xr:uid="{51968483-8B74-4D7E-8CD4-94D9D7BCB468}"/>
    <cellStyle name="Normalny" xfId="0" builtinId="0"/>
  </cellStyles>
  <dxfs count="0"/>
  <tableStyles count="1" defaultTableStyle="TableStyleMedium2" defaultPivotStyle="PivotStyleLight16">
    <tableStyle name="Invisible" pivot="0" table="0" count="0" xr9:uid="{2E63165C-5DFA-4BE4-9C81-88711724790B}"/>
  </tableStyles>
  <colors>
    <mruColors>
      <color rgb="FFBC1F36"/>
      <color rgb="FFF2F2F2"/>
      <color rgb="FF6F5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https://mecc.college/certificate-of-completion/" TargetMode="External"/><Relationship Id="rId1" Type="http://schemas.openxmlformats.org/officeDocument/2006/relationships/hyperlink" Target="https://mecc.college/job-board/" TargetMode="External"/><Relationship Id="rId6" Type="http://schemas.openxmlformats.org/officeDocument/2006/relationships/hyperlink" Target="https://www.youtube.com/watch?v=EEbseBbYlDI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rog.asu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10</xdr:row>
      <xdr:rowOff>9524</xdr:rowOff>
    </xdr:from>
    <xdr:to>
      <xdr:col>23</xdr:col>
      <xdr:colOff>0</xdr:colOff>
      <xdr:row>12</xdr:row>
      <xdr:rowOff>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B75740-1DBC-435C-97ED-129076A49856}"/>
            </a:ext>
          </a:extLst>
        </xdr:cNvPr>
        <xdr:cNvSpPr/>
      </xdr:nvSpPr>
      <xdr:spPr>
        <a:xfrm>
          <a:off x="13312140" y="3438524"/>
          <a:ext cx="3048000" cy="1514476"/>
        </a:xfrm>
        <a:prstGeom prst="rect">
          <a:avLst/>
        </a:prstGeom>
        <a:solidFill>
          <a:srgbClr val="BC1F36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2000" b="1">
              <a:latin typeface="FUTURA MEDIUM" panose="020B0602020204020303" pitchFamily="34" charset="-79"/>
              <a:cs typeface="FUTURA MEDIUM" panose="020B0602020204020303" pitchFamily="34" charset="-79"/>
            </a:rPr>
            <a:t>Click</a:t>
          </a:r>
          <a:r>
            <a:rPr lang="en-US" sz="2000" b="1" baseline="0">
              <a:latin typeface="FUTURA MEDIUM" panose="020B0602020204020303" pitchFamily="34" charset="-79"/>
              <a:cs typeface="FUTURA MEDIUM" panose="020B0602020204020303" pitchFamily="34" charset="-79"/>
            </a:rPr>
            <a:t> For </a:t>
          </a:r>
        </a:p>
        <a:p>
          <a:pPr algn="ctr"/>
          <a:r>
            <a:rPr lang="en-US" sz="2000" b="1">
              <a:latin typeface="FUTURA MEDIUM" panose="020B0602020204020303" pitchFamily="34" charset="-79"/>
              <a:cs typeface="FUTURA MEDIUM" panose="020B0602020204020303" pitchFamily="34" charset="-79"/>
            </a:rPr>
            <a:t>Job Postings</a:t>
          </a:r>
          <a:endParaRPr lang="en-US" sz="1800" b="1">
            <a:latin typeface="FUTURA MEDIUM" panose="020B0602020204020303" pitchFamily="34" charset="-79"/>
            <a:cs typeface="FUTURA MEDIUM" panose="020B0602020204020303" pitchFamily="34" charset="-79"/>
          </a:endParaRPr>
        </a:p>
      </xdr:txBody>
    </xdr:sp>
    <xdr:clientData/>
  </xdr:twoCellAnchor>
  <xdr:twoCellAnchor>
    <xdr:from>
      <xdr:col>19</xdr:col>
      <xdr:colOff>0</xdr:colOff>
      <xdr:row>13</xdr:row>
      <xdr:rowOff>12698</xdr:rowOff>
    </xdr:from>
    <xdr:to>
      <xdr:col>23</xdr:col>
      <xdr:colOff>0</xdr:colOff>
      <xdr:row>15</xdr:row>
      <xdr:rowOff>-1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17504E-C44C-48D2-86EB-B1F8E2B585CC}"/>
            </a:ext>
          </a:extLst>
        </xdr:cNvPr>
        <xdr:cNvSpPr/>
      </xdr:nvSpPr>
      <xdr:spPr>
        <a:xfrm>
          <a:off x="13312140" y="5156198"/>
          <a:ext cx="3048000" cy="1762761"/>
        </a:xfrm>
        <a:prstGeom prst="rect">
          <a:avLst/>
        </a:prstGeom>
        <a:solidFill>
          <a:srgbClr val="BC1F36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2000" b="1">
              <a:latin typeface="FUTURA MEDIUM" panose="020B0602020204020303" pitchFamily="34" charset="-79"/>
              <a:cs typeface="FUTURA MEDIUM" panose="020B0602020204020303" pitchFamily="34" charset="-79"/>
            </a:rPr>
            <a:t>Click</a:t>
          </a:r>
          <a:r>
            <a:rPr lang="en-US" sz="2000" b="1" baseline="0">
              <a:latin typeface="FUTURA MEDIUM" panose="020B0602020204020303" pitchFamily="34" charset="-79"/>
              <a:cs typeface="FUTURA MEDIUM" panose="020B0602020204020303" pitchFamily="34" charset="-79"/>
            </a:rPr>
            <a:t> For More About </a:t>
          </a:r>
        </a:p>
        <a:p>
          <a:pPr algn="ctr"/>
          <a:r>
            <a:rPr lang="en-US" sz="2000" b="1" baseline="0">
              <a:latin typeface="FUTURA MEDIUM" panose="020B0602020204020303" pitchFamily="34" charset="-79"/>
              <a:cs typeface="FUTURA MEDIUM" panose="020B0602020204020303" pitchFamily="34" charset="-79"/>
            </a:rPr>
            <a:t>MECC Badges</a:t>
          </a:r>
          <a:endParaRPr lang="en-US" sz="1800" b="1">
            <a:latin typeface="FUTURA MEDIUM" panose="020B0602020204020303" pitchFamily="34" charset="-79"/>
            <a:cs typeface="FUTURA MEDIUM" panose="020B0602020204020303" pitchFamily="34" charset="-79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1</xdr:rowOff>
    </xdr:from>
    <xdr:to>
      <xdr:col>12</xdr:col>
      <xdr:colOff>23029</xdr:colOff>
      <xdr:row>8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993A9C-FB35-4519-A3C3-355EE7DEB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" y="190501"/>
          <a:ext cx="8405029" cy="2667000"/>
        </a:xfrm>
        <a:prstGeom prst="rect">
          <a:avLst/>
        </a:prstGeom>
      </xdr:spPr>
    </xdr:pic>
    <xdr:clientData/>
  </xdr:twoCellAnchor>
  <xdr:twoCellAnchor editAs="oneCell">
    <xdr:from>
      <xdr:col>19</xdr:col>
      <xdr:colOff>204203</xdr:colOff>
      <xdr:row>6</xdr:row>
      <xdr:rowOff>54429</xdr:rowOff>
    </xdr:from>
    <xdr:to>
      <xdr:col>22</xdr:col>
      <xdr:colOff>566677</xdr:colOff>
      <xdr:row>8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421BCA-9DFB-4BDD-AAB5-8FC6422B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16343" y="2149929"/>
          <a:ext cx="2648474" cy="707572"/>
        </a:xfrm>
        <a:prstGeom prst="rect">
          <a:avLst/>
        </a:prstGeom>
      </xdr:spPr>
    </xdr:pic>
    <xdr:clientData/>
  </xdr:twoCellAnchor>
  <xdr:twoCellAnchor>
    <xdr:from>
      <xdr:col>19</xdr:col>
      <xdr:colOff>12699</xdr:colOff>
      <xdr:row>0</xdr:row>
      <xdr:rowOff>172810</xdr:rowOff>
    </xdr:from>
    <xdr:to>
      <xdr:col>23</xdr:col>
      <xdr:colOff>12699</xdr:colOff>
      <xdr:row>4</xdr:row>
      <xdr:rowOff>217715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AF74A0-475B-44C1-B9C1-C956BADD1ACD}"/>
            </a:ext>
          </a:extLst>
        </xdr:cNvPr>
        <xdr:cNvSpPr/>
      </xdr:nvSpPr>
      <xdr:spPr>
        <a:xfrm>
          <a:off x="13324839" y="172810"/>
          <a:ext cx="3048000" cy="1378405"/>
        </a:xfrm>
        <a:prstGeom prst="rect">
          <a:avLst/>
        </a:prstGeom>
        <a:solidFill>
          <a:srgbClr val="BC1F36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2000" b="1">
              <a:latin typeface="FUTURA MEDIUM" panose="020B0602020204020303" pitchFamily="34" charset="-79"/>
              <a:cs typeface="FUTURA MEDIUM" panose="020B0602020204020303" pitchFamily="34" charset="-79"/>
            </a:rPr>
            <a:t>Click For</a:t>
          </a:r>
        </a:p>
        <a:p>
          <a:pPr algn="ctr"/>
          <a:r>
            <a:rPr lang="en-US" sz="2000" b="1">
              <a:latin typeface="FUTURA MEDIUM" panose="020B0602020204020303" pitchFamily="34" charset="-79"/>
              <a:cs typeface="FUTURA MEDIUM" panose="020B0602020204020303" pitchFamily="34" charset="-79"/>
            </a:rPr>
            <a:t>Video</a:t>
          </a:r>
          <a:r>
            <a:rPr lang="en-US" sz="2000" b="1" baseline="0">
              <a:latin typeface="FUTURA MEDIUM" panose="020B0602020204020303" pitchFamily="34" charset="-79"/>
              <a:cs typeface="FUTURA MEDIUM" panose="020B0602020204020303" pitchFamily="34" charset="-79"/>
            </a:rPr>
            <a:t> Walkthrough </a:t>
          </a:r>
          <a:endParaRPr lang="en-US" sz="1800" b="1">
            <a:latin typeface="FUTURA MEDIUM" panose="020B0602020204020303" pitchFamily="34" charset="-79"/>
            <a:cs typeface="FUTURA MEDIUM" panose="020B0602020204020303" pitchFamily="34" charset="-79"/>
          </a:endParaRPr>
        </a:p>
      </xdr:txBody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17</xdr:col>
      <xdr:colOff>0</xdr:colOff>
      <xdr:row>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EEF73F-7ECD-C74F-1BEA-63ECAF81A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84229" y="576943"/>
          <a:ext cx="2286000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0</xdr:colOff>
      <xdr:row>11</xdr:row>
      <xdr:rowOff>317383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717F59-0A89-4169-A0D1-9B5437194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486" y="1143000"/>
          <a:ext cx="9405257" cy="2984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gcapital-my.sharepoint.com/personal/emils_agcapital_onmicrosoft_com/Documents/Financial%20Modeling%20World%20Cup/MECC/MECC%202025/Cases/Regionals/Speed%20Run/Speed%20Challenge%20(David%20Brown)%20-%20MECC%20ASUS%20Case%20Explorer%202026%20-%20Speed%20Case%20-%20Varsity%20-%2005Jan2026.xlsm" TargetMode="External"/><Relationship Id="rId2" Type="http://schemas.microsoft.com/office/2019/04/relationships/externalLinkLongPath" Target="https://agcapital-my.sharepoint.com/personal/emils_agcapital_onmicrosoft_com/Documents/Financial%20Modeling%20World%20Cup/MECC/MECC%202025/Cases/Regionals/Speed%20Run/Speed%20Challenge%20(David%20Brown)%20-%20MECC%20ASUS%20Case%20Explorer%202026%20-%20Speed%20Case%20-%20Varsity%20-%2005Jan2026.xlsm?F43C72A4" TargetMode="External"/><Relationship Id="rId1" Type="http://schemas.openxmlformats.org/officeDocument/2006/relationships/externalLinkPath" Target="file:///\\F43C72A4\Speed%20Challenge%20(David%20Brown)%20-%20MECC%20ASUS%20Case%20Explorer%202026%20-%20Speed%20Case%20-%20Varsity%20-%2005Jan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ver"/>
      <sheetName val="Unblock Guide"/>
      <sheetName val="Start Tab"/>
      <sheetName val="Maze Tab"/>
      <sheetName val="Last Tab"/>
      <sheetName val="Progress &amp; Instructions"/>
      <sheetName val="Results"/>
      <sheetName val="BackgroundCalcs"/>
      <sheetName val="Time Grading"/>
      <sheetName val="Grading"/>
      <sheetName val="Outpu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2">
          <cell r="F2">
            <v>45775.612754629627</v>
          </cell>
          <cell r="S2">
            <v>3</v>
          </cell>
        </row>
        <row r="5">
          <cell r="D5" t="str">
            <v>MECC 2025 Regionals - Speed Challenge - Varsity</v>
          </cell>
        </row>
        <row r="29">
          <cell r="F29">
            <v>0.56788194442196982</v>
          </cell>
        </row>
      </sheetData>
      <sheetData sheetId="8" refreshError="1"/>
      <sheetData sheetId="9" refreshError="1"/>
      <sheetData sheetId="1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D4B0-9BF4-4864-BCAF-AAAB416FF4CE}">
  <sheetPr codeName="Sheet11">
    <tabColor rgb="FFBC1F36"/>
  </sheetPr>
  <dimension ref="A1:XX1000"/>
  <sheetViews>
    <sheetView showGridLines="0" topLeftCell="A6" zoomScale="70" zoomScaleNormal="70" zoomScaleSheetLayoutView="100" workbookViewId="0">
      <selection activeCell="B12" sqref="B12:L12"/>
    </sheetView>
  </sheetViews>
  <sheetFormatPr defaultColWidth="10.140625" defaultRowHeight="20.100000000000001" customHeight="1"/>
  <cols>
    <col min="1" max="1" width="5.42578125" style="151" customWidth="1"/>
    <col min="2" max="9" width="11.140625" style="153" customWidth="1"/>
    <col min="10" max="12" width="11.140625" style="151" customWidth="1"/>
    <col min="13" max="13" width="5.42578125" style="151" customWidth="1"/>
    <col min="14" max="18" width="11.140625" style="151" customWidth="1"/>
    <col min="19" max="19" width="5.42578125" style="151" customWidth="1"/>
    <col min="20" max="20" width="11.140625" style="151" customWidth="1"/>
    <col min="21" max="23" width="11.140625" style="154" customWidth="1"/>
    <col min="24" max="16384" width="10.140625" style="154"/>
  </cols>
  <sheetData>
    <row r="1" spans="2:24" ht="15" customHeight="1" thickBot="1">
      <c r="B1" s="151"/>
      <c r="C1" s="151"/>
      <c r="D1" s="151"/>
      <c r="E1" s="151"/>
      <c r="F1" s="151"/>
      <c r="G1" s="151"/>
      <c r="H1" s="151"/>
      <c r="I1" s="151"/>
      <c r="P1" s="152"/>
      <c r="Q1" s="153"/>
      <c r="R1" s="153"/>
    </row>
    <row r="2" spans="2:24" ht="30" customHeight="1" thickBot="1">
      <c r="B2" s="151"/>
      <c r="C2" s="151"/>
      <c r="D2" s="151"/>
      <c r="E2" s="151"/>
      <c r="F2" s="151"/>
      <c r="G2" s="151"/>
      <c r="H2" s="151"/>
      <c r="I2" s="151"/>
      <c r="O2" s="155" t="s">
        <v>186</v>
      </c>
      <c r="P2" s="156"/>
      <c r="Q2" s="157"/>
    </row>
    <row r="3" spans="2:24" ht="30" customHeight="1">
      <c r="B3" s="151"/>
      <c r="C3" s="151"/>
      <c r="D3" s="151"/>
      <c r="E3" s="151"/>
      <c r="F3" s="151"/>
      <c r="G3" s="151"/>
      <c r="H3" s="151"/>
      <c r="I3" s="151"/>
      <c r="O3" s="158"/>
      <c r="P3" s="159"/>
      <c r="Q3" s="160"/>
      <c r="T3" s="154"/>
      <c r="W3" s="151"/>
      <c r="X3" s="151"/>
    </row>
    <row r="4" spans="2:24" ht="30" customHeight="1">
      <c r="B4" s="151"/>
      <c r="C4" s="151"/>
      <c r="D4" s="151"/>
      <c r="E4" s="151"/>
      <c r="F4" s="151"/>
      <c r="G4" s="151"/>
      <c r="H4" s="151"/>
      <c r="I4" s="151"/>
      <c r="O4" s="158"/>
      <c r="P4" s="159"/>
      <c r="Q4" s="160"/>
      <c r="T4" s="154"/>
      <c r="W4" s="151"/>
    </row>
    <row r="5" spans="2:24" ht="30" customHeight="1">
      <c r="B5" s="151"/>
      <c r="C5" s="151"/>
      <c r="D5" s="151"/>
      <c r="E5" s="151"/>
      <c r="F5" s="151"/>
      <c r="G5" s="151"/>
      <c r="H5" s="151"/>
      <c r="I5" s="151"/>
      <c r="O5" s="158"/>
      <c r="P5" s="159"/>
      <c r="Q5" s="160"/>
      <c r="T5" s="154"/>
      <c r="W5" s="151"/>
    </row>
    <row r="6" spans="2:24" ht="30" customHeight="1">
      <c r="B6" s="151"/>
      <c r="C6" s="151"/>
      <c r="D6" s="151"/>
      <c r="E6" s="151"/>
      <c r="F6" s="151"/>
      <c r="G6" s="151"/>
      <c r="H6" s="151"/>
      <c r="I6" s="151"/>
      <c r="O6" s="158"/>
      <c r="P6" s="159"/>
      <c r="Q6" s="160"/>
      <c r="T6" s="175"/>
      <c r="U6" s="175"/>
      <c r="V6" s="175"/>
      <c r="W6" s="175"/>
      <c r="X6" s="151"/>
    </row>
    <row r="7" spans="2:24" ht="30" customHeight="1">
      <c r="B7" s="151"/>
      <c r="C7" s="151"/>
      <c r="D7" s="151"/>
      <c r="E7" s="151"/>
      <c r="F7" s="151"/>
      <c r="G7" s="151"/>
      <c r="H7" s="151"/>
      <c r="I7" s="151"/>
      <c r="O7" s="158"/>
      <c r="P7" s="159"/>
      <c r="Q7" s="160"/>
      <c r="T7" s="175"/>
      <c r="U7" s="175"/>
      <c r="V7" s="175"/>
      <c r="W7" s="175"/>
      <c r="X7" s="151"/>
    </row>
    <row r="8" spans="2:24" ht="30" customHeight="1" thickBot="1">
      <c r="B8" s="151"/>
      <c r="C8" s="151"/>
      <c r="D8" s="151"/>
      <c r="E8" s="151"/>
      <c r="F8" s="151"/>
      <c r="G8" s="151"/>
      <c r="H8" s="151"/>
      <c r="I8" s="151"/>
      <c r="O8" s="161"/>
      <c r="Q8" s="160"/>
      <c r="T8" s="175"/>
      <c r="U8" s="175"/>
      <c r="V8" s="175"/>
      <c r="W8" s="175"/>
      <c r="X8" s="151"/>
    </row>
    <row r="9" spans="2:24" ht="30" customHeight="1" thickBot="1">
      <c r="B9" s="162" t="s">
        <v>195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O9" s="155" t="s">
        <v>107</v>
      </c>
      <c r="P9" s="156"/>
      <c r="Q9" s="157"/>
      <c r="T9" s="175"/>
      <c r="U9" s="175"/>
      <c r="V9" s="175"/>
      <c r="W9" s="175"/>
    </row>
    <row r="10" spans="2:24" ht="15" customHeight="1" thickBot="1">
      <c r="B10" s="151"/>
      <c r="C10" s="151"/>
      <c r="D10" s="151"/>
      <c r="E10" s="151"/>
      <c r="F10" s="151"/>
      <c r="G10" s="151"/>
      <c r="H10" s="151"/>
      <c r="I10" s="151"/>
      <c r="O10" s="163"/>
      <c r="P10" s="163"/>
      <c r="T10" s="154"/>
      <c r="W10" s="151"/>
    </row>
    <row r="11" spans="2:24" ht="30" customHeight="1" thickBot="1">
      <c r="B11" s="164" t="s">
        <v>187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6"/>
      <c r="N11" s="164" t="s">
        <v>188</v>
      </c>
      <c r="O11" s="167"/>
      <c r="P11" s="167"/>
      <c r="Q11" s="167"/>
      <c r="R11" s="168"/>
      <c r="U11" s="151"/>
      <c r="V11" s="151"/>
      <c r="W11" s="151"/>
    </row>
    <row r="12" spans="2:24" ht="90" customHeight="1" thickBot="1">
      <c r="B12" s="176" t="s">
        <v>189</v>
      </c>
      <c r="C12" s="177"/>
      <c r="D12" s="177"/>
      <c r="E12" s="177"/>
      <c r="F12" s="177"/>
      <c r="G12" s="177"/>
      <c r="H12" s="177"/>
      <c r="I12" s="177"/>
      <c r="J12" s="177"/>
      <c r="K12" s="177"/>
      <c r="L12" s="178"/>
      <c r="N12" s="179" t="s">
        <v>190</v>
      </c>
      <c r="O12" s="180"/>
      <c r="P12" s="180"/>
      <c r="Q12" s="180"/>
      <c r="R12" s="181"/>
      <c r="S12" s="153"/>
      <c r="T12" s="154"/>
      <c r="W12" s="151"/>
    </row>
    <row r="13" spans="2:24" ht="15" customHeight="1" thickBot="1">
      <c r="B13" s="169"/>
      <c r="C13" s="170"/>
      <c r="D13" s="171"/>
      <c r="H13" s="154"/>
      <c r="I13" s="154"/>
      <c r="J13" s="154"/>
      <c r="N13" s="153"/>
      <c r="O13" s="153"/>
      <c r="P13" s="153"/>
      <c r="Q13" s="153"/>
      <c r="R13" s="153"/>
      <c r="S13" s="153"/>
      <c r="T13" s="153"/>
      <c r="U13" s="153"/>
      <c r="V13" s="151"/>
      <c r="W13" s="151"/>
    </row>
    <row r="14" spans="2:24" ht="30" customHeight="1" thickBot="1">
      <c r="B14" s="164" t="s">
        <v>191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6"/>
      <c r="N14" s="164" t="s">
        <v>192</v>
      </c>
      <c r="O14" s="165"/>
      <c r="P14" s="165"/>
      <c r="Q14" s="165"/>
      <c r="R14" s="166"/>
      <c r="U14" s="151"/>
      <c r="V14" s="151"/>
      <c r="W14" s="151"/>
      <c r="X14" s="151"/>
    </row>
    <row r="15" spans="2:24" ht="110.1" customHeight="1" thickBot="1">
      <c r="B15" s="182" t="s">
        <v>193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4"/>
      <c r="N15" s="179" t="s">
        <v>194</v>
      </c>
      <c r="O15" s="180"/>
      <c r="P15" s="180"/>
      <c r="Q15" s="180"/>
      <c r="R15" s="181"/>
      <c r="S15" s="153"/>
      <c r="T15" s="154"/>
      <c r="W15" s="151"/>
    </row>
    <row r="16" spans="2:24" ht="20.100000000000001" customHeight="1">
      <c r="X16" s="151"/>
    </row>
    <row r="17" spans="1:24" ht="30" customHeight="1">
      <c r="A17" s="154"/>
      <c r="B17" s="154"/>
      <c r="C17" s="154"/>
      <c r="D17" s="154"/>
      <c r="E17" s="154"/>
      <c r="F17" s="154"/>
      <c r="G17" s="154" t="e" vm="1">
        <v>#VALUE!</v>
      </c>
      <c r="H17" s="154"/>
      <c r="I17" s="154"/>
      <c r="J17" s="154"/>
      <c r="K17" s="154"/>
      <c r="L17" s="154"/>
      <c r="M17" s="154"/>
      <c r="R17" s="154"/>
      <c r="S17" s="154"/>
      <c r="T17" s="154"/>
      <c r="X17" s="151"/>
    </row>
    <row r="18" spans="1:24" ht="30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R18" s="154"/>
      <c r="S18" s="154"/>
      <c r="T18" s="154"/>
      <c r="X18" s="151"/>
    </row>
    <row r="19" spans="1:24" s="172" customFormat="1" ht="30" customHeight="1">
      <c r="N19" s="153"/>
      <c r="O19" s="153"/>
      <c r="P19" s="153"/>
      <c r="Q19" s="153"/>
      <c r="R19" s="153"/>
      <c r="S19" s="153"/>
      <c r="T19" s="153"/>
      <c r="U19" s="153"/>
      <c r="V19" s="151"/>
      <c r="W19" s="151"/>
      <c r="X19" s="151"/>
    </row>
    <row r="20" spans="1:24" ht="30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3"/>
      <c r="S20" s="153"/>
      <c r="T20" s="153"/>
    </row>
    <row r="21" spans="1:24" ht="30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3"/>
      <c r="S21" s="153"/>
      <c r="T21" s="153"/>
    </row>
    <row r="22" spans="1:24" ht="30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</row>
    <row r="23" spans="1:24" ht="30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24" ht="20.100000000000001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3"/>
      <c r="S24" s="153"/>
      <c r="T24" s="153"/>
    </row>
    <row r="25" spans="1:24" ht="30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</row>
    <row r="26" spans="1:24" ht="89.4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3"/>
      <c r="S26" s="153"/>
      <c r="T26" s="153"/>
    </row>
    <row r="28" spans="1:24" ht="30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24" ht="86.4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24" ht="20.100000000000001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2" spans="1:24" ht="20.100000000000001" customHeight="1">
      <c r="B32" s="151"/>
      <c r="C32" s="151"/>
      <c r="D32" s="151"/>
      <c r="E32" s="151"/>
      <c r="F32" s="151"/>
      <c r="G32" s="151"/>
      <c r="H32" s="151"/>
      <c r="I32" s="151"/>
      <c r="P32" s="152"/>
      <c r="Q32" s="153"/>
      <c r="R32" s="153"/>
    </row>
    <row r="34" spans="2:20" ht="20.100000000000001" customHeight="1">
      <c r="B34" s="173"/>
      <c r="C34" s="170"/>
      <c r="H34" s="154"/>
      <c r="I34" s="154"/>
      <c r="J34" s="154"/>
      <c r="K34" s="154"/>
      <c r="M34" s="154"/>
      <c r="N34" s="154"/>
      <c r="O34" s="154"/>
      <c r="P34" s="154"/>
      <c r="Q34" s="154"/>
      <c r="R34" s="153"/>
      <c r="S34" s="153"/>
      <c r="T34" s="153"/>
    </row>
    <row r="35" spans="2:20" ht="20.100000000000001" customHeight="1">
      <c r="B35" s="169"/>
      <c r="C35" s="170"/>
      <c r="H35" s="154"/>
      <c r="I35" s="154"/>
      <c r="J35" s="154"/>
      <c r="K35" s="154"/>
      <c r="M35" s="154"/>
      <c r="N35" s="154"/>
      <c r="O35" s="154"/>
      <c r="P35" s="154"/>
      <c r="Q35" s="154"/>
      <c r="R35" s="153"/>
      <c r="S35" s="153"/>
      <c r="T35" s="153"/>
    </row>
    <row r="36" spans="2:20" ht="20.100000000000001" customHeight="1">
      <c r="B36" s="169"/>
      <c r="C36" s="170"/>
      <c r="H36" s="154"/>
      <c r="I36" s="154"/>
      <c r="J36" s="154"/>
      <c r="K36" s="154"/>
      <c r="M36" s="154"/>
      <c r="N36" s="154"/>
      <c r="O36" s="154"/>
      <c r="P36" s="154"/>
      <c r="Q36" s="154"/>
      <c r="R36" s="153"/>
      <c r="S36" s="153"/>
      <c r="T36" s="153"/>
    </row>
    <row r="37" spans="2:20" ht="20.100000000000001" customHeight="1">
      <c r="B37" s="169"/>
      <c r="C37" s="170"/>
      <c r="D37" s="171"/>
      <c r="H37" s="154"/>
      <c r="I37" s="154"/>
      <c r="J37" s="154"/>
      <c r="K37" s="154"/>
      <c r="M37" s="154"/>
      <c r="N37" s="154"/>
      <c r="O37" s="154"/>
      <c r="P37" s="154"/>
      <c r="Q37" s="154"/>
      <c r="R37" s="153"/>
      <c r="S37" s="153"/>
      <c r="T37" s="153"/>
    </row>
    <row r="1000" spans="648:648" ht="15">
      <c r="XX1000" s="174">
        <v>125713</v>
      </c>
    </row>
  </sheetData>
  <mergeCells count="5">
    <mergeCell ref="T6:W9"/>
    <mergeCell ref="B12:L12"/>
    <mergeCell ref="N12:R12"/>
    <mergeCell ref="B15:L15"/>
    <mergeCell ref="N15:R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34E9-FAF6-465F-B679-40B961CB4433}">
  <sheetPr codeName="Sheet1">
    <tabColor rgb="FFBC1F36"/>
  </sheetPr>
  <dimension ref="A2:XX1000"/>
  <sheetViews>
    <sheetView showGridLines="0" tabSelected="1" topLeftCell="A28" zoomScale="70" zoomScaleNormal="70" workbookViewId="0">
      <selection activeCell="E30" sqref="E30"/>
    </sheetView>
  </sheetViews>
  <sheetFormatPr defaultColWidth="8.85546875" defaultRowHeight="15"/>
  <cols>
    <col min="1" max="1" width="3.42578125" style="23" customWidth="1"/>
    <col min="2" max="4" width="14.140625" style="25" customWidth="1"/>
    <col min="5" max="5" width="30.42578125" style="25" customWidth="1"/>
    <col min="6" max="6" width="4.42578125" style="25" customWidth="1"/>
    <col min="7" max="9" width="19.7109375" style="25" customWidth="1"/>
    <col min="10" max="30" width="19.7109375" style="23" customWidth="1"/>
    <col min="31" max="243" width="8.42578125" style="23" customWidth="1"/>
    <col min="244" max="516" width="8.42578125" style="24" customWidth="1"/>
    <col min="517" max="2524" width="8.85546875" style="24"/>
    <col min="2525" max="2525" width="10.85546875" style="24" customWidth="1"/>
    <col min="2526" max="2526" width="8.85546875" style="24"/>
    <col min="2527" max="2527" width="11.7109375" style="24" customWidth="1"/>
    <col min="2528" max="16384" width="8.85546875" style="24"/>
  </cols>
  <sheetData>
    <row r="2" spans="2:13" ht="30" customHeight="1">
      <c r="B2" s="40" t="s">
        <v>196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15" customHeight="1">
      <c r="B3" s="23"/>
      <c r="C3" s="23"/>
      <c r="D3" s="23"/>
      <c r="E3" s="23"/>
      <c r="F3" s="23"/>
      <c r="G3" s="23"/>
      <c r="H3" s="23"/>
      <c r="I3" s="23"/>
    </row>
    <row r="4" spans="2:13" ht="30" customHeight="1">
      <c r="B4" s="41" t="s">
        <v>139</v>
      </c>
      <c r="C4" s="41"/>
      <c r="D4" s="41"/>
      <c r="E4" s="41"/>
      <c r="F4" s="41"/>
      <c r="G4" s="41"/>
      <c r="H4" s="41"/>
      <c r="I4" s="41"/>
      <c r="J4" s="44"/>
      <c r="K4" s="44"/>
      <c r="L4" s="42" t="s">
        <v>99</v>
      </c>
      <c r="M4" s="42"/>
    </row>
    <row r="5" spans="2:13" ht="30" customHeight="1">
      <c r="B5" s="43"/>
      <c r="C5" s="43"/>
      <c r="D5" s="43"/>
      <c r="E5" s="46"/>
      <c r="F5" s="43"/>
      <c r="G5" s="43"/>
      <c r="H5" s="43"/>
      <c r="I5" s="43"/>
      <c r="J5" s="43"/>
      <c r="K5" s="44"/>
      <c r="L5" s="53" t="s">
        <v>107</v>
      </c>
      <c r="M5" s="53"/>
    </row>
    <row r="6" spans="2:13" ht="30" customHeight="1">
      <c r="B6" s="43"/>
      <c r="C6" s="43"/>
      <c r="D6" s="43"/>
      <c r="E6" s="46"/>
      <c r="F6" s="43"/>
      <c r="G6" s="43"/>
      <c r="H6" s="43"/>
      <c r="I6" s="43"/>
      <c r="J6" s="43"/>
      <c r="K6" s="44"/>
      <c r="L6" s="43"/>
      <c r="M6" s="43"/>
    </row>
    <row r="7" spans="2:13" ht="30" customHeight="1">
      <c r="B7" s="43"/>
      <c r="C7" s="43"/>
      <c r="D7" s="43"/>
      <c r="E7" s="46"/>
      <c r="F7" s="43"/>
      <c r="G7" s="43"/>
      <c r="H7" s="43"/>
      <c r="I7" s="43"/>
      <c r="J7" s="43"/>
      <c r="K7" s="44"/>
      <c r="L7" s="42" t="s">
        <v>100</v>
      </c>
      <c r="M7" s="42"/>
    </row>
    <row r="8" spans="2:13" ht="30" customHeight="1">
      <c r="B8" s="43"/>
      <c r="C8" s="43"/>
      <c r="D8" s="43"/>
      <c r="E8" s="46"/>
      <c r="F8" s="43"/>
      <c r="G8" s="43"/>
      <c r="H8" s="43"/>
      <c r="I8" s="43"/>
      <c r="J8" s="43"/>
      <c r="K8" s="44"/>
      <c r="L8" s="54" t="s">
        <v>101</v>
      </c>
      <c r="M8" s="54"/>
    </row>
    <row r="9" spans="2:13" ht="30" customHeight="1">
      <c r="B9" s="43"/>
      <c r="C9" s="43"/>
      <c r="D9" s="43"/>
      <c r="E9" s="46"/>
      <c r="F9" s="43"/>
      <c r="G9" s="43"/>
      <c r="H9" s="43"/>
      <c r="I9" s="43"/>
      <c r="J9" s="43"/>
      <c r="K9" s="44"/>
      <c r="L9" s="54" t="s">
        <v>102</v>
      </c>
      <c r="M9" s="54"/>
    </row>
    <row r="10" spans="2:13" ht="30" customHeight="1">
      <c r="B10" s="43"/>
      <c r="C10" s="43"/>
      <c r="D10" s="43"/>
      <c r="E10" s="46"/>
      <c r="F10" s="43"/>
      <c r="G10" s="43"/>
      <c r="H10" s="43"/>
      <c r="I10" s="43"/>
      <c r="J10" s="43"/>
      <c r="K10" s="44"/>
      <c r="L10" s="54" t="s">
        <v>122</v>
      </c>
      <c r="M10" s="54"/>
    </row>
    <row r="11" spans="2:13" ht="30" customHeight="1">
      <c r="B11" s="43"/>
      <c r="C11" s="43"/>
      <c r="D11" s="43"/>
      <c r="E11" s="46"/>
      <c r="F11" s="43"/>
      <c r="G11" s="43"/>
      <c r="H11" s="43"/>
      <c r="I11" s="43"/>
      <c r="J11" s="43"/>
      <c r="K11" s="44"/>
      <c r="L11" s="54" t="s">
        <v>123</v>
      </c>
      <c r="M11" s="54"/>
    </row>
    <row r="12" spans="2:13" ht="30" customHeight="1">
      <c r="B12" s="43"/>
      <c r="C12" s="43"/>
      <c r="D12" s="43"/>
      <c r="E12" s="46"/>
      <c r="F12" s="43"/>
      <c r="G12" s="43"/>
      <c r="H12" s="43"/>
      <c r="I12" s="43"/>
      <c r="J12" s="43"/>
      <c r="K12" s="44"/>
      <c r="L12" s="44"/>
    </row>
    <row r="13" spans="2:13" ht="15" customHeight="1">
      <c r="B13" s="43"/>
      <c r="C13" s="43"/>
      <c r="D13" s="43"/>
      <c r="E13" s="46"/>
      <c r="F13" s="43"/>
      <c r="G13" s="43"/>
      <c r="H13" s="43"/>
      <c r="I13" s="43"/>
      <c r="J13" s="43"/>
      <c r="K13" s="45"/>
      <c r="L13" s="45"/>
    </row>
    <row r="14" spans="2:13" ht="30" customHeight="1">
      <c r="B14" s="47" t="s">
        <v>103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2:13" ht="15" customHeight="1">
      <c r="B15" s="61" t="s">
        <v>30</v>
      </c>
      <c r="C15" s="57"/>
      <c r="D15" s="58"/>
      <c r="E15" s="58"/>
      <c r="F15" s="58"/>
      <c r="G15" s="58"/>
      <c r="H15" s="59"/>
      <c r="I15" s="59"/>
      <c r="J15" s="59"/>
      <c r="K15" s="59"/>
      <c r="L15" s="59"/>
      <c r="M15" s="128"/>
    </row>
    <row r="16" spans="2:13" ht="15" customHeight="1">
      <c r="B16" s="62" t="s">
        <v>31</v>
      </c>
      <c r="C16" s="26"/>
      <c r="H16" s="24"/>
      <c r="I16" s="24"/>
      <c r="J16" s="24"/>
      <c r="K16" s="24"/>
      <c r="L16" s="24"/>
      <c r="M16" s="129"/>
    </row>
    <row r="17" spans="2:19" ht="15" customHeight="1">
      <c r="B17" s="62" t="s">
        <v>108</v>
      </c>
      <c r="C17" s="26"/>
      <c r="M17" s="129"/>
    </row>
    <row r="18" spans="2:19" ht="15" customHeight="1">
      <c r="B18" s="60"/>
      <c r="C18" s="55"/>
      <c r="D18" s="56"/>
      <c r="E18" s="56"/>
      <c r="F18" s="56"/>
      <c r="G18" s="56"/>
      <c r="H18" s="56"/>
      <c r="I18" s="56"/>
      <c r="J18" s="130"/>
      <c r="K18" s="130"/>
      <c r="L18" s="130"/>
      <c r="M18" s="131"/>
    </row>
    <row r="19" spans="2:19" ht="15" customHeight="1">
      <c r="B19" s="26"/>
      <c r="C19" s="23"/>
      <c r="D19" s="23"/>
      <c r="E19" s="23"/>
      <c r="F19" s="23"/>
      <c r="G19" s="23"/>
    </row>
    <row r="20" spans="2:19" ht="30" customHeight="1">
      <c r="B20" s="48" t="s">
        <v>104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2:19" ht="15" customHeight="1">
      <c r="B21" s="26"/>
      <c r="C21" s="23"/>
      <c r="D21" s="23"/>
      <c r="E21" s="23"/>
      <c r="F21" s="23"/>
      <c r="G21" s="23"/>
      <c r="H21" s="23"/>
      <c r="I21" s="23"/>
    </row>
    <row r="22" spans="2:19" ht="15" customHeight="1">
      <c r="B22" s="34" t="s">
        <v>141</v>
      </c>
      <c r="J22" s="25"/>
      <c r="K22" s="25"/>
      <c r="L22" s="25"/>
      <c r="M22" s="25"/>
    </row>
    <row r="23" spans="2:19" ht="15" customHeight="1" thickBot="1">
      <c r="B23" s="27"/>
      <c r="G23" s="28"/>
      <c r="H23" s="28"/>
      <c r="I23" s="28"/>
      <c r="J23" s="28"/>
      <c r="K23" s="28"/>
      <c r="L23" s="28"/>
      <c r="M23" s="28"/>
    </row>
    <row r="24" spans="2:19" ht="30" customHeight="1" thickBot="1">
      <c r="B24" s="49" t="s">
        <v>106</v>
      </c>
      <c r="C24" s="50" t="s">
        <v>4</v>
      </c>
      <c r="D24" s="49" t="s">
        <v>5</v>
      </c>
      <c r="E24" s="49" t="s">
        <v>6</v>
      </c>
      <c r="F24" s="51"/>
      <c r="G24" s="52" t="s">
        <v>104</v>
      </c>
      <c r="H24" s="52"/>
      <c r="I24" s="52"/>
      <c r="J24" s="52"/>
      <c r="K24" s="52"/>
      <c r="L24" s="52"/>
      <c r="M24" s="52"/>
    </row>
    <row r="25" spans="2:19" ht="30" customHeight="1">
      <c r="B25" s="63" t="s">
        <v>7</v>
      </c>
      <c r="C25" s="63" t="s">
        <v>32</v>
      </c>
      <c r="D25" s="64">
        <v>30</v>
      </c>
      <c r="E25" s="65">
        <f>COUNTIF('Scene (Numbered)'!B2:U27,0)</f>
        <v>40</v>
      </c>
      <c r="F25" s="51"/>
      <c r="G25" s="132" t="s">
        <v>121</v>
      </c>
      <c r="H25" s="133"/>
      <c r="I25" s="133"/>
      <c r="J25" s="133"/>
      <c r="K25" s="133"/>
      <c r="L25" s="133"/>
      <c r="M25" s="134"/>
    </row>
    <row r="26" spans="2:19" ht="30" customHeight="1">
      <c r="B26" s="66" t="s">
        <v>8</v>
      </c>
      <c r="C26" s="63" t="s">
        <v>32</v>
      </c>
      <c r="D26" s="67">
        <v>40</v>
      </c>
      <c r="E26" s="68">
        <v>98</v>
      </c>
      <c r="F26" s="51"/>
      <c r="G26" s="69" t="s">
        <v>136</v>
      </c>
      <c r="H26" s="135"/>
      <c r="I26" s="135"/>
      <c r="J26" s="135"/>
      <c r="K26" s="135"/>
      <c r="L26" s="135"/>
      <c r="M26" s="136"/>
    </row>
    <row r="27" spans="2:19" ht="30" customHeight="1">
      <c r="B27" s="66" t="s">
        <v>9</v>
      </c>
      <c r="C27" s="63">
        <v>7</v>
      </c>
      <c r="D27" s="67">
        <v>50</v>
      </c>
      <c r="E27" s="70">
        <f ca="1">COUNTIF(J279:J298,1)</f>
        <v>11</v>
      </c>
      <c r="F27" s="51"/>
      <c r="G27" s="120" t="s">
        <v>137</v>
      </c>
      <c r="H27" s="137"/>
      <c r="I27" s="137"/>
      <c r="J27" s="137"/>
      <c r="K27" s="137"/>
      <c r="L27" s="137"/>
      <c r="M27" s="138"/>
    </row>
    <row r="28" spans="2:19" ht="30" customHeight="1">
      <c r="B28" s="66" t="s">
        <v>10</v>
      </c>
      <c r="C28" s="121" t="s">
        <v>140</v>
      </c>
      <c r="D28" s="67">
        <v>60</v>
      </c>
      <c r="E28" s="70">
        <v>26</v>
      </c>
      <c r="F28" s="51"/>
      <c r="G28" s="120" t="s">
        <v>182</v>
      </c>
      <c r="H28" s="137"/>
      <c r="I28" s="137"/>
      <c r="J28" s="137"/>
      <c r="K28" s="137"/>
      <c r="L28" s="137"/>
      <c r="M28" s="138"/>
      <c r="O28" s="23" t="str" cm="1">
        <f t="array" ref="O28:O127">_xlfn.REGEXEXTRACT(_xlfn.VSTACK(G121:G140,G157:G176,G197:G216,G237:G256,G279:G298),"\d+")</f>
        <v>17</v>
      </c>
      <c r="P28" s="23" t="str" cm="1">
        <f t="array" ref="P28:Q52">_xlfn.GROUPBY(_xlfn.ANCHORARRAY(O28),_xlfn.ANCHORARRAY(O28),_xleta.COUNTA,0,0,-2)</f>
        <v>26</v>
      </c>
      <c r="Q28" s="23">
        <v>9</v>
      </c>
      <c r="S28" s="23" cm="1">
        <f t="array" ref="S28">SUM(--_xlfn.REGEXEXTRACT(_xlfn.VSTACK(G48:G67,G84:G103,G121:G140,G157:G176,G197:G216,G237:G256),"\d+"))</f>
        <v>1712</v>
      </c>
    </row>
    <row r="29" spans="2:19" ht="30" customHeight="1">
      <c r="B29" s="66" t="s">
        <v>11</v>
      </c>
      <c r="C29" s="63">
        <v>7</v>
      </c>
      <c r="D29" s="67">
        <v>70</v>
      </c>
      <c r="E29" s="68" cm="1">
        <f t="array" aca="1" ref="E29" ca="1">SUM(--_xlfn.REGEXEXTRACT(E279:E298,"\d+"))</f>
        <v>271</v>
      </c>
      <c r="F29" s="51"/>
      <c r="G29" s="69" t="s">
        <v>138</v>
      </c>
      <c r="H29" s="135"/>
      <c r="I29" s="135"/>
      <c r="J29" s="135"/>
      <c r="K29" s="135"/>
      <c r="L29" s="135"/>
      <c r="M29" s="136"/>
      <c r="O29" s="23" t="str">
        <v>6</v>
      </c>
      <c r="P29" s="23" t="str">
        <v>12</v>
      </c>
      <c r="Q29" s="23">
        <v>6</v>
      </c>
    </row>
    <row r="30" spans="2:19" ht="15" customHeight="1">
      <c r="B30" s="26"/>
      <c r="C30" s="23"/>
      <c r="D30" s="23"/>
      <c r="E30" s="23"/>
      <c r="F30" s="23"/>
      <c r="G30" s="23"/>
      <c r="O30" s="23" t="str">
        <v>5</v>
      </c>
      <c r="P30" s="23" t="str">
        <v>17</v>
      </c>
      <c r="Q30" s="23">
        <v>6</v>
      </c>
    </row>
    <row r="31" spans="2:19" ht="30" customHeight="1">
      <c r="B31" s="48" t="s">
        <v>105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O31" s="23" t="str">
        <v>11</v>
      </c>
      <c r="P31" s="23" t="str">
        <v>22</v>
      </c>
      <c r="Q31" s="23">
        <v>6</v>
      </c>
    </row>
    <row r="32" spans="2:19">
      <c r="O32" s="23" t="str">
        <v>26</v>
      </c>
      <c r="P32" s="23" t="str">
        <v>6</v>
      </c>
      <c r="Q32" s="23">
        <v>6</v>
      </c>
    </row>
    <row r="33" spans="2:17" ht="22.5" customHeight="1" thickBot="1">
      <c r="B33" s="139" t="s">
        <v>12</v>
      </c>
      <c r="C33" s="35" t="s">
        <v>13</v>
      </c>
      <c r="D33" s="79" t="s">
        <v>125</v>
      </c>
      <c r="G33" s="23"/>
      <c r="O33" s="23" t="str">
        <v>26</v>
      </c>
      <c r="P33" s="23" t="str">
        <v>10</v>
      </c>
      <c r="Q33" s="23">
        <v>5</v>
      </c>
    </row>
    <row r="34" spans="2:17" s="74" customFormat="1" ht="15" customHeight="1">
      <c r="B34" s="73"/>
      <c r="C34" s="73"/>
      <c r="D34" s="73"/>
      <c r="E34" s="73"/>
      <c r="F34" s="73"/>
      <c r="G34" s="72"/>
      <c r="O34" s="74" t="str">
        <v>6</v>
      </c>
      <c r="P34" s="74" t="str">
        <v>13</v>
      </c>
      <c r="Q34" s="74">
        <v>5</v>
      </c>
    </row>
    <row r="35" spans="2:17" s="74" customFormat="1" ht="15" customHeight="1">
      <c r="B35" s="71" t="s">
        <v>124</v>
      </c>
      <c r="C35" s="75"/>
      <c r="D35" s="73"/>
      <c r="E35" s="73"/>
      <c r="F35" s="73"/>
      <c r="G35" s="72"/>
      <c r="O35" s="74" t="str">
        <v>16</v>
      </c>
      <c r="P35" s="74" t="str">
        <v>2</v>
      </c>
      <c r="Q35" s="74">
        <v>5</v>
      </c>
    </row>
    <row r="36" spans="2:17" s="74" customFormat="1" ht="15" customHeight="1">
      <c r="B36" s="73"/>
      <c r="C36" s="73"/>
      <c r="D36" s="73"/>
      <c r="E36" s="73"/>
      <c r="F36" s="73"/>
      <c r="G36" s="72"/>
      <c r="O36" s="74" t="str">
        <v>21</v>
      </c>
      <c r="P36" s="74" t="str">
        <v>5</v>
      </c>
      <c r="Q36" s="74">
        <v>5</v>
      </c>
    </row>
    <row r="37" spans="2:17" s="74" customFormat="1" ht="15" customHeight="1">
      <c r="B37" s="71" t="s">
        <v>142</v>
      </c>
      <c r="C37" s="73"/>
      <c r="D37" s="73"/>
      <c r="E37" s="73"/>
      <c r="F37" s="73"/>
      <c r="G37" s="72"/>
      <c r="O37" s="74" t="str">
        <v>18</v>
      </c>
      <c r="P37" s="74" t="str">
        <v>9</v>
      </c>
      <c r="Q37" s="74">
        <v>5</v>
      </c>
    </row>
    <row r="38" spans="2:17" s="74" customFormat="1" ht="15" customHeight="1">
      <c r="C38" s="77"/>
      <c r="D38" s="73"/>
      <c r="E38" s="73"/>
      <c r="F38" s="73"/>
      <c r="G38" s="72"/>
      <c r="O38" s="74" t="str">
        <v>10</v>
      </c>
      <c r="P38" s="74" t="str">
        <v>16</v>
      </c>
      <c r="Q38" s="74">
        <v>4</v>
      </c>
    </row>
    <row r="39" spans="2:17" s="74" customFormat="1" ht="15" customHeight="1">
      <c r="B39" s="114" t="s">
        <v>132</v>
      </c>
      <c r="C39" s="73"/>
      <c r="D39" s="73"/>
      <c r="E39" s="73"/>
      <c r="F39" s="73"/>
      <c r="G39" s="72"/>
      <c r="O39" s="74" t="str">
        <v>12</v>
      </c>
      <c r="P39" s="74" t="str">
        <v>21</v>
      </c>
      <c r="Q39" s="74">
        <v>4</v>
      </c>
    </row>
    <row r="40" spans="2:17" s="74" customFormat="1" ht="15" customHeight="1">
      <c r="B40" s="122" t="s">
        <v>143</v>
      </c>
      <c r="C40" s="76"/>
      <c r="D40" s="73"/>
      <c r="E40" s="73"/>
      <c r="F40" s="73"/>
      <c r="G40" s="72"/>
      <c r="O40" s="74" t="str">
        <v>2</v>
      </c>
      <c r="P40" s="74" t="str">
        <v>25</v>
      </c>
      <c r="Q40" s="74">
        <v>4</v>
      </c>
    </row>
    <row r="41" spans="2:17" s="74" customFormat="1" ht="15" customHeight="1">
      <c r="B41" s="122" t="s">
        <v>144</v>
      </c>
      <c r="C41" s="76"/>
      <c r="D41" s="73"/>
      <c r="E41" s="73"/>
      <c r="F41" s="73"/>
      <c r="G41" s="72"/>
      <c r="O41" s="74" t="str">
        <v>5</v>
      </c>
      <c r="P41" s="74" t="str">
        <v>8</v>
      </c>
      <c r="Q41" s="74">
        <v>4</v>
      </c>
    </row>
    <row r="42" spans="2:17" s="74" customFormat="1" ht="15" customHeight="1">
      <c r="B42" s="122" t="s">
        <v>145</v>
      </c>
      <c r="C42" s="76"/>
      <c r="D42" s="73"/>
      <c r="E42" s="73"/>
      <c r="F42" s="73"/>
      <c r="G42" s="72"/>
      <c r="O42" s="74" t="str">
        <v>22</v>
      </c>
      <c r="P42" s="74" t="str">
        <v>11</v>
      </c>
      <c r="Q42" s="74">
        <v>3</v>
      </c>
    </row>
    <row r="43" spans="2:17" s="74" customFormat="1" ht="15" customHeight="1" thickBot="1">
      <c r="B43" s="71"/>
      <c r="C43" s="73"/>
      <c r="D43" s="73"/>
      <c r="E43" s="73"/>
      <c r="F43" s="73"/>
      <c r="G43" s="72"/>
      <c r="O43" s="74" t="str">
        <v>26</v>
      </c>
      <c r="P43" s="74" t="str">
        <v>14</v>
      </c>
      <c r="Q43" s="74">
        <v>3</v>
      </c>
    </row>
    <row r="44" spans="2:17" s="74" customFormat="1" ht="22.5" customHeight="1" thickBot="1">
      <c r="B44" s="115" t="s">
        <v>3</v>
      </c>
      <c r="C44" s="116" t="s">
        <v>14</v>
      </c>
      <c r="D44" s="117" t="s">
        <v>5</v>
      </c>
      <c r="E44" s="118" t="s">
        <v>6</v>
      </c>
      <c r="F44" s="73"/>
      <c r="G44" s="116" t="s">
        <v>27</v>
      </c>
      <c r="O44" s="74" t="str">
        <v>14</v>
      </c>
      <c r="P44" s="74" t="str">
        <v>19</v>
      </c>
      <c r="Q44" s="74">
        <v>3</v>
      </c>
    </row>
    <row r="45" spans="2:17" ht="15" customHeight="1">
      <c r="B45" s="23"/>
      <c r="C45" s="23"/>
      <c r="D45" s="23"/>
      <c r="E45" s="23"/>
      <c r="G45" s="24"/>
      <c r="O45" s="23" t="str">
        <v>13</v>
      </c>
      <c r="P45" s="23" t="str">
        <v>3</v>
      </c>
      <c r="Q45" s="23">
        <v>3</v>
      </c>
    </row>
    <row r="46" spans="2:17" ht="22.5" customHeight="1">
      <c r="B46" s="31" t="s">
        <v>15</v>
      </c>
      <c r="C46" s="29">
        <v>1</v>
      </c>
      <c r="D46" s="30">
        <v>0</v>
      </c>
      <c r="E46" s="90">
        <v>19</v>
      </c>
      <c r="G46" s="32">
        <v>13</v>
      </c>
      <c r="O46" s="23" t="str">
        <v>13</v>
      </c>
      <c r="P46" s="23" t="str">
        <v>4</v>
      </c>
      <c r="Q46" s="23">
        <v>3</v>
      </c>
    </row>
    <row r="47" spans="2:17" ht="15" customHeight="1">
      <c r="B47" s="23"/>
      <c r="C47" s="23"/>
      <c r="D47" s="23"/>
      <c r="E47" s="23"/>
      <c r="O47" s="23" t="str">
        <v>2</v>
      </c>
      <c r="P47" s="23" t="str">
        <v>18</v>
      </c>
      <c r="Q47" s="23">
        <v>2</v>
      </c>
    </row>
    <row r="48" spans="2:17" ht="22.5" customHeight="1">
      <c r="B48" s="31">
        <v>1</v>
      </c>
      <c r="C48" s="31">
        <v>1</v>
      </c>
      <c r="D48" s="30">
        <v>4</v>
      </c>
      <c r="E48" s="90" cm="1">
        <f t="array" ref="E48:E67">_xlfn.BYROW(_xlfn.CHOOSEROWS(sceneNumbered,G48:G67),_xleta.SUM)</f>
        <v>18</v>
      </c>
      <c r="G48" s="32">
        <v>10</v>
      </c>
      <c r="O48" s="23" t="str">
        <v>23</v>
      </c>
      <c r="P48" s="23" t="str">
        <v>20</v>
      </c>
      <c r="Q48" s="23">
        <v>2</v>
      </c>
    </row>
    <row r="49" spans="2:17" ht="22.5" customHeight="1">
      <c r="B49" s="31">
        <f>B48+1</f>
        <v>2</v>
      </c>
      <c r="C49" s="31">
        <v>1</v>
      </c>
      <c r="D49" s="30">
        <v>4</v>
      </c>
      <c r="E49" s="90">
        <v>16</v>
      </c>
      <c r="G49" s="32">
        <v>18</v>
      </c>
      <c r="O49" s="23" t="str">
        <v>19</v>
      </c>
      <c r="P49" s="23" t="str">
        <v>23</v>
      </c>
      <c r="Q49" s="23">
        <v>2</v>
      </c>
    </row>
    <row r="50" spans="2:17" ht="22.5" customHeight="1">
      <c r="B50" s="31">
        <f>B49+1</f>
        <v>3</v>
      </c>
      <c r="C50" s="31">
        <v>1</v>
      </c>
      <c r="D50" s="30">
        <v>4</v>
      </c>
      <c r="E50" s="90">
        <v>24</v>
      </c>
      <c r="G50" s="32">
        <v>25</v>
      </c>
      <c r="O50" s="23" t="str">
        <v>2</v>
      </c>
      <c r="P50" s="23" t="str">
        <v>24</v>
      </c>
      <c r="Q50" s="23">
        <v>2</v>
      </c>
    </row>
    <row r="51" spans="2:17" ht="22.5" customHeight="1">
      <c r="B51" s="31">
        <f t="shared" ref="B51:B67" si="0">B50+1</f>
        <v>4</v>
      </c>
      <c r="C51" s="31">
        <v>1</v>
      </c>
      <c r="D51" s="30">
        <v>4</v>
      </c>
      <c r="E51" s="90">
        <v>20</v>
      </c>
      <c r="G51" s="32">
        <v>2</v>
      </c>
      <c r="O51" s="23" t="str">
        <v>22</v>
      </c>
      <c r="P51" s="23" t="str">
        <v>7</v>
      </c>
      <c r="Q51" s="23">
        <v>2</v>
      </c>
    </row>
    <row r="52" spans="2:17" ht="22.5" customHeight="1">
      <c r="B52" s="31">
        <f t="shared" si="0"/>
        <v>5</v>
      </c>
      <c r="C52" s="31">
        <v>1</v>
      </c>
      <c r="D52" s="30">
        <v>4</v>
      </c>
      <c r="E52" s="90">
        <v>20</v>
      </c>
      <c r="G52" s="32">
        <v>15</v>
      </c>
      <c r="O52" s="23" t="str">
        <v>20</v>
      </c>
      <c r="P52" s="23" t="str">
        <v>15</v>
      </c>
      <c r="Q52" s="23">
        <v>1</v>
      </c>
    </row>
    <row r="53" spans="2:17" ht="22.5" customHeight="1">
      <c r="B53" s="31">
        <f t="shared" si="0"/>
        <v>6</v>
      </c>
      <c r="C53" s="31">
        <v>1</v>
      </c>
      <c r="D53" s="30">
        <v>4</v>
      </c>
      <c r="E53" s="90">
        <v>19</v>
      </c>
      <c r="G53" s="32">
        <v>3</v>
      </c>
      <c r="O53" s="23" t="str">
        <v>19</v>
      </c>
    </row>
    <row r="54" spans="2:17" ht="22.5" customHeight="1">
      <c r="B54" s="31">
        <f t="shared" si="0"/>
        <v>7</v>
      </c>
      <c r="C54" s="31">
        <v>1</v>
      </c>
      <c r="D54" s="30">
        <v>4</v>
      </c>
      <c r="E54" s="90">
        <v>18</v>
      </c>
      <c r="G54" s="32">
        <v>16</v>
      </c>
      <c r="O54" s="23" t="str">
        <v>7</v>
      </c>
    </row>
    <row r="55" spans="2:17" ht="22.5" customHeight="1">
      <c r="B55" s="31">
        <f t="shared" si="0"/>
        <v>8</v>
      </c>
      <c r="C55" s="31">
        <v>1</v>
      </c>
      <c r="D55" s="30">
        <v>4</v>
      </c>
      <c r="E55" s="90">
        <v>15</v>
      </c>
      <c r="G55" s="32">
        <v>4</v>
      </c>
      <c r="O55" s="23" t="str">
        <v>22</v>
      </c>
    </row>
    <row r="56" spans="2:17" ht="22.5" customHeight="1">
      <c r="B56" s="31">
        <f t="shared" si="0"/>
        <v>9</v>
      </c>
      <c r="C56" s="31">
        <v>1</v>
      </c>
      <c r="D56" s="30">
        <v>4</v>
      </c>
      <c r="E56" s="90">
        <v>16</v>
      </c>
      <c r="G56" s="32">
        <v>11</v>
      </c>
      <c r="O56" s="23" t="str">
        <v>9</v>
      </c>
    </row>
    <row r="57" spans="2:17" ht="22.5" customHeight="1">
      <c r="B57" s="31">
        <f t="shared" si="0"/>
        <v>10</v>
      </c>
      <c r="C57" s="31">
        <v>1</v>
      </c>
      <c r="D57" s="30">
        <v>4</v>
      </c>
      <c r="E57" s="90">
        <v>20</v>
      </c>
      <c r="G57" s="32">
        <v>14</v>
      </c>
      <c r="O57" s="23" t="str">
        <v>10</v>
      </c>
    </row>
    <row r="58" spans="2:17" ht="22.5" customHeight="1">
      <c r="B58" s="31">
        <f t="shared" si="0"/>
        <v>11</v>
      </c>
      <c r="C58" s="31">
        <v>1</v>
      </c>
      <c r="D58" s="30">
        <v>4</v>
      </c>
      <c r="E58" s="90">
        <v>14</v>
      </c>
      <c r="G58" s="32">
        <v>5</v>
      </c>
      <c r="O58" s="23" t="str">
        <v>24</v>
      </c>
    </row>
    <row r="59" spans="2:17" ht="22.5" customHeight="1">
      <c r="B59" s="31">
        <f t="shared" si="0"/>
        <v>12</v>
      </c>
      <c r="C59" s="31">
        <v>1</v>
      </c>
      <c r="D59" s="30">
        <v>4</v>
      </c>
      <c r="E59" s="90">
        <v>20</v>
      </c>
      <c r="G59" s="32">
        <v>8</v>
      </c>
      <c r="O59" s="23" t="str">
        <v>14</v>
      </c>
    </row>
    <row r="60" spans="2:17" ht="22.5" customHeight="1">
      <c r="B60" s="31">
        <f t="shared" si="0"/>
        <v>13</v>
      </c>
      <c r="C60" s="31">
        <v>1</v>
      </c>
      <c r="D60" s="30">
        <v>4</v>
      </c>
      <c r="E60" s="90">
        <v>16</v>
      </c>
      <c r="G60" s="32">
        <v>17</v>
      </c>
      <c r="O60" s="23" t="str">
        <v>17</v>
      </c>
    </row>
    <row r="61" spans="2:17" ht="22.5" customHeight="1">
      <c r="B61" s="31">
        <f t="shared" si="0"/>
        <v>14</v>
      </c>
      <c r="C61" s="31">
        <v>1</v>
      </c>
      <c r="D61" s="30">
        <v>4</v>
      </c>
      <c r="E61" s="90">
        <v>30</v>
      </c>
      <c r="G61" s="32">
        <v>23</v>
      </c>
      <c r="O61" s="23" t="str">
        <v>15</v>
      </c>
    </row>
    <row r="62" spans="2:17" ht="22.5" customHeight="1">
      <c r="B62" s="31">
        <f t="shared" si="0"/>
        <v>15</v>
      </c>
      <c r="C62" s="31">
        <v>1</v>
      </c>
      <c r="D62" s="30">
        <v>4</v>
      </c>
      <c r="E62" s="90">
        <v>16</v>
      </c>
      <c r="G62" s="32">
        <v>12</v>
      </c>
      <c r="O62" s="23" t="str">
        <v>9</v>
      </c>
    </row>
    <row r="63" spans="2:17" ht="22.5" customHeight="1">
      <c r="B63" s="31">
        <f t="shared" si="0"/>
        <v>16</v>
      </c>
      <c r="C63" s="31">
        <v>1</v>
      </c>
      <c r="D63" s="30">
        <v>4</v>
      </c>
      <c r="E63" s="90">
        <v>22</v>
      </c>
      <c r="G63" s="32">
        <v>20</v>
      </c>
      <c r="O63" s="23" t="str">
        <v>4</v>
      </c>
    </row>
    <row r="64" spans="2:17" ht="22.5" customHeight="1">
      <c r="B64" s="31">
        <f t="shared" si="0"/>
        <v>17</v>
      </c>
      <c r="C64" s="31">
        <v>1</v>
      </c>
      <c r="D64" s="30">
        <v>4</v>
      </c>
      <c r="E64" s="90">
        <v>24</v>
      </c>
      <c r="G64" s="32">
        <v>26</v>
      </c>
      <c r="O64" s="23" t="str">
        <v>11</v>
      </c>
    </row>
    <row r="65" spans="2:15" ht="22.5" customHeight="1">
      <c r="B65" s="31">
        <f t="shared" si="0"/>
        <v>18</v>
      </c>
      <c r="C65" s="31">
        <v>1</v>
      </c>
      <c r="D65" s="30">
        <v>4</v>
      </c>
      <c r="E65" s="90">
        <v>18</v>
      </c>
      <c r="G65" s="32">
        <v>19</v>
      </c>
      <c r="H65" s="73"/>
      <c r="O65" s="23" t="str">
        <v>8</v>
      </c>
    </row>
    <row r="66" spans="2:15" ht="22.5" customHeight="1">
      <c r="B66" s="31">
        <f t="shared" si="0"/>
        <v>19</v>
      </c>
      <c r="C66" s="31">
        <v>1</v>
      </c>
      <c r="D66" s="30">
        <v>4</v>
      </c>
      <c r="E66" s="90">
        <v>26</v>
      </c>
      <c r="G66" s="32">
        <v>21</v>
      </c>
      <c r="H66" s="73"/>
      <c r="O66" s="23" t="str">
        <v>23</v>
      </c>
    </row>
    <row r="67" spans="2:15" ht="22.5" customHeight="1">
      <c r="B67" s="31">
        <f t="shared" si="0"/>
        <v>20</v>
      </c>
      <c r="C67" s="31">
        <v>1</v>
      </c>
      <c r="D67" s="30">
        <v>4</v>
      </c>
      <c r="E67" s="90">
        <v>19</v>
      </c>
      <c r="G67" s="32">
        <v>13</v>
      </c>
      <c r="H67" s="73"/>
      <c r="O67" s="23" t="str">
        <v>12</v>
      </c>
    </row>
    <row r="68" spans="2:15" ht="15" customHeight="1" thickBot="1">
      <c r="O68" s="23" t="str">
        <v>10</v>
      </c>
    </row>
    <row r="69" spans="2:15" ht="22.5" customHeight="1" thickBot="1">
      <c r="B69" s="139" t="s">
        <v>16</v>
      </c>
      <c r="C69" s="36" t="s">
        <v>97</v>
      </c>
      <c r="D69" s="80" t="s">
        <v>133</v>
      </c>
      <c r="O69" s="23" t="str">
        <v>25</v>
      </c>
    </row>
    <row r="70" spans="2:15" s="74" customFormat="1" ht="15" customHeight="1">
      <c r="B70" s="73"/>
      <c r="C70" s="73"/>
      <c r="D70" s="73"/>
      <c r="E70" s="73"/>
      <c r="F70" s="73"/>
      <c r="G70" s="73"/>
      <c r="H70" s="73"/>
      <c r="O70" s="74" t="str">
        <v>4</v>
      </c>
    </row>
    <row r="71" spans="2:15" s="74" customFormat="1" ht="15" customHeight="1">
      <c r="B71" s="71" t="s">
        <v>146</v>
      </c>
      <c r="C71" s="73"/>
      <c r="D71" s="73"/>
      <c r="E71" s="73"/>
      <c r="F71" s="73"/>
      <c r="G71" s="73"/>
      <c r="H71" s="73"/>
      <c r="O71" s="74" t="str">
        <v>19</v>
      </c>
    </row>
    <row r="72" spans="2:15" s="74" customFormat="1" ht="15" customHeight="1">
      <c r="B72" s="72"/>
      <c r="C72" s="73"/>
      <c r="D72" s="73"/>
      <c r="E72" s="73"/>
      <c r="F72" s="73"/>
      <c r="G72" s="72"/>
      <c r="H72" s="72"/>
      <c r="O72" s="74" t="str">
        <v>26</v>
      </c>
    </row>
    <row r="73" spans="2:15" s="74" customFormat="1" ht="15" customHeight="1">
      <c r="B73" s="71" t="s">
        <v>147</v>
      </c>
      <c r="C73" s="73"/>
      <c r="D73" s="73"/>
      <c r="E73" s="73"/>
      <c r="F73" s="73"/>
      <c r="G73" s="72"/>
      <c r="H73" s="72"/>
      <c r="O73" s="74" t="str">
        <v>3</v>
      </c>
    </row>
    <row r="74" spans="2:15" s="74" customFormat="1" ht="15" customHeight="1">
      <c r="C74" s="77"/>
      <c r="D74" s="73"/>
      <c r="E74" s="73"/>
      <c r="F74" s="73"/>
      <c r="G74" s="72"/>
      <c r="H74" s="72"/>
      <c r="O74" s="74" t="str">
        <v>17</v>
      </c>
    </row>
    <row r="75" spans="2:15" s="74" customFormat="1" ht="15" customHeight="1">
      <c r="B75" s="114" t="s">
        <v>132</v>
      </c>
      <c r="C75" s="73"/>
      <c r="D75" s="73"/>
      <c r="E75" s="73"/>
      <c r="F75" s="73"/>
      <c r="G75" s="72"/>
      <c r="H75" s="72"/>
      <c r="O75" s="74" t="str">
        <v>4</v>
      </c>
    </row>
    <row r="76" spans="2:15" s="74" customFormat="1" ht="15" customHeight="1">
      <c r="B76" s="122" t="s">
        <v>148</v>
      </c>
      <c r="C76" s="76"/>
      <c r="D76" s="73"/>
      <c r="E76" s="73"/>
      <c r="F76" s="73"/>
      <c r="G76" s="72"/>
      <c r="H76" s="72"/>
      <c r="O76" s="74" t="str">
        <v>3</v>
      </c>
    </row>
    <row r="77" spans="2:15" s="74" customFormat="1" ht="15" customHeight="1">
      <c r="B77" s="122" t="s">
        <v>149</v>
      </c>
      <c r="C77" s="76"/>
      <c r="D77" s="73"/>
      <c r="E77" s="73"/>
      <c r="F77" s="73"/>
      <c r="G77" s="72"/>
      <c r="H77" s="72"/>
      <c r="O77" s="74" t="str">
        <v>16</v>
      </c>
    </row>
    <row r="78" spans="2:15" s="74" customFormat="1" ht="15" customHeight="1">
      <c r="B78" s="122" t="s">
        <v>149</v>
      </c>
      <c r="C78" s="76"/>
      <c r="D78" s="73"/>
      <c r="E78" s="73"/>
      <c r="F78" s="73"/>
      <c r="G78" s="72"/>
      <c r="H78" s="72"/>
      <c r="O78" s="74" t="str">
        <v>7</v>
      </c>
    </row>
    <row r="79" spans="2:15" s="74" customFormat="1" ht="15" customHeight="1" thickBot="1">
      <c r="B79" s="71"/>
      <c r="C79" s="73"/>
      <c r="D79" s="73"/>
      <c r="E79" s="73"/>
      <c r="F79" s="73"/>
      <c r="G79" s="73"/>
      <c r="H79" s="73"/>
      <c r="O79" s="74" t="str">
        <v>21</v>
      </c>
    </row>
    <row r="80" spans="2:15" s="74" customFormat="1" ht="22.5" customHeight="1" thickBot="1">
      <c r="B80" s="115" t="s">
        <v>3</v>
      </c>
      <c r="C80" s="116" t="s">
        <v>14</v>
      </c>
      <c r="D80" s="117" t="s">
        <v>5</v>
      </c>
      <c r="E80" s="118" t="s">
        <v>6</v>
      </c>
      <c r="F80" s="73"/>
      <c r="G80" s="116" t="s">
        <v>27</v>
      </c>
      <c r="H80" s="116" t="s">
        <v>126</v>
      </c>
      <c r="O80" s="74" t="str">
        <v>8</v>
      </c>
    </row>
    <row r="81" spans="2:15">
      <c r="O81" s="23" t="str">
        <v>6</v>
      </c>
    </row>
    <row r="82" spans="2:15" ht="22.5" customHeight="1">
      <c r="B82" s="31" t="s">
        <v>18</v>
      </c>
      <c r="C82" s="29">
        <v>2</v>
      </c>
      <c r="D82" s="30">
        <v>0</v>
      </c>
      <c r="E82" s="90">
        <v>16</v>
      </c>
      <c r="G82" s="32">
        <v>11</v>
      </c>
      <c r="H82" s="32" t="s">
        <v>127</v>
      </c>
      <c r="O82" s="23" t="str">
        <v>22</v>
      </c>
    </row>
    <row r="83" spans="2:15" ht="15" customHeight="1">
      <c r="B83" s="23"/>
      <c r="C83" s="23"/>
      <c r="D83" s="23"/>
      <c r="E83" s="23"/>
      <c r="O83" s="23" t="str">
        <v>9</v>
      </c>
    </row>
    <row r="84" spans="2:15" ht="22.5" customHeight="1">
      <c r="B84" s="31">
        <v>21</v>
      </c>
      <c r="C84" s="31">
        <v>2</v>
      </c>
      <c r="D84" s="30">
        <v>6</v>
      </c>
      <c r="E84" s="90" cm="1">
        <f t="array" ref="E84">SUM(--(_xlfn.CHOOSEROWS(sceneNumbered, G84)=_xlfn.XLOOKUP(H84,'Scene (Numbered)'!$X$2:$X$6,'Scene (Numbered)'!$W$2:$W$6,,0,1)))</f>
        <v>2</v>
      </c>
      <c r="G84" s="32">
        <v>10</v>
      </c>
      <c r="H84" s="32" t="s">
        <v>128</v>
      </c>
      <c r="O84" s="23" t="str">
        <v>12</v>
      </c>
    </row>
    <row r="85" spans="2:15" ht="22.5" customHeight="1">
      <c r="B85" s="31">
        <f>B84+1</f>
        <v>22</v>
      </c>
      <c r="C85" s="31">
        <v>2</v>
      </c>
      <c r="D85" s="30">
        <v>6</v>
      </c>
      <c r="E85" s="90" cm="1">
        <f t="array" ref="E85">SUM(--(_xlfn.CHOOSEROWS(sceneNumbered, G85)=_xlfn.XLOOKUP(H85,'Scene (Numbered)'!$X$2:$X$6,'Scene (Numbered)'!$W$2:$W$6,,0,1)))</f>
        <v>16</v>
      </c>
      <c r="G85" s="32">
        <v>18</v>
      </c>
      <c r="H85" s="32" t="s">
        <v>127</v>
      </c>
      <c r="O85" s="23" t="str">
        <v>25</v>
      </c>
    </row>
    <row r="86" spans="2:15" ht="22.5" customHeight="1">
      <c r="B86" s="31">
        <f>B85+1</f>
        <v>23</v>
      </c>
      <c r="C86" s="31">
        <v>2</v>
      </c>
      <c r="D86" s="30">
        <v>6</v>
      </c>
      <c r="E86" s="90" cm="1">
        <f t="array" ref="E86">SUM(--(_xlfn.CHOOSEROWS(sceneNumbered, G86)=_xlfn.XLOOKUP(H86,'Scene (Numbered)'!$X$2:$X$6,'Scene (Numbered)'!$W$2:$W$6,,0,1)))</f>
        <v>15</v>
      </c>
      <c r="G86" s="32">
        <v>4</v>
      </c>
      <c r="H86" s="32" t="s">
        <v>127</v>
      </c>
      <c r="O86" s="23" t="str">
        <v>20</v>
      </c>
    </row>
    <row r="87" spans="2:15" ht="22.5" customHeight="1">
      <c r="B87" s="31">
        <f t="shared" ref="B87:B103" si="1">B86+1</f>
        <v>24</v>
      </c>
      <c r="C87" s="31">
        <v>2</v>
      </c>
      <c r="D87" s="30">
        <v>6</v>
      </c>
      <c r="E87" s="90" cm="1">
        <f t="array" ref="E87">SUM(--(_xlfn.CHOOSEROWS(sceneNumbered, G87)=_xlfn.XLOOKUP(H87,'Scene (Numbered)'!$X$2:$X$6,'Scene (Numbered)'!$W$2:$W$6,,0,1)))</f>
        <v>20</v>
      </c>
      <c r="G87" s="32">
        <v>2</v>
      </c>
      <c r="H87" s="32" t="s">
        <v>127</v>
      </c>
      <c r="O87" s="23" t="str">
        <v>13</v>
      </c>
    </row>
    <row r="88" spans="2:15" ht="22.5" customHeight="1">
      <c r="B88" s="31">
        <f t="shared" si="1"/>
        <v>25</v>
      </c>
      <c r="C88" s="31">
        <v>2</v>
      </c>
      <c r="D88" s="30">
        <v>6</v>
      </c>
      <c r="E88" s="90" cm="1">
        <f t="array" ref="E88">SUM(--(_xlfn.CHOOSEROWS(sceneNumbered, G88)=_xlfn.XLOOKUP(H88,'Scene (Numbered)'!$X$2:$X$6,'Scene (Numbered)'!$W$2:$W$6,,0,1)))</f>
        <v>0</v>
      </c>
      <c r="G88" s="32">
        <v>15</v>
      </c>
      <c r="H88" s="32" t="s">
        <v>128</v>
      </c>
      <c r="O88" s="23" t="str">
        <v>12</v>
      </c>
    </row>
    <row r="89" spans="2:15" ht="22.5" customHeight="1">
      <c r="B89" s="31">
        <f t="shared" si="1"/>
        <v>26</v>
      </c>
      <c r="C89" s="31">
        <v>2</v>
      </c>
      <c r="D89" s="30">
        <v>6</v>
      </c>
      <c r="E89" s="90" cm="1">
        <f t="array" ref="E89">SUM(--(_xlfn.CHOOSEROWS(sceneNumbered, G89)=_xlfn.XLOOKUP(H89,'Scene (Numbered)'!$X$2:$X$6,'Scene (Numbered)'!$W$2:$W$6,,0,1)))</f>
        <v>19</v>
      </c>
      <c r="G89" s="32">
        <v>3</v>
      </c>
      <c r="H89" s="32" t="s">
        <v>127</v>
      </c>
      <c r="O89" s="23" t="str">
        <v>16</v>
      </c>
    </row>
    <row r="90" spans="2:15" ht="22.5" customHeight="1">
      <c r="B90" s="31">
        <f t="shared" si="1"/>
        <v>27</v>
      </c>
      <c r="C90" s="31">
        <v>2</v>
      </c>
      <c r="D90" s="30">
        <v>6</v>
      </c>
      <c r="E90" s="90" cm="1">
        <f t="array" ref="E90">SUM(--(_xlfn.CHOOSEROWS(sceneNumbered, G90)=_xlfn.XLOOKUP(H90,'Scene (Numbered)'!$X$2:$X$6,'Scene (Numbered)'!$W$2:$W$6,,0,1)))</f>
        <v>2</v>
      </c>
      <c r="G90" s="32">
        <v>16</v>
      </c>
      <c r="H90" s="32" t="s">
        <v>128</v>
      </c>
      <c r="O90" s="23" t="str">
        <v>21</v>
      </c>
    </row>
    <row r="91" spans="2:15" ht="22.5" customHeight="1">
      <c r="B91" s="31">
        <f t="shared" si="1"/>
        <v>28</v>
      </c>
      <c r="C91" s="31">
        <v>2</v>
      </c>
      <c r="D91" s="30">
        <v>6</v>
      </c>
      <c r="E91" s="90" cm="1">
        <f t="array" ref="E91">SUM(--(_xlfn.CHOOSEROWS(sceneNumbered, G91)=_xlfn.XLOOKUP(H91,'Scene (Numbered)'!$X$2:$X$6,'Scene (Numbered)'!$W$2:$W$6,,0,1)))</f>
        <v>0</v>
      </c>
      <c r="G91" s="32">
        <v>2</v>
      </c>
      <c r="H91" s="32" t="s">
        <v>129</v>
      </c>
      <c r="O91" s="23" t="str">
        <v>6</v>
      </c>
    </row>
    <row r="92" spans="2:15" ht="22.5" customHeight="1">
      <c r="B92" s="31">
        <f t="shared" si="1"/>
        <v>29</v>
      </c>
      <c r="C92" s="31">
        <v>2</v>
      </c>
      <c r="D92" s="30">
        <v>6</v>
      </c>
      <c r="E92" s="90" cm="1">
        <f t="array" ref="E92">SUM(--(_xlfn.CHOOSEROWS(sceneNumbered, G92)=_xlfn.XLOOKUP(H92,'Scene (Numbered)'!$X$2:$X$6,'Scene (Numbered)'!$W$2:$W$6,,0,1)))</f>
        <v>19</v>
      </c>
      <c r="G92" s="32">
        <v>13</v>
      </c>
      <c r="H92" s="32" t="s">
        <v>127</v>
      </c>
      <c r="O92" s="23" t="str">
        <v>26</v>
      </c>
    </row>
    <row r="93" spans="2:15" ht="22.5" customHeight="1">
      <c r="B93" s="31">
        <f t="shared" si="1"/>
        <v>30</v>
      </c>
      <c r="C93" s="31">
        <v>2</v>
      </c>
      <c r="D93" s="30">
        <v>6</v>
      </c>
      <c r="E93" s="90" cm="1">
        <f t="array" ref="E93">SUM(--(_xlfn.CHOOSEROWS(sceneNumbered, G93)=_xlfn.XLOOKUP(H93,'Scene (Numbered)'!$X$2:$X$6,'Scene (Numbered)'!$W$2:$W$6,,0,1)))</f>
        <v>20</v>
      </c>
      <c r="G93" s="32">
        <v>27</v>
      </c>
      <c r="H93" s="32" t="s">
        <v>129</v>
      </c>
      <c r="O93" s="23" t="str">
        <v>25</v>
      </c>
    </row>
    <row r="94" spans="2:15" ht="22.5" customHeight="1">
      <c r="B94" s="31">
        <f t="shared" si="1"/>
        <v>31</v>
      </c>
      <c r="C94" s="31">
        <v>2</v>
      </c>
      <c r="D94" s="30">
        <v>6</v>
      </c>
      <c r="E94" s="90" cm="1">
        <f t="array" ref="E94">SUM(--(_xlfn.CHOOSEROWS(sceneNumbered, G94)=_xlfn.XLOOKUP(H94,'Scene (Numbered)'!$X$2:$X$6,'Scene (Numbered)'!$W$2:$W$6,,0,1)))</f>
        <v>2</v>
      </c>
      <c r="G94" s="32">
        <v>25</v>
      </c>
      <c r="H94" s="32" t="s">
        <v>130</v>
      </c>
      <c r="O94" s="23" t="str">
        <v>26</v>
      </c>
    </row>
    <row r="95" spans="2:15" ht="22.5" customHeight="1">
      <c r="B95" s="31">
        <f t="shared" si="1"/>
        <v>32</v>
      </c>
      <c r="C95" s="31">
        <v>2</v>
      </c>
      <c r="D95" s="30">
        <v>6</v>
      </c>
      <c r="E95" s="90" cm="1">
        <f t="array" ref="E95">SUM(--(_xlfn.CHOOSEROWS(sceneNumbered, G95)=_xlfn.XLOOKUP(H95,'Scene (Numbered)'!$X$2:$X$6,'Scene (Numbered)'!$W$2:$W$6,,0,1)))</f>
        <v>2</v>
      </c>
      <c r="G95" s="32">
        <v>10</v>
      </c>
      <c r="H95" s="32" t="s">
        <v>128</v>
      </c>
      <c r="O95" s="23" t="str">
        <v>25</v>
      </c>
    </row>
    <row r="96" spans="2:15" ht="22.5" customHeight="1">
      <c r="B96" s="31">
        <f t="shared" si="1"/>
        <v>33</v>
      </c>
      <c r="C96" s="31">
        <v>2</v>
      </c>
      <c r="D96" s="30">
        <v>6</v>
      </c>
      <c r="E96" s="90" cm="1">
        <f t="array" ref="E96">SUM(--(_xlfn.CHOOSEROWS(sceneNumbered, G96)=_xlfn.XLOOKUP(H96,'Scene (Numbered)'!$X$2:$X$6,'Scene (Numbered)'!$W$2:$W$6,,0,1)))</f>
        <v>10</v>
      </c>
      <c r="G96" s="32">
        <v>24</v>
      </c>
      <c r="H96" s="32" t="s">
        <v>131</v>
      </c>
      <c r="O96" s="23" t="str">
        <v>17</v>
      </c>
    </row>
    <row r="97" spans="2:15" ht="22.5" customHeight="1">
      <c r="B97" s="31">
        <f t="shared" si="1"/>
        <v>34</v>
      </c>
      <c r="C97" s="31">
        <v>2</v>
      </c>
      <c r="D97" s="30">
        <v>6</v>
      </c>
      <c r="E97" s="90" cm="1">
        <f t="array" ref="E97">SUM(--(_xlfn.CHOOSEROWS(sceneNumbered, G97)=_xlfn.XLOOKUP(H97,'Scene (Numbered)'!$X$2:$X$6,'Scene (Numbered)'!$W$2:$W$6,,0,1)))</f>
        <v>10</v>
      </c>
      <c r="G97" s="32">
        <v>23</v>
      </c>
      <c r="H97" s="32" t="s">
        <v>127</v>
      </c>
      <c r="O97" s="23" t="str">
        <v>8</v>
      </c>
    </row>
    <row r="98" spans="2:15" ht="22.5" customHeight="1">
      <c r="B98" s="31">
        <f t="shared" si="1"/>
        <v>35</v>
      </c>
      <c r="C98" s="31">
        <v>2</v>
      </c>
      <c r="D98" s="30">
        <v>6</v>
      </c>
      <c r="E98" s="90" cm="1">
        <f t="array" ref="E98">SUM(--(_xlfn.CHOOSEROWS(sceneNumbered, G98)=_xlfn.XLOOKUP(H98,'Scene (Numbered)'!$X$2:$X$6,'Scene (Numbered)'!$W$2:$W$6,,0,1)))</f>
        <v>4</v>
      </c>
      <c r="G98" s="32">
        <v>12</v>
      </c>
      <c r="H98" s="32" t="s">
        <v>128</v>
      </c>
      <c r="O98" s="23" t="str">
        <v>9</v>
      </c>
    </row>
    <row r="99" spans="2:15" ht="22.5" customHeight="1">
      <c r="B99" s="31">
        <f t="shared" si="1"/>
        <v>36</v>
      </c>
      <c r="C99" s="31">
        <v>2</v>
      </c>
      <c r="D99" s="30">
        <v>6</v>
      </c>
      <c r="E99" s="90" cm="1">
        <f t="array" ref="E99">SUM(--(_xlfn.CHOOSEROWS(sceneNumbered, G99)=_xlfn.XLOOKUP(H99,'Scene (Numbered)'!$X$2:$X$6,'Scene (Numbered)'!$W$2:$W$6,,0,1)))</f>
        <v>2</v>
      </c>
      <c r="G99" s="32">
        <v>20</v>
      </c>
      <c r="H99" s="32" t="s">
        <v>131</v>
      </c>
      <c r="O99" s="23" t="str">
        <v>8</v>
      </c>
    </row>
    <row r="100" spans="2:15" ht="22.5" customHeight="1">
      <c r="B100" s="31">
        <f t="shared" si="1"/>
        <v>37</v>
      </c>
      <c r="C100" s="31">
        <v>2</v>
      </c>
      <c r="D100" s="30">
        <v>6</v>
      </c>
      <c r="E100" s="90" cm="1">
        <f t="array" ref="E100">SUM(--(_xlfn.CHOOSEROWS(sceneNumbered, G100)=_xlfn.XLOOKUP(H100,'Scene (Numbered)'!$X$2:$X$6,'Scene (Numbered)'!$W$2:$W$6,,0,1)))</f>
        <v>6</v>
      </c>
      <c r="G100" s="32">
        <v>21</v>
      </c>
      <c r="H100" s="32" t="s">
        <v>131</v>
      </c>
      <c r="O100" s="23" t="str">
        <v>22</v>
      </c>
    </row>
    <row r="101" spans="2:15" ht="22.5" customHeight="1">
      <c r="B101" s="31">
        <f t="shared" si="1"/>
        <v>38</v>
      </c>
      <c r="C101" s="31">
        <v>2</v>
      </c>
      <c r="D101" s="30">
        <v>6</v>
      </c>
      <c r="E101" s="90" cm="1">
        <f t="array" ref="E101">SUM(--(_xlfn.CHOOSEROWS(sceneNumbered, G101)=_xlfn.XLOOKUP(H101,'Scene (Numbered)'!$X$2:$X$6,'Scene (Numbered)'!$W$2:$W$6,,0,1)))</f>
        <v>18</v>
      </c>
      <c r="G101" s="32">
        <v>19</v>
      </c>
      <c r="H101" s="32" t="s">
        <v>127</v>
      </c>
      <c r="O101" s="23" t="str">
        <v>24</v>
      </c>
    </row>
    <row r="102" spans="2:15" ht="22.5" customHeight="1">
      <c r="B102" s="31">
        <f t="shared" si="1"/>
        <v>39</v>
      </c>
      <c r="C102" s="31">
        <v>2</v>
      </c>
      <c r="D102" s="30">
        <v>6</v>
      </c>
      <c r="E102" s="90" cm="1">
        <f t="array" ref="E102">SUM(--(_xlfn.CHOOSEROWS(sceneNumbered, G102)=_xlfn.XLOOKUP(H102,'Scene (Numbered)'!$X$2:$X$6,'Scene (Numbered)'!$W$2:$W$6,,0,1)))</f>
        <v>6</v>
      </c>
      <c r="G102" s="32">
        <v>21</v>
      </c>
      <c r="H102" s="32" t="s">
        <v>131</v>
      </c>
      <c r="O102" s="23" t="str">
        <v>12</v>
      </c>
    </row>
    <row r="103" spans="2:15" ht="22.5" customHeight="1">
      <c r="B103" s="31">
        <f t="shared" si="1"/>
        <v>40</v>
      </c>
      <c r="C103" s="31">
        <v>2</v>
      </c>
      <c r="D103" s="30">
        <v>6</v>
      </c>
      <c r="E103" s="90" cm="1">
        <f t="array" ref="E103">SUM(--(_xlfn.CHOOSEROWS(sceneNumbered, G103)=_xlfn.XLOOKUP(H103,'Scene (Numbered)'!$X$2:$X$6,'Scene (Numbered)'!$W$2:$W$6,,0,1)))</f>
        <v>1</v>
      </c>
      <c r="G103" s="32">
        <v>13</v>
      </c>
      <c r="H103" s="32" t="s">
        <v>128</v>
      </c>
      <c r="O103" s="23" t="str">
        <v>3</v>
      </c>
    </row>
    <row r="104" spans="2:15" ht="15" customHeight="1" thickBot="1">
      <c r="O104" s="23" t="str">
        <v>9</v>
      </c>
    </row>
    <row r="105" spans="2:15" ht="22.5" customHeight="1" thickBot="1">
      <c r="B105" s="139" t="s">
        <v>19</v>
      </c>
      <c r="C105" s="37" t="s">
        <v>17</v>
      </c>
      <c r="D105" s="80" t="s">
        <v>134</v>
      </c>
      <c r="O105" s="23" t="str">
        <v>5</v>
      </c>
    </row>
    <row r="106" spans="2:15" s="74" customFormat="1" ht="15" customHeight="1">
      <c r="B106" s="73"/>
      <c r="C106" s="73"/>
      <c r="D106" s="73"/>
      <c r="E106" s="73"/>
      <c r="F106" s="73"/>
      <c r="G106" s="73"/>
      <c r="H106" s="73"/>
      <c r="O106" s="74" t="str">
        <v>10</v>
      </c>
    </row>
    <row r="107" spans="2:15" s="74" customFormat="1" ht="15" customHeight="1">
      <c r="B107" s="71" t="s">
        <v>150</v>
      </c>
      <c r="C107" s="75"/>
      <c r="D107" s="73"/>
      <c r="E107" s="73"/>
      <c r="F107" s="73"/>
      <c r="G107" s="72"/>
      <c r="H107" s="72"/>
      <c r="O107" s="74" t="str">
        <v>17</v>
      </c>
    </row>
    <row r="108" spans="2:15" s="74" customFormat="1" ht="15" customHeight="1">
      <c r="B108" s="123" t="s">
        <v>181</v>
      </c>
      <c r="C108" s="75"/>
      <c r="D108" s="73"/>
      <c r="E108" s="73"/>
      <c r="F108" s="73"/>
      <c r="G108" s="72"/>
      <c r="H108" s="72"/>
      <c r="O108" s="74" t="str">
        <v>17</v>
      </c>
    </row>
    <row r="109" spans="2:15" s="74" customFormat="1" ht="15" customHeight="1">
      <c r="C109" s="73"/>
      <c r="D109" s="73"/>
      <c r="E109" s="73"/>
      <c r="F109" s="73"/>
      <c r="G109" s="72"/>
      <c r="H109" s="72"/>
      <c r="O109" s="74" t="str">
        <v>6</v>
      </c>
    </row>
    <row r="110" spans="2:15" s="74" customFormat="1" ht="15" customHeight="1">
      <c r="B110" s="71" t="s">
        <v>151</v>
      </c>
      <c r="C110" s="73"/>
      <c r="D110" s="73"/>
      <c r="E110" s="73"/>
      <c r="F110" s="73"/>
      <c r="G110" s="72"/>
      <c r="H110" s="72"/>
      <c r="O110" s="74" t="str">
        <v>5</v>
      </c>
    </row>
    <row r="111" spans="2:15" s="74" customFormat="1" ht="15" customHeight="1">
      <c r="C111" s="77"/>
      <c r="D111" s="73"/>
      <c r="E111" s="73"/>
      <c r="F111" s="73"/>
      <c r="G111" s="72"/>
      <c r="H111" s="72"/>
      <c r="O111" s="74" t="str">
        <v>11</v>
      </c>
    </row>
    <row r="112" spans="2:15" s="74" customFormat="1" ht="15" customHeight="1">
      <c r="B112" s="114" t="s">
        <v>132</v>
      </c>
      <c r="C112" s="73"/>
      <c r="D112" s="73"/>
      <c r="E112" s="73"/>
      <c r="F112" s="73"/>
      <c r="G112" s="72"/>
      <c r="H112" s="72"/>
      <c r="O112" s="74" t="str">
        <v>26</v>
      </c>
    </row>
    <row r="113" spans="2:15" s="74" customFormat="1" ht="15" customHeight="1">
      <c r="B113" s="123" t="s">
        <v>154</v>
      </c>
      <c r="C113" s="76"/>
      <c r="D113" s="73"/>
      <c r="E113" s="73"/>
      <c r="F113" s="73"/>
      <c r="G113" s="72"/>
      <c r="O113" s="74" t="str">
        <v>26</v>
      </c>
    </row>
    <row r="114" spans="2:15" s="74" customFormat="1" ht="15" customHeight="1">
      <c r="B114" s="123" t="s">
        <v>152</v>
      </c>
      <c r="C114" s="76"/>
      <c r="D114" s="73"/>
      <c r="E114" s="73"/>
      <c r="F114" s="73"/>
      <c r="G114" s="72"/>
      <c r="O114" s="74" t="str">
        <v>6</v>
      </c>
    </row>
    <row r="115" spans="2:15" s="74" customFormat="1" ht="15" customHeight="1">
      <c r="B115" s="123" t="s">
        <v>153</v>
      </c>
      <c r="C115" s="76"/>
      <c r="D115" s="73"/>
      <c r="E115" s="73"/>
      <c r="F115" s="73"/>
      <c r="G115" s="72"/>
      <c r="O115" s="74" t="str">
        <v>16</v>
      </c>
    </row>
    <row r="116" spans="2:15" s="74" customFormat="1" ht="15" customHeight="1" thickBot="1">
      <c r="B116" s="71"/>
      <c r="C116" s="73"/>
      <c r="D116" s="73"/>
      <c r="E116" s="73"/>
      <c r="F116" s="73"/>
      <c r="G116" s="73"/>
      <c r="O116" s="74" t="str">
        <v>21</v>
      </c>
    </row>
    <row r="117" spans="2:15" s="74" customFormat="1" ht="22.5" customHeight="1" thickBot="1">
      <c r="B117" s="115" t="s">
        <v>3</v>
      </c>
      <c r="C117" s="116" t="s">
        <v>14</v>
      </c>
      <c r="D117" s="117" t="s">
        <v>5</v>
      </c>
      <c r="E117" s="118" t="s">
        <v>6</v>
      </c>
      <c r="F117" s="73"/>
      <c r="G117" s="116" t="s">
        <v>26</v>
      </c>
      <c r="O117" s="74" t="str">
        <v>18</v>
      </c>
    </row>
    <row r="118" spans="2:15" ht="15" customHeight="1">
      <c r="B118" s="23"/>
      <c r="C118" s="23"/>
      <c r="D118" s="23"/>
      <c r="E118" s="23"/>
      <c r="G118" s="24"/>
      <c r="O118" s="23" t="str">
        <v>10</v>
      </c>
    </row>
    <row r="119" spans="2:15" ht="22.5" customHeight="1">
      <c r="B119" s="31" t="s">
        <v>20</v>
      </c>
      <c r="C119" s="29">
        <v>3</v>
      </c>
      <c r="D119" s="30">
        <v>0</v>
      </c>
      <c r="E119" s="90">
        <v>8</v>
      </c>
      <c r="G119" s="32" t="s">
        <v>44</v>
      </c>
      <c r="O119" s="23" t="str">
        <v>12</v>
      </c>
    </row>
    <row r="120" spans="2:15" ht="15" customHeight="1">
      <c r="B120" s="23"/>
      <c r="C120" s="23"/>
      <c r="D120" s="23"/>
      <c r="E120" s="23"/>
      <c r="O120" s="23" t="str">
        <v>2</v>
      </c>
    </row>
    <row r="121" spans="2:15" ht="22.5" customHeight="1">
      <c r="B121" s="31">
        <v>41</v>
      </c>
      <c r="C121" s="31">
        <v>3</v>
      </c>
      <c r="D121" s="30">
        <v>7</v>
      </c>
      <c r="E121" s="90" cm="1">
        <f t="array" ref="E121:E140">--_xlfn.REGEXEXTRACT(G121:G140, "\d+")</f>
        <v>17</v>
      </c>
      <c r="G121" s="32" t="s">
        <v>57</v>
      </c>
      <c r="O121" s="23" t="str">
        <v>5</v>
      </c>
    </row>
    <row r="122" spans="2:15" ht="22.5" customHeight="1">
      <c r="B122" s="31">
        <f>B121+1</f>
        <v>42</v>
      </c>
      <c r="C122" s="31">
        <v>3</v>
      </c>
      <c r="D122" s="30">
        <v>7</v>
      </c>
      <c r="E122" s="90">
        <v>6</v>
      </c>
      <c r="G122" s="32" t="s">
        <v>45</v>
      </c>
      <c r="O122" s="23" t="str">
        <v>22</v>
      </c>
    </row>
    <row r="123" spans="2:15" ht="22.5" customHeight="1">
      <c r="B123" s="31">
        <f>B122+1</f>
        <v>43</v>
      </c>
      <c r="C123" s="31">
        <v>3</v>
      </c>
      <c r="D123" s="30">
        <v>7</v>
      </c>
      <c r="E123" s="90">
        <v>5</v>
      </c>
      <c r="G123" s="32" t="s">
        <v>67</v>
      </c>
      <c r="O123" s="23" t="str">
        <v>26</v>
      </c>
    </row>
    <row r="124" spans="2:15" ht="22.5" customHeight="1">
      <c r="B124" s="31">
        <f t="shared" ref="B124:B140" si="2">B123+1</f>
        <v>44</v>
      </c>
      <c r="C124" s="31">
        <v>3</v>
      </c>
      <c r="D124" s="30">
        <v>7</v>
      </c>
      <c r="E124" s="90">
        <v>11</v>
      </c>
      <c r="G124" s="32" t="s">
        <v>68</v>
      </c>
      <c r="O124" s="23" t="str">
        <v>14</v>
      </c>
    </row>
    <row r="125" spans="2:15" ht="22.5" customHeight="1">
      <c r="B125" s="31">
        <f t="shared" si="2"/>
        <v>45</v>
      </c>
      <c r="C125" s="31">
        <v>3</v>
      </c>
      <c r="D125" s="30">
        <v>7</v>
      </c>
      <c r="E125" s="90">
        <v>26</v>
      </c>
      <c r="G125" s="32" t="s">
        <v>55</v>
      </c>
      <c r="O125" s="23" t="str">
        <v>13</v>
      </c>
    </row>
    <row r="126" spans="2:15" ht="22.5" customHeight="1">
      <c r="B126" s="31">
        <f t="shared" si="2"/>
        <v>46</v>
      </c>
      <c r="C126" s="31">
        <v>3</v>
      </c>
      <c r="D126" s="30">
        <v>7</v>
      </c>
      <c r="E126" s="90">
        <v>26</v>
      </c>
      <c r="G126" s="32" t="s">
        <v>40</v>
      </c>
      <c r="O126" s="23" t="str">
        <v>13</v>
      </c>
    </row>
    <row r="127" spans="2:15" ht="22.5" customHeight="1">
      <c r="B127" s="31">
        <f t="shared" si="2"/>
        <v>47</v>
      </c>
      <c r="C127" s="31">
        <v>3</v>
      </c>
      <c r="D127" s="30">
        <v>7</v>
      </c>
      <c r="E127" s="90">
        <v>6</v>
      </c>
      <c r="G127" s="32" t="s">
        <v>52</v>
      </c>
      <c r="O127" s="23" t="str">
        <v>2</v>
      </c>
    </row>
    <row r="128" spans="2:15" ht="22.5" customHeight="1">
      <c r="B128" s="31">
        <f t="shared" si="2"/>
        <v>48</v>
      </c>
      <c r="C128" s="31">
        <v>3</v>
      </c>
      <c r="D128" s="30">
        <v>7</v>
      </c>
      <c r="E128" s="90">
        <v>16</v>
      </c>
      <c r="G128" s="32" t="s">
        <v>41</v>
      </c>
    </row>
    <row r="129" spans="2:7" ht="22.5" customHeight="1">
      <c r="B129" s="31">
        <f t="shared" si="2"/>
        <v>49</v>
      </c>
      <c r="C129" s="31">
        <v>3</v>
      </c>
      <c r="D129" s="30">
        <v>7</v>
      </c>
      <c r="E129" s="90">
        <v>21</v>
      </c>
      <c r="G129" s="32" t="s">
        <v>54</v>
      </c>
    </row>
    <row r="130" spans="2:7" ht="22.5" customHeight="1">
      <c r="B130" s="31">
        <f t="shared" si="2"/>
        <v>50</v>
      </c>
      <c r="C130" s="31">
        <v>3</v>
      </c>
      <c r="D130" s="30">
        <v>7</v>
      </c>
      <c r="E130" s="90">
        <v>18</v>
      </c>
      <c r="G130" s="32" t="s">
        <v>69</v>
      </c>
    </row>
    <row r="131" spans="2:7" ht="22.5" customHeight="1">
      <c r="B131" s="31">
        <f t="shared" si="2"/>
        <v>51</v>
      </c>
      <c r="C131" s="31">
        <v>3</v>
      </c>
      <c r="D131" s="30">
        <v>7</v>
      </c>
      <c r="E131" s="90">
        <v>10</v>
      </c>
      <c r="G131" s="32" t="s">
        <v>65</v>
      </c>
    </row>
    <row r="132" spans="2:7" ht="22.5" customHeight="1">
      <c r="B132" s="31">
        <f t="shared" si="2"/>
        <v>52</v>
      </c>
      <c r="C132" s="31">
        <v>3</v>
      </c>
      <c r="D132" s="30">
        <v>7</v>
      </c>
      <c r="E132" s="90">
        <v>12</v>
      </c>
      <c r="G132" s="32" t="s">
        <v>48</v>
      </c>
    </row>
    <row r="133" spans="2:7" ht="22.5" customHeight="1">
      <c r="B133" s="31">
        <f t="shared" si="2"/>
        <v>53</v>
      </c>
      <c r="C133" s="31">
        <v>3</v>
      </c>
      <c r="D133" s="30">
        <v>7</v>
      </c>
      <c r="E133" s="90">
        <v>2</v>
      </c>
      <c r="G133" s="32" t="s">
        <v>72</v>
      </c>
    </row>
    <row r="134" spans="2:7" ht="22.5" customHeight="1">
      <c r="B134" s="31">
        <f t="shared" si="2"/>
        <v>54</v>
      </c>
      <c r="C134" s="31">
        <v>3</v>
      </c>
      <c r="D134" s="30">
        <v>7</v>
      </c>
      <c r="E134" s="90">
        <v>5</v>
      </c>
      <c r="G134" s="32" t="s">
        <v>67</v>
      </c>
    </row>
    <row r="135" spans="2:7" ht="22.5" customHeight="1">
      <c r="B135" s="31">
        <f t="shared" si="2"/>
        <v>55</v>
      </c>
      <c r="C135" s="31">
        <v>3</v>
      </c>
      <c r="D135" s="30">
        <v>7</v>
      </c>
      <c r="E135" s="90">
        <v>22</v>
      </c>
      <c r="G135" s="32" t="s">
        <v>46</v>
      </c>
    </row>
    <row r="136" spans="2:7" ht="22.5" customHeight="1">
      <c r="B136" s="31">
        <f t="shared" si="2"/>
        <v>56</v>
      </c>
      <c r="C136" s="31">
        <v>3</v>
      </c>
      <c r="D136" s="30">
        <v>7</v>
      </c>
      <c r="E136" s="90">
        <v>26</v>
      </c>
      <c r="G136" s="32" t="s">
        <v>55</v>
      </c>
    </row>
    <row r="137" spans="2:7" ht="22.5" customHeight="1">
      <c r="B137" s="31">
        <f t="shared" si="2"/>
        <v>57</v>
      </c>
      <c r="C137" s="31">
        <v>3</v>
      </c>
      <c r="D137" s="30">
        <v>7</v>
      </c>
      <c r="E137" s="90">
        <v>14</v>
      </c>
      <c r="G137" s="32" t="s">
        <v>70</v>
      </c>
    </row>
    <row r="138" spans="2:7" ht="22.5" customHeight="1">
      <c r="B138" s="31">
        <f t="shared" si="2"/>
        <v>58</v>
      </c>
      <c r="C138" s="31">
        <v>3</v>
      </c>
      <c r="D138" s="30">
        <v>7</v>
      </c>
      <c r="E138" s="90">
        <v>13</v>
      </c>
      <c r="G138" s="32" t="s">
        <v>71</v>
      </c>
    </row>
    <row r="139" spans="2:7" ht="22.5" customHeight="1">
      <c r="B139" s="31">
        <f t="shared" si="2"/>
        <v>59</v>
      </c>
      <c r="C139" s="31">
        <v>3</v>
      </c>
      <c r="D139" s="30">
        <v>7</v>
      </c>
      <c r="E139" s="90">
        <v>13</v>
      </c>
      <c r="G139" s="32" t="s">
        <v>35</v>
      </c>
    </row>
    <row r="140" spans="2:7" ht="22.5" customHeight="1">
      <c r="B140" s="31">
        <f t="shared" si="2"/>
        <v>60</v>
      </c>
      <c r="C140" s="31">
        <v>3</v>
      </c>
      <c r="D140" s="30">
        <v>7</v>
      </c>
      <c r="E140" s="90">
        <v>2</v>
      </c>
      <c r="G140" s="32" t="s">
        <v>66</v>
      </c>
    </row>
    <row r="141" spans="2:7" ht="15" customHeight="1" thickBot="1"/>
    <row r="142" spans="2:7" ht="22.5" customHeight="1" thickBot="1">
      <c r="B142" s="139" t="s">
        <v>21</v>
      </c>
      <c r="C142" s="37" t="s">
        <v>17</v>
      </c>
      <c r="D142" s="80" t="s">
        <v>135</v>
      </c>
    </row>
    <row r="143" spans="2:7" s="74" customFormat="1" ht="15" customHeight="1">
      <c r="B143" s="73"/>
      <c r="C143" s="73"/>
      <c r="D143" s="73"/>
      <c r="E143" s="73"/>
      <c r="F143" s="73"/>
      <c r="G143" s="73"/>
    </row>
    <row r="144" spans="2:7" s="74" customFormat="1" ht="15" customHeight="1">
      <c r="B144" s="71" t="s">
        <v>155</v>
      </c>
      <c r="C144" s="75"/>
      <c r="D144" s="73"/>
      <c r="E144" s="73"/>
      <c r="F144" s="73"/>
      <c r="G144" s="72"/>
    </row>
    <row r="146" spans="2:7" s="74" customFormat="1" ht="15" customHeight="1">
      <c r="B146" s="71" t="s">
        <v>159</v>
      </c>
      <c r="C146" s="73"/>
      <c r="D146" s="73"/>
      <c r="E146" s="73"/>
      <c r="F146" s="73"/>
      <c r="G146" s="72"/>
    </row>
    <row r="147" spans="2:7" s="74" customFormat="1" ht="15" customHeight="1">
      <c r="C147" s="77"/>
      <c r="D147" s="73"/>
      <c r="E147" s="73"/>
      <c r="F147" s="73"/>
      <c r="G147" s="72"/>
    </row>
    <row r="148" spans="2:7" s="74" customFormat="1" ht="15" customHeight="1">
      <c r="B148" s="124" t="s">
        <v>132</v>
      </c>
      <c r="C148" s="73"/>
      <c r="D148" s="73"/>
      <c r="E148" s="73"/>
      <c r="F148" s="73"/>
      <c r="G148" s="72"/>
    </row>
    <row r="149" spans="2:7" s="74" customFormat="1" ht="15" customHeight="1">
      <c r="B149" s="123" t="s">
        <v>156</v>
      </c>
      <c r="C149" s="76"/>
      <c r="D149" s="73"/>
      <c r="E149" s="73"/>
      <c r="F149" s="73"/>
      <c r="G149" s="72"/>
    </row>
    <row r="150" spans="2:7" s="74" customFormat="1" ht="15" customHeight="1">
      <c r="B150" s="123" t="s">
        <v>157</v>
      </c>
      <c r="C150" s="76"/>
      <c r="D150" s="73"/>
      <c r="E150" s="73"/>
      <c r="F150" s="73"/>
      <c r="G150" s="72"/>
    </row>
    <row r="151" spans="2:7" s="74" customFormat="1" ht="15" customHeight="1">
      <c r="B151" s="123" t="s">
        <v>158</v>
      </c>
      <c r="C151" s="76"/>
      <c r="D151" s="73"/>
      <c r="E151" s="73"/>
      <c r="F151" s="73"/>
      <c r="G151" s="72"/>
    </row>
    <row r="152" spans="2:7" s="74" customFormat="1" ht="15" customHeight="1" thickBot="1">
      <c r="B152" s="71"/>
      <c r="C152" s="73"/>
      <c r="D152" s="73"/>
      <c r="E152" s="73"/>
      <c r="F152" s="73"/>
      <c r="G152" s="72"/>
    </row>
    <row r="153" spans="2:7" s="74" customFormat="1" ht="22.5" customHeight="1" thickBot="1">
      <c r="B153" s="115" t="s">
        <v>3</v>
      </c>
      <c r="C153" s="116" t="s">
        <v>14</v>
      </c>
      <c r="D153" s="117" t="s">
        <v>5</v>
      </c>
      <c r="E153" s="118" t="s">
        <v>6</v>
      </c>
      <c r="F153" s="73"/>
      <c r="G153" s="119" t="s">
        <v>26</v>
      </c>
    </row>
    <row r="154" spans="2:7" ht="15" customHeight="1">
      <c r="B154" s="23"/>
      <c r="C154" s="23"/>
      <c r="D154" s="23"/>
      <c r="E154" s="23"/>
      <c r="G154" s="24"/>
    </row>
    <row r="155" spans="2:7" ht="22.5" customHeight="1">
      <c r="B155" s="31" t="s">
        <v>22</v>
      </c>
      <c r="C155" s="29">
        <v>4</v>
      </c>
      <c r="D155" s="30">
        <v>0</v>
      </c>
      <c r="E155" s="33">
        <v>18</v>
      </c>
      <c r="G155" s="32" t="s">
        <v>93</v>
      </c>
    </row>
    <row r="156" spans="2:7" ht="15" customHeight="1">
      <c r="B156" s="23"/>
      <c r="C156" s="23"/>
      <c r="D156" s="23"/>
      <c r="E156" s="23"/>
    </row>
    <row r="157" spans="2:7" ht="22.5" customHeight="1">
      <c r="B157" s="31">
        <v>61</v>
      </c>
      <c r="C157" s="31">
        <v>4</v>
      </c>
      <c r="D157" s="30">
        <v>7</v>
      </c>
      <c r="E157" s="33" cm="1">
        <f t="array" aca="1" ref="E157" ca="1">COLUMN(INDIRECT("'Scene (Numbered)'!"&amp;G157))</f>
        <v>3</v>
      </c>
      <c r="G157" s="32" t="s">
        <v>73</v>
      </c>
    </row>
    <row r="158" spans="2:7" ht="22.5" customHeight="1">
      <c r="B158" s="31">
        <f>B157+1</f>
        <v>62</v>
      </c>
      <c r="C158" s="31">
        <v>4</v>
      </c>
      <c r="D158" s="30">
        <v>7</v>
      </c>
      <c r="E158" s="33" cm="1">
        <f t="array" aca="1" ref="E158" ca="1">COLUMN(INDIRECT("'Scene (Numbered)'!"&amp;G158))</f>
        <v>14</v>
      </c>
      <c r="G158" s="32" t="s">
        <v>74</v>
      </c>
    </row>
    <row r="159" spans="2:7" ht="22.5" customHeight="1">
      <c r="B159" s="31">
        <f>B158+1</f>
        <v>63</v>
      </c>
      <c r="C159" s="31">
        <v>4</v>
      </c>
      <c r="D159" s="30">
        <v>7</v>
      </c>
      <c r="E159" s="33" cm="1">
        <f t="array" aca="1" ref="E159" ca="1">COLUMN(INDIRECT("'Scene (Numbered)'!"&amp;G159))</f>
        <v>2</v>
      </c>
      <c r="G159" s="32" t="s">
        <v>75</v>
      </c>
    </row>
    <row r="160" spans="2:7" ht="22.5" customHeight="1">
      <c r="B160" s="31">
        <f t="shared" ref="B160:B176" si="3">B159+1</f>
        <v>64</v>
      </c>
      <c r="C160" s="31">
        <v>4</v>
      </c>
      <c r="D160" s="30">
        <v>7</v>
      </c>
      <c r="E160" s="33" cm="1">
        <f t="array" aca="1" ref="E160" ca="1">COLUMN(INDIRECT("'Scene (Numbered)'!"&amp;G160))</f>
        <v>21</v>
      </c>
      <c r="G160" s="32" t="s">
        <v>76</v>
      </c>
    </row>
    <row r="161" spans="2:7" ht="22.5" customHeight="1">
      <c r="B161" s="31">
        <f t="shared" si="3"/>
        <v>65</v>
      </c>
      <c r="C161" s="31">
        <v>4</v>
      </c>
      <c r="D161" s="30">
        <v>7</v>
      </c>
      <c r="E161" s="33" cm="1">
        <f t="array" aca="1" ref="E161" ca="1">COLUMN(INDIRECT("'Scene (Numbered)'!"&amp;G161))</f>
        <v>12</v>
      </c>
      <c r="G161" s="32" t="s">
        <v>77</v>
      </c>
    </row>
    <row r="162" spans="2:7" ht="22.5" customHeight="1">
      <c r="B162" s="31">
        <f t="shared" si="3"/>
        <v>66</v>
      </c>
      <c r="C162" s="31">
        <v>4</v>
      </c>
      <c r="D162" s="30">
        <v>7</v>
      </c>
      <c r="E162" s="33" cm="1">
        <f t="array" aca="1" ref="E162" ca="1">COLUMN(INDIRECT("'Scene (Numbered)'!"&amp;G162))</f>
        <v>21</v>
      </c>
      <c r="G162" s="32" t="s">
        <v>78</v>
      </c>
    </row>
    <row r="163" spans="2:7" ht="22.5" customHeight="1">
      <c r="B163" s="31">
        <f t="shared" si="3"/>
        <v>67</v>
      </c>
      <c r="C163" s="31">
        <v>4</v>
      </c>
      <c r="D163" s="30">
        <v>7</v>
      </c>
      <c r="E163" s="33" cm="1">
        <f t="array" aca="1" ref="E163" ca="1">COLUMN(INDIRECT("'Scene (Numbered)'!"&amp;G163))</f>
        <v>16</v>
      </c>
      <c r="G163" s="32" t="s">
        <v>79</v>
      </c>
    </row>
    <row r="164" spans="2:7" ht="22.5" customHeight="1">
      <c r="B164" s="31">
        <f t="shared" si="3"/>
        <v>68</v>
      </c>
      <c r="C164" s="31">
        <v>4</v>
      </c>
      <c r="D164" s="30">
        <v>7</v>
      </c>
      <c r="E164" s="33" cm="1">
        <f t="array" aca="1" ref="E164" ca="1">COLUMN(INDIRECT("'Scene (Numbered)'!"&amp;G164))</f>
        <v>16</v>
      </c>
      <c r="G164" s="32" t="s">
        <v>80</v>
      </c>
    </row>
    <row r="165" spans="2:7" ht="22.5" customHeight="1">
      <c r="B165" s="31">
        <f t="shared" si="3"/>
        <v>69</v>
      </c>
      <c r="C165" s="31">
        <v>4</v>
      </c>
      <c r="D165" s="30">
        <v>7</v>
      </c>
      <c r="E165" s="33" cm="1">
        <f t="array" aca="1" ref="E165" ca="1">COLUMN(INDIRECT("'Scene (Numbered)'!"&amp;G165))</f>
        <v>13</v>
      </c>
      <c r="G165" s="32" t="s">
        <v>81</v>
      </c>
    </row>
    <row r="166" spans="2:7" ht="22.5" customHeight="1">
      <c r="B166" s="31">
        <f t="shared" si="3"/>
        <v>70</v>
      </c>
      <c r="C166" s="31">
        <v>4</v>
      </c>
      <c r="D166" s="30">
        <v>7</v>
      </c>
      <c r="E166" s="33" cm="1">
        <f t="array" aca="1" ref="E166" ca="1">COLUMN(INDIRECT("'Scene (Numbered)'!"&amp;G166))</f>
        <v>19</v>
      </c>
      <c r="G166" s="32" t="s">
        <v>82</v>
      </c>
    </row>
    <row r="167" spans="2:7" ht="22.5" customHeight="1">
      <c r="B167" s="31">
        <f t="shared" si="3"/>
        <v>71</v>
      </c>
      <c r="C167" s="31">
        <v>4</v>
      </c>
      <c r="D167" s="30">
        <v>7</v>
      </c>
      <c r="E167" s="33" cm="1">
        <f t="array" aca="1" ref="E167" ca="1">COLUMN(INDIRECT("'Scene (Numbered)'!"&amp;G167))</f>
        <v>15</v>
      </c>
      <c r="G167" s="32" t="s">
        <v>83</v>
      </c>
    </row>
    <row r="168" spans="2:7" ht="22.5" customHeight="1">
      <c r="B168" s="31">
        <f t="shared" si="3"/>
        <v>72</v>
      </c>
      <c r="C168" s="31">
        <v>4</v>
      </c>
      <c r="D168" s="30">
        <v>7</v>
      </c>
      <c r="E168" s="33" cm="1">
        <f t="array" aca="1" ref="E168" ca="1">COLUMN(INDIRECT("'Scene (Numbered)'!"&amp;G168))</f>
        <v>2</v>
      </c>
      <c r="G168" s="32" t="s">
        <v>84</v>
      </c>
    </row>
    <row r="169" spans="2:7" ht="22.5" customHeight="1">
      <c r="B169" s="31">
        <f t="shared" si="3"/>
        <v>73</v>
      </c>
      <c r="C169" s="31">
        <v>4</v>
      </c>
      <c r="D169" s="30">
        <v>7</v>
      </c>
      <c r="E169" s="33" cm="1">
        <f t="array" aca="1" ref="E169" ca="1">COLUMN(INDIRECT("'Scene (Numbered)'!"&amp;G169))</f>
        <v>11</v>
      </c>
      <c r="G169" s="32" t="s">
        <v>92</v>
      </c>
    </row>
    <row r="170" spans="2:7" ht="22.5" customHeight="1">
      <c r="B170" s="31">
        <f t="shared" si="3"/>
        <v>74</v>
      </c>
      <c r="C170" s="31">
        <v>4</v>
      </c>
      <c r="D170" s="30">
        <v>7</v>
      </c>
      <c r="E170" s="33" cm="1">
        <f t="array" aca="1" ref="E170" ca="1">COLUMN(INDIRECT("'Scene (Numbered)'!"&amp;G170))</f>
        <v>19</v>
      </c>
      <c r="G170" s="32" t="s">
        <v>85</v>
      </c>
    </row>
    <row r="171" spans="2:7" ht="22.5" customHeight="1">
      <c r="B171" s="31">
        <f t="shared" si="3"/>
        <v>75</v>
      </c>
      <c r="C171" s="31">
        <v>4</v>
      </c>
      <c r="D171" s="30">
        <v>7</v>
      </c>
      <c r="E171" s="33" cm="1">
        <f t="array" aca="1" ref="E171" ca="1">COLUMN(INDIRECT("'Scene (Numbered)'!"&amp;G171))</f>
        <v>10</v>
      </c>
      <c r="G171" s="32" t="s">
        <v>86</v>
      </c>
    </row>
    <row r="172" spans="2:7" ht="22.5" customHeight="1">
      <c r="B172" s="31">
        <f t="shared" si="3"/>
        <v>76</v>
      </c>
      <c r="C172" s="31">
        <v>4</v>
      </c>
      <c r="D172" s="30">
        <v>7</v>
      </c>
      <c r="E172" s="33" cm="1">
        <f t="array" aca="1" ref="E172" ca="1">COLUMN(INDIRECT("'Scene (Numbered)'!"&amp;G172))</f>
        <v>9</v>
      </c>
      <c r="G172" s="32" t="s">
        <v>91</v>
      </c>
    </row>
    <row r="173" spans="2:7" ht="22.5" customHeight="1">
      <c r="B173" s="31">
        <f t="shared" si="3"/>
        <v>77</v>
      </c>
      <c r="C173" s="31">
        <v>4</v>
      </c>
      <c r="D173" s="30">
        <v>7</v>
      </c>
      <c r="E173" s="33" cm="1">
        <f t="array" aca="1" ref="E173" ca="1">COLUMN(INDIRECT("'Scene (Numbered)'!"&amp;G173))</f>
        <v>17</v>
      </c>
      <c r="G173" s="32" t="s">
        <v>87</v>
      </c>
    </row>
    <row r="174" spans="2:7" ht="22.5" customHeight="1">
      <c r="B174" s="31">
        <f t="shared" si="3"/>
        <v>78</v>
      </c>
      <c r="C174" s="31">
        <v>4</v>
      </c>
      <c r="D174" s="30">
        <v>7</v>
      </c>
      <c r="E174" s="33" cm="1">
        <f t="array" aca="1" ref="E174" ca="1">COLUMN(INDIRECT("'Scene (Numbered)'!"&amp;G174))</f>
        <v>8</v>
      </c>
      <c r="G174" s="32" t="s">
        <v>88</v>
      </c>
    </row>
    <row r="175" spans="2:7" ht="22.5" customHeight="1">
      <c r="B175" s="31">
        <f t="shared" si="3"/>
        <v>79</v>
      </c>
      <c r="C175" s="31">
        <v>4</v>
      </c>
      <c r="D175" s="30">
        <v>7</v>
      </c>
      <c r="E175" s="33" cm="1">
        <f t="array" aca="1" ref="E175" ca="1">COLUMN(INDIRECT("'Scene (Numbered)'!"&amp;G175))</f>
        <v>15</v>
      </c>
      <c r="G175" s="32" t="s">
        <v>89</v>
      </c>
    </row>
    <row r="176" spans="2:7" ht="22.5" customHeight="1">
      <c r="B176" s="31">
        <f t="shared" si="3"/>
        <v>80</v>
      </c>
      <c r="C176" s="31">
        <v>4</v>
      </c>
      <c r="D176" s="30">
        <v>7</v>
      </c>
      <c r="E176" s="33" cm="1">
        <f t="array" aca="1" ref="E176" ca="1">COLUMN(INDIRECT("'Scene (Numbered)'!"&amp;G176))</f>
        <v>19</v>
      </c>
      <c r="G176" s="32" t="s">
        <v>90</v>
      </c>
    </row>
    <row r="178" spans="2:4" ht="22.5" customHeight="1" thickBot="1">
      <c r="B178" s="139" t="s">
        <v>23</v>
      </c>
      <c r="C178" s="38" t="s">
        <v>98</v>
      </c>
      <c r="D178" s="80" t="s">
        <v>94</v>
      </c>
    </row>
    <row r="179" spans="2:4" s="74" customFormat="1" ht="15" customHeight="1">
      <c r="B179" s="73"/>
      <c r="C179" s="73"/>
      <c r="D179" s="73"/>
    </row>
    <row r="180" spans="2:4" s="74" customFormat="1" ht="15" customHeight="1">
      <c r="B180" s="75" t="s">
        <v>110</v>
      </c>
      <c r="C180" s="73"/>
      <c r="D180" s="73"/>
    </row>
    <row r="181" spans="2:4" s="74" customFormat="1" ht="15" customHeight="1">
      <c r="B181" s="71" t="s">
        <v>109</v>
      </c>
      <c r="C181" s="73"/>
      <c r="D181" s="73"/>
    </row>
    <row r="182" spans="2:4" s="74" customFormat="1" ht="15" customHeight="1">
      <c r="B182" s="73"/>
      <c r="C182" s="75"/>
      <c r="D182" s="73"/>
    </row>
    <row r="183" spans="2:4" s="74" customFormat="1" ht="15" customHeight="1">
      <c r="B183" s="71" t="s">
        <v>163</v>
      </c>
      <c r="C183" s="73"/>
      <c r="D183" s="73"/>
    </row>
    <row r="184" spans="2:4" s="74" customFormat="1" ht="15" customHeight="1">
      <c r="B184" s="75" t="s">
        <v>160</v>
      </c>
      <c r="C184" s="73"/>
      <c r="D184" s="73"/>
    </row>
    <row r="185" spans="2:4" s="74" customFormat="1" ht="15" customHeight="1">
      <c r="B185" s="75" t="s">
        <v>161</v>
      </c>
      <c r="C185" s="73"/>
      <c r="D185" s="73"/>
    </row>
    <row r="186" spans="2:4" s="74" customFormat="1" ht="15" customHeight="1">
      <c r="B186" s="75" t="s">
        <v>162</v>
      </c>
      <c r="C186" s="73"/>
      <c r="D186" s="73"/>
    </row>
    <row r="187" spans="2:4" s="74" customFormat="1" ht="15" customHeight="1">
      <c r="C187" s="73"/>
      <c r="D187" s="73"/>
    </row>
    <row r="188" spans="2:4" s="74" customFormat="1" ht="15" customHeight="1">
      <c r="B188" s="125" t="s">
        <v>132</v>
      </c>
      <c r="C188" s="73"/>
      <c r="D188" s="73"/>
    </row>
    <row r="189" spans="2:4" s="74" customFormat="1" ht="15" customHeight="1">
      <c r="B189" s="75" t="s">
        <v>164</v>
      </c>
      <c r="C189" s="77"/>
      <c r="D189" s="73"/>
    </row>
    <row r="190" spans="2:4" s="74" customFormat="1" ht="15" customHeight="1">
      <c r="B190" s="75" t="s">
        <v>165</v>
      </c>
      <c r="C190" s="73"/>
      <c r="D190" s="73"/>
    </row>
    <row r="191" spans="2:4" s="74" customFormat="1" ht="15" customHeight="1">
      <c r="B191" s="75" t="s">
        <v>166</v>
      </c>
      <c r="C191" s="76"/>
      <c r="D191" s="73"/>
    </row>
    <row r="193" spans="2:16" ht="22.5" customHeight="1" thickBot="1">
      <c r="B193" s="115" t="s">
        <v>3</v>
      </c>
      <c r="C193" s="116" t="s">
        <v>14</v>
      </c>
      <c r="D193" s="117" t="s">
        <v>5</v>
      </c>
      <c r="E193" s="118" t="s">
        <v>6</v>
      </c>
      <c r="F193" s="73"/>
      <c r="G193" s="116" t="s">
        <v>26</v>
      </c>
      <c r="H193" s="116" t="s">
        <v>2</v>
      </c>
    </row>
    <row r="194" spans="2:16" ht="15" customHeight="1">
      <c r="B194" s="72"/>
      <c r="C194" s="72"/>
      <c r="D194" s="72"/>
      <c r="E194" s="23"/>
    </row>
    <row r="195" spans="2:16" ht="22.5" customHeight="1">
      <c r="B195" s="29" t="s">
        <v>33</v>
      </c>
      <c r="C195" s="29">
        <v>5</v>
      </c>
      <c r="D195" s="30">
        <v>0</v>
      </c>
      <c r="E195" s="33" t="s">
        <v>183</v>
      </c>
      <c r="G195" s="32" t="s">
        <v>35</v>
      </c>
      <c r="H195" s="32">
        <v>6</v>
      </c>
    </row>
    <row r="196" spans="2:16" ht="15" customHeight="1">
      <c r="B196" s="72"/>
      <c r="C196" s="72"/>
      <c r="D196" s="72"/>
      <c r="E196" s="23"/>
      <c r="G196" s="73"/>
      <c r="H196" s="73"/>
      <c r="J196" s="23" t="s">
        <v>197</v>
      </c>
      <c r="K196" s="23" t="s">
        <v>198</v>
      </c>
      <c r="L196" s="23" t="s">
        <v>199</v>
      </c>
      <c r="M196" s="23" t="s">
        <v>200</v>
      </c>
      <c r="N196" s="23" t="s">
        <v>201</v>
      </c>
      <c r="O196" s="23" t="s">
        <v>200</v>
      </c>
      <c r="P196" s="23" t="s">
        <v>201</v>
      </c>
    </row>
    <row r="197" spans="2:16" ht="22.5" customHeight="1">
      <c r="B197" s="31">
        <v>81</v>
      </c>
      <c r="C197" s="31">
        <v>5</v>
      </c>
      <c r="D197" s="30">
        <v>8</v>
      </c>
      <c r="E197" s="33" t="str" cm="1">
        <f t="array" ref="E197">ADDRESS(_xlfn.REGEXEXTRACT(G197,"\d+"),L197+1,4)</f>
        <v>K10</v>
      </c>
      <c r="G197" s="32" t="s">
        <v>36</v>
      </c>
      <c r="H197" s="32">
        <v>10</v>
      </c>
      <c r="J197" s="33" cm="1">
        <f t="array" aca="1" ref="J197" ca="1">COLUMN(INDIRECT("'Scene (Numbered)'!"&amp;G197))</f>
        <v>1</v>
      </c>
      <c r="K197" s="23">
        <f>22</f>
        <v>22</v>
      </c>
      <c r="L197" s="141">
        <f>MIN(H197,K197)</f>
        <v>10</v>
      </c>
    </row>
    <row r="198" spans="2:16" ht="22.5" customHeight="1">
      <c r="B198" s="31">
        <f>B197+1</f>
        <v>82</v>
      </c>
      <c r="C198" s="31">
        <v>5</v>
      </c>
      <c r="D198" s="30">
        <v>8</v>
      </c>
      <c r="E198" s="33" t="str" cm="1">
        <f t="array" ref="E198">ADDRESS(_xlfn.REGEXEXTRACT(G198,"\d+"),L198+1,4)</f>
        <v>S25</v>
      </c>
      <c r="G198" s="32" t="s">
        <v>37</v>
      </c>
      <c r="H198" s="32">
        <v>18</v>
      </c>
      <c r="J198" s="33" cm="1">
        <f t="array" aca="1" ref="J198" ca="1">COLUMN(INDIRECT("'Scene (Numbered)'!"&amp;G198))</f>
        <v>1</v>
      </c>
      <c r="K198" s="23">
        <f>22</f>
        <v>22</v>
      </c>
      <c r="L198" s="141">
        <f t="shared" ref="L198:L216" si="4">MIN(H198,K198)</f>
        <v>18</v>
      </c>
    </row>
    <row r="199" spans="2:16" ht="22.5" customHeight="1">
      <c r="B199" s="31">
        <f>B198+1</f>
        <v>83</v>
      </c>
      <c r="C199" s="31">
        <v>5</v>
      </c>
      <c r="D199" s="30">
        <v>8</v>
      </c>
      <c r="E199" s="33" t="str" cm="1">
        <f t="array" ref="E199">ADDRESS(_xlfn.REGEXEXTRACT(G199,"\d+"),L199+1,4)</f>
        <v>E4</v>
      </c>
      <c r="G199" s="32" t="s">
        <v>38</v>
      </c>
      <c r="H199" s="32">
        <v>4</v>
      </c>
      <c r="J199" s="33" cm="1">
        <f t="array" aca="1" ref="J199" ca="1">COLUMN(INDIRECT("'Scene (Numbered)'!"&amp;G199))</f>
        <v>1</v>
      </c>
      <c r="K199" s="23">
        <f>22</f>
        <v>22</v>
      </c>
      <c r="L199" s="141">
        <f t="shared" si="4"/>
        <v>4</v>
      </c>
    </row>
    <row r="200" spans="2:16" ht="22.5" customHeight="1">
      <c r="B200" s="31">
        <f t="shared" ref="B200:B216" si="5">B199+1</f>
        <v>84</v>
      </c>
      <c r="C200" s="31">
        <v>5</v>
      </c>
      <c r="D200" s="30">
        <v>8</v>
      </c>
      <c r="E200" s="33" t="str" cm="1">
        <f t="array" ref="E200">ADDRESS(_xlfn.REGEXEXTRACT(G200,"\d+"),L200+1,4)</f>
        <v>C19</v>
      </c>
      <c r="G200" s="32" t="s">
        <v>50</v>
      </c>
      <c r="H200" s="32">
        <v>2</v>
      </c>
      <c r="J200" s="33" cm="1">
        <f t="array" aca="1" ref="J200" ca="1">COLUMN(INDIRECT("'Scene (Numbered)'!"&amp;G200))</f>
        <v>1</v>
      </c>
      <c r="K200" s="23">
        <f>22</f>
        <v>22</v>
      </c>
      <c r="L200" s="141">
        <f t="shared" si="4"/>
        <v>2</v>
      </c>
    </row>
    <row r="201" spans="2:16" ht="22.5" customHeight="1">
      <c r="B201" s="31">
        <f t="shared" si="5"/>
        <v>85</v>
      </c>
      <c r="C201" s="31">
        <v>5</v>
      </c>
      <c r="D201" s="30">
        <v>8</v>
      </c>
      <c r="E201" s="33" t="str" cm="1">
        <f t="array" ref="E201">ADDRESS(_xlfn.REGEXEXTRACT(G201,"\d+"),L201+1,4)</f>
        <v>P26</v>
      </c>
      <c r="G201" s="32" t="s">
        <v>40</v>
      </c>
      <c r="H201" s="32">
        <v>15</v>
      </c>
      <c r="J201" s="33" cm="1">
        <f t="array" aca="1" ref="J201" ca="1">COLUMN(INDIRECT("'Scene (Numbered)'!"&amp;G201))</f>
        <v>1</v>
      </c>
      <c r="K201" s="23">
        <f>22</f>
        <v>22</v>
      </c>
      <c r="L201" s="141">
        <f t="shared" si="4"/>
        <v>15</v>
      </c>
    </row>
    <row r="202" spans="2:16" ht="22.5" customHeight="1">
      <c r="B202" s="31">
        <f t="shared" si="5"/>
        <v>86</v>
      </c>
      <c r="C202" s="31">
        <v>5</v>
      </c>
      <c r="D202" s="30">
        <v>8</v>
      </c>
      <c r="E202" s="33" t="str" cm="1">
        <f t="array" ref="E202">ADDRESS(_xlfn.REGEXEXTRACT(G202,"\d+"),L202+1,4)</f>
        <v>C3</v>
      </c>
      <c r="G202" s="32" t="s">
        <v>39</v>
      </c>
      <c r="H202" s="32">
        <v>2</v>
      </c>
      <c r="J202" s="33" cm="1">
        <f t="array" aca="1" ref="J202" ca="1">COLUMN(INDIRECT("'Scene (Numbered)'!"&amp;G202))</f>
        <v>1</v>
      </c>
      <c r="K202" s="23">
        <f>22</f>
        <v>22</v>
      </c>
      <c r="L202" s="141">
        <f t="shared" si="4"/>
        <v>2</v>
      </c>
    </row>
    <row r="203" spans="2:16" ht="22.5" customHeight="1">
      <c r="B203" s="31">
        <f t="shared" si="5"/>
        <v>87</v>
      </c>
      <c r="C203" s="31">
        <v>5</v>
      </c>
      <c r="D203" s="30">
        <v>8</v>
      </c>
      <c r="E203" s="33" t="str" cm="1">
        <f t="array" ref="E203">ADDRESS(_xlfn.REGEXEXTRACT(G203,"\d+"),L203+1,4)</f>
        <v>Q17</v>
      </c>
      <c r="G203" s="32" t="s">
        <v>51</v>
      </c>
      <c r="H203" s="32">
        <v>16</v>
      </c>
      <c r="J203" s="33" cm="1">
        <f t="array" aca="1" ref="J203" ca="1">COLUMN(INDIRECT("'Scene (Numbered)'!"&amp;G203))</f>
        <v>1</v>
      </c>
      <c r="K203" s="23">
        <f>22</f>
        <v>22</v>
      </c>
      <c r="L203" s="141">
        <f t="shared" si="4"/>
        <v>16</v>
      </c>
    </row>
    <row r="204" spans="2:16" ht="22.5" customHeight="1">
      <c r="B204" s="31">
        <f t="shared" si="5"/>
        <v>88</v>
      </c>
      <c r="C204" s="31">
        <v>5</v>
      </c>
      <c r="D204" s="30">
        <v>8</v>
      </c>
      <c r="E204" s="33" t="str" cm="1">
        <f t="array" ref="E204">ADDRESS(_xlfn.REGEXEXTRACT(G204,"\d+"),L204+1,4)</f>
        <v>C4</v>
      </c>
      <c r="G204" s="32" t="s">
        <v>38</v>
      </c>
      <c r="H204" s="32">
        <v>2</v>
      </c>
      <c r="J204" s="33" cm="1">
        <f t="array" aca="1" ref="J204" ca="1">COLUMN(INDIRECT("'Scene (Numbered)'!"&amp;G204))</f>
        <v>1</v>
      </c>
      <c r="K204" s="23">
        <f>22</f>
        <v>22</v>
      </c>
      <c r="L204" s="141">
        <f t="shared" si="4"/>
        <v>2</v>
      </c>
    </row>
    <row r="205" spans="2:16" ht="22.5" customHeight="1">
      <c r="B205" s="31">
        <f t="shared" si="5"/>
        <v>89</v>
      </c>
      <c r="C205" s="31">
        <v>5</v>
      </c>
      <c r="D205" s="30">
        <v>8</v>
      </c>
      <c r="E205" s="33" t="str" cm="1">
        <f t="array" ref="E205">ADDRESS(_xlfn.REGEXEXTRACT(G205,"\d+"),L205+1,4)</f>
        <v>L3</v>
      </c>
      <c r="G205" s="32" t="s">
        <v>39</v>
      </c>
      <c r="H205" s="32">
        <v>11</v>
      </c>
      <c r="J205" s="33" cm="1">
        <f t="array" aca="1" ref="J205" ca="1">COLUMN(INDIRECT("'Scene (Numbered)'!"&amp;G205))</f>
        <v>1</v>
      </c>
      <c r="K205" s="23">
        <f>22</f>
        <v>22</v>
      </c>
      <c r="L205" s="141">
        <f t="shared" si="4"/>
        <v>11</v>
      </c>
    </row>
    <row r="206" spans="2:16" ht="22.5" customHeight="1">
      <c r="B206" s="31">
        <f t="shared" si="5"/>
        <v>90</v>
      </c>
      <c r="C206" s="31">
        <v>5</v>
      </c>
      <c r="D206" s="30">
        <v>8</v>
      </c>
      <c r="E206" s="33" t="str" cm="1">
        <f t="array" ref="E206">ADDRESS(_xlfn.REGEXEXTRACT(G206,"\d+"),L206+1,4)</f>
        <v>O16</v>
      </c>
      <c r="G206" s="32" t="s">
        <v>41</v>
      </c>
      <c r="H206" s="32">
        <v>14</v>
      </c>
      <c r="J206" s="33" cm="1">
        <f t="array" aca="1" ref="J206" ca="1">COLUMN(INDIRECT("'Scene (Numbered)'!"&amp;G206))</f>
        <v>1</v>
      </c>
      <c r="K206" s="23">
        <f>22</f>
        <v>22</v>
      </c>
      <c r="L206" s="141">
        <f t="shared" si="4"/>
        <v>14</v>
      </c>
    </row>
    <row r="207" spans="2:16" ht="22.5" customHeight="1">
      <c r="B207" s="31">
        <f t="shared" si="5"/>
        <v>91</v>
      </c>
      <c r="C207" s="31">
        <v>5</v>
      </c>
      <c r="D207" s="30">
        <v>8</v>
      </c>
      <c r="E207" s="33" t="str" cm="1">
        <f t="array" ref="E207">ADDRESS(_xlfn.REGEXEXTRACT(G207,"\d+"),L207+1,4)</f>
        <v>D7</v>
      </c>
      <c r="G207" s="32" t="s">
        <v>42</v>
      </c>
      <c r="H207" s="32">
        <v>3</v>
      </c>
      <c r="J207" s="33" cm="1">
        <f t="array" aca="1" ref="J207" ca="1">COLUMN(INDIRECT("'Scene (Numbered)'!"&amp;G207))</f>
        <v>1</v>
      </c>
      <c r="K207" s="23">
        <f>22</f>
        <v>22</v>
      </c>
      <c r="L207" s="141">
        <f t="shared" si="4"/>
        <v>3</v>
      </c>
    </row>
    <row r="208" spans="2:16" ht="22.5" customHeight="1">
      <c r="B208" s="31">
        <f t="shared" si="5"/>
        <v>92</v>
      </c>
      <c r="C208" s="31">
        <v>5</v>
      </c>
      <c r="D208" s="30">
        <v>8</v>
      </c>
      <c r="E208" s="33" t="str" cm="1">
        <f t="array" ref="E208">ADDRESS(_xlfn.REGEXEXTRACT(G208,"\d+"),L208+1,4)</f>
        <v>I21</v>
      </c>
      <c r="G208" s="32" t="s">
        <v>43</v>
      </c>
      <c r="H208" s="32">
        <v>8</v>
      </c>
      <c r="J208" s="33" cm="1">
        <f t="array" aca="1" ref="J208" ca="1">COLUMN(INDIRECT("'Scene (Numbered)'!"&amp;G208))</f>
        <v>1</v>
      </c>
      <c r="K208" s="23">
        <f>22</f>
        <v>22</v>
      </c>
      <c r="L208" s="141">
        <f t="shared" si="4"/>
        <v>8</v>
      </c>
    </row>
    <row r="209" spans="2:12" ht="22.5" customHeight="1">
      <c r="B209" s="31">
        <f t="shared" si="5"/>
        <v>93</v>
      </c>
      <c r="C209" s="31">
        <v>5</v>
      </c>
      <c r="D209" s="30">
        <v>8</v>
      </c>
      <c r="E209" s="33" t="str" cm="1">
        <f t="array" ref="E209">ADDRESS(_xlfn.REGEXEXTRACT(G209,"\d+"),L209+1,4)</f>
        <v>D8</v>
      </c>
      <c r="G209" s="32" t="s">
        <v>44</v>
      </c>
      <c r="H209" s="32">
        <v>3</v>
      </c>
      <c r="J209" s="33" cm="1">
        <f t="array" aca="1" ref="J209" ca="1">COLUMN(INDIRECT("'Scene (Numbered)'!"&amp;G209))</f>
        <v>1</v>
      </c>
      <c r="K209" s="23">
        <f>22</f>
        <v>22</v>
      </c>
      <c r="L209" s="141">
        <f t="shared" si="4"/>
        <v>3</v>
      </c>
    </row>
    <row r="210" spans="2:12" ht="22.5" customHeight="1">
      <c r="B210" s="31">
        <f t="shared" si="5"/>
        <v>94</v>
      </c>
      <c r="C210" s="31">
        <v>5</v>
      </c>
      <c r="D210" s="30">
        <v>8</v>
      </c>
      <c r="E210" s="33" t="str" cm="1">
        <f t="array" ref="E210">ADDRESS(_xlfn.REGEXEXTRACT(G210,"\d+"),L210+1,4)</f>
        <v>Q6</v>
      </c>
      <c r="G210" s="32" t="s">
        <v>45</v>
      </c>
      <c r="H210" s="32">
        <v>16</v>
      </c>
      <c r="J210" s="33" cm="1">
        <f t="array" aca="1" ref="J210" ca="1">COLUMN(INDIRECT("'Scene (Numbered)'!"&amp;G210))</f>
        <v>1</v>
      </c>
      <c r="K210" s="23">
        <f>22</f>
        <v>22</v>
      </c>
      <c r="L210" s="141">
        <f t="shared" si="4"/>
        <v>16</v>
      </c>
    </row>
    <row r="211" spans="2:12" ht="22.5" customHeight="1">
      <c r="B211" s="31">
        <f t="shared" si="5"/>
        <v>95</v>
      </c>
      <c r="C211" s="31">
        <v>5</v>
      </c>
      <c r="D211" s="30">
        <v>8</v>
      </c>
      <c r="E211" s="33" t="str" cm="1">
        <f t="array" ref="E211">ADDRESS(_xlfn.REGEXEXTRACT(G211,"\d+"),L211+1,4)</f>
        <v>M22</v>
      </c>
      <c r="G211" s="32" t="s">
        <v>46</v>
      </c>
      <c r="H211" s="32">
        <v>12</v>
      </c>
      <c r="J211" s="33" cm="1">
        <f t="array" aca="1" ref="J211" ca="1">COLUMN(INDIRECT("'Scene (Numbered)'!"&amp;G211))</f>
        <v>1</v>
      </c>
      <c r="K211" s="23">
        <f>22</f>
        <v>22</v>
      </c>
      <c r="L211" s="141">
        <f t="shared" si="4"/>
        <v>12</v>
      </c>
    </row>
    <row r="212" spans="2:12" ht="22.5" customHeight="1">
      <c r="B212" s="31">
        <f t="shared" si="5"/>
        <v>96</v>
      </c>
      <c r="C212" s="31">
        <v>5</v>
      </c>
      <c r="D212" s="30">
        <v>8</v>
      </c>
      <c r="E212" s="33" t="str" cm="1">
        <f t="array" ref="E212">ADDRESS(_xlfn.REGEXEXTRACT(G212,"\d+"),L212+1,4)</f>
        <v>U9</v>
      </c>
      <c r="G212" s="32" t="s">
        <v>47</v>
      </c>
      <c r="H212" s="32">
        <v>20</v>
      </c>
      <c r="J212" s="33" cm="1">
        <f t="array" aca="1" ref="J212" ca="1">COLUMN(INDIRECT("'Scene (Numbered)'!"&amp;G212))</f>
        <v>1</v>
      </c>
      <c r="K212" s="23">
        <f>22</f>
        <v>22</v>
      </c>
      <c r="L212" s="141">
        <f t="shared" si="4"/>
        <v>20</v>
      </c>
    </row>
    <row r="213" spans="2:12" ht="22.5" customHeight="1">
      <c r="B213" s="31">
        <f t="shared" si="5"/>
        <v>97</v>
      </c>
      <c r="C213" s="31">
        <v>5</v>
      </c>
      <c r="D213" s="30">
        <v>8</v>
      </c>
      <c r="E213" s="33" t="str" cm="1">
        <f t="array" ref="E213">ADDRESS(_xlfn.REGEXEXTRACT(G213,"\d+"),L213+1,4)</f>
        <v>C12</v>
      </c>
      <c r="G213" s="32" t="s">
        <v>48</v>
      </c>
      <c r="H213" s="32">
        <v>2</v>
      </c>
      <c r="J213" s="33" cm="1">
        <f t="array" aca="1" ref="J213" ca="1">COLUMN(INDIRECT("'Scene (Numbered)'!"&amp;G213))</f>
        <v>1</v>
      </c>
      <c r="K213" s="23">
        <f>22</f>
        <v>22</v>
      </c>
      <c r="L213" s="141">
        <f t="shared" si="4"/>
        <v>2</v>
      </c>
    </row>
    <row r="214" spans="2:12" ht="22.5" customHeight="1">
      <c r="B214" s="31">
        <f t="shared" si="5"/>
        <v>98</v>
      </c>
      <c r="C214" s="31">
        <v>5</v>
      </c>
      <c r="D214" s="30">
        <v>8</v>
      </c>
      <c r="E214" s="33" t="str" cm="1">
        <f t="array" ref="E214">ADDRESS(_xlfn.REGEXEXTRACT(G214,"\d+"),L214+1,4)</f>
        <v>T25</v>
      </c>
      <c r="G214" s="32" t="s">
        <v>37</v>
      </c>
      <c r="H214" s="32">
        <v>19</v>
      </c>
      <c r="J214" s="33" cm="1">
        <f t="array" aca="1" ref="J214" ca="1">COLUMN(INDIRECT("'Scene (Numbered)'!"&amp;G214))</f>
        <v>1</v>
      </c>
      <c r="K214" s="23">
        <f>22</f>
        <v>22</v>
      </c>
      <c r="L214" s="141">
        <f t="shared" si="4"/>
        <v>19</v>
      </c>
    </row>
    <row r="215" spans="2:12" ht="22.5" customHeight="1">
      <c r="B215" s="31">
        <f t="shared" si="5"/>
        <v>99</v>
      </c>
      <c r="C215" s="31">
        <v>5</v>
      </c>
      <c r="D215" s="30">
        <v>8</v>
      </c>
      <c r="E215" s="33" t="str" cm="1">
        <f t="array" ref="E215">ADDRESS(_xlfn.REGEXEXTRACT(G215,"\d+"),L215+1,4)</f>
        <v>C20</v>
      </c>
      <c r="G215" s="32" t="s">
        <v>49</v>
      </c>
      <c r="H215" s="32">
        <v>2</v>
      </c>
      <c r="J215" s="33" cm="1">
        <f t="array" aca="1" ref="J215" ca="1">COLUMN(INDIRECT("'Scene (Numbered)'!"&amp;G215))</f>
        <v>1</v>
      </c>
      <c r="K215" s="23">
        <f>22</f>
        <v>22</v>
      </c>
      <c r="L215" s="141">
        <f t="shared" si="4"/>
        <v>2</v>
      </c>
    </row>
    <row r="216" spans="2:12" ht="22.5" customHeight="1">
      <c r="B216" s="31">
        <f t="shared" si="5"/>
        <v>100</v>
      </c>
      <c r="C216" s="31">
        <v>5</v>
      </c>
      <c r="D216" s="30">
        <v>8</v>
      </c>
      <c r="E216" s="33" t="str" cm="1">
        <f t="array" ref="E216">ADDRESS(_xlfn.REGEXEXTRACT(G216,"\d+"),L216+1,4)</f>
        <v>N13</v>
      </c>
      <c r="G216" s="32" t="s">
        <v>35</v>
      </c>
      <c r="H216" s="32">
        <v>13</v>
      </c>
      <c r="J216" s="33" cm="1">
        <f t="array" aca="1" ref="J216" ca="1">COLUMN(INDIRECT("'Scene (Numbered)'!"&amp;G216))</f>
        <v>1</v>
      </c>
      <c r="K216" s="23">
        <f>22</f>
        <v>22</v>
      </c>
      <c r="L216" s="141">
        <f t="shared" si="4"/>
        <v>13</v>
      </c>
    </row>
    <row r="217" spans="2:12" ht="15" customHeight="1" thickBot="1">
      <c r="G217" s="23"/>
    </row>
    <row r="218" spans="2:12" ht="22.5" customHeight="1" thickBot="1">
      <c r="B218" s="139" t="s">
        <v>24</v>
      </c>
      <c r="C218" s="38" t="s">
        <v>98</v>
      </c>
      <c r="D218" s="80" t="s">
        <v>95</v>
      </c>
    </row>
    <row r="219" spans="2:12" s="74" customFormat="1" ht="15" customHeight="1">
      <c r="B219" s="73"/>
      <c r="C219" s="73"/>
      <c r="D219" s="73"/>
      <c r="E219" s="73"/>
      <c r="F219" s="73"/>
      <c r="G219" s="73"/>
      <c r="H219" s="73"/>
    </row>
    <row r="220" spans="2:12" s="74" customFormat="1" ht="15" customHeight="1">
      <c r="B220" s="75" t="s">
        <v>111</v>
      </c>
      <c r="C220" s="73"/>
      <c r="D220" s="73"/>
      <c r="E220" s="73"/>
      <c r="F220" s="73"/>
      <c r="G220" s="73"/>
      <c r="H220" s="73"/>
    </row>
    <row r="221" spans="2:12" s="74" customFormat="1" ht="15" customHeight="1">
      <c r="B221" s="71" t="s">
        <v>112</v>
      </c>
      <c r="C221" s="75"/>
      <c r="D221" s="73"/>
      <c r="E221" s="73"/>
      <c r="F221" s="73"/>
      <c r="G221" s="72"/>
      <c r="H221" s="72"/>
    </row>
    <row r="222" spans="2:12" s="74" customFormat="1" ht="15" customHeight="1">
      <c r="B222" s="72"/>
      <c r="C222" s="75"/>
      <c r="D222" s="73"/>
      <c r="E222" s="73"/>
      <c r="F222" s="73"/>
      <c r="G222" s="72"/>
      <c r="H222" s="72"/>
    </row>
    <row r="223" spans="2:12" s="74" customFormat="1" ht="15" customHeight="1">
      <c r="B223" s="71" t="s">
        <v>167</v>
      </c>
      <c r="C223" s="75"/>
      <c r="D223" s="73"/>
      <c r="E223" s="73"/>
      <c r="F223" s="73"/>
      <c r="G223" s="72"/>
      <c r="H223" s="72"/>
    </row>
    <row r="224" spans="2:12" s="74" customFormat="1" ht="15" customHeight="1">
      <c r="B224" s="75" t="s">
        <v>169</v>
      </c>
      <c r="C224" s="73"/>
      <c r="D224" s="73"/>
      <c r="E224" s="73"/>
      <c r="F224" s="73"/>
      <c r="G224" s="72"/>
      <c r="H224" s="72"/>
    </row>
    <row r="225" spans="2:12" s="74" customFormat="1" ht="15" customHeight="1">
      <c r="B225" s="75" t="s">
        <v>168</v>
      </c>
      <c r="C225" s="73"/>
      <c r="D225" s="73"/>
      <c r="E225" s="73"/>
      <c r="F225" s="73"/>
      <c r="G225" s="72"/>
      <c r="H225" s="72"/>
    </row>
    <row r="226" spans="2:12" s="74" customFormat="1" ht="15" customHeight="1">
      <c r="B226" s="75" t="s">
        <v>170</v>
      </c>
      <c r="C226" s="73"/>
      <c r="D226" s="73"/>
      <c r="E226" s="73"/>
      <c r="F226" s="73"/>
      <c r="G226" s="72"/>
      <c r="H226" s="72"/>
    </row>
    <row r="227" spans="2:12" s="74" customFormat="1" ht="15" customHeight="1">
      <c r="C227" s="73"/>
      <c r="D227" s="73"/>
      <c r="E227" s="73"/>
      <c r="F227" s="73"/>
      <c r="G227" s="72"/>
      <c r="H227" s="72"/>
    </row>
    <row r="228" spans="2:12" s="74" customFormat="1" ht="15" customHeight="1">
      <c r="B228" s="126" t="s">
        <v>132</v>
      </c>
      <c r="C228" s="73"/>
      <c r="D228" s="73"/>
      <c r="E228" s="73"/>
      <c r="F228" s="73"/>
      <c r="H228" s="72"/>
    </row>
    <row r="229" spans="2:12" s="74" customFormat="1" ht="15" customHeight="1">
      <c r="B229" s="127" t="s">
        <v>171</v>
      </c>
      <c r="C229" s="73"/>
      <c r="D229" s="73"/>
      <c r="E229" s="73"/>
      <c r="F229" s="73"/>
      <c r="H229" s="72"/>
    </row>
    <row r="230" spans="2:12" s="74" customFormat="1" ht="15" customHeight="1">
      <c r="B230" s="127" t="s">
        <v>172</v>
      </c>
      <c r="C230" s="73"/>
      <c r="D230" s="73"/>
      <c r="E230" s="73"/>
      <c r="F230" s="73"/>
      <c r="H230" s="72"/>
    </row>
    <row r="231" spans="2:12" s="74" customFormat="1" ht="15" customHeight="1">
      <c r="B231" s="127" t="s">
        <v>173</v>
      </c>
      <c r="C231" s="77"/>
      <c r="D231" s="73"/>
      <c r="E231" s="73"/>
      <c r="F231" s="73"/>
      <c r="H231" s="72"/>
    </row>
    <row r="232" spans="2:12" s="74" customFormat="1" ht="15" customHeight="1" thickBot="1">
      <c r="B232" s="71"/>
      <c r="C232" s="73"/>
      <c r="D232" s="73"/>
      <c r="E232" s="73"/>
      <c r="F232" s="73"/>
      <c r="G232" s="72"/>
      <c r="H232" s="72"/>
    </row>
    <row r="233" spans="2:12" s="74" customFormat="1" ht="22.5" customHeight="1" thickBot="1">
      <c r="B233" s="115" t="s">
        <v>3</v>
      </c>
      <c r="C233" s="116" t="s">
        <v>14</v>
      </c>
      <c r="D233" s="117" t="s">
        <v>5</v>
      </c>
      <c r="E233" s="118" t="s">
        <v>6</v>
      </c>
      <c r="F233" s="73"/>
      <c r="G233" s="116" t="s">
        <v>26</v>
      </c>
      <c r="H233" s="116" t="s">
        <v>2</v>
      </c>
    </row>
    <row r="234" spans="2:12" ht="15" customHeight="1">
      <c r="B234" s="23"/>
      <c r="C234" s="23"/>
      <c r="D234" s="23"/>
      <c r="E234" s="23"/>
    </row>
    <row r="235" spans="2:12" ht="22.5" customHeight="1">
      <c r="B235" s="31" t="s">
        <v>25</v>
      </c>
      <c r="C235" s="29">
        <v>6</v>
      </c>
      <c r="D235" s="30">
        <v>0</v>
      </c>
      <c r="E235" s="33" t="s">
        <v>184</v>
      </c>
      <c r="G235" s="32" t="s">
        <v>52</v>
      </c>
      <c r="H235" s="32">
        <v>8</v>
      </c>
    </row>
    <row r="236" spans="2:12" ht="15" customHeight="1">
      <c r="B236" s="23"/>
      <c r="C236" s="23"/>
      <c r="D236" s="23"/>
      <c r="E236" s="23"/>
      <c r="J236" s="23" t="s">
        <v>197</v>
      </c>
      <c r="K236" s="23" t="s">
        <v>198</v>
      </c>
    </row>
    <row r="237" spans="2:12" ht="22.5" customHeight="1">
      <c r="B237" s="31">
        <v>101</v>
      </c>
      <c r="C237" s="31">
        <v>6</v>
      </c>
      <c r="D237" s="30">
        <v>8</v>
      </c>
      <c r="E237" s="33" t="str" cm="1">
        <f t="array" aca="1" ref="E237" ca="1">ADDRESS(_xlfn.REGEXEXTRACT(G237,"\d+"),L237,4)</f>
        <v>D12</v>
      </c>
      <c r="G237" s="32" t="s">
        <v>62</v>
      </c>
      <c r="H237" s="32">
        <v>18</v>
      </c>
      <c r="J237" s="33" cm="1">
        <f t="array" aca="1" ref="J237" ca="1">COLUMN(INDIRECT("'Scene (Numbered)'!"&amp;G237))</f>
        <v>22</v>
      </c>
      <c r="K237" s="23">
        <f>1</f>
        <v>1</v>
      </c>
      <c r="L237" s="141">
        <f ca="1">J237-H237</f>
        <v>4</v>
      </c>
    </row>
    <row r="238" spans="2:12" ht="22.5" customHeight="1">
      <c r="B238" s="31">
        <f>B237+1</f>
        <v>102</v>
      </c>
      <c r="C238" s="31">
        <v>6</v>
      </c>
      <c r="D238" s="30">
        <v>8</v>
      </c>
      <c r="E238" s="33" t="str" cm="1">
        <f t="array" aca="1" ref="E238" ca="1">ADDRESS(_xlfn.REGEXEXTRACT(G238,"\d+"),L238,4)</f>
        <v>G16</v>
      </c>
      <c r="G238" s="32" t="s">
        <v>53</v>
      </c>
      <c r="H238" s="32">
        <v>15</v>
      </c>
      <c r="J238" s="33" cm="1">
        <f t="array" aca="1" ref="J238" ca="1">COLUMN(INDIRECT("'Scene (Numbered)'!"&amp;G238))</f>
        <v>22</v>
      </c>
      <c r="K238" s="23">
        <f>1</f>
        <v>1</v>
      </c>
      <c r="L238" s="141">
        <f t="shared" ref="L238:L256" ca="1" si="6">J238-H238</f>
        <v>7</v>
      </c>
    </row>
    <row r="239" spans="2:12" ht="22.5" customHeight="1">
      <c r="B239" s="31">
        <f t="shared" ref="B239:B256" si="7">B238+1</f>
        <v>103</v>
      </c>
      <c r="C239" s="31">
        <v>6</v>
      </c>
      <c r="D239" s="30">
        <v>8</v>
      </c>
      <c r="E239" s="33" t="str" cm="1">
        <f t="array" aca="1" ref="E239" ca="1">ADDRESS(_xlfn.REGEXEXTRACT(G239,"\d+"),L239,4)</f>
        <v>O21</v>
      </c>
      <c r="G239" s="32" t="s">
        <v>54</v>
      </c>
      <c r="H239" s="32">
        <v>7</v>
      </c>
      <c r="J239" s="33" cm="1">
        <f t="array" aca="1" ref="J239" ca="1">COLUMN(INDIRECT("'Scene (Numbered)'!"&amp;G239))</f>
        <v>22</v>
      </c>
      <c r="K239" s="23">
        <f>1</f>
        <v>1</v>
      </c>
      <c r="L239" s="141">
        <f t="shared" ca="1" si="6"/>
        <v>15</v>
      </c>
    </row>
    <row r="240" spans="2:12" ht="22.5" customHeight="1">
      <c r="B240" s="31">
        <f t="shared" si="7"/>
        <v>104</v>
      </c>
      <c r="C240" s="31">
        <v>6</v>
      </c>
      <c r="D240" s="30">
        <v>8</v>
      </c>
      <c r="E240" s="33" t="str" cm="1">
        <f t="array" aca="1" ref="E240" ca="1">ADDRESS(_xlfn.REGEXEXTRACT(G240,"\d+"),L240,4)</f>
        <v>L6</v>
      </c>
      <c r="G240" s="32" t="s">
        <v>52</v>
      </c>
      <c r="H240" s="32">
        <v>10</v>
      </c>
      <c r="J240" s="33" cm="1">
        <f t="array" aca="1" ref="J240" ca="1">COLUMN(INDIRECT("'Scene (Numbered)'!"&amp;G240))</f>
        <v>22</v>
      </c>
      <c r="K240" s="23">
        <f>1</f>
        <v>1</v>
      </c>
      <c r="L240" s="141">
        <f t="shared" ca="1" si="6"/>
        <v>12</v>
      </c>
    </row>
    <row r="241" spans="2:12" ht="22.5" customHeight="1">
      <c r="B241" s="31">
        <f t="shared" si="7"/>
        <v>105</v>
      </c>
      <c r="C241" s="31">
        <v>6</v>
      </c>
      <c r="D241" s="30">
        <v>8</v>
      </c>
      <c r="E241" s="33" t="str" cm="1">
        <f t="array" aca="1" ref="E241" ca="1">ADDRESS(_xlfn.REGEXEXTRACT(G241,"\d+"),L241,4)</f>
        <v>Q26</v>
      </c>
      <c r="G241" s="32" t="s">
        <v>55</v>
      </c>
      <c r="H241" s="32">
        <v>5</v>
      </c>
      <c r="J241" s="33" cm="1">
        <f t="array" aca="1" ref="J241" ca="1">COLUMN(INDIRECT("'Scene (Numbered)'!"&amp;G241))</f>
        <v>22</v>
      </c>
      <c r="K241" s="23">
        <f>1</f>
        <v>1</v>
      </c>
      <c r="L241" s="141">
        <f t="shared" ca="1" si="6"/>
        <v>17</v>
      </c>
    </row>
    <row r="242" spans="2:12" ht="22.5" customHeight="1">
      <c r="B242" s="31">
        <f t="shared" si="7"/>
        <v>106</v>
      </c>
      <c r="C242" s="31">
        <v>6</v>
      </c>
      <c r="D242" s="30">
        <v>8</v>
      </c>
      <c r="E242" s="33" t="str" cm="1">
        <f t="array" aca="1" ref="E242" ca="1">ADDRESS(_xlfn.REGEXEXTRACT(G242,"\d+"),L242,4)</f>
        <v>F25</v>
      </c>
      <c r="G242" s="32" t="s">
        <v>56</v>
      </c>
      <c r="H242" s="32">
        <v>16</v>
      </c>
      <c r="J242" s="33" cm="1">
        <f t="array" aca="1" ref="J242" ca="1">COLUMN(INDIRECT("'Scene (Numbered)'!"&amp;G242))</f>
        <v>22</v>
      </c>
      <c r="K242" s="23">
        <f>1</f>
        <v>1</v>
      </c>
      <c r="L242" s="141">
        <f t="shared" ca="1" si="6"/>
        <v>6</v>
      </c>
    </row>
    <row r="243" spans="2:12" ht="22.5" customHeight="1">
      <c r="B243" s="31">
        <f t="shared" si="7"/>
        <v>107</v>
      </c>
      <c r="C243" s="31">
        <v>6</v>
      </c>
      <c r="D243" s="30">
        <v>8</v>
      </c>
      <c r="E243" s="33" t="str" cm="1">
        <f t="array" aca="1" ref="E243" ca="1">ADDRESS(_xlfn.REGEXEXTRACT(G243,"\d+"),L243,4)</f>
        <v>M26</v>
      </c>
      <c r="G243" s="32" t="s">
        <v>55</v>
      </c>
      <c r="H243" s="32">
        <v>9</v>
      </c>
      <c r="J243" s="33" cm="1">
        <f t="array" aca="1" ref="J243" ca="1">COLUMN(INDIRECT("'Scene (Numbered)'!"&amp;G243))</f>
        <v>22</v>
      </c>
      <c r="K243" s="23">
        <f>1</f>
        <v>1</v>
      </c>
      <c r="L243" s="141">
        <f t="shared" ca="1" si="6"/>
        <v>13</v>
      </c>
    </row>
    <row r="244" spans="2:12" ht="22.5" customHeight="1">
      <c r="B244" s="31">
        <f t="shared" si="7"/>
        <v>108</v>
      </c>
      <c r="C244" s="31">
        <v>6</v>
      </c>
      <c r="D244" s="30">
        <v>8</v>
      </c>
      <c r="E244" s="33" t="str" cm="1">
        <f t="array" aca="1" ref="E244" ca="1">ADDRESS(_xlfn.REGEXEXTRACT(G244,"\d+"),L244,4)</f>
        <v>F25</v>
      </c>
      <c r="G244" s="32" t="s">
        <v>56</v>
      </c>
      <c r="H244" s="32">
        <v>16</v>
      </c>
      <c r="J244" s="33" cm="1">
        <f t="array" aca="1" ref="J244" ca="1">COLUMN(INDIRECT("'Scene (Numbered)'!"&amp;G244))</f>
        <v>22</v>
      </c>
      <c r="K244" s="23">
        <f>1</f>
        <v>1</v>
      </c>
      <c r="L244" s="141">
        <f t="shared" ca="1" si="6"/>
        <v>6</v>
      </c>
    </row>
    <row r="245" spans="2:12" ht="22.5" customHeight="1">
      <c r="B245" s="31">
        <f t="shared" si="7"/>
        <v>109</v>
      </c>
      <c r="C245" s="31">
        <v>6</v>
      </c>
      <c r="D245" s="30">
        <v>8</v>
      </c>
      <c r="E245" s="33" t="str" cm="1">
        <f t="array" aca="1" ref="E245" ca="1">ADDRESS(_xlfn.REGEXEXTRACT(G245,"\d+"),L245,4)</f>
        <v>B17</v>
      </c>
      <c r="G245" s="32" t="s">
        <v>57</v>
      </c>
      <c r="H245" s="32">
        <v>20</v>
      </c>
      <c r="J245" s="33" cm="1">
        <f t="array" aca="1" ref="J245" ca="1">COLUMN(INDIRECT("'Scene (Numbered)'!"&amp;G245))</f>
        <v>22</v>
      </c>
      <c r="K245" s="23">
        <f>1</f>
        <v>1</v>
      </c>
      <c r="L245" s="141">
        <f t="shared" ca="1" si="6"/>
        <v>2</v>
      </c>
    </row>
    <row r="246" spans="2:12" ht="22.5" customHeight="1">
      <c r="B246" s="31">
        <f t="shared" si="7"/>
        <v>110</v>
      </c>
      <c r="C246" s="31">
        <v>6</v>
      </c>
      <c r="D246" s="30">
        <v>8</v>
      </c>
      <c r="E246" s="33" t="str" cm="1">
        <f t="array" aca="1" ref="E246" ca="1">ADDRESS(_xlfn.REGEXEXTRACT(G246,"\d+"),L246,4)</f>
        <v>D8</v>
      </c>
      <c r="G246" s="32" t="s">
        <v>58</v>
      </c>
      <c r="H246" s="32">
        <v>18</v>
      </c>
      <c r="J246" s="33" cm="1">
        <f t="array" aca="1" ref="J246" ca="1">COLUMN(INDIRECT("'Scene (Numbered)'!"&amp;G246))</f>
        <v>22</v>
      </c>
      <c r="K246" s="23">
        <f>1</f>
        <v>1</v>
      </c>
      <c r="L246" s="141">
        <f t="shared" ca="1" si="6"/>
        <v>4</v>
      </c>
    </row>
    <row r="247" spans="2:12" ht="22.5" customHeight="1">
      <c r="B247" s="31">
        <f t="shared" si="7"/>
        <v>111</v>
      </c>
      <c r="C247" s="31">
        <v>6</v>
      </c>
      <c r="D247" s="30">
        <v>8</v>
      </c>
      <c r="E247" s="33" t="str" cm="1">
        <f t="array" aca="1" ref="E247" ca="1">ADDRESS(_xlfn.REGEXEXTRACT(G247,"\d+"),L247,4)</f>
        <v>N9</v>
      </c>
      <c r="G247" s="32" t="s">
        <v>59</v>
      </c>
      <c r="H247" s="32">
        <v>8</v>
      </c>
      <c r="J247" s="33" cm="1">
        <f t="array" aca="1" ref="J247" ca="1">COLUMN(INDIRECT("'Scene (Numbered)'!"&amp;G247))</f>
        <v>22</v>
      </c>
      <c r="K247" s="23">
        <f>1</f>
        <v>1</v>
      </c>
      <c r="L247" s="141">
        <f t="shared" ca="1" si="6"/>
        <v>14</v>
      </c>
    </row>
    <row r="248" spans="2:12" ht="22.5" customHeight="1">
      <c r="B248" s="31">
        <f t="shared" si="7"/>
        <v>112</v>
      </c>
      <c r="C248" s="31">
        <v>6</v>
      </c>
      <c r="D248" s="30">
        <v>8</v>
      </c>
      <c r="E248" s="33" t="str" cm="1">
        <f t="array" aca="1" ref="E248" ca="1">ADDRESS(_xlfn.REGEXEXTRACT(G248,"\d+"),L248,4)</f>
        <v>R8</v>
      </c>
      <c r="G248" s="32" t="s">
        <v>58</v>
      </c>
      <c r="H248" s="32">
        <v>4</v>
      </c>
      <c r="J248" s="33" cm="1">
        <f t="array" aca="1" ref="J248" ca="1">COLUMN(INDIRECT("'Scene (Numbered)'!"&amp;G248))</f>
        <v>22</v>
      </c>
      <c r="K248" s="23">
        <f>1</f>
        <v>1</v>
      </c>
      <c r="L248" s="141">
        <f t="shared" ca="1" si="6"/>
        <v>18</v>
      </c>
    </row>
    <row r="249" spans="2:12" ht="22.5" customHeight="1">
      <c r="B249" s="31">
        <f t="shared" si="7"/>
        <v>113</v>
      </c>
      <c r="C249" s="31">
        <v>6</v>
      </c>
      <c r="D249" s="30">
        <v>8</v>
      </c>
      <c r="E249" s="33" t="str" cm="1">
        <f t="array" aca="1" ref="E249" ca="1">ADDRESS(_xlfn.REGEXEXTRACT(G249,"\d+"),L249,4)</f>
        <v>P22</v>
      </c>
      <c r="G249" s="32" t="s">
        <v>60</v>
      </c>
      <c r="H249" s="32">
        <v>6</v>
      </c>
      <c r="J249" s="33" cm="1">
        <f t="array" aca="1" ref="J249" ca="1">COLUMN(INDIRECT("'Scene (Numbered)'!"&amp;G249))</f>
        <v>22</v>
      </c>
      <c r="K249" s="23">
        <f>1</f>
        <v>1</v>
      </c>
      <c r="L249" s="141">
        <f t="shared" ca="1" si="6"/>
        <v>16</v>
      </c>
    </row>
    <row r="250" spans="2:12" ht="22.5" customHeight="1">
      <c r="B250" s="31">
        <f t="shared" si="7"/>
        <v>114</v>
      </c>
      <c r="C250" s="31">
        <v>6</v>
      </c>
      <c r="D250" s="30">
        <v>8</v>
      </c>
      <c r="E250" s="33" t="str" cm="1">
        <f t="array" aca="1" ref="E250" ca="1">ADDRESS(_xlfn.REGEXEXTRACT(G250,"\d+"),L250,4)</f>
        <v>B24</v>
      </c>
      <c r="G250" s="32" t="s">
        <v>61</v>
      </c>
      <c r="H250" s="32">
        <v>20</v>
      </c>
      <c r="J250" s="33" cm="1">
        <f t="array" aca="1" ref="J250" ca="1">COLUMN(INDIRECT("'Scene (Numbered)'!"&amp;G250))</f>
        <v>22</v>
      </c>
      <c r="K250" s="23">
        <f>1</f>
        <v>1</v>
      </c>
      <c r="L250" s="141">
        <f t="shared" ca="1" si="6"/>
        <v>2</v>
      </c>
    </row>
    <row r="251" spans="2:12" ht="22.5" customHeight="1">
      <c r="B251" s="31">
        <f t="shared" si="7"/>
        <v>115</v>
      </c>
      <c r="C251" s="31">
        <v>6</v>
      </c>
      <c r="D251" s="30">
        <v>8</v>
      </c>
      <c r="E251" s="33" t="str" cm="1">
        <f t="array" aca="1" ref="E251" ca="1">ADDRESS(_xlfn.REGEXEXTRACT(G251,"\d+"),L251,4)</f>
        <v>J12</v>
      </c>
      <c r="G251" s="32" t="s">
        <v>62</v>
      </c>
      <c r="H251" s="32">
        <v>12</v>
      </c>
      <c r="J251" s="33" cm="1">
        <f t="array" aca="1" ref="J251" ca="1">COLUMN(INDIRECT("'Scene (Numbered)'!"&amp;G251))</f>
        <v>22</v>
      </c>
      <c r="K251" s="23">
        <f>1</f>
        <v>1</v>
      </c>
      <c r="L251" s="141">
        <f t="shared" ca="1" si="6"/>
        <v>10</v>
      </c>
    </row>
    <row r="252" spans="2:12" ht="22.5" customHeight="1">
      <c r="B252" s="31">
        <f t="shared" si="7"/>
        <v>116</v>
      </c>
      <c r="C252" s="31">
        <v>6</v>
      </c>
      <c r="D252" s="30">
        <v>8</v>
      </c>
      <c r="E252" s="33" t="str" cm="1">
        <f t="array" aca="1" ref="E252" ca="1">ADDRESS(_xlfn.REGEXEXTRACT(G252,"\d+"),L252,4)</f>
        <v>T3</v>
      </c>
      <c r="G252" s="32" t="s">
        <v>63</v>
      </c>
      <c r="H252" s="32">
        <v>2</v>
      </c>
      <c r="J252" s="33" cm="1">
        <f t="array" aca="1" ref="J252" ca="1">COLUMN(INDIRECT("'Scene (Numbered)'!"&amp;G252))</f>
        <v>22</v>
      </c>
      <c r="K252" s="23">
        <f>1</f>
        <v>1</v>
      </c>
      <c r="L252" s="141">
        <f t="shared" ca="1" si="6"/>
        <v>20</v>
      </c>
    </row>
    <row r="253" spans="2:12" ht="22.5" customHeight="1">
      <c r="B253" s="31">
        <f t="shared" si="7"/>
        <v>117</v>
      </c>
      <c r="C253" s="31">
        <v>6</v>
      </c>
      <c r="D253" s="30">
        <v>8</v>
      </c>
      <c r="E253" s="33" t="str" cm="1">
        <f t="array" aca="1" ref="E253" ca="1">ADDRESS(_xlfn.REGEXEXTRACT(G253,"\d+"),L253,4)</f>
        <v>P9</v>
      </c>
      <c r="G253" s="32" t="s">
        <v>59</v>
      </c>
      <c r="H253" s="32">
        <v>6</v>
      </c>
      <c r="J253" s="33" cm="1">
        <f t="array" aca="1" ref="J253" ca="1">COLUMN(INDIRECT("'Scene (Numbered)'!"&amp;G253))</f>
        <v>22</v>
      </c>
      <c r="K253" s="23">
        <f>1</f>
        <v>1</v>
      </c>
      <c r="L253" s="141">
        <f t="shared" ca="1" si="6"/>
        <v>16</v>
      </c>
    </row>
    <row r="254" spans="2:12" ht="22.5" customHeight="1">
      <c r="B254" s="31">
        <f t="shared" si="7"/>
        <v>118</v>
      </c>
      <c r="C254" s="31">
        <v>6</v>
      </c>
      <c r="D254" s="30">
        <v>8</v>
      </c>
      <c r="E254" s="33" t="str" cm="1">
        <f t="array" aca="1" ref="E254" ca="1">ADDRESS(_xlfn.REGEXEXTRACT(G254,"\d+"),L254,4)</f>
        <v>G5</v>
      </c>
      <c r="G254" s="32" t="s">
        <v>64</v>
      </c>
      <c r="H254" s="32">
        <v>15</v>
      </c>
      <c r="J254" s="33" cm="1">
        <f t="array" aca="1" ref="J254" ca="1">COLUMN(INDIRECT("'Scene (Numbered)'!"&amp;G254))</f>
        <v>22</v>
      </c>
      <c r="K254" s="23">
        <f>1</f>
        <v>1</v>
      </c>
      <c r="L254" s="141">
        <f t="shared" ca="1" si="6"/>
        <v>7</v>
      </c>
    </row>
    <row r="255" spans="2:12" ht="22.5" customHeight="1">
      <c r="B255" s="31">
        <f t="shared" si="7"/>
        <v>119</v>
      </c>
      <c r="C255" s="31">
        <v>6</v>
      </c>
      <c r="D255" s="30">
        <v>8</v>
      </c>
      <c r="E255" s="33" t="str" cm="1">
        <f t="array" aca="1" ref="E255" ca="1">ADDRESS(_xlfn.REGEXEXTRACT(G255,"\d+"),L255,4)</f>
        <v>J10</v>
      </c>
      <c r="G255" s="32" t="s">
        <v>65</v>
      </c>
      <c r="H255" s="32">
        <v>12</v>
      </c>
      <c r="J255" s="33" cm="1">
        <f t="array" aca="1" ref="J255" ca="1">COLUMN(INDIRECT("'Scene (Numbered)'!"&amp;G255))</f>
        <v>22</v>
      </c>
      <c r="K255" s="23">
        <f>1</f>
        <v>1</v>
      </c>
      <c r="L255" s="141">
        <f t="shared" ca="1" si="6"/>
        <v>10</v>
      </c>
    </row>
    <row r="256" spans="2:12" ht="22.5" customHeight="1">
      <c r="B256" s="31">
        <f t="shared" si="7"/>
        <v>120</v>
      </c>
      <c r="C256" s="31">
        <v>6</v>
      </c>
      <c r="D256" s="30">
        <v>8</v>
      </c>
      <c r="E256" s="33" t="str" cm="1">
        <f t="array" aca="1" ref="E256" ca="1">ADDRESS(_xlfn.REGEXEXTRACT(G256,"\d+"),L256,4)</f>
        <v>S17</v>
      </c>
      <c r="G256" s="32" t="s">
        <v>57</v>
      </c>
      <c r="H256" s="32">
        <v>3</v>
      </c>
      <c r="J256" s="33" cm="1">
        <f t="array" aca="1" ref="J256" ca="1">COLUMN(INDIRECT("'Scene (Numbered)'!"&amp;G256))</f>
        <v>22</v>
      </c>
      <c r="K256" s="23">
        <f>1</f>
        <v>1</v>
      </c>
      <c r="L256" s="141">
        <f t="shared" ca="1" si="6"/>
        <v>19</v>
      </c>
    </row>
    <row r="258" spans="2:4" ht="22.5" customHeight="1" thickBot="1">
      <c r="B258" s="139" t="s">
        <v>28</v>
      </c>
      <c r="C258" s="39" t="s">
        <v>34</v>
      </c>
      <c r="D258" s="80" t="s">
        <v>96</v>
      </c>
    </row>
    <row r="259" spans="2:4" s="74" customFormat="1" ht="15" customHeight="1">
      <c r="B259" s="73"/>
      <c r="C259" s="73"/>
      <c r="D259" s="73"/>
    </row>
    <row r="260" spans="2:4" s="74" customFormat="1" ht="15" customHeight="1">
      <c r="B260" s="78" t="s">
        <v>115</v>
      </c>
      <c r="C260" s="73"/>
      <c r="D260" s="73"/>
    </row>
    <row r="261" spans="2:4" s="74" customFormat="1" ht="15" customHeight="1">
      <c r="B261" s="75" t="s">
        <v>113</v>
      </c>
      <c r="C261" s="75"/>
      <c r="D261" s="73"/>
    </row>
    <row r="262" spans="2:4" s="74" customFormat="1" ht="15" customHeight="1">
      <c r="B262" s="75" t="s">
        <v>114</v>
      </c>
      <c r="C262" s="75"/>
      <c r="D262" s="73"/>
    </row>
    <row r="263" spans="2:4" s="74" customFormat="1" ht="15" customHeight="1">
      <c r="B263" s="81" t="s">
        <v>109</v>
      </c>
      <c r="C263" s="73"/>
      <c r="D263" s="73"/>
    </row>
    <row r="264" spans="2:4" s="74" customFormat="1" ht="15" customHeight="1">
      <c r="C264" s="73"/>
      <c r="D264" s="73"/>
    </row>
    <row r="265" spans="2:4" s="74" customFormat="1" ht="15" customHeight="1">
      <c r="B265" s="71" t="s">
        <v>174</v>
      </c>
      <c r="C265" s="73"/>
      <c r="D265" s="73"/>
    </row>
    <row r="266" spans="2:4" s="74" customFormat="1" ht="15" customHeight="1">
      <c r="B266" s="75" t="s">
        <v>175</v>
      </c>
      <c r="C266" s="73"/>
      <c r="D266" s="73"/>
    </row>
    <row r="267" spans="2:4" s="74" customFormat="1" ht="15" customHeight="1">
      <c r="B267" s="75" t="s">
        <v>176</v>
      </c>
      <c r="C267" s="73"/>
      <c r="D267" s="73"/>
    </row>
    <row r="268" spans="2:4" s="74" customFormat="1" ht="15" customHeight="1">
      <c r="B268" s="75" t="s">
        <v>177</v>
      </c>
      <c r="C268" s="73"/>
      <c r="D268" s="73"/>
    </row>
    <row r="269" spans="2:4" s="74" customFormat="1" ht="15" customHeight="1">
      <c r="C269" s="73"/>
      <c r="D269" s="73"/>
    </row>
    <row r="270" spans="2:4" s="74" customFormat="1" ht="15" customHeight="1">
      <c r="B270" s="126" t="s">
        <v>132</v>
      </c>
      <c r="C270" s="73"/>
      <c r="D270" s="73"/>
    </row>
    <row r="271" spans="2:4" s="74" customFormat="1" ht="15" customHeight="1">
      <c r="B271" s="127" t="s">
        <v>178</v>
      </c>
      <c r="C271" s="77"/>
      <c r="D271" s="73"/>
    </row>
    <row r="272" spans="2:4" s="74" customFormat="1" ht="15" customHeight="1">
      <c r="B272" s="127" t="s">
        <v>179</v>
      </c>
      <c r="C272" s="73"/>
      <c r="D272" s="73"/>
    </row>
    <row r="273" spans="2:11" s="74" customFormat="1" ht="15" customHeight="1">
      <c r="B273" s="127" t="s">
        <v>180</v>
      </c>
      <c r="C273" s="76"/>
      <c r="D273" s="73"/>
      <c r="E273" s="73"/>
      <c r="F273" s="73"/>
      <c r="H273" s="72"/>
    </row>
    <row r="274" spans="2:11" s="74" customFormat="1" ht="15" customHeight="1" thickBot="1">
      <c r="B274" s="71"/>
      <c r="C274" s="73"/>
      <c r="D274" s="73"/>
      <c r="E274" s="73"/>
      <c r="F274" s="73"/>
      <c r="G274" s="72"/>
      <c r="H274" s="72"/>
    </row>
    <row r="275" spans="2:11" s="74" customFormat="1" ht="22.5" customHeight="1" thickBot="1">
      <c r="B275" s="115" t="s">
        <v>3</v>
      </c>
      <c r="C275" s="116" t="s">
        <v>14</v>
      </c>
      <c r="D275" s="117" t="s">
        <v>5</v>
      </c>
      <c r="E275" s="118" t="s">
        <v>6</v>
      </c>
      <c r="F275" s="73"/>
      <c r="G275" s="116" t="s">
        <v>26</v>
      </c>
      <c r="H275" s="116" t="s">
        <v>2</v>
      </c>
    </row>
    <row r="276" spans="2:11" ht="15" customHeight="1">
      <c r="B276" s="23"/>
      <c r="C276" s="23"/>
      <c r="D276" s="23"/>
      <c r="E276" s="23"/>
    </row>
    <row r="277" spans="2:11" ht="22.5" customHeight="1">
      <c r="B277" s="31" t="s">
        <v>29</v>
      </c>
      <c r="C277" s="29">
        <v>7</v>
      </c>
      <c r="D277" s="30">
        <v>0</v>
      </c>
      <c r="E277" s="33" t="s">
        <v>88</v>
      </c>
      <c r="G277" s="32" t="s">
        <v>44</v>
      </c>
      <c r="H277" s="32">
        <v>7</v>
      </c>
    </row>
    <row r="278" spans="2:11" ht="15" customHeight="1">
      <c r="B278" s="23"/>
      <c r="C278" s="23"/>
      <c r="D278" s="23"/>
      <c r="E278" s="23"/>
      <c r="J278" s="23" t="s">
        <v>197</v>
      </c>
      <c r="K278" s="23" t="s">
        <v>198</v>
      </c>
    </row>
    <row r="279" spans="2:11" ht="22.5" customHeight="1">
      <c r="B279" s="31">
        <v>121</v>
      </c>
      <c r="C279" s="31">
        <v>7</v>
      </c>
      <c r="D279" s="30">
        <v>10</v>
      </c>
      <c r="E279" s="33" t="str" cm="1">
        <f t="array" aca="1" ref="E279" ca="1">ADDRESS(_xlfn.REGEXEXTRACT(G279,"\d+"),K279,4)</f>
        <v>G17</v>
      </c>
      <c r="G279" s="32" t="s">
        <v>57</v>
      </c>
      <c r="H279" s="32">
        <v>15</v>
      </c>
      <c r="J279" s="33" cm="1">
        <f t="array" aca="1" ref="J279" ca="1">COLUMN(INDIRECT("'Scene (Numbered)'!"&amp;G279))</f>
        <v>22</v>
      </c>
      <c r="K279" s="23" cm="1">
        <f t="array" aca="1" ref="K279:K298" ca="1">IF(J279:J298=22,22-H279:H298,1+H279:H298)</f>
        <v>7</v>
      </c>
    </row>
    <row r="280" spans="2:11" ht="22.5" customHeight="1">
      <c r="B280" s="31">
        <f>B279+1</f>
        <v>122</v>
      </c>
      <c r="C280" s="31">
        <v>7</v>
      </c>
      <c r="D280" s="30">
        <v>10</v>
      </c>
      <c r="E280" s="33" t="str" cm="1">
        <f t="array" aca="1" ref="E280" ca="1">ADDRESS(_xlfn.REGEXEXTRACT(G280,"\d+"),K280,4)</f>
        <v>S6</v>
      </c>
      <c r="G280" s="32" t="s">
        <v>45</v>
      </c>
      <c r="H280" s="32">
        <v>18</v>
      </c>
      <c r="J280" s="33" cm="1">
        <f t="array" aca="1" ref="J280" ca="1">COLUMN(INDIRECT("'Scene (Numbered)'!"&amp;G280))</f>
        <v>1</v>
      </c>
      <c r="K280" s="23">
        <f ca="1"/>
        <v>19</v>
      </c>
    </row>
    <row r="281" spans="2:11" ht="22.5" customHeight="1">
      <c r="B281" s="31">
        <f t="shared" ref="B281:B298" si="8">B280+1</f>
        <v>123</v>
      </c>
      <c r="C281" s="31">
        <v>7</v>
      </c>
      <c r="D281" s="30">
        <v>10</v>
      </c>
      <c r="E281" s="33" t="str" cm="1">
        <f t="array" aca="1" ref="E281" ca="1">ADDRESS(_xlfn.REGEXEXTRACT(G281,"\d+"),K281,4)</f>
        <v>J5</v>
      </c>
      <c r="G281" s="32" t="s">
        <v>67</v>
      </c>
      <c r="H281" s="32">
        <v>9</v>
      </c>
      <c r="J281" s="33" cm="1">
        <f t="array" aca="1" ref="J281" ca="1">COLUMN(INDIRECT("'Scene (Numbered)'!"&amp;G281))</f>
        <v>1</v>
      </c>
      <c r="K281" s="23">
        <f ca="1"/>
        <v>10</v>
      </c>
    </row>
    <row r="282" spans="2:11" ht="22.5" customHeight="1">
      <c r="B282" s="31">
        <f t="shared" si="8"/>
        <v>124</v>
      </c>
      <c r="C282" s="31">
        <v>7</v>
      </c>
      <c r="D282" s="30">
        <v>10</v>
      </c>
      <c r="E282" s="33" t="str" cm="1">
        <f t="array" aca="1" ref="E282" ca="1">ADDRESS(_xlfn.REGEXEXTRACT(G282,"\d+"),K282,4)</f>
        <v>E11</v>
      </c>
      <c r="G282" s="32" t="s">
        <v>68</v>
      </c>
      <c r="H282" s="32">
        <v>4</v>
      </c>
      <c r="J282" s="33" cm="1">
        <f t="array" aca="1" ref="J282" ca="1">COLUMN(INDIRECT("'Scene (Numbered)'!"&amp;G282))</f>
        <v>1</v>
      </c>
      <c r="K282" s="23">
        <f ca="1"/>
        <v>5</v>
      </c>
    </row>
    <row r="283" spans="2:11" ht="22.5" customHeight="1">
      <c r="B283" s="31">
        <f t="shared" si="8"/>
        <v>125</v>
      </c>
      <c r="C283" s="31">
        <v>7</v>
      </c>
      <c r="D283" s="30">
        <v>10</v>
      </c>
      <c r="E283" s="33" t="str" cm="1">
        <f t="array" aca="1" ref="E283" ca="1">ADDRESS(_xlfn.REGEXEXTRACT(G283,"\d+"),K283,4)</f>
        <v>F26</v>
      </c>
      <c r="G283" s="32" t="s">
        <v>55</v>
      </c>
      <c r="H283" s="32">
        <v>16</v>
      </c>
      <c r="J283" s="33" cm="1">
        <f t="array" aca="1" ref="J283" ca="1">COLUMN(INDIRECT("'Scene (Numbered)'!"&amp;G283))</f>
        <v>22</v>
      </c>
      <c r="K283" s="23">
        <f ca="1"/>
        <v>6</v>
      </c>
    </row>
    <row r="284" spans="2:11" ht="22.5" customHeight="1">
      <c r="B284" s="31">
        <f t="shared" si="8"/>
        <v>126</v>
      </c>
      <c r="C284" s="31">
        <v>7</v>
      </c>
      <c r="D284" s="30">
        <v>10</v>
      </c>
      <c r="E284" s="33" t="str" cm="1">
        <f t="array" aca="1" ref="E284" ca="1">ADDRESS(_xlfn.REGEXEXTRACT(G284,"\d+"),K284,4)</f>
        <v>H26</v>
      </c>
      <c r="G284" s="32" t="s">
        <v>40</v>
      </c>
      <c r="H284" s="32">
        <v>7</v>
      </c>
      <c r="J284" s="33" cm="1">
        <f t="array" aca="1" ref="J284" ca="1">COLUMN(INDIRECT("'Scene (Numbered)'!"&amp;G284))</f>
        <v>1</v>
      </c>
      <c r="K284" s="23">
        <f ca="1"/>
        <v>8</v>
      </c>
    </row>
    <row r="285" spans="2:11" ht="22.5" customHeight="1">
      <c r="B285" s="31">
        <f t="shared" si="8"/>
        <v>127</v>
      </c>
      <c r="C285" s="31">
        <v>7</v>
      </c>
      <c r="D285" s="30">
        <v>10</v>
      </c>
      <c r="E285" s="33" t="str" cm="1">
        <f t="array" aca="1" ref="E285" ca="1">ADDRESS(_xlfn.REGEXEXTRACT(G285,"\d+"),K285,4)</f>
        <v>K6</v>
      </c>
      <c r="G285" s="32" t="s">
        <v>52</v>
      </c>
      <c r="H285" s="32">
        <v>11</v>
      </c>
      <c r="J285" s="33" cm="1">
        <f t="array" aca="1" ref="J285" ca="1">COLUMN(INDIRECT("'Scene (Numbered)'!"&amp;G285))</f>
        <v>22</v>
      </c>
      <c r="K285" s="23">
        <f ca="1"/>
        <v>11</v>
      </c>
    </row>
    <row r="286" spans="2:11" ht="22.5" customHeight="1">
      <c r="B286" s="31">
        <f t="shared" si="8"/>
        <v>128</v>
      </c>
      <c r="C286" s="31">
        <v>7</v>
      </c>
      <c r="D286" s="30">
        <v>10</v>
      </c>
      <c r="E286" s="33" t="str" cm="1">
        <f t="array" aca="1" ref="E286" ca="1">ADDRESS(_xlfn.REGEXEXTRACT(G286,"\d+"),K286,4)</f>
        <v>O16</v>
      </c>
      <c r="G286" s="32" t="s">
        <v>41</v>
      </c>
      <c r="H286" s="32">
        <v>14</v>
      </c>
      <c r="J286" s="33" cm="1">
        <f t="array" aca="1" ref="J286" ca="1">COLUMN(INDIRECT("'Scene (Numbered)'!"&amp;G286))</f>
        <v>1</v>
      </c>
      <c r="K286" s="23">
        <f ca="1"/>
        <v>15</v>
      </c>
    </row>
    <row r="287" spans="2:11" ht="22.5" customHeight="1">
      <c r="B287" s="31">
        <f t="shared" si="8"/>
        <v>129</v>
      </c>
      <c r="C287" s="31">
        <v>7</v>
      </c>
      <c r="D287" s="30">
        <v>10</v>
      </c>
      <c r="E287" s="33" t="str" cm="1">
        <f t="array" aca="1" ref="E287" ca="1">ADDRESS(_xlfn.REGEXEXTRACT(G287,"\d+"),K287,4)</f>
        <v>N21</v>
      </c>
      <c r="G287" s="32" t="s">
        <v>54</v>
      </c>
      <c r="H287" s="32">
        <v>8</v>
      </c>
      <c r="J287" s="33" cm="1">
        <f t="array" aca="1" ref="J287" ca="1">COLUMN(INDIRECT("'Scene (Numbered)'!"&amp;G287))</f>
        <v>22</v>
      </c>
      <c r="K287" s="23">
        <f ca="1"/>
        <v>14</v>
      </c>
    </row>
    <row r="288" spans="2:11" ht="22.5" customHeight="1">
      <c r="B288" s="31">
        <f t="shared" si="8"/>
        <v>130</v>
      </c>
      <c r="C288" s="31">
        <v>7</v>
      </c>
      <c r="D288" s="30">
        <v>10</v>
      </c>
      <c r="E288" s="33" t="str" cm="1">
        <f t="array" aca="1" ref="E288" ca="1">ADDRESS(_xlfn.REGEXEXTRACT(G288,"\d+"),K288,4)</f>
        <v>R18</v>
      </c>
      <c r="G288" s="32" t="s">
        <v>69</v>
      </c>
      <c r="H288" s="32">
        <v>4</v>
      </c>
      <c r="J288" s="33" cm="1">
        <f t="array" aca="1" ref="J288" ca="1">COLUMN(INDIRECT("'Scene (Numbered)'!"&amp;G288))</f>
        <v>22</v>
      </c>
      <c r="K288" s="23">
        <f ca="1"/>
        <v>18</v>
      </c>
    </row>
    <row r="289" spans="2:11" ht="22.5" customHeight="1">
      <c r="B289" s="31">
        <f t="shared" si="8"/>
        <v>131</v>
      </c>
      <c r="C289" s="31">
        <v>7</v>
      </c>
      <c r="D289" s="30">
        <v>10</v>
      </c>
      <c r="E289" s="33" t="str" cm="1">
        <f t="array" aca="1" ref="E289" ca="1">ADDRESS(_xlfn.REGEXEXTRACT(G289,"\d+"),K289,4)</f>
        <v>D10</v>
      </c>
      <c r="G289" s="32" t="s">
        <v>65</v>
      </c>
      <c r="H289" s="32">
        <v>18</v>
      </c>
      <c r="J289" s="33" cm="1">
        <f t="array" aca="1" ref="J289" ca="1">COLUMN(INDIRECT("'Scene (Numbered)'!"&amp;G289))</f>
        <v>22</v>
      </c>
      <c r="K289" s="23">
        <f ca="1"/>
        <v>4</v>
      </c>
    </row>
    <row r="290" spans="2:11" ht="22.5" customHeight="1">
      <c r="B290" s="31">
        <f t="shared" si="8"/>
        <v>132</v>
      </c>
      <c r="C290" s="31">
        <v>7</v>
      </c>
      <c r="D290" s="30">
        <v>10</v>
      </c>
      <c r="E290" s="33" t="str" cm="1">
        <f t="array" aca="1" ref="E290" ca="1">ADDRESS(_xlfn.REGEXEXTRACT(G290,"\d+"),K290,4)</f>
        <v>P12</v>
      </c>
      <c r="G290" s="32" t="s">
        <v>48</v>
      </c>
      <c r="H290" s="32">
        <v>15</v>
      </c>
      <c r="J290" s="33" cm="1">
        <f t="array" aca="1" ref="J290" ca="1">COLUMN(INDIRECT("'Scene (Numbered)'!"&amp;G290))</f>
        <v>1</v>
      </c>
      <c r="K290" s="23">
        <f ca="1"/>
        <v>16</v>
      </c>
    </row>
    <row r="291" spans="2:11" ht="22.5" customHeight="1">
      <c r="B291" s="31">
        <f t="shared" si="8"/>
        <v>133</v>
      </c>
      <c r="C291" s="31">
        <v>7</v>
      </c>
      <c r="D291" s="30">
        <v>10</v>
      </c>
      <c r="E291" s="33" t="str" cm="1">
        <f t="array" aca="1" ref="E291" ca="1">ADDRESS(_xlfn.REGEXEXTRACT(G291,"\d+"),K291,4)</f>
        <v>R2</v>
      </c>
      <c r="G291" s="32" t="s">
        <v>72</v>
      </c>
      <c r="H291" s="32">
        <v>4</v>
      </c>
      <c r="J291" s="33" cm="1">
        <f t="array" aca="1" ref="J291" ca="1">COLUMN(INDIRECT("'Scene (Numbered)'!"&amp;G291))</f>
        <v>22</v>
      </c>
      <c r="K291" s="23">
        <f ca="1"/>
        <v>18</v>
      </c>
    </row>
    <row r="292" spans="2:11" ht="22.5" customHeight="1">
      <c r="B292" s="31">
        <f t="shared" si="8"/>
        <v>134</v>
      </c>
      <c r="C292" s="31">
        <v>7</v>
      </c>
      <c r="D292" s="30">
        <v>10</v>
      </c>
      <c r="E292" s="33" t="str" cm="1">
        <f t="array" aca="1" ref="E292" ca="1">ADDRESS(_xlfn.REGEXEXTRACT(G292,"\d+"),K292,4)</f>
        <v>U5</v>
      </c>
      <c r="G292" s="32" t="s">
        <v>67</v>
      </c>
      <c r="H292" s="32">
        <v>20</v>
      </c>
      <c r="J292" s="33" cm="1">
        <f t="array" aca="1" ref="J292" ca="1">COLUMN(INDIRECT("'Scene (Numbered)'!"&amp;G292))</f>
        <v>1</v>
      </c>
      <c r="K292" s="23">
        <f ca="1"/>
        <v>21</v>
      </c>
    </row>
    <row r="293" spans="2:11" ht="22.5" customHeight="1">
      <c r="B293" s="31">
        <f t="shared" si="8"/>
        <v>135</v>
      </c>
      <c r="C293" s="31">
        <v>7</v>
      </c>
      <c r="D293" s="30">
        <v>10</v>
      </c>
      <c r="E293" s="33" t="str" cm="1">
        <f t="array" aca="1" ref="E293" ca="1">ADDRESS(_xlfn.REGEXEXTRACT(G293,"\d+"),K293,4)</f>
        <v>F22</v>
      </c>
      <c r="G293" s="32" t="s">
        <v>46</v>
      </c>
      <c r="H293" s="32">
        <v>5</v>
      </c>
      <c r="J293" s="33" cm="1">
        <f t="array" aca="1" ref="J293" ca="1">COLUMN(INDIRECT("'Scene (Numbered)'!"&amp;G293))</f>
        <v>1</v>
      </c>
      <c r="K293" s="23">
        <f ca="1"/>
        <v>6</v>
      </c>
    </row>
    <row r="294" spans="2:11" ht="22.5" customHeight="1">
      <c r="B294" s="31">
        <f t="shared" si="8"/>
        <v>136</v>
      </c>
      <c r="C294" s="31">
        <v>7</v>
      </c>
      <c r="D294" s="30">
        <v>10</v>
      </c>
      <c r="E294" s="33" t="str" cm="1">
        <f t="array" aca="1" ref="E294" ca="1">ADDRESS(_xlfn.REGEXEXTRACT(G294,"\d+"),K294,4)</f>
        <v>B26</v>
      </c>
      <c r="G294" s="32" t="s">
        <v>55</v>
      </c>
      <c r="H294" s="32">
        <v>20</v>
      </c>
      <c r="J294" s="33" cm="1">
        <f t="array" aca="1" ref="J294" ca="1">COLUMN(INDIRECT("'Scene (Numbered)'!"&amp;G294))</f>
        <v>22</v>
      </c>
      <c r="K294" s="23">
        <f ca="1"/>
        <v>2</v>
      </c>
    </row>
    <row r="295" spans="2:11" ht="22.5" customHeight="1">
      <c r="B295" s="31">
        <f t="shared" si="8"/>
        <v>137</v>
      </c>
      <c r="C295" s="31">
        <v>7</v>
      </c>
      <c r="D295" s="30">
        <v>10</v>
      </c>
      <c r="E295" s="33" t="str" cm="1">
        <f t="array" aca="1" ref="E295" ca="1">ADDRESS(_xlfn.REGEXEXTRACT(G295,"\d+"),K295,4)</f>
        <v>T14</v>
      </c>
      <c r="G295" s="32" t="s">
        <v>70</v>
      </c>
      <c r="H295" s="32">
        <v>19</v>
      </c>
      <c r="J295" s="33" cm="1">
        <f t="array" aca="1" ref="J295" ca="1">COLUMN(INDIRECT("'Scene (Numbered)'!"&amp;G295))</f>
        <v>1</v>
      </c>
      <c r="K295" s="23">
        <f ca="1"/>
        <v>20</v>
      </c>
    </row>
    <row r="296" spans="2:11" ht="22.5" customHeight="1">
      <c r="B296" s="31">
        <f t="shared" si="8"/>
        <v>138</v>
      </c>
      <c r="C296" s="31">
        <v>7</v>
      </c>
      <c r="D296" s="30">
        <v>10</v>
      </c>
      <c r="E296" s="33" t="str" cm="1">
        <f t="array" aca="1" ref="E296" ca="1">ADDRESS(_xlfn.REGEXEXTRACT(G296,"\d+"),K296,4)</f>
        <v>H13</v>
      </c>
      <c r="G296" s="32" t="s">
        <v>71</v>
      </c>
      <c r="H296" s="32">
        <v>14</v>
      </c>
      <c r="J296" s="33" cm="1">
        <f t="array" aca="1" ref="J296" ca="1">COLUMN(INDIRECT("'Scene (Numbered)'!"&amp;G296))</f>
        <v>22</v>
      </c>
      <c r="K296" s="23">
        <f ca="1"/>
        <v>8</v>
      </c>
    </row>
    <row r="297" spans="2:11" ht="22.5" customHeight="1">
      <c r="B297" s="31">
        <f t="shared" si="8"/>
        <v>139</v>
      </c>
      <c r="C297" s="31">
        <v>7</v>
      </c>
      <c r="D297" s="30">
        <v>10</v>
      </c>
      <c r="E297" s="33" t="str" cm="1">
        <f t="array" aca="1" ref="E297" ca="1">ADDRESS(_xlfn.REGEXEXTRACT(G297,"\d+"),K297,4)</f>
        <v>C13</v>
      </c>
      <c r="G297" s="32" t="s">
        <v>35</v>
      </c>
      <c r="H297" s="32">
        <v>2</v>
      </c>
      <c r="J297" s="33" cm="1">
        <f t="array" aca="1" ref="J297" ca="1">COLUMN(INDIRECT("'Scene (Numbered)'!"&amp;G297))</f>
        <v>1</v>
      </c>
      <c r="K297" s="23">
        <f ca="1"/>
        <v>3</v>
      </c>
    </row>
    <row r="298" spans="2:11" ht="22.5" customHeight="1">
      <c r="B298" s="31">
        <f t="shared" si="8"/>
        <v>140</v>
      </c>
      <c r="C298" s="31">
        <v>7</v>
      </c>
      <c r="D298" s="30">
        <v>10</v>
      </c>
      <c r="E298" s="33" t="str" cm="1">
        <f t="array" aca="1" ref="E298" ca="1">ADDRESS(_xlfn.REGEXEXTRACT(G298,"\d+"),K298,4)</f>
        <v>M2</v>
      </c>
      <c r="G298" s="32" t="s">
        <v>66</v>
      </c>
      <c r="H298" s="32">
        <v>12</v>
      </c>
      <c r="J298" s="33" cm="1">
        <f t="array" aca="1" ref="J298" ca="1">COLUMN(INDIRECT("'Scene (Numbered)'!"&amp;G298))</f>
        <v>1</v>
      </c>
      <c r="K298" s="23">
        <f ca="1"/>
        <v>13</v>
      </c>
    </row>
    <row r="1000" spans="648:648" ht="15.75">
      <c r="XX1000" s="174">
        <v>125713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4CAE-EE7F-4F9F-A2B9-BAF18E83F742}">
  <sheetPr codeName="Sheet2">
    <tabColor theme="6" tint="0.79998168889431442"/>
  </sheetPr>
  <dimension ref="A1:XX1000"/>
  <sheetViews>
    <sheetView showGridLines="0" zoomScale="70" zoomScaleNormal="70" workbookViewId="0"/>
  </sheetViews>
  <sheetFormatPr defaultColWidth="8.85546875" defaultRowHeight="15"/>
  <cols>
    <col min="1" max="1" width="8.42578125" customWidth="1"/>
    <col min="2" max="10" width="5.42578125" customWidth="1"/>
    <col min="11" max="11" width="5.7109375" customWidth="1"/>
    <col min="12" max="21" width="5.42578125" customWidth="1"/>
  </cols>
  <sheetData>
    <row r="1" spans="1:23" ht="15.75" thickBot="1"/>
    <row r="2" spans="1:23" ht="16.5" thickBot="1">
      <c r="A2" s="88" t="s">
        <v>1</v>
      </c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87" t="s">
        <v>0</v>
      </c>
      <c r="W2" s="82" t="s">
        <v>116</v>
      </c>
    </row>
    <row r="3" spans="1:23" ht="16.5" thickBot="1">
      <c r="A3" s="88" t="s">
        <v>1</v>
      </c>
      <c r="B3" s="3"/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87" t="s">
        <v>0</v>
      </c>
      <c r="W3" s="83" t="s">
        <v>117</v>
      </c>
    </row>
    <row r="4" spans="1:23" ht="16.5" thickBot="1">
      <c r="A4" s="88" t="s">
        <v>1</v>
      </c>
      <c r="B4" s="3"/>
      <c r="C4" s="6"/>
      <c r="D4" s="6"/>
      <c r="E4" s="4"/>
      <c r="F4" s="4"/>
      <c r="G4" s="4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89"/>
      <c r="T4" s="6"/>
      <c r="U4" s="5"/>
      <c r="V4" s="87" t="s">
        <v>0</v>
      </c>
      <c r="W4" s="84" t="s">
        <v>118</v>
      </c>
    </row>
    <row r="5" spans="1:23" ht="16.5" thickBot="1">
      <c r="A5" s="88" t="s">
        <v>1</v>
      </c>
      <c r="B5" s="3"/>
      <c r="C5" s="6"/>
      <c r="D5" s="6"/>
      <c r="E5" s="4"/>
      <c r="F5" s="4"/>
      <c r="G5" s="4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5"/>
      <c r="V5" s="87" t="s">
        <v>0</v>
      </c>
      <c r="W5" s="85" t="s">
        <v>119</v>
      </c>
    </row>
    <row r="6" spans="1:23" ht="16.5" thickBot="1">
      <c r="A6" s="88" t="s">
        <v>1</v>
      </c>
      <c r="B6" s="3"/>
      <c r="C6" s="4"/>
      <c r="D6" s="4"/>
      <c r="E6" s="4"/>
      <c r="F6" s="4"/>
      <c r="G6" s="4"/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5"/>
      <c r="V6" s="87" t="s">
        <v>0</v>
      </c>
      <c r="W6" s="86" t="s">
        <v>120</v>
      </c>
    </row>
    <row r="7" spans="1:23" ht="15.75">
      <c r="A7" s="88" t="s">
        <v>1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4"/>
      <c r="U7" s="5"/>
      <c r="V7" s="87" t="s">
        <v>0</v>
      </c>
    </row>
    <row r="8" spans="1:23" ht="15.75">
      <c r="A8" s="88" t="s">
        <v>1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87" t="s">
        <v>0</v>
      </c>
    </row>
    <row r="9" spans="1:23" ht="15.75">
      <c r="A9" s="88" t="s">
        <v>1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  <c r="V9" s="87" t="s">
        <v>0</v>
      </c>
    </row>
    <row r="10" spans="1:23" ht="15.75">
      <c r="A10" s="88" t="s">
        <v>1</v>
      </c>
      <c r="B10" s="3"/>
      <c r="C10" s="4"/>
      <c r="D10" s="4"/>
      <c r="E10" s="4"/>
      <c r="F10" s="4"/>
      <c r="G10" s="4"/>
      <c r="H10" s="4"/>
      <c r="I10" s="4"/>
      <c r="J10" s="6"/>
      <c r="K10" s="4"/>
      <c r="L10" s="4"/>
      <c r="M10" s="4"/>
      <c r="N10" s="4"/>
      <c r="O10" s="6"/>
      <c r="P10" s="4"/>
      <c r="Q10" s="4"/>
      <c r="R10" s="4"/>
      <c r="S10" s="4"/>
      <c r="T10" s="4"/>
      <c r="U10" s="5"/>
      <c r="V10" s="87" t="s">
        <v>0</v>
      </c>
    </row>
    <row r="11" spans="1:23" ht="15.75">
      <c r="A11" s="88" t="s">
        <v>1</v>
      </c>
      <c r="B11" s="3"/>
      <c r="C11" s="4"/>
      <c r="D11" s="4"/>
      <c r="E11" s="4"/>
      <c r="F11" s="4"/>
      <c r="G11" s="4"/>
      <c r="H11" s="4"/>
      <c r="I11" s="4"/>
      <c r="J11" s="6"/>
      <c r="K11" s="4"/>
      <c r="L11" s="4"/>
      <c r="M11" s="4"/>
      <c r="N11" s="6"/>
      <c r="O11" s="6"/>
      <c r="P11" s="6"/>
      <c r="Q11" s="4"/>
      <c r="R11" s="4"/>
      <c r="S11" s="4"/>
      <c r="T11" s="4"/>
      <c r="U11" s="5"/>
      <c r="V11" s="87" t="s">
        <v>0</v>
      </c>
    </row>
    <row r="12" spans="1:23" ht="15.75">
      <c r="A12" s="88" t="s">
        <v>1</v>
      </c>
      <c r="B12" s="3"/>
      <c r="C12" s="4"/>
      <c r="D12" s="4"/>
      <c r="E12" s="4"/>
      <c r="F12" s="4"/>
      <c r="G12" s="6"/>
      <c r="H12" s="4"/>
      <c r="I12" s="4"/>
      <c r="J12" s="4"/>
      <c r="K12" s="4"/>
      <c r="L12" s="4"/>
      <c r="M12" s="4"/>
      <c r="N12" s="6"/>
      <c r="O12" s="6"/>
      <c r="P12" s="6"/>
      <c r="Q12" s="4"/>
      <c r="R12" s="4"/>
      <c r="S12" s="4"/>
      <c r="T12" s="4"/>
      <c r="U12" s="5"/>
      <c r="V12" s="87" t="s">
        <v>0</v>
      </c>
    </row>
    <row r="13" spans="1:23" ht="15.75">
      <c r="A13" s="88" t="s">
        <v>1</v>
      </c>
      <c r="B13" s="3"/>
      <c r="C13" s="4"/>
      <c r="D13" s="4"/>
      <c r="E13" s="4"/>
      <c r="F13" s="4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87" t="s">
        <v>0</v>
      </c>
    </row>
    <row r="14" spans="1:23" ht="15.75">
      <c r="A14" s="88" t="s">
        <v>1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87" t="s">
        <v>0</v>
      </c>
    </row>
    <row r="15" spans="1:23" ht="15.75">
      <c r="A15" s="88" t="s">
        <v>1</v>
      </c>
      <c r="B15" s="3"/>
      <c r="C15" s="4"/>
      <c r="D15" s="4"/>
      <c r="E15" s="4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5"/>
      <c r="V15" s="87" t="s">
        <v>0</v>
      </c>
    </row>
    <row r="16" spans="1:23" ht="15.75">
      <c r="A16" s="88" t="s">
        <v>1</v>
      </c>
      <c r="B16" s="3"/>
      <c r="C16" s="4"/>
      <c r="D16" s="6"/>
      <c r="E16" s="4"/>
      <c r="F16" s="7"/>
      <c r="G16" s="4"/>
      <c r="H16" s="4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87" t="s">
        <v>0</v>
      </c>
    </row>
    <row r="17" spans="1:22" ht="15.75">
      <c r="A17" s="88" t="s">
        <v>1</v>
      </c>
      <c r="B17" s="3"/>
      <c r="C17" s="4"/>
      <c r="D17" s="6"/>
      <c r="E17" s="6"/>
      <c r="F17" s="7"/>
      <c r="G17" s="4"/>
      <c r="H17" s="4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6"/>
      <c r="U17" s="5"/>
      <c r="V17" s="87" t="s">
        <v>0</v>
      </c>
    </row>
    <row r="18" spans="1:22" ht="15.75">
      <c r="A18" s="88" t="s">
        <v>1</v>
      </c>
      <c r="B18" s="3"/>
      <c r="C18" s="4"/>
      <c r="D18" s="6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5"/>
      <c r="V18" s="87" t="s">
        <v>0</v>
      </c>
    </row>
    <row r="19" spans="1:22" ht="15.75">
      <c r="A19" s="88" t="s">
        <v>1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5"/>
      <c r="V19" s="87" t="s">
        <v>0</v>
      </c>
    </row>
    <row r="20" spans="1:22" ht="15.75">
      <c r="A20" s="88" t="s">
        <v>1</v>
      </c>
      <c r="B20" s="3"/>
      <c r="C20" s="4"/>
      <c r="D20" s="4"/>
      <c r="E20" s="14"/>
      <c r="F20" s="4"/>
      <c r="G20" s="4"/>
      <c r="H20" s="4"/>
      <c r="I20" s="4"/>
      <c r="J20" s="4"/>
      <c r="K20" s="4"/>
      <c r="L20" s="4"/>
      <c r="M20" s="4"/>
      <c r="N20" s="4"/>
      <c r="O20" s="4"/>
      <c r="P20" s="14"/>
      <c r="Q20" s="4"/>
      <c r="R20" s="4"/>
      <c r="S20" s="4"/>
      <c r="T20" s="4"/>
      <c r="U20" s="5"/>
      <c r="V20" s="87" t="s">
        <v>0</v>
      </c>
    </row>
    <row r="21" spans="1:22" ht="15.75">
      <c r="A21" s="88" t="s">
        <v>1</v>
      </c>
      <c r="B21" s="3"/>
      <c r="C21" s="4"/>
      <c r="D21" s="13"/>
      <c r="E21" s="12"/>
      <c r="F21" s="19"/>
      <c r="G21" s="4"/>
      <c r="H21" s="4"/>
      <c r="I21" s="4"/>
      <c r="J21" s="4"/>
      <c r="K21" s="4"/>
      <c r="L21" s="4"/>
      <c r="M21" s="4"/>
      <c r="N21" s="4"/>
      <c r="O21" s="13"/>
      <c r="P21" s="12"/>
      <c r="Q21" s="19"/>
      <c r="R21" s="4"/>
      <c r="S21" s="4"/>
      <c r="T21" s="4"/>
      <c r="U21" s="5"/>
      <c r="V21" s="87" t="s">
        <v>0</v>
      </c>
    </row>
    <row r="22" spans="1:22" ht="15.75">
      <c r="A22" s="88" t="s">
        <v>1</v>
      </c>
      <c r="B22" s="3"/>
      <c r="C22" s="4"/>
      <c r="D22" s="18"/>
      <c r="E22" s="12"/>
      <c r="F22" s="15"/>
      <c r="G22" s="4"/>
      <c r="H22" s="4"/>
      <c r="I22" s="4"/>
      <c r="J22" s="4"/>
      <c r="K22" s="4"/>
      <c r="L22" s="4"/>
      <c r="M22" s="4"/>
      <c r="N22" s="4"/>
      <c r="O22" s="18"/>
      <c r="P22" s="12"/>
      <c r="Q22" s="15"/>
      <c r="R22" s="4"/>
      <c r="S22" s="4"/>
      <c r="T22" s="4"/>
      <c r="U22" s="5"/>
      <c r="V22" s="87" t="s">
        <v>0</v>
      </c>
    </row>
    <row r="23" spans="1:22" ht="15.75">
      <c r="A23" s="88" t="s">
        <v>1</v>
      </c>
      <c r="B23" s="3"/>
      <c r="C23" s="13"/>
      <c r="D23" s="12"/>
      <c r="E23" s="12"/>
      <c r="F23" s="12"/>
      <c r="G23" s="19"/>
      <c r="H23" s="4"/>
      <c r="I23" s="4"/>
      <c r="J23" s="4"/>
      <c r="K23" s="4"/>
      <c r="L23" s="4"/>
      <c r="M23" s="4"/>
      <c r="N23" s="13"/>
      <c r="O23" s="12"/>
      <c r="P23" s="12"/>
      <c r="Q23" s="12"/>
      <c r="R23" s="19"/>
      <c r="S23" s="4"/>
      <c r="T23" s="4"/>
      <c r="U23" s="5"/>
      <c r="V23" s="87" t="s">
        <v>0</v>
      </c>
    </row>
    <row r="24" spans="1:22" ht="15.75">
      <c r="A24" s="88" t="s">
        <v>1</v>
      </c>
      <c r="B24" s="3"/>
      <c r="C24" s="22"/>
      <c r="D24" s="21"/>
      <c r="E24" s="12"/>
      <c r="F24" s="21"/>
      <c r="G24" s="20"/>
      <c r="H24" s="4"/>
      <c r="I24" s="4"/>
      <c r="J24" s="4"/>
      <c r="K24" s="4"/>
      <c r="L24" s="4"/>
      <c r="M24" s="4"/>
      <c r="N24" s="22"/>
      <c r="O24" s="21"/>
      <c r="P24" s="12"/>
      <c r="Q24" s="21"/>
      <c r="R24" s="20"/>
      <c r="S24" s="4"/>
      <c r="T24" s="4"/>
      <c r="U24" s="5"/>
      <c r="V24" s="87" t="s">
        <v>0</v>
      </c>
    </row>
    <row r="25" spans="1:22" ht="15.75">
      <c r="A25" s="88" t="s">
        <v>1</v>
      </c>
      <c r="B25" s="3"/>
      <c r="C25" s="4"/>
      <c r="D25" s="4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17"/>
      <c r="Q25" s="4"/>
      <c r="R25" s="4"/>
      <c r="S25" s="4"/>
      <c r="T25" s="4"/>
      <c r="U25" s="5"/>
      <c r="V25" s="87" t="s">
        <v>0</v>
      </c>
    </row>
    <row r="26" spans="1:22" ht="15.75">
      <c r="A26" s="88" t="s">
        <v>1</v>
      </c>
      <c r="B26" s="3"/>
      <c r="C26" s="4"/>
      <c r="D26" s="4"/>
      <c r="E26" s="16"/>
      <c r="F26" s="4"/>
      <c r="G26" s="4"/>
      <c r="H26" s="4"/>
      <c r="I26" s="4"/>
      <c r="J26" s="4"/>
      <c r="K26" s="4"/>
      <c r="L26" s="4"/>
      <c r="M26" s="4"/>
      <c r="N26" s="4"/>
      <c r="O26" s="4"/>
      <c r="P26" s="16"/>
      <c r="Q26" s="4"/>
      <c r="R26" s="4"/>
      <c r="S26" s="4"/>
      <c r="T26" s="4"/>
      <c r="U26" s="5"/>
      <c r="V26" s="87" t="s">
        <v>0</v>
      </c>
    </row>
    <row r="27" spans="1:2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</row>
    <row r="1000" spans="648:648" ht="15.75">
      <c r="XX1000" s="174">
        <v>125713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F2A4-B206-47B4-9A3E-A06A5150DFAC}">
  <sheetPr codeName="Sheet3">
    <tabColor theme="6" tint="0.79998168889431442"/>
  </sheetPr>
  <dimension ref="A2:XX1000"/>
  <sheetViews>
    <sheetView showGridLines="0" zoomScale="70" zoomScaleNormal="70" workbookViewId="0">
      <selection activeCell="X13" sqref="X13"/>
    </sheetView>
  </sheetViews>
  <sheetFormatPr defaultColWidth="8.85546875" defaultRowHeight="15"/>
  <cols>
    <col min="1" max="1" width="8.42578125" customWidth="1"/>
    <col min="2" max="10" width="5.42578125" customWidth="1"/>
    <col min="11" max="11" width="5.7109375" customWidth="1"/>
    <col min="12" max="21" width="5.42578125" customWidth="1"/>
    <col min="24" max="24" width="12.42578125" bestFit="1" customWidth="1"/>
  </cols>
  <sheetData>
    <row r="2" spans="1:24" ht="16.5" thickBot="1">
      <c r="A2" s="88" t="s">
        <v>1</v>
      </c>
      <c r="B2" s="91">
        <v>1</v>
      </c>
      <c r="C2" s="92">
        <v>1</v>
      </c>
      <c r="D2" s="92">
        <v>1</v>
      </c>
      <c r="E2" s="92">
        <v>1</v>
      </c>
      <c r="F2" s="92">
        <v>1</v>
      </c>
      <c r="G2" s="92">
        <v>1</v>
      </c>
      <c r="H2" s="92">
        <v>1</v>
      </c>
      <c r="I2" s="92">
        <v>1</v>
      </c>
      <c r="J2" s="92">
        <v>1</v>
      </c>
      <c r="K2" s="92">
        <v>1</v>
      </c>
      <c r="L2" s="92">
        <v>1</v>
      </c>
      <c r="M2" s="92">
        <v>1</v>
      </c>
      <c r="N2" s="92">
        <v>1</v>
      </c>
      <c r="O2" s="92">
        <v>1</v>
      </c>
      <c r="P2" s="92">
        <v>1</v>
      </c>
      <c r="Q2" s="92">
        <v>1</v>
      </c>
      <c r="R2" s="92">
        <v>1</v>
      </c>
      <c r="S2" s="92">
        <v>1</v>
      </c>
      <c r="T2" s="92">
        <v>1</v>
      </c>
      <c r="U2" s="93">
        <v>1</v>
      </c>
      <c r="V2" s="87" t="s">
        <v>0</v>
      </c>
      <c r="W2" s="82">
        <v>0</v>
      </c>
      <c r="X2" s="113" t="s">
        <v>128</v>
      </c>
    </row>
    <row r="3" spans="1:24" ht="16.5" thickBot="1">
      <c r="A3" s="88" t="s">
        <v>1</v>
      </c>
      <c r="B3" s="94">
        <v>1</v>
      </c>
      <c r="C3" s="95">
        <v>1</v>
      </c>
      <c r="D3" s="96">
        <v>0</v>
      </c>
      <c r="E3" s="95">
        <v>1</v>
      </c>
      <c r="F3" s="95">
        <v>1</v>
      </c>
      <c r="G3" s="95">
        <v>1</v>
      </c>
      <c r="H3" s="95">
        <v>1</v>
      </c>
      <c r="I3" s="95">
        <v>1</v>
      </c>
      <c r="J3" s="95">
        <v>1</v>
      </c>
      <c r="K3" s="95">
        <v>1</v>
      </c>
      <c r="L3" s="95">
        <v>1</v>
      </c>
      <c r="M3" s="95">
        <v>1</v>
      </c>
      <c r="N3" s="95">
        <v>1</v>
      </c>
      <c r="O3" s="95">
        <v>1</v>
      </c>
      <c r="P3" s="95">
        <v>1</v>
      </c>
      <c r="Q3" s="95">
        <v>1</v>
      </c>
      <c r="R3" s="95">
        <v>1</v>
      </c>
      <c r="S3" s="95">
        <v>1</v>
      </c>
      <c r="T3" s="95">
        <v>1</v>
      </c>
      <c r="U3" s="97">
        <v>1</v>
      </c>
      <c r="V3" s="87" t="s">
        <v>0</v>
      </c>
      <c r="W3" s="83">
        <v>1</v>
      </c>
      <c r="X3" s="113" t="s">
        <v>127</v>
      </c>
    </row>
    <row r="4" spans="1:24" ht="16.5" thickBot="1">
      <c r="A4" s="88" t="s">
        <v>1</v>
      </c>
      <c r="B4" s="94">
        <v>1</v>
      </c>
      <c r="C4" s="96">
        <v>0</v>
      </c>
      <c r="D4" s="96">
        <v>0</v>
      </c>
      <c r="E4" s="95">
        <v>1</v>
      </c>
      <c r="F4" s="95">
        <v>1</v>
      </c>
      <c r="G4" s="95">
        <v>1</v>
      </c>
      <c r="H4" s="96">
        <v>0</v>
      </c>
      <c r="I4" s="95">
        <v>1</v>
      </c>
      <c r="J4" s="95">
        <v>1</v>
      </c>
      <c r="K4" s="95">
        <v>1</v>
      </c>
      <c r="L4" s="95">
        <v>1</v>
      </c>
      <c r="M4" s="95">
        <v>1</v>
      </c>
      <c r="N4" s="95">
        <v>1</v>
      </c>
      <c r="O4" s="95">
        <v>1</v>
      </c>
      <c r="P4" s="95">
        <v>1</v>
      </c>
      <c r="Q4" s="95">
        <v>1</v>
      </c>
      <c r="R4" s="95">
        <v>1</v>
      </c>
      <c r="S4" s="98">
        <v>0</v>
      </c>
      <c r="T4" s="96">
        <v>0</v>
      </c>
      <c r="U4" s="97">
        <v>1</v>
      </c>
      <c r="V4" s="87" t="s">
        <v>0</v>
      </c>
      <c r="W4" s="84">
        <v>2</v>
      </c>
      <c r="X4" s="113" t="s">
        <v>131</v>
      </c>
    </row>
    <row r="5" spans="1:24" ht="16.5" thickBot="1">
      <c r="A5" s="88" t="s">
        <v>1</v>
      </c>
      <c r="B5" s="94">
        <v>1</v>
      </c>
      <c r="C5" s="96">
        <v>0</v>
      </c>
      <c r="D5" s="96">
        <v>0</v>
      </c>
      <c r="E5" s="95">
        <v>1</v>
      </c>
      <c r="F5" s="95">
        <v>1</v>
      </c>
      <c r="G5" s="95">
        <v>1</v>
      </c>
      <c r="H5" s="96">
        <v>0</v>
      </c>
      <c r="I5" s="96">
        <v>0</v>
      </c>
      <c r="J5" s="95">
        <v>1</v>
      </c>
      <c r="K5" s="95">
        <v>1</v>
      </c>
      <c r="L5" s="95">
        <v>1</v>
      </c>
      <c r="M5" s="95">
        <v>1</v>
      </c>
      <c r="N5" s="95">
        <v>1</v>
      </c>
      <c r="O5" s="95">
        <v>1</v>
      </c>
      <c r="P5" s="95">
        <v>1</v>
      </c>
      <c r="Q5" s="95">
        <v>1</v>
      </c>
      <c r="R5" s="95">
        <v>1</v>
      </c>
      <c r="S5" s="96">
        <v>0</v>
      </c>
      <c r="T5" s="96">
        <v>0</v>
      </c>
      <c r="U5" s="97">
        <v>1</v>
      </c>
      <c r="V5" s="87" t="s">
        <v>0</v>
      </c>
      <c r="W5" s="85">
        <v>3</v>
      </c>
      <c r="X5" s="113" t="s">
        <v>130</v>
      </c>
    </row>
    <row r="6" spans="1:24" ht="16.5" thickBot="1">
      <c r="A6" s="88" t="s">
        <v>1</v>
      </c>
      <c r="B6" s="94">
        <v>1</v>
      </c>
      <c r="C6" s="95">
        <v>1</v>
      </c>
      <c r="D6" s="95">
        <v>1</v>
      </c>
      <c r="E6" s="95">
        <v>1</v>
      </c>
      <c r="F6" s="95">
        <v>1</v>
      </c>
      <c r="G6" s="95">
        <v>1</v>
      </c>
      <c r="H6" s="96">
        <v>0</v>
      </c>
      <c r="I6" s="96">
        <v>0</v>
      </c>
      <c r="J6" s="95">
        <v>1</v>
      </c>
      <c r="K6" s="95">
        <v>1</v>
      </c>
      <c r="L6" s="95">
        <v>1</v>
      </c>
      <c r="M6" s="95">
        <v>1</v>
      </c>
      <c r="N6" s="95">
        <v>1</v>
      </c>
      <c r="O6" s="95">
        <v>1</v>
      </c>
      <c r="P6" s="95">
        <v>1</v>
      </c>
      <c r="Q6" s="95">
        <v>1</v>
      </c>
      <c r="R6" s="95">
        <v>1</v>
      </c>
      <c r="S6" s="96">
        <v>0</v>
      </c>
      <c r="T6" s="96">
        <v>0</v>
      </c>
      <c r="U6" s="97">
        <v>1</v>
      </c>
      <c r="V6" s="87" t="s">
        <v>0</v>
      </c>
      <c r="W6" s="86">
        <v>4</v>
      </c>
      <c r="X6" s="113" t="s">
        <v>129</v>
      </c>
    </row>
    <row r="7" spans="1:24" ht="15.75">
      <c r="A7" s="88" t="s">
        <v>1</v>
      </c>
      <c r="B7" s="94">
        <v>1</v>
      </c>
      <c r="C7" s="95">
        <v>1</v>
      </c>
      <c r="D7" s="95">
        <v>1</v>
      </c>
      <c r="E7" s="95">
        <v>1</v>
      </c>
      <c r="F7" s="95">
        <v>1</v>
      </c>
      <c r="G7" s="95">
        <v>1</v>
      </c>
      <c r="H7" s="95">
        <v>1</v>
      </c>
      <c r="I7" s="95">
        <v>1</v>
      </c>
      <c r="J7" s="95">
        <v>1</v>
      </c>
      <c r="K7" s="95">
        <v>1</v>
      </c>
      <c r="L7" s="95">
        <v>1</v>
      </c>
      <c r="M7" s="95">
        <v>1</v>
      </c>
      <c r="N7" s="95">
        <v>1</v>
      </c>
      <c r="O7" s="95">
        <v>1</v>
      </c>
      <c r="P7" s="95">
        <v>1</v>
      </c>
      <c r="Q7" s="95">
        <v>1</v>
      </c>
      <c r="R7" s="95">
        <v>1</v>
      </c>
      <c r="S7" s="96">
        <v>0</v>
      </c>
      <c r="T7" s="95">
        <v>1</v>
      </c>
      <c r="U7" s="97">
        <v>1</v>
      </c>
      <c r="V7" s="87" t="s">
        <v>0</v>
      </c>
    </row>
    <row r="8" spans="1:24" ht="15.75">
      <c r="A8" s="88" t="s">
        <v>1</v>
      </c>
      <c r="B8" s="94">
        <v>1</v>
      </c>
      <c r="C8" s="95">
        <v>1</v>
      </c>
      <c r="D8" s="95">
        <v>1</v>
      </c>
      <c r="E8" s="95">
        <v>1</v>
      </c>
      <c r="F8" s="95">
        <v>1</v>
      </c>
      <c r="G8" s="95">
        <v>1</v>
      </c>
      <c r="H8" s="95">
        <v>1</v>
      </c>
      <c r="I8" s="95">
        <v>1</v>
      </c>
      <c r="J8" s="95">
        <v>1</v>
      </c>
      <c r="K8" s="95">
        <v>1</v>
      </c>
      <c r="L8" s="95">
        <v>1</v>
      </c>
      <c r="M8" s="95">
        <v>1</v>
      </c>
      <c r="N8" s="95">
        <v>1</v>
      </c>
      <c r="O8" s="95">
        <v>1</v>
      </c>
      <c r="P8" s="95">
        <v>1</v>
      </c>
      <c r="Q8" s="95">
        <v>1</v>
      </c>
      <c r="R8" s="95">
        <v>1</v>
      </c>
      <c r="S8" s="95">
        <v>1</v>
      </c>
      <c r="T8" s="95">
        <v>1</v>
      </c>
      <c r="U8" s="97">
        <v>1</v>
      </c>
      <c r="V8" s="87" t="s">
        <v>0</v>
      </c>
    </row>
    <row r="9" spans="1:24" ht="15.75">
      <c r="A9" s="88" t="s">
        <v>1</v>
      </c>
      <c r="B9" s="94">
        <v>1</v>
      </c>
      <c r="C9" s="95">
        <v>1</v>
      </c>
      <c r="D9" s="95">
        <v>1</v>
      </c>
      <c r="E9" s="95">
        <v>1</v>
      </c>
      <c r="F9" s="95">
        <v>1</v>
      </c>
      <c r="G9" s="95">
        <v>1</v>
      </c>
      <c r="H9" s="95">
        <v>1</v>
      </c>
      <c r="I9" s="95">
        <v>1</v>
      </c>
      <c r="J9" s="95">
        <v>1</v>
      </c>
      <c r="K9" s="95">
        <v>1</v>
      </c>
      <c r="L9" s="95">
        <v>1</v>
      </c>
      <c r="M9" s="95">
        <v>1</v>
      </c>
      <c r="N9" s="95">
        <v>1</v>
      </c>
      <c r="O9" s="95">
        <v>1</v>
      </c>
      <c r="P9" s="95">
        <v>1</v>
      </c>
      <c r="Q9" s="95">
        <v>1</v>
      </c>
      <c r="R9" s="95">
        <v>1</v>
      </c>
      <c r="S9" s="95">
        <v>1</v>
      </c>
      <c r="T9" s="95">
        <v>1</v>
      </c>
      <c r="U9" s="97">
        <v>1</v>
      </c>
      <c r="V9" s="87" t="s">
        <v>0</v>
      </c>
      <c r="X9">
        <f>COUNTIF(B2:U27,1)</f>
        <v>422</v>
      </c>
    </row>
    <row r="10" spans="1:24" ht="15.75">
      <c r="A10" s="88" t="s">
        <v>1</v>
      </c>
      <c r="B10" s="94">
        <v>1</v>
      </c>
      <c r="C10" s="95">
        <v>1</v>
      </c>
      <c r="D10" s="95">
        <v>1</v>
      </c>
      <c r="E10" s="95">
        <v>1</v>
      </c>
      <c r="F10" s="95">
        <v>1</v>
      </c>
      <c r="G10" s="95">
        <v>1</v>
      </c>
      <c r="H10" s="95">
        <v>1</v>
      </c>
      <c r="I10" s="95">
        <v>1</v>
      </c>
      <c r="J10" s="96">
        <v>0</v>
      </c>
      <c r="K10" s="95">
        <v>1</v>
      </c>
      <c r="L10" s="95">
        <v>1</v>
      </c>
      <c r="M10" s="95">
        <v>1</v>
      </c>
      <c r="N10" s="95">
        <v>1</v>
      </c>
      <c r="O10" s="96">
        <v>0</v>
      </c>
      <c r="P10" s="95">
        <v>1</v>
      </c>
      <c r="Q10" s="95">
        <v>1</v>
      </c>
      <c r="R10" s="95">
        <v>1</v>
      </c>
      <c r="S10" s="95">
        <v>1</v>
      </c>
      <c r="T10" s="95">
        <v>1</v>
      </c>
      <c r="U10" s="97">
        <v>1</v>
      </c>
      <c r="V10" s="87" t="s">
        <v>0</v>
      </c>
      <c r="X10">
        <f>COUNTA(B2:U27)</f>
        <v>520</v>
      </c>
    </row>
    <row r="11" spans="1:24" ht="15.75">
      <c r="A11" s="88" t="s">
        <v>1</v>
      </c>
      <c r="B11" s="94">
        <v>1</v>
      </c>
      <c r="C11" s="95">
        <v>1</v>
      </c>
      <c r="D11" s="95">
        <v>1</v>
      </c>
      <c r="E11" s="95">
        <v>1</v>
      </c>
      <c r="F11" s="95">
        <v>1</v>
      </c>
      <c r="G11" s="95">
        <v>1</v>
      </c>
      <c r="H11" s="95">
        <v>1</v>
      </c>
      <c r="I11" s="95">
        <v>1</v>
      </c>
      <c r="J11" s="96">
        <v>0</v>
      </c>
      <c r="K11" s="95">
        <v>1</v>
      </c>
      <c r="L11" s="95">
        <v>1</v>
      </c>
      <c r="M11" s="95">
        <v>1</v>
      </c>
      <c r="N11" s="96">
        <v>0</v>
      </c>
      <c r="O11" s="96">
        <v>0</v>
      </c>
      <c r="P11" s="96">
        <v>0</v>
      </c>
      <c r="Q11" s="95">
        <v>1</v>
      </c>
      <c r="R11" s="95">
        <v>1</v>
      </c>
      <c r="S11" s="95">
        <v>1</v>
      </c>
      <c r="T11" s="95">
        <v>1</v>
      </c>
      <c r="U11" s="97">
        <v>1</v>
      </c>
      <c r="V11" s="87" t="s">
        <v>0</v>
      </c>
    </row>
    <row r="12" spans="1:24" ht="15.75">
      <c r="A12" s="88" t="s">
        <v>1</v>
      </c>
      <c r="B12" s="94">
        <v>1</v>
      </c>
      <c r="C12" s="95">
        <v>1</v>
      </c>
      <c r="D12" s="95">
        <v>1</v>
      </c>
      <c r="E12" s="95">
        <v>1</v>
      </c>
      <c r="F12" s="95">
        <v>1</v>
      </c>
      <c r="G12" s="96">
        <v>0</v>
      </c>
      <c r="H12" s="95">
        <v>1</v>
      </c>
      <c r="I12" s="95">
        <v>1</v>
      </c>
      <c r="J12" s="95">
        <v>1</v>
      </c>
      <c r="K12" s="95">
        <v>1</v>
      </c>
      <c r="L12" s="95">
        <v>1</v>
      </c>
      <c r="M12" s="95">
        <v>1</v>
      </c>
      <c r="N12" s="96">
        <v>0</v>
      </c>
      <c r="O12" s="96">
        <v>0</v>
      </c>
      <c r="P12" s="96">
        <v>0</v>
      </c>
      <c r="Q12" s="95">
        <v>1</v>
      </c>
      <c r="R12" s="95">
        <v>1</v>
      </c>
      <c r="S12" s="95">
        <v>1</v>
      </c>
      <c r="T12" s="95">
        <v>1</v>
      </c>
      <c r="U12" s="97">
        <v>1</v>
      </c>
      <c r="V12" s="87" t="s">
        <v>0</v>
      </c>
      <c r="X12">
        <f>X10-X9</f>
        <v>98</v>
      </c>
    </row>
    <row r="13" spans="1:24" ht="15.75">
      <c r="A13" s="88" t="s">
        <v>1</v>
      </c>
      <c r="B13" s="94">
        <v>1</v>
      </c>
      <c r="C13" s="95">
        <v>1</v>
      </c>
      <c r="D13" s="95">
        <v>1</v>
      </c>
      <c r="E13" s="95">
        <v>1</v>
      </c>
      <c r="F13" s="95">
        <v>1</v>
      </c>
      <c r="G13" s="96">
        <v>0</v>
      </c>
      <c r="H13" s="95">
        <v>1</v>
      </c>
      <c r="I13" s="95">
        <v>1</v>
      </c>
      <c r="J13" s="95">
        <v>1</v>
      </c>
      <c r="K13" s="95">
        <v>1</v>
      </c>
      <c r="L13" s="95">
        <v>1</v>
      </c>
      <c r="M13" s="95">
        <v>1</v>
      </c>
      <c r="N13" s="95">
        <v>1</v>
      </c>
      <c r="O13" s="95">
        <v>1</v>
      </c>
      <c r="P13" s="95">
        <v>1</v>
      </c>
      <c r="Q13" s="95">
        <v>1</v>
      </c>
      <c r="R13" s="95">
        <v>1</v>
      </c>
      <c r="S13" s="95">
        <v>1</v>
      </c>
      <c r="T13" s="95">
        <v>1</v>
      </c>
      <c r="U13" s="97">
        <v>1</v>
      </c>
      <c r="V13" s="87" t="s">
        <v>0</v>
      </c>
    </row>
    <row r="14" spans="1:24" ht="15.75">
      <c r="A14" s="88" t="s">
        <v>1</v>
      </c>
      <c r="B14" s="94">
        <v>1</v>
      </c>
      <c r="C14" s="95">
        <v>1</v>
      </c>
      <c r="D14" s="95">
        <v>1</v>
      </c>
      <c r="E14" s="95">
        <v>1</v>
      </c>
      <c r="F14" s="95">
        <v>1</v>
      </c>
      <c r="G14" s="95">
        <v>1</v>
      </c>
      <c r="H14" s="95">
        <v>1</v>
      </c>
      <c r="I14" s="95">
        <v>1</v>
      </c>
      <c r="J14" s="95">
        <v>1</v>
      </c>
      <c r="K14" s="95">
        <v>1</v>
      </c>
      <c r="L14" s="95">
        <v>1</v>
      </c>
      <c r="M14" s="95">
        <v>1</v>
      </c>
      <c r="N14" s="95">
        <v>1</v>
      </c>
      <c r="O14" s="95">
        <v>1</v>
      </c>
      <c r="P14" s="95">
        <v>1</v>
      </c>
      <c r="Q14" s="95">
        <v>1</v>
      </c>
      <c r="R14" s="95">
        <v>1</v>
      </c>
      <c r="S14" s="95">
        <v>1</v>
      </c>
      <c r="T14" s="95">
        <v>1</v>
      </c>
      <c r="U14" s="97">
        <v>1</v>
      </c>
      <c r="V14" s="87" t="s">
        <v>0</v>
      </c>
    </row>
    <row r="15" spans="1:24" ht="15.75">
      <c r="A15" s="88" t="s">
        <v>1</v>
      </c>
      <c r="B15" s="94">
        <v>1</v>
      </c>
      <c r="C15" s="95">
        <v>1</v>
      </c>
      <c r="D15" s="95">
        <v>1</v>
      </c>
      <c r="E15" s="95">
        <v>1</v>
      </c>
      <c r="F15" s="95">
        <v>1</v>
      </c>
      <c r="G15" s="95">
        <v>1</v>
      </c>
      <c r="H15" s="95">
        <v>1</v>
      </c>
      <c r="I15" s="95">
        <v>1</v>
      </c>
      <c r="J15" s="95">
        <v>1</v>
      </c>
      <c r="K15" s="95">
        <v>1</v>
      </c>
      <c r="L15" s="95">
        <v>1</v>
      </c>
      <c r="M15" s="95">
        <v>1</v>
      </c>
      <c r="N15" s="95">
        <v>1</v>
      </c>
      <c r="O15" s="95">
        <v>1</v>
      </c>
      <c r="P15" s="95">
        <v>1</v>
      </c>
      <c r="Q15" s="95">
        <v>1</v>
      </c>
      <c r="R15" s="95">
        <v>1</v>
      </c>
      <c r="S15" s="95">
        <v>1</v>
      </c>
      <c r="T15" s="95">
        <v>1</v>
      </c>
      <c r="U15" s="97">
        <v>1</v>
      </c>
      <c r="V15" s="87" t="s">
        <v>0</v>
      </c>
    </row>
    <row r="16" spans="1:24" ht="15.75">
      <c r="A16" s="88" t="s">
        <v>1</v>
      </c>
      <c r="B16" s="94">
        <v>1</v>
      </c>
      <c r="C16" s="95">
        <v>1</v>
      </c>
      <c r="D16" s="96">
        <v>0</v>
      </c>
      <c r="E16" s="95">
        <v>1</v>
      </c>
      <c r="F16" s="95">
        <v>1</v>
      </c>
      <c r="G16" s="95">
        <v>1</v>
      </c>
      <c r="H16" s="95">
        <v>1</v>
      </c>
      <c r="I16" s="96">
        <v>0</v>
      </c>
      <c r="J16" s="95">
        <v>1</v>
      </c>
      <c r="K16" s="95">
        <v>1</v>
      </c>
      <c r="L16" s="95">
        <v>1</v>
      </c>
      <c r="M16" s="95">
        <v>1</v>
      </c>
      <c r="N16" s="95">
        <v>1</v>
      </c>
      <c r="O16" s="95">
        <v>1</v>
      </c>
      <c r="P16" s="95">
        <v>1</v>
      </c>
      <c r="Q16" s="95">
        <v>1</v>
      </c>
      <c r="R16" s="95">
        <v>1</v>
      </c>
      <c r="S16" s="95">
        <v>1</v>
      </c>
      <c r="T16" s="95">
        <v>1</v>
      </c>
      <c r="U16" s="97">
        <v>1</v>
      </c>
      <c r="V16" s="87" t="s">
        <v>0</v>
      </c>
    </row>
    <row r="17" spans="1:22" ht="15.75">
      <c r="A17" s="88" t="s">
        <v>1</v>
      </c>
      <c r="B17" s="94">
        <v>1</v>
      </c>
      <c r="C17" s="95">
        <v>1</v>
      </c>
      <c r="D17" s="96">
        <v>0</v>
      </c>
      <c r="E17" s="96">
        <v>0</v>
      </c>
      <c r="F17" s="95">
        <v>1</v>
      </c>
      <c r="G17" s="95">
        <v>1</v>
      </c>
      <c r="H17" s="95">
        <v>1</v>
      </c>
      <c r="I17" s="96">
        <v>0</v>
      </c>
      <c r="J17" s="95">
        <v>1</v>
      </c>
      <c r="K17" s="95">
        <v>1</v>
      </c>
      <c r="L17" s="95">
        <v>1</v>
      </c>
      <c r="M17" s="95">
        <v>1</v>
      </c>
      <c r="N17" s="95">
        <v>1</v>
      </c>
      <c r="O17" s="95">
        <v>1</v>
      </c>
      <c r="P17" s="95">
        <v>1</v>
      </c>
      <c r="Q17" s="95">
        <v>1</v>
      </c>
      <c r="R17" s="95">
        <v>1</v>
      </c>
      <c r="S17" s="95">
        <v>1</v>
      </c>
      <c r="T17" s="96">
        <v>0</v>
      </c>
      <c r="U17" s="97">
        <v>1</v>
      </c>
      <c r="V17" s="87" t="s">
        <v>0</v>
      </c>
    </row>
    <row r="18" spans="1:22" ht="15.75">
      <c r="A18" s="88" t="s">
        <v>1</v>
      </c>
      <c r="B18" s="94">
        <v>1</v>
      </c>
      <c r="C18" s="95">
        <v>1</v>
      </c>
      <c r="D18" s="96">
        <v>0</v>
      </c>
      <c r="E18" s="96">
        <v>0</v>
      </c>
      <c r="F18" s="95">
        <v>1</v>
      </c>
      <c r="G18" s="95">
        <v>1</v>
      </c>
      <c r="H18" s="95">
        <v>1</v>
      </c>
      <c r="I18" s="95">
        <v>1</v>
      </c>
      <c r="J18" s="95">
        <v>1</v>
      </c>
      <c r="K18" s="95">
        <v>1</v>
      </c>
      <c r="L18" s="95">
        <v>1</v>
      </c>
      <c r="M18" s="95">
        <v>1</v>
      </c>
      <c r="N18" s="95">
        <v>1</v>
      </c>
      <c r="O18" s="95">
        <v>1</v>
      </c>
      <c r="P18" s="95">
        <v>1</v>
      </c>
      <c r="Q18" s="95">
        <v>1</v>
      </c>
      <c r="R18" s="95">
        <v>1</v>
      </c>
      <c r="S18" s="96">
        <v>0</v>
      </c>
      <c r="T18" s="96">
        <v>0</v>
      </c>
      <c r="U18" s="97">
        <v>1</v>
      </c>
      <c r="V18" s="87" t="s">
        <v>0</v>
      </c>
    </row>
    <row r="19" spans="1:22" ht="15.75">
      <c r="A19" s="88" t="s">
        <v>1</v>
      </c>
      <c r="B19" s="94">
        <v>1</v>
      </c>
      <c r="C19" s="95">
        <v>1</v>
      </c>
      <c r="D19" s="95">
        <v>1</v>
      </c>
      <c r="E19" s="95">
        <v>1</v>
      </c>
      <c r="F19" s="95">
        <v>1</v>
      </c>
      <c r="G19" s="95">
        <v>1</v>
      </c>
      <c r="H19" s="95">
        <v>1</v>
      </c>
      <c r="I19" s="95">
        <v>1</v>
      </c>
      <c r="J19" s="95">
        <v>1</v>
      </c>
      <c r="K19" s="95">
        <v>1</v>
      </c>
      <c r="L19" s="95">
        <v>1</v>
      </c>
      <c r="M19" s="95">
        <v>1</v>
      </c>
      <c r="N19" s="95">
        <v>1</v>
      </c>
      <c r="O19" s="95">
        <v>1</v>
      </c>
      <c r="P19" s="95">
        <v>1</v>
      </c>
      <c r="Q19" s="95">
        <v>1</v>
      </c>
      <c r="R19" s="95">
        <v>1</v>
      </c>
      <c r="S19" s="96">
        <v>0</v>
      </c>
      <c r="T19" s="96">
        <v>0</v>
      </c>
      <c r="U19" s="97">
        <v>1</v>
      </c>
      <c r="V19" s="87" t="s">
        <v>0</v>
      </c>
    </row>
    <row r="20" spans="1:22" ht="15.75">
      <c r="A20" s="88" t="s">
        <v>1</v>
      </c>
      <c r="B20" s="94">
        <v>1</v>
      </c>
      <c r="C20" s="95">
        <v>1</v>
      </c>
      <c r="D20" s="95">
        <v>1</v>
      </c>
      <c r="E20" s="99">
        <v>2</v>
      </c>
      <c r="F20" s="95">
        <v>1</v>
      </c>
      <c r="G20" s="95">
        <v>1</v>
      </c>
      <c r="H20" s="95">
        <v>1</v>
      </c>
      <c r="I20" s="95">
        <v>1</v>
      </c>
      <c r="J20" s="95">
        <v>1</v>
      </c>
      <c r="K20" s="95">
        <v>1</v>
      </c>
      <c r="L20" s="95">
        <v>1</v>
      </c>
      <c r="M20" s="95">
        <v>1</v>
      </c>
      <c r="N20" s="95">
        <v>1</v>
      </c>
      <c r="O20" s="95">
        <v>1</v>
      </c>
      <c r="P20" s="99">
        <v>2</v>
      </c>
      <c r="Q20" s="95">
        <v>1</v>
      </c>
      <c r="R20" s="95">
        <v>1</v>
      </c>
      <c r="S20" s="95">
        <v>1</v>
      </c>
      <c r="T20" s="95">
        <v>1</v>
      </c>
      <c r="U20" s="97">
        <v>1</v>
      </c>
      <c r="V20" s="87" t="s">
        <v>0</v>
      </c>
    </row>
    <row r="21" spans="1:22" ht="15.75">
      <c r="A21" s="88" t="s">
        <v>1</v>
      </c>
      <c r="B21" s="94">
        <v>1</v>
      </c>
      <c r="C21" s="95">
        <v>1</v>
      </c>
      <c r="D21" s="100">
        <v>2</v>
      </c>
      <c r="E21" s="101">
        <v>2</v>
      </c>
      <c r="F21" s="102">
        <v>2</v>
      </c>
      <c r="G21" s="95">
        <v>1</v>
      </c>
      <c r="H21" s="95">
        <v>1</v>
      </c>
      <c r="I21" s="95">
        <v>1</v>
      </c>
      <c r="J21" s="95">
        <v>1</v>
      </c>
      <c r="K21" s="95">
        <v>1</v>
      </c>
      <c r="L21" s="95">
        <v>1</v>
      </c>
      <c r="M21" s="95">
        <v>1</v>
      </c>
      <c r="N21" s="95">
        <v>1</v>
      </c>
      <c r="O21" s="100">
        <v>2</v>
      </c>
      <c r="P21" s="101">
        <v>2</v>
      </c>
      <c r="Q21" s="102">
        <v>2</v>
      </c>
      <c r="R21" s="95">
        <v>1</v>
      </c>
      <c r="S21" s="95">
        <v>1</v>
      </c>
      <c r="T21" s="95">
        <v>1</v>
      </c>
      <c r="U21" s="97">
        <v>1</v>
      </c>
      <c r="V21" s="87" t="s">
        <v>0</v>
      </c>
    </row>
    <row r="22" spans="1:22" ht="15.75">
      <c r="A22" s="88" t="s">
        <v>1</v>
      </c>
      <c r="B22" s="94">
        <v>1</v>
      </c>
      <c r="C22" s="95">
        <v>1</v>
      </c>
      <c r="D22" s="103">
        <v>2</v>
      </c>
      <c r="E22" s="101">
        <v>2</v>
      </c>
      <c r="F22" s="104">
        <v>2</v>
      </c>
      <c r="G22" s="95">
        <v>1</v>
      </c>
      <c r="H22" s="95">
        <v>1</v>
      </c>
      <c r="I22" s="95">
        <v>1</v>
      </c>
      <c r="J22" s="95">
        <v>1</v>
      </c>
      <c r="K22" s="95">
        <v>1</v>
      </c>
      <c r="L22" s="95">
        <v>1</v>
      </c>
      <c r="M22" s="95">
        <v>1</v>
      </c>
      <c r="N22" s="95">
        <v>1</v>
      </c>
      <c r="O22" s="103">
        <v>2</v>
      </c>
      <c r="P22" s="101">
        <v>2</v>
      </c>
      <c r="Q22" s="104">
        <v>2</v>
      </c>
      <c r="R22" s="95">
        <v>1</v>
      </c>
      <c r="S22" s="95">
        <v>1</v>
      </c>
      <c r="T22" s="95">
        <v>1</v>
      </c>
      <c r="U22" s="97">
        <v>1</v>
      </c>
      <c r="V22" s="87" t="s">
        <v>0</v>
      </c>
    </row>
    <row r="23" spans="1:22" ht="15.75">
      <c r="A23" s="88" t="s">
        <v>1</v>
      </c>
      <c r="B23" s="94">
        <v>1</v>
      </c>
      <c r="C23" s="100">
        <v>2</v>
      </c>
      <c r="D23" s="101">
        <v>2</v>
      </c>
      <c r="E23" s="101">
        <v>2</v>
      </c>
      <c r="F23" s="101">
        <v>2</v>
      </c>
      <c r="G23" s="102">
        <v>2</v>
      </c>
      <c r="H23" s="95">
        <v>1</v>
      </c>
      <c r="I23" s="95">
        <v>1</v>
      </c>
      <c r="J23" s="95">
        <v>1</v>
      </c>
      <c r="K23" s="95">
        <v>1</v>
      </c>
      <c r="L23" s="95">
        <v>1</v>
      </c>
      <c r="M23" s="95">
        <v>1</v>
      </c>
      <c r="N23" s="100">
        <v>2</v>
      </c>
      <c r="O23" s="101">
        <v>2</v>
      </c>
      <c r="P23" s="101">
        <v>2</v>
      </c>
      <c r="Q23" s="101">
        <v>2</v>
      </c>
      <c r="R23" s="102">
        <v>2</v>
      </c>
      <c r="S23" s="95">
        <v>1</v>
      </c>
      <c r="T23" s="95">
        <v>1</v>
      </c>
      <c r="U23" s="97">
        <v>1</v>
      </c>
      <c r="V23" s="87" t="s">
        <v>0</v>
      </c>
    </row>
    <row r="24" spans="1:22" ht="15.75">
      <c r="A24" s="88" t="s">
        <v>1</v>
      </c>
      <c r="B24" s="94">
        <v>1</v>
      </c>
      <c r="C24" s="105">
        <v>2</v>
      </c>
      <c r="D24" s="106">
        <v>2</v>
      </c>
      <c r="E24" s="101">
        <v>2</v>
      </c>
      <c r="F24" s="106">
        <v>2</v>
      </c>
      <c r="G24" s="107">
        <v>2</v>
      </c>
      <c r="H24" s="95">
        <v>1</v>
      </c>
      <c r="I24" s="95">
        <v>1</v>
      </c>
      <c r="J24" s="95">
        <v>1</v>
      </c>
      <c r="K24" s="95">
        <v>1</v>
      </c>
      <c r="L24" s="95">
        <v>1</v>
      </c>
      <c r="M24" s="95">
        <v>1</v>
      </c>
      <c r="N24" s="105">
        <v>2</v>
      </c>
      <c r="O24" s="106">
        <v>2</v>
      </c>
      <c r="P24" s="101">
        <v>2</v>
      </c>
      <c r="Q24" s="106">
        <v>2</v>
      </c>
      <c r="R24" s="107">
        <v>2</v>
      </c>
      <c r="S24" s="95">
        <v>1</v>
      </c>
      <c r="T24" s="95">
        <v>1</v>
      </c>
      <c r="U24" s="97">
        <v>1</v>
      </c>
      <c r="V24" s="87" t="s">
        <v>0</v>
      </c>
    </row>
    <row r="25" spans="1:22" ht="15.75">
      <c r="A25" s="88" t="s">
        <v>1</v>
      </c>
      <c r="B25" s="94">
        <v>1</v>
      </c>
      <c r="C25" s="95">
        <v>1</v>
      </c>
      <c r="D25" s="95">
        <v>1</v>
      </c>
      <c r="E25" s="108">
        <v>3</v>
      </c>
      <c r="F25" s="95">
        <v>1</v>
      </c>
      <c r="G25" s="95">
        <v>1</v>
      </c>
      <c r="H25" s="95">
        <v>1</v>
      </c>
      <c r="I25" s="95">
        <v>1</v>
      </c>
      <c r="J25" s="95">
        <v>1</v>
      </c>
      <c r="K25" s="95">
        <v>1</v>
      </c>
      <c r="L25" s="95">
        <v>1</v>
      </c>
      <c r="M25" s="95">
        <v>1</v>
      </c>
      <c r="N25" s="95">
        <v>1</v>
      </c>
      <c r="O25" s="95">
        <v>1</v>
      </c>
      <c r="P25" s="108">
        <v>3</v>
      </c>
      <c r="Q25" s="95">
        <v>1</v>
      </c>
      <c r="R25" s="95">
        <v>1</v>
      </c>
      <c r="S25" s="95">
        <v>1</v>
      </c>
      <c r="T25" s="95">
        <v>1</v>
      </c>
      <c r="U25" s="97">
        <v>1</v>
      </c>
      <c r="V25" s="87" t="s">
        <v>0</v>
      </c>
    </row>
    <row r="26" spans="1:22" ht="15.75">
      <c r="A26" s="88" t="s">
        <v>1</v>
      </c>
      <c r="B26" s="94">
        <v>1</v>
      </c>
      <c r="C26" s="95">
        <v>1</v>
      </c>
      <c r="D26" s="95">
        <v>1</v>
      </c>
      <c r="E26" s="109">
        <v>3</v>
      </c>
      <c r="F26" s="95">
        <v>1</v>
      </c>
      <c r="G26" s="95">
        <v>1</v>
      </c>
      <c r="H26" s="95">
        <v>1</v>
      </c>
      <c r="I26" s="95">
        <v>1</v>
      </c>
      <c r="J26" s="95">
        <v>1</v>
      </c>
      <c r="K26" s="95">
        <v>1</v>
      </c>
      <c r="L26" s="95">
        <v>1</v>
      </c>
      <c r="M26" s="95">
        <v>1</v>
      </c>
      <c r="N26" s="95">
        <v>1</v>
      </c>
      <c r="O26" s="95">
        <v>1</v>
      </c>
      <c r="P26" s="109">
        <v>3</v>
      </c>
      <c r="Q26" s="95">
        <v>1</v>
      </c>
      <c r="R26" s="95">
        <v>1</v>
      </c>
      <c r="S26" s="95">
        <v>1</v>
      </c>
      <c r="T26" s="95">
        <v>1</v>
      </c>
      <c r="U26" s="97">
        <v>1</v>
      </c>
      <c r="V26" s="87" t="s">
        <v>0</v>
      </c>
    </row>
    <row r="27" spans="1:22" ht="15.75">
      <c r="B27" s="110">
        <v>4</v>
      </c>
      <c r="C27" s="111">
        <v>4</v>
      </c>
      <c r="D27" s="111">
        <v>4</v>
      </c>
      <c r="E27" s="111">
        <v>4</v>
      </c>
      <c r="F27" s="111">
        <v>4</v>
      </c>
      <c r="G27" s="111">
        <v>4</v>
      </c>
      <c r="H27" s="111">
        <v>4</v>
      </c>
      <c r="I27" s="111">
        <v>4</v>
      </c>
      <c r="J27" s="111">
        <v>4</v>
      </c>
      <c r="K27" s="111">
        <v>4</v>
      </c>
      <c r="L27" s="111">
        <v>4</v>
      </c>
      <c r="M27" s="111">
        <v>4</v>
      </c>
      <c r="N27" s="111">
        <v>4</v>
      </c>
      <c r="O27" s="111">
        <v>4</v>
      </c>
      <c r="P27" s="111">
        <v>4</v>
      </c>
      <c r="Q27" s="111">
        <v>4</v>
      </c>
      <c r="R27" s="111">
        <v>4</v>
      </c>
      <c r="S27" s="111">
        <v>4</v>
      </c>
      <c r="T27" s="111">
        <v>4</v>
      </c>
      <c r="U27" s="112">
        <v>4</v>
      </c>
    </row>
    <row r="1000" spans="648:648" ht="15.75">
      <c r="XX1000" s="174">
        <v>125713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F826-7BF2-4064-8E5E-1365A1948BA8}">
  <sheetPr codeName="Sheet4"/>
  <dimension ref="A1:Y147"/>
  <sheetViews>
    <sheetView showGridLines="0" zoomScale="70" zoomScaleNormal="70" workbookViewId="0"/>
  </sheetViews>
  <sheetFormatPr defaultColWidth="8.28515625" defaultRowHeight="23.25" customHeight="1"/>
  <cols>
    <col min="1" max="1" width="3.140625" style="23" customWidth="1"/>
    <col min="2" max="2" width="12.28515625" style="25" customWidth="1"/>
    <col min="3" max="3" width="54.28515625" style="150" customWidth="1"/>
    <col min="4" max="4" width="9.42578125" style="23" customWidth="1"/>
    <col min="5" max="25" width="5.42578125" style="23" customWidth="1"/>
    <col min="26" max="49" width="8.140625" style="24" customWidth="1"/>
    <col min="50" max="75" width="6.140625" style="24" customWidth="1"/>
    <col min="76" max="16384" width="8.28515625" style="24"/>
  </cols>
  <sheetData>
    <row r="1" spans="2:25" ht="23.25" customHeight="1" thickBot="1">
      <c r="B1" s="140" t="s">
        <v>185</v>
      </c>
      <c r="C1" s="141"/>
      <c r="G1" s="142"/>
      <c r="H1" s="142"/>
      <c r="I1" s="142"/>
      <c r="J1" s="142"/>
      <c r="K1" s="142"/>
      <c r="L1" s="142"/>
      <c r="M1" s="142"/>
      <c r="N1" s="143"/>
      <c r="O1" s="143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2:25" ht="23.25" customHeight="1" thickBot="1">
      <c r="B2" s="144" t="s">
        <v>106</v>
      </c>
      <c r="C2" s="145" t="s">
        <v>6</v>
      </c>
      <c r="D2" s="144" t="s">
        <v>5</v>
      </c>
      <c r="V2" s="24"/>
      <c r="W2" s="24"/>
      <c r="X2" s="24"/>
      <c r="Y2" s="24"/>
    </row>
    <row r="3" spans="2:25" ht="23.25" customHeight="1">
      <c r="B3" s="146" t="s">
        <v>7</v>
      </c>
      <c r="C3" s="147">
        <f>IF(ISBLANK(Case!E25),"",Case!E25)</f>
        <v>40</v>
      </c>
      <c r="D3" s="64">
        <v>30</v>
      </c>
      <c r="E3" s="24"/>
      <c r="F3" s="148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2:25" ht="23.25" customHeight="1">
      <c r="B4" s="149" t="s">
        <v>8</v>
      </c>
      <c r="C4" s="147">
        <f>IF(ISBLANK(Case!E26),"",Case!E26)</f>
        <v>98</v>
      </c>
      <c r="D4" s="67">
        <v>40</v>
      </c>
      <c r="E4" s="24"/>
      <c r="F4" s="148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2:25" ht="23.25" customHeight="1">
      <c r="B5" s="149" t="s">
        <v>9</v>
      </c>
      <c r="C5" s="147">
        <f ca="1">IF(ISBLANK(Case!E27),"",Case!E27)</f>
        <v>11</v>
      </c>
      <c r="D5" s="67">
        <v>50</v>
      </c>
      <c r="E5" s="24"/>
      <c r="F5" s="148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2:25" ht="23.25" customHeight="1">
      <c r="B6" s="149" t="s">
        <v>10</v>
      </c>
      <c r="C6" s="147">
        <f>IF(ISBLANK(Case!E28),"",Case!E28)</f>
        <v>26</v>
      </c>
      <c r="D6" s="67">
        <v>60</v>
      </c>
      <c r="E6" s="24"/>
      <c r="F6" s="14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2:25" ht="23.25" customHeight="1">
      <c r="B7" s="149" t="s">
        <v>11</v>
      </c>
      <c r="C7" s="147">
        <f ca="1">IF(ISBLANK(Case!E29),"",Case!E29)</f>
        <v>271</v>
      </c>
      <c r="D7" s="67">
        <v>70</v>
      </c>
      <c r="E7" s="24"/>
      <c r="F7" s="148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2:25" ht="23.25" customHeight="1">
      <c r="B8" s="31">
        <v>1</v>
      </c>
      <c r="C8" s="147">
        <f>IF(ISBLANK(Case!E48),"",Case!E48)</f>
        <v>18</v>
      </c>
      <c r="D8" s="146">
        <v>4</v>
      </c>
      <c r="E8" s="24"/>
      <c r="F8" s="14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2:25" ht="23.25" customHeight="1">
      <c r="B9" s="31">
        <f t="shared" ref="B9:B72" si="0">B8+1</f>
        <v>2</v>
      </c>
      <c r="C9" s="147">
        <f>IF(ISBLANK(Case!E49),"",Case!E49)</f>
        <v>16</v>
      </c>
      <c r="D9" s="146">
        <v>4</v>
      </c>
      <c r="E9" s="24"/>
      <c r="F9" s="148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2:25" ht="23.25" customHeight="1">
      <c r="B10" s="31">
        <f t="shared" si="0"/>
        <v>3</v>
      </c>
      <c r="C10" s="147">
        <f>IF(ISBLANK(Case!E50),"",Case!E50)</f>
        <v>24</v>
      </c>
      <c r="D10" s="146">
        <v>4</v>
      </c>
      <c r="E10" s="24"/>
      <c r="F10" s="148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2:25" ht="23.25" customHeight="1">
      <c r="B11" s="31">
        <f t="shared" si="0"/>
        <v>4</v>
      </c>
      <c r="C11" s="147">
        <f>IF(ISBLANK(Case!E51),"",Case!E51)</f>
        <v>20</v>
      </c>
      <c r="D11" s="146">
        <v>4</v>
      </c>
      <c r="E11" s="24"/>
      <c r="F11" s="148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2:25" ht="23.25" customHeight="1">
      <c r="B12" s="31">
        <f t="shared" si="0"/>
        <v>5</v>
      </c>
      <c r="C12" s="147">
        <f>IF(ISBLANK(Case!E52),"",Case!E52)</f>
        <v>20</v>
      </c>
      <c r="D12" s="146">
        <v>4</v>
      </c>
      <c r="E12" s="24"/>
      <c r="F12" s="148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2:25" ht="23.25" customHeight="1">
      <c r="B13" s="31">
        <f t="shared" si="0"/>
        <v>6</v>
      </c>
      <c r="C13" s="147">
        <f>IF(ISBLANK(Case!E53),"",Case!E53)</f>
        <v>19</v>
      </c>
      <c r="D13" s="146">
        <v>4</v>
      </c>
      <c r="E13" s="24"/>
      <c r="F13" s="148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2:25" ht="23.25" customHeight="1">
      <c r="B14" s="31">
        <f t="shared" si="0"/>
        <v>7</v>
      </c>
      <c r="C14" s="147">
        <f>IF(ISBLANK(Case!E54),"",Case!E54)</f>
        <v>18</v>
      </c>
      <c r="D14" s="146">
        <v>4</v>
      </c>
      <c r="E14" s="24"/>
      <c r="F14" s="14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2:25" ht="23.25" customHeight="1">
      <c r="B15" s="31">
        <f t="shared" si="0"/>
        <v>8</v>
      </c>
      <c r="C15" s="147">
        <f>IF(ISBLANK(Case!E55),"",Case!E55)</f>
        <v>15</v>
      </c>
      <c r="D15" s="146">
        <v>4</v>
      </c>
      <c r="E15" s="24"/>
      <c r="F15" s="14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2:25" ht="23.25" customHeight="1">
      <c r="B16" s="31">
        <f t="shared" si="0"/>
        <v>9</v>
      </c>
      <c r="C16" s="147">
        <f>IF(ISBLANK(Case!E56),"",Case!E56)</f>
        <v>16</v>
      </c>
      <c r="D16" s="146">
        <v>4</v>
      </c>
      <c r="E16" s="24"/>
      <c r="F16" s="14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2:25" ht="23.25" customHeight="1">
      <c r="B17" s="31">
        <f t="shared" si="0"/>
        <v>10</v>
      </c>
      <c r="C17" s="147">
        <f>IF(ISBLANK(Case!E57),"",Case!E57)</f>
        <v>20</v>
      </c>
      <c r="D17" s="146">
        <v>4</v>
      </c>
      <c r="E17" s="24"/>
      <c r="F17" s="14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2:25" ht="23.25" customHeight="1">
      <c r="B18" s="31">
        <f t="shared" si="0"/>
        <v>11</v>
      </c>
      <c r="C18" s="147">
        <f>IF(ISBLANK(Case!E58),"",Case!E58)</f>
        <v>14</v>
      </c>
      <c r="D18" s="146">
        <v>4</v>
      </c>
      <c r="E18" s="24"/>
      <c r="F18" s="14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2:25" ht="23.25" customHeight="1">
      <c r="B19" s="31">
        <f t="shared" si="0"/>
        <v>12</v>
      </c>
      <c r="C19" s="147">
        <f>IF(ISBLANK(Case!E59),"",Case!E59)</f>
        <v>20</v>
      </c>
      <c r="D19" s="146">
        <v>4</v>
      </c>
      <c r="E19" s="24"/>
      <c r="F19" s="14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2:25" ht="23.25" customHeight="1">
      <c r="B20" s="31">
        <f t="shared" si="0"/>
        <v>13</v>
      </c>
      <c r="C20" s="147">
        <f>IF(ISBLANK(Case!E60),"",Case!E60)</f>
        <v>16</v>
      </c>
      <c r="D20" s="146">
        <v>4</v>
      </c>
      <c r="E20" s="24"/>
      <c r="F20" s="14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2:25" ht="23.25" customHeight="1">
      <c r="B21" s="31">
        <f t="shared" si="0"/>
        <v>14</v>
      </c>
      <c r="C21" s="147">
        <f>IF(ISBLANK(Case!E61),"",Case!E61)</f>
        <v>30</v>
      </c>
      <c r="D21" s="146">
        <v>4</v>
      </c>
      <c r="E21" s="24"/>
      <c r="F21" s="14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2:25" ht="23.25" customHeight="1">
      <c r="B22" s="31">
        <f t="shared" si="0"/>
        <v>15</v>
      </c>
      <c r="C22" s="147">
        <f>IF(ISBLANK(Case!E62),"",Case!E62)</f>
        <v>16</v>
      </c>
      <c r="D22" s="146">
        <v>4</v>
      </c>
      <c r="E22" s="24"/>
      <c r="F22" s="14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2:25" ht="23.25" customHeight="1">
      <c r="B23" s="31">
        <f t="shared" si="0"/>
        <v>16</v>
      </c>
      <c r="C23" s="147">
        <f>IF(ISBLANK(Case!E63),"",Case!E63)</f>
        <v>22</v>
      </c>
      <c r="D23" s="146">
        <v>4</v>
      </c>
      <c r="E23" s="24"/>
      <c r="F23" s="148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2:25" ht="23.25" customHeight="1">
      <c r="B24" s="31">
        <f t="shared" si="0"/>
        <v>17</v>
      </c>
      <c r="C24" s="147">
        <f>IF(ISBLANK(Case!E64),"",Case!E64)</f>
        <v>24</v>
      </c>
      <c r="D24" s="146">
        <v>4</v>
      </c>
      <c r="E24" s="24"/>
      <c r="F24" s="14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2:25" ht="23.25" customHeight="1">
      <c r="B25" s="31">
        <f t="shared" si="0"/>
        <v>18</v>
      </c>
      <c r="C25" s="147">
        <f>IF(ISBLANK(Case!E65),"",Case!E65)</f>
        <v>18</v>
      </c>
      <c r="D25" s="146">
        <v>4</v>
      </c>
      <c r="E25" s="24"/>
      <c r="F25" s="148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2:25" ht="23.25" customHeight="1">
      <c r="B26" s="31">
        <f t="shared" si="0"/>
        <v>19</v>
      </c>
      <c r="C26" s="147">
        <f>IF(ISBLANK(Case!E66),"",Case!E66)</f>
        <v>26</v>
      </c>
      <c r="D26" s="146">
        <v>4</v>
      </c>
      <c r="E26" s="24"/>
      <c r="F26" s="148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2:25" ht="23.25" customHeight="1">
      <c r="B27" s="31">
        <f t="shared" si="0"/>
        <v>20</v>
      </c>
      <c r="C27" s="147">
        <f>IF(ISBLANK(Case!E67),"",Case!E67)</f>
        <v>19</v>
      </c>
      <c r="D27" s="146">
        <v>4</v>
      </c>
      <c r="E27" s="24"/>
      <c r="F27" s="148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2:25" ht="23.25" customHeight="1">
      <c r="B28" s="31">
        <f t="shared" si="0"/>
        <v>21</v>
      </c>
      <c r="C28" s="147">
        <f>IF(ISBLANK(Case!E84),"",Case!E84)</f>
        <v>2</v>
      </c>
      <c r="D28" s="146">
        <v>6</v>
      </c>
      <c r="E28" s="24"/>
      <c r="F28" s="148"/>
    </row>
    <row r="29" spans="2:25" ht="23.25" customHeight="1">
      <c r="B29" s="31">
        <f t="shared" si="0"/>
        <v>22</v>
      </c>
      <c r="C29" s="147">
        <f>IF(ISBLANK(Case!E85),"",Case!E85)</f>
        <v>16</v>
      </c>
      <c r="D29" s="146">
        <v>6</v>
      </c>
      <c r="E29" s="24"/>
      <c r="F29" s="148"/>
    </row>
    <row r="30" spans="2:25" ht="23.25" customHeight="1">
      <c r="B30" s="31">
        <f t="shared" si="0"/>
        <v>23</v>
      </c>
      <c r="C30" s="147">
        <f>IF(ISBLANK(Case!E86),"",Case!E86)</f>
        <v>15</v>
      </c>
      <c r="D30" s="146">
        <v>6</v>
      </c>
      <c r="E30" s="24"/>
      <c r="F30" s="148"/>
    </row>
    <row r="31" spans="2:25" ht="23.25" customHeight="1">
      <c r="B31" s="31">
        <f t="shared" si="0"/>
        <v>24</v>
      </c>
      <c r="C31" s="147">
        <f>IF(ISBLANK(Case!E87),"",Case!E87)</f>
        <v>20</v>
      </c>
      <c r="D31" s="146">
        <v>6</v>
      </c>
      <c r="E31" s="24"/>
      <c r="F31" s="148"/>
    </row>
    <row r="32" spans="2:25" s="23" customFormat="1" ht="23.25" customHeight="1">
      <c r="B32" s="31">
        <f t="shared" si="0"/>
        <v>25</v>
      </c>
      <c r="C32" s="147">
        <f>IF(ISBLANK(Case!E88),"",Case!E88)</f>
        <v>0</v>
      </c>
      <c r="D32" s="146">
        <v>6</v>
      </c>
      <c r="E32" s="24"/>
      <c r="F32" s="148"/>
    </row>
    <row r="33" spans="2:6" s="23" customFormat="1" ht="23.25" customHeight="1">
      <c r="B33" s="31">
        <f t="shared" si="0"/>
        <v>26</v>
      </c>
      <c r="C33" s="147">
        <f>IF(ISBLANK(Case!E89),"",Case!E89)</f>
        <v>19</v>
      </c>
      <c r="D33" s="146">
        <v>6</v>
      </c>
      <c r="E33" s="24"/>
      <c r="F33" s="148"/>
    </row>
    <row r="34" spans="2:6" s="23" customFormat="1" ht="23.25" customHeight="1">
      <c r="B34" s="31">
        <f t="shared" si="0"/>
        <v>27</v>
      </c>
      <c r="C34" s="147">
        <f>IF(ISBLANK(Case!E90),"",Case!E90)</f>
        <v>2</v>
      </c>
      <c r="D34" s="146">
        <v>6</v>
      </c>
      <c r="E34" s="24"/>
      <c r="F34" s="148"/>
    </row>
    <row r="35" spans="2:6" s="23" customFormat="1" ht="23.25" customHeight="1">
      <c r="B35" s="31">
        <f t="shared" si="0"/>
        <v>28</v>
      </c>
      <c r="C35" s="147">
        <f>IF(ISBLANK(Case!E91),"",Case!E91)</f>
        <v>0</v>
      </c>
      <c r="D35" s="146">
        <v>6</v>
      </c>
      <c r="E35" s="24"/>
      <c r="F35" s="148"/>
    </row>
    <row r="36" spans="2:6" s="23" customFormat="1" ht="23.25" customHeight="1">
      <c r="B36" s="31">
        <f t="shared" si="0"/>
        <v>29</v>
      </c>
      <c r="C36" s="147">
        <f>IF(ISBLANK(Case!E92),"",Case!E92)</f>
        <v>19</v>
      </c>
      <c r="D36" s="146">
        <v>6</v>
      </c>
      <c r="E36" s="24"/>
      <c r="F36" s="148"/>
    </row>
    <row r="37" spans="2:6" s="23" customFormat="1" ht="23.25" customHeight="1">
      <c r="B37" s="31">
        <f t="shared" si="0"/>
        <v>30</v>
      </c>
      <c r="C37" s="147">
        <f>IF(ISBLANK(Case!E93),"",Case!E93)</f>
        <v>20</v>
      </c>
      <c r="D37" s="146">
        <v>6</v>
      </c>
      <c r="E37" s="24"/>
      <c r="F37" s="148"/>
    </row>
    <row r="38" spans="2:6" s="23" customFormat="1" ht="23.25" customHeight="1">
      <c r="B38" s="31">
        <f t="shared" si="0"/>
        <v>31</v>
      </c>
      <c r="C38" s="147">
        <f>IF(ISBLANK(Case!E94),"",Case!E94)</f>
        <v>2</v>
      </c>
      <c r="D38" s="146">
        <v>6</v>
      </c>
      <c r="E38" s="24"/>
      <c r="F38" s="148"/>
    </row>
    <row r="39" spans="2:6" s="23" customFormat="1" ht="23.25" customHeight="1">
      <c r="B39" s="31">
        <f t="shared" si="0"/>
        <v>32</v>
      </c>
      <c r="C39" s="147">
        <f>IF(ISBLANK(Case!E95),"",Case!E95)</f>
        <v>2</v>
      </c>
      <c r="D39" s="146">
        <v>6</v>
      </c>
      <c r="E39" s="24"/>
      <c r="F39" s="148"/>
    </row>
    <row r="40" spans="2:6" s="23" customFormat="1" ht="23.25" customHeight="1">
      <c r="B40" s="31">
        <f t="shared" si="0"/>
        <v>33</v>
      </c>
      <c r="C40" s="147">
        <f>IF(ISBLANK(Case!E96),"",Case!E96)</f>
        <v>10</v>
      </c>
      <c r="D40" s="146">
        <v>6</v>
      </c>
      <c r="E40" s="24"/>
      <c r="F40" s="148"/>
    </row>
    <row r="41" spans="2:6" s="23" customFormat="1" ht="23.25" customHeight="1">
      <c r="B41" s="31">
        <f t="shared" si="0"/>
        <v>34</v>
      </c>
      <c r="C41" s="147">
        <f>IF(ISBLANK(Case!E97),"",Case!E97)</f>
        <v>10</v>
      </c>
      <c r="D41" s="146">
        <v>6</v>
      </c>
      <c r="E41" s="24"/>
      <c r="F41" s="148"/>
    </row>
    <row r="42" spans="2:6" s="23" customFormat="1" ht="23.25" customHeight="1">
      <c r="B42" s="31">
        <f t="shared" si="0"/>
        <v>35</v>
      </c>
      <c r="C42" s="147">
        <f>IF(ISBLANK(Case!E98),"",Case!E98)</f>
        <v>4</v>
      </c>
      <c r="D42" s="146">
        <v>6</v>
      </c>
      <c r="E42" s="24"/>
      <c r="F42" s="148"/>
    </row>
    <row r="43" spans="2:6" s="23" customFormat="1" ht="23.25" customHeight="1">
      <c r="B43" s="31">
        <f t="shared" si="0"/>
        <v>36</v>
      </c>
      <c r="C43" s="147">
        <f>IF(ISBLANK(Case!E99),"",Case!E99)</f>
        <v>2</v>
      </c>
      <c r="D43" s="146">
        <v>6</v>
      </c>
      <c r="E43" s="24"/>
      <c r="F43" s="148"/>
    </row>
    <row r="44" spans="2:6" s="23" customFormat="1" ht="23.25" customHeight="1">
      <c r="B44" s="31">
        <f t="shared" si="0"/>
        <v>37</v>
      </c>
      <c r="C44" s="147">
        <f>IF(ISBLANK(Case!E100),"",Case!E100)</f>
        <v>6</v>
      </c>
      <c r="D44" s="146">
        <v>6</v>
      </c>
      <c r="E44" s="24"/>
      <c r="F44" s="148"/>
    </row>
    <row r="45" spans="2:6" s="23" customFormat="1" ht="23.25" customHeight="1">
      <c r="B45" s="31">
        <f t="shared" si="0"/>
        <v>38</v>
      </c>
      <c r="C45" s="147">
        <f>IF(ISBLANK(Case!E101),"",Case!E101)</f>
        <v>18</v>
      </c>
      <c r="D45" s="146">
        <v>6</v>
      </c>
      <c r="E45" s="24"/>
      <c r="F45" s="148"/>
    </row>
    <row r="46" spans="2:6" s="23" customFormat="1" ht="23.25" customHeight="1">
      <c r="B46" s="31">
        <f t="shared" si="0"/>
        <v>39</v>
      </c>
      <c r="C46" s="147">
        <f>IF(ISBLANK(Case!E102),"",Case!E102)</f>
        <v>6</v>
      </c>
      <c r="D46" s="146">
        <v>6</v>
      </c>
      <c r="E46" s="24"/>
      <c r="F46" s="148"/>
    </row>
    <row r="47" spans="2:6" s="23" customFormat="1" ht="23.25" customHeight="1">
      <c r="B47" s="31">
        <f t="shared" si="0"/>
        <v>40</v>
      </c>
      <c r="C47" s="147">
        <f>IF(ISBLANK(Case!E103),"",Case!E103)</f>
        <v>1</v>
      </c>
      <c r="D47" s="146">
        <v>6</v>
      </c>
      <c r="E47" s="24"/>
      <c r="F47" s="148"/>
    </row>
    <row r="48" spans="2:6" s="23" customFormat="1" ht="23.25" customHeight="1">
      <c r="B48" s="31">
        <f t="shared" si="0"/>
        <v>41</v>
      </c>
      <c r="C48" s="147">
        <f>IF(ISBLANK(Case!E121),"",Case!E121)</f>
        <v>17</v>
      </c>
      <c r="D48" s="146">
        <v>7</v>
      </c>
      <c r="E48" s="24"/>
      <c r="F48" s="148"/>
    </row>
    <row r="49" spans="2:6" s="23" customFormat="1" ht="23.25" customHeight="1">
      <c r="B49" s="31">
        <f t="shared" si="0"/>
        <v>42</v>
      </c>
      <c r="C49" s="147">
        <f>IF(ISBLANK(Case!E122),"",Case!E122)</f>
        <v>6</v>
      </c>
      <c r="D49" s="146">
        <v>7</v>
      </c>
      <c r="E49" s="24"/>
      <c r="F49" s="148"/>
    </row>
    <row r="50" spans="2:6" s="23" customFormat="1" ht="23.25" customHeight="1">
      <c r="B50" s="31">
        <f t="shared" si="0"/>
        <v>43</v>
      </c>
      <c r="C50" s="147">
        <f>IF(ISBLANK(Case!E123),"",Case!E123)</f>
        <v>5</v>
      </c>
      <c r="D50" s="146">
        <v>7</v>
      </c>
      <c r="E50" s="24"/>
      <c r="F50" s="148"/>
    </row>
    <row r="51" spans="2:6" s="23" customFormat="1" ht="23.25" customHeight="1">
      <c r="B51" s="31">
        <f t="shared" si="0"/>
        <v>44</v>
      </c>
      <c r="C51" s="147">
        <f>IF(ISBLANK(Case!E124),"",Case!E124)</f>
        <v>11</v>
      </c>
      <c r="D51" s="146">
        <v>7</v>
      </c>
      <c r="E51" s="24"/>
      <c r="F51" s="148"/>
    </row>
    <row r="52" spans="2:6" s="23" customFormat="1" ht="23.25" customHeight="1">
      <c r="B52" s="31">
        <f t="shared" si="0"/>
        <v>45</v>
      </c>
      <c r="C52" s="147">
        <f>IF(ISBLANK(Case!E125),"",Case!E125)</f>
        <v>26</v>
      </c>
      <c r="D52" s="146">
        <v>7</v>
      </c>
      <c r="E52" s="24"/>
      <c r="F52" s="148"/>
    </row>
    <row r="53" spans="2:6" s="23" customFormat="1" ht="23.25" customHeight="1">
      <c r="B53" s="31">
        <f t="shared" si="0"/>
        <v>46</v>
      </c>
      <c r="C53" s="147">
        <f>IF(ISBLANK(Case!E126),"",Case!E126)</f>
        <v>26</v>
      </c>
      <c r="D53" s="146">
        <v>7</v>
      </c>
      <c r="E53" s="24"/>
      <c r="F53" s="148"/>
    </row>
    <row r="54" spans="2:6" s="23" customFormat="1" ht="23.25" customHeight="1">
      <c r="B54" s="31">
        <f t="shared" si="0"/>
        <v>47</v>
      </c>
      <c r="C54" s="147">
        <f>IF(ISBLANK(Case!E127),"",Case!E127)</f>
        <v>6</v>
      </c>
      <c r="D54" s="146">
        <v>7</v>
      </c>
      <c r="E54" s="24"/>
      <c r="F54" s="148"/>
    </row>
    <row r="55" spans="2:6" s="23" customFormat="1" ht="23.25" customHeight="1">
      <c r="B55" s="31">
        <f t="shared" si="0"/>
        <v>48</v>
      </c>
      <c r="C55" s="147">
        <f>IF(ISBLANK(Case!E128),"",Case!E128)</f>
        <v>16</v>
      </c>
      <c r="D55" s="146">
        <v>7</v>
      </c>
      <c r="E55" s="24"/>
      <c r="F55" s="148"/>
    </row>
    <row r="56" spans="2:6" s="23" customFormat="1" ht="23.25" customHeight="1">
      <c r="B56" s="31">
        <f t="shared" si="0"/>
        <v>49</v>
      </c>
      <c r="C56" s="147">
        <f>IF(ISBLANK(Case!E129),"",Case!E129)</f>
        <v>21</v>
      </c>
      <c r="D56" s="146">
        <v>7</v>
      </c>
      <c r="E56" s="24"/>
      <c r="F56" s="148"/>
    </row>
    <row r="57" spans="2:6" s="23" customFormat="1" ht="23.25" customHeight="1">
      <c r="B57" s="31">
        <f t="shared" si="0"/>
        <v>50</v>
      </c>
      <c r="C57" s="147">
        <f>IF(ISBLANK(Case!E130),"",Case!E130)</f>
        <v>18</v>
      </c>
      <c r="D57" s="146">
        <v>7</v>
      </c>
      <c r="E57" s="24"/>
      <c r="F57" s="148"/>
    </row>
    <row r="58" spans="2:6" s="23" customFormat="1" ht="23.25" customHeight="1">
      <c r="B58" s="31">
        <f t="shared" si="0"/>
        <v>51</v>
      </c>
      <c r="C58" s="147">
        <f>IF(ISBLANK(Case!E131),"",Case!E131)</f>
        <v>10</v>
      </c>
      <c r="D58" s="146">
        <v>7</v>
      </c>
      <c r="E58" s="24"/>
      <c r="F58" s="148"/>
    </row>
    <row r="59" spans="2:6" s="23" customFormat="1" ht="23.25" customHeight="1">
      <c r="B59" s="31">
        <f t="shared" si="0"/>
        <v>52</v>
      </c>
      <c r="C59" s="147">
        <f>IF(ISBLANK(Case!E132),"",Case!E132)</f>
        <v>12</v>
      </c>
      <c r="D59" s="146">
        <v>7</v>
      </c>
      <c r="E59" s="24"/>
      <c r="F59" s="148"/>
    </row>
    <row r="60" spans="2:6" s="23" customFormat="1" ht="23.25" customHeight="1">
      <c r="B60" s="31">
        <f t="shared" si="0"/>
        <v>53</v>
      </c>
      <c r="C60" s="147">
        <f>IF(ISBLANK(Case!E133),"",Case!E133)</f>
        <v>2</v>
      </c>
      <c r="D60" s="146">
        <v>7</v>
      </c>
      <c r="E60" s="24"/>
      <c r="F60" s="148"/>
    </row>
    <row r="61" spans="2:6" s="23" customFormat="1" ht="23.25" customHeight="1">
      <c r="B61" s="31">
        <f t="shared" si="0"/>
        <v>54</v>
      </c>
      <c r="C61" s="147">
        <f>IF(ISBLANK(Case!E134),"",Case!E134)</f>
        <v>5</v>
      </c>
      <c r="D61" s="146">
        <v>7</v>
      </c>
      <c r="E61" s="24"/>
      <c r="F61" s="148"/>
    </row>
    <row r="62" spans="2:6" s="23" customFormat="1" ht="23.25" customHeight="1">
      <c r="B62" s="31">
        <f t="shared" si="0"/>
        <v>55</v>
      </c>
      <c r="C62" s="147">
        <f>IF(ISBLANK(Case!E135),"",Case!E135)</f>
        <v>22</v>
      </c>
      <c r="D62" s="146">
        <v>7</v>
      </c>
      <c r="E62" s="24"/>
      <c r="F62" s="148"/>
    </row>
    <row r="63" spans="2:6" s="23" customFormat="1" ht="23.25" customHeight="1">
      <c r="B63" s="31">
        <f t="shared" si="0"/>
        <v>56</v>
      </c>
      <c r="C63" s="147">
        <f>IF(ISBLANK(Case!E136),"",Case!E136)</f>
        <v>26</v>
      </c>
      <c r="D63" s="146">
        <v>7</v>
      </c>
      <c r="E63" s="24"/>
      <c r="F63" s="148"/>
    </row>
    <row r="64" spans="2:6" s="23" customFormat="1" ht="23.25" customHeight="1">
      <c r="B64" s="31">
        <f t="shared" si="0"/>
        <v>57</v>
      </c>
      <c r="C64" s="147">
        <f>IF(ISBLANK(Case!E137),"",Case!E137)</f>
        <v>14</v>
      </c>
      <c r="D64" s="146">
        <v>7</v>
      </c>
      <c r="E64" s="24"/>
      <c r="F64" s="148"/>
    </row>
    <row r="65" spans="2:6" s="23" customFormat="1" ht="23.25" customHeight="1">
      <c r="B65" s="31">
        <f t="shared" si="0"/>
        <v>58</v>
      </c>
      <c r="C65" s="147">
        <f>IF(ISBLANK(Case!E138),"",Case!E138)</f>
        <v>13</v>
      </c>
      <c r="D65" s="146">
        <v>7</v>
      </c>
      <c r="E65" s="24"/>
      <c r="F65" s="148"/>
    </row>
    <row r="66" spans="2:6" s="23" customFormat="1" ht="23.25" customHeight="1">
      <c r="B66" s="31">
        <f t="shared" si="0"/>
        <v>59</v>
      </c>
      <c r="C66" s="147">
        <f>IF(ISBLANK(Case!E139),"",Case!E139)</f>
        <v>13</v>
      </c>
      <c r="D66" s="146">
        <v>7</v>
      </c>
      <c r="E66" s="24"/>
      <c r="F66" s="148"/>
    </row>
    <row r="67" spans="2:6" s="23" customFormat="1" ht="23.25" customHeight="1">
      <c r="B67" s="31">
        <f t="shared" si="0"/>
        <v>60</v>
      </c>
      <c r="C67" s="147">
        <f>IF(ISBLANK(Case!E140),"",Case!E140)</f>
        <v>2</v>
      </c>
      <c r="D67" s="146">
        <v>7</v>
      </c>
      <c r="E67" s="24"/>
      <c r="F67" s="148"/>
    </row>
    <row r="68" spans="2:6" s="23" customFormat="1" ht="23.25" customHeight="1">
      <c r="B68" s="31">
        <f t="shared" si="0"/>
        <v>61</v>
      </c>
      <c r="C68" s="147">
        <f ca="1">IF(ISBLANK(Case!E157),"",Case!E157)</f>
        <v>3</v>
      </c>
      <c r="D68" s="146">
        <v>7</v>
      </c>
      <c r="E68" s="24"/>
      <c r="F68" s="148"/>
    </row>
    <row r="69" spans="2:6" s="23" customFormat="1" ht="23.25" customHeight="1">
      <c r="B69" s="31">
        <f t="shared" si="0"/>
        <v>62</v>
      </c>
      <c r="C69" s="147">
        <f ca="1">IF(ISBLANK(Case!E158),"",Case!E158)</f>
        <v>14</v>
      </c>
      <c r="D69" s="146">
        <v>7</v>
      </c>
      <c r="E69" s="24"/>
      <c r="F69" s="148"/>
    </row>
    <row r="70" spans="2:6" s="23" customFormat="1" ht="23.25" customHeight="1">
      <c r="B70" s="31">
        <f t="shared" si="0"/>
        <v>63</v>
      </c>
      <c r="C70" s="147">
        <f ca="1">IF(ISBLANK(Case!E159),"",Case!E159)</f>
        <v>2</v>
      </c>
      <c r="D70" s="146">
        <v>7</v>
      </c>
      <c r="E70" s="24"/>
      <c r="F70" s="148"/>
    </row>
    <row r="71" spans="2:6" s="23" customFormat="1" ht="23.25" customHeight="1">
      <c r="B71" s="31">
        <f t="shared" si="0"/>
        <v>64</v>
      </c>
      <c r="C71" s="147">
        <f ca="1">IF(ISBLANK(Case!E160),"",Case!E160)</f>
        <v>21</v>
      </c>
      <c r="D71" s="146">
        <v>7</v>
      </c>
      <c r="E71" s="24"/>
      <c r="F71" s="148"/>
    </row>
    <row r="72" spans="2:6" s="23" customFormat="1" ht="23.25" customHeight="1">
      <c r="B72" s="31">
        <f t="shared" si="0"/>
        <v>65</v>
      </c>
      <c r="C72" s="147">
        <f ca="1">IF(ISBLANK(Case!E161),"",Case!E161)</f>
        <v>12</v>
      </c>
      <c r="D72" s="146">
        <v>7</v>
      </c>
      <c r="E72" s="24"/>
      <c r="F72" s="148"/>
    </row>
    <row r="73" spans="2:6" s="23" customFormat="1" ht="23.25" customHeight="1">
      <c r="B73" s="31">
        <f t="shared" ref="B73:B136" si="1">B72+1</f>
        <v>66</v>
      </c>
      <c r="C73" s="147">
        <f ca="1">IF(ISBLANK(Case!E162),"",Case!E162)</f>
        <v>21</v>
      </c>
      <c r="D73" s="146">
        <v>7</v>
      </c>
      <c r="E73" s="24"/>
      <c r="F73" s="148"/>
    </row>
    <row r="74" spans="2:6" s="23" customFormat="1" ht="23.25" customHeight="1">
      <c r="B74" s="31">
        <f t="shared" si="1"/>
        <v>67</v>
      </c>
      <c r="C74" s="147">
        <f ca="1">IF(ISBLANK(Case!E163),"",Case!E163)</f>
        <v>16</v>
      </c>
      <c r="D74" s="146">
        <v>7</v>
      </c>
      <c r="E74" s="24"/>
      <c r="F74" s="148"/>
    </row>
    <row r="75" spans="2:6" s="23" customFormat="1" ht="23.25" customHeight="1">
      <c r="B75" s="31">
        <f t="shared" si="1"/>
        <v>68</v>
      </c>
      <c r="C75" s="147">
        <f ca="1">IF(ISBLANK(Case!E164),"",Case!E164)</f>
        <v>16</v>
      </c>
      <c r="D75" s="146">
        <v>7</v>
      </c>
      <c r="E75" s="24"/>
      <c r="F75" s="148"/>
    </row>
    <row r="76" spans="2:6" s="23" customFormat="1" ht="23.25" customHeight="1">
      <c r="B76" s="31">
        <f t="shared" si="1"/>
        <v>69</v>
      </c>
      <c r="C76" s="147">
        <f ca="1">IF(ISBLANK(Case!E165),"",Case!E165)</f>
        <v>13</v>
      </c>
      <c r="D76" s="146">
        <v>7</v>
      </c>
      <c r="E76" s="24"/>
      <c r="F76" s="148"/>
    </row>
    <row r="77" spans="2:6" s="23" customFormat="1" ht="23.25" customHeight="1">
      <c r="B77" s="31">
        <f t="shared" si="1"/>
        <v>70</v>
      </c>
      <c r="C77" s="147">
        <f ca="1">IF(ISBLANK(Case!E166),"",Case!E166)</f>
        <v>19</v>
      </c>
      <c r="D77" s="146">
        <v>7</v>
      </c>
      <c r="E77" s="24"/>
      <c r="F77" s="148"/>
    </row>
    <row r="78" spans="2:6" s="23" customFormat="1" ht="23.25" customHeight="1">
      <c r="B78" s="31">
        <f t="shared" si="1"/>
        <v>71</v>
      </c>
      <c r="C78" s="147">
        <f ca="1">IF(ISBLANK(Case!E167),"",Case!E167)</f>
        <v>15</v>
      </c>
      <c r="D78" s="146">
        <v>7</v>
      </c>
      <c r="E78" s="24"/>
      <c r="F78" s="148"/>
    </row>
    <row r="79" spans="2:6" s="23" customFormat="1" ht="23.25" customHeight="1">
      <c r="B79" s="31">
        <f t="shared" si="1"/>
        <v>72</v>
      </c>
      <c r="C79" s="147">
        <f ca="1">IF(ISBLANK(Case!E168),"",Case!E168)</f>
        <v>2</v>
      </c>
      <c r="D79" s="146">
        <v>7</v>
      </c>
      <c r="E79" s="24"/>
      <c r="F79" s="148"/>
    </row>
    <row r="80" spans="2:6" s="23" customFormat="1" ht="23.25" customHeight="1">
      <c r="B80" s="31">
        <f t="shared" si="1"/>
        <v>73</v>
      </c>
      <c r="C80" s="147">
        <f ca="1">IF(ISBLANK(Case!E169),"",Case!E169)</f>
        <v>11</v>
      </c>
      <c r="D80" s="146">
        <v>7</v>
      </c>
      <c r="E80" s="24"/>
      <c r="F80" s="148"/>
    </row>
    <row r="81" spans="2:6" s="23" customFormat="1" ht="23.25" customHeight="1">
      <c r="B81" s="31">
        <f t="shared" si="1"/>
        <v>74</v>
      </c>
      <c r="C81" s="147">
        <f ca="1">IF(ISBLANK(Case!E170),"",Case!E170)</f>
        <v>19</v>
      </c>
      <c r="D81" s="146">
        <v>7</v>
      </c>
      <c r="E81" s="24"/>
      <c r="F81" s="148"/>
    </row>
    <row r="82" spans="2:6" s="23" customFormat="1" ht="23.25" customHeight="1">
      <c r="B82" s="31">
        <f t="shared" si="1"/>
        <v>75</v>
      </c>
      <c r="C82" s="147">
        <f ca="1">IF(ISBLANK(Case!E171),"",Case!E171)</f>
        <v>10</v>
      </c>
      <c r="D82" s="146">
        <v>7</v>
      </c>
      <c r="E82" s="24"/>
      <c r="F82" s="148"/>
    </row>
    <row r="83" spans="2:6" s="23" customFormat="1" ht="23.25" customHeight="1">
      <c r="B83" s="31">
        <f t="shared" si="1"/>
        <v>76</v>
      </c>
      <c r="C83" s="147">
        <f ca="1">IF(ISBLANK(Case!E172),"",Case!E172)</f>
        <v>9</v>
      </c>
      <c r="D83" s="146">
        <v>7</v>
      </c>
      <c r="E83" s="24"/>
      <c r="F83" s="148"/>
    </row>
    <row r="84" spans="2:6" s="23" customFormat="1" ht="23.25" customHeight="1">
      <c r="B84" s="31">
        <f t="shared" si="1"/>
        <v>77</v>
      </c>
      <c r="C84" s="147">
        <f ca="1">IF(ISBLANK(Case!E173),"",Case!E173)</f>
        <v>17</v>
      </c>
      <c r="D84" s="146">
        <v>7</v>
      </c>
      <c r="E84" s="24"/>
      <c r="F84" s="148"/>
    </row>
    <row r="85" spans="2:6" s="23" customFormat="1" ht="23.25" customHeight="1">
      <c r="B85" s="31">
        <f t="shared" si="1"/>
        <v>78</v>
      </c>
      <c r="C85" s="147">
        <f ca="1">IF(ISBLANK(Case!E174),"",Case!E174)</f>
        <v>8</v>
      </c>
      <c r="D85" s="146">
        <v>7</v>
      </c>
      <c r="E85" s="24"/>
      <c r="F85" s="148"/>
    </row>
    <row r="86" spans="2:6" s="23" customFormat="1" ht="23.25" customHeight="1">
      <c r="B86" s="31">
        <f t="shared" si="1"/>
        <v>79</v>
      </c>
      <c r="C86" s="147">
        <f ca="1">IF(ISBLANK(Case!E175),"",Case!E175)</f>
        <v>15</v>
      </c>
      <c r="D86" s="146">
        <v>7</v>
      </c>
      <c r="E86" s="24"/>
      <c r="F86" s="148"/>
    </row>
    <row r="87" spans="2:6" s="23" customFormat="1" ht="23.25" customHeight="1">
      <c r="B87" s="31">
        <f t="shared" si="1"/>
        <v>80</v>
      </c>
      <c r="C87" s="147">
        <f ca="1">IF(ISBLANK(Case!E176),"",Case!E176)</f>
        <v>19</v>
      </c>
      <c r="D87" s="146">
        <v>7</v>
      </c>
      <c r="E87" s="24"/>
      <c r="F87" s="148"/>
    </row>
    <row r="88" spans="2:6" s="23" customFormat="1" ht="23.25" customHeight="1">
      <c r="B88" s="31">
        <f t="shared" si="1"/>
        <v>81</v>
      </c>
      <c r="C88" s="147" t="str">
        <f>IF(ISBLANK(Case!E197),"",Case!E197)</f>
        <v>K10</v>
      </c>
      <c r="D88" s="146">
        <v>8</v>
      </c>
      <c r="E88" s="24"/>
      <c r="F88" s="148"/>
    </row>
    <row r="89" spans="2:6" s="23" customFormat="1" ht="23.25" customHeight="1">
      <c r="B89" s="31">
        <f t="shared" si="1"/>
        <v>82</v>
      </c>
      <c r="C89" s="147" t="str">
        <f>IF(ISBLANK(Case!E198),"",Case!E198)</f>
        <v>S25</v>
      </c>
      <c r="D89" s="146">
        <v>8</v>
      </c>
      <c r="E89" s="24"/>
      <c r="F89" s="148"/>
    </row>
    <row r="90" spans="2:6" s="23" customFormat="1" ht="23.25" customHeight="1">
      <c r="B90" s="31">
        <f t="shared" si="1"/>
        <v>83</v>
      </c>
      <c r="C90" s="147" t="str">
        <f>IF(ISBLANK(Case!E199),"",Case!E199)</f>
        <v>E4</v>
      </c>
      <c r="D90" s="146">
        <v>8</v>
      </c>
      <c r="E90" s="24"/>
      <c r="F90" s="148"/>
    </row>
    <row r="91" spans="2:6" s="23" customFormat="1" ht="23.25" customHeight="1">
      <c r="B91" s="31">
        <f t="shared" si="1"/>
        <v>84</v>
      </c>
      <c r="C91" s="147" t="str">
        <f>IF(ISBLANK(Case!E200),"",Case!E200)</f>
        <v>C19</v>
      </c>
      <c r="D91" s="146">
        <v>8</v>
      </c>
      <c r="E91" s="24"/>
      <c r="F91" s="148"/>
    </row>
    <row r="92" spans="2:6" s="23" customFormat="1" ht="23.25" customHeight="1">
      <c r="B92" s="31">
        <f t="shared" si="1"/>
        <v>85</v>
      </c>
      <c r="C92" s="147" t="str">
        <f>IF(ISBLANK(Case!E201),"",Case!E201)</f>
        <v>P26</v>
      </c>
      <c r="D92" s="146">
        <v>8</v>
      </c>
      <c r="E92" s="24"/>
      <c r="F92" s="148"/>
    </row>
    <row r="93" spans="2:6" s="23" customFormat="1" ht="23.25" customHeight="1">
      <c r="B93" s="31">
        <f t="shared" si="1"/>
        <v>86</v>
      </c>
      <c r="C93" s="147" t="str">
        <f>IF(ISBLANK(Case!E202),"",Case!E202)</f>
        <v>C3</v>
      </c>
      <c r="D93" s="146">
        <v>8</v>
      </c>
      <c r="E93" s="24"/>
      <c r="F93" s="148"/>
    </row>
    <row r="94" spans="2:6" s="23" customFormat="1" ht="23.25" customHeight="1">
      <c r="B94" s="31">
        <f t="shared" si="1"/>
        <v>87</v>
      </c>
      <c r="C94" s="147" t="str">
        <f>IF(ISBLANK(Case!E203),"",Case!E203)</f>
        <v>Q17</v>
      </c>
      <c r="D94" s="146">
        <v>8</v>
      </c>
      <c r="E94" s="24"/>
      <c r="F94" s="148"/>
    </row>
    <row r="95" spans="2:6" s="23" customFormat="1" ht="23.25" customHeight="1">
      <c r="B95" s="31">
        <f t="shared" si="1"/>
        <v>88</v>
      </c>
      <c r="C95" s="147" t="str">
        <f>IF(ISBLANK(Case!E204),"",Case!E204)</f>
        <v>C4</v>
      </c>
      <c r="D95" s="146">
        <v>8</v>
      </c>
      <c r="E95" s="24"/>
      <c r="F95" s="148"/>
    </row>
    <row r="96" spans="2:6" s="23" customFormat="1" ht="23.25" customHeight="1">
      <c r="B96" s="31">
        <f t="shared" si="1"/>
        <v>89</v>
      </c>
      <c r="C96" s="147" t="str">
        <f>IF(ISBLANK(Case!E205),"",Case!E205)</f>
        <v>L3</v>
      </c>
      <c r="D96" s="146">
        <v>8</v>
      </c>
      <c r="E96" s="24"/>
      <c r="F96" s="148"/>
    </row>
    <row r="97" spans="2:6" s="23" customFormat="1" ht="23.25" customHeight="1">
      <c r="B97" s="31">
        <f t="shared" si="1"/>
        <v>90</v>
      </c>
      <c r="C97" s="147" t="str">
        <f>IF(ISBLANK(Case!E206),"",Case!E206)</f>
        <v>O16</v>
      </c>
      <c r="D97" s="146">
        <v>8</v>
      </c>
      <c r="E97" s="24"/>
      <c r="F97" s="148"/>
    </row>
    <row r="98" spans="2:6" s="23" customFormat="1" ht="23.25" customHeight="1">
      <c r="B98" s="31">
        <f t="shared" si="1"/>
        <v>91</v>
      </c>
      <c r="C98" s="147" t="str">
        <f>IF(ISBLANK(Case!E207),"",Case!E207)</f>
        <v>D7</v>
      </c>
      <c r="D98" s="146">
        <v>8</v>
      </c>
      <c r="E98" s="24"/>
      <c r="F98" s="148"/>
    </row>
    <row r="99" spans="2:6" s="23" customFormat="1" ht="23.25" customHeight="1">
      <c r="B99" s="31">
        <f t="shared" si="1"/>
        <v>92</v>
      </c>
      <c r="C99" s="147" t="str">
        <f>IF(ISBLANK(Case!E208),"",Case!E208)</f>
        <v>I21</v>
      </c>
      <c r="D99" s="146">
        <v>8</v>
      </c>
      <c r="E99" s="24"/>
      <c r="F99" s="148"/>
    </row>
    <row r="100" spans="2:6" s="23" customFormat="1" ht="23.25" customHeight="1">
      <c r="B100" s="31">
        <f t="shared" si="1"/>
        <v>93</v>
      </c>
      <c r="C100" s="147" t="str">
        <f>IF(ISBLANK(Case!E209),"",Case!E209)</f>
        <v>D8</v>
      </c>
      <c r="D100" s="146">
        <v>8</v>
      </c>
      <c r="E100" s="24"/>
      <c r="F100" s="148"/>
    </row>
    <row r="101" spans="2:6" s="23" customFormat="1" ht="23.25" customHeight="1">
      <c r="B101" s="31">
        <f t="shared" si="1"/>
        <v>94</v>
      </c>
      <c r="C101" s="147" t="str">
        <f>IF(ISBLANK(Case!E210),"",Case!E210)</f>
        <v>Q6</v>
      </c>
      <c r="D101" s="146">
        <v>8</v>
      </c>
      <c r="E101" s="24"/>
      <c r="F101" s="148"/>
    </row>
    <row r="102" spans="2:6" s="23" customFormat="1" ht="23.25" customHeight="1">
      <c r="B102" s="31">
        <f t="shared" si="1"/>
        <v>95</v>
      </c>
      <c r="C102" s="147" t="str">
        <f>IF(ISBLANK(Case!E211),"",Case!E211)</f>
        <v>M22</v>
      </c>
      <c r="D102" s="146">
        <v>8</v>
      </c>
      <c r="E102" s="24"/>
      <c r="F102" s="148"/>
    </row>
    <row r="103" spans="2:6" s="23" customFormat="1" ht="23.25" customHeight="1">
      <c r="B103" s="31">
        <f t="shared" si="1"/>
        <v>96</v>
      </c>
      <c r="C103" s="147" t="str">
        <f>IF(ISBLANK(Case!E212),"",Case!E212)</f>
        <v>U9</v>
      </c>
      <c r="D103" s="146">
        <v>8</v>
      </c>
      <c r="E103" s="24"/>
      <c r="F103" s="148"/>
    </row>
    <row r="104" spans="2:6" s="23" customFormat="1" ht="23.25" customHeight="1">
      <c r="B104" s="31">
        <f t="shared" si="1"/>
        <v>97</v>
      </c>
      <c r="C104" s="147" t="str">
        <f>IF(ISBLANK(Case!E213),"",Case!E213)</f>
        <v>C12</v>
      </c>
      <c r="D104" s="146">
        <v>8</v>
      </c>
      <c r="E104" s="24"/>
      <c r="F104" s="148"/>
    </row>
    <row r="105" spans="2:6" s="23" customFormat="1" ht="23.25" customHeight="1">
      <c r="B105" s="31">
        <f t="shared" si="1"/>
        <v>98</v>
      </c>
      <c r="C105" s="147" t="str">
        <f>IF(ISBLANK(Case!E214),"",Case!E214)</f>
        <v>T25</v>
      </c>
      <c r="D105" s="146">
        <v>8</v>
      </c>
      <c r="E105" s="24"/>
      <c r="F105" s="148"/>
    </row>
    <row r="106" spans="2:6" s="23" customFormat="1" ht="23.25" customHeight="1">
      <c r="B106" s="31">
        <f t="shared" si="1"/>
        <v>99</v>
      </c>
      <c r="C106" s="147" t="str">
        <f>IF(ISBLANK(Case!E215),"",Case!E215)</f>
        <v>C20</v>
      </c>
      <c r="D106" s="146">
        <v>8</v>
      </c>
      <c r="E106" s="24"/>
      <c r="F106" s="148"/>
    </row>
    <row r="107" spans="2:6" s="23" customFormat="1" ht="23.25" customHeight="1">
      <c r="B107" s="31">
        <f t="shared" si="1"/>
        <v>100</v>
      </c>
      <c r="C107" s="147" t="str">
        <f>IF(ISBLANK(Case!E216),"",Case!E216)</f>
        <v>N13</v>
      </c>
      <c r="D107" s="146">
        <v>8</v>
      </c>
      <c r="E107" s="24"/>
      <c r="F107" s="148"/>
    </row>
    <row r="108" spans="2:6" s="23" customFormat="1" ht="23.25" customHeight="1">
      <c r="B108" s="31">
        <f t="shared" si="1"/>
        <v>101</v>
      </c>
      <c r="C108" s="147" t="str">
        <f ca="1">IF(ISBLANK(Case!E237),"",Case!E237)</f>
        <v>D12</v>
      </c>
      <c r="D108" s="146">
        <v>8</v>
      </c>
      <c r="E108" s="24"/>
      <c r="F108" s="148"/>
    </row>
    <row r="109" spans="2:6" s="23" customFormat="1" ht="23.25" customHeight="1">
      <c r="B109" s="31">
        <f t="shared" si="1"/>
        <v>102</v>
      </c>
      <c r="C109" s="147" t="str">
        <f ca="1">IF(ISBLANK(Case!E238),"",Case!E238)</f>
        <v>G16</v>
      </c>
      <c r="D109" s="146">
        <v>8</v>
      </c>
      <c r="E109" s="24"/>
      <c r="F109" s="148"/>
    </row>
    <row r="110" spans="2:6" s="23" customFormat="1" ht="23.25" customHeight="1">
      <c r="B110" s="31">
        <f t="shared" si="1"/>
        <v>103</v>
      </c>
      <c r="C110" s="147" t="str">
        <f ca="1">IF(ISBLANK(Case!E239),"",Case!E239)</f>
        <v>O21</v>
      </c>
      <c r="D110" s="146">
        <v>8</v>
      </c>
      <c r="E110" s="24"/>
      <c r="F110" s="148"/>
    </row>
    <row r="111" spans="2:6" s="23" customFormat="1" ht="23.25" customHeight="1">
      <c r="B111" s="31">
        <f t="shared" si="1"/>
        <v>104</v>
      </c>
      <c r="C111" s="147" t="str">
        <f ca="1">IF(ISBLANK(Case!E240),"",Case!E240)</f>
        <v>L6</v>
      </c>
      <c r="D111" s="146">
        <v>8</v>
      </c>
      <c r="E111" s="24"/>
      <c r="F111" s="148"/>
    </row>
    <row r="112" spans="2:6" s="23" customFormat="1" ht="23.25" customHeight="1">
      <c r="B112" s="31">
        <f t="shared" si="1"/>
        <v>105</v>
      </c>
      <c r="C112" s="147" t="str">
        <f ca="1">IF(ISBLANK(Case!E241),"",Case!E241)</f>
        <v>Q26</v>
      </c>
      <c r="D112" s="146">
        <v>8</v>
      </c>
      <c r="E112" s="24"/>
      <c r="F112" s="148"/>
    </row>
    <row r="113" spans="2:6" s="23" customFormat="1" ht="23.25" customHeight="1">
      <c r="B113" s="31">
        <f t="shared" si="1"/>
        <v>106</v>
      </c>
      <c r="C113" s="147" t="str">
        <f ca="1">IF(ISBLANK(Case!E242),"",Case!E242)</f>
        <v>F25</v>
      </c>
      <c r="D113" s="146">
        <v>8</v>
      </c>
      <c r="E113" s="24"/>
      <c r="F113" s="148"/>
    </row>
    <row r="114" spans="2:6" s="23" customFormat="1" ht="23.25" customHeight="1">
      <c r="B114" s="31">
        <f t="shared" si="1"/>
        <v>107</v>
      </c>
      <c r="C114" s="147" t="str">
        <f ca="1">IF(ISBLANK(Case!E243),"",Case!E243)</f>
        <v>M26</v>
      </c>
      <c r="D114" s="146">
        <v>8</v>
      </c>
      <c r="E114" s="24"/>
      <c r="F114" s="148"/>
    </row>
    <row r="115" spans="2:6" s="23" customFormat="1" ht="23.25" customHeight="1">
      <c r="B115" s="31">
        <f t="shared" si="1"/>
        <v>108</v>
      </c>
      <c r="C115" s="147" t="str">
        <f ca="1">IF(ISBLANK(Case!E244),"",Case!E244)</f>
        <v>F25</v>
      </c>
      <c r="D115" s="146">
        <v>8</v>
      </c>
      <c r="E115" s="24"/>
      <c r="F115" s="148"/>
    </row>
    <row r="116" spans="2:6" s="23" customFormat="1" ht="23.25" customHeight="1">
      <c r="B116" s="31">
        <f t="shared" si="1"/>
        <v>109</v>
      </c>
      <c r="C116" s="147" t="str">
        <f ca="1">IF(ISBLANK(Case!E245),"",Case!E245)</f>
        <v>B17</v>
      </c>
      <c r="D116" s="146">
        <v>8</v>
      </c>
      <c r="E116" s="24"/>
      <c r="F116" s="148"/>
    </row>
    <row r="117" spans="2:6" s="23" customFormat="1" ht="23.25" customHeight="1">
      <c r="B117" s="31">
        <f t="shared" si="1"/>
        <v>110</v>
      </c>
      <c r="C117" s="147" t="str">
        <f ca="1">IF(ISBLANK(Case!E246),"",Case!E246)</f>
        <v>D8</v>
      </c>
      <c r="D117" s="146">
        <v>8</v>
      </c>
      <c r="E117" s="24"/>
      <c r="F117" s="148"/>
    </row>
    <row r="118" spans="2:6" s="23" customFormat="1" ht="23.25" customHeight="1">
      <c r="B118" s="31">
        <f t="shared" si="1"/>
        <v>111</v>
      </c>
      <c r="C118" s="147" t="str">
        <f ca="1">IF(ISBLANK(Case!E247),"",Case!E247)</f>
        <v>N9</v>
      </c>
      <c r="D118" s="146">
        <v>8</v>
      </c>
      <c r="E118" s="24"/>
      <c r="F118" s="148"/>
    </row>
    <row r="119" spans="2:6" s="23" customFormat="1" ht="23.25" customHeight="1">
      <c r="B119" s="31">
        <f t="shared" si="1"/>
        <v>112</v>
      </c>
      <c r="C119" s="147" t="str">
        <f ca="1">IF(ISBLANK(Case!E248),"",Case!E248)</f>
        <v>R8</v>
      </c>
      <c r="D119" s="146">
        <v>8</v>
      </c>
      <c r="E119" s="24"/>
      <c r="F119" s="148"/>
    </row>
    <row r="120" spans="2:6" s="23" customFormat="1" ht="23.25" customHeight="1">
      <c r="B120" s="31">
        <f t="shared" si="1"/>
        <v>113</v>
      </c>
      <c r="C120" s="147" t="str">
        <f ca="1">IF(ISBLANK(Case!E249),"",Case!E249)</f>
        <v>P22</v>
      </c>
      <c r="D120" s="146">
        <v>8</v>
      </c>
      <c r="E120" s="24"/>
      <c r="F120" s="148"/>
    </row>
    <row r="121" spans="2:6" s="23" customFormat="1" ht="23.25" customHeight="1">
      <c r="B121" s="31">
        <f t="shared" si="1"/>
        <v>114</v>
      </c>
      <c r="C121" s="147" t="str">
        <f ca="1">IF(ISBLANK(Case!E250),"",Case!E250)</f>
        <v>B24</v>
      </c>
      <c r="D121" s="146">
        <v>8</v>
      </c>
      <c r="E121" s="24"/>
      <c r="F121" s="148"/>
    </row>
    <row r="122" spans="2:6" s="23" customFormat="1" ht="23.25" customHeight="1">
      <c r="B122" s="31">
        <f t="shared" si="1"/>
        <v>115</v>
      </c>
      <c r="C122" s="147" t="str">
        <f ca="1">IF(ISBLANK(Case!E251),"",Case!E251)</f>
        <v>J12</v>
      </c>
      <c r="D122" s="146">
        <v>8</v>
      </c>
      <c r="E122" s="24"/>
      <c r="F122" s="148"/>
    </row>
    <row r="123" spans="2:6" s="23" customFormat="1" ht="23.25" customHeight="1">
      <c r="B123" s="31">
        <f t="shared" si="1"/>
        <v>116</v>
      </c>
      <c r="C123" s="147" t="str">
        <f ca="1">IF(ISBLANK(Case!E252),"",Case!E252)</f>
        <v>T3</v>
      </c>
      <c r="D123" s="146">
        <v>8</v>
      </c>
      <c r="E123" s="24"/>
      <c r="F123" s="148"/>
    </row>
    <row r="124" spans="2:6" s="23" customFormat="1" ht="23.25" customHeight="1">
      <c r="B124" s="31">
        <f t="shared" si="1"/>
        <v>117</v>
      </c>
      <c r="C124" s="147" t="str">
        <f ca="1">IF(ISBLANK(Case!E253),"",Case!E253)</f>
        <v>P9</v>
      </c>
      <c r="D124" s="146">
        <v>8</v>
      </c>
      <c r="E124" s="24"/>
      <c r="F124" s="148"/>
    </row>
    <row r="125" spans="2:6" s="23" customFormat="1" ht="23.25" customHeight="1">
      <c r="B125" s="31">
        <f t="shared" si="1"/>
        <v>118</v>
      </c>
      <c r="C125" s="147" t="str">
        <f ca="1">IF(ISBLANK(Case!E254),"",Case!E254)</f>
        <v>G5</v>
      </c>
      <c r="D125" s="146">
        <v>8</v>
      </c>
      <c r="E125" s="24"/>
      <c r="F125" s="148"/>
    </row>
    <row r="126" spans="2:6" s="23" customFormat="1" ht="23.25" customHeight="1">
      <c r="B126" s="31">
        <f t="shared" si="1"/>
        <v>119</v>
      </c>
      <c r="C126" s="147" t="str">
        <f ca="1">IF(ISBLANK(Case!E255),"",Case!E255)</f>
        <v>J10</v>
      </c>
      <c r="D126" s="146">
        <v>8</v>
      </c>
      <c r="E126" s="24"/>
      <c r="F126" s="148"/>
    </row>
    <row r="127" spans="2:6" s="23" customFormat="1" ht="23.25" customHeight="1">
      <c r="B127" s="31">
        <f t="shared" si="1"/>
        <v>120</v>
      </c>
      <c r="C127" s="147" t="str">
        <f ca="1">IF(ISBLANK(Case!E256),"",Case!E256)</f>
        <v>S17</v>
      </c>
      <c r="D127" s="146">
        <v>8</v>
      </c>
      <c r="E127" s="24"/>
      <c r="F127" s="148"/>
    </row>
    <row r="128" spans="2:6" s="23" customFormat="1" ht="23.25" customHeight="1">
      <c r="B128" s="31">
        <f t="shared" si="1"/>
        <v>121</v>
      </c>
      <c r="C128" s="147" t="str">
        <f ca="1">IF(ISBLANK(Case!E279),"",Case!E279)</f>
        <v>G17</v>
      </c>
      <c r="D128" s="146">
        <v>10</v>
      </c>
      <c r="E128" s="24"/>
      <c r="F128" s="148"/>
    </row>
    <row r="129" spans="2:6" ht="23.25" customHeight="1">
      <c r="B129" s="31">
        <f t="shared" si="1"/>
        <v>122</v>
      </c>
      <c r="C129" s="147" t="str">
        <f ca="1">IF(ISBLANK(Case!E280),"",Case!E280)</f>
        <v>S6</v>
      </c>
      <c r="D129" s="146">
        <v>10</v>
      </c>
      <c r="E129" s="24"/>
      <c r="F129" s="148"/>
    </row>
    <row r="130" spans="2:6" ht="23.25" customHeight="1">
      <c r="B130" s="31">
        <f t="shared" si="1"/>
        <v>123</v>
      </c>
      <c r="C130" s="147" t="str">
        <f ca="1">IF(ISBLANK(Case!E281),"",Case!E281)</f>
        <v>J5</v>
      </c>
      <c r="D130" s="146">
        <v>10</v>
      </c>
      <c r="E130" s="24"/>
      <c r="F130" s="148"/>
    </row>
    <row r="131" spans="2:6" ht="23.25" customHeight="1">
      <c r="B131" s="31">
        <f t="shared" si="1"/>
        <v>124</v>
      </c>
      <c r="C131" s="147" t="str">
        <f ca="1">IF(ISBLANK(Case!E282),"",Case!E282)</f>
        <v>E11</v>
      </c>
      <c r="D131" s="146">
        <v>10</v>
      </c>
      <c r="E131" s="24"/>
      <c r="F131" s="148"/>
    </row>
    <row r="132" spans="2:6" ht="23.25" customHeight="1">
      <c r="B132" s="31">
        <f t="shared" si="1"/>
        <v>125</v>
      </c>
      <c r="C132" s="147" t="str">
        <f ca="1">IF(ISBLANK(Case!E283),"",Case!E283)</f>
        <v>F26</v>
      </c>
      <c r="D132" s="146">
        <v>10</v>
      </c>
      <c r="E132" s="24"/>
      <c r="F132" s="148"/>
    </row>
    <row r="133" spans="2:6" ht="23.25" customHeight="1">
      <c r="B133" s="31">
        <f t="shared" si="1"/>
        <v>126</v>
      </c>
      <c r="C133" s="147" t="str">
        <f ca="1">IF(ISBLANK(Case!E284),"",Case!E284)</f>
        <v>H26</v>
      </c>
      <c r="D133" s="146">
        <v>10</v>
      </c>
      <c r="E133" s="24"/>
      <c r="F133" s="148"/>
    </row>
    <row r="134" spans="2:6" ht="23.25" customHeight="1">
      <c r="B134" s="31">
        <f t="shared" si="1"/>
        <v>127</v>
      </c>
      <c r="C134" s="147" t="str">
        <f ca="1">IF(ISBLANK(Case!E285),"",Case!E285)</f>
        <v>K6</v>
      </c>
      <c r="D134" s="146">
        <v>10</v>
      </c>
      <c r="E134" s="24"/>
      <c r="F134" s="148"/>
    </row>
    <row r="135" spans="2:6" ht="23.25" customHeight="1">
      <c r="B135" s="31">
        <f t="shared" si="1"/>
        <v>128</v>
      </c>
      <c r="C135" s="147" t="str">
        <f ca="1">IF(ISBLANK(Case!E286),"",Case!E286)</f>
        <v>O16</v>
      </c>
      <c r="D135" s="146">
        <v>10</v>
      </c>
      <c r="E135" s="24"/>
      <c r="F135" s="148"/>
    </row>
    <row r="136" spans="2:6" ht="23.25" customHeight="1">
      <c r="B136" s="31">
        <f t="shared" si="1"/>
        <v>129</v>
      </c>
      <c r="C136" s="147" t="str">
        <f ca="1">IF(ISBLANK(Case!E287),"",Case!E287)</f>
        <v>N21</v>
      </c>
      <c r="D136" s="146">
        <v>10</v>
      </c>
      <c r="E136" s="24"/>
      <c r="F136" s="148"/>
    </row>
    <row r="137" spans="2:6" ht="23.25" customHeight="1">
      <c r="B137" s="31">
        <f t="shared" ref="B137:B147" si="2">B136+1</f>
        <v>130</v>
      </c>
      <c r="C137" s="147" t="str">
        <f ca="1">IF(ISBLANK(Case!E288),"",Case!E288)</f>
        <v>R18</v>
      </c>
      <c r="D137" s="146">
        <v>10</v>
      </c>
      <c r="E137" s="24"/>
      <c r="F137" s="148"/>
    </row>
    <row r="138" spans="2:6" ht="23.25" customHeight="1">
      <c r="B138" s="31">
        <f t="shared" si="2"/>
        <v>131</v>
      </c>
      <c r="C138" s="147" t="str">
        <f ca="1">IF(ISBLANK(Case!E289),"",Case!E289)</f>
        <v>D10</v>
      </c>
      <c r="D138" s="146">
        <v>10</v>
      </c>
      <c r="E138" s="24"/>
      <c r="F138" s="148"/>
    </row>
    <row r="139" spans="2:6" ht="23.25" customHeight="1">
      <c r="B139" s="31">
        <f t="shared" si="2"/>
        <v>132</v>
      </c>
      <c r="C139" s="147" t="str">
        <f ca="1">IF(ISBLANK(Case!E290),"",Case!E290)</f>
        <v>P12</v>
      </c>
      <c r="D139" s="146">
        <v>10</v>
      </c>
      <c r="E139" s="24"/>
      <c r="F139" s="148"/>
    </row>
    <row r="140" spans="2:6" ht="23.25" customHeight="1">
      <c r="B140" s="31">
        <f t="shared" si="2"/>
        <v>133</v>
      </c>
      <c r="C140" s="147" t="str">
        <f ca="1">IF(ISBLANK(Case!E291),"",Case!E291)</f>
        <v>R2</v>
      </c>
      <c r="D140" s="146">
        <v>10</v>
      </c>
      <c r="E140" s="24"/>
      <c r="F140" s="148"/>
    </row>
    <row r="141" spans="2:6" ht="23.25" customHeight="1">
      <c r="B141" s="31">
        <f t="shared" si="2"/>
        <v>134</v>
      </c>
      <c r="C141" s="147" t="str">
        <f ca="1">IF(ISBLANK(Case!E292),"",Case!E292)</f>
        <v>U5</v>
      </c>
      <c r="D141" s="146">
        <v>10</v>
      </c>
      <c r="E141" s="24"/>
      <c r="F141" s="148"/>
    </row>
    <row r="142" spans="2:6" ht="23.25" customHeight="1">
      <c r="B142" s="31">
        <f t="shared" si="2"/>
        <v>135</v>
      </c>
      <c r="C142" s="147" t="str">
        <f ca="1">IF(ISBLANK(Case!E293),"",Case!E293)</f>
        <v>F22</v>
      </c>
      <c r="D142" s="146">
        <v>10</v>
      </c>
      <c r="E142" s="24"/>
      <c r="F142" s="148"/>
    </row>
    <row r="143" spans="2:6" ht="23.25" customHeight="1">
      <c r="B143" s="31">
        <f t="shared" si="2"/>
        <v>136</v>
      </c>
      <c r="C143" s="147" t="str">
        <f ca="1">IF(ISBLANK(Case!E294),"",Case!E294)</f>
        <v>B26</v>
      </c>
      <c r="D143" s="146">
        <v>10</v>
      </c>
      <c r="E143" s="24"/>
      <c r="F143" s="148"/>
    </row>
    <row r="144" spans="2:6" ht="23.25" customHeight="1">
      <c r="B144" s="31">
        <f t="shared" si="2"/>
        <v>137</v>
      </c>
      <c r="C144" s="147" t="str">
        <f ca="1">IF(ISBLANK(Case!E295),"",Case!E295)</f>
        <v>T14</v>
      </c>
      <c r="D144" s="146">
        <v>10</v>
      </c>
      <c r="E144" s="24"/>
      <c r="F144" s="148"/>
    </row>
    <row r="145" spans="2:6" ht="23.25" customHeight="1">
      <c r="B145" s="31">
        <f t="shared" si="2"/>
        <v>138</v>
      </c>
      <c r="C145" s="147" t="str">
        <f ca="1">IF(ISBLANK(Case!E296),"",Case!E296)</f>
        <v>H13</v>
      </c>
      <c r="D145" s="146">
        <v>10</v>
      </c>
      <c r="E145" s="24"/>
      <c r="F145" s="148"/>
    </row>
    <row r="146" spans="2:6" ht="23.25" customHeight="1">
      <c r="B146" s="31">
        <f t="shared" si="2"/>
        <v>139</v>
      </c>
      <c r="C146" s="147" t="str">
        <f ca="1">IF(ISBLANK(Case!E297),"",Case!E297)</f>
        <v>C13</v>
      </c>
      <c r="D146" s="146">
        <v>10</v>
      </c>
      <c r="E146" s="24"/>
      <c r="F146" s="148"/>
    </row>
    <row r="147" spans="2:6" ht="23.25" customHeight="1">
      <c r="B147" s="31">
        <f t="shared" si="2"/>
        <v>140</v>
      </c>
      <c r="C147" s="147" t="str">
        <f ca="1">IF(ISBLANK(Case!E298),"",Case!E298)</f>
        <v>M2</v>
      </c>
      <c r="D147" s="146">
        <v>10</v>
      </c>
      <c r="E147" s="24"/>
      <c r="F147" s="1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1</vt:i4>
      </vt:variant>
    </vt:vector>
  </HeadingPairs>
  <TitlesOfParts>
    <vt:vector size="6" baseType="lpstr">
      <vt:lpstr>Cover</vt:lpstr>
      <vt:lpstr>Case</vt:lpstr>
      <vt:lpstr>Scene</vt:lpstr>
      <vt:lpstr>Scene (Numbered)</vt:lpstr>
      <vt:lpstr>Graded Answers</vt:lpstr>
      <vt:lpstr>sceneNumbered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Franken</dc:creator>
  <cp:lastModifiedBy>Maciej Kopczyński</cp:lastModifiedBy>
  <dcterms:created xsi:type="dcterms:W3CDTF">2024-11-05T01:30:33Z</dcterms:created>
  <dcterms:modified xsi:type="dcterms:W3CDTF">2026-03-02T22:01:55Z</dcterms:modified>
</cp:coreProperties>
</file>